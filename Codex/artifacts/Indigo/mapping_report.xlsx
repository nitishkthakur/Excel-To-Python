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Assumptions Sheet" sheetId="2" state="visible" r:id="rId2"/>
    <sheet name="Income statement" sheetId="3" state="visible" r:id="rId3"/>
    <sheet name="Asset Schedule " sheetId="4" state="visible" r:id="rId4"/>
    <sheet name="Cost Matrix" sheetId="5" state="visible" r:id="rId5"/>
    <sheet name="ATF Fuel 2" sheetId="6" state="visible" r:id="rId6"/>
    <sheet name="Balance sheet" sheetId="7" state="visible" r:id="rId7"/>
    <sheet name="Revenue Matrix" sheetId="8" state="visible" r:id="rId8"/>
    <sheet name="Debt schedule" sheetId="9" state="visible" r:id="rId9"/>
    <sheet name="Incentive" sheetId="10" state="visible" r:id="rId10"/>
    <sheet name="CashFlow Statement" sheetId="11" state="visible" r:id="rId11"/>
    <sheet name="ATF fuel" sheetId="12" state="visible" r:id="rId12"/>
    <sheet name="Valuation" sheetId="13" state="visible" r:id="rId13"/>
    <sheet name="_Metadata" sheetId="14" state="visible" r:id="rId14"/>
    <sheet name="_FormulaGrou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Intro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O2" t="n">
        <v/>
      </c>
      <c r="R2" t="b">
        <v>0</v>
      </c>
      <c r="V2" t="b">
        <v>0</v>
      </c>
      <c r="W2" t="inlineStr"/>
    </row>
    <row r="3">
      <c r="A3" t="inlineStr">
        <is>
          <t>Intro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O3" t="n">
        <v/>
      </c>
      <c r="R3" t="b">
        <v>0</v>
      </c>
      <c r="V3" t="b">
        <v>0</v>
      </c>
      <c r="W3" t="inlineStr"/>
    </row>
    <row r="4">
      <c r="A4" t="inlineStr">
        <is>
          <t>Intro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O4" t="n">
        <v/>
      </c>
      <c r="R4" t="b">
        <v>0</v>
      </c>
      <c r="V4" t="b">
        <v>0</v>
      </c>
      <c r="W4" t="inlineStr"/>
    </row>
    <row r="5">
      <c r="A5" t="inlineStr">
        <is>
          <t>Intro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R5" t="b">
        <v>0</v>
      </c>
      <c r="V5" t="b">
        <v>0</v>
      </c>
      <c r="W5" t="inlineStr"/>
    </row>
    <row r="6">
      <c r="A6" t="inlineStr">
        <is>
          <t>Intro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R6" t="b">
        <v>0</v>
      </c>
      <c r="V6" t="b">
        <v>0</v>
      </c>
      <c r="W6" t="inlineStr"/>
    </row>
    <row r="7">
      <c r="A7" t="inlineStr">
        <is>
          <t>Intro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R7" t="b">
        <v>0</v>
      </c>
      <c r="V7" t="b">
        <v>0</v>
      </c>
      <c r="W7" t="inlineStr"/>
    </row>
    <row r="8">
      <c r="A8" t="inlineStr">
        <is>
          <t>Intro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R8" t="b">
        <v>0</v>
      </c>
      <c r="V8" t="b">
        <v>0</v>
      </c>
      <c r="W8" t="inlineStr"/>
    </row>
    <row r="9">
      <c r="A9" t="inlineStr">
        <is>
          <t>Intro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R9" t="b">
        <v>0</v>
      </c>
      <c r="V9" t="b">
        <v>0</v>
      </c>
      <c r="W9" t="inlineStr"/>
    </row>
    <row r="10">
      <c r="A10" t="inlineStr">
        <is>
          <t>Intro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Input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R10" t="b">
        <v>0</v>
      </c>
      <c r="V10" t="b">
        <v>0</v>
      </c>
      <c r="W10" t="inlineStr"/>
    </row>
    <row r="11">
      <c r="A11" t="inlineStr">
        <is>
          <t>Intro</t>
        </is>
      </c>
      <c r="B11" t="inlineStr">
        <is>
          <t>C2</t>
        </is>
      </c>
      <c r="C11" t="n">
        <v>2</v>
      </c>
      <c r="D11" t="n">
        <v>3</v>
      </c>
      <c r="E11" t="inlineStr">
        <is>
          <t>Input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O11" t="n">
        <v/>
      </c>
      <c r="R11" t="b">
        <v>0</v>
      </c>
      <c r="V11" t="b">
        <v>0</v>
      </c>
      <c r="W11" t="inlineStr"/>
    </row>
    <row r="12">
      <c r="A12" t="inlineStr">
        <is>
          <t>Intro</t>
        </is>
      </c>
      <c r="B12" t="inlineStr">
        <is>
          <t>D2</t>
        </is>
      </c>
      <c r="C12" t="n">
        <v>2</v>
      </c>
      <c r="D12" t="n">
        <v>4</v>
      </c>
      <c r="E12" t="inlineStr">
        <is>
          <t>Input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O12" t="n">
        <v/>
      </c>
      <c r="R12" t="b">
        <v>0</v>
      </c>
      <c r="V12" t="b">
        <v>0</v>
      </c>
      <c r="W12" t="inlineStr"/>
    </row>
    <row r="13">
      <c r="A13" t="inlineStr">
        <is>
          <t>Intro</t>
        </is>
      </c>
      <c r="B13" t="inlineStr">
        <is>
          <t>E2</t>
        </is>
      </c>
      <c r="C13" t="n">
        <v>2</v>
      </c>
      <c r="D13" t="n">
        <v>5</v>
      </c>
      <c r="E13" t="inlineStr">
        <is>
          <t>Input</t>
        </is>
      </c>
      <c r="G13" t="inlineStr">
        <is>
          <t>Reference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22</v>
      </c>
      <c r="M13" t="inlineStr">
        <is>
          <t>FF404040</t>
        </is>
      </c>
      <c r="N13" t="inlineStr">
        <is>
          <t>00000000</t>
        </is>
      </c>
      <c r="O13" t="inlineStr">
        <is>
          <t>center</t>
        </is>
      </c>
      <c r="R13" t="b">
        <v>1</v>
      </c>
      <c r="V13" t="b">
        <v>0</v>
      </c>
      <c r="W13" t="inlineStr"/>
    </row>
    <row r="14">
      <c r="A14" t="inlineStr">
        <is>
          <t>Intro</t>
        </is>
      </c>
      <c r="B14" t="inlineStr">
        <is>
          <t>F2</t>
        </is>
      </c>
      <c r="C14" t="n">
        <v>2</v>
      </c>
      <c r="D14" t="n">
        <v>6</v>
      </c>
      <c r="E14" t="inlineStr">
        <is>
          <t>Input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R14" t="b">
        <v>0</v>
      </c>
      <c r="V14" t="b">
        <v>0</v>
      </c>
      <c r="W14" t="inlineStr"/>
    </row>
    <row r="15">
      <c r="A15" t="inlineStr">
        <is>
          <t>Intro</t>
        </is>
      </c>
      <c r="B15" t="inlineStr">
        <is>
          <t>G2</t>
        </is>
      </c>
      <c r="C15" t="n">
        <v>2</v>
      </c>
      <c r="D15" t="n">
        <v>7</v>
      </c>
      <c r="E15" t="inlineStr">
        <is>
          <t>Input</t>
        </is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0</v>
      </c>
      <c r="V15" t="b">
        <v>0</v>
      </c>
      <c r="W15" t="inlineStr"/>
    </row>
    <row r="16">
      <c r="A16" t="inlineStr">
        <is>
          <t>Intro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0</v>
      </c>
      <c r="V16" t="b">
        <v>0</v>
      </c>
      <c r="W16" t="inlineStr"/>
    </row>
    <row r="17">
      <c r="A17" t="inlineStr">
        <is>
          <t>Intro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0</v>
      </c>
      <c r="V17" t="b">
        <v>0</v>
      </c>
      <c r="W17" t="inlineStr"/>
    </row>
    <row r="18">
      <c r="A18" t="inlineStr">
        <is>
          <t>Intro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V18" t="b">
        <v>0</v>
      </c>
      <c r="W18" t="inlineStr"/>
    </row>
    <row r="19">
      <c r="A19" t="inlineStr">
        <is>
          <t>Intro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V19" t="b">
        <v>0</v>
      </c>
      <c r="W19" t="inlineStr"/>
    </row>
    <row r="20">
      <c r="A20" t="inlineStr">
        <is>
          <t>Intro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V20" t="b">
        <v>0</v>
      </c>
      <c r="W20" t="inlineStr"/>
    </row>
    <row r="21">
      <c r="A21" t="inlineStr">
        <is>
          <t>Intro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V21" t="b">
        <v>0</v>
      </c>
      <c r="W21" t="inlineStr"/>
    </row>
    <row r="22">
      <c r="A22" t="inlineStr">
        <is>
          <t>Intro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V22" t="b">
        <v>0</v>
      </c>
      <c r="W22" t="inlineStr"/>
    </row>
    <row r="23">
      <c r="A23" t="inlineStr">
        <is>
          <t>Intro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V23" t="b">
        <v>0</v>
      </c>
      <c r="W23" t="inlineStr"/>
    </row>
    <row r="24">
      <c r="A24" t="inlineStr">
        <is>
          <t>Intro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V24" t="b">
        <v>0</v>
      </c>
      <c r="W24" t="inlineStr"/>
    </row>
    <row r="25">
      <c r="A25" t="inlineStr">
        <is>
          <t>Intro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V25" t="b">
        <v>0</v>
      </c>
      <c r="W25" t="inlineStr"/>
    </row>
    <row r="26">
      <c r="A26" t="inlineStr">
        <is>
          <t>Intro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0</v>
      </c>
      <c r="V26" t="b">
        <v>0</v>
      </c>
      <c r="W26" t="inlineStr"/>
    </row>
    <row r="27">
      <c r="A27" t="inlineStr">
        <is>
          <t>Intro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G27" t="inlineStr">
        <is>
          <t xml:space="preserve">Indigo 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32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center</t>
        </is>
      </c>
      <c r="R27" t="b">
        <v>1</v>
      </c>
      <c r="V27" t="b">
        <v>0</v>
      </c>
      <c r="W27" t="inlineStr"/>
    </row>
    <row r="28">
      <c r="A28" t="inlineStr">
        <is>
          <t>Intro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0</v>
      </c>
      <c r="V28" t="b">
        <v>0</v>
      </c>
      <c r="W28" t="inlineStr"/>
    </row>
    <row r="29">
      <c r="A29" t="inlineStr">
        <is>
          <t>Intro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0</v>
      </c>
      <c r="V29" t="b">
        <v>0</v>
      </c>
      <c r="W29" t="inlineStr"/>
    </row>
    <row r="30">
      <c r="A30" t="inlineStr">
        <is>
          <t>Intro</t>
        </is>
      </c>
      <c r="B30" t="inlineStr">
        <is>
          <t>A5</t>
        </is>
      </c>
      <c r="C30" t="n">
        <v>5</v>
      </c>
      <c r="D30" t="n">
        <v>1</v>
      </c>
      <c r="E30" t="inlineStr">
        <is>
          <t>Input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0</v>
      </c>
      <c r="V30" t="b">
        <v>0</v>
      </c>
      <c r="W30" t="inlineStr"/>
    </row>
    <row r="31">
      <c r="A31" t="inlineStr">
        <is>
          <t>Intro</t>
        </is>
      </c>
      <c r="B31" t="inlineStr">
        <is>
          <t>B5</t>
        </is>
      </c>
      <c r="C31" t="n">
        <v>5</v>
      </c>
      <c r="D31" t="n">
        <v>2</v>
      </c>
      <c r="E31" t="inlineStr">
        <is>
          <t>Input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0</v>
      </c>
      <c r="V31" t="b">
        <v>0</v>
      </c>
      <c r="W31" t="inlineStr"/>
    </row>
    <row r="32">
      <c r="A32" t="inlineStr">
        <is>
          <t>Intro</t>
        </is>
      </c>
      <c r="B32" t="inlineStr">
        <is>
          <t>C5</t>
        </is>
      </c>
      <c r="C32" t="n">
        <v>5</v>
      </c>
      <c r="D32" t="n">
        <v>3</v>
      </c>
      <c r="E32" t="inlineStr">
        <is>
          <t>Input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0</v>
      </c>
      <c r="V32" t="b">
        <v>0</v>
      </c>
      <c r="W32" t="inlineStr"/>
    </row>
    <row r="33">
      <c r="A33" t="inlineStr">
        <is>
          <t>Intro</t>
        </is>
      </c>
      <c r="B33" t="inlineStr">
        <is>
          <t>D5</t>
        </is>
      </c>
      <c r="C33" t="n">
        <v>5</v>
      </c>
      <c r="D33" t="n">
        <v>4</v>
      </c>
      <c r="E33" t="inlineStr">
        <is>
          <t>Input</t>
        </is>
      </c>
      <c r="G33" t="inlineStr">
        <is>
          <t xml:space="preserve">Prepared By: 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inlineStr">
        <is>
          <t>center</t>
        </is>
      </c>
      <c r="R33" t="b">
        <v>1</v>
      </c>
      <c r="V33" t="b">
        <v>0</v>
      </c>
      <c r="W33" t="inlineStr"/>
    </row>
    <row r="34">
      <c r="A34" t="inlineStr">
        <is>
          <t>Intro</t>
        </is>
      </c>
      <c r="B34" t="inlineStr">
        <is>
          <t>E5</t>
        </is>
      </c>
      <c r="C34" t="n">
        <v>5</v>
      </c>
      <c r="D34" t="n">
        <v>5</v>
      </c>
      <c r="E34" t="inlineStr">
        <is>
          <t>Input</t>
        </is>
      </c>
      <c r="G34" t="inlineStr">
        <is>
          <t>Sumit Todi , Tushar Bhati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V34" t="b">
        <v>0</v>
      </c>
      <c r="W34" t="inlineStr"/>
    </row>
    <row r="35">
      <c r="A35" t="inlineStr">
        <is>
          <t>Intro</t>
        </is>
      </c>
      <c r="B35" t="inlineStr">
        <is>
          <t>F5</t>
        </is>
      </c>
      <c r="C35" t="n">
        <v>5</v>
      </c>
      <c r="D35" t="n">
        <v>6</v>
      </c>
      <c r="E35" t="inlineStr">
        <is>
          <t>Input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0</v>
      </c>
      <c r="V35" t="b">
        <v>0</v>
      </c>
      <c r="W35" t="inlineStr"/>
    </row>
    <row r="36">
      <c r="A36" t="inlineStr">
        <is>
          <t>Intro</t>
        </is>
      </c>
      <c r="B36" t="inlineStr">
        <is>
          <t>G5</t>
        </is>
      </c>
      <c r="C36" t="n">
        <v>5</v>
      </c>
      <c r="D36" t="n">
        <v>7</v>
      </c>
      <c r="E36" t="inlineStr">
        <is>
          <t>Input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0</v>
      </c>
      <c r="V36" t="b">
        <v>0</v>
      </c>
      <c r="W36" t="inlineStr"/>
    </row>
    <row r="37">
      <c r="A37" t="inlineStr">
        <is>
          <t>Intro</t>
        </is>
      </c>
      <c r="B37" t="inlineStr">
        <is>
          <t>A6</t>
        </is>
      </c>
      <c r="C37" t="n">
        <v>6</v>
      </c>
      <c r="D37" t="n">
        <v>1</v>
      </c>
      <c r="E37" t="inlineStr">
        <is>
          <t>Input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0</v>
      </c>
      <c r="V37" t="b">
        <v>0</v>
      </c>
      <c r="W37" t="inlineStr"/>
    </row>
    <row r="38">
      <c r="A38" t="inlineStr">
        <is>
          <t>Intro</t>
        </is>
      </c>
      <c r="B38" t="inlineStr">
        <is>
          <t>B6</t>
        </is>
      </c>
      <c r="C38" t="n">
        <v>6</v>
      </c>
      <c r="D38" t="n">
        <v>2</v>
      </c>
      <c r="E38" t="inlineStr">
        <is>
          <t>Input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0</v>
      </c>
      <c r="V38" t="b">
        <v>0</v>
      </c>
      <c r="W38" t="inlineStr"/>
    </row>
    <row r="39">
      <c r="A39" t="inlineStr">
        <is>
          <t>Intro</t>
        </is>
      </c>
      <c r="B39" t="inlineStr">
        <is>
          <t>C6</t>
        </is>
      </c>
      <c r="C39" t="n">
        <v>6</v>
      </c>
      <c r="D39" t="n">
        <v>3</v>
      </c>
      <c r="E39" t="inlineStr">
        <is>
          <t>Input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0</v>
      </c>
      <c r="V39" t="b">
        <v>0</v>
      </c>
      <c r="W39" t="inlineStr"/>
    </row>
    <row r="40">
      <c r="A40" t="inlineStr">
        <is>
          <t>Intro</t>
        </is>
      </c>
      <c r="B40" t="inlineStr">
        <is>
          <t>D6</t>
        </is>
      </c>
      <c r="C40" t="n">
        <v>6</v>
      </c>
      <c r="D40" t="n">
        <v>4</v>
      </c>
      <c r="E40" t="inlineStr">
        <is>
          <t>Input</t>
        </is>
      </c>
      <c r="G40" t="inlineStr">
        <is>
          <t>Year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inlineStr">
        <is>
          <t>center</t>
        </is>
      </c>
      <c r="R40" t="b">
        <v>1</v>
      </c>
      <c r="V40" t="b">
        <v>0</v>
      </c>
      <c r="W40" t="inlineStr"/>
    </row>
    <row r="41">
      <c r="A41" t="inlineStr">
        <is>
          <t>Intro</t>
        </is>
      </c>
      <c r="B41" t="inlineStr">
        <is>
          <t>E6</t>
        </is>
      </c>
      <c r="C41" t="n">
        <v>6</v>
      </c>
      <c r="D41" t="n">
        <v>5</v>
      </c>
      <c r="E41" t="inlineStr">
        <is>
          <t>Input</t>
        </is>
      </c>
      <c r="G41" t="n">
        <v>2017</v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inlineStr">
        <is>
          <t>center</t>
        </is>
      </c>
      <c r="R41" t="b">
        <v>1</v>
      </c>
      <c r="V41" t="b">
        <v>0</v>
      </c>
      <c r="W41" t="inlineStr"/>
    </row>
    <row r="42">
      <c r="A42" t="inlineStr">
        <is>
          <t>Intro</t>
        </is>
      </c>
      <c r="B42" t="inlineStr">
        <is>
          <t>F6</t>
        </is>
      </c>
      <c r="C42" t="n">
        <v>6</v>
      </c>
      <c r="D42" t="n">
        <v>6</v>
      </c>
      <c r="E42" t="inlineStr">
        <is>
          <t>Input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0</v>
      </c>
      <c r="V42" t="b">
        <v>0</v>
      </c>
      <c r="W42" t="inlineStr"/>
    </row>
    <row r="43">
      <c r="A43" t="inlineStr">
        <is>
          <t>Intro</t>
        </is>
      </c>
      <c r="B43" t="inlineStr">
        <is>
          <t>G6</t>
        </is>
      </c>
      <c r="C43" t="n">
        <v>6</v>
      </c>
      <c r="D43" t="n">
        <v>7</v>
      </c>
      <c r="E43" t="inlineStr">
        <is>
          <t>Input</t>
        </is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0</v>
      </c>
      <c r="V43" t="b">
        <v>0</v>
      </c>
      <c r="W43" t="inlineStr"/>
    </row>
    <row r="44">
      <c r="A44" t="inlineStr">
        <is>
          <t>Intro</t>
        </is>
      </c>
      <c r="B44" t="inlineStr">
        <is>
          <t>A7</t>
        </is>
      </c>
      <c r="C44" t="n">
        <v>7</v>
      </c>
      <c r="D44" t="n">
        <v>1</v>
      </c>
      <c r="E44" t="inlineStr">
        <is>
          <t>Input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0</v>
      </c>
      <c r="V44" t="b">
        <v>0</v>
      </c>
      <c r="W44" t="inlineStr"/>
    </row>
    <row r="45">
      <c r="A45" t="inlineStr">
        <is>
          <t>Intro</t>
        </is>
      </c>
      <c r="B45" t="inlineStr">
        <is>
          <t>B7</t>
        </is>
      </c>
      <c r="C45" t="n">
        <v>7</v>
      </c>
      <c r="D45" t="n">
        <v>2</v>
      </c>
      <c r="E45" t="inlineStr">
        <is>
          <t>Input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0</v>
      </c>
      <c r="V45" t="b">
        <v>0</v>
      </c>
      <c r="W45" t="inlineStr"/>
    </row>
    <row r="46">
      <c r="A46" t="inlineStr">
        <is>
          <t>Intro</t>
        </is>
      </c>
      <c r="B46" t="inlineStr">
        <is>
          <t>C7</t>
        </is>
      </c>
      <c r="C46" t="n">
        <v>7</v>
      </c>
      <c r="D46" t="n">
        <v>3</v>
      </c>
      <c r="E46" t="inlineStr">
        <is>
          <t>Input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0</v>
      </c>
      <c r="V46" t="b">
        <v>0</v>
      </c>
      <c r="W46" t="inlineStr"/>
    </row>
    <row r="47">
      <c r="A47" t="inlineStr">
        <is>
          <t>Intro</t>
        </is>
      </c>
      <c r="B47" t="inlineStr">
        <is>
          <t>D7</t>
        </is>
      </c>
      <c r="C47" t="n">
        <v>7</v>
      </c>
      <c r="D47" t="n">
        <v>4</v>
      </c>
      <c r="E47" t="inlineStr">
        <is>
          <t>Input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0</v>
      </c>
      <c r="V47" t="b">
        <v>0</v>
      </c>
      <c r="W47" t="inlineStr"/>
    </row>
    <row r="48">
      <c r="A48" t="inlineStr">
        <is>
          <t>Intro</t>
        </is>
      </c>
      <c r="B48" t="inlineStr">
        <is>
          <t>E7</t>
        </is>
      </c>
      <c r="C48" t="n">
        <v>7</v>
      </c>
      <c r="D48" t="n">
        <v>5</v>
      </c>
      <c r="E48" t="inlineStr">
        <is>
          <t>Input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0</v>
      </c>
      <c r="V48" t="b">
        <v>0</v>
      </c>
      <c r="W48" t="inlineStr"/>
    </row>
    <row r="49">
      <c r="A49" t="inlineStr">
        <is>
          <t>Intro</t>
        </is>
      </c>
      <c r="B49" t="inlineStr">
        <is>
          <t>F7</t>
        </is>
      </c>
      <c r="C49" t="n">
        <v>7</v>
      </c>
      <c r="D49" t="n">
        <v>6</v>
      </c>
      <c r="E49" t="inlineStr">
        <is>
          <t>Input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0</v>
      </c>
      <c r="V49" t="b">
        <v>0</v>
      </c>
      <c r="W49" t="inlineStr"/>
    </row>
    <row r="50">
      <c r="A50" t="inlineStr">
        <is>
          <t>Intro</t>
        </is>
      </c>
      <c r="B50" t="inlineStr">
        <is>
          <t>G7</t>
        </is>
      </c>
      <c r="C50" t="n">
        <v>7</v>
      </c>
      <c r="D50" t="n">
        <v>7</v>
      </c>
      <c r="E50" t="inlineStr">
        <is>
          <t>Input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0</v>
      </c>
      <c r="V50" t="b">
        <v>0</v>
      </c>
      <c r="W50" t="inlineStr"/>
    </row>
    <row r="51">
      <c r="A51" t="inlineStr">
        <is>
          <t>Intro</t>
        </is>
      </c>
      <c r="B51" t="inlineStr">
        <is>
          <t>A8</t>
        </is>
      </c>
      <c r="C51" t="n">
        <v>8</v>
      </c>
      <c r="D51" t="n">
        <v>1</v>
      </c>
      <c r="E51" t="inlineStr">
        <is>
          <t>Input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0</v>
      </c>
      <c r="V51" t="b">
        <v>0</v>
      </c>
      <c r="W51" t="inlineStr"/>
    </row>
    <row r="52">
      <c r="A52" t="inlineStr">
        <is>
          <t>Intro</t>
        </is>
      </c>
      <c r="B52" t="inlineStr">
        <is>
          <t>B8</t>
        </is>
      </c>
      <c r="C52" t="n">
        <v>8</v>
      </c>
      <c r="D52" t="n">
        <v>2</v>
      </c>
      <c r="E52" t="inlineStr">
        <is>
          <t>Input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0</v>
      </c>
      <c r="V52" t="b">
        <v>0</v>
      </c>
      <c r="W52" t="inlineStr"/>
    </row>
    <row r="53">
      <c r="A53" t="inlineStr">
        <is>
          <t>Intro</t>
        </is>
      </c>
      <c r="B53" t="inlineStr">
        <is>
          <t>C8</t>
        </is>
      </c>
      <c r="C53" t="n">
        <v>8</v>
      </c>
      <c r="D53" t="n">
        <v>3</v>
      </c>
      <c r="E53" t="inlineStr">
        <is>
          <t>Input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0</v>
      </c>
      <c r="V53" t="b">
        <v>0</v>
      </c>
      <c r="W53" t="inlineStr"/>
    </row>
    <row r="54">
      <c r="A54" t="inlineStr">
        <is>
          <t>Intro</t>
        </is>
      </c>
      <c r="B54" t="inlineStr">
        <is>
          <t>D8</t>
        </is>
      </c>
      <c r="C54" t="n">
        <v>8</v>
      </c>
      <c r="D54" t="n">
        <v>4</v>
      </c>
      <c r="E54" t="inlineStr">
        <is>
          <t>Input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0</v>
      </c>
      <c r="V54" t="b">
        <v>0</v>
      </c>
      <c r="W54" t="inlineStr"/>
    </row>
    <row r="55">
      <c r="A55" t="inlineStr">
        <is>
          <t>Intro</t>
        </is>
      </c>
      <c r="B55" t="inlineStr">
        <is>
          <t>E8</t>
        </is>
      </c>
      <c r="C55" t="n">
        <v>8</v>
      </c>
      <c r="D55" t="n">
        <v>5</v>
      </c>
      <c r="E55" t="inlineStr">
        <is>
          <t>Input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V55" t="b">
        <v>0</v>
      </c>
      <c r="W55" t="inlineStr"/>
    </row>
    <row r="56">
      <c r="A56" t="inlineStr">
        <is>
          <t>Intro</t>
        </is>
      </c>
      <c r="B56" t="inlineStr">
        <is>
          <t>F8</t>
        </is>
      </c>
      <c r="C56" t="n">
        <v>8</v>
      </c>
      <c r="D56" t="n">
        <v>6</v>
      </c>
      <c r="E56" t="inlineStr">
        <is>
          <t>Input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V56" t="b">
        <v>0</v>
      </c>
      <c r="W56" t="inlineStr"/>
    </row>
    <row r="57">
      <c r="A57" t="inlineStr">
        <is>
          <t>Intro</t>
        </is>
      </c>
      <c r="B57" t="inlineStr">
        <is>
          <t>G8</t>
        </is>
      </c>
      <c r="C57" t="n">
        <v>8</v>
      </c>
      <c r="D57" t="n">
        <v>7</v>
      </c>
      <c r="E57" t="inlineStr">
        <is>
          <t>Input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V57" t="b">
        <v>0</v>
      </c>
      <c r="W57" t="inlineStr"/>
    </row>
    <row r="58">
      <c r="A58" t="inlineStr">
        <is>
          <t>Intro</t>
        </is>
      </c>
      <c r="B58" t="inlineStr">
        <is>
          <t>A9</t>
        </is>
      </c>
      <c r="C58" t="n">
        <v>9</v>
      </c>
      <c r="D58" t="n">
        <v>1</v>
      </c>
      <c r="E58" t="inlineStr">
        <is>
          <t>Input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0</v>
      </c>
      <c r="V58" t="b">
        <v>0</v>
      </c>
      <c r="W58" t="inlineStr"/>
    </row>
    <row r="59">
      <c r="A59" t="inlineStr">
        <is>
          <t>Intro</t>
        </is>
      </c>
      <c r="B59" t="inlineStr">
        <is>
          <t>B9</t>
        </is>
      </c>
      <c r="C59" t="n">
        <v>9</v>
      </c>
      <c r="D59" t="n">
        <v>2</v>
      </c>
      <c r="E59" t="inlineStr">
        <is>
          <t>Input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0</v>
      </c>
      <c r="V59" t="b">
        <v>0</v>
      </c>
      <c r="W59" t="inlineStr"/>
    </row>
    <row r="60">
      <c r="A60" t="inlineStr">
        <is>
          <t>Intro</t>
        </is>
      </c>
      <c r="B60" t="inlineStr">
        <is>
          <t>C9</t>
        </is>
      </c>
      <c r="C60" t="n">
        <v>9</v>
      </c>
      <c r="D60" t="n">
        <v>3</v>
      </c>
      <c r="E60" t="inlineStr">
        <is>
          <t>Input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0</v>
      </c>
      <c r="V60" t="b">
        <v>0</v>
      </c>
      <c r="W60" t="inlineStr"/>
    </row>
    <row r="61">
      <c r="A61" t="inlineStr">
        <is>
          <t>Intro</t>
        </is>
      </c>
      <c r="B61" t="inlineStr">
        <is>
          <t>D9</t>
        </is>
      </c>
      <c r="C61" t="n">
        <v>9</v>
      </c>
      <c r="D61" t="n">
        <v>4</v>
      </c>
      <c r="E61" t="inlineStr">
        <is>
          <t>Input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0</v>
      </c>
      <c r="V61" t="b">
        <v>0</v>
      </c>
      <c r="W61" t="inlineStr"/>
    </row>
    <row r="62">
      <c r="A62" t="inlineStr">
        <is>
          <t>Intro</t>
        </is>
      </c>
      <c r="B62" t="inlineStr">
        <is>
          <t>E9</t>
        </is>
      </c>
      <c r="C62" t="n">
        <v>9</v>
      </c>
      <c r="D62" t="n">
        <v>5</v>
      </c>
      <c r="E62" t="inlineStr">
        <is>
          <t>Input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0</v>
      </c>
      <c r="V62" t="b">
        <v>0</v>
      </c>
      <c r="W62" t="inlineStr"/>
    </row>
    <row r="63">
      <c r="A63" t="inlineStr">
        <is>
          <t>Intro</t>
        </is>
      </c>
      <c r="B63" t="inlineStr">
        <is>
          <t>F9</t>
        </is>
      </c>
      <c r="C63" t="n">
        <v>9</v>
      </c>
      <c r="D63" t="n">
        <v>6</v>
      </c>
      <c r="E63" t="inlineStr">
        <is>
          <t>Input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0</v>
      </c>
      <c r="V63" t="b">
        <v>0</v>
      </c>
      <c r="W63" t="inlineStr"/>
    </row>
    <row r="64">
      <c r="A64" t="inlineStr">
        <is>
          <t>Intro</t>
        </is>
      </c>
      <c r="B64" t="inlineStr">
        <is>
          <t>G9</t>
        </is>
      </c>
      <c r="C64" t="n">
        <v>9</v>
      </c>
      <c r="D64" t="n">
        <v>7</v>
      </c>
      <c r="E64" t="inlineStr">
        <is>
          <t>Input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0</v>
      </c>
      <c r="V64" t="b">
        <v>0</v>
      </c>
      <c r="W64" t="inlineStr"/>
    </row>
    <row r="65">
      <c r="A65" t="inlineStr">
        <is>
          <t>Intro</t>
        </is>
      </c>
      <c r="B65" t="inlineStr">
        <is>
          <t>A10</t>
        </is>
      </c>
      <c r="C65" t="n">
        <v>10</v>
      </c>
      <c r="D65" t="n">
        <v>1</v>
      </c>
      <c r="E65" t="inlineStr">
        <is>
          <t>Input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0</v>
      </c>
      <c r="V65" t="b">
        <v>0</v>
      </c>
      <c r="W65" t="inlineStr"/>
    </row>
    <row r="66">
      <c r="A66" t="inlineStr">
        <is>
          <t>Intro</t>
        </is>
      </c>
      <c r="B66" t="inlineStr">
        <is>
          <t>B10</t>
        </is>
      </c>
      <c r="C66" t="n">
        <v>10</v>
      </c>
      <c r="D66" t="n">
        <v>2</v>
      </c>
      <c r="E66" t="inlineStr">
        <is>
          <t>Input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0</v>
      </c>
      <c r="V66" t="b">
        <v>0</v>
      </c>
      <c r="W66" t="inlineStr"/>
    </row>
    <row r="67">
      <c r="A67" t="inlineStr">
        <is>
          <t>Intro</t>
        </is>
      </c>
      <c r="B67" t="inlineStr">
        <is>
          <t>C10</t>
        </is>
      </c>
      <c r="C67" t="n">
        <v>10</v>
      </c>
      <c r="D67" t="n">
        <v>3</v>
      </c>
      <c r="E67" t="inlineStr">
        <is>
          <t>Input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0</v>
      </c>
      <c r="V67" t="b">
        <v>0</v>
      </c>
      <c r="W67" t="inlineStr"/>
    </row>
    <row r="68">
      <c r="A68" t="inlineStr">
        <is>
          <t>Intro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Input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0</v>
      </c>
      <c r="V68" t="b">
        <v>0</v>
      </c>
      <c r="W68" t="inlineStr"/>
    </row>
    <row r="69">
      <c r="A69" t="inlineStr">
        <is>
          <t>Intro</t>
        </is>
      </c>
      <c r="B69" t="inlineStr">
        <is>
          <t>E10</t>
        </is>
      </c>
      <c r="C69" t="n">
        <v>10</v>
      </c>
      <c r="D69" t="n">
        <v>5</v>
      </c>
      <c r="E69" t="inlineStr">
        <is>
          <t>Input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0</v>
      </c>
      <c r="V69" t="b">
        <v>0</v>
      </c>
      <c r="W69" t="inlineStr"/>
    </row>
    <row r="70">
      <c r="A70" t="inlineStr">
        <is>
          <t>Intro</t>
        </is>
      </c>
      <c r="B70" t="inlineStr">
        <is>
          <t>F10</t>
        </is>
      </c>
      <c r="C70" t="n">
        <v>10</v>
      </c>
      <c r="D70" t="n">
        <v>6</v>
      </c>
      <c r="E70" t="inlineStr">
        <is>
          <t>Input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0</v>
      </c>
      <c r="V70" t="b">
        <v>0</v>
      </c>
      <c r="W70" t="inlineStr"/>
    </row>
    <row r="71">
      <c r="A71" t="inlineStr">
        <is>
          <t>Intro</t>
        </is>
      </c>
      <c r="B71" t="inlineStr">
        <is>
          <t>G10</t>
        </is>
      </c>
      <c r="C71" t="n">
        <v>10</v>
      </c>
      <c r="D71" t="n">
        <v>7</v>
      </c>
      <c r="E71" t="inlineStr">
        <is>
          <t>Input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0</v>
      </c>
      <c r="V71" t="b">
        <v>0</v>
      </c>
      <c r="W71" t="inlineStr"/>
    </row>
    <row r="72">
      <c r="A72" t="inlineStr">
        <is>
          <t>Intro</t>
        </is>
      </c>
      <c r="B72" t="inlineStr">
        <is>
          <t>A11</t>
        </is>
      </c>
      <c r="C72" t="n">
        <v>11</v>
      </c>
      <c r="D72" t="n">
        <v>1</v>
      </c>
      <c r="E72" t="inlineStr">
        <is>
          <t>Input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0</v>
      </c>
      <c r="V72" t="b">
        <v>0</v>
      </c>
      <c r="W72" t="inlineStr"/>
    </row>
    <row r="73">
      <c r="A73" t="inlineStr">
        <is>
          <t>Intro</t>
        </is>
      </c>
      <c r="B73" t="inlineStr">
        <is>
          <t>B11</t>
        </is>
      </c>
      <c r="C73" t="n">
        <v>11</v>
      </c>
      <c r="D73" t="n">
        <v>2</v>
      </c>
      <c r="E73" t="inlineStr">
        <is>
          <t>Input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0</v>
      </c>
      <c r="V73" t="b">
        <v>0</v>
      </c>
      <c r="W73" t="inlineStr"/>
    </row>
    <row r="74">
      <c r="A74" t="inlineStr">
        <is>
          <t>Intro</t>
        </is>
      </c>
      <c r="B74" t="inlineStr">
        <is>
          <t>C11</t>
        </is>
      </c>
      <c r="C74" t="n">
        <v>11</v>
      </c>
      <c r="D74" t="n">
        <v>3</v>
      </c>
      <c r="E74" t="inlineStr">
        <is>
          <t>Input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0</v>
      </c>
      <c r="V74" t="b">
        <v>0</v>
      </c>
      <c r="W74" t="inlineStr"/>
    </row>
    <row r="75">
      <c r="A75" t="inlineStr">
        <is>
          <t>Intro</t>
        </is>
      </c>
      <c r="B75" t="inlineStr">
        <is>
          <t>D11</t>
        </is>
      </c>
      <c r="C75" t="n">
        <v>11</v>
      </c>
      <c r="D75" t="n">
        <v>4</v>
      </c>
      <c r="E75" t="inlineStr">
        <is>
          <t>Input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0</v>
      </c>
      <c r="V75" t="b">
        <v>0</v>
      </c>
      <c r="W75" t="inlineStr"/>
    </row>
    <row r="76">
      <c r="A76" t="inlineStr">
        <is>
          <t>Intro</t>
        </is>
      </c>
      <c r="B76" t="inlineStr">
        <is>
          <t>E11</t>
        </is>
      </c>
      <c r="C76" t="n">
        <v>11</v>
      </c>
      <c r="D76" t="n">
        <v>5</v>
      </c>
      <c r="E76" t="inlineStr">
        <is>
          <t>Input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0</v>
      </c>
      <c r="V76" t="b">
        <v>0</v>
      </c>
      <c r="W76" t="inlineStr"/>
    </row>
    <row r="77">
      <c r="A77" t="inlineStr">
        <is>
          <t>Intro</t>
        </is>
      </c>
      <c r="B77" t="inlineStr">
        <is>
          <t>F11</t>
        </is>
      </c>
      <c r="C77" t="n">
        <v>11</v>
      </c>
      <c r="D77" t="n">
        <v>6</v>
      </c>
      <c r="E77" t="inlineStr">
        <is>
          <t>Input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0</v>
      </c>
      <c r="V77" t="b">
        <v>0</v>
      </c>
      <c r="W77" t="inlineStr"/>
    </row>
    <row r="78">
      <c r="A78" t="inlineStr">
        <is>
          <t>Intro</t>
        </is>
      </c>
      <c r="B78" t="inlineStr">
        <is>
          <t>G11</t>
        </is>
      </c>
      <c r="C78" t="n">
        <v>11</v>
      </c>
      <c r="D78" t="n">
        <v>7</v>
      </c>
      <c r="E78" t="inlineStr">
        <is>
          <t>Input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V78" t="b">
        <v>0</v>
      </c>
      <c r="W78" t="inlineStr"/>
    </row>
    <row r="79">
      <c r="A79" t="inlineStr">
        <is>
          <t>Intro</t>
        </is>
      </c>
      <c r="B79" t="inlineStr">
        <is>
          <t>A12</t>
        </is>
      </c>
      <c r="C79" t="n">
        <v>12</v>
      </c>
      <c r="D79" t="n">
        <v>1</v>
      </c>
      <c r="E79" t="inlineStr">
        <is>
          <t>Input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0</v>
      </c>
      <c r="V79" t="b">
        <v>0</v>
      </c>
      <c r="W79" t="inlineStr"/>
    </row>
    <row r="80">
      <c r="A80" t="inlineStr">
        <is>
          <t>Intro</t>
        </is>
      </c>
      <c r="B80" t="inlineStr">
        <is>
          <t>B12</t>
        </is>
      </c>
      <c r="C80" t="n">
        <v>12</v>
      </c>
      <c r="D80" t="n">
        <v>2</v>
      </c>
      <c r="E80" t="inlineStr">
        <is>
          <t>Input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0</v>
      </c>
      <c r="V80" t="b">
        <v>0</v>
      </c>
      <c r="W80" t="inlineStr"/>
    </row>
    <row r="81">
      <c r="A81" t="inlineStr">
        <is>
          <t>Intro</t>
        </is>
      </c>
      <c r="B81" t="inlineStr">
        <is>
          <t>C12</t>
        </is>
      </c>
      <c r="C81" t="n">
        <v>12</v>
      </c>
      <c r="D81" t="n">
        <v>3</v>
      </c>
      <c r="E81" t="inlineStr">
        <is>
          <t>Input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0</v>
      </c>
      <c r="V81" t="b">
        <v>0</v>
      </c>
      <c r="W81" t="inlineStr"/>
    </row>
    <row r="82">
      <c r="A82" t="inlineStr">
        <is>
          <t>Intro</t>
        </is>
      </c>
      <c r="B82" t="inlineStr">
        <is>
          <t>D12</t>
        </is>
      </c>
      <c r="C82" t="n">
        <v>12</v>
      </c>
      <c r="D82" t="n">
        <v>4</v>
      </c>
      <c r="E82" t="inlineStr">
        <is>
          <t>Input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0</v>
      </c>
      <c r="V82" t="b">
        <v>0</v>
      </c>
      <c r="W82" t="inlineStr"/>
    </row>
    <row r="83">
      <c r="A83" t="inlineStr">
        <is>
          <t>Intro</t>
        </is>
      </c>
      <c r="B83" t="inlineStr">
        <is>
          <t>E12</t>
        </is>
      </c>
      <c r="C83" t="n">
        <v>12</v>
      </c>
      <c r="D83" t="n">
        <v>5</v>
      </c>
      <c r="E83" t="inlineStr">
        <is>
          <t>Input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0</v>
      </c>
      <c r="V83" t="b">
        <v>0</v>
      </c>
      <c r="W83" t="inlineStr"/>
    </row>
    <row r="84">
      <c r="A84" t="inlineStr">
        <is>
          <t>Intro</t>
        </is>
      </c>
      <c r="B84" t="inlineStr">
        <is>
          <t>F12</t>
        </is>
      </c>
      <c r="C84" t="n">
        <v>12</v>
      </c>
      <c r="D84" t="n">
        <v>6</v>
      </c>
      <c r="E84" t="inlineStr">
        <is>
          <t>Input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0</v>
      </c>
      <c r="V84" t="b">
        <v>0</v>
      </c>
      <c r="W84" t="inlineStr"/>
    </row>
    <row r="85">
      <c r="A85" t="inlineStr">
        <is>
          <t>Intro</t>
        </is>
      </c>
      <c r="B85" t="inlineStr">
        <is>
          <t>G12</t>
        </is>
      </c>
      <c r="C85" t="n">
        <v>12</v>
      </c>
      <c r="D85" t="n">
        <v>7</v>
      </c>
      <c r="E85" t="inlineStr">
        <is>
          <t>Input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0</v>
      </c>
      <c r="V85" t="b">
        <v>0</v>
      </c>
      <c r="W85" t="inlineStr"/>
    </row>
    <row r="86">
      <c r="A86" t="inlineStr">
        <is>
          <t>Intro</t>
        </is>
      </c>
      <c r="B86" t="inlineStr">
        <is>
          <t>A13</t>
        </is>
      </c>
      <c r="C86" t="n">
        <v>13</v>
      </c>
      <c r="D86" t="n">
        <v>1</v>
      </c>
      <c r="E86" t="inlineStr">
        <is>
          <t>Input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0</v>
      </c>
      <c r="V86" t="b">
        <v>0</v>
      </c>
      <c r="W86" t="inlineStr"/>
    </row>
    <row r="87">
      <c r="A87" t="inlineStr">
        <is>
          <t>Intro</t>
        </is>
      </c>
      <c r="B87" t="inlineStr">
        <is>
          <t>B13</t>
        </is>
      </c>
      <c r="C87" t="n">
        <v>13</v>
      </c>
      <c r="D87" t="n">
        <v>2</v>
      </c>
      <c r="E87" t="inlineStr">
        <is>
          <t>Input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0</v>
      </c>
      <c r="V87" t="b">
        <v>0</v>
      </c>
      <c r="W87" t="inlineStr"/>
    </row>
    <row r="88">
      <c r="A88" t="inlineStr">
        <is>
          <t>Intro</t>
        </is>
      </c>
      <c r="B88" t="inlineStr">
        <is>
          <t>C13</t>
        </is>
      </c>
      <c r="C88" t="n">
        <v>13</v>
      </c>
      <c r="D88" t="n">
        <v>3</v>
      </c>
      <c r="E88" t="inlineStr">
        <is>
          <t>Input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0</v>
      </c>
      <c r="V88" t="b">
        <v>0</v>
      </c>
      <c r="W88" t="inlineStr"/>
    </row>
    <row r="89">
      <c r="A89" t="inlineStr">
        <is>
          <t>Intro</t>
        </is>
      </c>
      <c r="B89" t="inlineStr">
        <is>
          <t>D13</t>
        </is>
      </c>
      <c r="C89" t="n">
        <v>13</v>
      </c>
      <c r="D89" t="n">
        <v>4</v>
      </c>
      <c r="E89" t="inlineStr">
        <is>
          <t>Input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0</v>
      </c>
      <c r="V89" t="b">
        <v>0</v>
      </c>
      <c r="W89" t="inlineStr"/>
    </row>
    <row r="90">
      <c r="A90" t="inlineStr">
        <is>
          <t>Intro</t>
        </is>
      </c>
      <c r="B90" t="inlineStr">
        <is>
          <t>E13</t>
        </is>
      </c>
      <c r="C90" t="n">
        <v>13</v>
      </c>
      <c r="D90" t="n">
        <v>5</v>
      </c>
      <c r="E90" t="inlineStr">
        <is>
          <t>Input</t>
        </is>
      </c>
      <c r="G90" t="inlineStr">
        <is>
          <t>http://proschoolonline.com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FF0000FF</t>
        </is>
      </c>
      <c r="N90" t="inlineStr">
        <is>
          <t>00000000</t>
        </is>
      </c>
      <c r="O90" t="inlineStr">
        <is>
          <t>center</t>
        </is>
      </c>
      <c r="R90" t="b">
        <v>1</v>
      </c>
      <c r="V90" t="b">
        <v>0</v>
      </c>
      <c r="W90" t="inlineStr"/>
    </row>
    <row r="91">
      <c r="A91" t="inlineStr">
        <is>
          <t>Intro</t>
        </is>
      </c>
      <c r="B91" t="inlineStr">
        <is>
          <t>F13</t>
        </is>
      </c>
      <c r="C91" t="n">
        <v>13</v>
      </c>
      <c r="D91" t="n">
        <v>6</v>
      </c>
      <c r="E91" t="inlineStr">
        <is>
          <t>Input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0</v>
      </c>
      <c r="V91" t="b">
        <v>0</v>
      </c>
      <c r="W91" t="inlineStr"/>
    </row>
    <row r="92">
      <c r="A92" t="inlineStr">
        <is>
          <t>Intro</t>
        </is>
      </c>
      <c r="B92" t="inlineStr">
        <is>
          <t>G13</t>
        </is>
      </c>
      <c r="C92" t="n">
        <v>13</v>
      </c>
      <c r="D92" t="n">
        <v>7</v>
      </c>
      <c r="E92" t="inlineStr">
        <is>
          <t>Input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0</v>
      </c>
      <c r="V92" t="b">
        <v>0</v>
      </c>
      <c r="W92" t="inlineStr"/>
    </row>
    <row r="93">
      <c r="A93" t="inlineStr">
        <is>
          <t>Intro</t>
        </is>
      </c>
      <c r="B93" t="inlineStr">
        <is>
          <t>A14</t>
        </is>
      </c>
      <c r="C93" t="n">
        <v>14</v>
      </c>
      <c r="D93" t="n">
        <v>1</v>
      </c>
      <c r="E93" t="inlineStr">
        <is>
          <t>Input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0</v>
      </c>
      <c r="V93" t="b">
        <v>0</v>
      </c>
      <c r="W93" t="inlineStr"/>
    </row>
    <row r="94">
      <c r="A94" t="inlineStr">
        <is>
          <t>Intro</t>
        </is>
      </c>
      <c r="B94" t="inlineStr">
        <is>
          <t>B14</t>
        </is>
      </c>
      <c r="C94" t="n">
        <v>14</v>
      </c>
      <c r="D94" t="n">
        <v>2</v>
      </c>
      <c r="E94" t="inlineStr">
        <is>
          <t>Input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0</v>
      </c>
      <c r="V94" t="b">
        <v>0</v>
      </c>
      <c r="W94" t="inlineStr"/>
    </row>
    <row r="95">
      <c r="A95" t="inlineStr">
        <is>
          <t>Intro</t>
        </is>
      </c>
      <c r="B95" t="inlineStr">
        <is>
          <t>C14</t>
        </is>
      </c>
      <c r="C95" t="n">
        <v>14</v>
      </c>
      <c r="D95" t="n">
        <v>3</v>
      </c>
      <c r="E95" t="inlineStr">
        <is>
          <t>Input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0</v>
      </c>
      <c r="V95" t="b">
        <v>0</v>
      </c>
      <c r="W95" t="inlineStr"/>
    </row>
    <row r="96">
      <c r="A96" t="inlineStr">
        <is>
          <t>Intro</t>
        </is>
      </c>
      <c r="B96" t="inlineStr">
        <is>
          <t>D14</t>
        </is>
      </c>
      <c r="C96" t="n">
        <v>14</v>
      </c>
      <c r="D96" t="n">
        <v>4</v>
      </c>
      <c r="E96" t="inlineStr">
        <is>
          <t>Input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0</v>
      </c>
      <c r="V96" t="b">
        <v>0</v>
      </c>
      <c r="W96" t="inlineStr"/>
    </row>
    <row r="97">
      <c r="A97" t="inlineStr">
        <is>
          <t>Intro</t>
        </is>
      </c>
      <c r="B97" t="inlineStr">
        <is>
          <t>E14</t>
        </is>
      </c>
      <c r="C97" t="n">
        <v>14</v>
      </c>
      <c r="D97" t="n">
        <v>5</v>
      </c>
      <c r="E97" t="inlineStr">
        <is>
          <t>Input</t>
        </is>
      </c>
      <c r="G97" t="inlineStr">
        <is>
          <t>Email ID : mumbai@proschoolonline.com</t>
        </is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9</v>
      </c>
      <c r="M97" t="inlineStr">
        <is>
          <t>FF444444</t>
        </is>
      </c>
      <c r="N97" t="inlineStr">
        <is>
          <t>00000000</t>
        </is>
      </c>
      <c r="O97" t="inlineStr">
        <is>
          <t>center</t>
        </is>
      </c>
      <c r="R97" t="b">
        <v>1</v>
      </c>
      <c r="V97" t="b">
        <v>0</v>
      </c>
      <c r="W97" t="inlineStr"/>
    </row>
    <row r="98">
      <c r="A98" t="inlineStr">
        <is>
          <t>Intro</t>
        </is>
      </c>
      <c r="B98" t="inlineStr">
        <is>
          <t>F14</t>
        </is>
      </c>
      <c r="C98" t="n">
        <v>14</v>
      </c>
      <c r="D98" t="n">
        <v>6</v>
      </c>
      <c r="E98" t="inlineStr">
        <is>
          <t>Input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0</v>
      </c>
      <c r="V98" t="b">
        <v>0</v>
      </c>
      <c r="W98" t="inlineStr"/>
    </row>
    <row r="99">
      <c r="A99" t="inlineStr">
        <is>
          <t>Intro</t>
        </is>
      </c>
      <c r="B99" t="inlineStr">
        <is>
          <t>G14</t>
        </is>
      </c>
      <c r="C99" t="n">
        <v>14</v>
      </c>
      <c r="D99" t="n">
        <v>7</v>
      </c>
      <c r="E99" t="inlineStr">
        <is>
          <t>Input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0</v>
      </c>
      <c r="V99" t="b">
        <v>0</v>
      </c>
      <c r="W99" t="inlineStr"/>
    </row>
    <row r="100">
      <c r="A100" t="inlineStr">
        <is>
          <t>Intro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0</v>
      </c>
      <c r="V100" t="b">
        <v>0</v>
      </c>
      <c r="W100" t="inlineStr"/>
    </row>
    <row r="101">
      <c r="A101" t="inlineStr">
        <is>
          <t>Intro</t>
        </is>
      </c>
      <c r="B101" t="inlineStr">
        <is>
          <t>B15</t>
        </is>
      </c>
      <c r="C101" t="n">
        <v>15</v>
      </c>
      <c r="D101" t="n">
        <v>2</v>
      </c>
      <c r="E101" t="inlineStr">
        <is>
          <t>Input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0</v>
      </c>
      <c r="V101" t="b">
        <v>0</v>
      </c>
      <c r="W101" t="inlineStr"/>
    </row>
    <row r="102">
      <c r="A102" t="inlineStr">
        <is>
          <t>Intro</t>
        </is>
      </c>
      <c r="B102" t="inlineStr">
        <is>
          <t>C15</t>
        </is>
      </c>
      <c r="C102" t="n">
        <v>15</v>
      </c>
      <c r="D102" t="n">
        <v>3</v>
      </c>
      <c r="E102" t="inlineStr">
        <is>
          <t>Input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0</v>
      </c>
      <c r="V102" t="b">
        <v>0</v>
      </c>
      <c r="W102" t="inlineStr"/>
    </row>
    <row r="103">
      <c r="A103" t="inlineStr">
        <is>
          <t>Intro</t>
        </is>
      </c>
      <c r="B103" t="inlineStr">
        <is>
          <t>D15</t>
        </is>
      </c>
      <c r="C103" t="n">
        <v>15</v>
      </c>
      <c r="D103" t="n">
        <v>4</v>
      </c>
      <c r="E103" t="inlineStr">
        <is>
          <t>Input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0</v>
      </c>
      <c r="V103" t="b">
        <v>0</v>
      </c>
      <c r="W103" t="inlineStr"/>
    </row>
    <row r="104">
      <c r="A104" t="inlineStr">
        <is>
          <t>Intro</t>
        </is>
      </c>
      <c r="B104" t="inlineStr">
        <is>
          <t>E15</t>
        </is>
      </c>
      <c r="C104" t="n">
        <v>15</v>
      </c>
      <c r="D104" t="n">
        <v>5</v>
      </c>
      <c r="E104" t="inlineStr">
        <is>
          <t>Input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9</v>
      </c>
      <c r="M104" t="inlineStr">
        <is>
          <t>FF444444</t>
        </is>
      </c>
      <c r="N104" t="inlineStr">
        <is>
          <t>00000000</t>
        </is>
      </c>
      <c r="O104" t="inlineStr">
        <is>
          <t>center</t>
        </is>
      </c>
      <c r="R104" t="b">
        <v>0</v>
      </c>
      <c r="V104" t="b">
        <v>0</v>
      </c>
      <c r="W104" t="inlineStr"/>
    </row>
    <row r="105">
      <c r="A105" t="inlineStr">
        <is>
          <t>Intro</t>
        </is>
      </c>
      <c r="B105" t="inlineStr">
        <is>
          <t>F15</t>
        </is>
      </c>
      <c r="C105" t="n">
        <v>15</v>
      </c>
      <c r="D105" t="n">
        <v>6</v>
      </c>
      <c r="E105" t="inlineStr">
        <is>
          <t>Input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0</v>
      </c>
      <c r="V105" t="b">
        <v>0</v>
      </c>
      <c r="W105" t="inlineStr"/>
    </row>
    <row r="106">
      <c r="A106" t="inlineStr">
        <is>
          <t>Intro</t>
        </is>
      </c>
      <c r="B106" t="inlineStr">
        <is>
          <t>G15</t>
        </is>
      </c>
      <c r="C106" t="n">
        <v>15</v>
      </c>
      <c r="D106" t="n">
        <v>7</v>
      </c>
      <c r="E106" t="inlineStr">
        <is>
          <t>Input</t>
        </is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0</v>
      </c>
      <c r="V106" t="b">
        <v>0</v>
      </c>
      <c r="W106" t="inlineStr"/>
    </row>
    <row r="107">
      <c r="A107" t="inlineStr">
        <is>
          <t>Intro</t>
        </is>
      </c>
      <c r="B107" t="inlineStr">
        <is>
          <t>A16</t>
        </is>
      </c>
      <c r="C107" t="n">
        <v>16</v>
      </c>
      <c r="D107" t="n">
        <v>1</v>
      </c>
      <c r="E107" t="inlineStr">
        <is>
          <t>Input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0</v>
      </c>
      <c r="V107" t="b">
        <v>0</v>
      </c>
      <c r="W107" t="inlineStr"/>
    </row>
    <row r="108">
      <c r="A108" t="inlineStr">
        <is>
          <t>Intro</t>
        </is>
      </c>
      <c r="B108" t="inlineStr">
        <is>
          <t>B16</t>
        </is>
      </c>
      <c r="C108" t="n">
        <v>16</v>
      </c>
      <c r="D108" t="n">
        <v>2</v>
      </c>
      <c r="E108" t="inlineStr">
        <is>
          <t>Input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0</v>
      </c>
      <c r="V108" t="b">
        <v>0</v>
      </c>
      <c r="W108" t="inlineStr"/>
    </row>
    <row r="109">
      <c r="A109" t="inlineStr">
        <is>
          <t>Intro</t>
        </is>
      </c>
      <c r="B109" t="inlineStr">
        <is>
          <t>C16</t>
        </is>
      </c>
      <c r="C109" t="n">
        <v>16</v>
      </c>
      <c r="D109" t="n">
        <v>3</v>
      </c>
      <c r="E109" t="inlineStr">
        <is>
          <t>Input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0</v>
      </c>
      <c r="V109" t="b">
        <v>0</v>
      </c>
      <c r="W109" t="inlineStr"/>
    </row>
    <row r="110">
      <c r="A110" t="inlineStr">
        <is>
          <t>Intro</t>
        </is>
      </c>
      <c r="B110" t="inlineStr">
        <is>
          <t>D16</t>
        </is>
      </c>
      <c r="C110" t="n">
        <v>16</v>
      </c>
      <c r="D110" t="n">
        <v>4</v>
      </c>
      <c r="E110" t="inlineStr">
        <is>
          <t>Input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0</v>
      </c>
      <c r="V110" t="b">
        <v>0</v>
      </c>
      <c r="W110" t="inlineStr"/>
    </row>
    <row r="111">
      <c r="A111" t="inlineStr">
        <is>
          <t>Intro</t>
        </is>
      </c>
      <c r="B111" t="inlineStr">
        <is>
          <t>E16</t>
        </is>
      </c>
      <c r="C111" t="n">
        <v>16</v>
      </c>
      <c r="D111" t="n">
        <v>5</v>
      </c>
      <c r="E111" t="inlineStr">
        <is>
          <t>Input</t>
        </is>
      </c>
      <c r="G111" t="inlineStr">
        <is>
          <t>Mumbai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9</v>
      </c>
      <c r="M111" t="inlineStr">
        <is>
          <t>FF444444</t>
        </is>
      </c>
      <c r="N111" t="inlineStr">
        <is>
          <t>00000000</t>
        </is>
      </c>
      <c r="O111" t="inlineStr">
        <is>
          <t>center</t>
        </is>
      </c>
      <c r="R111" t="b">
        <v>1</v>
      </c>
      <c r="V111" t="b">
        <v>0</v>
      </c>
      <c r="W111" t="inlineStr"/>
    </row>
    <row r="112">
      <c r="A112" t="inlineStr">
        <is>
          <t>Intro</t>
        </is>
      </c>
      <c r="B112" t="inlineStr">
        <is>
          <t>F16</t>
        </is>
      </c>
      <c r="C112" t="n">
        <v>16</v>
      </c>
      <c r="D112" t="n">
        <v>6</v>
      </c>
      <c r="E112" t="inlineStr">
        <is>
          <t>Input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0</v>
      </c>
      <c r="V112" t="b">
        <v>0</v>
      </c>
      <c r="W112" t="inlineStr"/>
    </row>
    <row r="113">
      <c r="A113" t="inlineStr">
        <is>
          <t>Intro</t>
        </is>
      </c>
      <c r="B113" t="inlineStr">
        <is>
          <t>G16</t>
        </is>
      </c>
      <c r="C113" t="n">
        <v>16</v>
      </c>
      <c r="D113" t="n">
        <v>7</v>
      </c>
      <c r="E113" t="inlineStr">
        <is>
          <t>Input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0</v>
      </c>
      <c r="V113" t="b">
        <v>0</v>
      </c>
      <c r="W113" t="inlineStr"/>
    </row>
    <row r="114">
      <c r="A114" t="inlineStr">
        <is>
          <t>Intro</t>
        </is>
      </c>
      <c r="B114" t="inlineStr">
        <is>
          <t>A17</t>
        </is>
      </c>
      <c r="C114" t="n">
        <v>17</v>
      </c>
      <c r="D114" t="n">
        <v>1</v>
      </c>
      <c r="E114" t="inlineStr">
        <is>
          <t>Input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0</v>
      </c>
      <c r="V114" t="b">
        <v>0</v>
      </c>
      <c r="W114" t="inlineStr"/>
    </row>
    <row r="115">
      <c r="A115" t="inlineStr">
        <is>
          <t>Intro</t>
        </is>
      </c>
      <c r="B115" t="inlineStr">
        <is>
          <t>B17</t>
        </is>
      </c>
      <c r="C115" t="n">
        <v>17</v>
      </c>
      <c r="D115" t="n">
        <v>2</v>
      </c>
      <c r="E115" t="inlineStr">
        <is>
          <t>Input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0</v>
      </c>
      <c r="V115" t="b">
        <v>0</v>
      </c>
      <c r="W115" t="inlineStr"/>
    </row>
    <row r="116">
      <c r="A116" t="inlineStr">
        <is>
          <t>Intro</t>
        </is>
      </c>
      <c r="B116" t="inlineStr">
        <is>
          <t>C17</t>
        </is>
      </c>
      <c r="C116" t="n">
        <v>17</v>
      </c>
      <c r="D116" t="n">
        <v>3</v>
      </c>
      <c r="E116" t="inlineStr">
        <is>
          <t>Input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0</v>
      </c>
      <c r="V116" t="b">
        <v>0</v>
      </c>
      <c r="W116" t="inlineStr"/>
    </row>
    <row r="117">
      <c r="A117" t="inlineStr">
        <is>
          <t>Intro</t>
        </is>
      </c>
      <c r="B117" t="inlineStr">
        <is>
          <t>D17</t>
        </is>
      </c>
      <c r="C117" t="n">
        <v>17</v>
      </c>
      <c r="D117" t="n">
        <v>4</v>
      </c>
      <c r="E117" t="inlineStr">
        <is>
          <t>Input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0</v>
      </c>
      <c r="V117" t="b">
        <v>0</v>
      </c>
      <c r="W117" t="inlineStr"/>
    </row>
    <row r="118">
      <c r="A118" t="inlineStr">
        <is>
          <t>Intro</t>
        </is>
      </c>
      <c r="B118" t="inlineStr">
        <is>
          <t>E17</t>
        </is>
      </c>
      <c r="C118" t="n">
        <v>17</v>
      </c>
      <c r="D118" t="n">
        <v>5</v>
      </c>
      <c r="E118" t="inlineStr">
        <is>
          <t>Input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R118" t="b">
        <v>0</v>
      </c>
      <c r="V118" t="b">
        <v>0</v>
      </c>
      <c r="W118" t="inlineStr"/>
    </row>
    <row r="119">
      <c r="A119" t="inlineStr">
        <is>
          <t>Intro</t>
        </is>
      </c>
      <c r="B119" t="inlineStr">
        <is>
          <t>F17</t>
        </is>
      </c>
      <c r="C119" t="n">
        <v>17</v>
      </c>
      <c r="D119" t="n">
        <v>6</v>
      </c>
      <c r="E119" t="inlineStr">
        <is>
          <t>Input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0</v>
      </c>
      <c r="V119" t="b">
        <v>0</v>
      </c>
      <c r="W119" t="inlineStr"/>
    </row>
    <row r="120">
      <c r="A120" t="inlineStr">
        <is>
          <t>Intro</t>
        </is>
      </c>
      <c r="B120" t="inlineStr">
        <is>
          <t>G17</t>
        </is>
      </c>
      <c r="C120" t="n">
        <v>17</v>
      </c>
      <c r="D120" t="n">
        <v>7</v>
      </c>
      <c r="E120" t="inlineStr">
        <is>
          <t>Input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0</v>
      </c>
      <c r="V120" t="b">
        <v>0</v>
      </c>
      <c r="W120" t="inlineStr"/>
    </row>
    <row r="121">
      <c r="A121" t="inlineStr">
        <is>
          <t>Intro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0</v>
      </c>
      <c r="V121" t="b">
        <v>0</v>
      </c>
      <c r="W121" t="inlineStr"/>
    </row>
    <row r="122">
      <c r="A122" t="inlineStr">
        <is>
          <t>Intro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Input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0</v>
      </c>
      <c r="V122" t="b">
        <v>0</v>
      </c>
      <c r="W122" t="inlineStr"/>
    </row>
    <row r="123">
      <c r="A123" t="inlineStr">
        <is>
          <t>Intro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Input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0</v>
      </c>
      <c r="V123" t="b">
        <v>0</v>
      </c>
      <c r="W123" t="inlineStr"/>
    </row>
    <row r="124">
      <c r="A124" t="inlineStr">
        <is>
          <t>Intro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Input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0</v>
      </c>
      <c r="V124" t="b">
        <v>0</v>
      </c>
      <c r="W124" t="inlineStr"/>
    </row>
    <row r="125">
      <c r="A125" t="inlineStr">
        <is>
          <t>Intro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Input</t>
        </is>
      </c>
      <c r="G125" t="inlineStr">
        <is>
          <t>IMS Proschool Pvt Ltd,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9</v>
      </c>
      <c r="M125" t="inlineStr">
        <is>
          <t>FF444444</t>
        </is>
      </c>
      <c r="N125" t="inlineStr">
        <is>
          <t>00000000</t>
        </is>
      </c>
      <c r="O125" t="inlineStr">
        <is>
          <t>center</t>
        </is>
      </c>
      <c r="R125" t="b">
        <v>1</v>
      </c>
      <c r="V125" t="b">
        <v>0</v>
      </c>
      <c r="W125" t="inlineStr"/>
    </row>
    <row r="126">
      <c r="A126" t="inlineStr">
        <is>
          <t>Intro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0</v>
      </c>
      <c r="V126" t="b">
        <v>0</v>
      </c>
      <c r="W126" t="inlineStr"/>
    </row>
    <row r="127">
      <c r="A127" t="inlineStr">
        <is>
          <t>Intro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0</v>
      </c>
      <c r="V127" t="b">
        <v>0</v>
      </c>
      <c r="W127" t="inlineStr"/>
    </row>
    <row r="128">
      <c r="A128" t="inlineStr">
        <is>
          <t>Intro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0</v>
      </c>
      <c r="V128" t="b">
        <v>0</v>
      </c>
      <c r="W128" t="inlineStr"/>
    </row>
    <row r="129">
      <c r="A129" t="inlineStr">
        <is>
          <t>Intro</t>
        </is>
      </c>
      <c r="B129" t="inlineStr">
        <is>
          <t>B19</t>
        </is>
      </c>
      <c r="C129" t="n">
        <v>19</v>
      </c>
      <c r="D129" t="n">
        <v>2</v>
      </c>
      <c r="E129" t="inlineStr">
        <is>
          <t>Input</t>
        </is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0</v>
      </c>
      <c r="V129" t="b">
        <v>0</v>
      </c>
      <c r="W129" t="inlineStr"/>
    </row>
    <row r="130">
      <c r="A130" t="inlineStr">
        <is>
          <t>Intro</t>
        </is>
      </c>
      <c r="B130" t="inlineStr">
        <is>
          <t>C19</t>
        </is>
      </c>
      <c r="C130" t="n">
        <v>19</v>
      </c>
      <c r="D130" t="n">
        <v>3</v>
      </c>
      <c r="E130" t="inlineStr">
        <is>
          <t>Input</t>
        </is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0</v>
      </c>
      <c r="V130" t="b">
        <v>0</v>
      </c>
      <c r="W130" t="inlineStr"/>
    </row>
    <row r="131">
      <c r="A131" t="inlineStr">
        <is>
          <t>Intro</t>
        </is>
      </c>
      <c r="B131" t="inlineStr">
        <is>
          <t>D19</t>
        </is>
      </c>
      <c r="C131" t="n">
        <v>19</v>
      </c>
      <c r="D131" t="n">
        <v>4</v>
      </c>
      <c r="E131" t="inlineStr">
        <is>
          <t>Input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0</v>
      </c>
      <c r="V131" t="b">
        <v>0</v>
      </c>
      <c r="W131" t="inlineStr"/>
    </row>
    <row r="132">
      <c r="A132" t="inlineStr">
        <is>
          <t>Intro</t>
        </is>
      </c>
      <c r="B132" t="inlineStr">
        <is>
          <t>E19</t>
        </is>
      </c>
      <c r="C132" t="n">
        <v>19</v>
      </c>
      <c r="D132" t="n">
        <v>5</v>
      </c>
      <c r="E132" t="inlineStr">
        <is>
          <t>Input</t>
        </is>
      </c>
      <c r="G132" t="inlineStr">
        <is>
          <t>Maharashtra High School Complex,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FF444444</t>
        </is>
      </c>
      <c r="N132" t="inlineStr">
        <is>
          <t>00000000</t>
        </is>
      </c>
      <c r="O132" t="inlineStr">
        <is>
          <t>center</t>
        </is>
      </c>
      <c r="R132" t="b">
        <v>1</v>
      </c>
      <c r="V132" t="b">
        <v>0</v>
      </c>
      <c r="W132" t="inlineStr"/>
    </row>
    <row r="133">
      <c r="A133" t="inlineStr">
        <is>
          <t>Intro</t>
        </is>
      </c>
      <c r="B133" t="inlineStr">
        <is>
          <t>F19</t>
        </is>
      </c>
      <c r="C133" t="n">
        <v>19</v>
      </c>
      <c r="D133" t="n">
        <v>6</v>
      </c>
      <c r="E133" t="inlineStr">
        <is>
          <t>Input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0</v>
      </c>
      <c r="V133" t="b">
        <v>0</v>
      </c>
      <c r="W133" t="inlineStr"/>
    </row>
    <row r="134">
      <c r="A134" t="inlineStr">
        <is>
          <t>Intro</t>
        </is>
      </c>
      <c r="B134" t="inlineStr">
        <is>
          <t>G19</t>
        </is>
      </c>
      <c r="C134" t="n">
        <v>19</v>
      </c>
      <c r="D134" t="n">
        <v>7</v>
      </c>
      <c r="E134" t="inlineStr">
        <is>
          <t>Input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0</v>
      </c>
      <c r="V134" t="b">
        <v>0</v>
      </c>
      <c r="W134" t="inlineStr"/>
    </row>
    <row r="135">
      <c r="A135" t="inlineStr">
        <is>
          <t>Intro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0</v>
      </c>
      <c r="V135" t="b">
        <v>0</v>
      </c>
      <c r="W135" t="inlineStr"/>
    </row>
    <row r="136">
      <c r="A136" t="inlineStr">
        <is>
          <t>Intro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0</v>
      </c>
      <c r="V136" t="b">
        <v>0</v>
      </c>
      <c r="W136" t="inlineStr"/>
    </row>
    <row r="137">
      <c r="A137" t="inlineStr">
        <is>
          <t>Intro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0</v>
      </c>
      <c r="V137" t="b">
        <v>0</v>
      </c>
      <c r="W137" t="inlineStr"/>
    </row>
    <row r="138">
      <c r="A138" t="inlineStr">
        <is>
          <t>Intro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0</v>
      </c>
      <c r="V138" t="b">
        <v>0</v>
      </c>
      <c r="W138" t="inlineStr"/>
    </row>
    <row r="139">
      <c r="A139" t="inlineStr">
        <is>
          <t>Intro</t>
        </is>
      </c>
      <c r="B139" t="inlineStr">
        <is>
          <t>E20</t>
        </is>
      </c>
      <c r="C139" t="n">
        <v>20</v>
      </c>
      <c r="D139" t="n">
        <v>5</v>
      </c>
      <c r="E139" t="inlineStr">
        <is>
          <t>Input</t>
        </is>
      </c>
      <c r="G139" t="inlineStr">
        <is>
          <t>Principal N.M Kale Marg, Off Gokhale Rd,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9</v>
      </c>
      <c r="M139" t="inlineStr">
        <is>
          <t>FF444444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V139" t="b">
        <v>0</v>
      </c>
      <c r="W139" t="inlineStr"/>
    </row>
    <row r="140">
      <c r="A140" t="inlineStr">
        <is>
          <t>Intro</t>
        </is>
      </c>
      <c r="B140" t="inlineStr">
        <is>
          <t>F20</t>
        </is>
      </c>
      <c r="C140" t="n">
        <v>20</v>
      </c>
      <c r="D140" t="n">
        <v>6</v>
      </c>
      <c r="E140" t="inlineStr">
        <is>
          <t>Input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0</v>
      </c>
      <c r="V140" t="b">
        <v>0</v>
      </c>
      <c r="W140" t="inlineStr"/>
    </row>
    <row r="141">
      <c r="A141" t="inlineStr">
        <is>
          <t>Intro</t>
        </is>
      </c>
      <c r="B141" t="inlineStr">
        <is>
          <t>G20</t>
        </is>
      </c>
      <c r="C141" t="n">
        <v>20</v>
      </c>
      <c r="D141" t="n">
        <v>7</v>
      </c>
      <c r="E141" t="inlineStr">
        <is>
          <t>Input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0</v>
      </c>
      <c r="V141" t="b">
        <v>0</v>
      </c>
      <c r="W141" t="inlineStr"/>
    </row>
    <row r="142">
      <c r="A142" t="inlineStr">
        <is>
          <t>Intro</t>
        </is>
      </c>
      <c r="B142" t="inlineStr">
        <is>
          <t>A21</t>
        </is>
      </c>
      <c r="C142" t="n">
        <v>21</v>
      </c>
      <c r="D142" t="n">
        <v>1</v>
      </c>
      <c r="E142" t="inlineStr">
        <is>
          <t>Input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0</v>
      </c>
      <c r="V142" t="b">
        <v>0</v>
      </c>
      <c r="W142" t="inlineStr"/>
    </row>
    <row r="143">
      <c r="A143" t="inlineStr">
        <is>
          <t>Intro</t>
        </is>
      </c>
      <c r="B143" t="inlineStr">
        <is>
          <t>B21</t>
        </is>
      </c>
      <c r="C143" t="n">
        <v>21</v>
      </c>
      <c r="D143" t="n">
        <v>2</v>
      </c>
      <c r="E143" t="inlineStr">
        <is>
          <t>Input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n">
        <v/>
      </c>
      <c r="R143" t="b">
        <v>0</v>
      </c>
      <c r="V143" t="b">
        <v>0</v>
      </c>
      <c r="W143" t="inlineStr"/>
    </row>
    <row r="144">
      <c r="A144" t="inlineStr">
        <is>
          <t>Intro</t>
        </is>
      </c>
      <c r="B144" t="inlineStr">
        <is>
          <t>C21</t>
        </is>
      </c>
      <c r="C144" t="n">
        <v>21</v>
      </c>
      <c r="D144" t="n">
        <v>3</v>
      </c>
      <c r="E144" t="inlineStr">
        <is>
          <t>Input</t>
        </is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0</v>
      </c>
      <c r="V144" t="b">
        <v>0</v>
      </c>
      <c r="W144" t="inlineStr"/>
    </row>
    <row r="145">
      <c r="A145" t="inlineStr">
        <is>
          <t>Intro</t>
        </is>
      </c>
      <c r="B145" t="inlineStr">
        <is>
          <t>D21</t>
        </is>
      </c>
      <c r="C145" t="n">
        <v>21</v>
      </c>
      <c r="D145" t="n">
        <v>4</v>
      </c>
      <c r="E145" t="inlineStr">
        <is>
          <t>Input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n">
        <v/>
      </c>
      <c r="R145" t="b">
        <v>0</v>
      </c>
      <c r="V145" t="b">
        <v>0</v>
      </c>
      <c r="W145" t="inlineStr"/>
    </row>
    <row r="146">
      <c r="A146" t="inlineStr">
        <is>
          <t>Intro</t>
        </is>
      </c>
      <c r="B146" t="inlineStr">
        <is>
          <t>E21</t>
        </is>
      </c>
      <c r="C146" t="n">
        <v>21</v>
      </c>
      <c r="D146" t="n">
        <v>5</v>
      </c>
      <c r="E146" t="inlineStr">
        <is>
          <t>Input</t>
        </is>
      </c>
      <c r="G146" t="inlineStr">
        <is>
          <t>Dadar (W), Mumbai 400028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9</v>
      </c>
      <c r="M146" t="inlineStr">
        <is>
          <t>FF444444</t>
        </is>
      </c>
      <c r="N146" t="inlineStr">
        <is>
          <t>00000000</t>
        </is>
      </c>
      <c r="O146" t="inlineStr">
        <is>
          <t>center</t>
        </is>
      </c>
      <c r="R146" t="b">
        <v>1</v>
      </c>
      <c r="V146" t="b">
        <v>0</v>
      </c>
      <c r="W146" t="inlineStr"/>
    </row>
    <row r="147">
      <c r="A147" t="inlineStr">
        <is>
          <t>Intro</t>
        </is>
      </c>
      <c r="B147" t="inlineStr">
        <is>
          <t>F21</t>
        </is>
      </c>
      <c r="C147" t="n">
        <v>21</v>
      </c>
      <c r="D147" t="n">
        <v>6</v>
      </c>
      <c r="E147" t="inlineStr">
        <is>
          <t>Input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n">
        <v/>
      </c>
      <c r="R147" t="b">
        <v>0</v>
      </c>
      <c r="V147" t="b">
        <v>0</v>
      </c>
      <c r="W147" t="inlineStr"/>
    </row>
    <row r="148">
      <c r="A148" t="inlineStr">
        <is>
          <t>Intro</t>
        </is>
      </c>
      <c r="B148" t="inlineStr">
        <is>
          <t>G21</t>
        </is>
      </c>
      <c r="C148" t="n">
        <v>21</v>
      </c>
      <c r="D148" t="n">
        <v>7</v>
      </c>
      <c r="E148" t="inlineStr">
        <is>
          <t>Input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0</v>
      </c>
      <c r="V148" t="b">
        <v>0</v>
      </c>
      <c r="W148" t="inlineStr"/>
    </row>
    <row r="149">
      <c r="A149" t="inlineStr">
        <is>
          <t>Intro</t>
        </is>
      </c>
      <c r="B149" t="inlineStr">
        <is>
          <t>A22</t>
        </is>
      </c>
      <c r="C149" t="n">
        <v>22</v>
      </c>
      <c r="D149" t="n">
        <v>1</v>
      </c>
      <c r="E149" t="inlineStr">
        <is>
          <t>Input</t>
        </is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0</v>
      </c>
      <c r="V149" t="b">
        <v>0</v>
      </c>
      <c r="W149" t="inlineStr"/>
    </row>
    <row r="150">
      <c r="A150" t="inlineStr">
        <is>
          <t>Intro</t>
        </is>
      </c>
      <c r="B150" t="inlineStr">
        <is>
          <t>B22</t>
        </is>
      </c>
      <c r="C150" t="n">
        <v>22</v>
      </c>
      <c r="D150" t="n">
        <v>2</v>
      </c>
      <c r="E150" t="inlineStr">
        <is>
          <t>Input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0</v>
      </c>
      <c r="V150" t="b">
        <v>0</v>
      </c>
      <c r="W150" t="inlineStr"/>
    </row>
    <row r="151">
      <c r="A151" t="inlineStr">
        <is>
          <t>Intro</t>
        </is>
      </c>
      <c r="B151" t="inlineStr">
        <is>
          <t>C22</t>
        </is>
      </c>
      <c r="C151" t="n">
        <v>22</v>
      </c>
      <c r="D151" t="n">
        <v>3</v>
      </c>
      <c r="E151" t="inlineStr">
        <is>
          <t>Input</t>
        </is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0</v>
      </c>
      <c r="V151" t="b">
        <v>0</v>
      </c>
      <c r="W151" t="inlineStr"/>
    </row>
    <row r="152">
      <c r="A152" t="inlineStr">
        <is>
          <t>Intro</t>
        </is>
      </c>
      <c r="B152" t="inlineStr">
        <is>
          <t>D22</t>
        </is>
      </c>
      <c r="C152" t="n">
        <v>22</v>
      </c>
      <c r="D152" t="n">
        <v>4</v>
      </c>
      <c r="E152" t="inlineStr">
        <is>
          <t>Input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0</v>
      </c>
      <c r="V152" t="b">
        <v>0</v>
      </c>
      <c r="W152" t="inlineStr"/>
    </row>
    <row r="153">
      <c r="A153" t="inlineStr">
        <is>
          <t>Intro</t>
        </is>
      </c>
      <c r="B153" t="inlineStr">
        <is>
          <t>E22</t>
        </is>
      </c>
      <c r="C153" t="n">
        <v>22</v>
      </c>
      <c r="D153" t="n">
        <v>5</v>
      </c>
      <c r="E153" t="inlineStr">
        <is>
          <t>Input</t>
        </is>
      </c>
      <c r="G153" t="inlineStr">
        <is>
          <t>Tel. No. : 022-65285393/94</t>
        </is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9</v>
      </c>
      <c r="M153" t="inlineStr">
        <is>
          <t>FF444444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V153" t="b">
        <v>0</v>
      </c>
      <c r="W153" t="inlineStr"/>
    </row>
    <row r="154">
      <c r="A154" t="inlineStr">
        <is>
          <t>Intro</t>
        </is>
      </c>
      <c r="B154" t="inlineStr">
        <is>
          <t>F22</t>
        </is>
      </c>
      <c r="C154" t="n">
        <v>22</v>
      </c>
      <c r="D154" t="n">
        <v>6</v>
      </c>
      <c r="E154" t="inlineStr">
        <is>
          <t>Input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0</v>
      </c>
      <c r="V154" t="b">
        <v>0</v>
      </c>
      <c r="W154" t="inlineStr"/>
    </row>
    <row r="155">
      <c r="A155" t="inlineStr">
        <is>
          <t>Intro</t>
        </is>
      </c>
      <c r="B155" t="inlineStr">
        <is>
          <t>G22</t>
        </is>
      </c>
      <c r="C155" t="n">
        <v>22</v>
      </c>
      <c r="D155" t="n">
        <v>7</v>
      </c>
      <c r="E155" t="inlineStr">
        <is>
          <t>Input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0</v>
      </c>
      <c r="V155" t="b">
        <v>0</v>
      </c>
      <c r="W155" t="inlineStr"/>
    </row>
    <row r="156">
      <c r="A156" t="inlineStr">
        <is>
          <t>Intro</t>
        </is>
      </c>
      <c r="B156" t="inlineStr">
        <is>
          <t>A23</t>
        </is>
      </c>
      <c r="C156" t="n">
        <v>23</v>
      </c>
      <c r="D156" t="n">
        <v>1</v>
      </c>
      <c r="E156" t="inlineStr">
        <is>
          <t>Input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0</v>
      </c>
      <c r="V156" t="b">
        <v>0</v>
      </c>
      <c r="W156" t="inlineStr"/>
    </row>
    <row r="157">
      <c r="A157" t="inlineStr">
        <is>
          <t>Intro</t>
        </is>
      </c>
      <c r="B157" t="inlineStr">
        <is>
          <t>B23</t>
        </is>
      </c>
      <c r="C157" t="n">
        <v>23</v>
      </c>
      <c r="D157" t="n">
        <v>2</v>
      </c>
      <c r="E157" t="inlineStr">
        <is>
          <t>Input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0</v>
      </c>
      <c r="V157" t="b">
        <v>0</v>
      </c>
      <c r="W157" t="inlineStr"/>
    </row>
    <row r="158">
      <c r="A158" t="inlineStr">
        <is>
          <t>Intro</t>
        </is>
      </c>
      <c r="B158" t="inlineStr">
        <is>
          <t>C23</t>
        </is>
      </c>
      <c r="C158" t="n">
        <v>23</v>
      </c>
      <c r="D158" t="n">
        <v>3</v>
      </c>
      <c r="E158" t="inlineStr">
        <is>
          <t>Input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0</v>
      </c>
      <c r="V158" t="b">
        <v>0</v>
      </c>
      <c r="W158" t="inlineStr"/>
    </row>
    <row r="159">
      <c r="A159" t="inlineStr">
        <is>
          <t>Intro</t>
        </is>
      </c>
      <c r="B159" t="inlineStr">
        <is>
          <t>D23</t>
        </is>
      </c>
      <c r="C159" t="n">
        <v>23</v>
      </c>
      <c r="D159" t="n">
        <v>4</v>
      </c>
      <c r="E159" t="inlineStr">
        <is>
          <t>Input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0</v>
      </c>
      <c r="V159" t="b">
        <v>0</v>
      </c>
      <c r="W159" t="inlineStr"/>
    </row>
    <row r="160">
      <c r="A160" t="inlineStr">
        <is>
          <t>Intro</t>
        </is>
      </c>
      <c r="B160" t="inlineStr">
        <is>
          <t>E23</t>
        </is>
      </c>
      <c r="C160" t="n">
        <v>23</v>
      </c>
      <c r="D160" t="n">
        <v>5</v>
      </c>
      <c r="E160" t="inlineStr">
        <is>
          <t>Input</t>
        </is>
      </c>
      <c r="G160" t="inlineStr">
        <is>
          <t>+91 9372895050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9</v>
      </c>
      <c r="M160" t="inlineStr">
        <is>
          <t>FF444444</t>
        </is>
      </c>
      <c r="N160" t="inlineStr">
        <is>
          <t>00000000</t>
        </is>
      </c>
      <c r="O160" t="inlineStr">
        <is>
          <t>center</t>
        </is>
      </c>
      <c r="R160" t="b">
        <v>1</v>
      </c>
      <c r="V160" t="b">
        <v>0</v>
      </c>
      <c r="W160" t="inlineStr"/>
    </row>
    <row r="161">
      <c r="A161" t="inlineStr">
        <is>
          <t>Intro</t>
        </is>
      </c>
      <c r="B161" t="inlineStr">
        <is>
          <t>F23</t>
        </is>
      </c>
      <c r="C161" t="n">
        <v>23</v>
      </c>
      <c r="D161" t="n">
        <v>6</v>
      </c>
      <c r="E161" t="inlineStr">
        <is>
          <t>Input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0</v>
      </c>
      <c r="V161" t="b">
        <v>0</v>
      </c>
      <c r="W161" t="inlineStr"/>
    </row>
    <row r="162">
      <c r="A162" t="inlineStr">
        <is>
          <t>Intro</t>
        </is>
      </c>
      <c r="B162" t="inlineStr">
        <is>
          <t>G23</t>
        </is>
      </c>
      <c r="C162" t="n">
        <v>23</v>
      </c>
      <c r="D162" t="n">
        <v>7</v>
      </c>
      <c r="E162" t="inlineStr">
        <is>
          <t>Input</t>
        </is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0</v>
      </c>
      <c r="V162" t="b">
        <v>0</v>
      </c>
      <c r="W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Assumptions Sheet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left</t>
        </is>
      </c>
      <c r="P2" t="n">
        <v/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Assumptions Sheet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2010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n">
        <v/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Assumptions Sheet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2011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n">
        <v/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Assumptions Sheet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n">
        <v>2012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n">
        <v/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Assumptions Sheet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n">
        <v>2013</v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n">
        <v/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Assumptions Sheet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n">
        <v>2014</v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Assumptions Sheet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n">
        <v>2015</v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n">
        <v/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Assumptions Sheet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n">
        <v>2016</v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Assumptions Sheet</t>
        </is>
      </c>
      <c r="B10" t="inlineStr">
        <is>
          <t>J1</t>
        </is>
      </c>
      <c r="C10" t="n">
        <v>1</v>
      </c>
      <c r="D10" t="n">
        <v>10</v>
      </c>
      <c r="E10" t="inlineStr">
        <is>
          <t>Input</t>
        </is>
      </c>
      <c r="F10" t="n">
        <v/>
      </c>
      <c r="G10" t="n">
        <v>2017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Assumptions Sheet</t>
        </is>
      </c>
      <c r="B11" t="inlineStr">
        <is>
          <t>K1</t>
        </is>
      </c>
      <c r="C11" t="n">
        <v>1</v>
      </c>
      <c r="D11" t="n">
        <v>11</v>
      </c>
      <c r="E11" t="inlineStr">
        <is>
          <t>Input</t>
        </is>
      </c>
      <c r="F11" t="n">
        <v/>
      </c>
      <c r="G11" t="inlineStr">
        <is>
          <t>2018E</t>
        </is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FFFF0000</t>
        </is>
      </c>
      <c r="N11" t="inlineStr">
        <is>
          <t>Values must be of type &lt;class 'str'&gt;</t>
        </is>
      </c>
      <c r="O11" t="inlineStr">
        <is>
          <t>center</t>
        </is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Assumptions Sheet</t>
        </is>
      </c>
      <c r="B12" t="inlineStr">
        <is>
          <t>L1</t>
        </is>
      </c>
      <c r="C12" t="n">
        <v>1</v>
      </c>
      <c r="D12" t="n">
        <v>12</v>
      </c>
      <c r="E12" t="inlineStr">
        <is>
          <t>Input</t>
        </is>
      </c>
      <c r="F12" t="n">
        <v/>
      </c>
      <c r="G12" t="inlineStr">
        <is>
          <t>2019E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FFFF0000</t>
        </is>
      </c>
      <c r="N12" t="inlineStr">
        <is>
          <t>Values must be of type &lt;class 'str'&gt;</t>
        </is>
      </c>
      <c r="O12" t="inlineStr">
        <is>
          <t>center</t>
        </is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Assumptions Sheet</t>
        </is>
      </c>
      <c r="B13" t="inlineStr">
        <is>
          <t>M1</t>
        </is>
      </c>
      <c r="C13" t="n">
        <v>1</v>
      </c>
      <c r="D13" t="n">
        <v>13</v>
      </c>
      <c r="E13" t="inlineStr">
        <is>
          <t>Input</t>
        </is>
      </c>
      <c r="F13" t="n">
        <v/>
      </c>
      <c r="G13" t="inlineStr">
        <is>
          <t>2020E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FFFF0000</t>
        </is>
      </c>
      <c r="N13" t="inlineStr">
        <is>
          <t>Values must be of type &lt;class 'str'&gt;</t>
        </is>
      </c>
      <c r="O13" t="inlineStr">
        <is>
          <t>center</t>
        </is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Assumptions Sheet</t>
        </is>
      </c>
      <c r="B14" t="inlineStr">
        <is>
          <t>N1</t>
        </is>
      </c>
      <c r="C14" t="n">
        <v>1</v>
      </c>
      <c r="D14" t="n">
        <v>14</v>
      </c>
      <c r="E14" t="inlineStr">
        <is>
          <t>Input</t>
        </is>
      </c>
      <c r="F14" t="n">
        <v/>
      </c>
      <c r="G14" t="inlineStr">
        <is>
          <t>2021E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FFFF0000</t>
        </is>
      </c>
      <c r="N14" t="inlineStr">
        <is>
          <t>Values must be of type &lt;class 'str'&gt;</t>
        </is>
      </c>
      <c r="O14" t="inlineStr">
        <is>
          <t>center</t>
        </is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Assumptions Sheet</t>
        </is>
      </c>
      <c r="B15" t="inlineStr">
        <is>
          <t>O1</t>
        </is>
      </c>
      <c r="C15" t="n">
        <v>1</v>
      </c>
      <c r="D15" t="n">
        <v>15</v>
      </c>
      <c r="E15" t="inlineStr">
        <is>
          <t>Input</t>
        </is>
      </c>
      <c r="F15" t="n">
        <v/>
      </c>
      <c r="G15" t="inlineStr">
        <is>
          <t>2022E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FFFF0000</t>
        </is>
      </c>
      <c r="N15" t="inlineStr">
        <is>
          <t>Values must be of type &lt;class 'str'&gt;</t>
        </is>
      </c>
      <c r="O15" t="inlineStr">
        <is>
          <t>center</t>
        </is>
      </c>
      <c r="P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Assumptions Sheet</t>
        </is>
      </c>
      <c r="B16" t="inlineStr">
        <is>
          <t>P1</t>
        </is>
      </c>
      <c r="C16" t="n">
        <v>1</v>
      </c>
      <c r="D16" t="n">
        <v>16</v>
      </c>
      <c r="E16" t="inlineStr">
        <is>
          <t>Input</t>
        </is>
      </c>
      <c r="F16" t="n">
        <v/>
      </c>
      <c r="G16" t="inlineStr">
        <is>
          <t>2023E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FFFF0000</t>
        </is>
      </c>
      <c r="N16" t="inlineStr">
        <is>
          <t>Values must be of type &lt;class 'str'&gt;</t>
        </is>
      </c>
      <c r="O16" t="inlineStr">
        <is>
          <t>center</t>
        </is>
      </c>
      <c r="P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Assumptions Sheet</t>
        </is>
      </c>
      <c r="B17" t="inlineStr">
        <is>
          <t>B2</t>
        </is>
      </c>
      <c r="C17" t="n">
        <v>2</v>
      </c>
      <c r="D17" t="n">
        <v>2</v>
      </c>
      <c r="E17" t="inlineStr">
        <is>
          <t>Input</t>
        </is>
      </c>
      <c r="F17" t="n">
        <v/>
      </c>
      <c r="G17" t="inlineStr">
        <is>
          <t>ASK (in million)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left</t>
        </is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Assumptions Sheet</t>
        </is>
      </c>
      <c r="B18" t="inlineStr">
        <is>
          <t>C2</t>
        </is>
      </c>
      <c r="C18" t="n">
        <v>2</v>
      </c>
      <c r="D18" t="n">
        <v>3</v>
      </c>
      <c r="E18" t="inlineStr">
        <is>
          <t>Input</t>
        </is>
      </c>
      <c r="F18" t="n">
        <v/>
      </c>
      <c r="G18" t="n">
        <v>9286</v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inlineStr">
        <is>
          <t>center</t>
        </is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Assumptions Sheet</t>
        </is>
      </c>
      <c r="B19" t="inlineStr">
        <is>
          <t>D2</t>
        </is>
      </c>
      <c r="C19" t="n">
        <v>2</v>
      </c>
      <c r="D19" t="n">
        <v>4</v>
      </c>
      <c r="E19" t="inlineStr">
        <is>
          <t>Input</t>
        </is>
      </c>
      <c r="F19" t="n">
        <v/>
      </c>
      <c r="G19" t="n">
        <v>12491</v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center</t>
        </is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Assumptions Sheet</t>
        </is>
      </c>
      <c r="B20" t="inlineStr">
        <is>
          <t>E2</t>
        </is>
      </c>
      <c r="C20" t="n">
        <v>2</v>
      </c>
      <c r="D20" t="n">
        <v>5</v>
      </c>
      <c r="E20" t="inlineStr">
        <is>
          <t>Input</t>
        </is>
      </c>
      <c r="F20" t="n">
        <v/>
      </c>
      <c r="G20" t="n">
        <v>18006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center</t>
        </is>
      </c>
      <c r="P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Assumptions Sheet</t>
        </is>
      </c>
      <c r="B21" t="inlineStr">
        <is>
          <t>F2</t>
        </is>
      </c>
      <c r="C21" t="n">
        <v>2</v>
      </c>
      <c r="D21" t="n">
        <v>6</v>
      </c>
      <c r="E21" t="inlineStr">
        <is>
          <t>Input</t>
        </is>
      </c>
      <c r="F21" t="n">
        <v/>
      </c>
      <c r="G21" t="n">
        <v>24977</v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center</t>
        </is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Assumptions Sheet</t>
        </is>
      </c>
      <c r="B22" t="inlineStr">
        <is>
          <t>G2</t>
        </is>
      </c>
      <c r="C22" t="n">
        <v>2</v>
      </c>
      <c r="D22" t="n">
        <v>7</v>
      </c>
      <c r="E22" t="inlineStr">
        <is>
          <t>Input</t>
        </is>
      </c>
      <c r="F22" t="n">
        <v/>
      </c>
      <c r="G22" t="n">
        <v>29967</v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center</t>
        </is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Assumptions Sheet</t>
        </is>
      </c>
      <c r="B23" t="inlineStr">
        <is>
          <t>H2</t>
        </is>
      </c>
      <c r="C23" t="n">
        <v>2</v>
      </c>
      <c r="D23" t="n">
        <v>8</v>
      </c>
      <c r="E23" t="inlineStr">
        <is>
          <t>Input</t>
        </is>
      </c>
      <c r="F23" t="n">
        <v/>
      </c>
      <c r="G23" t="n">
        <v>35327</v>
      </c>
      <c r="H23" t="inlineStr"/>
      <c r="I23" t="inlineStr">
        <is>
          <t>#,##0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center</t>
        </is>
      </c>
      <c r="P23" t="n">
        <v/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Assumptions Sheet</t>
        </is>
      </c>
      <c r="B24" t="inlineStr">
        <is>
          <t>I2</t>
        </is>
      </c>
      <c r="C24" t="n">
        <v>2</v>
      </c>
      <c r="D24" t="n">
        <v>9</v>
      </c>
      <c r="E24" t="inlineStr">
        <is>
          <t>Input</t>
        </is>
      </c>
      <c r="F24" t="n">
        <v/>
      </c>
      <c r="G24" t="n">
        <v>42826</v>
      </c>
      <c r="H24" t="inlineStr"/>
      <c r="I24" t="inlineStr">
        <is>
          <t>#,##0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inlineStr">
        <is>
          <t>center</t>
        </is>
      </c>
      <c r="P24" t="n">
        <v/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Assumptions Sheet</t>
        </is>
      </c>
      <c r="B25" t="inlineStr">
        <is>
          <t>J2</t>
        </is>
      </c>
      <c r="C25" t="n">
        <v>2</v>
      </c>
      <c r="D25" t="n">
        <v>10</v>
      </c>
      <c r="E25" t="inlineStr">
        <is>
          <t>Input</t>
        </is>
      </c>
      <c r="F25" t="n">
        <v/>
      </c>
      <c r="G25" t="n">
        <v>54583</v>
      </c>
      <c r="H25" t="inlineStr"/>
      <c r="I25" t="inlineStr">
        <is>
          <t>#,##0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inlineStr">
        <is>
          <t>center</t>
        </is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Assumptions Sheet</t>
        </is>
      </c>
      <c r="B26" t="inlineStr">
        <is>
          <t>K2</t>
        </is>
      </c>
      <c r="C26" t="n">
        <v>2</v>
      </c>
      <c r="D26" t="n">
        <v>11</v>
      </c>
      <c r="E26" t="inlineStr">
        <is>
          <t>Calculation</t>
        </is>
      </c>
      <c r="F26" t="inlineStr">
        <is>
          <t>'=J2*(1+K3)</t>
        </is>
      </c>
      <c r="G26" t="n">
        <v>65499.6</v>
      </c>
      <c r="H26" t="inlineStr"/>
      <c r="I26" t="inlineStr">
        <is>
          <t>0</t>
        </is>
      </c>
      <c r="J26" t="b">
        <v>0</v>
      </c>
      <c r="K26" t="b">
        <v>0</v>
      </c>
      <c r="L26" t="n">
        <v>11</v>
      </c>
      <c r="M26" t="inlineStr">
        <is>
          <t>FFFF0000</t>
        </is>
      </c>
      <c r="N26" t="inlineStr">
        <is>
          <t>Values must be of type &lt;class 'str'&gt;</t>
        </is>
      </c>
      <c r="O26" t="inlineStr">
        <is>
          <t>center</t>
        </is>
      </c>
      <c r="P26" t="n">
        <v/>
      </c>
      <c r="R26" t="b">
        <v>1</v>
      </c>
      <c r="S26" t="inlineStr">
        <is>
          <t>G000001</t>
        </is>
      </c>
      <c r="T26" t="inlineStr">
        <is>
          <t>Horizontal</t>
        </is>
      </c>
      <c r="U26" t="n">
        <v>6</v>
      </c>
      <c r="V26" t="b">
        <v>1</v>
      </c>
      <c r="W26" t="inlineStr">
        <is>
          <t>Assumptions Sheet!K2:P2</t>
        </is>
      </c>
      <c r="X26">
        <f>R[0]C[-1]*(1+R[1]C[0])</f>
        <v/>
      </c>
    </row>
    <row r="27">
      <c r="A27" t="inlineStr">
        <is>
          <t>Assumptions Sheet</t>
        </is>
      </c>
      <c r="B27" t="inlineStr">
        <is>
          <t>L2</t>
        </is>
      </c>
      <c r="C27" t="n">
        <v>2</v>
      </c>
      <c r="D27" t="n">
        <v>12</v>
      </c>
      <c r="E27" t="inlineStr">
        <is>
          <t>Calculation</t>
        </is>
      </c>
      <c r="F27" t="inlineStr">
        <is>
          <t>'=K2*(1+L3)</t>
        </is>
      </c>
      <c r="G27" t="n">
        <v>78599.51999999999</v>
      </c>
      <c r="H27" t="inlineStr"/>
      <c r="I27" t="inlineStr">
        <is>
          <t>0</t>
        </is>
      </c>
      <c r="J27" t="b">
        <v>0</v>
      </c>
      <c r="K27" t="b">
        <v>0</v>
      </c>
      <c r="L27" t="n">
        <v>11</v>
      </c>
      <c r="M27" t="inlineStr">
        <is>
          <t>FFFF0000</t>
        </is>
      </c>
      <c r="N27" t="inlineStr">
        <is>
          <t>Values must be of type &lt;class 'str'&gt;</t>
        </is>
      </c>
      <c r="O27" t="inlineStr">
        <is>
          <t>center</t>
        </is>
      </c>
      <c r="P27" t="n">
        <v/>
      </c>
      <c r="R27" t="b">
        <v>1</v>
      </c>
      <c r="S27" t="inlineStr">
        <is>
          <t>G000001</t>
        </is>
      </c>
      <c r="T27" t="inlineStr">
        <is>
          <t>Horizontal</t>
        </is>
      </c>
      <c r="U27" t="n">
        <v>6</v>
      </c>
      <c r="V27" t="b">
        <v>1</v>
      </c>
      <c r="W27" t="inlineStr">
        <is>
          <t>Assumptions Sheet!K2:P2</t>
        </is>
      </c>
      <c r="X27">
        <f>R[0]C[-1]*(1+R[1]C[0])</f>
        <v/>
      </c>
    </row>
    <row r="28">
      <c r="A28" t="inlineStr">
        <is>
          <t>Assumptions Sheet</t>
        </is>
      </c>
      <c r="B28" t="inlineStr">
        <is>
          <t>M2</t>
        </is>
      </c>
      <c r="C28" t="n">
        <v>2</v>
      </c>
      <c r="D28" t="n">
        <v>13</v>
      </c>
      <c r="E28" t="inlineStr">
        <is>
          <t>Calculation</t>
        </is>
      </c>
      <c r="F28" t="inlineStr">
        <is>
          <t>'=L2*(1+M3)</t>
        </is>
      </c>
      <c r="G28" t="n">
        <v>94319.42399999998</v>
      </c>
      <c r="H28" t="inlineStr"/>
      <c r="I28" t="inlineStr">
        <is>
          <t>0</t>
        </is>
      </c>
      <c r="J28" t="b">
        <v>0</v>
      </c>
      <c r="K28" t="b">
        <v>0</v>
      </c>
      <c r="L28" t="n">
        <v>11</v>
      </c>
      <c r="M28" t="inlineStr">
        <is>
          <t>FFFF0000</t>
        </is>
      </c>
      <c r="N28" t="inlineStr">
        <is>
          <t>Values must be of type &lt;class 'str'&gt;</t>
        </is>
      </c>
      <c r="O28" t="inlineStr">
        <is>
          <t>center</t>
        </is>
      </c>
      <c r="P28" t="n">
        <v/>
      </c>
      <c r="R28" t="b">
        <v>1</v>
      </c>
      <c r="S28" t="inlineStr">
        <is>
          <t>G000001</t>
        </is>
      </c>
      <c r="T28" t="inlineStr">
        <is>
          <t>Horizontal</t>
        </is>
      </c>
      <c r="U28" t="n">
        <v>6</v>
      </c>
      <c r="V28" t="b">
        <v>1</v>
      </c>
      <c r="W28" t="inlineStr">
        <is>
          <t>Assumptions Sheet!K2:P2</t>
        </is>
      </c>
      <c r="X28">
        <f>R[0]C[-1]*(1+R[1]C[0])</f>
        <v/>
      </c>
    </row>
    <row r="29">
      <c r="A29" t="inlineStr">
        <is>
          <t>Assumptions Sheet</t>
        </is>
      </c>
      <c r="B29" t="inlineStr">
        <is>
          <t>N2</t>
        </is>
      </c>
      <c r="C29" t="n">
        <v>2</v>
      </c>
      <c r="D29" t="n">
        <v>14</v>
      </c>
      <c r="E29" t="inlineStr">
        <is>
          <t>Calculation</t>
        </is>
      </c>
      <c r="F29" t="inlineStr">
        <is>
          <t>'=M2*(1+N3)</t>
        </is>
      </c>
      <c r="G29" t="n">
        <v>113183.3088</v>
      </c>
      <c r="H29" t="inlineStr"/>
      <c r="I29" t="inlineStr">
        <is>
          <t>0</t>
        </is>
      </c>
      <c r="J29" t="b">
        <v>0</v>
      </c>
      <c r="K29" t="b">
        <v>0</v>
      </c>
      <c r="L29" t="n">
        <v>11</v>
      </c>
      <c r="M29" t="inlineStr">
        <is>
          <t>FFFF0000</t>
        </is>
      </c>
      <c r="N29" t="inlineStr">
        <is>
          <t>Values must be of type &lt;class 'str'&gt;</t>
        </is>
      </c>
      <c r="O29" t="inlineStr">
        <is>
          <t>center</t>
        </is>
      </c>
      <c r="P29" t="n">
        <v/>
      </c>
      <c r="R29" t="b">
        <v>1</v>
      </c>
      <c r="S29" t="inlineStr">
        <is>
          <t>G000001</t>
        </is>
      </c>
      <c r="T29" t="inlineStr">
        <is>
          <t>Horizontal</t>
        </is>
      </c>
      <c r="U29" t="n">
        <v>6</v>
      </c>
      <c r="V29" t="b">
        <v>1</v>
      </c>
      <c r="W29" t="inlineStr">
        <is>
          <t>Assumptions Sheet!K2:P2</t>
        </is>
      </c>
      <c r="X29">
        <f>R[0]C[-1]*(1+R[1]C[0])</f>
        <v/>
      </c>
    </row>
    <row r="30">
      <c r="A30" t="inlineStr">
        <is>
          <t>Assumptions Sheet</t>
        </is>
      </c>
      <c r="B30" t="inlineStr">
        <is>
          <t>O2</t>
        </is>
      </c>
      <c r="C30" t="n">
        <v>2</v>
      </c>
      <c r="D30" t="n">
        <v>15</v>
      </c>
      <c r="E30" t="inlineStr">
        <is>
          <t>Calculation</t>
        </is>
      </c>
      <c r="F30" t="inlineStr">
        <is>
          <t>'=N2*(1+O3)</t>
        </is>
      </c>
      <c r="G30" t="n">
        <v>135819.97056</v>
      </c>
      <c r="H30" t="inlineStr"/>
      <c r="I30" t="inlineStr">
        <is>
          <t>0</t>
        </is>
      </c>
      <c r="J30" t="b">
        <v>0</v>
      </c>
      <c r="K30" t="b">
        <v>0</v>
      </c>
      <c r="L30" t="n">
        <v>11</v>
      </c>
      <c r="M30" t="inlineStr">
        <is>
          <t>FFFF0000</t>
        </is>
      </c>
      <c r="N30" t="inlineStr">
        <is>
          <t>Values must be of type &lt;class 'str'&gt;</t>
        </is>
      </c>
      <c r="O30" t="inlineStr">
        <is>
          <t>center</t>
        </is>
      </c>
      <c r="P30" t="n">
        <v/>
      </c>
      <c r="R30" t="b">
        <v>1</v>
      </c>
      <c r="S30" t="inlineStr">
        <is>
          <t>G000001</t>
        </is>
      </c>
      <c r="T30" t="inlineStr">
        <is>
          <t>Horizontal</t>
        </is>
      </c>
      <c r="U30" t="n">
        <v>6</v>
      </c>
      <c r="V30" t="b">
        <v>1</v>
      </c>
      <c r="W30" t="inlineStr">
        <is>
          <t>Assumptions Sheet!K2:P2</t>
        </is>
      </c>
      <c r="X30">
        <f>R[0]C[-1]*(1+R[1]C[0])</f>
        <v/>
      </c>
    </row>
    <row r="31">
      <c r="A31" t="inlineStr">
        <is>
          <t>Assumptions Sheet</t>
        </is>
      </c>
      <c r="B31" t="inlineStr">
        <is>
          <t>P2</t>
        </is>
      </c>
      <c r="C31" t="n">
        <v>2</v>
      </c>
      <c r="D31" t="n">
        <v>16</v>
      </c>
      <c r="E31" t="inlineStr">
        <is>
          <t>Calculation</t>
        </is>
      </c>
      <c r="F31" t="inlineStr">
        <is>
          <t>'=O2*(1+P3)</t>
        </is>
      </c>
      <c r="G31" t="n">
        <v>162983.964672</v>
      </c>
      <c r="H31" t="inlineStr"/>
      <c r="I31" t="inlineStr">
        <is>
          <t>0</t>
        </is>
      </c>
      <c r="J31" t="b">
        <v>0</v>
      </c>
      <c r="K31" t="b">
        <v>0</v>
      </c>
      <c r="L31" t="n">
        <v>11</v>
      </c>
      <c r="M31" t="inlineStr">
        <is>
          <t>FFFF0000</t>
        </is>
      </c>
      <c r="N31" t="inlineStr">
        <is>
          <t>Values must be of type &lt;class 'str'&gt;</t>
        </is>
      </c>
      <c r="O31" t="inlineStr">
        <is>
          <t>center</t>
        </is>
      </c>
      <c r="P31" t="n">
        <v/>
      </c>
      <c r="R31" t="b">
        <v>1</v>
      </c>
      <c r="S31" t="inlineStr">
        <is>
          <t>G000001</t>
        </is>
      </c>
      <c r="T31" t="inlineStr">
        <is>
          <t>Horizontal</t>
        </is>
      </c>
      <c r="U31" t="n">
        <v>6</v>
      </c>
      <c r="V31" t="b">
        <v>1</v>
      </c>
      <c r="W31" t="inlineStr">
        <is>
          <t>Assumptions Sheet!K2:P2</t>
        </is>
      </c>
      <c r="X31">
        <f>R[0]C[-1]*(1+R[1]C[0])</f>
        <v/>
      </c>
    </row>
    <row r="32">
      <c r="A32" t="inlineStr">
        <is>
          <t>Assumptions Sheet</t>
        </is>
      </c>
      <c r="B32" t="inlineStr">
        <is>
          <t>Q2</t>
        </is>
      </c>
      <c r="C32" t="n">
        <v>2</v>
      </c>
      <c r="D32" t="n">
        <v>17</v>
      </c>
      <c r="E32" t="inlineStr">
        <is>
          <t>Input</t>
        </is>
      </c>
      <c r="F32" t="n">
        <v/>
      </c>
      <c r="H32" t="inlineStr"/>
      <c r="I32" t="inlineStr">
        <is>
          <t>0.00%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n">
        <v/>
      </c>
      <c r="P32" t="n">
        <v/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Assumptions Sheet</t>
        </is>
      </c>
      <c r="B33" t="inlineStr">
        <is>
          <t>S2</t>
        </is>
      </c>
      <c r="C33" t="n">
        <v>2</v>
      </c>
      <c r="D33" t="n">
        <v>19</v>
      </c>
      <c r="E33" t="inlineStr">
        <is>
          <t>Input</t>
        </is>
      </c>
      <c r="F33" t="n">
        <v/>
      </c>
      <c r="G33" t="inlineStr">
        <is>
          <t>Year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center</t>
        </is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Assumptions Sheet</t>
        </is>
      </c>
      <c r="B34" t="inlineStr">
        <is>
          <t>T2</t>
        </is>
      </c>
      <c r="C34" t="n">
        <v>2</v>
      </c>
      <c r="D34" t="n">
        <v>20</v>
      </c>
      <c r="E34" t="inlineStr">
        <is>
          <t>Input</t>
        </is>
      </c>
      <c r="F34" t="n">
        <v/>
      </c>
      <c r="G34" t="inlineStr">
        <is>
          <t>2018E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inlineStr">
        <is>
          <t>center</t>
        </is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Assumptions Sheet</t>
        </is>
      </c>
      <c r="B35" t="inlineStr">
        <is>
          <t>U2</t>
        </is>
      </c>
      <c r="C35" t="n">
        <v>2</v>
      </c>
      <c r="D35" t="n">
        <v>21</v>
      </c>
      <c r="E35" t="inlineStr">
        <is>
          <t>Input</t>
        </is>
      </c>
      <c r="F35" t="n">
        <v/>
      </c>
      <c r="G35" t="inlineStr">
        <is>
          <t>2019E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inlineStr">
        <is>
          <t>center</t>
        </is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Assumptions Sheet</t>
        </is>
      </c>
      <c r="B36" t="inlineStr">
        <is>
          <t>V2</t>
        </is>
      </c>
      <c r="C36" t="n">
        <v>2</v>
      </c>
      <c r="D36" t="n">
        <v>22</v>
      </c>
      <c r="E36" t="inlineStr">
        <is>
          <t>Input</t>
        </is>
      </c>
      <c r="F36" t="n">
        <v/>
      </c>
      <c r="G36" t="inlineStr">
        <is>
          <t>2020E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center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Assumptions Sheet</t>
        </is>
      </c>
      <c r="B37" t="inlineStr">
        <is>
          <t>W2</t>
        </is>
      </c>
      <c r="C37" t="n">
        <v>2</v>
      </c>
      <c r="D37" t="n">
        <v>23</v>
      </c>
      <c r="E37" t="inlineStr">
        <is>
          <t>Input</t>
        </is>
      </c>
      <c r="F37" t="n">
        <v/>
      </c>
      <c r="G37" t="inlineStr">
        <is>
          <t>2021E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center</t>
        </is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Assumptions Sheet</t>
        </is>
      </c>
      <c r="B38" t="inlineStr">
        <is>
          <t>X2</t>
        </is>
      </c>
      <c r="C38" t="n">
        <v>2</v>
      </c>
      <c r="D38" t="n">
        <v>24</v>
      </c>
      <c r="E38" t="inlineStr">
        <is>
          <t>Input</t>
        </is>
      </c>
      <c r="F38" t="n">
        <v/>
      </c>
      <c r="G38" t="inlineStr">
        <is>
          <t>2022E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center</t>
        </is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Assumptions Sheet</t>
        </is>
      </c>
      <c r="B39" t="inlineStr">
        <is>
          <t>B3</t>
        </is>
      </c>
      <c r="C39" t="n">
        <v>3</v>
      </c>
      <c r="D39" t="n">
        <v>2</v>
      </c>
      <c r="E39" t="inlineStr">
        <is>
          <t>Input</t>
        </is>
      </c>
      <c r="F39" t="n">
        <v/>
      </c>
      <c r="G39" t="inlineStr">
        <is>
          <t>Growth in ASK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inlineStr">
        <is>
          <t>left</t>
        </is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Assumptions Sheet</t>
        </is>
      </c>
      <c r="B40" t="inlineStr">
        <is>
          <t>C3</t>
        </is>
      </c>
      <c r="C40" t="n">
        <v>3</v>
      </c>
      <c r="D40" t="n">
        <v>3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inlineStr">
        <is>
          <t>center</t>
        </is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Assumptions Sheet</t>
        </is>
      </c>
      <c r="B41" t="inlineStr">
        <is>
          <t>D3</t>
        </is>
      </c>
      <c r="C41" t="n">
        <v>3</v>
      </c>
      <c r="D41" t="n">
        <v>4</v>
      </c>
      <c r="E41" t="inlineStr">
        <is>
          <t>Output</t>
        </is>
      </c>
      <c r="F41" t="inlineStr">
        <is>
          <t>'=(D2/C2)-1</t>
        </is>
      </c>
      <c r="G41" t="n">
        <v>0.3451432263622658</v>
      </c>
      <c r="H41" t="inlineStr"/>
      <c r="I41" t="inlineStr">
        <is>
          <t>0%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center</t>
        </is>
      </c>
      <c r="P41" t="n">
        <v/>
      </c>
      <c r="R41" t="b">
        <v>1</v>
      </c>
      <c r="S41" t="inlineStr">
        <is>
          <t>G000003</t>
        </is>
      </c>
      <c r="T41" t="inlineStr">
        <is>
          <t>Horizontal</t>
        </is>
      </c>
      <c r="U41" t="n">
        <v>7</v>
      </c>
      <c r="V41" t="b">
        <v>1</v>
      </c>
      <c r="W41" t="inlineStr">
        <is>
          <t>Assumptions Sheet!D3:J3</t>
        </is>
      </c>
      <c r="X41">
        <f>(R[-1]C[0]/R[-1]C[-1])-1</f>
        <v/>
      </c>
    </row>
    <row r="42">
      <c r="A42" t="inlineStr">
        <is>
          <t>Assumptions Sheet</t>
        </is>
      </c>
      <c r="B42" t="inlineStr">
        <is>
          <t>E3</t>
        </is>
      </c>
      <c r="C42" t="n">
        <v>3</v>
      </c>
      <c r="D42" t="n">
        <v>5</v>
      </c>
      <c r="E42" t="inlineStr">
        <is>
          <t>Output</t>
        </is>
      </c>
      <c r="F42" t="inlineStr">
        <is>
          <t>'=(E2/D2)-1</t>
        </is>
      </c>
      <c r="G42" t="n">
        <v>0.4415178928828756</v>
      </c>
      <c r="H42" t="inlineStr"/>
      <c r="I42" t="inlineStr">
        <is>
          <t>0%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inlineStr">
        <is>
          <t>center</t>
        </is>
      </c>
      <c r="P42" t="n">
        <v/>
      </c>
      <c r="R42" t="b">
        <v>1</v>
      </c>
      <c r="S42" t="inlineStr">
        <is>
          <t>G000003</t>
        </is>
      </c>
      <c r="T42" t="inlineStr">
        <is>
          <t>Horizontal</t>
        </is>
      </c>
      <c r="U42" t="n">
        <v>7</v>
      </c>
      <c r="V42" t="b">
        <v>1</v>
      </c>
      <c r="W42" t="inlineStr">
        <is>
          <t>Assumptions Sheet!D3:J3</t>
        </is>
      </c>
      <c r="X42">
        <f>(R[-1]C[0]/R[-1]C[-1])-1</f>
        <v/>
      </c>
    </row>
    <row r="43">
      <c r="A43" t="inlineStr">
        <is>
          <t>Assumptions Sheet</t>
        </is>
      </c>
      <c r="B43" t="inlineStr">
        <is>
          <t>F3</t>
        </is>
      </c>
      <c r="C43" t="n">
        <v>3</v>
      </c>
      <c r="D43" t="n">
        <v>6</v>
      </c>
      <c r="E43" t="inlineStr">
        <is>
          <t>Output</t>
        </is>
      </c>
      <c r="F43" t="inlineStr">
        <is>
          <t>'=(F2/E2)-1</t>
        </is>
      </c>
      <c r="G43" t="n">
        <v>0.3871487282017105</v>
      </c>
      <c r="H43" t="inlineStr"/>
      <c r="I43" t="inlineStr">
        <is>
          <t>0%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inlineStr">
        <is>
          <t>center</t>
        </is>
      </c>
      <c r="P43" t="n">
        <v/>
      </c>
      <c r="R43" t="b">
        <v>1</v>
      </c>
      <c r="S43" t="inlineStr">
        <is>
          <t>G000003</t>
        </is>
      </c>
      <c r="T43" t="inlineStr">
        <is>
          <t>Horizontal</t>
        </is>
      </c>
      <c r="U43" t="n">
        <v>7</v>
      </c>
      <c r="V43" t="b">
        <v>1</v>
      </c>
      <c r="W43" t="inlineStr">
        <is>
          <t>Assumptions Sheet!D3:J3</t>
        </is>
      </c>
      <c r="X43">
        <f>(R[-1]C[0]/R[-1]C[-1])-1</f>
        <v/>
      </c>
    </row>
    <row r="44">
      <c r="A44" t="inlineStr">
        <is>
          <t>Assumptions Sheet</t>
        </is>
      </c>
      <c r="B44" t="inlineStr">
        <is>
          <t>G3</t>
        </is>
      </c>
      <c r="C44" t="n">
        <v>3</v>
      </c>
      <c r="D44" t="n">
        <v>7</v>
      </c>
      <c r="E44" t="inlineStr">
        <is>
          <t>Output</t>
        </is>
      </c>
      <c r="F44" t="inlineStr">
        <is>
          <t>'=(G2/F2)-1</t>
        </is>
      </c>
      <c r="G44" t="n">
        <v>0.1997838010970092</v>
      </c>
      <c r="H44" t="inlineStr"/>
      <c r="I44" t="inlineStr">
        <is>
          <t>0%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center</t>
        </is>
      </c>
      <c r="P44" t="n">
        <v/>
      </c>
      <c r="R44" t="b">
        <v>1</v>
      </c>
      <c r="S44" t="inlineStr">
        <is>
          <t>G000003</t>
        </is>
      </c>
      <c r="T44" t="inlineStr">
        <is>
          <t>Horizontal</t>
        </is>
      </c>
      <c r="U44" t="n">
        <v>7</v>
      </c>
      <c r="V44" t="b">
        <v>1</v>
      </c>
      <c r="W44" t="inlineStr">
        <is>
          <t>Assumptions Sheet!D3:J3</t>
        </is>
      </c>
      <c r="X44">
        <f>(R[-1]C[0]/R[-1]C[-1])-1</f>
        <v/>
      </c>
    </row>
    <row r="45">
      <c r="A45" t="inlineStr">
        <is>
          <t>Assumptions Sheet</t>
        </is>
      </c>
      <c r="B45" t="inlineStr">
        <is>
          <t>H3</t>
        </is>
      </c>
      <c r="C45" t="n">
        <v>3</v>
      </c>
      <c r="D45" t="n">
        <v>8</v>
      </c>
      <c r="E45" t="inlineStr">
        <is>
          <t>Output</t>
        </is>
      </c>
      <c r="F45" t="inlineStr">
        <is>
          <t>'=(H2/G2)-1</t>
        </is>
      </c>
      <c r="G45" t="n">
        <v>0.1788634164247338</v>
      </c>
      <c r="H45" t="inlineStr"/>
      <c r="I45" t="inlineStr">
        <is>
          <t>0%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inlineStr">
        <is>
          <t>center</t>
        </is>
      </c>
      <c r="P45" t="n">
        <v/>
      </c>
      <c r="R45" t="b">
        <v>1</v>
      </c>
      <c r="S45" t="inlineStr">
        <is>
          <t>G000003</t>
        </is>
      </c>
      <c r="T45" t="inlineStr">
        <is>
          <t>Horizontal</t>
        </is>
      </c>
      <c r="U45" t="n">
        <v>7</v>
      </c>
      <c r="V45" t="b">
        <v>1</v>
      </c>
      <c r="W45" t="inlineStr">
        <is>
          <t>Assumptions Sheet!D3:J3</t>
        </is>
      </c>
      <c r="X45">
        <f>(R[-1]C[0]/R[-1]C[-1])-1</f>
        <v/>
      </c>
    </row>
    <row r="46">
      <c r="A46" t="inlineStr">
        <is>
          <t>Assumptions Sheet</t>
        </is>
      </c>
      <c r="B46" t="inlineStr">
        <is>
          <t>I3</t>
        </is>
      </c>
      <c r="C46" t="n">
        <v>3</v>
      </c>
      <c r="D46" t="n">
        <v>9</v>
      </c>
      <c r="E46" t="inlineStr">
        <is>
          <t>Output</t>
        </is>
      </c>
      <c r="F46" t="inlineStr">
        <is>
          <t>'=(I2/H2)-1</t>
        </is>
      </c>
      <c r="G46" t="n">
        <v>0.2122738981515555</v>
      </c>
      <c r="H46" t="inlineStr"/>
      <c r="I46" t="inlineStr">
        <is>
          <t>0%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center</t>
        </is>
      </c>
      <c r="P46" t="n">
        <v/>
      </c>
      <c r="R46" t="b">
        <v>1</v>
      </c>
      <c r="S46" t="inlineStr">
        <is>
          <t>G000003</t>
        </is>
      </c>
      <c r="T46" t="inlineStr">
        <is>
          <t>Horizontal</t>
        </is>
      </c>
      <c r="U46" t="n">
        <v>7</v>
      </c>
      <c r="V46" t="b">
        <v>1</v>
      </c>
      <c r="W46" t="inlineStr">
        <is>
          <t>Assumptions Sheet!D3:J3</t>
        </is>
      </c>
      <c r="X46">
        <f>(R[-1]C[0]/R[-1]C[-1])-1</f>
        <v/>
      </c>
    </row>
    <row r="47">
      <c r="A47" t="inlineStr">
        <is>
          <t>Assumptions Sheet</t>
        </is>
      </c>
      <c r="B47" t="inlineStr">
        <is>
          <t>J3</t>
        </is>
      </c>
      <c r="C47" t="n">
        <v>3</v>
      </c>
      <c r="D47" t="n">
        <v>10</v>
      </c>
      <c r="E47" t="inlineStr">
        <is>
          <t>Output</t>
        </is>
      </c>
      <c r="F47" t="inlineStr">
        <is>
          <t>'=(J2/I2)-1</t>
        </is>
      </c>
      <c r="G47" t="n">
        <v>0.2745294914304395</v>
      </c>
      <c r="H47" t="inlineStr"/>
      <c r="I47" t="inlineStr">
        <is>
          <t>0%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center</t>
        </is>
      </c>
      <c r="P47" t="n">
        <v/>
      </c>
      <c r="R47" t="b">
        <v>1</v>
      </c>
      <c r="S47" t="inlineStr">
        <is>
          <t>G000003</t>
        </is>
      </c>
      <c r="T47" t="inlineStr">
        <is>
          <t>Horizontal</t>
        </is>
      </c>
      <c r="U47" t="n">
        <v>7</v>
      </c>
      <c r="V47" t="b">
        <v>1</v>
      </c>
      <c r="W47" t="inlineStr">
        <is>
          <t>Assumptions Sheet!D3:J3</t>
        </is>
      </c>
      <c r="X47">
        <f>(R[-1]C[0]/R[-1]C[-1])-1</f>
        <v/>
      </c>
    </row>
    <row r="48">
      <c r="A48" t="inlineStr">
        <is>
          <t>Assumptions Sheet</t>
        </is>
      </c>
      <c r="B48" t="inlineStr">
        <is>
          <t>K3</t>
        </is>
      </c>
      <c r="C48" t="n">
        <v>3</v>
      </c>
      <c r="D48" t="n">
        <v>11</v>
      </c>
      <c r="E48" t="inlineStr">
        <is>
          <t>Input</t>
        </is>
      </c>
      <c r="F48" t="n">
        <v/>
      </c>
      <c r="G48" t="n">
        <v>0.2</v>
      </c>
      <c r="H48" t="inlineStr"/>
      <c r="I48" t="inlineStr">
        <is>
          <t>0%</t>
        </is>
      </c>
      <c r="J48" t="b">
        <v>0</v>
      </c>
      <c r="K48" t="b">
        <v>0</v>
      </c>
      <c r="L48" t="n">
        <v>11</v>
      </c>
      <c r="M48" t="inlineStr">
        <is>
          <t>FFFF0000</t>
        </is>
      </c>
      <c r="N48" t="inlineStr">
        <is>
          <t>Values must be of type &lt;class 'str'&gt;</t>
        </is>
      </c>
      <c r="O48" t="inlineStr">
        <is>
          <t>center</t>
        </is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Assumptions Sheet</t>
        </is>
      </c>
      <c r="B49" t="inlineStr">
        <is>
          <t>L3</t>
        </is>
      </c>
      <c r="C49" t="n">
        <v>3</v>
      </c>
      <c r="D49" t="n">
        <v>12</v>
      </c>
      <c r="E49" t="inlineStr">
        <is>
          <t>Input</t>
        </is>
      </c>
      <c r="F49" t="n">
        <v/>
      </c>
      <c r="G49" t="n">
        <v>0.2</v>
      </c>
      <c r="H49" t="inlineStr"/>
      <c r="I49" t="inlineStr">
        <is>
          <t>0%</t>
        </is>
      </c>
      <c r="J49" t="b">
        <v>0</v>
      </c>
      <c r="K49" t="b">
        <v>0</v>
      </c>
      <c r="L49" t="n">
        <v>11</v>
      </c>
      <c r="M49" t="inlineStr">
        <is>
          <t>FFFF0000</t>
        </is>
      </c>
      <c r="N49" t="inlineStr">
        <is>
          <t>Values must be of type &lt;class 'str'&gt;</t>
        </is>
      </c>
      <c r="O49" t="inlineStr">
        <is>
          <t>center</t>
        </is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Assumptions Sheet</t>
        </is>
      </c>
      <c r="B50" t="inlineStr">
        <is>
          <t>M3</t>
        </is>
      </c>
      <c r="C50" t="n">
        <v>3</v>
      </c>
      <c r="D50" t="n">
        <v>13</v>
      </c>
      <c r="E50" t="inlineStr">
        <is>
          <t>Input</t>
        </is>
      </c>
      <c r="F50" t="n">
        <v/>
      </c>
      <c r="G50" t="n">
        <v>0.2</v>
      </c>
      <c r="H50" t="inlineStr"/>
      <c r="I50" t="inlineStr">
        <is>
          <t>0%</t>
        </is>
      </c>
      <c r="J50" t="b">
        <v>0</v>
      </c>
      <c r="K50" t="b">
        <v>0</v>
      </c>
      <c r="L50" t="n">
        <v>11</v>
      </c>
      <c r="M50" t="inlineStr">
        <is>
          <t>FFFF0000</t>
        </is>
      </c>
      <c r="N50" t="inlineStr">
        <is>
          <t>Values must be of type &lt;class 'str'&gt;</t>
        </is>
      </c>
      <c r="O50" t="inlineStr">
        <is>
          <t>center</t>
        </is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Assumptions Sheet</t>
        </is>
      </c>
      <c r="B51" t="inlineStr">
        <is>
          <t>N3</t>
        </is>
      </c>
      <c r="C51" t="n">
        <v>3</v>
      </c>
      <c r="D51" t="n">
        <v>14</v>
      </c>
      <c r="E51" t="inlineStr">
        <is>
          <t>Input</t>
        </is>
      </c>
      <c r="F51" t="n">
        <v/>
      </c>
      <c r="G51" t="n">
        <v>0.2</v>
      </c>
      <c r="H51" t="inlineStr"/>
      <c r="I51" t="inlineStr">
        <is>
          <t>0%</t>
        </is>
      </c>
      <c r="J51" t="b">
        <v>0</v>
      </c>
      <c r="K51" t="b">
        <v>0</v>
      </c>
      <c r="L51" t="n">
        <v>11</v>
      </c>
      <c r="M51" t="inlineStr">
        <is>
          <t>FFFF0000</t>
        </is>
      </c>
      <c r="N51" t="inlineStr">
        <is>
          <t>Values must be of type &lt;class 'str'&gt;</t>
        </is>
      </c>
      <c r="O51" t="inlineStr">
        <is>
          <t>center</t>
        </is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Assumptions Sheet</t>
        </is>
      </c>
      <c r="B52" t="inlineStr">
        <is>
          <t>O3</t>
        </is>
      </c>
      <c r="C52" t="n">
        <v>3</v>
      </c>
      <c r="D52" t="n">
        <v>15</v>
      </c>
      <c r="E52" t="inlineStr">
        <is>
          <t>Input</t>
        </is>
      </c>
      <c r="F52" t="n">
        <v/>
      </c>
      <c r="G52" t="n">
        <v>0.2</v>
      </c>
      <c r="H52" t="inlineStr"/>
      <c r="I52" t="inlineStr">
        <is>
          <t>0%</t>
        </is>
      </c>
      <c r="J52" t="b">
        <v>0</v>
      </c>
      <c r="K52" t="b">
        <v>0</v>
      </c>
      <c r="L52" t="n">
        <v>11</v>
      </c>
      <c r="M52" t="inlineStr">
        <is>
          <t>FFFF0000</t>
        </is>
      </c>
      <c r="N52" t="inlineStr">
        <is>
          <t>Values must be of type &lt;class 'str'&gt;</t>
        </is>
      </c>
      <c r="O52" t="inlineStr">
        <is>
          <t>center</t>
        </is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Assumptions Sheet</t>
        </is>
      </c>
      <c r="B53" t="inlineStr">
        <is>
          <t>P3</t>
        </is>
      </c>
      <c r="C53" t="n">
        <v>3</v>
      </c>
      <c r="D53" t="n">
        <v>16</v>
      </c>
      <c r="E53" t="inlineStr">
        <is>
          <t>Input</t>
        </is>
      </c>
      <c r="F53" t="n">
        <v/>
      </c>
      <c r="G53" t="n">
        <v>0.2</v>
      </c>
      <c r="H53" t="inlineStr"/>
      <c r="I53" t="inlineStr">
        <is>
          <t>0%</t>
        </is>
      </c>
      <c r="J53" t="b">
        <v>0</v>
      </c>
      <c r="K53" t="b">
        <v>0</v>
      </c>
      <c r="L53" t="n">
        <v>11</v>
      </c>
      <c r="M53" t="inlineStr">
        <is>
          <t>FFFF0000</t>
        </is>
      </c>
      <c r="N53" t="inlineStr">
        <is>
          <t>Values must be of type &lt;class 'str'&gt;</t>
        </is>
      </c>
      <c r="O53" t="inlineStr">
        <is>
          <t>center</t>
        </is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Assumptions Sheet</t>
        </is>
      </c>
      <c r="B54" t="inlineStr">
        <is>
          <t>Q3</t>
        </is>
      </c>
      <c r="C54" t="n">
        <v>3</v>
      </c>
      <c r="D54" t="n">
        <v>17</v>
      </c>
      <c r="E54" t="inlineStr">
        <is>
          <t>Input</t>
        </is>
      </c>
      <c r="F54" t="n">
        <v/>
      </c>
      <c r="H54" t="inlineStr"/>
      <c r="I54" t="inlineStr">
        <is>
          <t>0.00%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n">
        <v/>
      </c>
      <c r="P54" t="n">
        <v/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Assumptions Sheet</t>
        </is>
      </c>
      <c r="B55" t="inlineStr">
        <is>
          <t>S3</t>
        </is>
      </c>
      <c r="C55" t="n">
        <v>3</v>
      </c>
      <c r="D55" t="n">
        <v>19</v>
      </c>
      <c r="E55" t="inlineStr">
        <is>
          <t>Input</t>
        </is>
      </c>
      <c r="F55" t="n">
        <v/>
      </c>
      <c r="G55" t="inlineStr">
        <is>
          <t>RPK (in million)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left</t>
        </is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Assumptions Sheet</t>
        </is>
      </c>
      <c r="B56" t="inlineStr">
        <is>
          <t>T3</t>
        </is>
      </c>
      <c r="C56" t="n">
        <v>3</v>
      </c>
      <c r="D56" t="n">
        <v>20</v>
      </c>
      <c r="E56" t="inlineStr">
        <is>
          <t>Input</t>
        </is>
      </c>
      <c r="F56" t="n">
        <v/>
      </c>
      <c r="G56" t="n">
        <v>55019.664</v>
      </c>
      <c r="H56" t="inlineStr"/>
      <c r="I56" t="inlineStr">
        <is>
          <t>0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Assumptions Sheet</t>
        </is>
      </c>
      <c r="B57" t="inlineStr">
        <is>
          <t>U3</t>
        </is>
      </c>
      <c r="C57" t="n">
        <v>3</v>
      </c>
      <c r="D57" t="n">
        <v>21</v>
      </c>
      <c r="E57" t="inlineStr">
        <is>
          <t>Input</t>
        </is>
      </c>
      <c r="F57" t="n">
        <v/>
      </c>
      <c r="G57" t="n">
        <v>65237.60159999999</v>
      </c>
      <c r="H57" t="inlineStr"/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Assumptions Sheet</t>
        </is>
      </c>
      <c r="B58" t="inlineStr">
        <is>
          <t>V3</t>
        </is>
      </c>
      <c r="C58" t="n">
        <v>3</v>
      </c>
      <c r="D58" t="n">
        <v>22</v>
      </c>
      <c r="E58" t="inlineStr">
        <is>
          <t>Input</t>
        </is>
      </c>
      <c r="F58" t="n">
        <v/>
      </c>
      <c r="G58" t="n">
        <v>77341.92767999998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center</t>
        </is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Assumptions Sheet</t>
        </is>
      </c>
      <c r="B59" t="inlineStr">
        <is>
          <t>W3</t>
        </is>
      </c>
      <c r="C59" t="n">
        <v>3</v>
      </c>
      <c r="D59" t="n">
        <v>23</v>
      </c>
      <c r="E59" t="inlineStr">
        <is>
          <t>Input</t>
        </is>
      </c>
      <c r="F59" t="n">
        <v/>
      </c>
      <c r="G59" t="n">
        <v>91678.48012799998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inlineStr">
        <is>
          <t>center</t>
        </is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Assumptions Sheet</t>
        </is>
      </c>
      <c r="B60" t="inlineStr">
        <is>
          <t>X3</t>
        </is>
      </c>
      <c r="C60" t="n">
        <v>3</v>
      </c>
      <c r="D60" t="n">
        <v>24</v>
      </c>
      <c r="E60" t="inlineStr">
        <is>
          <t>Input</t>
        </is>
      </c>
      <c r="F60" t="n">
        <v/>
      </c>
      <c r="G60" t="n">
        <v>108655.976448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center</t>
        </is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Assumptions Sheet</t>
        </is>
      </c>
      <c r="B61" t="inlineStr">
        <is>
          <t>B4</t>
        </is>
      </c>
      <c r="C61" t="n">
        <v>4</v>
      </c>
      <c r="D61" t="n">
        <v>2</v>
      </c>
      <c r="E61" t="inlineStr">
        <is>
          <t>Input</t>
        </is>
      </c>
      <c r="F61" t="n">
        <v/>
      </c>
      <c r="G61" t="inlineStr">
        <is>
          <t>RPK (in million)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inlineStr">
        <is>
          <t>left</t>
        </is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Assumptions Sheet</t>
        </is>
      </c>
      <c r="B62" t="inlineStr">
        <is>
          <t>C4</t>
        </is>
      </c>
      <c r="C62" t="n">
        <v>4</v>
      </c>
      <c r="D62" t="n">
        <v>3</v>
      </c>
      <c r="E62" t="inlineStr">
        <is>
          <t>Input</t>
        </is>
      </c>
      <c r="F62" t="n">
        <v/>
      </c>
      <c r="G62" t="n">
        <v>7429</v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center</t>
        </is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Assumptions Sheet</t>
        </is>
      </c>
      <c r="B63" t="inlineStr">
        <is>
          <t>D4</t>
        </is>
      </c>
      <c r="C63" t="n">
        <v>4</v>
      </c>
      <c r="D63" t="n">
        <v>4</v>
      </c>
      <c r="E63" t="inlineStr">
        <is>
          <t>Input</t>
        </is>
      </c>
      <c r="F63" t="n">
        <v/>
      </c>
      <c r="G63" t="n">
        <v>10634</v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center</t>
        </is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Assumptions Sheet</t>
        </is>
      </c>
      <c r="B64" t="inlineStr">
        <is>
          <t>E4</t>
        </is>
      </c>
      <c r="C64" t="n">
        <v>4</v>
      </c>
      <c r="D64" t="n">
        <v>5</v>
      </c>
      <c r="E64" t="inlineStr">
        <is>
          <t>Input</t>
        </is>
      </c>
      <c r="F64" t="n">
        <v/>
      </c>
      <c r="G64" t="n">
        <v>14826</v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Assumptions Sheet</t>
        </is>
      </c>
      <c r="B65" t="inlineStr">
        <is>
          <t>F4</t>
        </is>
      </c>
      <c r="C65" t="n">
        <v>4</v>
      </c>
      <c r="D65" t="n">
        <v>6</v>
      </c>
      <c r="E65" t="inlineStr">
        <is>
          <t>Input</t>
        </is>
      </c>
      <c r="F65" t="n">
        <v/>
      </c>
      <c r="G65" t="n">
        <v>20260</v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Assumptions Sheet</t>
        </is>
      </c>
      <c r="B66" t="inlineStr">
        <is>
          <t>G4</t>
        </is>
      </c>
      <c r="C66" t="n">
        <v>4</v>
      </c>
      <c r="D66" t="n">
        <v>7</v>
      </c>
      <c r="E66" t="inlineStr">
        <is>
          <t>Input</t>
        </is>
      </c>
      <c r="F66" t="n">
        <v/>
      </c>
      <c r="G66" t="n">
        <v>23136</v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inlineStr">
        <is>
          <t>center</t>
        </is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Assumptions Sheet</t>
        </is>
      </c>
      <c r="B67" t="inlineStr">
        <is>
          <t>H4</t>
        </is>
      </c>
      <c r="C67" t="n">
        <v>4</v>
      </c>
      <c r="D67" t="n">
        <v>8</v>
      </c>
      <c r="E67" t="inlineStr">
        <is>
          <t>Input</t>
        </is>
      </c>
      <c r="F67" t="n">
        <v/>
      </c>
      <c r="G67" t="n">
        <v>28177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inlineStr">
        <is>
          <t>center</t>
        </is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Assumptions Sheet</t>
        </is>
      </c>
      <c r="B68" t="inlineStr">
        <is>
          <t>I4</t>
        </is>
      </c>
      <c r="C68" t="n">
        <v>4</v>
      </c>
      <c r="D68" t="n">
        <v>9</v>
      </c>
      <c r="E68" t="inlineStr">
        <is>
          <t>Input</t>
        </is>
      </c>
      <c r="F68" t="n">
        <v/>
      </c>
      <c r="G68" t="n">
        <v>35968</v>
      </c>
      <c r="H68" t="inlineStr"/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center</t>
        </is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Assumptions Sheet</t>
        </is>
      </c>
      <c r="B69" t="inlineStr">
        <is>
          <t>J4</t>
        </is>
      </c>
      <c r="C69" t="n">
        <v>4</v>
      </c>
      <c r="D69" t="n">
        <v>10</v>
      </c>
      <c r="E69" t="inlineStr">
        <is>
          <t>Input</t>
        </is>
      </c>
      <c r="F69" t="n">
        <v/>
      </c>
      <c r="G69" t="n">
        <v>46288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center</t>
        </is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Assumptions Sheet</t>
        </is>
      </c>
      <c r="B70" t="inlineStr">
        <is>
          <t>K4</t>
        </is>
      </c>
      <c r="C70" t="n">
        <v>4</v>
      </c>
      <c r="D70" t="n">
        <v>11</v>
      </c>
      <c r="E70" t="inlineStr">
        <is>
          <t>Calculation</t>
        </is>
      </c>
      <c r="F70" t="inlineStr">
        <is>
          <t>'=K2*K5</t>
        </is>
      </c>
      <c r="G70" t="n">
        <v>55674.66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FFFF0000</t>
        </is>
      </c>
      <c r="N70" t="inlineStr">
        <is>
          <t>Values must be of type &lt;class 'str'&gt;</t>
        </is>
      </c>
      <c r="O70" t="inlineStr">
        <is>
          <t>center</t>
        </is>
      </c>
      <c r="P70" t="n">
        <v/>
      </c>
      <c r="R70" t="b">
        <v>1</v>
      </c>
      <c r="S70" t="inlineStr">
        <is>
          <t>G000004</t>
        </is>
      </c>
      <c r="T70" t="inlineStr">
        <is>
          <t>Horizontal</t>
        </is>
      </c>
      <c r="U70" t="n">
        <v>6</v>
      </c>
      <c r="V70" t="b">
        <v>1</v>
      </c>
      <c r="W70" t="inlineStr">
        <is>
          <t>Assumptions Sheet!K4:P4</t>
        </is>
      </c>
      <c r="X70">
        <f>R[-2]C[0]*R[1]C[0]</f>
        <v/>
      </c>
    </row>
    <row r="71">
      <c r="A71" t="inlineStr">
        <is>
          <t>Assumptions Sheet</t>
        </is>
      </c>
      <c r="B71" t="inlineStr">
        <is>
          <t>L4</t>
        </is>
      </c>
      <c r="C71" t="n">
        <v>4</v>
      </c>
      <c r="D71" t="n">
        <v>12</v>
      </c>
      <c r="E71" t="inlineStr">
        <is>
          <t>Calculation</t>
        </is>
      </c>
      <c r="F71" t="inlineStr">
        <is>
          <t>'=L2*L5</t>
        </is>
      </c>
      <c r="G71" t="n">
        <v>66809.59199999999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FFFF0000</t>
        </is>
      </c>
      <c r="N71" t="inlineStr">
        <is>
          <t>Values must be of type &lt;class 'str'&gt;</t>
        </is>
      </c>
      <c r="O71" t="inlineStr">
        <is>
          <t>center</t>
        </is>
      </c>
      <c r="P71" t="n">
        <v/>
      </c>
      <c r="R71" t="b">
        <v>1</v>
      </c>
      <c r="S71" t="inlineStr">
        <is>
          <t>G000004</t>
        </is>
      </c>
      <c r="T71" t="inlineStr">
        <is>
          <t>Horizontal</t>
        </is>
      </c>
      <c r="U71" t="n">
        <v>6</v>
      </c>
      <c r="V71" t="b">
        <v>1</v>
      </c>
      <c r="W71" t="inlineStr">
        <is>
          <t>Assumptions Sheet!K4:P4</t>
        </is>
      </c>
      <c r="X71">
        <f>R[-2]C[0]*R[1]C[0]</f>
        <v/>
      </c>
    </row>
    <row r="72">
      <c r="A72" t="inlineStr">
        <is>
          <t>Assumptions Sheet</t>
        </is>
      </c>
      <c r="B72" t="inlineStr">
        <is>
          <t>M4</t>
        </is>
      </c>
      <c r="C72" t="n">
        <v>4</v>
      </c>
      <c r="D72" t="n">
        <v>13</v>
      </c>
      <c r="E72" t="inlineStr">
        <is>
          <t>Calculation</t>
        </is>
      </c>
      <c r="F72" t="inlineStr">
        <is>
          <t>'=M2*M5</t>
        </is>
      </c>
      <c r="G72" t="n">
        <v>80171.51039999998</v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inlineStr">
        <is>
          <t>FFFF0000</t>
        </is>
      </c>
      <c r="N72" t="inlineStr">
        <is>
          <t>Values must be of type &lt;class 'str'&gt;</t>
        </is>
      </c>
      <c r="O72" t="inlineStr">
        <is>
          <t>center</t>
        </is>
      </c>
      <c r="P72" t="n">
        <v/>
      </c>
      <c r="R72" t="b">
        <v>1</v>
      </c>
      <c r="S72" t="inlineStr">
        <is>
          <t>G000004</t>
        </is>
      </c>
      <c r="T72" t="inlineStr">
        <is>
          <t>Horizontal</t>
        </is>
      </c>
      <c r="U72" t="n">
        <v>6</v>
      </c>
      <c r="V72" t="b">
        <v>1</v>
      </c>
      <c r="W72" t="inlineStr">
        <is>
          <t>Assumptions Sheet!K4:P4</t>
        </is>
      </c>
      <c r="X72">
        <f>R[-2]C[0]*R[1]C[0]</f>
        <v/>
      </c>
    </row>
    <row r="73">
      <c r="A73" t="inlineStr">
        <is>
          <t>Assumptions Sheet</t>
        </is>
      </c>
      <c r="B73" t="inlineStr">
        <is>
          <t>N4</t>
        </is>
      </c>
      <c r="C73" t="n">
        <v>4</v>
      </c>
      <c r="D73" t="n">
        <v>14</v>
      </c>
      <c r="E73" t="inlineStr">
        <is>
          <t>Calculation</t>
        </is>
      </c>
      <c r="F73" t="inlineStr">
        <is>
          <t>'=N2*N5</t>
        </is>
      </c>
      <c r="G73" t="n">
        <v>96205.81247999998</v>
      </c>
      <c r="H73" t="inlineStr"/>
      <c r="I73" t="inlineStr">
        <is>
          <t>#,##0</t>
        </is>
      </c>
      <c r="J73" t="b">
        <v>0</v>
      </c>
      <c r="K73" t="b">
        <v>0</v>
      </c>
      <c r="L73" t="n">
        <v>11</v>
      </c>
      <c r="M73" t="inlineStr">
        <is>
          <t>FFFF0000</t>
        </is>
      </c>
      <c r="N73" t="inlineStr">
        <is>
          <t>Values must be of type &lt;class 'str'&gt;</t>
        </is>
      </c>
      <c r="O73" t="inlineStr">
        <is>
          <t>center</t>
        </is>
      </c>
      <c r="P73" t="n">
        <v/>
      </c>
      <c r="R73" t="b">
        <v>1</v>
      </c>
      <c r="S73" t="inlineStr">
        <is>
          <t>G000004</t>
        </is>
      </c>
      <c r="T73" t="inlineStr">
        <is>
          <t>Horizontal</t>
        </is>
      </c>
      <c r="U73" t="n">
        <v>6</v>
      </c>
      <c r="V73" t="b">
        <v>1</v>
      </c>
      <c r="W73" t="inlineStr">
        <is>
          <t>Assumptions Sheet!K4:P4</t>
        </is>
      </c>
      <c r="X73">
        <f>R[-2]C[0]*R[1]C[0]</f>
        <v/>
      </c>
    </row>
    <row r="74">
      <c r="A74" t="inlineStr">
        <is>
          <t>Assumptions Sheet</t>
        </is>
      </c>
      <c r="B74" t="inlineStr">
        <is>
          <t>O4</t>
        </is>
      </c>
      <c r="C74" t="n">
        <v>4</v>
      </c>
      <c r="D74" t="n">
        <v>15</v>
      </c>
      <c r="E74" t="inlineStr">
        <is>
          <t>Calculation</t>
        </is>
      </c>
      <c r="F74" t="inlineStr">
        <is>
          <t>'=O2*O5</t>
        </is>
      </c>
      <c r="G74" t="n">
        <v>115446.974976</v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FFFF0000</t>
        </is>
      </c>
      <c r="N74" t="inlineStr">
        <is>
          <t>Values must be of type &lt;class 'str'&gt;</t>
        </is>
      </c>
      <c r="O74" t="inlineStr">
        <is>
          <t>center</t>
        </is>
      </c>
      <c r="P74" t="n">
        <v/>
      </c>
      <c r="R74" t="b">
        <v>1</v>
      </c>
      <c r="S74" t="inlineStr">
        <is>
          <t>G000004</t>
        </is>
      </c>
      <c r="T74" t="inlineStr">
        <is>
          <t>Horizontal</t>
        </is>
      </c>
      <c r="U74" t="n">
        <v>6</v>
      </c>
      <c r="V74" t="b">
        <v>1</v>
      </c>
      <c r="W74" t="inlineStr">
        <is>
          <t>Assumptions Sheet!K4:P4</t>
        </is>
      </c>
      <c r="X74">
        <f>R[-2]C[0]*R[1]C[0]</f>
        <v/>
      </c>
    </row>
    <row r="75">
      <c r="A75" t="inlineStr">
        <is>
          <t>Assumptions Sheet</t>
        </is>
      </c>
      <c r="B75" t="inlineStr">
        <is>
          <t>P4</t>
        </is>
      </c>
      <c r="C75" t="n">
        <v>4</v>
      </c>
      <c r="D75" t="n">
        <v>16</v>
      </c>
      <c r="E75" t="inlineStr">
        <is>
          <t>Calculation</t>
        </is>
      </c>
      <c r="F75" t="inlineStr">
        <is>
          <t>'=P2*P5</t>
        </is>
      </c>
      <c r="G75" t="n">
        <v>138536.3699712</v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FFFF0000</t>
        </is>
      </c>
      <c r="N75" t="inlineStr">
        <is>
          <t>Values must be of type &lt;class 'str'&gt;</t>
        </is>
      </c>
      <c r="O75" t="inlineStr">
        <is>
          <t>center</t>
        </is>
      </c>
      <c r="P75" t="n">
        <v/>
      </c>
      <c r="R75" t="b">
        <v>1</v>
      </c>
      <c r="S75" t="inlineStr">
        <is>
          <t>G000004</t>
        </is>
      </c>
      <c r="T75" t="inlineStr">
        <is>
          <t>Horizontal</t>
        </is>
      </c>
      <c r="U75" t="n">
        <v>6</v>
      </c>
      <c r="V75" t="b">
        <v>1</v>
      </c>
      <c r="W75" t="inlineStr">
        <is>
          <t>Assumptions Sheet!K4:P4</t>
        </is>
      </c>
      <c r="X75">
        <f>R[-2]C[0]*R[1]C[0]</f>
        <v/>
      </c>
    </row>
    <row r="76">
      <c r="A76" t="inlineStr">
        <is>
          <t>Assumptions Sheet</t>
        </is>
      </c>
      <c r="B76" t="inlineStr">
        <is>
          <t>S4</t>
        </is>
      </c>
      <c r="C76" t="n">
        <v>4</v>
      </c>
      <c r="D76" t="n">
        <v>19</v>
      </c>
      <c r="E76" t="inlineStr">
        <is>
          <t>Input</t>
        </is>
      </c>
      <c r="F76" t="n">
        <v/>
      </c>
      <c r="G76" t="inlineStr">
        <is>
          <t>ASK (in million)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inlineStr">
        <is>
          <t>left</t>
        </is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Assumptions Sheet</t>
        </is>
      </c>
      <c r="B77" t="inlineStr">
        <is>
          <t>T4</t>
        </is>
      </c>
      <c r="C77" t="n">
        <v>4</v>
      </c>
      <c r="D77" t="n">
        <v>20</v>
      </c>
      <c r="E77" t="inlineStr">
        <is>
          <t>Input</t>
        </is>
      </c>
      <c r="F77" t="n">
        <v/>
      </c>
      <c r="G77" t="n">
        <v>65499.6</v>
      </c>
      <c r="H77" t="inlineStr"/>
      <c r="I77" t="inlineStr">
        <is>
          <t>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inlineStr">
        <is>
          <t>center</t>
        </is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Assumptions Sheet</t>
        </is>
      </c>
      <c r="B78" t="inlineStr">
        <is>
          <t>U4</t>
        </is>
      </c>
      <c r="C78" t="n">
        <v>4</v>
      </c>
      <c r="D78" t="n">
        <v>21</v>
      </c>
      <c r="E78" t="inlineStr">
        <is>
          <t>Input</t>
        </is>
      </c>
      <c r="F78" t="n">
        <v/>
      </c>
      <c r="G78" t="n">
        <v>78599.51999999999</v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inlineStr">
        <is>
          <t>center</t>
        </is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Assumptions Sheet</t>
        </is>
      </c>
      <c r="B79" t="inlineStr">
        <is>
          <t>V4</t>
        </is>
      </c>
      <c r="C79" t="n">
        <v>4</v>
      </c>
      <c r="D79" t="n">
        <v>22</v>
      </c>
      <c r="E79" t="inlineStr">
        <is>
          <t>Input</t>
        </is>
      </c>
      <c r="F79" t="n">
        <v/>
      </c>
      <c r="G79" t="n">
        <v>94319.42399999998</v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inlineStr">
        <is>
          <t>center</t>
        </is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Assumptions Sheet</t>
        </is>
      </c>
      <c r="B80" t="inlineStr">
        <is>
          <t>W4</t>
        </is>
      </c>
      <c r="C80" t="n">
        <v>4</v>
      </c>
      <c r="D80" t="n">
        <v>23</v>
      </c>
      <c r="E80" t="inlineStr">
        <is>
          <t>Input</t>
        </is>
      </c>
      <c r="F80" t="n">
        <v/>
      </c>
      <c r="G80" t="n">
        <v>113183.3088</v>
      </c>
      <c r="H80" t="inlineStr"/>
      <c r="I80" t="inlineStr">
        <is>
          <t>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inlineStr">
        <is>
          <t>center</t>
        </is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Assumptions Sheet</t>
        </is>
      </c>
      <c r="B81" t="inlineStr">
        <is>
          <t>X4</t>
        </is>
      </c>
      <c r="C81" t="n">
        <v>4</v>
      </c>
      <c r="D81" t="n">
        <v>24</v>
      </c>
      <c r="E81" t="inlineStr">
        <is>
          <t>Input</t>
        </is>
      </c>
      <c r="F81" t="n">
        <v/>
      </c>
      <c r="G81" t="n">
        <v>135819.97056</v>
      </c>
      <c r="H81" t="inlineStr"/>
      <c r="I81" t="inlineStr">
        <is>
          <t>0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inlineStr">
        <is>
          <t>center</t>
        </is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Assumptions Sheet</t>
        </is>
      </c>
      <c r="B82" t="inlineStr">
        <is>
          <t>B5</t>
        </is>
      </c>
      <c r="C82" t="n">
        <v>5</v>
      </c>
      <c r="D82" t="n">
        <v>2</v>
      </c>
      <c r="E82" t="inlineStr">
        <is>
          <t>Input</t>
        </is>
      </c>
      <c r="F82" t="n">
        <v/>
      </c>
      <c r="G82" t="inlineStr">
        <is>
          <t>Passenger Load Factor (%)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Values must be of type &lt;class 'str'&gt;</t>
        </is>
      </c>
      <c r="O82" t="inlineStr">
        <is>
          <t>left</t>
        </is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Assumptions Sheet</t>
        </is>
      </c>
      <c r="B83" t="inlineStr">
        <is>
          <t>C5</t>
        </is>
      </c>
      <c r="C83" t="n">
        <v>5</v>
      </c>
      <c r="D83" t="n">
        <v>3</v>
      </c>
      <c r="E83" t="inlineStr">
        <is>
          <t>Input</t>
        </is>
      </c>
      <c r="F83" t="n">
        <v/>
      </c>
      <c r="G83" t="n">
        <v>0.8</v>
      </c>
      <c r="H83" t="inlineStr"/>
      <c r="I83" t="inlineStr">
        <is>
          <t>0.00%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inlineStr">
        <is>
          <t>center</t>
        </is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Assumptions Sheet</t>
        </is>
      </c>
      <c r="B84" t="inlineStr">
        <is>
          <t>D5</t>
        </is>
      </c>
      <c r="C84" t="n">
        <v>5</v>
      </c>
      <c r="D84" t="n">
        <v>4</v>
      </c>
      <c r="E84" t="inlineStr">
        <is>
          <t>Input</t>
        </is>
      </c>
      <c r="F84" t="n">
        <v/>
      </c>
      <c r="G84" t="n">
        <v>0.851</v>
      </c>
      <c r="H84" t="inlineStr"/>
      <c r="I84" t="inlineStr">
        <is>
          <t>0.00%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inlineStr">
        <is>
          <t>center</t>
        </is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Assumptions Sheet</t>
        </is>
      </c>
      <c r="B85" t="inlineStr">
        <is>
          <t>E5</t>
        </is>
      </c>
      <c r="C85" t="n">
        <v>5</v>
      </c>
      <c r="D85" t="n">
        <v>5</v>
      </c>
      <c r="E85" t="inlineStr">
        <is>
          <t>Input</t>
        </is>
      </c>
      <c r="F85" t="n">
        <v/>
      </c>
      <c r="G85" t="n">
        <v>0.823</v>
      </c>
      <c r="H85" t="inlineStr"/>
      <c r="I85" t="inlineStr">
        <is>
          <t>0.00%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inlineStr">
        <is>
          <t>center</t>
        </is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Assumptions Sheet</t>
        </is>
      </c>
      <c r="B86" t="inlineStr">
        <is>
          <t>F5</t>
        </is>
      </c>
      <c r="C86" t="n">
        <v>5</v>
      </c>
      <c r="D86" t="n">
        <v>6</v>
      </c>
      <c r="E86" t="inlineStr">
        <is>
          <t>Input</t>
        </is>
      </c>
      <c r="F86" t="n">
        <v/>
      </c>
      <c r="G86" t="n">
        <v>0.8110000000000001</v>
      </c>
      <c r="H86" t="inlineStr"/>
      <c r="I86" t="inlineStr">
        <is>
          <t>0.00%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center</t>
        </is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Assumptions Sheet</t>
        </is>
      </c>
      <c r="B87" t="inlineStr">
        <is>
          <t>G5</t>
        </is>
      </c>
      <c r="C87" t="n">
        <v>5</v>
      </c>
      <c r="D87" t="n">
        <v>7</v>
      </c>
      <c r="E87" t="inlineStr">
        <is>
          <t>Input</t>
        </is>
      </c>
      <c r="F87" t="n">
        <v/>
      </c>
      <c r="G87" t="n">
        <v>0.772</v>
      </c>
      <c r="H87" t="inlineStr"/>
      <c r="I87" t="inlineStr">
        <is>
          <t>0.00%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center</t>
        </is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Assumptions Sheet</t>
        </is>
      </c>
      <c r="B88" t="inlineStr">
        <is>
          <t>H5</t>
        </is>
      </c>
      <c r="C88" t="n">
        <v>5</v>
      </c>
      <c r="D88" t="n">
        <v>8</v>
      </c>
      <c r="E88" t="inlineStr">
        <is>
          <t>Input</t>
        </is>
      </c>
      <c r="F88" t="n">
        <v/>
      </c>
      <c r="G88" t="n">
        <v>0.798</v>
      </c>
      <c r="H88" t="inlineStr"/>
      <c r="I88" t="inlineStr">
        <is>
          <t>0.00%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inlineStr">
        <is>
          <t>center</t>
        </is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Assumptions Sheet</t>
        </is>
      </c>
      <c r="B89" t="inlineStr">
        <is>
          <t>I5</t>
        </is>
      </c>
      <c r="C89" t="n">
        <v>5</v>
      </c>
      <c r="D89" t="n">
        <v>9</v>
      </c>
      <c r="E89" t="inlineStr">
        <is>
          <t>Input</t>
        </is>
      </c>
      <c r="F89" t="n">
        <v/>
      </c>
      <c r="G89" t="n">
        <v>0.84</v>
      </c>
      <c r="H89" t="inlineStr"/>
      <c r="I89" t="inlineStr">
        <is>
          <t>0.00%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inlineStr">
        <is>
          <t>center</t>
        </is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Assumptions Sheet</t>
        </is>
      </c>
      <c r="B90" t="inlineStr">
        <is>
          <t>J5</t>
        </is>
      </c>
      <c r="C90" t="n">
        <v>5</v>
      </c>
      <c r="D90" t="n">
        <v>10</v>
      </c>
      <c r="E90" t="inlineStr">
        <is>
          <t>Input</t>
        </is>
      </c>
      <c r="F90" t="n">
        <v/>
      </c>
      <c r="G90" t="n">
        <v>0.848</v>
      </c>
      <c r="H90" t="inlineStr"/>
      <c r="I90" t="inlineStr">
        <is>
          <t>0.00%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inlineStr">
        <is>
          <t>center</t>
        </is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Assumptions Sheet</t>
        </is>
      </c>
      <c r="B91" t="inlineStr">
        <is>
          <t>K5</t>
        </is>
      </c>
      <c r="C91" t="n">
        <v>5</v>
      </c>
      <c r="D91" t="n">
        <v>11</v>
      </c>
      <c r="E91" t="inlineStr">
        <is>
          <t>Input</t>
        </is>
      </c>
      <c r="F91" t="n">
        <v/>
      </c>
      <c r="G91" t="n">
        <v>0.85</v>
      </c>
      <c r="H91" t="inlineStr"/>
      <c r="I91" t="inlineStr">
        <is>
          <t>0.00%</t>
        </is>
      </c>
      <c r="J91" t="b">
        <v>0</v>
      </c>
      <c r="K91" t="b">
        <v>0</v>
      </c>
      <c r="L91" t="n">
        <v>11</v>
      </c>
      <c r="M91" t="inlineStr">
        <is>
          <t>FFFF0000</t>
        </is>
      </c>
      <c r="N91" t="inlineStr">
        <is>
          <t>Values must be of type &lt;class 'str'&gt;</t>
        </is>
      </c>
      <c r="O91" t="inlineStr">
        <is>
          <t>center</t>
        </is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Assumptions Sheet</t>
        </is>
      </c>
      <c r="B92" t="inlineStr">
        <is>
          <t>L5</t>
        </is>
      </c>
      <c r="C92" t="n">
        <v>5</v>
      </c>
      <c r="D92" t="n">
        <v>12</v>
      </c>
      <c r="E92" t="inlineStr">
        <is>
          <t>Calculation</t>
        </is>
      </c>
      <c r="F92" t="inlineStr">
        <is>
          <t>'=K5</t>
        </is>
      </c>
      <c r="G92" t="n">
        <v>0.85</v>
      </c>
      <c r="H92" t="inlineStr"/>
      <c r="I92" t="inlineStr">
        <is>
          <t>0.00%</t>
        </is>
      </c>
      <c r="J92" t="b">
        <v>0</v>
      </c>
      <c r="K92" t="b">
        <v>0</v>
      </c>
      <c r="L92" t="n">
        <v>11</v>
      </c>
      <c r="M92" t="inlineStr">
        <is>
          <t>FFFF0000</t>
        </is>
      </c>
      <c r="N92" t="inlineStr">
        <is>
          <t>Values must be of type &lt;class 'str'&gt;</t>
        </is>
      </c>
      <c r="O92" t="inlineStr">
        <is>
          <t>center</t>
        </is>
      </c>
      <c r="P92" t="n">
        <v/>
      </c>
      <c r="R92" t="b">
        <v>1</v>
      </c>
      <c r="S92" t="inlineStr">
        <is>
          <t>G000005</t>
        </is>
      </c>
      <c r="T92" t="inlineStr">
        <is>
          <t>Horizontal</t>
        </is>
      </c>
      <c r="U92" t="n">
        <v>5</v>
      </c>
      <c r="V92" t="b">
        <v>1</v>
      </c>
      <c r="W92" t="inlineStr">
        <is>
          <t>Assumptions Sheet!L5:P5</t>
        </is>
      </c>
      <c r="X92">
        <f>R[0]C[-1]</f>
        <v/>
      </c>
    </row>
    <row r="93">
      <c r="A93" t="inlineStr">
        <is>
          <t>Assumptions Sheet</t>
        </is>
      </c>
      <c r="B93" t="inlineStr">
        <is>
          <t>M5</t>
        </is>
      </c>
      <c r="C93" t="n">
        <v>5</v>
      </c>
      <c r="D93" t="n">
        <v>13</v>
      </c>
      <c r="E93" t="inlineStr">
        <is>
          <t>Calculation</t>
        </is>
      </c>
      <c r="F93" t="inlineStr">
        <is>
          <t>'=L5</t>
        </is>
      </c>
      <c r="G93" t="n">
        <v>0.85</v>
      </c>
      <c r="H93" t="inlineStr"/>
      <c r="I93" t="inlineStr">
        <is>
          <t>0.00%</t>
        </is>
      </c>
      <c r="J93" t="b">
        <v>0</v>
      </c>
      <c r="K93" t="b">
        <v>0</v>
      </c>
      <c r="L93" t="n">
        <v>11</v>
      </c>
      <c r="M93" t="inlineStr">
        <is>
          <t>FFFF0000</t>
        </is>
      </c>
      <c r="N93" t="inlineStr">
        <is>
          <t>Values must be of type &lt;class 'str'&gt;</t>
        </is>
      </c>
      <c r="O93" t="inlineStr">
        <is>
          <t>center</t>
        </is>
      </c>
      <c r="P93" t="n">
        <v/>
      </c>
      <c r="R93" t="b">
        <v>1</v>
      </c>
      <c r="S93" t="inlineStr">
        <is>
          <t>G000005</t>
        </is>
      </c>
      <c r="T93" t="inlineStr">
        <is>
          <t>Horizontal</t>
        </is>
      </c>
      <c r="U93" t="n">
        <v>5</v>
      </c>
      <c r="V93" t="b">
        <v>1</v>
      </c>
      <c r="W93" t="inlineStr">
        <is>
          <t>Assumptions Sheet!L5:P5</t>
        </is>
      </c>
      <c r="X93">
        <f>R[0]C[-1]</f>
        <v/>
      </c>
    </row>
    <row r="94">
      <c r="A94" t="inlineStr">
        <is>
          <t>Assumptions Sheet</t>
        </is>
      </c>
      <c r="B94" t="inlineStr">
        <is>
          <t>N5</t>
        </is>
      </c>
      <c r="C94" t="n">
        <v>5</v>
      </c>
      <c r="D94" t="n">
        <v>14</v>
      </c>
      <c r="E94" t="inlineStr">
        <is>
          <t>Calculation</t>
        </is>
      </c>
      <c r="F94" t="inlineStr">
        <is>
          <t>'=M5</t>
        </is>
      </c>
      <c r="G94" t="n">
        <v>0.85</v>
      </c>
      <c r="H94" t="inlineStr"/>
      <c r="I94" t="inlineStr">
        <is>
          <t>0.00%</t>
        </is>
      </c>
      <c r="J94" t="b">
        <v>0</v>
      </c>
      <c r="K94" t="b">
        <v>0</v>
      </c>
      <c r="L94" t="n">
        <v>11</v>
      </c>
      <c r="M94" t="inlineStr">
        <is>
          <t>FFFF0000</t>
        </is>
      </c>
      <c r="N94" t="inlineStr">
        <is>
          <t>Values must be of type &lt;class 'str'&gt;</t>
        </is>
      </c>
      <c r="O94" t="inlineStr">
        <is>
          <t>center</t>
        </is>
      </c>
      <c r="P94" t="n">
        <v/>
      </c>
      <c r="R94" t="b">
        <v>1</v>
      </c>
      <c r="S94" t="inlineStr">
        <is>
          <t>G000005</t>
        </is>
      </c>
      <c r="T94" t="inlineStr">
        <is>
          <t>Horizontal</t>
        </is>
      </c>
      <c r="U94" t="n">
        <v>5</v>
      </c>
      <c r="V94" t="b">
        <v>1</v>
      </c>
      <c r="W94" t="inlineStr">
        <is>
          <t>Assumptions Sheet!L5:P5</t>
        </is>
      </c>
      <c r="X94">
        <f>R[0]C[-1]</f>
        <v/>
      </c>
    </row>
    <row r="95">
      <c r="A95" t="inlineStr">
        <is>
          <t>Assumptions Sheet</t>
        </is>
      </c>
      <c r="B95" t="inlineStr">
        <is>
          <t>O5</t>
        </is>
      </c>
      <c r="C95" t="n">
        <v>5</v>
      </c>
      <c r="D95" t="n">
        <v>15</v>
      </c>
      <c r="E95" t="inlineStr">
        <is>
          <t>Calculation</t>
        </is>
      </c>
      <c r="F95" t="inlineStr">
        <is>
          <t>'=N5</t>
        </is>
      </c>
      <c r="G95" t="n">
        <v>0.85</v>
      </c>
      <c r="H95" t="inlineStr"/>
      <c r="I95" t="inlineStr">
        <is>
          <t>0.00%</t>
        </is>
      </c>
      <c r="J95" t="b">
        <v>0</v>
      </c>
      <c r="K95" t="b">
        <v>0</v>
      </c>
      <c r="L95" t="n">
        <v>11</v>
      </c>
      <c r="M95" t="inlineStr">
        <is>
          <t>FFFF0000</t>
        </is>
      </c>
      <c r="N95" t="inlineStr">
        <is>
          <t>Values must be of type &lt;class 'str'&gt;</t>
        </is>
      </c>
      <c r="O95" t="inlineStr">
        <is>
          <t>center</t>
        </is>
      </c>
      <c r="P95" t="n">
        <v/>
      </c>
      <c r="R95" t="b">
        <v>1</v>
      </c>
      <c r="S95" t="inlineStr">
        <is>
          <t>G000005</t>
        </is>
      </c>
      <c r="T95" t="inlineStr">
        <is>
          <t>Horizontal</t>
        </is>
      </c>
      <c r="U95" t="n">
        <v>5</v>
      </c>
      <c r="V95" t="b">
        <v>1</v>
      </c>
      <c r="W95" t="inlineStr">
        <is>
          <t>Assumptions Sheet!L5:P5</t>
        </is>
      </c>
      <c r="X95">
        <f>R[0]C[-1]</f>
        <v/>
      </c>
    </row>
    <row r="96">
      <c r="A96" t="inlineStr">
        <is>
          <t>Assumptions Sheet</t>
        </is>
      </c>
      <c r="B96" t="inlineStr">
        <is>
          <t>P5</t>
        </is>
      </c>
      <c r="C96" t="n">
        <v>5</v>
      </c>
      <c r="D96" t="n">
        <v>16</v>
      </c>
      <c r="E96" t="inlineStr">
        <is>
          <t>Calculation</t>
        </is>
      </c>
      <c r="F96" t="inlineStr">
        <is>
          <t>'=O5</t>
        </is>
      </c>
      <c r="G96" t="n">
        <v>0.85</v>
      </c>
      <c r="H96" t="inlineStr"/>
      <c r="I96" t="inlineStr">
        <is>
          <t>0.00%</t>
        </is>
      </c>
      <c r="J96" t="b">
        <v>0</v>
      </c>
      <c r="K96" t="b">
        <v>0</v>
      </c>
      <c r="L96" t="n">
        <v>11</v>
      </c>
      <c r="M96" t="inlineStr">
        <is>
          <t>FFFF0000</t>
        </is>
      </c>
      <c r="N96" t="inlineStr">
        <is>
          <t>Values must be of type &lt;class 'str'&gt;</t>
        </is>
      </c>
      <c r="O96" t="inlineStr">
        <is>
          <t>center</t>
        </is>
      </c>
      <c r="P96" t="n">
        <v/>
      </c>
      <c r="R96" t="b">
        <v>1</v>
      </c>
      <c r="S96" t="inlineStr">
        <is>
          <t>G000005</t>
        </is>
      </c>
      <c r="T96" t="inlineStr">
        <is>
          <t>Horizontal</t>
        </is>
      </c>
      <c r="U96" t="n">
        <v>5</v>
      </c>
      <c r="V96" t="b">
        <v>1</v>
      </c>
      <c r="W96" t="inlineStr">
        <is>
          <t>Assumptions Sheet!L5:P5</t>
        </is>
      </c>
      <c r="X96">
        <f>R[0]C[-1]</f>
        <v/>
      </c>
    </row>
    <row r="97">
      <c r="A97" t="inlineStr">
        <is>
          <t>Assumptions Sheet</t>
        </is>
      </c>
      <c r="B97" t="inlineStr">
        <is>
          <t>S5</t>
        </is>
      </c>
      <c r="C97" t="n">
        <v>5</v>
      </c>
      <c r="D97" t="n">
        <v>19</v>
      </c>
      <c r="E97" t="inlineStr">
        <is>
          <t>Input</t>
        </is>
      </c>
      <c r="F97" t="n">
        <v/>
      </c>
      <c r="G97" t="inlineStr">
        <is>
          <t>Passenger Load Factor (%)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left</t>
        </is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Assumptions Sheet</t>
        </is>
      </c>
      <c r="B98" t="inlineStr">
        <is>
          <t>T5</t>
        </is>
      </c>
      <c r="C98" t="n">
        <v>5</v>
      </c>
      <c r="D98" t="n">
        <v>20</v>
      </c>
      <c r="E98" t="inlineStr">
        <is>
          <t>Input</t>
        </is>
      </c>
      <c r="F98" t="n">
        <v/>
      </c>
      <c r="G98" t="n">
        <v>0.84</v>
      </c>
      <c r="H98" t="inlineStr"/>
      <c r="I98" t="inlineStr">
        <is>
          <t>0%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Values must be of type &lt;class 'str'&gt;</t>
        </is>
      </c>
      <c r="O98" t="inlineStr">
        <is>
          <t>center</t>
        </is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Assumptions Sheet</t>
        </is>
      </c>
      <c r="B99" t="inlineStr">
        <is>
          <t>U5</t>
        </is>
      </c>
      <c r="C99" t="n">
        <v>5</v>
      </c>
      <c r="D99" t="n">
        <v>21</v>
      </c>
      <c r="E99" t="inlineStr">
        <is>
          <t>Input</t>
        </is>
      </c>
      <c r="F99" t="n">
        <v/>
      </c>
      <c r="G99" t="n">
        <v>0.83</v>
      </c>
      <c r="H99" t="inlineStr"/>
      <c r="I99" t="inlineStr">
        <is>
          <t>0%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inlineStr">
        <is>
          <t>center</t>
        </is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Assumptions Sheet</t>
        </is>
      </c>
      <c r="B100" t="inlineStr">
        <is>
          <t>V5</t>
        </is>
      </c>
      <c r="C100" t="n">
        <v>5</v>
      </c>
      <c r="D100" t="n">
        <v>22</v>
      </c>
      <c r="E100" t="inlineStr">
        <is>
          <t>Input</t>
        </is>
      </c>
      <c r="F100" t="n">
        <v/>
      </c>
      <c r="G100" t="n">
        <v>0.82</v>
      </c>
      <c r="H100" t="inlineStr"/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center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Assumptions Sheet</t>
        </is>
      </c>
      <c r="B101" t="inlineStr">
        <is>
          <t>W5</t>
        </is>
      </c>
      <c r="C101" t="n">
        <v>5</v>
      </c>
      <c r="D101" t="n">
        <v>23</v>
      </c>
      <c r="E101" t="inlineStr">
        <is>
          <t>Input</t>
        </is>
      </c>
      <c r="F101" t="n">
        <v/>
      </c>
      <c r="G101" t="n">
        <v>0.8099999999999999</v>
      </c>
      <c r="H101" t="inlineStr"/>
      <c r="I101" t="inlineStr">
        <is>
          <t>0%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inlineStr">
        <is>
          <t>center</t>
        </is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Assumptions Sheet</t>
        </is>
      </c>
      <c r="B102" t="inlineStr">
        <is>
          <t>X5</t>
        </is>
      </c>
      <c r="C102" t="n">
        <v>5</v>
      </c>
      <c r="D102" t="n">
        <v>24</v>
      </c>
      <c r="E102" t="inlineStr">
        <is>
          <t>Input</t>
        </is>
      </c>
      <c r="F102" t="n">
        <v/>
      </c>
      <c r="G102" t="n">
        <v>0.7999999999999999</v>
      </c>
      <c r="H102" t="inlineStr"/>
      <c r="I102" t="inlineStr">
        <is>
          <t>0%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inlineStr">
        <is>
          <t>center</t>
        </is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Assumptions Sheet</t>
        </is>
      </c>
      <c r="B103" t="inlineStr">
        <is>
          <t>B6</t>
        </is>
      </c>
      <c r="C103" t="n">
        <v>6</v>
      </c>
      <c r="D103" t="n">
        <v>2</v>
      </c>
      <c r="E103" t="inlineStr">
        <is>
          <t>Input</t>
        </is>
      </c>
      <c r="F103" t="n">
        <v/>
      </c>
      <c r="G103" t="inlineStr">
        <is>
          <t>RASK (Rs.)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left</t>
        </is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Assumptions Sheet</t>
        </is>
      </c>
      <c r="B104" t="inlineStr">
        <is>
          <t>C6</t>
        </is>
      </c>
      <c r="C104" t="n">
        <v>6</v>
      </c>
      <c r="D104" t="n">
        <v>3</v>
      </c>
      <c r="E104" t="inlineStr">
        <is>
          <t>Input</t>
        </is>
      </c>
      <c r="F104" t="n">
        <v/>
      </c>
      <c r="G104" t="n">
        <v>2.84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Assumptions Sheet</t>
        </is>
      </c>
      <c r="B105" t="inlineStr">
        <is>
          <t>D6</t>
        </is>
      </c>
      <c r="C105" t="n">
        <v>6</v>
      </c>
      <c r="D105" t="n">
        <v>4</v>
      </c>
      <c r="E105" t="inlineStr">
        <is>
          <t>Input</t>
        </is>
      </c>
      <c r="F105" t="n">
        <v/>
      </c>
      <c r="G105" t="n">
        <v>3.1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Assumptions Sheet</t>
        </is>
      </c>
      <c r="B106" t="inlineStr">
        <is>
          <t>E6</t>
        </is>
      </c>
      <c r="C106" t="n">
        <v>6</v>
      </c>
      <c r="D106" t="n">
        <v>5</v>
      </c>
      <c r="E106" t="inlineStr">
        <is>
          <t>Input</t>
        </is>
      </c>
      <c r="F106" t="n">
        <v/>
      </c>
      <c r="G106" t="n">
        <v>3.1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Assumptions Sheet</t>
        </is>
      </c>
      <c r="B107" t="inlineStr">
        <is>
          <t>F6</t>
        </is>
      </c>
      <c r="C107" t="n">
        <v>6</v>
      </c>
      <c r="D107" t="n">
        <v>6</v>
      </c>
      <c r="E107" t="inlineStr">
        <is>
          <t>Input</t>
        </is>
      </c>
      <c r="F107" t="n">
        <v/>
      </c>
      <c r="G107" t="n">
        <v>3.7</v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Assumptions Sheet</t>
        </is>
      </c>
      <c r="B108" t="inlineStr">
        <is>
          <t>G6</t>
        </is>
      </c>
      <c r="C108" t="n">
        <v>6</v>
      </c>
      <c r="D108" t="n">
        <v>7</v>
      </c>
      <c r="E108" t="inlineStr">
        <is>
          <t>Input</t>
        </is>
      </c>
      <c r="F108" t="n">
        <v/>
      </c>
      <c r="G108" t="n">
        <v>3.72</v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Assumptions Sheet</t>
        </is>
      </c>
      <c r="B109" t="inlineStr">
        <is>
          <t>H6</t>
        </is>
      </c>
      <c r="C109" t="n">
        <v>6</v>
      </c>
      <c r="D109" t="n">
        <v>8</v>
      </c>
      <c r="E109" t="inlineStr">
        <is>
          <t>Input</t>
        </is>
      </c>
      <c r="F109" t="n">
        <v/>
      </c>
      <c r="G109" t="n">
        <v>3.95</v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Assumptions Sheet</t>
        </is>
      </c>
      <c r="B110" t="inlineStr">
        <is>
          <t>I6</t>
        </is>
      </c>
      <c r="C110" t="n">
        <v>6</v>
      </c>
      <c r="D110" t="n">
        <v>9</v>
      </c>
      <c r="E110" t="inlineStr">
        <is>
          <t>Input</t>
        </is>
      </c>
      <c r="F110" t="n">
        <v/>
      </c>
      <c r="G110" t="n">
        <v>3.78</v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Assumptions Sheet</t>
        </is>
      </c>
      <c r="B111" t="inlineStr">
        <is>
          <t>J6</t>
        </is>
      </c>
      <c r="C111" t="n">
        <v>6</v>
      </c>
      <c r="D111" t="n">
        <v>10</v>
      </c>
      <c r="E111" t="inlineStr">
        <is>
          <t>Input</t>
        </is>
      </c>
      <c r="F111" t="n">
        <v/>
      </c>
      <c r="G111" t="n">
        <v>3.44</v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Assumptions Sheet</t>
        </is>
      </c>
      <c r="B112" t="inlineStr">
        <is>
          <t>K6</t>
        </is>
      </c>
      <c r="C112" t="n">
        <v>6</v>
      </c>
      <c r="D112" t="n">
        <v>11</v>
      </c>
      <c r="E112" t="inlineStr">
        <is>
          <t>Output</t>
        </is>
      </c>
      <c r="F112" t="inlineStr">
        <is>
          <t>'=K24/K2</t>
        </is>
      </c>
      <c r="G112" t="n">
        <v>3.315</v>
      </c>
      <c r="H112" t="inlineStr"/>
      <c r="I112" t="inlineStr">
        <is>
          <t>0.00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Values must be of type &lt;class 'str'&gt;</t>
        </is>
      </c>
      <c r="O112" t="inlineStr">
        <is>
          <t>center</t>
        </is>
      </c>
      <c r="P112" t="n">
        <v/>
      </c>
      <c r="R112" t="b">
        <v>1</v>
      </c>
      <c r="S112" t="inlineStr">
        <is>
          <t>G000011</t>
        </is>
      </c>
      <c r="T112" t="inlineStr">
        <is>
          <t>Horizontal</t>
        </is>
      </c>
      <c r="U112" t="n">
        <v>6</v>
      </c>
      <c r="V112" t="b">
        <v>1</v>
      </c>
      <c r="W112" t="inlineStr">
        <is>
          <t>Assumptions Sheet!K6:P6</t>
        </is>
      </c>
      <c r="X112">
        <f>R[18]C[0]/R[-4]C[0]</f>
        <v/>
      </c>
    </row>
    <row r="113">
      <c r="A113" t="inlineStr">
        <is>
          <t>Assumptions Sheet</t>
        </is>
      </c>
      <c r="B113" t="inlineStr">
        <is>
          <t>L6</t>
        </is>
      </c>
      <c r="C113" t="n">
        <v>6</v>
      </c>
      <c r="D113" t="n">
        <v>12</v>
      </c>
      <c r="E113" t="inlineStr">
        <is>
          <t>Output</t>
        </is>
      </c>
      <c r="F113" t="inlineStr">
        <is>
          <t>'=L24/L2</t>
        </is>
      </c>
      <c r="G113" t="n">
        <v>3.315</v>
      </c>
      <c r="H113" t="inlineStr"/>
      <c r="I113" t="inlineStr">
        <is>
          <t>0.00</t>
        </is>
      </c>
      <c r="J113" t="b">
        <v>0</v>
      </c>
      <c r="K113" t="b">
        <v>0</v>
      </c>
      <c r="L113" t="n">
        <v>11</v>
      </c>
      <c r="M113" t="inlineStr">
        <is>
          <t>FFFF0000</t>
        </is>
      </c>
      <c r="N113" t="inlineStr">
        <is>
          <t>Values must be of type &lt;class 'str'&gt;</t>
        </is>
      </c>
      <c r="O113" t="inlineStr">
        <is>
          <t>center</t>
        </is>
      </c>
      <c r="P113" t="n">
        <v/>
      </c>
      <c r="R113" t="b">
        <v>1</v>
      </c>
      <c r="S113" t="inlineStr">
        <is>
          <t>G000011</t>
        </is>
      </c>
      <c r="T113" t="inlineStr">
        <is>
          <t>Horizontal</t>
        </is>
      </c>
      <c r="U113" t="n">
        <v>6</v>
      </c>
      <c r="V113" t="b">
        <v>1</v>
      </c>
      <c r="W113" t="inlineStr">
        <is>
          <t>Assumptions Sheet!K6:P6</t>
        </is>
      </c>
      <c r="X113">
        <f>R[18]C[0]/R[-4]C[0]</f>
        <v/>
      </c>
    </row>
    <row r="114">
      <c r="A114" t="inlineStr">
        <is>
          <t>Assumptions Sheet</t>
        </is>
      </c>
      <c r="B114" t="inlineStr">
        <is>
          <t>M6</t>
        </is>
      </c>
      <c r="C114" t="n">
        <v>6</v>
      </c>
      <c r="D114" t="n">
        <v>13</v>
      </c>
      <c r="E114" t="inlineStr">
        <is>
          <t>Output</t>
        </is>
      </c>
      <c r="F114" t="inlineStr">
        <is>
          <t>'=M24/M2</t>
        </is>
      </c>
      <c r="G114" t="n">
        <v>3.315</v>
      </c>
      <c r="H114" t="inlineStr"/>
      <c r="I114" t="inlineStr">
        <is>
          <t>0.00</t>
        </is>
      </c>
      <c r="J114" t="b">
        <v>0</v>
      </c>
      <c r="K114" t="b">
        <v>0</v>
      </c>
      <c r="L114" t="n">
        <v>11</v>
      </c>
      <c r="M114" t="inlineStr">
        <is>
          <t>FFFF0000</t>
        </is>
      </c>
      <c r="N114" t="inlineStr">
        <is>
          <t>Values must be of type &lt;class 'str'&gt;</t>
        </is>
      </c>
      <c r="O114" t="inlineStr">
        <is>
          <t>center</t>
        </is>
      </c>
      <c r="P114" t="n">
        <v/>
      </c>
      <c r="R114" t="b">
        <v>1</v>
      </c>
      <c r="S114" t="inlineStr">
        <is>
          <t>G000011</t>
        </is>
      </c>
      <c r="T114" t="inlineStr">
        <is>
          <t>Horizontal</t>
        </is>
      </c>
      <c r="U114" t="n">
        <v>6</v>
      </c>
      <c r="V114" t="b">
        <v>1</v>
      </c>
      <c r="W114" t="inlineStr">
        <is>
          <t>Assumptions Sheet!K6:P6</t>
        </is>
      </c>
      <c r="X114">
        <f>R[18]C[0]/R[-4]C[0]</f>
        <v/>
      </c>
    </row>
    <row r="115">
      <c r="A115" t="inlineStr">
        <is>
          <t>Assumptions Sheet</t>
        </is>
      </c>
      <c r="B115" t="inlineStr">
        <is>
          <t>N6</t>
        </is>
      </c>
      <c r="C115" t="n">
        <v>6</v>
      </c>
      <c r="D115" t="n">
        <v>14</v>
      </c>
      <c r="E115" t="inlineStr">
        <is>
          <t>Output</t>
        </is>
      </c>
      <c r="F115" t="inlineStr">
        <is>
          <t>'=N24/N2</t>
        </is>
      </c>
      <c r="G115" t="n">
        <v>3.315</v>
      </c>
      <c r="H115" t="inlineStr"/>
      <c r="I115" t="inlineStr">
        <is>
          <t>0.00</t>
        </is>
      </c>
      <c r="J115" t="b">
        <v>0</v>
      </c>
      <c r="K115" t="b">
        <v>0</v>
      </c>
      <c r="L115" t="n">
        <v>11</v>
      </c>
      <c r="M115" t="inlineStr">
        <is>
          <t>FFFF0000</t>
        </is>
      </c>
      <c r="N115" t="inlineStr">
        <is>
          <t>Values must be of type &lt;class 'str'&gt;</t>
        </is>
      </c>
      <c r="O115" t="inlineStr">
        <is>
          <t>center</t>
        </is>
      </c>
      <c r="P115" t="n">
        <v/>
      </c>
      <c r="R115" t="b">
        <v>1</v>
      </c>
      <c r="S115" t="inlineStr">
        <is>
          <t>G000011</t>
        </is>
      </c>
      <c r="T115" t="inlineStr">
        <is>
          <t>Horizontal</t>
        </is>
      </c>
      <c r="U115" t="n">
        <v>6</v>
      </c>
      <c r="V115" t="b">
        <v>1</v>
      </c>
      <c r="W115" t="inlineStr">
        <is>
          <t>Assumptions Sheet!K6:P6</t>
        </is>
      </c>
      <c r="X115">
        <f>R[18]C[0]/R[-4]C[0]</f>
        <v/>
      </c>
    </row>
    <row r="116">
      <c r="A116" t="inlineStr">
        <is>
          <t>Assumptions Sheet</t>
        </is>
      </c>
      <c r="B116" t="inlineStr">
        <is>
          <t>O6</t>
        </is>
      </c>
      <c r="C116" t="n">
        <v>6</v>
      </c>
      <c r="D116" t="n">
        <v>15</v>
      </c>
      <c r="E116" t="inlineStr">
        <is>
          <t>Output</t>
        </is>
      </c>
      <c r="F116" t="inlineStr">
        <is>
          <t>'=O24/O2</t>
        </is>
      </c>
      <c r="G116" t="n">
        <v>3.315</v>
      </c>
      <c r="H116" t="inlineStr"/>
      <c r="I116" t="inlineStr">
        <is>
          <t>0.00</t>
        </is>
      </c>
      <c r="J116" t="b">
        <v>0</v>
      </c>
      <c r="K116" t="b">
        <v>0</v>
      </c>
      <c r="L116" t="n">
        <v>11</v>
      </c>
      <c r="M116" t="inlineStr">
        <is>
          <t>FFFF0000</t>
        </is>
      </c>
      <c r="N116" t="inlineStr">
        <is>
          <t>Values must be of type &lt;class 'str'&gt;</t>
        </is>
      </c>
      <c r="O116" t="inlineStr">
        <is>
          <t>center</t>
        </is>
      </c>
      <c r="P116" t="n">
        <v/>
      </c>
      <c r="R116" t="b">
        <v>1</v>
      </c>
      <c r="S116" t="inlineStr">
        <is>
          <t>G000011</t>
        </is>
      </c>
      <c r="T116" t="inlineStr">
        <is>
          <t>Horizontal</t>
        </is>
      </c>
      <c r="U116" t="n">
        <v>6</v>
      </c>
      <c r="V116" t="b">
        <v>1</v>
      </c>
      <c r="W116" t="inlineStr">
        <is>
          <t>Assumptions Sheet!K6:P6</t>
        </is>
      </c>
      <c r="X116">
        <f>R[18]C[0]/R[-4]C[0]</f>
        <v/>
      </c>
    </row>
    <row r="117">
      <c r="A117" t="inlineStr">
        <is>
          <t>Assumptions Sheet</t>
        </is>
      </c>
      <c r="B117" t="inlineStr">
        <is>
          <t>P6</t>
        </is>
      </c>
      <c r="C117" t="n">
        <v>6</v>
      </c>
      <c r="D117" t="n">
        <v>16</v>
      </c>
      <c r="E117" t="inlineStr">
        <is>
          <t>Output</t>
        </is>
      </c>
      <c r="F117" t="inlineStr">
        <is>
          <t>'=P24/P2</t>
        </is>
      </c>
      <c r="G117" t="n">
        <v>3.315</v>
      </c>
      <c r="H117" t="inlineStr"/>
      <c r="I117" t="inlineStr">
        <is>
          <t>0.00</t>
        </is>
      </c>
      <c r="J117" t="b">
        <v>0</v>
      </c>
      <c r="K117" t="b">
        <v>0</v>
      </c>
      <c r="L117" t="n">
        <v>11</v>
      </c>
      <c r="M117" t="inlineStr">
        <is>
          <t>FFFF0000</t>
        </is>
      </c>
      <c r="N117" t="inlineStr">
        <is>
          <t>Values must be of type &lt;class 'str'&gt;</t>
        </is>
      </c>
      <c r="O117" t="inlineStr">
        <is>
          <t>center</t>
        </is>
      </c>
      <c r="P117" t="n">
        <v/>
      </c>
      <c r="R117" t="b">
        <v>1</v>
      </c>
      <c r="S117" t="inlineStr">
        <is>
          <t>G000011</t>
        </is>
      </c>
      <c r="T117" t="inlineStr">
        <is>
          <t>Horizontal</t>
        </is>
      </c>
      <c r="U117" t="n">
        <v>6</v>
      </c>
      <c r="V117" t="b">
        <v>1</v>
      </c>
      <c r="W117" t="inlineStr">
        <is>
          <t>Assumptions Sheet!K6:P6</t>
        </is>
      </c>
      <c r="X117">
        <f>R[18]C[0]/R[-4]C[0]</f>
        <v/>
      </c>
    </row>
    <row r="118">
      <c r="A118" t="inlineStr">
        <is>
          <t>Assumptions Sheet</t>
        </is>
      </c>
      <c r="B118" t="inlineStr">
        <is>
          <t>S6</t>
        </is>
      </c>
      <c r="C118" t="n">
        <v>6</v>
      </c>
      <c r="D118" t="n">
        <v>19</v>
      </c>
      <c r="E118" t="inlineStr">
        <is>
          <t>Input</t>
        </is>
      </c>
      <c r="F118" t="n">
        <v/>
      </c>
      <c r="G118" t="inlineStr">
        <is>
          <t>RASK (Rs.)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left</t>
        </is>
      </c>
      <c r="P118" t="n">
        <v/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Assumptions Sheet</t>
        </is>
      </c>
      <c r="B119" t="inlineStr">
        <is>
          <t>T6</t>
        </is>
      </c>
      <c r="C119" t="n">
        <v>6</v>
      </c>
      <c r="D119" t="n">
        <v>20</v>
      </c>
      <c r="E119" t="inlineStr">
        <is>
          <t>Input</t>
        </is>
      </c>
      <c r="F119" t="n">
        <v/>
      </c>
      <c r="G119" t="n">
        <v>3.023323470445904</v>
      </c>
      <c r="H119" t="inlineStr"/>
      <c r="I119" t="inlineStr">
        <is>
          <t>0.00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center</t>
        </is>
      </c>
      <c r="P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Assumptions Sheet</t>
        </is>
      </c>
      <c r="B120" t="inlineStr">
        <is>
          <t>U6</t>
        </is>
      </c>
      <c r="C120" t="n">
        <v>6</v>
      </c>
      <c r="D120" t="n">
        <v>21</v>
      </c>
      <c r="E120" t="inlineStr">
        <is>
          <t>Input</t>
        </is>
      </c>
      <c r="F120" t="n">
        <v/>
      </c>
      <c r="G120" t="n">
        <v>3.070331524369167</v>
      </c>
      <c r="H120" t="inlineStr"/>
      <c r="I120" t="inlineStr">
        <is>
          <t>0.00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inlineStr">
        <is>
          <t>center</t>
        </is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Assumptions Sheet</t>
        </is>
      </c>
      <c r="B121" t="inlineStr">
        <is>
          <t>V6</t>
        </is>
      </c>
      <c r="C121" t="n">
        <v>6</v>
      </c>
      <c r="D121" t="n">
        <v>22</v>
      </c>
      <c r="E121" t="inlineStr">
        <is>
          <t>Input</t>
        </is>
      </c>
      <c r="F121" t="n">
        <v/>
      </c>
      <c r="G121" t="n">
        <v>3.11533957829243</v>
      </c>
      <c r="H121" t="inlineStr"/>
      <c r="I121" t="inlineStr">
        <is>
          <t>0.00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inlineStr">
        <is>
          <t>center</t>
        </is>
      </c>
      <c r="P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Assumptions Sheet</t>
        </is>
      </c>
      <c r="B122" t="inlineStr">
        <is>
          <t>W6</t>
        </is>
      </c>
      <c r="C122" t="n">
        <v>6</v>
      </c>
      <c r="D122" t="n">
        <v>23</v>
      </c>
      <c r="E122" t="inlineStr">
        <is>
          <t>Input</t>
        </is>
      </c>
      <c r="F122" t="n">
        <v/>
      </c>
      <c r="G122" t="n">
        <v>3.158347632215693</v>
      </c>
      <c r="H122" t="inlineStr"/>
      <c r="I122" t="inlineStr">
        <is>
          <t>0.00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inlineStr">
        <is>
          <t>center</t>
        </is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Assumptions Sheet</t>
        </is>
      </c>
      <c r="B123" t="inlineStr">
        <is>
          <t>X6</t>
        </is>
      </c>
      <c r="C123" t="n">
        <v>6</v>
      </c>
      <c r="D123" t="n">
        <v>24</v>
      </c>
      <c r="E123" t="inlineStr">
        <is>
          <t>Input</t>
        </is>
      </c>
      <c r="F123" t="n">
        <v/>
      </c>
      <c r="G123" t="n">
        <v>3.199355686138956</v>
      </c>
      <c r="H123" t="inlineStr"/>
      <c r="I123" t="inlineStr">
        <is>
          <t>0.00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inlineStr">
        <is>
          <t>center</t>
        </is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Assumptions Sheet</t>
        </is>
      </c>
      <c r="B124" t="inlineStr">
        <is>
          <t>B7</t>
        </is>
      </c>
      <c r="C124" t="n">
        <v>7</v>
      </c>
      <c r="D124" t="n">
        <v>2</v>
      </c>
      <c r="E124" t="inlineStr">
        <is>
          <t>Input</t>
        </is>
      </c>
      <c r="F124" t="n">
        <v/>
      </c>
      <c r="G124" t="inlineStr">
        <is>
          <t>Yield (Rs.) (passenger revenue in ₹ / revenue passenger kms)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FFFFFF00</t>
        </is>
      </c>
      <c r="O124" t="inlineStr">
        <is>
          <t>left</t>
        </is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Assumptions Sheet</t>
        </is>
      </c>
      <c r="B125" t="inlineStr">
        <is>
          <t>C7</t>
        </is>
      </c>
      <c r="C125" t="n">
        <v>7</v>
      </c>
      <c r="D125" t="n">
        <v>3</v>
      </c>
      <c r="E125" t="inlineStr">
        <is>
          <t>Output</t>
        </is>
      </c>
      <c r="F125" t="inlineStr">
        <is>
          <t>'=C24/C4</t>
        </is>
      </c>
      <c r="G125" t="n">
        <v>3.130958406245794</v>
      </c>
      <c r="H125" t="inlineStr"/>
      <c r="I125" t="inlineStr">
        <is>
          <t>0.00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inlineStr">
        <is>
          <t>center</t>
        </is>
      </c>
      <c r="P125" t="n">
        <v/>
      </c>
      <c r="R125" t="b">
        <v>1</v>
      </c>
      <c r="S125" t="inlineStr">
        <is>
          <t>G000012</t>
        </is>
      </c>
      <c r="T125" t="inlineStr">
        <is>
          <t>Horizontal</t>
        </is>
      </c>
      <c r="U125" t="n">
        <v>8</v>
      </c>
      <c r="V125" t="b">
        <v>1</v>
      </c>
      <c r="W125" t="inlineStr">
        <is>
          <t>Assumptions Sheet!C7:J7</t>
        </is>
      </c>
      <c r="X125">
        <f>R[17]C[0]/R[-3]C[0]</f>
        <v/>
      </c>
    </row>
    <row r="126">
      <c r="A126" t="inlineStr">
        <is>
          <t>Assumptions Sheet</t>
        </is>
      </c>
      <c r="B126" t="inlineStr">
        <is>
          <t>D7</t>
        </is>
      </c>
      <c r="C126" t="n">
        <v>7</v>
      </c>
      <c r="D126" t="n">
        <v>4</v>
      </c>
      <c r="E126" t="inlineStr">
        <is>
          <t>Output</t>
        </is>
      </c>
      <c r="F126" t="inlineStr">
        <is>
          <t>'=D24/D4</t>
        </is>
      </c>
      <c r="G126" t="n">
        <v>3.188815121309009</v>
      </c>
      <c r="H126" t="inlineStr"/>
      <c r="I126" t="inlineStr">
        <is>
          <t>0.00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inlineStr">
        <is>
          <t>center</t>
        </is>
      </c>
      <c r="P126" t="n">
        <v/>
      </c>
      <c r="R126" t="b">
        <v>1</v>
      </c>
      <c r="S126" t="inlineStr">
        <is>
          <t>G000012</t>
        </is>
      </c>
      <c r="T126" t="inlineStr">
        <is>
          <t>Horizontal</t>
        </is>
      </c>
      <c r="U126" t="n">
        <v>8</v>
      </c>
      <c r="V126" t="b">
        <v>1</v>
      </c>
      <c r="W126" t="inlineStr">
        <is>
          <t>Assumptions Sheet!C7:J7</t>
        </is>
      </c>
      <c r="X126">
        <f>R[17]C[0]/R[-3]C[0]</f>
        <v/>
      </c>
    </row>
    <row r="127">
      <c r="A127" t="inlineStr">
        <is>
          <t>Assumptions Sheet</t>
        </is>
      </c>
      <c r="B127" t="inlineStr">
        <is>
          <t>E7</t>
        </is>
      </c>
      <c r="C127" t="n">
        <v>7</v>
      </c>
      <c r="D127" t="n">
        <v>5</v>
      </c>
      <c r="E127" t="inlineStr">
        <is>
          <t>Output</t>
        </is>
      </c>
      <c r="F127" t="inlineStr">
        <is>
          <t>'=E24/E4</t>
        </is>
      </c>
      <c r="G127" t="n">
        <v>3.363890462700661</v>
      </c>
      <c r="H127" t="inlineStr"/>
      <c r="I127" t="inlineStr">
        <is>
          <t>0.00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center</t>
        </is>
      </c>
      <c r="P127" t="n">
        <v/>
      </c>
      <c r="R127" t="b">
        <v>1</v>
      </c>
      <c r="S127" t="inlineStr">
        <is>
          <t>G000012</t>
        </is>
      </c>
      <c r="T127" t="inlineStr">
        <is>
          <t>Horizontal</t>
        </is>
      </c>
      <c r="U127" t="n">
        <v>8</v>
      </c>
      <c r="V127" t="b">
        <v>1</v>
      </c>
      <c r="W127" t="inlineStr">
        <is>
          <t>Assumptions Sheet!C7:J7</t>
        </is>
      </c>
      <c r="X127">
        <f>R[17]C[0]/R[-3]C[0]</f>
        <v/>
      </c>
    </row>
    <row r="128">
      <c r="A128" t="inlineStr">
        <is>
          <t>Assumptions Sheet</t>
        </is>
      </c>
      <c r="B128" t="inlineStr">
        <is>
          <t>F7</t>
        </is>
      </c>
      <c r="C128" t="n">
        <v>7</v>
      </c>
      <c r="D128" t="n">
        <v>6</v>
      </c>
      <c r="E128" t="inlineStr">
        <is>
          <t>Output</t>
        </is>
      </c>
      <c r="F128" t="inlineStr">
        <is>
          <t>'=F24/F4</t>
        </is>
      </c>
      <c r="G128" t="n">
        <v>4.0802847976308</v>
      </c>
      <c r="H128" t="inlineStr"/>
      <c r="I128" t="inlineStr">
        <is>
          <t>0.00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inlineStr">
        <is>
          <t>center</t>
        </is>
      </c>
      <c r="P128" t="n">
        <v/>
      </c>
      <c r="R128" t="b">
        <v>1</v>
      </c>
      <c r="S128" t="inlineStr">
        <is>
          <t>G000012</t>
        </is>
      </c>
      <c r="T128" t="inlineStr">
        <is>
          <t>Horizontal</t>
        </is>
      </c>
      <c r="U128" t="n">
        <v>8</v>
      </c>
      <c r="V128" t="b">
        <v>1</v>
      </c>
      <c r="W128" t="inlineStr">
        <is>
          <t>Assumptions Sheet!C7:J7</t>
        </is>
      </c>
      <c r="X128">
        <f>R[17]C[0]/R[-3]C[0]</f>
        <v/>
      </c>
    </row>
    <row r="129">
      <c r="A129" t="inlineStr">
        <is>
          <t>Assumptions Sheet</t>
        </is>
      </c>
      <c r="B129" t="inlineStr">
        <is>
          <t>G7</t>
        </is>
      </c>
      <c r="C129" t="n">
        <v>7</v>
      </c>
      <c r="D129" t="n">
        <v>7</v>
      </c>
      <c r="E129" t="inlineStr">
        <is>
          <t>Output</t>
        </is>
      </c>
      <c r="F129" t="inlineStr">
        <is>
          <t>'=G24/G4</t>
        </is>
      </c>
      <c r="G129" t="n">
        <v>4.289411739280775</v>
      </c>
      <c r="H129" t="inlineStr"/>
      <c r="I129" t="inlineStr">
        <is>
          <t>0.00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inlineStr">
        <is>
          <t>center</t>
        </is>
      </c>
      <c r="P129" t="n">
        <v/>
      </c>
      <c r="R129" t="b">
        <v>1</v>
      </c>
      <c r="S129" t="inlineStr">
        <is>
          <t>G000012</t>
        </is>
      </c>
      <c r="T129" t="inlineStr">
        <is>
          <t>Horizontal</t>
        </is>
      </c>
      <c r="U129" t="n">
        <v>8</v>
      </c>
      <c r="V129" t="b">
        <v>1</v>
      </c>
      <c r="W129" t="inlineStr">
        <is>
          <t>Assumptions Sheet!C7:J7</t>
        </is>
      </c>
      <c r="X129">
        <f>R[17]C[0]/R[-3]C[0]</f>
        <v/>
      </c>
    </row>
    <row r="130">
      <c r="A130" t="inlineStr">
        <is>
          <t>Assumptions Sheet</t>
        </is>
      </c>
      <c r="B130" t="inlineStr">
        <is>
          <t>H7</t>
        </is>
      </c>
      <c r="C130" t="n">
        <v>7</v>
      </c>
      <c r="D130" t="n">
        <v>8</v>
      </c>
      <c r="E130" t="inlineStr">
        <is>
          <t>Output</t>
        </is>
      </c>
      <c r="F130" t="inlineStr">
        <is>
          <t>'=H24/H4</t>
        </is>
      </c>
      <c r="G130" t="n">
        <v>4.363097561841218</v>
      </c>
      <c r="H130" t="inlineStr"/>
      <c r="I130" t="inlineStr">
        <is>
          <t>0.00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inlineStr">
        <is>
          <t>center</t>
        </is>
      </c>
      <c r="P130" t="n">
        <v/>
      </c>
      <c r="R130" t="b">
        <v>1</v>
      </c>
      <c r="S130" t="inlineStr">
        <is>
          <t>G000012</t>
        </is>
      </c>
      <c r="T130" t="inlineStr">
        <is>
          <t>Horizontal</t>
        </is>
      </c>
      <c r="U130" t="n">
        <v>8</v>
      </c>
      <c r="V130" t="b">
        <v>1</v>
      </c>
      <c r="W130" t="inlineStr">
        <is>
          <t>Assumptions Sheet!C7:J7</t>
        </is>
      </c>
      <c r="X130">
        <f>R[17]C[0]/R[-3]C[0]</f>
        <v/>
      </c>
    </row>
    <row r="131">
      <c r="A131" t="inlineStr">
        <is>
          <t>Assumptions Sheet</t>
        </is>
      </c>
      <c r="B131" t="inlineStr">
        <is>
          <t>I7</t>
        </is>
      </c>
      <c r="C131" t="n">
        <v>7</v>
      </c>
      <c r="D131" t="n">
        <v>9</v>
      </c>
      <c r="E131" t="inlineStr">
        <is>
          <t>Output</t>
        </is>
      </c>
      <c r="F131" t="inlineStr">
        <is>
          <t>'=I24/I4</t>
        </is>
      </c>
      <c r="G131" t="n">
        <v>3.90970362544484</v>
      </c>
      <c r="H131" t="inlineStr"/>
      <c r="I131" t="inlineStr">
        <is>
          <t>0.00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inlineStr">
        <is>
          <t>center</t>
        </is>
      </c>
      <c r="P131" t="n">
        <v/>
      </c>
      <c r="R131" t="b">
        <v>1</v>
      </c>
      <c r="S131" t="inlineStr">
        <is>
          <t>G000012</t>
        </is>
      </c>
      <c r="T131" t="inlineStr">
        <is>
          <t>Horizontal</t>
        </is>
      </c>
      <c r="U131" t="n">
        <v>8</v>
      </c>
      <c r="V131" t="b">
        <v>1</v>
      </c>
      <c r="W131" t="inlineStr">
        <is>
          <t>Assumptions Sheet!C7:J7</t>
        </is>
      </c>
      <c r="X131">
        <f>R[17]C[0]/R[-3]C[0]</f>
        <v/>
      </c>
    </row>
    <row r="132">
      <c r="A132" t="inlineStr">
        <is>
          <t>Assumptions Sheet</t>
        </is>
      </c>
      <c r="B132" t="inlineStr">
        <is>
          <t>J7</t>
        </is>
      </c>
      <c r="C132" t="n">
        <v>7</v>
      </c>
      <c r="D132" t="n">
        <v>10</v>
      </c>
      <c r="E132" t="inlineStr">
        <is>
          <t>Output</t>
        </is>
      </c>
      <c r="F132" t="inlineStr">
        <is>
          <t>'=J24/J4</t>
        </is>
      </c>
      <c r="G132" t="n">
        <v>3.499194607673695</v>
      </c>
      <c r="H132" t="inlineStr"/>
      <c r="I132" t="inlineStr">
        <is>
          <t>0.00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center</t>
        </is>
      </c>
      <c r="P132" t="n">
        <v/>
      </c>
      <c r="R132" t="b">
        <v>1</v>
      </c>
      <c r="S132" t="inlineStr">
        <is>
          <t>G000012</t>
        </is>
      </c>
      <c r="T132" t="inlineStr">
        <is>
          <t>Horizontal</t>
        </is>
      </c>
      <c r="U132" t="n">
        <v>8</v>
      </c>
      <c r="V132" t="b">
        <v>1</v>
      </c>
      <c r="W132" t="inlineStr">
        <is>
          <t>Assumptions Sheet!C7:J7</t>
        </is>
      </c>
      <c r="X132">
        <f>R[17]C[0]/R[-3]C[0]</f>
        <v/>
      </c>
    </row>
    <row r="133">
      <c r="A133" t="inlineStr">
        <is>
          <t>Assumptions Sheet</t>
        </is>
      </c>
      <c r="B133" t="inlineStr">
        <is>
          <t>K7</t>
        </is>
      </c>
      <c r="C133" t="n">
        <v>7</v>
      </c>
      <c r="D133" t="n">
        <v>11</v>
      </c>
      <c r="E133" t="inlineStr">
        <is>
          <t>Input</t>
        </is>
      </c>
      <c r="F133" t="n">
        <v/>
      </c>
      <c r="G133" t="n">
        <v>3.9</v>
      </c>
      <c r="H133" t="inlineStr"/>
      <c r="I133" t="inlineStr">
        <is>
          <t>0.00</t>
        </is>
      </c>
      <c r="J133" t="b">
        <v>0</v>
      </c>
      <c r="K133" t="b">
        <v>0</v>
      </c>
      <c r="L133" t="n">
        <v>11</v>
      </c>
      <c r="M133" t="inlineStr">
        <is>
          <t>FFFF0000</t>
        </is>
      </c>
      <c r="N133" t="inlineStr">
        <is>
          <t>Values must be of type &lt;class 'str'&gt;</t>
        </is>
      </c>
      <c r="O133" t="inlineStr">
        <is>
          <t>center</t>
        </is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Assumptions Sheet</t>
        </is>
      </c>
      <c r="B134" t="inlineStr">
        <is>
          <t>L7</t>
        </is>
      </c>
      <c r="C134" t="n">
        <v>7</v>
      </c>
      <c r="D134" t="n">
        <v>12</v>
      </c>
      <c r="E134" t="inlineStr">
        <is>
          <t>Calculation</t>
        </is>
      </c>
      <c r="F134" t="inlineStr">
        <is>
          <t>'=K7</t>
        </is>
      </c>
      <c r="G134" t="n">
        <v>3.9</v>
      </c>
      <c r="H134" t="inlineStr"/>
      <c r="I134" t="inlineStr">
        <is>
          <t>0.00</t>
        </is>
      </c>
      <c r="J134" t="b">
        <v>0</v>
      </c>
      <c r="K134" t="b">
        <v>0</v>
      </c>
      <c r="L134" t="n">
        <v>11</v>
      </c>
      <c r="M134" t="inlineStr">
        <is>
          <t>FFFF0000</t>
        </is>
      </c>
      <c r="N134" t="inlineStr">
        <is>
          <t>Values must be of type &lt;class 'str'&gt;</t>
        </is>
      </c>
      <c r="O134" t="inlineStr">
        <is>
          <t>center</t>
        </is>
      </c>
      <c r="P134" t="n">
        <v/>
      </c>
      <c r="R134" t="b">
        <v>1</v>
      </c>
      <c r="S134" t="inlineStr">
        <is>
          <t>G000006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Assumptions Sheet!L7:P7</t>
        </is>
      </c>
      <c r="X134">
        <f>R[0]C[-1]</f>
        <v/>
      </c>
    </row>
    <row r="135">
      <c r="A135" t="inlineStr">
        <is>
          <t>Assumptions Sheet</t>
        </is>
      </c>
      <c r="B135" t="inlineStr">
        <is>
          <t>M7</t>
        </is>
      </c>
      <c r="C135" t="n">
        <v>7</v>
      </c>
      <c r="D135" t="n">
        <v>13</v>
      </c>
      <c r="E135" t="inlineStr">
        <is>
          <t>Calculation</t>
        </is>
      </c>
      <c r="F135" t="inlineStr">
        <is>
          <t>'=L7</t>
        </is>
      </c>
      <c r="G135" t="n">
        <v>3.9</v>
      </c>
      <c r="H135" t="inlineStr"/>
      <c r="I135" t="inlineStr">
        <is>
          <t>0.00</t>
        </is>
      </c>
      <c r="J135" t="b">
        <v>0</v>
      </c>
      <c r="K135" t="b">
        <v>0</v>
      </c>
      <c r="L135" t="n">
        <v>11</v>
      </c>
      <c r="M135" t="inlineStr">
        <is>
          <t>FFFF0000</t>
        </is>
      </c>
      <c r="N135" t="inlineStr">
        <is>
          <t>Values must be of type &lt;class 'str'&gt;</t>
        </is>
      </c>
      <c r="O135" t="inlineStr">
        <is>
          <t>center</t>
        </is>
      </c>
      <c r="P135" t="n">
        <v/>
      </c>
      <c r="R135" t="b">
        <v>1</v>
      </c>
      <c r="S135" t="inlineStr">
        <is>
          <t>G000006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Assumptions Sheet!L7:P7</t>
        </is>
      </c>
      <c r="X135">
        <f>R[0]C[-1]</f>
        <v/>
      </c>
    </row>
    <row r="136">
      <c r="A136" t="inlineStr">
        <is>
          <t>Assumptions Sheet</t>
        </is>
      </c>
      <c r="B136" t="inlineStr">
        <is>
          <t>N7</t>
        </is>
      </c>
      <c r="C136" t="n">
        <v>7</v>
      </c>
      <c r="D136" t="n">
        <v>14</v>
      </c>
      <c r="E136" t="inlineStr">
        <is>
          <t>Calculation</t>
        </is>
      </c>
      <c r="F136" t="inlineStr">
        <is>
          <t>'=M7</t>
        </is>
      </c>
      <c r="G136" t="n">
        <v>3.9</v>
      </c>
      <c r="H136" t="inlineStr"/>
      <c r="I136" t="inlineStr">
        <is>
          <t>0.00</t>
        </is>
      </c>
      <c r="J136" t="b">
        <v>0</v>
      </c>
      <c r="K136" t="b">
        <v>0</v>
      </c>
      <c r="L136" t="n">
        <v>11</v>
      </c>
      <c r="M136" t="inlineStr">
        <is>
          <t>FFFF0000</t>
        </is>
      </c>
      <c r="N136" t="inlineStr">
        <is>
          <t>Values must be of type &lt;class 'str'&gt;</t>
        </is>
      </c>
      <c r="O136" t="inlineStr">
        <is>
          <t>center</t>
        </is>
      </c>
      <c r="P136" t="n">
        <v/>
      </c>
      <c r="R136" t="b">
        <v>1</v>
      </c>
      <c r="S136" t="inlineStr">
        <is>
          <t>G000006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Assumptions Sheet!L7:P7</t>
        </is>
      </c>
      <c r="X136">
        <f>R[0]C[-1]</f>
        <v/>
      </c>
    </row>
    <row r="137">
      <c r="A137" t="inlineStr">
        <is>
          <t>Assumptions Sheet</t>
        </is>
      </c>
      <c r="B137" t="inlineStr">
        <is>
          <t>O7</t>
        </is>
      </c>
      <c r="C137" t="n">
        <v>7</v>
      </c>
      <c r="D137" t="n">
        <v>15</v>
      </c>
      <c r="E137" t="inlineStr">
        <is>
          <t>Calculation</t>
        </is>
      </c>
      <c r="F137" t="inlineStr">
        <is>
          <t>'=N7</t>
        </is>
      </c>
      <c r="G137" t="n">
        <v>3.9</v>
      </c>
      <c r="H137" t="inlineStr"/>
      <c r="I137" t="inlineStr">
        <is>
          <t>0.00</t>
        </is>
      </c>
      <c r="J137" t="b">
        <v>0</v>
      </c>
      <c r="K137" t="b">
        <v>0</v>
      </c>
      <c r="L137" t="n">
        <v>11</v>
      </c>
      <c r="M137" t="inlineStr">
        <is>
          <t>FFFF0000</t>
        </is>
      </c>
      <c r="N137" t="inlineStr">
        <is>
          <t>Values must be of type &lt;class 'str'&gt;</t>
        </is>
      </c>
      <c r="O137" t="inlineStr">
        <is>
          <t>center</t>
        </is>
      </c>
      <c r="P137" t="n">
        <v/>
      </c>
      <c r="R137" t="b">
        <v>1</v>
      </c>
      <c r="S137" t="inlineStr">
        <is>
          <t>G000006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Assumptions Sheet!L7:P7</t>
        </is>
      </c>
      <c r="X137">
        <f>R[0]C[-1]</f>
        <v/>
      </c>
    </row>
    <row r="138">
      <c r="A138" t="inlineStr">
        <is>
          <t>Assumptions Sheet</t>
        </is>
      </c>
      <c r="B138" t="inlineStr">
        <is>
          <t>P7</t>
        </is>
      </c>
      <c r="C138" t="n">
        <v>7</v>
      </c>
      <c r="D138" t="n">
        <v>16</v>
      </c>
      <c r="E138" t="inlineStr">
        <is>
          <t>Calculation</t>
        </is>
      </c>
      <c r="F138" t="inlineStr">
        <is>
          <t>'=O7</t>
        </is>
      </c>
      <c r="G138" t="n">
        <v>3.9</v>
      </c>
      <c r="H138" t="inlineStr"/>
      <c r="I138" t="inlineStr">
        <is>
          <t>0.00</t>
        </is>
      </c>
      <c r="J138" t="b">
        <v>0</v>
      </c>
      <c r="K138" t="b">
        <v>0</v>
      </c>
      <c r="L138" t="n">
        <v>11</v>
      </c>
      <c r="M138" t="inlineStr">
        <is>
          <t>FFFF0000</t>
        </is>
      </c>
      <c r="N138" t="inlineStr">
        <is>
          <t>Values must be of type &lt;class 'str'&gt;</t>
        </is>
      </c>
      <c r="O138" t="inlineStr">
        <is>
          <t>center</t>
        </is>
      </c>
      <c r="P138" t="n">
        <v/>
      </c>
      <c r="R138" t="b">
        <v>1</v>
      </c>
      <c r="S138" t="inlineStr">
        <is>
          <t>G000006</t>
        </is>
      </c>
      <c r="T138" t="inlineStr">
        <is>
          <t>Horizontal</t>
        </is>
      </c>
      <c r="U138" t="n">
        <v>5</v>
      </c>
      <c r="V138" t="b">
        <v>1</v>
      </c>
      <c r="W138" t="inlineStr">
        <is>
          <t>Assumptions Sheet!L7:P7</t>
        </is>
      </c>
      <c r="X138">
        <f>R[0]C[-1]</f>
        <v/>
      </c>
    </row>
    <row r="139">
      <c r="A139" t="inlineStr">
        <is>
          <t>Assumptions Sheet</t>
        </is>
      </c>
      <c r="B139" t="inlineStr">
        <is>
          <t>S7</t>
        </is>
      </c>
      <c r="C139" t="n">
        <v>7</v>
      </c>
      <c r="D139" t="n">
        <v>19</v>
      </c>
      <c r="E139" t="inlineStr">
        <is>
          <t>Input</t>
        </is>
      </c>
      <c r="F139" t="n">
        <v/>
      </c>
      <c r="G139" t="inlineStr">
        <is>
          <t>Yield (Rs.)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inlineStr">
        <is>
          <t>left</t>
        </is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Assumptions Sheet</t>
        </is>
      </c>
      <c r="B140" t="inlineStr">
        <is>
          <t>T7</t>
        </is>
      </c>
      <c r="C140" t="n">
        <v>7</v>
      </c>
      <c r="D140" t="n">
        <v>20</v>
      </c>
      <c r="E140" t="inlineStr">
        <is>
          <t>Input</t>
        </is>
      </c>
      <c r="F140" t="n">
        <v/>
      </c>
      <c r="G140" t="n">
        <v>3.599194607673695</v>
      </c>
      <c r="H140" t="inlineStr"/>
      <c r="I140" t="inlineStr">
        <is>
          <t>0.00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center</t>
        </is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Assumptions Sheet</t>
        </is>
      </c>
      <c r="B141" t="inlineStr">
        <is>
          <t>U7</t>
        </is>
      </c>
      <c r="C141" t="n">
        <v>7</v>
      </c>
      <c r="D141" t="n">
        <v>21</v>
      </c>
      <c r="E141" t="inlineStr">
        <is>
          <t>Input</t>
        </is>
      </c>
      <c r="F141" t="n">
        <v/>
      </c>
      <c r="G141" t="n">
        <v>3.699194607673695</v>
      </c>
      <c r="H141" t="inlineStr"/>
      <c r="I141" t="inlineStr">
        <is>
          <t>0.00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inlineStr">
        <is>
          <t>center</t>
        </is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Assumptions Sheet</t>
        </is>
      </c>
      <c r="B142" t="inlineStr">
        <is>
          <t>V7</t>
        </is>
      </c>
      <c r="C142" t="n">
        <v>7</v>
      </c>
      <c r="D142" t="n">
        <v>22</v>
      </c>
      <c r="E142" t="inlineStr">
        <is>
          <t>Input</t>
        </is>
      </c>
      <c r="F142" t="n">
        <v/>
      </c>
      <c r="G142" t="n">
        <v>3.799194607673695</v>
      </c>
      <c r="H142" t="inlineStr"/>
      <c r="I142" t="inlineStr">
        <is>
          <t>0.00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inlineStr">
        <is>
          <t>center</t>
        </is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Assumptions Sheet</t>
        </is>
      </c>
      <c r="B143" t="inlineStr">
        <is>
          <t>W7</t>
        </is>
      </c>
      <c r="C143" t="n">
        <v>7</v>
      </c>
      <c r="D143" t="n">
        <v>23</v>
      </c>
      <c r="E143" t="inlineStr">
        <is>
          <t>Input</t>
        </is>
      </c>
      <c r="F143" t="n">
        <v/>
      </c>
      <c r="G143" t="n">
        <v>3.899194607673695</v>
      </c>
      <c r="H143" t="inlineStr"/>
      <c r="I143" t="inlineStr">
        <is>
          <t>0.00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inlineStr">
        <is>
          <t>center</t>
        </is>
      </c>
      <c r="P143" t="n">
        <v/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Assumptions Sheet</t>
        </is>
      </c>
      <c r="B144" t="inlineStr">
        <is>
          <t>X7</t>
        </is>
      </c>
      <c r="C144" t="n">
        <v>7</v>
      </c>
      <c r="D144" t="n">
        <v>24</v>
      </c>
      <c r="E144" t="inlineStr">
        <is>
          <t>Input</t>
        </is>
      </c>
      <c r="F144" t="n">
        <v/>
      </c>
      <c r="G144" t="n">
        <v>3.999194607673696</v>
      </c>
      <c r="H144" t="inlineStr"/>
      <c r="I144" t="inlineStr">
        <is>
          <t>0.00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inlineStr">
        <is>
          <t>center</t>
        </is>
      </c>
      <c r="P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Assumptions Sheet</t>
        </is>
      </c>
      <c r="B145" t="inlineStr">
        <is>
          <t>B8</t>
        </is>
      </c>
      <c r="C145" t="n">
        <v>8</v>
      </c>
      <c r="D145" t="n">
        <v>2</v>
      </c>
      <c r="E145" t="inlineStr">
        <is>
          <t>Input</t>
        </is>
      </c>
      <c r="F145" t="n">
        <v/>
      </c>
      <c r="G145" t="inlineStr">
        <is>
          <t>Block Hours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inlineStr">
        <is>
          <t>left</t>
        </is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Assumptions Sheet</t>
        </is>
      </c>
      <c r="B146" t="inlineStr">
        <is>
          <t>C8</t>
        </is>
      </c>
      <c r="C146" t="n">
        <v>8</v>
      </c>
      <c r="D146" t="n">
        <v>3</v>
      </c>
      <c r="E146" t="inlineStr">
        <is>
          <t>Input</t>
        </is>
      </c>
      <c r="F146" t="n">
        <v/>
      </c>
      <c r="G146" t="n">
        <v>93487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n">
        <v/>
      </c>
      <c r="P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Assumptions Sheet</t>
        </is>
      </c>
      <c r="B147" t="inlineStr">
        <is>
          <t>D8</t>
        </is>
      </c>
      <c r="C147" t="n">
        <v>8</v>
      </c>
      <c r="D147" t="n">
        <v>4</v>
      </c>
      <c r="E147" t="inlineStr">
        <is>
          <t>Input</t>
        </is>
      </c>
      <c r="F147" t="n">
        <v/>
      </c>
      <c r="G147" t="n">
        <v>125553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center</t>
        </is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Assumptions Sheet</t>
        </is>
      </c>
      <c r="B148" t="inlineStr">
        <is>
          <t>E8</t>
        </is>
      </c>
      <c r="C148" t="n">
        <v>8</v>
      </c>
      <c r="D148" t="n">
        <v>5</v>
      </c>
      <c r="E148" t="inlineStr">
        <is>
          <t>Input</t>
        </is>
      </c>
      <c r="F148" t="n">
        <v/>
      </c>
      <c r="G148" t="n">
        <v>179252</v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center</t>
        </is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Assumptions Sheet</t>
        </is>
      </c>
      <c r="B149" t="inlineStr">
        <is>
          <t>F8</t>
        </is>
      </c>
      <c r="C149" t="n">
        <v>8</v>
      </c>
      <c r="D149" t="n">
        <v>6</v>
      </c>
      <c r="E149" t="inlineStr">
        <is>
          <t>Input</t>
        </is>
      </c>
      <c r="F149" t="n">
        <v/>
      </c>
      <c r="G149" t="n">
        <v>246140</v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inlineStr">
        <is>
          <t>center</t>
        </is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Assumptions Sheet</t>
        </is>
      </c>
      <c r="B150" t="inlineStr">
        <is>
          <t>G8</t>
        </is>
      </c>
      <c r="C150" t="n">
        <v>8</v>
      </c>
      <c r="D150" t="n">
        <v>7</v>
      </c>
      <c r="E150" t="inlineStr">
        <is>
          <t>Input</t>
        </is>
      </c>
      <c r="F150" t="n">
        <v/>
      </c>
      <c r="G150" t="n">
        <v>297653</v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inlineStr">
        <is>
          <t>center</t>
        </is>
      </c>
      <c r="P150" t="n">
        <v/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Assumptions Sheet</t>
        </is>
      </c>
      <c r="B151" t="inlineStr">
        <is>
          <t>H8</t>
        </is>
      </c>
      <c r="C151" t="n">
        <v>8</v>
      </c>
      <c r="D151" t="n">
        <v>8</v>
      </c>
      <c r="E151" t="inlineStr">
        <is>
          <t>Input</t>
        </is>
      </c>
      <c r="F151" t="n">
        <v/>
      </c>
      <c r="G151" t="n">
        <v>354276</v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inlineStr">
        <is>
          <t>center</t>
        </is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Assumptions Sheet</t>
        </is>
      </c>
      <c r="B152" t="inlineStr">
        <is>
          <t>I8</t>
        </is>
      </c>
      <c r="C152" t="n">
        <v>8</v>
      </c>
      <c r="D152" t="n">
        <v>9</v>
      </c>
      <c r="E152" t="inlineStr">
        <is>
          <t>Input</t>
        </is>
      </c>
      <c r="F152" t="n">
        <v/>
      </c>
      <c r="G152" t="n">
        <v>436739</v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inlineStr">
        <is>
          <t>center</t>
        </is>
      </c>
      <c r="P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Assumptions Sheet</t>
        </is>
      </c>
      <c r="B153" t="inlineStr">
        <is>
          <t>J8</t>
        </is>
      </c>
      <c r="C153" t="n">
        <v>8</v>
      </c>
      <c r="D153" t="n">
        <v>10</v>
      </c>
      <c r="E153" t="inlineStr">
        <is>
          <t>Input</t>
        </is>
      </c>
      <c r="F153" t="n">
        <v/>
      </c>
      <c r="G153" t="n">
        <v>558567</v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inlineStr">
        <is>
          <t>center</t>
        </is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Assumptions Sheet</t>
        </is>
      </c>
      <c r="B154" t="inlineStr">
        <is>
          <t>K8</t>
        </is>
      </c>
      <c r="C154" t="n">
        <v>8</v>
      </c>
      <c r="D154" t="n">
        <v>11</v>
      </c>
      <c r="E154" t="inlineStr">
        <is>
          <t>Output</t>
        </is>
      </c>
      <c r="F154" t="inlineStr">
        <is>
          <t>'='Cost Matrix'!K7</t>
        </is>
      </c>
      <c r="G154" t="n">
        <v>669154.5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FFFF0000</t>
        </is>
      </c>
      <c r="N154" t="inlineStr">
        <is>
          <t>Values must be of type &lt;class 'str'&gt;</t>
        </is>
      </c>
      <c r="O154" t="inlineStr">
        <is>
          <t>center</t>
        </is>
      </c>
      <c r="P154" t="n">
        <v/>
      </c>
      <c r="R154" t="b">
        <v>1</v>
      </c>
      <c r="S154" t="inlineStr">
        <is>
          <t>G000013</t>
        </is>
      </c>
      <c r="T154" t="inlineStr">
        <is>
          <t>Horizontal</t>
        </is>
      </c>
      <c r="U154" t="n">
        <v>5</v>
      </c>
      <c r="V154" t="b">
        <v>1</v>
      </c>
      <c r="W154" t="inlineStr">
        <is>
          <t>Assumptions Sheet!K8:O8</t>
        </is>
      </c>
      <c r="X154">
        <f>'Cost Matrix'!R[-1]C[0]</f>
        <v/>
      </c>
    </row>
    <row r="155">
      <c r="A155" t="inlineStr">
        <is>
          <t>Assumptions Sheet</t>
        </is>
      </c>
      <c r="B155" t="inlineStr">
        <is>
          <t>L8</t>
        </is>
      </c>
      <c r="C155" t="n">
        <v>8</v>
      </c>
      <c r="D155" t="n">
        <v>12</v>
      </c>
      <c r="E155" t="inlineStr">
        <is>
          <t>Output</t>
        </is>
      </c>
      <c r="F155" t="inlineStr">
        <is>
          <t>'='Cost Matrix'!L7</t>
        </is>
      </c>
      <c r="G155" t="n">
        <v>742717.114173913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FFFF0000</t>
        </is>
      </c>
      <c r="N155" t="inlineStr">
        <is>
          <t>Values must be of type &lt;class 'str'&gt;</t>
        </is>
      </c>
      <c r="O155" t="inlineStr">
        <is>
          <t>center</t>
        </is>
      </c>
      <c r="P155" t="n">
        <v/>
      </c>
      <c r="R155" t="b">
        <v>1</v>
      </c>
      <c r="S155" t="inlineStr">
        <is>
          <t>G000013</t>
        </is>
      </c>
      <c r="T155" t="inlineStr">
        <is>
          <t>Horizontal</t>
        </is>
      </c>
      <c r="U155" t="n">
        <v>5</v>
      </c>
      <c r="V155" t="b">
        <v>1</v>
      </c>
      <c r="W155" t="inlineStr">
        <is>
          <t>Assumptions Sheet!K8:O8</t>
        </is>
      </c>
      <c r="X155">
        <f>'Cost Matrix'!R[-1]C[0]</f>
        <v/>
      </c>
    </row>
    <row r="156">
      <c r="A156" t="inlineStr">
        <is>
          <t>Assumptions Sheet</t>
        </is>
      </c>
      <c r="B156" t="inlineStr">
        <is>
          <t>M8</t>
        </is>
      </c>
      <c r="C156" t="n">
        <v>8</v>
      </c>
      <c r="D156" t="n">
        <v>13</v>
      </c>
      <c r="E156" t="inlineStr">
        <is>
          <t>Output</t>
        </is>
      </c>
      <c r="F156" t="inlineStr">
        <is>
          <t>'='Cost Matrix'!M7</t>
        </is>
      </c>
      <c r="G156" t="n">
        <v>823244.5377391301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FFFF0000</t>
        </is>
      </c>
      <c r="N156" t="inlineStr">
        <is>
          <t>Values must be of type &lt;class 'str'&gt;</t>
        </is>
      </c>
      <c r="O156" t="inlineStr">
        <is>
          <t>center</t>
        </is>
      </c>
      <c r="P156" t="n">
        <v/>
      </c>
      <c r="R156" t="b">
        <v>1</v>
      </c>
      <c r="S156" t="inlineStr">
        <is>
          <t>G000013</t>
        </is>
      </c>
      <c r="T156" t="inlineStr">
        <is>
          <t>Horizontal</t>
        </is>
      </c>
      <c r="U156" t="n">
        <v>5</v>
      </c>
      <c r="V156" t="b">
        <v>1</v>
      </c>
      <c r="W156" t="inlineStr">
        <is>
          <t>Assumptions Sheet!K8:O8</t>
        </is>
      </c>
      <c r="X156">
        <f>'Cost Matrix'!R[-1]C[0]</f>
        <v/>
      </c>
    </row>
    <row r="157">
      <c r="A157" t="inlineStr">
        <is>
          <t>Assumptions Sheet</t>
        </is>
      </c>
      <c r="B157" t="inlineStr">
        <is>
          <t>N8</t>
        </is>
      </c>
      <c r="C157" t="n">
        <v>8</v>
      </c>
      <c r="D157" t="n">
        <v>14</v>
      </c>
      <c r="E157" t="inlineStr">
        <is>
          <t>Output</t>
        </is>
      </c>
      <c r="F157" t="inlineStr">
        <is>
          <t>'='Cost Matrix'!N7</t>
        </is>
      </c>
      <c r="G157" t="n">
        <v>963196.1091547823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FFFF0000</t>
        </is>
      </c>
      <c r="N157" t="inlineStr">
        <is>
          <t>Values must be of type &lt;class 'str'&gt;</t>
        </is>
      </c>
      <c r="O157" t="inlineStr">
        <is>
          <t>center</t>
        </is>
      </c>
      <c r="P157" t="n">
        <v/>
      </c>
      <c r="R157" t="b">
        <v>1</v>
      </c>
      <c r="S157" t="inlineStr">
        <is>
          <t>G000013</t>
        </is>
      </c>
      <c r="T157" t="inlineStr">
        <is>
          <t>Horizontal</t>
        </is>
      </c>
      <c r="U157" t="n">
        <v>5</v>
      </c>
      <c r="V157" t="b">
        <v>1</v>
      </c>
      <c r="W157" t="inlineStr">
        <is>
          <t>Assumptions Sheet!K8:O8</t>
        </is>
      </c>
      <c r="X157">
        <f>'Cost Matrix'!R[-1]C[0]</f>
        <v/>
      </c>
    </row>
    <row r="158">
      <c r="A158" t="inlineStr">
        <is>
          <t>Assumptions Sheet</t>
        </is>
      </c>
      <c r="B158" t="inlineStr">
        <is>
          <t>O8</t>
        </is>
      </c>
      <c r="C158" t="n">
        <v>8</v>
      </c>
      <c r="D158" t="n">
        <v>15</v>
      </c>
      <c r="E158" t="inlineStr">
        <is>
          <t>Output</t>
        </is>
      </c>
      <c r="F158" t="inlineStr">
        <is>
          <t>'='Cost Matrix'!O7</t>
        </is>
      </c>
      <c r="G158" t="n">
        <v>1126198.52762713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FFFF0000</t>
        </is>
      </c>
      <c r="N158" t="inlineStr">
        <is>
          <t>Values must be of type &lt;class 'str'&gt;</t>
        </is>
      </c>
      <c r="O158" t="inlineStr">
        <is>
          <t>center</t>
        </is>
      </c>
      <c r="P158" t="n">
        <v/>
      </c>
      <c r="R158" t="b">
        <v>1</v>
      </c>
      <c r="S158" t="inlineStr">
        <is>
          <t>G000013</t>
        </is>
      </c>
      <c r="T158" t="inlineStr">
        <is>
          <t>Horizontal</t>
        </is>
      </c>
      <c r="U158" t="n">
        <v>5</v>
      </c>
      <c r="V158" t="b">
        <v>1</v>
      </c>
      <c r="W158" t="inlineStr">
        <is>
          <t>Assumptions Sheet!K8:O8</t>
        </is>
      </c>
      <c r="X158">
        <f>'Cost Matrix'!R[-1]C[0]</f>
        <v/>
      </c>
    </row>
    <row r="159">
      <c r="A159" t="inlineStr">
        <is>
          <t>Assumptions Sheet</t>
        </is>
      </c>
      <c r="B159" t="inlineStr">
        <is>
          <t>P8</t>
        </is>
      </c>
      <c r="C159" t="n">
        <v>8</v>
      </c>
      <c r="D159" t="n">
        <v>16</v>
      </c>
      <c r="E159" t="inlineStr">
        <is>
          <t>Input</t>
        </is>
      </c>
      <c r="F159" t="n">
        <v/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FFFF0000</t>
        </is>
      </c>
      <c r="N159" t="inlineStr">
        <is>
          <t>Values must be of type &lt;class 'str'&gt;</t>
        </is>
      </c>
      <c r="O159" t="inlineStr">
        <is>
          <t>center</t>
        </is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Assumptions Sheet</t>
        </is>
      </c>
      <c r="B160" t="inlineStr">
        <is>
          <t>S8</t>
        </is>
      </c>
      <c r="C160" t="n">
        <v>8</v>
      </c>
      <c r="D160" t="n">
        <v>19</v>
      </c>
      <c r="E160" t="inlineStr">
        <is>
          <t>Input</t>
        </is>
      </c>
      <c r="F160" t="n">
        <v/>
      </c>
      <c r="G160" t="inlineStr">
        <is>
          <t>Passenger Ticket Revenue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inlineStr">
        <is>
          <t>left</t>
        </is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Assumptions Sheet</t>
        </is>
      </c>
      <c r="B161" t="inlineStr">
        <is>
          <t>T8</t>
        </is>
      </c>
      <c r="C161" t="n">
        <v>8</v>
      </c>
      <c r="D161" t="n">
        <v>20</v>
      </c>
      <c r="E161" t="inlineStr">
        <is>
          <t>Input</t>
        </is>
      </c>
      <c r="F161" t="n">
        <v/>
      </c>
      <c r="G161" t="n">
        <v>198026.4779848185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Assumptions Sheet</t>
        </is>
      </c>
      <c r="B162" t="inlineStr">
        <is>
          <t>U8</t>
        </is>
      </c>
      <c r="C162" t="n">
        <v>8</v>
      </c>
      <c r="D162" t="n">
        <v>21</v>
      </c>
      <c r="E162" t="inlineStr">
        <is>
          <t>Input</t>
        </is>
      </c>
      <c r="F162" t="n">
        <v/>
      </c>
      <c r="G162" t="n">
        <v>241326.5840562848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Assumptions Sheet</t>
        </is>
      </c>
      <c r="B163" t="inlineStr">
        <is>
          <t>V8</t>
        </is>
      </c>
      <c r="C163" t="n">
        <v>8</v>
      </c>
      <c r="D163" t="n">
        <v>22</v>
      </c>
      <c r="E163" t="inlineStr">
        <is>
          <t>Input</t>
        </is>
      </c>
      <c r="F163" t="n">
        <v/>
      </c>
      <c r="G163" t="n">
        <v>293837.0345889449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center</t>
        </is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Assumptions Sheet</t>
        </is>
      </c>
      <c r="B164" t="inlineStr">
        <is>
          <t>W8</t>
        </is>
      </c>
      <c r="C164" t="n">
        <v>8</v>
      </c>
      <c r="D164" t="n">
        <v>23</v>
      </c>
      <c r="E164" t="inlineStr">
        <is>
          <t>Input</t>
        </is>
      </c>
      <c r="F164" t="n">
        <v/>
      </c>
      <c r="G164" t="n">
        <v>357472.2353548176</v>
      </c>
      <c r="H164" t="inlineStr"/>
      <c r="I164" t="inlineStr">
        <is>
          <t>0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center</t>
        </is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Assumptions Sheet</t>
        </is>
      </c>
      <c r="B165" t="inlineStr">
        <is>
          <t>X8</t>
        </is>
      </c>
      <c r="C165" t="n">
        <v>8</v>
      </c>
      <c r="D165" t="n">
        <v>24</v>
      </c>
      <c r="E165" t="inlineStr">
        <is>
          <t>Input</t>
        </is>
      </c>
      <c r="F165" t="n">
        <v/>
      </c>
      <c r="G165" t="n">
        <v>434536.3951023616</v>
      </c>
      <c r="H165" t="inlineStr"/>
      <c r="I165" t="inlineStr">
        <is>
          <t>0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n">
        <v/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Assumptions Sheet</t>
        </is>
      </c>
      <c r="B166" t="inlineStr">
        <is>
          <t>B9</t>
        </is>
      </c>
      <c r="C166" t="n">
        <v>9</v>
      </c>
      <c r="D166" t="n">
        <v>2</v>
      </c>
      <c r="E166" t="inlineStr">
        <is>
          <t>Input</t>
        </is>
      </c>
      <c r="F166" t="n">
        <v/>
      </c>
      <c r="G166" t="inlineStr">
        <is>
          <t>Block Hours Per Aircraft</t>
        </is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left</t>
        </is>
      </c>
      <c r="P166" t="n">
        <v/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Assumptions Sheet</t>
        </is>
      </c>
      <c r="B167" t="inlineStr">
        <is>
          <t>C9</t>
        </is>
      </c>
      <c r="C167" t="n">
        <v>9</v>
      </c>
      <c r="D167" t="n">
        <v>3</v>
      </c>
      <c r="E167" t="inlineStr">
        <is>
          <t>Calculation</t>
        </is>
      </c>
      <c r="F167" t="inlineStr">
        <is>
          <t>'=C8/C17</t>
        </is>
      </c>
      <c r="G167" t="n">
        <v>3739.48</v>
      </c>
      <c r="H167" t="inlineStr"/>
      <c r="I167" t="inlineStr">
        <is>
          <t>0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n">
        <v/>
      </c>
      <c r="P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>
        <f>R[-1]C[0]/R[8]C[0]</f>
        <v/>
      </c>
    </row>
    <row r="168">
      <c r="A168" t="inlineStr">
        <is>
          <t>Assumptions Sheet</t>
        </is>
      </c>
      <c r="B168" t="inlineStr">
        <is>
          <t>D9</t>
        </is>
      </c>
      <c r="C168" t="n">
        <v>9</v>
      </c>
      <c r="D168" t="n">
        <v>4</v>
      </c>
      <c r="E168" t="inlineStr">
        <is>
          <t>Calculation</t>
        </is>
      </c>
      <c r="F168" t="inlineStr">
        <is>
          <t>'=D8/AVERAGE(C17:D17)</t>
        </is>
      </c>
      <c r="G168" t="n">
        <v>3923.53125</v>
      </c>
      <c r="H168" t="inlineStr"/>
      <c r="I168" t="inlineStr">
        <is>
          <t>0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inlineStr">
        <is>
          <t>center</t>
        </is>
      </c>
      <c r="P168" t="n">
        <v/>
      </c>
      <c r="R168" t="b">
        <v>1</v>
      </c>
      <c r="S168" t="inlineStr">
        <is>
          <t>G000014</t>
        </is>
      </c>
      <c r="T168" t="inlineStr">
        <is>
          <t>Horizontal</t>
        </is>
      </c>
      <c r="U168" t="n">
        <v>7</v>
      </c>
      <c r="V168" t="b">
        <v>1</v>
      </c>
      <c r="W168" t="inlineStr">
        <is>
          <t>Assumptions Sheet!D9:J9</t>
        </is>
      </c>
      <c r="X168">
        <f>R[-1]C[0]/AVERAGE(R[8]C[-1]:R[8]C[0])</f>
        <v/>
      </c>
    </row>
    <row r="169">
      <c r="A169" t="inlineStr">
        <is>
          <t>Assumptions Sheet</t>
        </is>
      </c>
      <c r="B169" t="inlineStr">
        <is>
          <t>E9</t>
        </is>
      </c>
      <c r="C169" t="n">
        <v>9</v>
      </c>
      <c r="D169" t="n">
        <v>5</v>
      </c>
      <c r="E169" t="inlineStr">
        <is>
          <t>Calculation</t>
        </is>
      </c>
      <c r="F169" t="inlineStr">
        <is>
          <t>'=E8/AVERAGE(D17:E17)</t>
        </is>
      </c>
      <c r="G169" t="n">
        <v>3813.872340425532</v>
      </c>
      <c r="H169" t="inlineStr"/>
      <c r="I169" t="inlineStr">
        <is>
          <t>0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inlineStr">
        <is>
          <t>center</t>
        </is>
      </c>
      <c r="P169" t="n">
        <v/>
      </c>
      <c r="R169" t="b">
        <v>1</v>
      </c>
      <c r="S169" t="inlineStr">
        <is>
          <t>G000014</t>
        </is>
      </c>
      <c r="T169" t="inlineStr">
        <is>
          <t>Horizontal</t>
        </is>
      </c>
      <c r="U169" t="n">
        <v>7</v>
      </c>
      <c r="V169" t="b">
        <v>1</v>
      </c>
      <c r="W169" t="inlineStr">
        <is>
          <t>Assumptions Sheet!D9:J9</t>
        </is>
      </c>
      <c r="X169">
        <f>R[-1]C[0]/AVERAGE(R[8]C[-1]:R[8]C[0])</f>
        <v/>
      </c>
    </row>
    <row r="170">
      <c r="A170" t="inlineStr">
        <is>
          <t>Assumptions Sheet</t>
        </is>
      </c>
      <c r="B170" t="inlineStr">
        <is>
          <t>F9</t>
        </is>
      </c>
      <c r="C170" t="n">
        <v>9</v>
      </c>
      <c r="D170" t="n">
        <v>6</v>
      </c>
      <c r="E170" t="inlineStr">
        <is>
          <t>Calculation</t>
        </is>
      </c>
      <c r="F170" t="inlineStr">
        <is>
          <t>'=F8/AVERAGE(E17:F17)</t>
        </is>
      </c>
      <c r="G170" t="n">
        <v>4068.429752066116</v>
      </c>
      <c r="H170" t="inlineStr"/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inlineStr">
        <is>
          <t>center</t>
        </is>
      </c>
      <c r="P170" t="n">
        <v/>
      </c>
      <c r="R170" t="b">
        <v>1</v>
      </c>
      <c r="S170" t="inlineStr">
        <is>
          <t>G000014</t>
        </is>
      </c>
      <c r="T170" t="inlineStr">
        <is>
          <t>Horizontal</t>
        </is>
      </c>
      <c r="U170" t="n">
        <v>7</v>
      </c>
      <c r="V170" t="b">
        <v>1</v>
      </c>
      <c r="W170" t="inlineStr">
        <is>
          <t>Assumptions Sheet!D9:J9</t>
        </is>
      </c>
      <c r="X170">
        <f>R[-1]C[0]/AVERAGE(R[8]C[-1]:R[8]C[0])</f>
        <v/>
      </c>
    </row>
    <row r="171">
      <c r="A171" t="inlineStr">
        <is>
          <t>Assumptions Sheet</t>
        </is>
      </c>
      <c r="B171" t="inlineStr">
        <is>
          <t>G9</t>
        </is>
      </c>
      <c r="C171" t="n">
        <v>9</v>
      </c>
      <c r="D171" t="n">
        <v>7</v>
      </c>
      <c r="E171" t="inlineStr">
        <is>
          <t>Calculation</t>
        </is>
      </c>
      <c r="F171" t="inlineStr">
        <is>
          <t>'=G8/AVERAGE(F17:G17)</t>
        </is>
      </c>
      <c r="G171" t="n">
        <v>4162.979020979021</v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inlineStr">
        <is>
          <t>center</t>
        </is>
      </c>
      <c r="P171" t="n">
        <v/>
      </c>
      <c r="R171" t="b">
        <v>1</v>
      </c>
      <c r="S171" t="inlineStr">
        <is>
          <t>G000014</t>
        </is>
      </c>
      <c r="T171" t="inlineStr">
        <is>
          <t>Horizontal</t>
        </is>
      </c>
      <c r="U171" t="n">
        <v>7</v>
      </c>
      <c r="V171" t="b">
        <v>1</v>
      </c>
      <c r="W171" t="inlineStr">
        <is>
          <t>Assumptions Sheet!D9:J9</t>
        </is>
      </c>
      <c r="X171">
        <f>R[-1]C[0]/AVERAGE(R[8]C[-1]:R[8]C[0])</f>
        <v/>
      </c>
    </row>
    <row r="172">
      <c r="A172" t="inlineStr">
        <is>
          <t>Assumptions Sheet</t>
        </is>
      </c>
      <c r="B172" t="inlineStr">
        <is>
          <t>H9</t>
        </is>
      </c>
      <c r="C172" t="n">
        <v>9</v>
      </c>
      <c r="D172" t="n">
        <v>8</v>
      </c>
      <c r="E172" t="inlineStr">
        <is>
          <t>Calculation</t>
        </is>
      </c>
      <c r="F172" t="inlineStr">
        <is>
          <t>'=H8/AVERAGE(G17:H17)</t>
        </is>
      </c>
      <c r="G172" t="n">
        <v>4143.578947368421</v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inlineStr">
        <is>
          <t>center</t>
        </is>
      </c>
      <c r="P172" t="n">
        <v/>
      </c>
      <c r="R172" t="b">
        <v>1</v>
      </c>
      <c r="S172" t="inlineStr">
        <is>
          <t>G000014</t>
        </is>
      </c>
      <c r="T172" t="inlineStr">
        <is>
          <t>Horizontal</t>
        </is>
      </c>
      <c r="U172" t="n">
        <v>7</v>
      </c>
      <c r="V172" t="b">
        <v>1</v>
      </c>
      <c r="W172" t="inlineStr">
        <is>
          <t>Assumptions Sheet!D9:J9</t>
        </is>
      </c>
      <c r="X172">
        <f>R[-1]C[0]/AVERAGE(R[8]C[-1]:R[8]C[0])</f>
        <v/>
      </c>
    </row>
    <row r="173">
      <c r="A173" t="inlineStr">
        <is>
          <t>Assumptions Sheet</t>
        </is>
      </c>
      <c r="B173" t="inlineStr">
        <is>
          <t>I9</t>
        </is>
      </c>
      <c r="C173" t="n">
        <v>9</v>
      </c>
      <c r="D173" t="n">
        <v>9</v>
      </c>
      <c r="E173" t="inlineStr">
        <is>
          <t>Calculation</t>
        </is>
      </c>
      <c r="F173" t="inlineStr">
        <is>
          <t>'=I8/AVERAGE(H17:I17)</t>
        </is>
      </c>
      <c r="G173" t="n">
        <v>4345.661691542288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inlineStr">
        <is>
          <t>center</t>
        </is>
      </c>
      <c r="P173" t="n">
        <v/>
      </c>
      <c r="R173" t="b">
        <v>1</v>
      </c>
      <c r="S173" t="inlineStr">
        <is>
          <t>G000014</t>
        </is>
      </c>
      <c r="T173" t="inlineStr">
        <is>
          <t>Horizontal</t>
        </is>
      </c>
      <c r="U173" t="n">
        <v>7</v>
      </c>
      <c r="V173" t="b">
        <v>1</v>
      </c>
      <c r="W173" t="inlineStr">
        <is>
          <t>Assumptions Sheet!D9:J9</t>
        </is>
      </c>
      <c r="X173">
        <f>R[-1]C[0]/AVERAGE(R[8]C[-1]:R[8]C[0])</f>
        <v/>
      </c>
    </row>
    <row r="174">
      <c r="A174" t="inlineStr">
        <is>
          <t>Assumptions Sheet</t>
        </is>
      </c>
      <c r="B174" t="inlineStr">
        <is>
          <t>J9</t>
        </is>
      </c>
      <c r="C174" t="n">
        <v>9</v>
      </c>
      <c r="D174" t="n">
        <v>10</v>
      </c>
      <c r="E174" t="inlineStr">
        <is>
          <t>Calculation</t>
        </is>
      </c>
      <c r="F174" t="inlineStr">
        <is>
          <t>'=J8/AVERAGE(I17:J17)</t>
        </is>
      </c>
      <c r="G174" t="n">
        <v>4693.840336134454</v>
      </c>
      <c r="H174" t="inlineStr"/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inlineStr">
        <is>
          <t>center</t>
        </is>
      </c>
      <c r="P174" t="n">
        <v/>
      </c>
      <c r="R174" t="b">
        <v>1</v>
      </c>
      <c r="S174" t="inlineStr">
        <is>
          <t>G000014</t>
        </is>
      </c>
      <c r="T174" t="inlineStr">
        <is>
          <t>Horizontal</t>
        </is>
      </c>
      <c r="U174" t="n">
        <v>7</v>
      </c>
      <c r="V174" t="b">
        <v>1</v>
      </c>
      <c r="W174" t="inlineStr">
        <is>
          <t>Assumptions Sheet!D9:J9</t>
        </is>
      </c>
      <c r="X174">
        <f>R[-1]C[0]/AVERAGE(R[8]C[-1]:R[8]C[0])</f>
        <v/>
      </c>
    </row>
    <row r="175">
      <c r="A175" t="inlineStr">
        <is>
          <t>Assumptions Sheet</t>
        </is>
      </c>
      <c r="B175" t="inlineStr">
        <is>
          <t>K9</t>
        </is>
      </c>
      <c r="C175" t="n">
        <v>9</v>
      </c>
      <c r="D175" t="n">
        <v>11</v>
      </c>
      <c r="E175" t="inlineStr">
        <is>
          <t>Output</t>
        </is>
      </c>
      <c r="F175" t="inlineStr">
        <is>
          <t>'='Cost Matrix'!K9</t>
        </is>
      </c>
      <c r="G175" t="n">
        <v>4599</v>
      </c>
      <c r="H175" t="inlineStr"/>
      <c r="I175" t="inlineStr">
        <is>
          <t>0</t>
        </is>
      </c>
      <c r="J175" t="b">
        <v>0</v>
      </c>
      <c r="K175" t="b">
        <v>0</v>
      </c>
      <c r="L175" t="n">
        <v>11</v>
      </c>
      <c r="M175" t="inlineStr">
        <is>
          <t>FFFF0000</t>
        </is>
      </c>
      <c r="N175" t="inlineStr">
        <is>
          <t>Values must be of type &lt;class 'str'&gt;</t>
        </is>
      </c>
      <c r="O175" t="inlineStr">
        <is>
          <t>center</t>
        </is>
      </c>
      <c r="P175" t="n">
        <v/>
      </c>
      <c r="R175" t="b">
        <v>1</v>
      </c>
      <c r="S175" t="inlineStr">
        <is>
          <t>G000015</t>
        </is>
      </c>
      <c r="T175" t="inlineStr">
        <is>
          <t>Horizontal</t>
        </is>
      </c>
      <c r="U175" t="n">
        <v>5</v>
      </c>
      <c r="V175" t="b">
        <v>1</v>
      </c>
      <c r="W175" t="inlineStr">
        <is>
          <t>Assumptions Sheet!K9:O9</t>
        </is>
      </c>
      <c r="X175">
        <f>'Cost Matrix'!R[0]C[0]</f>
        <v/>
      </c>
    </row>
    <row r="176">
      <c r="A176" t="inlineStr">
        <is>
          <t>Assumptions Sheet</t>
        </is>
      </c>
      <c r="B176" t="inlineStr">
        <is>
          <t>L9</t>
        </is>
      </c>
      <c r="C176" t="n">
        <v>9</v>
      </c>
      <c r="D176" t="n">
        <v>12</v>
      </c>
      <c r="E176" t="inlineStr">
        <is>
          <t>Output</t>
        </is>
      </c>
      <c r="F176" t="inlineStr">
        <is>
          <t>'='Cost Matrix'!L9</t>
        </is>
      </c>
      <c r="G176" t="n">
        <v>4489.5</v>
      </c>
      <c r="H176" t="inlineStr"/>
      <c r="I176" t="inlineStr">
        <is>
          <t>0</t>
        </is>
      </c>
      <c r="J176" t="b">
        <v>0</v>
      </c>
      <c r="K176" t="b">
        <v>0</v>
      </c>
      <c r="L176" t="n">
        <v>11</v>
      </c>
      <c r="M176" t="inlineStr">
        <is>
          <t>FFFF0000</t>
        </is>
      </c>
      <c r="N176" t="inlineStr">
        <is>
          <t>Values must be of type &lt;class 'str'&gt;</t>
        </is>
      </c>
      <c r="O176" t="inlineStr">
        <is>
          <t>center</t>
        </is>
      </c>
      <c r="P176" t="n">
        <v/>
      </c>
      <c r="R176" t="b">
        <v>1</v>
      </c>
      <c r="S176" t="inlineStr">
        <is>
          <t>G000015</t>
        </is>
      </c>
      <c r="T176" t="inlineStr">
        <is>
          <t>Horizontal</t>
        </is>
      </c>
      <c r="U176" t="n">
        <v>5</v>
      </c>
      <c r="V176" t="b">
        <v>1</v>
      </c>
      <c r="W176" t="inlineStr">
        <is>
          <t>Assumptions Sheet!K9:O9</t>
        </is>
      </c>
      <c r="X176">
        <f>'Cost Matrix'!R[0]C[0]</f>
        <v/>
      </c>
    </row>
    <row r="177">
      <c r="A177" t="inlineStr">
        <is>
          <t>Assumptions Sheet</t>
        </is>
      </c>
      <c r="B177" t="inlineStr">
        <is>
          <t>M9</t>
        </is>
      </c>
      <c r="C177" t="n">
        <v>9</v>
      </c>
      <c r="D177" t="n">
        <v>13</v>
      </c>
      <c r="E177" t="inlineStr">
        <is>
          <t>Output</t>
        </is>
      </c>
      <c r="F177" t="inlineStr">
        <is>
          <t>'='Cost Matrix'!M9</t>
        </is>
      </c>
      <c r="G177" t="n">
        <v>4379.999999999999</v>
      </c>
      <c r="H177" t="inlineStr"/>
      <c r="I177" t="inlineStr">
        <is>
          <t>0</t>
        </is>
      </c>
      <c r="J177" t="b">
        <v>0</v>
      </c>
      <c r="K177" t="b">
        <v>0</v>
      </c>
      <c r="L177" t="n">
        <v>11</v>
      </c>
      <c r="M177" t="inlineStr">
        <is>
          <t>FFFF0000</t>
        </is>
      </c>
      <c r="N177" t="inlineStr">
        <is>
          <t>Values must be of type &lt;class 'str'&gt;</t>
        </is>
      </c>
      <c r="O177" t="inlineStr">
        <is>
          <t>center</t>
        </is>
      </c>
      <c r="P177" t="n">
        <v/>
      </c>
      <c r="R177" t="b">
        <v>1</v>
      </c>
      <c r="S177" t="inlineStr">
        <is>
          <t>G000015</t>
        </is>
      </c>
      <c r="T177" t="inlineStr">
        <is>
          <t>Horizontal</t>
        </is>
      </c>
      <c r="U177" t="n">
        <v>5</v>
      </c>
      <c r="V177" t="b">
        <v>1</v>
      </c>
      <c r="W177" t="inlineStr">
        <is>
          <t>Assumptions Sheet!K9:O9</t>
        </is>
      </c>
      <c r="X177">
        <f>'Cost Matrix'!R[0]C[0]</f>
        <v/>
      </c>
    </row>
    <row r="178">
      <c r="A178" t="inlineStr">
        <is>
          <t>Assumptions Sheet</t>
        </is>
      </c>
      <c r="B178" t="inlineStr">
        <is>
          <t>N9</t>
        </is>
      </c>
      <c r="C178" t="n">
        <v>9</v>
      </c>
      <c r="D178" t="n">
        <v>14</v>
      </c>
      <c r="E178" t="inlineStr">
        <is>
          <t>Output</t>
        </is>
      </c>
      <c r="F178" t="inlineStr">
        <is>
          <t>'='Cost Matrix'!N9</t>
        </is>
      </c>
      <c r="G178" t="n">
        <v>4270.499999999999</v>
      </c>
      <c r="H178" t="inlineStr"/>
      <c r="I178" t="inlineStr">
        <is>
          <t>0</t>
        </is>
      </c>
      <c r="J178" t="b">
        <v>0</v>
      </c>
      <c r="K178" t="b">
        <v>0</v>
      </c>
      <c r="L178" t="n">
        <v>11</v>
      </c>
      <c r="M178" t="inlineStr">
        <is>
          <t>FFFF0000</t>
        </is>
      </c>
      <c r="N178" t="inlineStr">
        <is>
          <t>Values must be of type &lt;class 'str'&gt;</t>
        </is>
      </c>
      <c r="O178" t="inlineStr">
        <is>
          <t>center</t>
        </is>
      </c>
      <c r="P178" t="n">
        <v/>
      </c>
      <c r="R178" t="b">
        <v>1</v>
      </c>
      <c r="S178" t="inlineStr">
        <is>
          <t>G000015</t>
        </is>
      </c>
      <c r="T178" t="inlineStr">
        <is>
          <t>Horizontal</t>
        </is>
      </c>
      <c r="U178" t="n">
        <v>5</v>
      </c>
      <c r="V178" t="b">
        <v>1</v>
      </c>
      <c r="W178" t="inlineStr">
        <is>
          <t>Assumptions Sheet!K9:O9</t>
        </is>
      </c>
      <c r="X178">
        <f>'Cost Matrix'!R[0]C[0]</f>
        <v/>
      </c>
    </row>
    <row r="179">
      <c r="A179" t="inlineStr">
        <is>
          <t>Assumptions Sheet</t>
        </is>
      </c>
      <c r="B179" t="inlineStr">
        <is>
          <t>O9</t>
        </is>
      </c>
      <c r="C179" t="n">
        <v>9</v>
      </c>
      <c r="D179" t="n">
        <v>15</v>
      </c>
      <c r="E179" t="inlineStr">
        <is>
          <t>Output</t>
        </is>
      </c>
      <c r="F179" t="inlineStr">
        <is>
          <t>'='Cost Matrix'!O9</t>
        </is>
      </c>
      <c r="G179" t="n">
        <v>4160.999999999999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FFFF0000</t>
        </is>
      </c>
      <c r="N179" t="inlineStr">
        <is>
          <t>Values must be of type &lt;class 'str'&gt;</t>
        </is>
      </c>
      <c r="O179" t="inlineStr">
        <is>
          <t>center</t>
        </is>
      </c>
      <c r="P179" t="n">
        <v/>
      </c>
      <c r="R179" t="b">
        <v>1</v>
      </c>
      <c r="S179" t="inlineStr">
        <is>
          <t>G000015</t>
        </is>
      </c>
      <c r="T179" t="inlineStr">
        <is>
          <t>Horizontal</t>
        </is>
      </c>
      <c r="U179" t="n">
        <v>5</v>
      </c>
      <c r="V179" t="b">
        <v>1</v>
      </c>
      <c r="W179" t="inlineStr">
        <is>
          <t>Assumptions Sheet!K9:O9</t>
        </is>
      </c>
      <c r="X179">
        <f>'Cost Matrix'!R[0]C[0]</f>
        <v/>
      </c>
    </row>
    <row r="180">
      <c r="A180" t="inlineStr">
        <is>
          <t>Assumptions Sheet</t>
        </is>
      </c>
      <c r="B180" t="inlineStr">
        <is>
          <t>P9</t>
        </is>
      </c>
      <c r="C180" t="n">
        <v>9</v>
      </c>
      <c r="D180" t="n">
        <v>16</v>
      </c>
      <c r="E180" t="inlineStr">
        <is>
          <t>Input</t>
        </is>
      </c>
      <c r="F180" t="n">
        <v/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FFFF0000</t>
        </is>
      </c>
      <c r="N180" t="inlineStr">
        <is>
          <t>Values must be of type &lt;class 'str'&gt;</t>
        </is>
      </c>
      <c r="O180" t="inlineStr">
        <is>
          <t>center</t>
        </is>
      </c>
      <c r="P180" t="n">
        <v/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Assumptions Sheet</t>
        </is>
      </c>
      <c r="B181" t="inlineStr">
        <is>
          <t>B10</t>
        </is>
      </c>
      <c r="C181" t="n">
        <v>10</v>
      </c>
      <c r="D181" t="n">
        <v>2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left</t>
        </is>
      </c>
      <c r="P181" t="n">
        <v/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Assumptions Sheet</t>
        </is>
      </c>
      <c r="B182" t="inlineStr">
        <is>
          <t>C10</t>
        </is>
      </c>
      <c r="C182" t="n">
        <v>10</v>
      </c>
      <c r="D182" t="n">
        <v>3</v>
      </c>
      <c r="E182" t="inlineStr">
        <is>
          <t>Output</t>
        </is>
      </c>
      <c r="F182" t="inlineStr">
        <is>
          <t>'=(J9/C9)^(1/7)-1</t>
        </is>
      </c>
      <c r="G182" t="n">
        <v>0.03300504505197699</v>
      </c>
      <c r="H182" t="inlineStr"/>
      <c r="I182" t="inlineStr">
        <is>
          <t>0%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n">
        <v/>
      </c>
      <c r="P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>
        <f>(R[-1]C[7]/R[-1]C[0])^(1/7)-1</f>
        <v/>
      </c>
    </row>
    <row r="183">
      <c r="A183" t="inlineStr">
        <is>
          <t>Assumptions Sheet</t>
        </is>
      </c>
      <c r="B183" t="inlineStr">
        <is>
          <t>D10</t>
        </is>
      </c>
      <c r="C183" t="n">
        <v>10</v>
      </c>
      <c r="D183" t="n">
        <v>4</v>
      </c>
      <c r="E183" t="inlineStr">
        <is>
          <t>Output</t>
        </is>
      </c>
      <c r="F183" t="inlineStr">
        <is>
          <t>'=D9/C9-1</t>
        </is>
      </c>
      <c r="G183" t="n">
        <v>0.049218407372148</v>
      </c>
      <c r="H183" t="inlineStr"/>
      <c r="I183" t="inlineStr">
        <is>
          <t>0.00%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center</t>
        </is>
      </c>
      <c r="P183" t="n">
        <v/>
      </c>
      <c r="R183" t="b">
        <v>1</v>
      </c>
      <c r="S183" t="inlineStr">
        <is>
          <t>G000016</t>
        </is>
      </c>
      <c r="T183" t="inlineStr">
        <is>
          <t>Horizontal</t>
        </is>
      </c>
      <c r="U183" t="n">
        <v>7</v>
      </c>
      <c r="V183" t="b">
        <v>1</v>
      </c>
      <c r="W183" t="inlineStr">
        <is>
          <t>Assumptions Sheet!D10:J10</t>
        </is>
      </c>
      <c r="X183">
        <f>R[-1]C[0]/R[-1]C[-1]-1</f>
        <v/>
      </c>
    </row>
    <row r="184">
      <c r="A184" t="inlineStr">
        <is>
          <t>Assumptions Sheet</t>
        </is>
      </c>
      <c r="B184" t="inlineStr">
        <is>
          <t>E10</t>
        </is>
      </c>
      <c r="C184" t="n">
        <v>10</v>
      </c>
      <c r="D184" t="n">
        <v>5</v>
      </c>
      <c r="E184" t="inlineStr">
        <is>
          <t>Output</t>
        </is>
      </c>
      <c r="F184" t="inlineStr">
        <is>
          <t>'=E9/D9-1</t>
        </is>
      </c>
      <c r="G184" t="n">
        <v>-0.02794903432321794</v>
      </c>
      <c r="H184" t="inlineStr"/>
      <c r="I184" t="inlineStr">
        <is>
          <t>0.00%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inlineStr">
        <is>
          <t>center</t>
        </is>
      </c>
      <c r="P184" t="n">
        <v/>
      </c>
      <c r="R184" t="b">
        <v>1</v>
      </c>
      <c r="S184" t="inlineStr">
        <is>
          <t>G000016</t>
        </is>
      </c>
      <c r="T184" t="inlineStr">
        <is>
          <t>Horizontal</t>
        </is>
      </c>
      <c r="U184" t="n">
        <v>7</v>
      </c>
      <c r="V184" t="b">
        <v>1</v>
      </c>
      <c r="W184" t="inlineStr">
        <is>
          <t>Assumptions Sheet!D10:J10</t>
        </is>
      </c>
      <c r="X184">
        <f>R[-1]C[0]/R[-1]C[-1]-1</f>
        <v/>
      </c>
    </row>
    <row r="185">
      <c r="A185" t="inlineStr">
        <is>
          <t>Assumptions Sheet</t>
        </is>
      </c>
      <c r="B185" t="inlineStr">
        <is>
          <t>F10</t>
        </is>
      </c>
      <c r="C185" t="n">
        <v>10</v>
      </c>
      <c r="D185" t="n">
        <v>6</v>
      </c>
      <c r="E185" t="inlineStr">
        <is>
          <t>Output</t>
        </is>
      </c>
      <c r="F185" t="inlineStr">
        <is>
          <t>'=F9/E9-1</t>
        </is>
      </c>
      <c r="G185" t="n">
        <v>0.06674513169787466</v>
      </c>
      <c r="H185" t="inlineStr"/>
      <c r="I185" t="inlineStr">
        <is>
          <t>0.00%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inlineStr">
        <is>
          <t>center</t>
        </is>
      </c>
      <c r="P185" t="n">
        <v/>
      </c>
      <c r="R185" t="b">
        <v>1</v>
      </c>
      <c r="S185" t="inlineStr">
        <is>
          <t>G000016</t>
        </is>
      </c>
      <c r="T185" t="inlineStr">
        <is>
          <t>Horizontal</t>
        </is>
      </c>
      <c r="U185" t="n">
        <v>7</v>
      </c>
      <c r="V185" t="b">
        <v>1</v>
      </c>
      <c r="W185" t="inlineStr">
        <is>
          <t>Assumptions Sheet!D10:J10</t>
        </is>
      </c>
      <c r="X185">
        <f>R[-1]C[0]/R[-1]C[-1]-1</f>
        <v/>
      </c>
    </row>
    <row r="186">
      <c r="A186" t="inlineStr">
        <is>
          <t>Assumptions Sheet</t>
        </is>
      </c>
      <c r="B186" t="inlineStr">
        <is>
          <t>G10</t>
        </is>
      </c>
      <c r="C186" t="n">
        <v>10</v>
      </c>
      <c r="D186" t="n">
        <v>7</v>
      </c>
      <c r="E186" t="inlineStr">
        <is>
          <t>Output</t>
        </is>
      </c>
      <c r="F186" t="inlineStr">
        <is>
          <t>'=G9/F9-1</t>
        </is>
      </c>
      <c r="G186" t="n">
        <v>0.02323974473564139</v>
      </c>
      <c r="H186" t="inlineStr"/>
      <c r="I186" t="inlineStr">
        <is>
          <t>0.00%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Values must be of type &lt;class 'str'&gt;</t>
        </is>
      </c>
      <c r="O186" t="inlineStr">
        <is>
          <t>center</t>
        </is>
      </c>
      <c r="P186" t="n">
        <v/>
      </c>
      <c r="R186" t="b">
        <v>1</v>
      </c>
      <c r="S186" t="inlineStr">
        <is>
          <t>G000016</t>
        </is>
      </c>
      <c r="T186" t="inlineStr">
        <is>
          <t>Horizontal</t>
        </is>
      </c>
      <c r="U186" t="n">
        <v>7</v>
      </c>
      <c r="V186" t="b">
        <v>1</v>
      </c>
      <c r="W186" t="inlineStr">
        <is>
          <t>Assumptions Sheet!D10:J10</t>
        </is>
      </c>
      <c r="X186">
        <f>R[-1]C[0]/R[-1]C[-1]-1</f>
        <v/>
      </c>
    </row>
    <row r="187">
      <c r="A187" t="inlineStr">
        <is>
          <t>Assumptions Sheet</t>
        </is>
      </c>
      <c r="B187" t="inlineStr">
        <is>
          <t>H10</t>
        </is>
      </c>
      <c r="C187" t="n">
        <v>10</v>
      </c>
      <c r="D187" t="n">
        <v>8</v>
      </c>
      <c r="E187" t="inlineStr">
        <is>
          <t>Output</t>
        </is>
      </c>
      <c r="F187" t="inlineStr">
        <is>
          <t>'=H9/G9-1</t>
        </is>
      </c>
      <c r="G187" t="n">
        <v>-0.00466014205520493</v>
      </c>
      <c r="H187" t="inlineStr"/>
      <c r="I187" t="inlineStr">
        <is>
          <t>0.00%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n">
        <v/>
      </c>
      <c r="R187" t="b">
        <v>1</v>
      </c>
      <c r="S187" t="inlineStr">
        <is>
          <t>G000016</t>
        </is>
      </c>
      <c r="T187" t="inlineStr">
        <is>
          <t>Horizontal</t>
        </is>
      </c>
      <c r="U187" t="n">
        <v>7</v>
      </c>
      <c r="V187" t="b">
        <v>1</v>
      </c>
      <c r="W187" t="inlineStr">
        <is>
          <t>Assumptions Sheet!D10:J10</t>
        </is>
      </c>
      <c r="X187">
        <f>R[-1]C[0]/R[-1]C[-1]-1</f>
        <v/>
      </c>
    </row>
    <row r="188">
      <c r="A188" t="inlineStr">
        <is>
          <t>Assumptions Sheet</t>
        </is>
      </c>
      <c r="B188" t="inlineStr">
        <is>
          <t>I10</t>
        </is>
      </c>
      <c r="C188" t="n">
        <v>10</v>
      </c>
      <c r="D188" t="n">
        <v>9</v>
      </c>
      <c r="E188" t="inlineStr">
        <is>
          <t>Output</t>
        </is>
      </c>
      <c r="F188" t="inlineStr">
        <is>
          <t>'=I9/H9-1</t>
        </is>
      </c>
      <c r="G188" t="n">
        <v>0.04877009627201856</v>
      </c>
      <c r="H188" t="inlineStr"/>
      <c r="I188" t="inlineStr">
        <is>
          <t>0.00%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n">
        <v/>
      </c>
      <c r="R188" t="b">
        <v>1</v>
      </c>
      <c r="S188" t="inlineStr">
        <is>
          <t>G000016</t>
        </is>
      </c>
      <c r="T188" t="inlineStr">
        <is>
          <t>Horizontal</t>
        </is>
      </c>
      <c r="U188" t="n">
        <v>7</v>
      </c>
      <c r="V188" t="b">
        <v>1</v>
      </c>
      <c r="W188" t="inlineStr">
        <is>
          <t>Assumptions Sheet!D10:J10</t>
        </is>
      </c>
      <c r="X188">
        <f>R[-1]C[0]/R[-1]C[-1]-1</f>
        <v/>
      </c>
    </row>
    <row r="189">
      <c r="A189" t="inlineStr">
        <is>
          <t>Assumptions Sheet</t>
        </is>
      </c>
      <c r="B189" t="inlineStr">
        <is>
          <t>J10</t>
        </is>
      </c>
      <c r="C189" t="n">
        <v>10</v>
      </c>
      <c r="D189" t="n">
        <v>10</v>
      </c>
      <c r="E189" t="inlineStr">
        <is>
          <t>Output</t>
        </is>
      </c>
      <c r="F189" t="inlineStr">
        <is>
          <t>'=J9/I9-1</t>
        </is>
      </c>
      <c r="G189" t="n">
        <v>0.0801209733536794</v>
      </c>
      <c r="H189" t="inlineStr"/>
      <c r="I189" t="inlineStr">
        <is>
          <t>0.00%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n">
        <v/>
      </c>
      <c r="R189" t="b">
        <v>1</v>
      </c>
      <c r="S189" t="inlineStr">
        <is>
          <t>G000016</t>
        </is>
      </c>
      <c r="T189" t="inlineStr">
        <is>
          <t>Horizontal</t>
        </is>
      </c>
      <c r="U189" t="n">
        <v>7</v>
      </c>
      <c r="V189" t="b">
        <v>1</v>
      </c>
      <c r="W189" t="inlineStr">
        <is>
          <t>Assumptions Sheet!D10:J10</t>
        </is>
      </c>
      <c r="X189">
        <f>R[-1]C[0]/R[-1]C[-1]-1</f>
        <v/>
      </c>
    </row>
    <row r="190">
      <c r="A190" t="inlineStr">
        <is>
          <t>Assumptions Sheet</t>
        </is>
      </c>
      <c r="B190" t="inlineStr">
        <is>
          <t>K10</t>
        </is>
      </c>
      <c r="C190" t="n">
        <v>10</v>
      </c>
      <c r="D190" t="n">
        <v>11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11</v>
      </c>
      <c r="M190" t="inlineStr">
        <is>
          <t>FFFF0000</t>
        </is>
      </c>
      <c r="N190" t="inlineStr">
        <is>
          <t>Values must be of type &lt;class 'str'&gt;</t>
        </is>
      </c>
      <c r="O190" t="inlineStr">
        <is>
          <t>center</t>
        </is>
      </c>
      <c r="P190" t="n">
        <v/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Assumptions Sheet</t>
        </is>
      </c>
      <c r="B191" t="inlineStr">
        <is>
          <t>L10</t>
        </is>
      </c>
      <c r="C191" t="n">
        <v>10</v>
      </c>
      <c r="D191" t="n">
        <v>12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11</v>
      </c>
      <c r="M191" t="inlineStr">
        <is>
          <t>FFFF0000</t>
        </is>
      </c>
      <c r="N191" t="inlineStr">
        <is>
          <t>Values must be of type &lt;class 'str'&gt;</t>
        </is>
      </c>
      <c r="O191" t="inlineStr">
        <is>
          <t>center</t>
        </is>
      </c>
      <c r="P191" t="n">
        <v/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Assumptions Sheet</t>
        </is>
      </c>
      <c r="B192" t="inlineStr">
        <is>
          <t>M10</t>
        </is>
      </c>
      <c r="C192" t="n">
        <v>10</v>
      </c>
      <c r="D192" t="n">
        <v>13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FFFF0000</t>
        </is>
      </c>
      <c r="N192" t="inlineStr">
        <is>
          <t>Values must be of type &lt;class 'str'&gt;</t>
        </is>
      </c>
      <c r="O192" t="inlineStr">
        <is>
          <t>center</t>
        </is>
      </c>
      <c r="P192" t="n">
        <v/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Assumptions Sheet</t>
        </is>
      </c>
      <c r="B193" t="inlineStr">
        <is>
          <t>N10</t>
        </is>
      </c>
      <c r="C193" t="n">
        <v>10</v>
      </c>
      <c r="D193" t="n">
        <v>14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FFFF0000</t>
        </is>
      </c>
      <c r="N193" t="inlineStr">
        <is>
          <t>Values must be of type &lt;class 'str'&gt;</t>
        </is>
      </c>
      <c r="O193" t="inlineStr">
        <is>
          <t>center</t>
        </is>
      </c>
      <c r="P193" t="n">
        <v/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Assumptions Sheet</t>
        </is>
      </c>
      <c r="B194" t="inlineStr">
        <is>
          <t>O10</t>
        </is>
      </c>
      <c r="C194" t="n">
        <v>10</v>
      </c>
      <c r="D194" t="n">
        <v>15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FFFF0000</t>
        </is>
      </c>
      <c r="N194" t="inlineStr">
        <is>
          <t>Values must be of type &lt;class 'str'&gt;</t>
        </is>
      </c>
      <c r="O194" t="inlineStr">
        <is>
          <t>center</t>
        </is>
      </c>
      <c r="P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Assumptions Sheet</t>
        </is>
      </c>
      <c r="B195" t="inlineStr">
        <is>
          <t>P10</t>
        </is>
      </c>
      <c r="C195" t="n">
        <v>10</v>
      </c>
      <c r="D195" t="n">
        <v>16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FFFF0000</t>
        </is>
      </c>
      <c r="N195" t="inlineStr">
        <is>
          <t>Values must be of type &lt;class 'str'&gt;</t>
        </is>
      </c>
      <c r="O195" t="inlineStr">
        <is>
          <t>center</t>
        </is>
      </c>
      <c r="P195" t="n">
        <v/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Assumptions Sheet</t>
        </is>
      </c>
      <c r="B196" t="inlineStr">
        <is>
          <t>B11</t>
        </is>
      </c>
      <c r="C196" t="n">
        <v>11</v>
      </c>
      <c r="D196" t="n">
        <v>2</v>
      </c>
      <c r="E196" t="inlineStr">
        <is>
          <t>Input</t>
        </is>
      </c>
      <c r="F196" t="n">
        <v/>
      </c>
      <c r="G196" t="inlineStr">
        <is>
          <t>RASK (Rs.)</t>
        </is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left</t>
        </is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Assumptions Sheet</t>
        </is>
      </c>
      <c r="B197" t="inlineStr">
        <is>
          <t>C11</t>
        </is>
      </c>
      <c r="C197" t="n">
        <v>11</v>
      </c>
      <c r="D197" t="n">
        <v>3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inlineStr">
        <is>
          <t>left</t>
        </is>
      </c>
      <c r="P197" t="n">
        <v/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Assumptions Sheet</t>
        </is>
      </c>
      <c r="B198" t="inlineStr">
        <is>
          <t>D11</t>
        </is>
      </c>
      <c r="C198" t="n">
        <v>11</v>
      </c>
      <c r="D198" t="n">
        <v>4</v>
      </c>
      <c r="E198" t="inlineStr">
        <is>
          <t>Calculation</t>
        </is>
      </c>
      <c r="F198" t="inlineStr">
        <is>
          <t>'='Income statement'!D9/'Assumptions Sheet'!C2</t>
        </is>
      </c>
      <c r="G198" t="n">
        <v>4.247423002369158</v>
      </c>
      <c r="H198" t="inlineStr"/>
      <c r="I198" t="inlineStr">
        <is>
          <t>0.00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center</t>
        </is>
      </c>
      <c r="P198" t="inlineStr">
        <is>
          <t>center</t>
        </is>
      </c>
      <c r="R198" t="b">
        <v>1</v>
      </c>
      <c r="S198" t="inlineStr">
        <is>
          <t>G000018</t>
        </is>
      </c>
      <c r="T198" t="inlineStr">
        <is>
          <t>Horizontal</t>
        </is>
      </c>
      <c r="U198" t="n">
        <v>12</v>
      </c>
      <c r="V198" t="b">
        <v>1</v>
      </c>
      <c r="W198" t="inlineStr">
        <is>
          <t>Assumptions Sheet!D11:O11</t>
        </is>
      </c>
      <c r="X198">
        <f>'Income statement'!R[-2]C[0]/R[-9]C[-1]</f>
        <v/>
      </c>
    </row>
    <row r="199">
      <c r="A199" t="inlineStr">
        <is>
          <t>Assumptions Sheet</t>
        </is>
      </c>
      <c r="B199" t="inlineStr">
        <is>
          <t>E11</t>
        </is>
      </c>
      <c r="C199" t="n">
        <v>11</v>
      </c>
      <c r="D199" t="n">
        <v>5</v>
      </c>
      <c r="E199" t="inlineStr">
        <is>
          <t>Calculation</t>
        </is>
      </c>
      <c r="F199" t="inlineStr">
        <is>
          <t>'='Income statement'!E9/'Assumptions Sheet'!D2</t>
        </is>
      </c>
      <c r="G199" t="n">
        <v>4.570186534304699</v>
      </c>
      <c r="H199" t="inlineStr"/>
      <c r="I199" t="inlineStr">
        <is>
          <t>0.00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inlineStr">
        <is>
          <t>center</t>
        </is>
      </c>
      <c r="P199" t="inlineStr">
        <is>
          <t>center</t>
        </is>
      </c>
      <c r="R199" t="b">
        <v>1</v>
      </c>
      <c r="S199" t="inlineStr">
        <is>
          <t>G000018</t>
        </is>
      </c>
      <c r="T199" t="inlineStr">
        <is>
          <t>Horizontal</t>
        </is>
      </c>
      <c r="U199" t="n">
        <v>12</v>
      </c>
      <c r="V199" t="b">
        <v>1</v>
      </c>
      <c r="W199" t="inlineStr">
        <is>
          <t>Assumptions Sheet!D11:O11</t>
        </is>
      </c>
      <c r="X199">
        <f>'Income statement'!R[-2]C[0]/R[-9]C[-1]</f>
        <v/>
      </c>
    </row>
    <row r="200">
      <c r="A200" t="inlineStr">
        <is>
          <t>Assumptions Sheet</t>
        </is>
      </c>
      <c r="B200" t="inlineStr">
        <is>
          <t>F11</t>
        </is>
      </c>
      <c r="C200" t="n">
        <v>11</v>
      </c>
      <c r="D200" t="n">
        <v>6</v>
      </c>
      <c r="E200" t="inlineStr">
        <is>
          <t>Calculation</t>
        </is>
      </c>
      <c r="F200" t="inlineStr">
        <is>
          <t>'='Income statement'!F9/'Assumptions Sheet'!E2</t>
        </is>
      </c>
      <c r="G200" t="n">
        <v>5.242826835499278</v>
      </c>
      <c r="H200" t="inlineStr"/>
      <c r="I200" t="inlineStr">
        <is>
          <t>0.00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inlineStr">
        <is>
          <t>center</t>
        </is>
      </c>
      <c r="P200" t="inlineStr">
        <is>
          <t>center</t>
        </is>
      </c>
      <c r="R200" t="b">
        <v>1</v>
      </c>
      <c r="S200" t="inlineStr">
        <is>
          <t>G000018</t>
        </is>
      </c>
      <c r="T200" t="inlineStr">
        <is>
          <t>Horizontal</t>
        </is>
      </c>
      <c r="U200" t="n">
        <v>12</v>
      </c>
      <c r="V200" t="b">
        <v>1</v>
      </c>
      <c r="W200" t="inlineStr">
        <is>
          <t>Assumptions Sheet!D11:O11</t>
        </is>
      </c>
      <c r="X200">
        <f>'Income statement'!R[-2]C[0]/R[-9]C[-1]</f>
        <v/>
      </c>
    </row>
    <row r="201">
      <c r="A201" t="inlineStr">
        <is>
          <t>Assumptions Sheet</t>
        </is>
      </c>
      <c r="B201" t="inlineStr">
        <is>
          <t>G11</t>
        </is>
      </c>
      <c r="C201" t="n">
        <v>11</v>
      </c>
      <c r="D201" t="n">
        <v>7</v>
      </c>
      <c r="E201" t="inlineStr">
        <is>
          <t>Calculation</t>
        </is>
      </c>
      <c r="F201" t="inlineStr">
        <is>
          <t>'='Income statement'!G9/'Assumptions Sheet'!F2</t>
        </is>
      </c>
      <c r="G201" t="n">
        <v>4.57705809344597</v>
      </c>
      <c r="H201" t="inlineStr"/>
      <c r="I201" t="inlineStr">
        <is>
          <t>0.00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inlineStr">
        <is>
          <t>center</t>
        </is>
      </c>
      <c r="P201" t="inlineStr">
        <is>
          <t>center</t>
        </is>
      </c>
      <c r="R201" t="b">
        <v>1</v>
      </c>
      <c r="S201" t="inlineStr">
        <is>
          <t>G000018</t>
        </is>
      </c>
      <c r="T201" t="inlineStr">
        <is>
          <t>Horizontal</t>
        </is>
      </c>
      <c r="U201" t="n">
        <v>12</v>
      </c>
      <c r="V201" t="b">
        <v>1</v>
      </c>
      <c r="W201" t="inlineStr">
        <is>
          <t>Assumptions Sheet!D11:O11</t>
        </is>
      </c>
      <c r="X201">
        <f>'Income statement'!R[-2]C[0]/R[-9]C[-1]</f>
        <v/>
      </c>
    </row>
    <row r="202">
      <c r="A202" t="inlineStr">
        <is>
          <t>Assumptions Sheet</t>
        </is>
      </c>
      <c r="B202" t="inlineStr">
        <is>
          <t>H11</t>
        </is>
      </c>
      <c r="C202" t="n">
        <v>11</v>
      </c>
      <c r="D202" t="n">
        <v>8</v>
      </c>
      <c r="E202" t="inlineStr">
        <is>
          <t>Calculation</t>
        </is>
      </c>
      <c r="F202" t="inlineStr">
        <is>
          <t>'='Income statement'!H9/'Assumptions Sheet'!G2</t>
        </is>
      </c>
      <c r="G202" t="n">
        <v>4.778562752360929</v>
      </c>
      <c r="H202" t="inlineStr"/>
      <c r="I202" t="inlineStr">
        <is>
          <t>0.00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inlineStr">
        <is>
          <t>center</t>
        </is>
      </c>
      <c r="P202" t="inlineStr">
        <is>
          <t>center</t>
        </is>
      </c>
      <c r="R202" t="b">
        <v>1</v>
      </c>
      <c r="S202" t="inlineStr">
        <is>
          <t>G000018</t>
        </is>
      </c>
      <c r="T202" t="inlineStr">
        <is>
          <t>Horizontal</t>
        </is>
      </c>
      <c r="U202" t="n">
        <v>12</v>
      </c>
      <c r="V202" t="b">
        <v>1</v>
      </c>
      <c r="W202" t="inlineStr">
        <is>
          <t>Assumptions Sheet!D11:O11</t>
        </is>
      </c>
      <c r="X202">
        <f>'Income statement'!R[-2]C[0]/R[-9]C[-1]</f>
        <v/>
      </c>
    </row>
    <row r="203">
      <c r="A203" t="inlineStr">
        <is>
          <t>Assumptions Sheet</t>
        </is>
      </c>
      <c r="B203" t="inlineStr">
        <is>
          <t>I11</t>
        </is>
      </c>
      <c r="C203" t="n">
        <v>11</v>
      </c>
      <c r="D203" t="n">
        <v>9</v>
      </c>
      <c r="E203" t="inlineStr">
        <is>
          <t>Calculation</t>
        </is>
      </c>
      <c r="F203" t="inlineStr">
        <is>
          <t>'='Income statement'!I9/'Assumptions Sheet'!H2</t>
        </is>
      </c>
      <c r="G203" t="n">
        <v>4.699324029778922</v>
      </c>
      <c r="H203" t="inlineStr"/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inlineStr">
        <is>
          <t>center</t>
        </is>
      </c>
      <c r="P203" t="inlineStr">
        <is>
          <t>center</t>
        </is>
      </c>
      <c r="R203" t="b">
        <v>1</v>
      </c>
      <c r="S203" t="inlineStr">
        <is>
          <t>G000018</t>
        </is>
      </c>
      <c r="T203" t="inlineStr">
        <is>
          <t>Horizontal</t>
        </is>
      </c>
      <c r="U203" t="n">
        <v>12</v>
      </c>
      <c r="V203" t="b">
        <v>1</v>
      </c>
      <c r="W203" t="inlineStr">
        <is>
          <t>Assumptions Sheet!D11:O11</t>
        </is>
      </c>
      <c r="X203">
        <f>'Income statement'!R[-2]C[0]/R[-9]C[-1]</f>
        <v/>
      </c>
    </row>
    <row r="204">
      <c r="A204" t="inlineStr">
        <is>
          <t>Assumptions Sheet</t>
        </is>
      </c>
      <c r="B204" t="inlineStr">
        <is>
          <t>J11</t>
        </is>
      </c>
      <c r="C204" t="n">
        <v>11</v>
      </c>
      <c r="D204" t="n">
        <v>10</v>
      </c>
      <c r="E204" t="inlineStr">
        <is>
          <t>Calculation</t>
        </is>
      </c>
      <c r="F204" t="inlineStr">
        <is>
          <t>'='Income statement'!J9/'Assumptions Sheet'!I2</t>
        </is>
      </c>
      <c r="G204" t="n">
        <v>4.522852939802924</v>
      </c>
      <c r="H204" t="inlineStr"/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center</t>
        </is>
      </c>
      <c r="P204" t="inlineStr">
        <is>
          <t>center</t>
        </is>
      </c>
      <c r="R204" t="b">
        <v>1</v>
      </c>
      <c r="S204" t="inlineStr">
        <is>
          <t>G000018</t>
        </is>
      </c>
      <c r="T204" t="inlineStr">
        <is>
          <t>Horizontal</t>
        </is>
      </c>
      <c r="U204" t="n">
        <v>12</v>
      </c>
      <c r="V204" t="b">
        <v>1</v>
      </c>
      <c r="W204" t="inlineStr">
        <is>
          <t>Assumptions Sheet!D11:O11</t>
        </is>
      </c>
      <c r="X204">
        <f>'Income statement'!R[-2]C[0]/R[-9]C[-1]</f>
        <v/>
      </c>
    </row>
    <row r="205">
      <c r="A205" t="inlineStr">
        <is>
          <t>Assumptions Sheet</t>
        </is>
      </c>
      <c r="B205" t="inlineStr">
        <is>
          <t>K11</t>
        </is>
      </c>
      <c r="C205" t="n">
        <v>11</v>
      </c>
      <c r="D205" t="n">
        <v>11</v>
      </c>
      <c r="E205" t="inlineStr">
        <is>
          <t>Calculation</t>
        </is>
      </c>
      <c r="F205" t="inlineStr">
        <is>
          <t>'='Income statement'!K9/'Assumptions Sheet'!J2</t>
        </is>
      </c>
      <c r="G205" t="n">
        <v>4.665418313636538</v>
      </c>
      <c r="H205" t="inlineStr"/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inlineStr">
        <is>
          <t>center</t>
        </is>
      </c>
      <c r="P205" t="inlineStr">
        <is>
          <t>center</t>
        </is>
      </c>
      <c r="R205" t="b">
        <v>1</v>
      </c>
      <c r="S205" t="inlineStr">
        <is>
          <t>G000018</t>
        </is>
      </c>
      <c r="T205" t="inlineStr">
        <is>
          <t>Horizontal</t>
        </is>
      </c>
      <c r="U205" t="n">
        <v>12</v>
      </c>
      <c r="V205" t="b">
        <v>1</v>
      </c>
      <c r="W205" t="inlineStr">
        <is>
          <t>Assumptions Sheet!D11:O11</t>
        </is>
      </c>
      <c r="X205">
        <f>'Income statement'!R[-2]C[0]/R[-9]C[-1]</f>
        <v/>
      </c>
    </row>
    <row r="206">
      <c r="A206" t="inlineStr">
        <is>
          <t>Assumptions Sheet</t>
        </is>
      </c>
      <c r="B206" t="inlineStr">
        <is>
          <t>L11</t>
        </is>
      </c>
      <c r="C206" t="n">
        <v>11</v>
      </c>
      <c r="D206" t="n">
        <v>12</v>
      </c>
      <c r="E206" t="inlineStr">
        <is>
          <t>Calculation</t>
        </is>
      </c>
      <c r="F206" t="inlineStr">
        <is>
          <t>'='Income statement'!L9/'Assumptions Sheet'!K2</t>
        </is>
      </c>
      <c r="G206" t="n">
        <v>4.667805113636538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inlineStr">
        <is>
          <t>center</t>
        </is>
      </c>
      <c r="P206" t="inlineStr">
        <is>
          <t>center</t>
        </is>
      </c>
      <c r="R206" t="b">
        <v>1</v>
      </c>
      <c r="S206" t="inlineStr">
        <is>
          <t>G000018</t>
        </is>
      </c>
      <c r="T206" t="inlineStr">
        <is>
          <t>Horizontal</t>
        </is>
      </c>
      <c r="U206" t="n">
        <v>12</v>
      </c>
      <c r="V206" t="b">
        <v>1</v>
      </c>
      <c r="W206" t="inlineStr">
        <is>
          <t>Assumptions Sheet!D11:O11</t>
        </is>
      </c>
      <c r="X206">
        <f>'Income statement'!R[-2]C[0]/R[-9]C[-1]</f>
        <v/>
      </c>
    </row>
    <row r="207">
      <c r="A207" t="inlineStr">
        <is>
          <t>Assumptions Sheet</t>
        </is>
      </c>
      <c r="B207" t="inlineStr">
        <is>
          <t>M11</t>
        </is>
      </c>
      <c r="C207" t="n">
        <v>11</v>
      </c>
      <c r="D207" t="n">
        <v>13</v>
      </c>
      <c r="E207" t="inlineStr">
        <is>
          <t>Calculation</t>
        </is>
      </c>
      <c r="F207" t="inlineStr">
        <is>
          <t>'='Income statement'!M9/'Assumptions Sheet'!L2</t>
        </is>
      </c>
      <c r="G207" t="n">
        <v>4.650301913636537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inlineStr">
        <is>
          <t>center</t>
        </is>
      </c>
      <c r="P207" t="inlineStr">
        <is>
          <t>center</t>
        </is>
      </c>
      <c r="R207" t="b">
        <v>1</v>
      </c>
      <c r="S207" t="inlineStr">
        <is>
          <t>G000018</t>
        </is>
      </c>
      <c r="T207" t="inlineStr">
        <is>
          <t>Horizontal</t>
        </is>
      </c>
      <c r="U207" t="n">
        <v>12</v>
      </c>
      <c r="V207" t="b">
        <v>1</v>
      </c>
      <c r="W207" t="inlineStr">
        <is>
          <t>Assumptions Sheet!D11:O11</t>
        </is>
      </c>
      <c r="X207">
        <f>'Income statement'!R[-2]C[0]/R[-9]C[-1]</f>
        <v/>
      </c>
    </row>
    <row r="208">
      <c r="A208" t="inlineStr">
        <is>
          <t>Assumptions Sheet</t>
        </is>
      </c>
      <c r="B208" t="inlineStr">
        <is>
          <t>N11</t>
        </is>
      </c>
      <c r="C208" t="n">
        <v>11</v>
      </c>
      <c r="D208" t="n">
        <v>14</v>
      </c>
      <c r="E208" t="inlineStr">
        <is>
          <t>Calculation</t>
        </is>
      </c>
      <c r="F208" t="inlineStr">
        <is>
          <t>'='Income statement'!N9/'Assumptions Sheet'!M2</t>
        </is>
      </c>
      <c r="G208" t="n">
        <v>4.632798713636539</v>
      </c>
      <c r="H208" t="inlineStr"/>
      <c r="I208" t="inlineStr">
        <is>
          <t>0.00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center</t>
        </is>
      </c>
      <c r="P208" t="inlineStr">
        <is>
          <t>center</t>
        </is>
      </c>
      <c r="R208" t="b">
        <v>1</v>
      </c>
      <c r="S208" t="inlineStr">
        <is>
          <t>G000018</t>
        </is>
      </c>
      <c r="T208" t="inlineStr">
        <is>
          <t>Horizontal</t>
        </is>
      </c>
      <c r="U208" t="n">
        <v>12</v>
      </c>
      <c r="V208" t="b">
        <v>1</v>
      </c>
      <c r="W208" t="inlineStr">
        <is>
          <t>Assumptions Sheet!D11:O11</t>
        </is>
      </c>
      <c r="X208">
        <f>'Income statement'!R[-2]C[0]/R[-9]C[-1]</f>
        <v/>
      </c>
    </row>
    <row r="209">
      <c r="A209" t="inlineStr">
        <is>
          <t>Assumptions Sheet</t>
        </is>
      </c>
      <c r="B209" t="inlineStr">
        <is>
          <t>O11</t>
        </is>
      </c>
      <c r="C209" t="n">
        <v>11</v>
      </c>
      <c r="D209" t="n">
        <v>15</v>
      </c>
      <c r="E209" t="inlineStr">
        <is>
          <t>Calculation</t>
        </is>
      </c>
      <c r="F209" t="inlineStr">
        <is>
          <t>'='Income statement'!O9/'Assumptions Sheet'!N2</t>
        </is>
      </c>
      <c r="G209" t="n">
        <v>4.635185513636539</v>
      </c>
      <c r="H209" t="inlineStr"/>
      <c r="I209" t="inlineStr">
        <is>
          <t>0.00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inlineStr">
        <is>
          <t>center</t>
        </is>
      </c>
      <c r="R209" t="b">
        <v>1</v>
      </c>
      <c r="S209" t="inlineStr">
        <is>
          <t>G000018</t>
        </is>
      </c>
      <c r="T209" t="inlineStr">
        <is>
          <t>Horizontal</t>
        </is>
      </c>
      <c r="U209" t="n">
        <v>12</v>
      </c>
      <c r="V209" t="b">
        <v>1</v>
      </c>
      <c r="W209" t="inlineStr">
        <is>
          <t>Assumptions Sheet!D11:O11</t>
        </is>
      </c>
      <c r="X209">
        <f>'Income statement'!R[-2]C[0]/R[-9]C[-1]</f>
        <v/>
      </c>
    </row>
    <row r="210">
      <c r="A210" t="inlineStr">
        <is>
          <t>Assumptions Sheet</t>
        </is>
      </c>
      <c r="B210" t="inlineStr">
        <is>
          <t>P11</t>
        </is>
      </c>
      <c r="C210" t="n">
        <v>11</v>
      </c>
      <c r="D210" t="n">
        <v>16</v>
      </c>
      <c r="E210" t="inlineStr">
        <is>
          <t>Input</t>
        </is>
      </c>
      <c r="F210" t="n">
        <v/>
      </c>
      <c r="H210" t="inlineStr"/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n">
        <v/>
      </c>
      <c r="P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Assumptions Sheet</t>
        </is>
      </c>
      <c r="B211" t="inlineStr">
        <is>
          <t>Q11</t>
        </is>
      </c>
      <c r="C211" t="n">
        <v>11</v>
      </c>
      <c r="D211" t="n">
        <v>17</v>
      </c>
      <c r="E211" t="inlineStr">
        <is>
          <t>Output</t>
        </is>
      </c>
      <c r="F211" t="inlineStr">
        <is>
          <t>'='Income statement'!Q9/'Assumptions Sheet'!P2</t>
        </is>
      </c>
      <c r="G211" t="n">
        <v>0</v>
      </c>
      <c r="H211" t="inlineStr"/>
      <c r="I211" t="inlineStr">
        <is>
          <t>0%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n">
        <v/>
      </c>
      <c r="P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>
        <f>'Income statement'!R[-2]C[0]/R[-9]C[-1]</f>
        <v/>
      </c>
    </row>
    <row r="212">
      <c r="A212" t="inlineStr">
        <is>
          <t>Assumptions Sheet</t>
        </is>
      </c>
      <c r="B212" t="inlineStr">
        <is>
          <t>B12</t>
        </is>
      </c>
      <c r="C212" t="n">
        <v>12</v>
      </c>
      <c r="D212" t="n">
        <v>2</v>
      </c>
      <c r="E212" t="inlineStr">
        <is>
          <t>Input</t>
        </is>
      </c>
      <c r="F212" t="n">
        <v/>
      </c>
      <c r="G212" t="inlineStr">
        <is>
          <t>CASK (Rs.)</t>
        </is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left</t>
        </is>
      </c>
      <c r="P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Assumptions Sheet</t>
        </is>
      </c>
      <c r="B213" t="inlineStr">
        <is>
          <t>C12</t>
        </is>
      </c>
      <c r="C213" t="n">
        <v>12</v>
      </c>
      <c r="D213" t="n">
        <v>3</v>
      </c>
      <c r="E213" t="inlineStr">
        <is>
          <t>Input</t>
        </is>
      </c>
      <c r="F213" t="n">
        <v/>
      </c>
      <c r="G213" t="n">
        <v>2.3</v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inlineStr">
        <is>
          <t>center</t>
        </is>
      </c>
      <c r="P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Assumptions Sheet</t>
        </is>
      </c>
      <c r="B214" t="inlineStr">
        <is>
          <t>D12</t>
        </is>
      </c>
      <c r="C214" t="n">
        <v>12</v>
      </c>
      <c r="D214" t="n">
        <v>4</v>
      </c>
      <c r="E214" t="inlineStr">
        <is>
          <t>Input</t>
        </is>
      </c>
      <c r="F214" t="n">
        <v/>
      </c>
      <c r="G214" t="n">
        <v>2.53</v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inlineStr">
        <is>
          <t>center</t>
        </is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Assumptions Sheet</t>
        </is>
      </c>
      <c r="B215" t="inlineStr">
        <is>
          <t>E12</t>
        </is>
      </c>
      <c r="C215" t="n">
        <v>12</v>
      </c>
      <c r="D215" t="n">
        <v>5</v>
      </c>
      <c r="E215" t="inlineStr">
        <is>
          <t>Input</t>
        </is>
      </c>
      <c r="F215" t="n">
        <v/>
      </c>
      <c r="G215" t="n">
        <v>3.06</v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Assumptions Sheet</t>
        </is>
      </c>
      <c r="B216" t="inlineStr">
        <is>
          <t>F12</t>
        </is>
      </c>
      <c r="C216" t="n">
        <v>12</v>
      </c>
      <c r="D216" t="n">
        <v>6</v>
      </c>
      <c r="E216" t="inlineStr">
        <is>
          <t>Input</t>
        </is>
      </c>
      <c r="F216" t="n">
        <v/>
      </c>
      <c r="G216" t="n">
        <v>3.3</v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n">
        <v/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Assumptions Sheet</t>
        </is>
      </c>
      <c r="B217" t="inlineStr">
        <is>
          <t>G12</t>
        </is>
      </c>
      <c r="C217" t="n">
        <v>12</v>
      </c>
      <c r="D217" t="n">
        <v>7</v>
      </c>
      <c r="E217" t="inlineStr">
        <is>
          <t>Input</t>
        </is>
      </c>
      <c r="F217" t="n">
        <v/>
      </c>
      <c r="G217" t="n">
        <v>3.56</v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n">
        <v/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Assumptions Sheet</t>
        </is>
      </c>
      <c r="B218" t="inlineStr">
        <is>
          <t>H12</t>
        </is>
      </c>
      <c r="C218" t="n">
        <v>12</v>
      </c>
      <c r="D218" t="n">
        <v>8</v>
      </c>
      <c r="E218" t="inlineStr">
        <is>
          <t>Input</t>
        </is>
      </c>
      <c r="F218" t="n">
        <v/>
      </c>
      <c r="G218" t="n">
        <v>3.42</v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Assumptions Sheet</t>
        </is>
      </c>
      <c r="B219" t="inlineStr">
        <is>
          <t>I12</t>
        </is>
      </c>
      <c r="C219" t="n">
        <v>12</v>
      </c>
      <c r="D219" t="n">
        <v>9</v>
      </c>
      <c r="E219" t="inlineStr">
        <is>
          <t>Input</t>
        </is>
      </c>
      <c r="F219" t="n">
        <v/>
      </c>
      <c r="G219" t="n">
        <v>3.12</v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Assumptions Sheet</t>
        </is>
      </c>
      <c r="B220" t="inlineStr">
        <is>
          <t>J12</t>
        </is>
      </c>
      <c r="C220" t="n">
        <v>12</v>
      </c>
      <c r="D220" t="n">
        <v>10</v>
      </c>
      <c r="E220" t="inlineStr">
        <is>
          <t>Input</t>
        </is>
      </c>
      <c r="F220" t="n">
        <v/>
      </c>
      <c r="G220" t="n">
        <v>3.04</v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n">
        <v/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Assumptions Sheet</t>
        </is>
      </c>
      <c r="B221" t="inlineStr">
        <is>
          <t>K12</t>
        </is>
      </c>
      <c r="C221" t="n">
        <v>12</v>
      </c>
      <c r="D221" t="n">
        <v>11</v>
      </c>
      <c r="E221" t="inlineStr">
        <is>
          <t>Calculation</t>
        </is>
      </c>
      <c r="F221" t="inlineStr">
        <is>
          <t>'=SUM('Income statement'!K14,'Income statement'!K16,'Income statement'!K20)/K2</t>
        </is>
      </c>
      <c r="G221" t="n">
        <v>3.04776545489303</v>
      </c>
      <c r="H221" t="inlineStr"/>
      <c r="I221" t="inlineStr">
        <is>
          <t>0.00</t>
        </is>
      </c>
      <c r="J221" t="b">
        <v>0</v>
      </c>
      <c r="K221" t="b">
        <v>0</v>
      </c>
      <c r="L221" t="n">
        <v>11</v>
      </c>
      <c r="M221" t="inlineStr">
        <is>
          <t>FFFF0000</t>
        </is>
      </c>
      <c r="N221" t="inlineStr">
        <is>
          <t>Values must be of type &lt;class 'str'&gt;</t>
        </is>
      </c>
      <c r="O221" t="inlineStr">
        <is>
          <t>center</t>
        </is>
      </c>
      <c r="P221" t="n">
        <v/>
      </c>
      <c r="R221" t="b">
        <v>1</v>
      </c>
      <c r="S221" t="inlineStr">
        <is>
          <t>G000019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Assumptions Sheet!K12:O12</t>
        </is>
      </c>
      <c r="X221">
        <f>SUM('Income statement'!R[2]C[0],'Income statement'!R[4]C[0],'Income statement'!R[8]C[0])/R[-10]C[0]</f>
        <v/>
      </c>
    </row>
    <row r="222">
      <c r="A222" t="inlineStr">
        <is>
          <t>Assumptions Sheet</t>
        </is>
      </c>
      <c r="B222" t="inlineStr">
        <is>
          <t>L12</t>
        </is>
      </c>
      <c r="C222" t="n">
        <v>12</v>
      </c>
      <c r="D222" t="n">
        <v>12</v>
      </c>
      <c r="E222" t="inlineStr">
        <is>
          <t>Calculation</t>
        </is>
      </c>
      <c r="F222" t="inlineStr">
        <is>
          <t>'=SUM('Income statement'!L14,'Income statement'!L16,'Income statement'!L20)/L2</t>
        </is>
      </c>
      <c r="G222" t="n">
        <v>3.099614140052464</v>
      </c>
      <c r="H222" t="inlineStr"/>
      <c r="I222" t="inlineStr">
        <is>
          <t>0.00</t>
        </is>
      </c>
      <c r="J222" t="b">
        <v>0</v>
      </c>
      <c r="K222" t="b">
        <v>0</v>
      </c>
      <c r="L222" t="n">
        <v>11</v>
      </c>
      <c r="M222" t="inlineStr">
        <is>
          <t>FFFF0000</t>
        </is>
      </c>
      <c r="N222" t="inlineStr">
        <is>
          <t>Values must be of type &lt;class 'str'&gt;</t>
        </is>
      </c>
      <c r="O222" t="inlineStr">
        <is>
          <t>center</t>
        </is>
      </c>
      <c r="P222" t="n">
        <v/>
      </c>
      <c r="R222" t="b">
        <v>1</v>
      </c>
      <c r="S222" t="inlineStr">
        <is>
          <t>G000019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Assumptions Sheet!K12:O12</t>
        </is>
      </c>
      <c r="X222">
        <f>SUM('Income statement'!R[2]C[0],'Income statement'!R[4]C[0],'Income statement'!R[8]C[0])/R[-10]C[0]</f>
        <v/>
      </c>
    </row>
    <row r="223">
      <c r="A223" t="inlineStr">
        <is>
          <t>Assumptions Sheet</t>
        </is>
      </c>
      <c r="B223" t="inlineStr">
        <is>
          <t>M12</t>
        </is>
      </c>
      <c r="C223" t="n">
        <v>12</v>
      </c>
      <c r="D223" t="n">
        <v>13</v>
      </c>
      <c r="E223" t="inlineStr">
        <is>
          <t>Calculation</t>
        </is>
      </c>
      <c r="F223" t="inlineStr">
        <is>
          <t>'=SUM('Income statement'!M14,'Income statement'!M16,'Income statement'!M20)/M2</t>
        </is>
      </c>
      <c r="G223" t="n">
        <v>3.071485155174484</v>
      </c>
      <c r="H223" t="inlineStr"/>
      <c r="I223" t="inlineStr">
        <is>
          <t>0.00</t>
        </is>
      </c>
      <c r="J223" t="b">
        <v>0</v>
      </c>
      <c r="K223" t="b">
        <v>0</v>
      </c>
      <c r="L223" t="n">
        <v>11</v>
      </c>
      <c r="M223" t="inlineStr">
        <is>
          <t>FFFF0000</t>
        </is>
      </c>
      <c r="N223" t="inlineStr">
        <is>
          <t>Values must be of type &lt;class 'str'&gt;</t>
        </is>
      </c>
      <c r="O223" t="inlineStr">
        <is>
          <t>center</t>
        </is>
      </c>
      <c r="P223" t="n">
        <v/>
      </c>
      <c r="R223" t="b">
        <v>1</v>
      </c>
      <c r="S223" t="inlineStr">
        <is>
          <t>G000019</t>
        </is>
      </c>
      <c r="T223" t="inlineStr">
        <is>
          <t>Horizontal</t>
        </is>
      </c>
      <c r="U223" t="n">
        <v>5</v>
      </c>
      <c r="V223" t="b">
        <v>1</v>
      </c>
      <c r="W223" t="inlineStr">
        <is>
          <t>Assumptions Sheet!K12:O12</t>
        </is>
      </c>
      <c r="X223">
        <f>SUM('Income statement'!R[2]C[0],'Income statement'!R[4]C[0],'Income statement'!R[8]C[0])/R[-10]C[0]</f>
        <v/>
      </c>
    </row>
    <row r="224">
      <c r="A224" t="inlineStr">
        <is>
          <t>Assumptions Sheet</t>
        </is>
      </c>
      <c r="B224" t="inlineStr">
        <is>
          <t>N12</t>
        </is>
      </c>
      <c r="C224" t="n">
        <v>12</v>
      </c>
      <c r="D224" t="n">
        <v>14</v>
      </c>
      <c r="E224" t="inlineStr">
        <is>
          <t>Calculation</t>
        </is>
      </c>
      <c r="F224" t="inlineStr">
        <is>
          <t>'=SUM('Income statement'!N14,'Income statement'!N16,'Income statement'!N20)/N2</t>
        </is>
      </c>
      <c r="G224" t="n">
        <v>3.065908528848483</v>
      </c>
      <c r="H224" t="inlineStr"/>
      <c r="I224" t="inlineStr">
        <is>
          <t>0.00</t>
        </is>
      </c>
      <c r="J224" t="b">
        <v>0</v>
      </c>
      <c r="K224" t="b">
        <v>0</v>
      </c>
      <c r="L224" t="n">
        <v>11</v>
      </c>
      <c r="M224" t="inlineStr">
        <is>
          <t>FFFF0000</t>
        </is>
      </c>
      <c r="N224" t="inlineStr">
        <is>
          <t>Values must be of type &lt;class 'str'&gt;</t>
        </is>
      </c>
      <c r="O224" t="inlineStr">
        <is>
          <t>center</t>
        </is>
      </c>
      <c r="P224" t="n">
        <v/>
      </c>
      <c r="R224" t="b">
        <v>1</v>
      </c>
      <c r="S224" t="inlineStr">
        <is>
          <t>G000019</t>
        </is>
      </c>
      <c r="T224" t="inlineStr">
        <is>
          <t>Horizontal</t>
        </is>
      </c>
      <c r="U224" t="n">
        <v>5</v>
      </c>
      <c r="V224" t="b">
        <v>1</v>
      </c>
      <c r="W224" t="inlineStr">
        <is>
          <t>Assumptions Sheet!K12:O12</t>
        </is>
      </c>
      <c r="X224">
        <f>SUM('Income statement'!R[2]C[0],'Income statement'!R[4]C[0],'Income statement'!R[8]C[0])/R[-10]C[0]</f>
        <v/>
      </c>
    </row>
    <row r="225">
      <c r="A225" t="inlineStr">
        <is>
          <t>Assumptions Sheet</t>
        </is>
      </c>
      <c r="B225" t="inlineStr">
        <is>
          <t>O12</t>
        </is>
      </c>
      <c r="C225" t="n">
        <v>12</v>
      </c>
      <c r="D225" t="n">
        <v>15</v>
      </c>
      <c r="E225" t="inlineStr">
        <is>
          <t>Calculation</t>
        </is>
      </c>
      <c r="F225" t="inlineStr">
        <is>
          <t>'=SUM('Income statement'!O14,'Income statement'!O16,'Income statement'!O20)/O2</t>
        </is>
      </c>
      <c r="G225" t="n">
        <v>3.072033852808757</v>
      </c>
      <c r="H225" t="inlineStr"/>
      <c r="I225" t="inlineStr">
        <is>
          <t>0.00</t>
        </is>
      </c>
      <c r="J225" t="b">
        <v>0</v>
      </c>
      <c r="K225" t="b">
        <v>0</v>
      </c>
      <c r="L225" t="n">
        <v>11</v>
      </c>
      <c r="M225" t="inlineStr">
        <is>
          <t>FFFF0000</t>
        </is>
      </c>
      <c r="N225" t="inlineStr">
        <is>
          <t>Values must be of type &lt;class 'str'&gt;</t>
        </is>
      </c>
      <c r="O225" t="inlineStr">
        <is>
          <t>center</t>
        </is>
      </c>
      <c r="P225" t="n">
        <v/>
      </c>
      <c r="R225" t="b">
        <v>1</v>
      </c>
      <c r="S225" t="inlineStr">
        <is>
          <t>G000019</t>
        </is>
      </c>
      <c r="T225" t="inlineStr">
        <is>
          <t>Horizontal</t>
        </is>
      </c>
      <c r="U225" t="n">
        <v>5</v>
      </c>
      <c r="V225" t="b">
        <v>1</v>
      </c>
      <c r="W225" t="inlineStr">
        <is>
          <t>Assumptions Sheet!K12:O12</t>
        </is>
      </c>
      <c r="X225">
        <f>SUM('Income statement'!R[2]C[0],'Income statement'!R[4]C[0],'Income statement'!R[8]C[0])/R[-10]C[0]</f>
        <v/>
      </c>
    </row>
    <row r="226">
      <c r="A226" t="inlineStr">
        <is>
          <t>Assumptions Sheet</t>
        </is>
      </c>
      <c r="B226" t="inlineStr">
        <is>
          <t>P12</t>
        </is>
      </c>
      <c r="C226" t="n">
        <v>12</v>
      </c>
      <c r="D226" t="n">
        <v>16</v>
      </c>
      <c r="E226" t="inlineStr">
        <is>
          <t>Input</t>
        </is>
      </c>
      <c r="F226" t="n">
        <v/>
      </c>
      <c r="H226" t="inlineStr"/>
      <c r="I226" t="inlineStr">
        <is>
          <t>0.00</t>
        </is>
      </c>
      <c r="J226" t="b">
        <v>0</v>
      </c>
      <c r="K226" t="b">
        <v>0</v>
      </c>
      <c r="L226" t="n">
        <v>11</v>
      </c>
      <c r="M226" t="inlineStr">
        <is>
          <t>FFFF0000</t>
        </is>
      </c>
      <c r="N226" t="inlineStr">
        <is>
          <t>Values must be of type &lt;class 'str'&gt;</t>
        </is>
      </c>
      <c r="O226" t="inlineStr">
        <is>
          <t>center</t>
        </is>
      </c>
      <c r="P226" t="n">
        <v/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Assumptions Sheet</t>
        </is>
      </c>
      <c r="B227" t="inlineStr">
        <is>
          <t>B13</t>
        </is>
      </c>
      <c r="C227" t="n">
        <v>13</v>
      </c>
      <c r="D227" t="n">
        <v>2</v>
      </c>
      <c r="E227" t="inlineStr">
        <is>
          <t>Input</t>
        </is>
      </c>
      <c r="F227" t="n">
        <v/>
      </c>
      <c r="G227" t="inlineStr">
        <is>
          <t>RASK - CASK (Rs)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inlineStr">
        <is>
          <t>left</t>
        </is>
      </c>
      <c r="P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Assumptions Sheet</t>
        </is>
      </c>
      <c r="B228" t="inlineStr">
        <is>
          <t>C13</t>
        </is>
      </c>
      <c r="C228" t="n">
        <v>13</v>
      </c>
      <c r="D228" t="n">
        <v>3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center</t>
        </is>
      </c>
      <c r="P228" t="n">
        <v/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Assumptions Sheet</t>
        </is>
      </c>
      <c r="B229" t="inlineStr">
        <is>
          <t>D13</t>
        </is>
      </c>
      <c r="C229" t="n">
        <v>13</v>
      </c>
      <c r="D229" t="n">
        <v>4</v>
      </c>
      <c r="E229" t="inlineStr">
        <is>
          <t>Output</t>
        </is>
      </c>
      <c r="F229" t="inlineStr">
        <is>
          <t>'=D11-D12</t>
        </is>
      </c>
      <c r="G229" t="n">
        <v>1.717423002369158</v>
      </c>
      <c r="H229" t="inlineStr"/>
      <c r="I229" t="inlineStr">
        <is>
          <t>0.00</t>
        </is>
      </c>
      <c r="J229" t="b">
        <v>0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n">
        <v/>
      </c>
      <c r="R229" t="b">
        <v>1</v>
      </c>
      <c r="S229" t="inlineStr">
        <is>
          <t>G000020</t>
        </is>
      </c>
      <c r="T229" t="inlineStr">
        <is>
          <t>Horizontal</t>
        </is>
      </c>
      <c r="U229" t="n">
        <v>12</v>
      </c>
      <c r="V229" t="b">
        <v>1</v>
      </c>
      <c r="W229" t="inlineStr">
        <is>
          <t>Assumptions Sheet!D13:O13</t>
        </is>
      </c>
      <c r="X229">
        <f>R[-2]C[0]-R[-1]C[0]</f>
        <v/>
      </c>
    </row>
    <row r="230">
      <c r="A230" t="inlineStr">
        <is>
          <t>Assumptions Sheet</t>
        </is>
      </c>
      <c r="B230" t="inlineStr">
        <is>
          <t>E13</t>
        </is>
      </c>
      <c r="C230" t="n">
        <v>13</v>
      </c>
      <c r="D230" t="n">
        <v>5</v>
      </c>
      <c r="E230" t="inlineStr">
        <is>
          <t>Output</t>
        </is>
      </c>
      <c r="F230" t="inlineStr">
        <is>
          <t>'=E11-E12</t>
        </is>
      </c>
      <c r="G230" t="n">
        <v>1.510186534304699</v>
      </c>
      <c r="H230" t="inlineStr"/>
      <c r="I230" t="inlineStr">
        <is>
          <t>0.00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n">
        <v/>
      </c>
      <c r="R230" t="b">
        <v>1</v>
      </c>
      <c r="S230" t="inlineStr">
        <is>
          <t>G000020</t>
        </is>
      </c>
      <c r="T230" t="inlineStr">
        <is>
          <t>Horizontal</t>
        </is>
      </c>
      <c r="U230" t="n">
        <v>12</v>
      </c>
      <c r="V230" t="b">
        <v>1</v>
      </c>
      <c r="W230" t="inlineStr">
        <is>
          <t>Assumptions Sheet!D13:O13</t>
        </is>
      </c>
      <c r="X230">
        <f>R[-2]C[0]-R[-1]C[0]</f>
        <v/>
      </c>
    </row>
    <row r="231">
      <c r="A231" t="inlineStr">
        <is>
          <t>Assumptions Sheet</t>
        </is>
      </c>
      <c r="B231" t="inlineStr">
        <is>
          <t>F13</t>
        </is>
      </c>
      <c r="C231" t="n">
        <v>13</v>
      </c>
      <c r="D231" t="n">
        <v>6</v>
      </c>
      <c r="E231" t="inlineStr">
        <is>
          <t>Output</t>
        </is>
      </c>
      <c r="F231" t="inlineStr">
        <is>
          <t>'=F11-F12</t>
        </is>
      </c>
      <c r="G231" t="n">
        <v>1.942826835499278</v>
      </c>
      <c r="H231" t="inlineStr"/>
      <c r="I231" t="inlineStr">
        <is>
          <t>0.00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n">
        <v/>
      </c>
      <c r="R231" t="b">
        <v>1</v>
      </c>
      <c r="S231" t="inlineStr">
        <is>
          <t>G000020</t>
        </is>
      </c>
      <c r="T231" t="inlineStr">
        <is>
          <t>Horizontal</t>
        </is>
      </c>
      <c r="U231" t="n">
        <v>12</v>
      </c>
      <c r="V231" t="b">
        <v>1</v>
      </c>
      <c r="W231" t="inlineStr">
        <is>
          <t>Assumptions Sheet!D13:O13</t>
        </is>
      </c>
      <c r="X231">
        <f>R[-2]C[0]-R[-1]C[0]</f>
        <v/>
      </c>
    </row>
    <row r="232">
      <c r="A232" t="inlineStr">
        <is>
          <t>Assumptions Sheet</t>
        </is>
      </c>
      <c r="B232" t="inlineStr">
        <is>
          <t>G13</t>
        </is>
      </c>
      <c r="C232" t="n">
        <v>13</v>
      </c>
      <c r="D232" t="n">
        <v>7</v>
      </c>
      <c r="E232" t="inlineStr">
        <is>
          <t>Output</t>
        </is>
      </c>
      <c r="F232" t="inlineStr">
        <is>
          <t>'=G11-G12</t>
        </is>
      </c>
      <c r="G232" t="n">
        <v>1.01705809344597</v>
      </c>
      <c r="H232" t="inlineStr"/>
      <c r="I232" t="inlineStr">
        <is>
          <t>0.00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P232" t="n">
        <v/>
      </c>
      <c r="R232" t="b">
        <v>1</v>
      </c>
      <c r="S232" t="inlineStr">
        <is>
          <t>G000020</t>
        </is>
      </c>
      <c r="T232" t="inlineStr">
        <is>
          <t>Horizontal</t>
        </is>
      </c>
      <c r="U232" t="n">
        <v>12</v>
      </c>
      <c r="V232" t="b">
        <v>1</v>
      </c>
      <c r="W232" t="inlineStr">
        <is>
          <t>Assumptions Sheet!D13:O13</t>
        </is>
      </c>
      <c r="X232">
        <f>R[-2]C[0]-R[-1]C[0]</f>
        <v/>
      </c>
    </row>
    <row r="233">
      <c r="A233" t="inlineStr">
        <is>
          <t>Assumptions Sheet</t>
        </is>
      </c>
      <c r="B233" t="inlineStr">
        <is>
          <t>H13</t>
        </is>
      </c>
      <c r="C233" t="n">
        <v>13</v>
      </c>
      <c r="D233" t="n">
        <v>8</v>
      </c>
      <c r="E233" t="inlineStr">
        <is>
          <t>Output</t>
        </is>
      </c>
      <c r="F233" t="inlineStr">
        <is>
          <t>'=H11-H12</t>
        </is>
      </c>
      <c r="G233" t="n">
        <v>1.358562752360929</v>
      </c>
      <c r="H233" t="inlineStr"/>
      <c r="I233" t="inlineStr">
        <is>
          <t>0.00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center</t>
        </is>
      </c>
      <c r="P233" t="n">
        <v/>
      </c>
      <c r="R233" t="b">
        <v>1</v>
      </c>
      <c r="S233" t="inlineStr">
        <is>
          <t>G000020</t>
        </is>
      </c>
      <c r="T233" t="inlineStr">
        <is>
          <t>Horizontal</t>
        </is>
      </c>
      <c r="U233" t="n">
        <v>12</v>
      </c>
      <c r="V233" t="b">
        <v>1</v>
      </c>
      <c r="W233" t="inlineStr">
        <is>
          <t>Assumptions Sheet!D13:O13</t>
        </is>
      </c>
      <c r="X233">
        <f>R[-2]C[0]-R[-1]C[0]</f>
        <v/>
      </c>
    </row>
    <row r="234">
      <c r="A234" t="inlineStr">
        <is>
          <t>Assumptions Sheet</t>
        </is>
      </c>
      <c r="B234" t="inlineStr">
        <is>
          <t>I13</t>
        </is>
      </c>
      <c r="C234" t="n">
        <v>13</v>
      </c>
      <c r="D234" t="n">
        <v>9</v>
      </c>
      <c r="E234" t="inlineStr">
        <is>
          <t>Output</t>
        </is>
      </c>
      <c r="F234" t="inlineStr">
        <is>
          <t>'=I11-I12</t>
        </is>
      </c>
      <c r="G234" t="n">
        <v>1.579324029778922</v>
      </c>
      <c r="H234" t="inlineStr"/>
      <c r="I234" t="inlineStr">
        <is>
          <t>0.00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inlineStr">
        <is>
          <t>center</t>
        </is>
      </c>
      <c r="P234" t="n">
        <v/>
      </c>
      <c r="R234" t="b">
        <v>1</v>
      </c>
      <c r="S234" t="inlineStr">
        <is>
          <t>G000020</t>
        </is>
      </c>
      <c r="T234" t="inlineStr">
        <is>
          <t>Horizontal</t>
        </is>
      </c>
      <c r="U234" t="n">
        <v>12</v>
      </c>
      <c r="V234" t="b">
        <v>1</v>
      </c>
      <c r="W234" t="inlineStr">
        <is>
          <t>Assumptions Sheet!D13:O13</t>
        </is>
      </c>
      <c r="X234">
        <f>R[-2]C[0]-R[-1]C[0]</f>
        <v/>
      </c>
    </row>
    <row r="235">
      <c r="A235" t="inlineStr">
        <is>
          <t>Assumptions Sheet</t>
        </is>
      </c>
      <c r="B235" t="inlineStr">
        <is>
          <t>J13</t>
        </is>
      </c>
      <c r="C235" t="n">
        <v>13</v>
      </c>
      <c r="D235" t="n">
        <v>10</v>
      </c>
      <c r="E235" t="inlineStr">
        <is>
          <t>Output</t>
        </is>
      </c>
      <c r="F235" t="inlineStr">
        <is>
          <t>'=J11-J12</t>
        </is>
      </c>
      <c r="G235" t="n">
        <v>1.482852939802924</v>
      </c>
      <c r="H235" t="inlineStr"/>
      <c r="I235" t="inlineStr">
        <is>
          <t>0.00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inlineStr">
        <is>
          <t>center</t>
        </is>
      </c>
      <c r="P235" t="n">
        <v/>
      </c>
      <c r="R235" t="b">
        <v>1</v>
      </c>
      <c r="S235" t="inlineStr">
        <is>
          <t>G000020</t>
        </is>
      </c>
      <c r="T235" t="inlineStr">
        <is>
          <t>Horizontal</t>
        </is>
      </c>
      <c r="U235" t="n">
        <v>12</v>
      </c>
      <c r="V235" t="b">
        <v>1</v>
      </c>
      <c r="W235" t="inlineStr">
        <is>
          <t>Assumptions Sheet!D13:O13</t>
        </is>
      </c>
      <c r="X235">
        <f>R[-2]C[0]-R[-1]C[0]</f>
        <v/>
      </c>
    </row>
    <row r="236">
      <c r="A236" t="inlineStr">
        <is>
          <t>Assumptions Sheet</t>
        </is>
      </c>
      <c r="B236" t="inlineStr">
        <is>
          <t>K13</t>
        </is>
      </c>
      <c r="C236" t="n">
        <v>13</v>
      </c>
      <c r="D236" t="n">
        <v>11</v>
      </c>
      <c r="E236" t="inlineStr">
        <is>
          <t>Output</t>
        </is>
      </c>
      <c r="F236" t="inlineStr">
        <is>
          <t>'=K11-K12</t>
        </is>
      </c>
      <c r="G236" t="n">
        <v>1.617652858743508</v>
      </c>
      <c r="H236" t="inlineStr"/>
      <c r="I236" t="inlineStr">
        <is>
          <t>0.00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P236" t="n">
        <v/>
      </c>
      <c r="R236" t="b">
        <v>1</v>
      </c>
      <c r="S236" t="inlineStr">
        <is>
          <t>G000020</t>
        </is>
      </c>
      <c r="T236" t="inlineStr">
        <is>
          <t>Horizontal</t>
        </is>
      </c>
      <c r="U236" t="n">
        <v>12</v>
      </c>
      <c r="V236" t="b">
        <v>1</v>
      </c>
      <c r="W236" t="inlineStr">
        <is>
          <t>Assumptions Sheet!D13:O13</t>
        </is>
      </c>
      <c r="X236">
        <f>R[-2]C[0]-R[-1]C[0]</f>
        <v/>
      </c>
    </row>
    <row r="237">
      <c r="A237" t="inlineStr">
        <is>
          <t>Assumptions Sheet</t>
        </is>
      </c>
      <c r="B237" t="inlineStr">
        <is>
          <t>L13</t>
        </is>
      </c>
      <c r="C237" t="n">
        <v>13</v>
      </c>
      <c r="D237" t="n">
        <v>12</v>
      </c>
      <c r="E237" t="inlineStr">
        <is>
          <t>Output</t>
        </is>
      </c>
      <c r="F237" t="inlineStr">
        <is>
          <t>'=L11-L12</t>
        </is>
      </c>
      <c r="G237" t="n">
        <v>1.568190973584074</v>
      </c>
      <c r="H237" t="inlineStr"/>
      <c r="I237" t="inlineStr">
        <is>
          <t>0.00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inlineStr">
        <is>
          <t>center</t>
        </is>
      </c>
      <c r="P237" t="n">
        <v/>
      </c>
      <c r="R237" t="b">
        <v>1</v>
      </c>
      <c r="S237" t="inlineStr">
        <is>
          <t>G000020</t>
        </is>
      </c>
      <c r="T237" t="inlineStr">
        <is>
          <t>Horizontal</t>
        </is>
      </c>
      <c r="U237" t="n">
        <v>12</v>
      </c>
      <c r="V237" t="b">
        <v>1</v>
      </c>
      <c r="W237" t="inlineStr">
        <is>
          <t>Assumptions Sheet!D13:O13</t>
        </is>
      </c>
      <c r="X237">
        <f>R[-2]C[0]-R[-1]C[0]</f>
        <v/>
      </c>
    </row>
    <row r="238">
      <c r="A238" t="inlineStr">
        <is>
          <t>Assumptions Sheet</t>
        </is>
      </c>
      <c r="B238" t="inlineStr">
        <is>
          <t>M13</t>
        </is>
      </c>
      <c r="C238" t="n">
        <v>13</v>
      </c>
      <c r="D238" t="n">
        <v>13</v>
      </c>
      <c r="E238" t="inlineStr">
        <is>
          <t>Output</t>
        </is>
      </c>
      <c r="F238" t="inlineStr">
        <is>
          <t>'=M11-M12</t>
        </is>
      </c>
      <c r="G238" t="n">
        <v>1.578816758462053</v>
      </c>
      <c r="H238" t="inlineStr"/>
      <c r="I238" t="inlineStr">
        <is>
          <t>0.00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inlineStr">
        <is>
          <t>center</t>
        </is>
      </c>
      <c r="P238" t="n">
        <v/>
      </c>
      <c r="R238" t="b">
        <v>1</v>
      </c>
      <c r="S238" t="inlineStr">
        <is>
          <t>G000020</t>
        </is>
      </c>
      <c r="T238" t="inlineStr">
        <is>
          <t>Horizontal</t>
        </is>
      </c>
      <c r="U238" t="n">
        <v>12</v>
      </c>
      <c r="V238" t="b">
        <v>1</v>
      </c>
      <c r="W238" t="inlineStr">
        <is>
          <t>Assumptions Sheet!D13:O13</t>
        </is>
      </c>
      <c r="X238">
        <f>R[-2]C[0]-R[-1]C[0]</f>
        <v/>
      </c>
    </row>
    <row r="239">
      <c r="A239" t="inlineStr">
        <is>
          <t>Assumptions Sheet</t>
        </is>
      </c>
      <c r="B239" t="inlineStr">
        <is>
          <t>N13</t>
        </is>
      </c>
      <c r="C239" t="n">
        <v>13</v>
      </c>
      <c r="D239" t="n">
        <v>14</v>
      </c>
      <c r="E239" t="inlineStr">
        <is>
          <t>Output</t>
        </is>
      </c>
      <c r="F239" t="inlineStr">
        <is>
          <t>'=N11-N12</t>
        </is>
      </c>
      <c r="G239" t="n">
        <v>1.566890184788055</v>
      </c>
      <c r="H239" t="inlineStr"/>
      <c r="I239" t="inlineStr">
        <is>
          <t>0.00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center</t>
        </is>
      </c>
      <c r="P239" t="n">
        <v/>
      </c>
      <c r="R239" t="b">
        <v>1</v>
      </c>
      <c r="S239" t="inlineStr">
        <is>
          <t>G000020</t>
        </is>
      </c>
      <c r="T239" t="inlineStr">
        <is>
          <t>Horizontal</t>
        </is>
      </c>
      <c r="U239" t="n">
        <v>12</v>
      </c>
      <c r="V239" t="b">
        <v>1</v>
      </c>
      <c r="W239" t="inlineStr">
        <is>
          <t>Assumptions Sheet!D13:O13</t>
        </is>
      </c>
      <c r="X239">
        <f>R[-2]C[0]-R[-1]C[0]</f>
        <v/>
      </c>
    </row>
    <row r="240">
      <c r="A240" t="inlineStr">
        <is>
          <t>Assumptions Sheet</t>
        </is>
      </c>
      <c r="B240" t="inlineStr">
        <is>
          <t>O13</t>
        </is>
      </c>
      <c r="C240" t="n">
        <v>13</v>
      </c>
      <c r="D240" t="n">
        <v>15</v>
      </c>
      <c r="E240" t="inlineStr">
        <is>
          <t>Output</t>
        </is>
      </c>
      <c r="F240" t="inlineStr">
        <is>
          <t>'=O11-O12</t>
        </is>
      </c>
      <c r="G240" t="n">
        <v>1.563151660827781</v>
      </c>
      <c r="H240" t="inlineStr"/>
      <c r="I240" t="inlineStr">
        <is>
          <t>0.00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inlineStr">
        <is>
          <t>center</t>
        </is>
      </c>
      <c r="P240" t="n">
        <v/>
      </c>
      <c r="R240" t="b">
        <v>1</v>
      </c>
      <c r="S240" t="inlineStr">
        <is>
          <t>G000020</t>
        </is>
      </c>
      <c r="T240" t="inlineStr">
        <is>
          <t>Horizontal</t>
        </is>
      </c>
      <c r="U240" t="n">
        <v>12</v>
      </c>
      <c r="V240" t="b">
        <v>1</v>
      </c>
      <c r="W240" t="inlineStr">
        <is>
          <t>Assumptions Sheet!D13:O13</t>
        </is>
      </c>
      <c r="X240">
        <f>R[-2]C[0]-R[-1]C[0]</f>
        <v/>
      </c>
    </row>
    <row r="241">
      <c r="A241" t="inlineStr">
        <is>
          <t>Assumptions Sheet</t>
        </is>
      </c>
      <c r="B241" t="inlineStr">
        <is>
          <t>P13</t>
        </is>
      </c>
      <c r="C241" t="n">
        <v>13</v>
      </c>
      <c r="D241" t="n">
        <v>16</v>
      </c>
      <c r="E241" t="inlineStr">
        <is>
          <t>Input</t>
        </is>
      </c>
      <c r="F241" t="n">
        <v/>
      </c>
      <c r="H241" t="inlineStr"/>
      <c r="I241" t="inlineStr">
        <is>
          <t>0.00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Values must be of type &lt;class 'str'&gt;</t>
        </is>
      </c>
      <c r="O241" t="inlineStr">
        <is>
          <t>center</t>
        </is>
      </c>
      <c r="P241" t="n">
        <v/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Assumptions Sheet</t>
        </is>
      </c>
      <c r="B242" t="inlineStr">
        <is>
          <t>B14</t>
        </is>
      </c>
      <c r="C242" t="n">
        <v>14</v>
      </c>
      <c r="D242" t="n">
        <v>2</v>
      </c>
      <c r="E242" t="inlineStr">
        <is>
          <t>Input</t>
        </is>
      </c>
      <c r="F242" t="n">
        <v/>
      </c>
      <c r="G242" t="inlineStr">
        <is>
          <t>CASK ex-fuel (Rs.)</t>
        </is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Values must be of type &lt;class 'str'&gt;</t>
        </is>
      </c>
      <c r="O242" t="inlineStr">
        <is>
          <t>left</t>
        </is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Assumptions Sheet</t>
        </is>
      </c>
      <c r="B243" t="inlineStr">
        <is>
          <t>C14</t>
        </is>
      </c>
      <c r="C243" t="n">
        <v>14</v>
      </c>
      <c r="D243" t="n">
        <v>3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inlineStr">
        <is>
          <t>center</t>
        </is>
      </c>
      <c r="P243" t="n">
        <v/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Assumptions Sheet</t>
        </is>
      </c>
      <c r="B244" t="inlineStr">
        <is>
          <t>D14</t>
        </is>
      </c>
      <c r="C244" t="n">
        <v>14</v>
      </c>
      <c r="D244" t="n">
        <v>4</v>
      </c>
      <c r="E244" t="inlineStr">
        <is>
          <t>Output</t>
        </is>
      </c>
      <c r="F244" t="inlineStr">
        <is>
          <t>'=SUM('Income statement'!D14,'Income statement'!D20)/D2</t>
        </is>
      </c>
      <c r="G244" t="n">
        <v>1.281098390841406</v>
      </c>
      <c r="H244" t="inlineStr"/>
      <c r="I244" t="inlineStr">
        <is>
          <t>0.00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inlineStr">
        <is>
          <t>center</t>
        </is>
      </c>
      <c r="P244" t="n">
        <v/>
      </c>
      <c r="R244" t="b">
        <v>1</v>
      </c>
      <c r="S244" t="inlineStr">
        <is>
          <t>G000021</t>
        </is>
      </c>
      <c r="T244" t="inlineStr">
        <is>
          <t>Horizontal</t>
        </is>
      </c>
      <c r="U244" t="n">
        <v>4</v>
      </c>
      <c r="V244" t="b">
        <v>1</v>
      </c>
      <c r="W244" t="inlineStr">
        <is>
          <t>Assumptions Sheet!D14:G14</t>
        </is>
      </c>
      <c r="X244">
        <f>SUM('Income statement'!R[0]C[0],'Income statement'!R[6]C[0])/R[-12]C[0]</f>
        <v/>
      </c>
    </row>
    <row r="245">
      <c r="A245" t="inlineStr">
        <is>
          <t>Assumptions Sheet</t>
        </is>
      </c>
      <c r="B245" t="inlineStr">
        <is>
          <t>E14</t>
        </is>
      </c>
      <c r="C245" t="n">
        <v>14</v>
      </c>
      <c r="D245" t="n">
        <v>5</v>
      </c>
      <c r="E245" t="inlineStr">
        <is>
          <t>Output</t>
        </is>
      </c>
      <c r="F245" t="inlineStr">
        <is>
          <t>'=SUM('Income statement'!E14,'Income statement'!E20)/E2</t>
        </is>
      </c>
      <c r="G245" t="n">
        <v>1.467385871376208</v>
      </c>
      <c r="H245" t="inlineStr"/>
      <c r="I245" t="inlineStr">
        <is>
          <t>0.00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inlineStr">
        <is>
          <t>center</t>
        </is>
      </c>
      <c r="P245" t="n">
        <v/>
      </c>
      <c r="R245" t="b">
        <v>1</v>
      </c>
      <c r="S245" t="inlineStr">
        <is>
          <t>G000021</t>
        </is>
      </c>
      <c r="T245" t="inlineStr">
        <is>
          <t>Horizontal</t>
        </is>
      </c>
      <c r="U245" t="n">
        <v>4</v>
      </c>
      <c r="V245" t="b">
        <v>1</v>
      </c>
      <c r="W245" t="inlineStr">
        <is>
          <t>Assumptions Sheet!D14:G14</t>
        </is>
      </c>
      <c r="X245">
        <f>SUM('Income statement'!R[0]C[0],'Income statement'!R[6]C[0])/R[-12]C[0]</f>
        <v/>
      </c>
    </row>
    <row r="246">
      <c r="A246" t="inlineStr">
        <is>
          <t>Assumptions Sheet</t>
        </is>
      </c>
      <c r="B246" t="inlineStr">
        <is>
          <t>F14</t>
        </is>
      </c>
      <c r="C246" t="n">
        <v>14</v>
      </c>
      <c r="D246" t="n">
        <v>6</v>
      </c>
      <c r="E246" t="inlineStr">
        <is>
          <t>Output</t>
        </is>
      </c>
      <c r="F246" t="inlineStr">
        <is>
          <t>'=SUM('Income statement'!F14,'Income statement'!F20)/F2</t>
        </is>
      </c>
      <c r="G246" t="n">
        <v>1.600219802218041</v>
      </c>
      <c r="H246" t="inlineStr"/>
      <c r="I246" t="inlineStr">
        <is>
          <t>0.00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inlineStr">
        <is>
          <t>center</t>
        </is>
      </c>
      <c r="P246" t="n">
        <v/>
      </c>
      <c r="R246" t="b">
        <v>1</v>
      </c>
      <c r="S246" t="inlineStr">
        <is>
          <t>G000021</t>
        </is>
      </c>
      <c r="T246" t="inlineStr">
        <is>
          <t>Horizontal</t>
        </is>
      </c>
      <c r="U246" t="n">
        <v>4</v>
      </c>
      <c r="V246" t="b">
        <v>1</v>
      </c>
      <c r="W246" t="inlineStr">
        <is>
          <t>Assumptions Sheet!D14:G14</t>
        </is>
      </c>
      <c r="X246">
        <f>SUM('Income statement'!R[0]C[0],'Income statement'!R[6]C[0])/R[-12]C[0]</f>
        <v/>
      </c>
    </row>
    <row r="247">
      <c r="A247" t="inlineStr">
        <is>
          <t>Assumptions Sheet</t>
        </is>
      </c>
      <c r="B247" t="inlineStr">
        <is>
          <t>G14</t>
        </is>
      </c>
      <c r="C247" t="n">
        <v>14</v>
      </c>
      <c r="D247" t="n">
        <v>7</v>
      </c>
      <c r="E247" t="inlineStr">
        <is>
          <t>Output</t>
        </is>
      </c>
      <c r="F247" t="inlineStr">
        <is>
          <t>'=SUM('Income statement'!G14,'Income statement'!G20)/G2</t>
        </is>
      </c>
      <c r="G247" t="n">
        <v>1.701300096773117</v>
      </c>
      <c r="H247" t="inlineStr"/>
      <c r="I247" t="inlineStr">
        <is>
          <t>0.00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inlineStr">
        <is>
          <t>center</t>
        </is>
      </c>
      <c r="P247" t="n">
        <v/>
      </c>
      <c r="R247" t="b">
        <v>1</v>
      </c>
      <c r="S247" t="inlineStr">
        <is>
          <t>G000021</t>
        </is>
      </c>
      <c r="T247" t="inlineStr">
        <is>
          <t>Horizontal</t>
        </is>
      </c>
      <c r="U247" t="n">
        <v>4</v>
      </c>
      <c r="V247" t="b">
        <v>1</v>
      </c>
      <c r="W247" t="inlineStr">
        <is>
          <t>Assumptions Sheet!D14:G14</t>
        </is>
      </c>
      <c r="X247">
        <f>SUM('Income statement'!R[0]C[0],'Income statement'!R[6]C[0])/R[-12]C[0]</f>
        <v/>
      </c>
    </row>
    <row r="248">
      <c r="A248" t="inlineStr">
        <is>
          <t>Assumptions Sheet</t>
        </is>
      </c>
      <c r="B248" t="inlineStr">
        <is>
          <t>H14</t>
        </is>
      </c>
      <c r="C248" t="n">
        <v>14</v>
      </c>
      <c r="D248" t="n">
        <v>8</v>
      </c>
      <c r="E248" t="inlineStr">
        <is>
          <t>Input</t>
        </is>
      </c>
      <c r="F248" t="n">
        <v/>
      </c>
      <c r="G248" t="n">
        <v>1.8</v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inlineStr">
        <is>
          <t>center</t>
        </is>
      </c>
      <c r="P248" t="n">
        <v/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Assumptions Sheet</t>
        </is>
      </c>
      <c r="B249" t="inlineStr">
        <is>
          <t>I14</t>
        </is>
      </c>
      <c r="C249" t="n">
        <v>14</v>
      </c>
      <c r="D249" t="n">
        <v>9</v>
      </c>
      <c r="E249" t="inlineStr">
        <is>
          <t>Input</t>
        </is>
      </c>
      <c r="F249" t="n">
        <v/>
      </c>
      <c r="G249" t="n">
        <v>2.01</v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inlineStr">
        <is>
          <t>center</t>
        </is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Assumptions Sheet</t>
        </is>
      </c>
      <c r="B250" t="inlineStr">
        <is>
          <t>J14</t>
        </is>
      </c>
      <c r="C250" t="n">
        <v>14</v>
      </c>
      <c r="D250" t="n">
        <v>10</v>
      </c>
      <c r="E250" t="inlineStr">
        <is>
          <t>Input</t>
        </is>
      </c>
      <c r="F250" t="n">
        <v/>
      </c>
      <c r="G250" t="n">
        <v>1.88</v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center</t>
        </is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Assumptions Sheet</t>
        </is>
      </c>
      <c r="B251" t="inlineStr">
        <is>
          <t>K14</t>
        </is>
      </c>
      <c r="C251" t="n">
        <v>14</v>
      </c>
      <c r="D251" t="n">
        <v>11</v>
      </c>
      <c r="E251" t="inlineStr">
        <is>
          <t>Output</t>
        </is>
      </c>
      <c r="F251" t="inlineStr">
        <is>
          <t>'=SUM('Income statement'!K14,'Income statement'!K20)/K2</t>
        </is>
      </c>
      <c r="G251" t="n">
        <v>1.703522589599856</v>
      </c>
      <c r="H251" t="inlineStr"/>
      <c r="I251" t="inlineStr">
        <is>
          <t>0.00</t>
        </is>
      </c>
      <c r="J251" t="b">
        <v>0</v>
      </c>
      <c r="K251" t="b">
        <v>0</v>
      </c>
      <c r="L251" t="n">
        <v>11</v>
      </c>
      <c r="M251" t="inlineStr">
        <is>
          <t>FFFF0000</t>
        </is>
      </c>
      <c r="N251" t="inlineStr">
        <is>
          <t>Values must be of type &lt;class 'str'&gt;</t>
        </is>
      </c>
      <c r="O251" t="inlineStr">
        <is>
          <t>center</t>
        </is>
      </c>
      <c r="P251" t="n">
        <v/>
      </c>
      <c r="R251" t="b">
        <v>1</v>
      </c>
      <c r="S251" t="inlineStr">
        <is>
          <t>G000022</t>
        </is>
      </c>
      <c r="T251" t="inlineStr">
        <is>
          <t>Horizontal</t>
        </is>
      </c>
      <c r="U251" t="n">
        <v>5</v>
      </c>
      <c r="V251" t="b">
        <v>1</v>
      </c>
      <c r="W251" t="inlineStr">
        <is>
          <t>Assumptions Sheet!K14:O14</t>
        </is>
      </c>
      <c r="X251">
        <f>SUM('Income statement'!R[0]C[0],'Income statement'!R[6]C[0])/R[-12]C[0]</f>
        <v/>
      </c>
    </row>
    <row r="252">
      <c r="A252" t="inlineStr">
        <is>
          <t>Assumptions Sheet</t>
        </is>
      </c>
      <c r="B252" t="inlineStr">
        <is>
          <t>L14</t>
        </is>
      </c>
      <c r="C252" t="n">
        <v>14</v>
      </c>
      <c r="D252" t="n">
        <v>12</v>
      </c>
      <c r="E252" t="inlineStr">
        <is>
          <t>Output</t>
        </is>
      </c>
      <c r="F252" t="inlineStr">
        <is>
          <t>'=SUM('Income statement'!L14,'Income statement'!L20)/L2</t>
        </is>
      </c>
      <c r="G252" t="n">
        <v>1.711182952305208</v>
      </c>
      <c r="H252" t="inlineStr"/>
      <c r="I252" t="inlineStr">
        <is>
          <t>0.00</t>
        </is>
      </c>
      <c r="J252" t="b">
        <v>0</v>
      </c>
      <c r="K252" t="b">
        <v>0</v>
      </c>
      <c r="L252" t="n">
        <v>11</v>
      </c>
      <c r="M252" t="inlineStr">
        <is>
          <t>FFFF0000</t>
        </is>
      </c>
      <c r="N252" t="inlineStr">
        <is>
          <t>Values must be of type &lt;class 'str'&gt;</t>
        </is>
      </c>
      <c r="O252" t="inlineStr">
        <is>
          <t>center</t>
        </is>
      </c>
      <c r="P252" t="n">
        <v/>
      </c>
      <c r="R252" t="b">
        <v>1</v>
      </c>
      <c r="S252" t="inlineStr">
        <is>
          <t>G000022</t>
        </is>
      </c>
      <c r="T252" t="inlineStr">
        <is>
          <t>Horizontal</t>
        </is>
      </c>
      <c r="U252" t="n">
        <v>5</v>
      </c>
      <c r="V252" t="b">
        <v>1</v>
      </c>
      <c r="W252" t="inlineStr">
        <is>
          <t>Assumptions Sheet!K14:O14</t>
        </is>
      </c>
      <c r="X252">
        <f>SUM('Income statement'!R[0]C[0],'Income statement'!R[6]C[0])/R[-12]C[0]</f>
        <v/>
      </c>
    </row>
    <row r="253">
      <c r="A253" t="inlineStr">
        <is>
          <t>Assumptions Sheet</t>
        </is>
      </c>
      <c r="B253" t="inlineStr">
        <is>
          <t>M14</t>
        </is>
      </c>
      <c r="C253" t="n">
        <v>14</v>
      </c>
      <c r="D253" t="n">
        <v>13</v>
      </c>
      <c r="E253" t="inlineStr">
        <is>
          <t>Output</t>
        </is>
      </c>
      <c r="F253" t="inlineStr">
        <is>
          <t>'=SUM('Income statement'!M14,'Income statement'!M20)/M2</t>
        </is>
      </c>
      <c r="G253" t="n">
        <v>1.760801010668347</v>
      </c>
      <c r="H253" t="inlineStr"/>
      <c r="I253" t="inlineStr">
        <is>
          <t>0.00</t>
        </is>
      </c>
      <c r="J253" t="b">
        <v>0</v>
      </c>
      <c r="K253" t="b">
        <v>0</v>
      </c>
      <c r="L253" t="n">
        <v>11</v>
      </c>
      <c r="M253" t="inlineStr">
        <is>
          <t>FFFF0000</t>
        </is>
      </c>
      <c r="N253" t="inlineStr">
        <is>
          <t>Values must be of type &lt;class 'str'&gt;</t>
        </is>
      </c>
      <c r="O253" t="inlineStr">
        <is>
          <t>center</t>
        </is>
      </c>
      <c r="P253" t="n">
        <v/>
      </c>
      <c r="R253" t="b">
        <v>1</v>
      </c>
      <c r="S253" t="inlineStr">
        <is>
          <t>G000022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Assumptions Sheet!K14:O14</t>
        </is>
      </c>
      <c r="X253">
        <f>SUM('Income statement'!R[0]C[0],'Income statement'!R[6]C[0])/R[-12]C[0]</f>
        <v/>
      </c>
    </row>
    <row r="254">
      <c r="A254" t="inlineStr">
        <is>
          <t>Assumptions Sheet</t>
        </is>
      </c>
      <c r="B254" t="inlineStr">
        <is>
          <t>N14</t>
        </is>
      </c>
      <c r="C254" t="n">
        <v>14</v>
      </c>
      <c r="D254" t="n">
        <v>14</v>
      </c>
      <c r="E254" t="inlineStr">
        <is>
          <t>Output</t>
        </is>
      </c>
      <c r="F254" t="inlineStr">
        <is>
          <t>'=SUM('Income statement'!N14,'Income statement'!N20)/N2</t>
        </is>
      </c>
      <c r="G254" t="n">
        <v>1.75408096754054</v>
      </c>
      <c r="H254" t="inlineStr"/>
      <c r="I254" t="inlineStr">
        <is>
          <t>0.00</t>
        </is>
      </c>
      <c r="J254" t="b">
        <v>0</v>
      </c>
      <c r="K254" t="b">
        <v>0</v>
      </c>
      <c r="L254" t="n">
        <v>11</v>
      </c>
      <c r="M254" t="inlineStr">
        <is>
          <t>FFFF0000</t>
        </is>
      </c>
      <c r="N254" t="inlineStr">
        <is>
          <t>Values must be of type &lt;class 'str'&gt;</t>
        </is>
      </c>
      <c r="O254" t="inlineStr">
        <is>
          <t>center</t>
        </is>
      </c>
      <c r="P254" t="n">
        <v/>
      </c>
      <c r="R254" t="b">
        <v>1</v>
      </c>
      <c r="S254" t="inlineStr">
        <is>
          <t>G000022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Assumptions Sheet!K14:O14</t>
        </is>
      </c>
      <c r="X254">
        <f>SUM('Income statement'!R[0]C[0],'Income statement'!R[6]C[0])/R[-12]C[0]</f>
        <v/>
      </c>
    </row>
    <row r="255">
      <c r="A255" t="inlineStr">
        <is>
          <t>Assumptions Sheet</t>
        </is>
      </c>
      <c r="B255" t="inlineStr">
        <is>
          <t>O14</t>
        </is>
      </c>
      <c r="C255" t="n">
        <v>14</v>
      </c>
      <c r="D255" t="n">
        <v>15</v>
      </c>
      <c r="E255" t="inlineStr">
        <is>
          <t>Output</t>
        </is>
      </c>
      <c r="F255" t="inlineStr">
        <is>
          <t>'=SUM('Income statement'!O14,'Income statement'!O20)/O2</t>
        </is>
      </c>
      <c r="G255" t="n">
        <v>1.761041158931595</v>
      </c>
      <c r="H255" t="inlineStr"/>
      <c r="I255" t="inlineStr">
        <is>
          <t>0.00</t>
        </is>
      </c>
      <c r="J255" t="b">
        <v>0</v>
      </c>
      <c r="K255" t="b">
        <v>0</v>
      </c>
      <c r="L255" t="n">
        <v>11</v>
      </c>
      <c r="M255" t="inlineStr">
        <is>
          <t>FFFF0000</t>
        </is>
      </c>
      <c r="N255" t="inlineStr">
        <is>
          <t>Values must be of type &lt;class 'str'&gt;</t>
        </is>
      </c>
      <c r="O255" t="inlineStr">
        <is>
          <t>center</t>
        </is>
      </c>
      <c r="P255" t="n">
        <v/>
      </c>
      <c r="R255" t="b">
        <v>1</v>
      </c>
      <c r="S255" t="inlineStr">
        <is>
          <t>G000022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Assumptions Sheet!K14:O14</t>
        </is>
      </c>
      <c r="X255">
        <f>SUM('Income statement'!R[0]C[0],'Income statement'!R[6]C[0])/R[-12]C[0]</f>
        <v/>
      </c>
    </row>
    <row r="256">
      <c r="A256" t="inlineStr">
        <is>
          <t>Assumptions Sheet</t>
        </is>
      </c>
      <c r="B256" t="inlineStr">
        <is>
          <t>P14</t>
        </is>
      </c>
      <c r="C256" t="n">
        <v>14</v>
      </c>
      <c r="D256" t="n">
        <v>16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11</v>
      </c>
      <c r="M256" t="inlineStr">
        <is>
          <t>FFFF0000</t>
        </is>
      </c>
      <c r="N256" t="inlineStr">
        <is>
          <t>Values must be of type &lt;class 'str'&gt;</t>
        </is>
      </c>
      <c r="O256" t="inlineStr">
        <is>
          <t>center</t>
        </is>
      </c>
      <c r="P256" t="n">
        <v/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Assumptions Sheet</t>
        </is>
      </c>
      <c r="B257" t="inlineStr">
        <is>
          <t>B15</t>
        </is>
      </c>
      <c r="C257" t="n">
        <v>15</v>
      </c>
      <c r="D257" t="n">
        <v>2</v>
      </c>
      <c r="E257" t="inlineStr">
        <is>
          <t>Input</t>
        </is>
      </c>
      <c r="F257" t="n">
        <v/>
      </c>
      <c r="G257" t="inlineStr">
        <is>
          <t>Number of Scheduled Passengers Carried (in thousands)</t>
        </is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inlineStr">
        <is>
          <t>left</t>
        </is>
      </c>
      <c r="P257" t="n">
        <v/>
      </c>
      <c r="Q257" t="b">
        <v>1</v>
      </c>
      <c r="R257" t="b">
        <v>1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Assumptions Sheet</t>
        </is>
      </c>
      <c r="B258" t="inlineStr">
        <is>
          <t>C15</t>
        </is>
      </c>
      <c r="C258" t="n">
        <v>15</v>
      </c>
      <c r="D258" t="n">
        <v>3</v>
      </c>
      <c r="E258" t="inlineStr">
        <is>
          <t>Input</t>
        </is>
      </c>
      <c r="F258" t="n">
        <v/>
      </c>
      <c r="G258" t="n">
        <v>45337263</v>
      </c>
      <c r="H258" t="inlineStr"/>
      <c r="I258" t="inlineStr">
        <is>
          <t xml:space="preserve">_ * #,##0_ ;_ * \-#,##0_ ;_ * "-"??_ ;_ @_ 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Assumptions Sheet</t>
        </is>
      </c>
      <c r="B259" t="inlineStr">
        <is>
          <t>D15</t>
        </is>
      </c>
      <c r="C259" t="n">
        <v>15</v>
      </c>
      <c r="D259" t="n">
        <v>4</v>
      </c>
      <c r="E259" t="inlineStr">
        <is>
          <t>Input</t>
        </is>
      </c>
      <c r="F259" t="n">
        <v/>
      </c>
      <c r="G259" t="n">
        <v>53842538</v>
      </c>
      <c r="H259" t="inlineStr"/>
      <c r="I259" t="inlineStr">
        <is>
          <t xml:space="preserve">_ * #,##0_ ;_ * \-#,##0_ ;_ * "-"??_ ;_ @_ 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Assumptions Sheet</t>
        </is>
      </c>
      <c r="B260" t="inlineStr">
        <is>
          <t>E15</t>
        </is>
      </c>
      <c r="C260" t="n">
        <v>15</v>
      </c>
      <c r="D260" t="n">
        <v>5</v>
      </c>
      <c r="E260" t="inlineStr">
        <is>
          <t>Input</t>
        </is>
      </c>
      <c r="F260" t="n">
        <v/>
      </c>
      <c r="G260" t="n">
        <v>60837455</v>
      </c>
      <c r="H260" t="inlineStr"/>
      <c r="I260" t="inlineStr">
        <is>
          <t xml:space="preserve">_ * #,##0_ ;_ * \-#,##0_ ;_ * "-"??_ ;_ @_ 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Assumptions Sheet</t>
        </is>
      </c>
      <c r="B261" t="inlineStr">
        <is>
          <t>F15</t>
        </is>
      </c>
      <c r="C261" t="n">
        <v>15</v>
      </c>
      <c r="D261" t="n">
        <v>6</v>
      </c>
      <c r="E261" t="inlineStr">
        <is>
          <t>Input</t>
        </is>
      </c>
      <c r="F261" t="n">
        <v/>
      </c>
      <c r="G261" t="n">
        <v>57647250</v>
      </c>
      <c r="H261" t="inlineStr"/>
      <c r="I261" t="inlineStr">
        <is>
          <t xml:space="preserve">_ * #,##0_ ;_ * \-#,##0_ ;_ * "-"??_ ;_ @_ 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Assumptions Sheet</t>
        </is>
      </c>
      <c r="B262" t="inlineStr">
        <is>
          <t>G15</t>
        </is>
      </c>
      <c r="C262" t="n">
        <v>15</v>
      </c>
      <c r="D262" t="n">
        <v>7</v>
      </c>
      <c r="E262" t="inlineStr">
        <is>
          <t>Input</t>
        </is>
      </c>
      <c r="F262" t="n">
        <v/>
      </c>
      <c r="G262" t="n">
        <v>60668409</v>
      </c>
      <c r="H262" t="inlineStr"/>
      <c r="I262" t="inlineStr">
        <is>
          <t xml:space="preserve">_ * #,##0_ ;_ * \-#,##0_ ;_ * "-"??_ ;_ @_ 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Assumptions Sheet</t>
        </is>
      </c>
      <c r="B263" t="inlineStr">
        <is>
          <t>H15</t>
        </is>
      </c>
      <c r="C263" t="n">
        <v>15</v>
      </c>
      <c r="D263" t="n">
        <v>8</v>
      </c>
      <c r="E263" t="inlineStr">
        <is>
          <t>Input</t>
        </is>
      </c>
      <c r="F263" t="n">
        <v/>
      </c>
      <c r="G263" t="n">
        <v>70083961</v>
      </c>
      <c r="H263" t="inlineStr"/>
      <c r="I263" t="inlineStr">
        <is>
          <t xml:space="preserve">_ * #,##0_ ;_ * \-#,##0_ ;_ * "-"??_ ;_ @_ 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Assumptions Sheet</t>
        </is>
      </c>
      <c r="B264" t="inlineStr">
        <is>
          <t>I15</t>
        </is>
      </c>
      <c r="C264" t="n">
        <v>15</v>
      </c>
      <c r="D264" t="n">
        <v>9</v>
      </c>
      <c r="E264" t="inlineStr">
        <is>
          <t>Input</t>
        </is>
      </c>
      <c r="F264" t="n">
        <v/>
      </c>
      <c r="G264" t="n">
        <v>85197675</v>
      </c>
      <c r="H264" t="inlineStr"/>
      <c r="I264" t="inlineStr">
        <is>
          <t xml:space="preserve">_ * #,##0_ ;_ * \-#,##0_ ;_ * "-"??_ ;_ @_ 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n">
        <v/>
      </c>
      <c r="P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Assumptions Sheet</t>
        </is>
      </c>
      <c r="B265" t="inlineStr">
        <is>
          <t>J15</t>
        </is>
      </c>
      <c r="C265" t="n">
        <v>15</v>
      </c>
      <c r="D265" t="n">
        <v>10</v>
      </c>
      <c r="E265" t="inlineStr">
        <is>
          <t>Input</t>
        </is>
      </c>
      <c r="F265" t="n">
        <v/>
      </c>
      <c r="G265" t="n">
        <v>103748598</v>
      </c>
      <c r="H265" t="inlineStr"/>
      <c r="I265" t="inlineStr">
        <is>
          <t xml:space="preserve">_ * #,##0_ ;_ * \-#,##0_ ;_ * "-"??_ ;_ @_ 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Assumptions Sheet</t>
        </is>
      </c>
      <c r="B266" t="inlineStr">
        <is>
          <t>K15</t>
        </is>
      </c>
      <c r="C266" t="n">
        <v>15</v>
      </c>
      <c r="D266" t="n">
        <v>11</v>
      </c>
      <c r="E266" t="inlineStr">
        <is>
          <t>Calculation</t>
        </is>
      </c>
      <c r="F266" t="inlineStr">
        <is>
          <t>'=J15*(1+K16)</t>
        </is>
      </c>
      <c r="G266" t="n">
        <v>117235915.74</v>
      </c>
      <c r="H266" t="inlineStr"/>
      <c r="I266" t="inlineStr">
        <is>
          <t xml:space="preserve">_ * #,##0_ ;_ * \-#,##0_ ;_ * "-"??_ ;_ @_ </t>
        </is>
      </c>
      <c r="J266" t="b">
        <v>0</v>
      </c>
      <c r="K266" t="b">
        <v>0</v>
      </c>
      <c r="L266" t="n">
        <v>11</v>
      </c>
      <c r="M266" t="inlineStr">
        <is>
          <t>FFFF0000</t>
        </is>
      </c>
      <c r="N266" t="inlineStr">
        <is>
          <t>Values must be of type &lt;class 'str'&gt;</t>
        </is>
      </c>
      <c r="O266" t="inlineStr">
        <is>
          <t>center</t>
        </is>
      </c>
      <c r="P266" t="n">
        <v/>
      </c>
      <c r="R266" t="b">
        <v>1</v>
      </c>
      <c r="S266" t="inlineStr">
        <is>
          <t>G000002</t>
        </is>
      </c>
      <c r="T266" t="inlineStr">
        <is>
          <t>Horizontal</t>
        </is>
      </c>
      <c r="U266" t="n">
        <v>5</v>
      </c>
      <c r="V266" t="b">
        <v>1</v>
      </c>
      <c r="W266" t="inlineStr">
        <is>
          <t>Assumptions Sheet!K15:O15</t>
        </is>
      </c>
      <c r="X266">
        <f>R[0]C[-1]*(1+R[1]C[0])</f>
        <v/>
      </c>
    </row>
    <row r="267">
      <c r="A267" t="inlineStr">
        <is>
          <t>Assumptions Sheet</t>
        </is>
      </c>
      <c r="B267" t="inlineStr">
        <is>
          <t>L15</t>
        </is>
      </c>
      <c r="C267" t="n">
        <v>15</v>
      </c>
      <c r="D267" t="n">
        <v>12</v>
      </c>
      <c r="E267" t="inlineStr">
        <is>
          <t>Calculation</t>
        </is>
      </c>
      <c r="F267" t="inlineStr">
        <is>
          <t>'=K15*(1+L16)</t>
        </is>
      </c>
      <c r="G267" t="n">
        <v>133648943.9436</v>
      </c>
      <c r="H267" t="inlineStr"/>
      <c r="I267" t="inlineStr">
        <is>
          <t xml:space="preserve">_ * #,##0_ ;_ * \-#,##0_ ;_ * "-"??_ ;_ @_ </t>
        </is>
      </c>
      <c r="J267" t="b">
        <v>0</v>
      </c>
      <c r="K267" t="b">
        <v>0</v>
      </c>
      <c r="L267" t="n">
        <v>11</v>
      </c>
      <c r="M267" t="inlineStr">
        <is>
          <t>FFFF0000</t>
        </is>
      </c>
      <c r="N267" t="inlineStr">
        <is>
          <t>Values must be of type &lt;class 'str'&gt;</t>
        </is>
      </c>
      <c r="O267" t="inlineStr">
        <is>
          <t>center</t>
        </is>
      </c>
      <c r="P267" t="n">
        <v/>
      </c>
      <c r="R267" t="b">
        <v>1</v>
      </c>
      <c r="S267" t="inlineStr">
        <is>
          <t>G000002</t>
        </is>
      </c>
      <c r="T267" t="inlineStr">
        <is>
          <t>Horizontal</t>
        </is>
      </c>
      <c r="U267" t="n">
        <v>5</v>
      </c>
      <c r="V267" t="b">
        <v>1</v>
      </c>
      <c r="W267" t="inlineStr">
        <is>
          <t>Assumptions Sheet!K15:O15</t>
        </is>
      </c>
      <c r="X267">
        <f>R[0]C[-1]*(1+R[1]C[0])</f>
        <v/>
      </c>
    </row>
    <row r="268">
      <c r="A268" t="inlineStr">
        <is>
          <t>Assumptions Sheet</t>
        </is>
      </c>
      <c r="B268" t="inlineStr">
        <is>
          <t>M15</t>
        </is>
      </c>
      <c r="C268" t="n">
        <v>15</v>
      </c>
      <c r="D268" t="n">
        <v>13</v>
      </c>
      <c r="E268" t="inlineStr">
        <is>
          <t>Calculation</t>
        </is>
      </c>
      <c r="F268" t="inlineStr">
        <is>
          <t>'=L15*(1+M16)</t>
        </is>
      </c>
      <c r="G268" t="n">
        <v>152359796.095704</v>
      </c>
      <c r="H268" t="inlineStr"/>
      <c r="I268" t="inlineStr">
        <is>
          <t xml:space="preserve">_ * #,##0_ ;_ * \-#,##0_ ;_ * "-"??_ ;_ @_ </t>
        </is>
      </c>
      <c r="J268" t="b">
        <v>0</v>
      </c>
      <c r="K268" t="b">
        <v>0</v>
      </c>
      <c r="L268" t="n">
        <v>11</v>
      </c>
      <c r="M268" t="inlineStr">
        <is>
          <t>FFFF0000</t>
        </is>
      </c>
      <c r="N268" t="inlineStr">
        <is>
          <t>Values must be of type &lt;class 'str'&gt;</t>
        </is>
      </c>
      <c r="O268" t="inlineStr">
        <is>
          <t>center</t>
        </is>
      </c>
      <c r="P268" t="n">
        <v/>
      </c>
      <c r="R268" t="b">
        <v>1</v>
      </c>
      <c r="S268" t="inlineStr">
        <is>
          <t>G000002</t>
        </is>
      </c>
      <c r="T268" t="inlineStr">
        <is>
          <t>Horizontal</t>
        </is>
      </c>
      <c r="U268" t="n">
        <v>5</v>
      </c>
      <c r="V268" t="b">
        <v>1</v>
      </c>
      <c r="W268" t="inlineStr">
        <is>
          <t>Assumptions Sheet!K15:O15</t>
        </is>
      </c>
      <c r="X268">
        <f>R[0]C[-1]*(1+R[1]C[0])</f>
        <v/>
      </c>
    </row>
    <row r="269">
      <c r="A269" t="inlineStr">
        <is>
          <t>Assumptions Sheet</t>
        </is>
      </c>
      <c r="B269" t="inlineStr">
        <is>
          <t>N15</t>
        </is>
      </c>
      <c r="C269" t="n">
        <v>15</v>
      </c>
      <c r="D269" t="n">
        <v>14</v>
      </c>
      <c r="E269" t="inlineStr">
        <is>
          <t>Calculation</t>
        </is>
      </c>
      <c r="F269" t="inlineStr">
        <is>
          <t>'=M15*(1+N16)</t>
        </is>
      </c>
      <c r="G269" t="n">
        <v>175213765.5100596</v>
      </c>
      <c r="H269" t="inlineStr"/>
      <c r="I269" t="inlineStr">
        <is>
          <t xml:space="preserve">_ * #,##0_ ;_ * \-#,##0_ ;_ * "-"??_ ;_ @_ </t>
        </is>
      </c>
      <c r="J269" t="b">
        <v>0</v>
      </c>
      <c r="K269" t="b">
        <v>0</v>
      </c>
      <c r="L269" t="n">
        <v>11</v>
      </c>
      <c r="M269" t="inlineStr">
        <is>
          <t>FFFF0000</t>
        </is>
      </c>
      <c r="N269" t="inlineStr">
        <is>
          <t>Values must be of type &lt;class 'str'&gt;</t>
        </is>
      </c>
      <c r="O269" t="inlineStr">
        <is>
          <t>center</t>
        </is>
      </c>
      <c r="P269" t="n">
        <v/>
      </c>
      <c r="R269" t="b">
        <v>1</v>
      </c>
      <c r="S269" t="inlineStr">
        <is>
          <t>G000002</t>
        </is>
      </c>
      <c r="T269" t="inlineStr">
        <is>
          <t>Horizontal</t>
        </is>
      </c>
      <c r="U269" t="n">
        <v>5</v>
      </c>
      <c r="V269" t="b">
        <v>1</v>
      </c>
      <c r="W269" t="inlineStr">
        <is>
          <t>Assumptions Sheet!K15:O15</t>
        </is>
      </c>
      <c r="X269">
        <f>R[0]C[-1]*(1+R[1]C[0])</f>
        <v/>
      </c>
    </row>
    <row r="270">
      <c r="A270" t="inlineStr">
        <is>
          <t>Assumptions Sheet</t>
        </is>
      </c>
      <c r="B270" t="inlineStr">
        <is>
          <t>O15</t>
        </is>
      </c>
      <c r="C270" t="n">
        <v>15</v>
      </c>
      <c r="D270" t="n">
        <v>15</v>
      </c>
      <c r="E270" t="inlineStr">
        <is>
          <t>Output</t>
        </is>
      </c>
      <c r="F270" t="inlineStr">
        <is>
          <t>'=N15*(1+O16)</t>
        </is>
      </c>
      <c r="G270" t="n">
        <v>201495830.3365685</v>
      </c>
      <c r="H270" t="inlineStr"/>
      <c r="I270" t="inlineStr">
        <is>
          <t xml:space="preserve">_ * #,##0_ ;_ * \-#,##0_ ;_ * "-"??_ ;_ @_ </t>
        </is>
      </c>
      <c r="J270" t="b">
        <v>0</v>
      </c>
      <c r="K270" t="b">
        <v>0</v>
      </c>
      <c r="L270" t="n">
        <v>11</v>
      </c>
      <c r="M270" t="inlineStr">
        <is>
          <t>FFFF0000</t>
        </is>
      </c>
      <c r="N270" t="inlineStr">
        <is>
          <t>Values must be of type &lt;class 'str'&gt;</t>
        </is>
      </c>
      <c r="O270" t="inlineStr">
        <is>
          <t>center</t>
        </is>
      </c>
      <c r="P270" t="n">
        <v/>
      </c>
      <c r="R270" t="b">
        <v>1</v>
      </c>
      <c r="S270" t="inlineStr">
        <is>
          <t>G000002</t>
        </is>
      </c>
      <c r="T270" t="inlineStr">
        <is>
          <t>Horizontal</t>
        </is>
      </c>
      <c r="U270" t="n">
        <v>5</v>
      </c>
      <c r="V270" t="b">
        <v>1</v>
      </c>
      <c r="W270" t="inlineStr">
        <is>
          <t>Assumptions Sheet!K15:O15</t>
        </is>
      </c>
      <c r="X270">
        <f>R[0]C[-1]*(1+R[1]C[0])</f>
        <v/>
      </c>
    </row>
    <row r="271">
      <c r="A271" t="inlineStr">
        <is>
          <t>Assumptions Sheet</t>
        </is>
      </c>
      <c r="B271" t="inlineStr">
        <is>
          <t>P15</t>
        </is>
      </c>
      <c r="C271" t="n">
        <v>15</v>
      </c>
      <c r="D271" t="n">
        <v>16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FFFF0000</t>
        </is>
      </c>
      <c r="N271" t="inlineStr">
        <is>
          <t>Values must be of type &lt;class 'str'&gt;</t>
        </is>
      </c>
      <c r="O271" t="inlineStr">
        <is>
          <t>center</t>
        </is>
      </c>
      <c r="P271" t="n">
        <v/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Assumptions Sheet</t>
        </is>
      </c>
      <c r="B272" t="inlineStr">
        <is>
          <t>B16</t>
        </is>
      </c>
      <c r="C272" t="n">
        <v>16</v>
      </c>
      <c r="D272" t="n">
        <v>2</v>
      </c>
      <c r="E272" t="inlineStr">
        <is>
          <t>Input</t>
        </is>
      </c>
      <c r="F272" t="n">
        <v/>
      </c>
      <c r="G272" t="inlineStr">
        <is>
          <t>Growth in Passengers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Values must be of type &lt;class 'str'&gt;</t>
        </is>
      </c>
      <c r="O272" t="inlineStr">
        <is>
          <t>left</t>
        </is>
      </c>
      <c r="P272" t="n">
        <v/>
      </c>
      <c r="Q272" t="b">
        <v>1</v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Assumptions Sheet</t>
        </is>
      </c>
      <c r="B273" t="inlineStr">
        <is>
          <t>C16</t>
        </is>
      </c>
      <c r="C273" t="n">
        <v>16</v>
      </c>
      <c r="D273" t="n">
        <v>3</v>
      </c>
      <c r="E273" t="inlineStr">
        <is>
          <t>Input</t>
        </is>
      </c>
      <c r="F273" t="n">
        <v/>
      </c>
      <c r="H273" t="inlineStr"/>
      <c r="I273" t="inlineStr">
        <is>
          <t xml:space="preserve">_ * #,##0_ ;_ * \-#,##0_ ;_ * "-"??_ ;_ @_ 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P273" t="n">
        <v/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Assumptions Sheet</t>
        </is>
      </c>
      <c r="B274" t="inlineStr">
        <is>
          <t>D16</t>
        </is>
      </c>
      <c r="C274" t="n">
        <v>16</v>
      </c>
      <c r="D274" t="n">
        <v>4</v>
      </c>
      <c r="E274" t="inlineStr">
        <is>
          <t>Output</t>
        </is>
      </c>
      <c r="F274" t="inlineStr">
        <is>
          <t>'=D15/C15-1</t>
        </is>
      </c>
      <c r="G274" t="n">
        <v>0.1876000984002939</v>
      </c>
      <c r="H274" t="inlineStr"/>
      <c r="I274" t="inlineStr">
        <is>
          <t>0%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G000017</t>
        </is>
      </c>
      <c r="T274" t="inlineStr">
        <is>
          <t>Horizontal</t>
        </is>
      </c>
      <c r="U274" t="n">
        <v>7</v>
      </c>
      <c r="V274" t="b">
        <v>1</v>
      </c>
      <c r="W274" t="inlineStr">
        <is>
          <t>Assumptions Sheet!D16:J16</t>
        </is>
      </c>
      <c r="X274">
        <f>R[-1]C[0]/R[-1]C[-1]-1</f>
        <v/>
      </c>
    </row>
    <row r="275">
      <c r="A275" t="inlineStr">
        <is>
          <t>Assumptions Sheet</t>
        </is>
      </c>
      <c r="B275" t="inlineStr">
        <is>
          <t>E16</t>
        </is>
      </c>
      <c r="C275" t="n">
        <v>16</v>
      </c>
      <c r="D275" t="n">
        <v>5</v>
      </c>
      <c r="E275" t="inlineStr">
        <is>
          <t>Output</t>
        </is>
      </c>
      <c r="F275" t="inlineStr">
        <is>
          <t>'=E15/D15-1</t>
        </is>
      </c>
      <c r="G275" t="n">
        <v>0.1299143253611112</v>
      </c>
      <c r="H275" t="inlineStr"/>
      <c r="I275" t="inlineStr">
        <is>
          <t>0%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G000017</t>
        </is>
      </c>
      <c r="T275" t="inlineStr">
        <is>
          <t>Horizontal</t>
        </is>
      </c>
      <c r="U275" t="n">
        <v>7</v>
      </c>
      <c r="V275" t="b">
        <v>1</v>
      </c>
      <c r="W275" t="inlineStr">
        <is>
          <t>Assumptions Sheet!D16:J16</t>
        </is>
      </c>
      <c r="X275">
        <f>R[-1]C[0]/R[-1]C[-1]-1</f>
        <v/>
      </c>
    </row>
    <row r="276">
      <c r="A276" t="inlineStr">
        <is>
          <t>Assumptions Sheet</t>
        </is>
      </c>
      <c r="B276" t="inlineStr">
        <is>
          <t>F16</t>
        </is>
      </c>
      <c r="C276" t="n">
        <v>16</v>
      </c>
      <c r="D276" t="n">
        <v>6</v>
      </c>
      <c r="E276" t="inlineStr">
        <is>
          <t>Output</t>
        </is>
      </c>
      <c r="F276" t="inlineStr">
        <is>
          <t>'=F15/E15-1</t>
        </is>
      </c>
      <c r="G276" t="n">
        <v>-0.05243817316158272</v>
      </c>
      <c r="H276" t="inlineStr"/>
      <c r="I276" t="inlineStr">
        <is>
          <t>0%</t>
        </is>
      </c>
      <c r="J276" t="b">
        <v>0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G000017</t>
        </is>
      </c>
      <c r="T276" t="inlineStr">
        <is>
          <t>Horizontal</t>
        </is>
      </c>
      <c r="U276" t="n">
        <v>7</v>
      </c>
      <c r="V276" t="b">
        <v>1</v>
      </c>
      <c r="W276" t="inlineStr">
        <is>
          <t>Assumptions Sheet!D16:J16</t>
        </is>
      </c>
      <c r="X276">
        <f>R[-1]C[0]/R[-1]C[-1]-1</f>
        <v/>
      </c>
    </row>
    <row r="277">
      <c r="A277" t="inlineStr">
        <is>
          <t>Assumptions Sheet</t>
        </is>
      </c>
      <c r="B277" t="inlineStr">
        <is>
          <t>G16</t>
        </is>
      </c>
      <c r="C277" t="n">
        <v>16</v>
      </c>
      <c r="D277" t="n">
        <v>7</v>
      </c>
      <c r="E277" t="inlineStr">
        <is>
          <t>Output</t>
        </is>
      </c>
      <c r="F277" t="inlineStr">
        <is>
          <t>'=G15/F15-1</t>
        </is>
      </c>
      <c r="G277" t="n">
        <v>0.05240768640308091</v>
      </c>
      <c r="H277" t="inlineStr"/>
      <c r="I277" t="inlineStr">
        <is>
          <t>0%</t>
        </is>
      </c>
      <c r="J277" t="b">
        <v>0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inlineStr">
        <is>
          <t>G000017</t>
        </is>
      </c>
      <c r="T277" t="inlineStr">
        <is>
          <t>Horizontal</t>
        </is>
      </c>
      <c r="U277" t="n">
        <v>7</v>
      </c>
      <c r="V277" t="b">
        <v>1</v>
      </c>
      <c r="W277" t="inlineStr">
        <is>
          <t>Assumptions Sheet!D16:J16</t>
        </is>
      </c>
      <c r="X277">
        <f>R[-1]C[0]/R[-1]C[-1]-1</f>
        <v/>
      </c>
    </row>
    <row r="278">
      <c r="A278" t="inlineStr">
        <is>
          <t>Assumptions Sheet</t>
        </is>
      </c>
      <c r="B278" t="inlineStr">
        <is>
          <t>H16</t>
        </is>
      </c>
      <c r="C278" t="n">
        <v>16</v>
      </c>
      <c r="D278" t="n">
        <v>8</v>
      </c>
      <c r="E278" t="inlineStr">
        <is>
          <t>Output</t>
        </is>
      </c>
      <c r="F278" t="inlineStr">
        <is>
          <t>'=H15/G15-1</t>
        </is>
      </c>
      <c r="G278" t="n">
        <v>0.1551969493711298</v>
      </c>
      <c r="H278" t="inlineStr"/>
      <c r="I278" t="inlineStr">
        <is>
          <t>0%</t>
        </is>
      </c>
      <c r="J278" t="b">
        <v>0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G000017</t>
        </is>
      </c>
      <c r="T278" t="inlineStr">
        <is>
          <t>Horizontal</t>
        </is>
      </c>
      <c r="U278" t="n">
        <v>7</v>
      </c>
      <c r="V278" t="b">
        <v>1</v>
      </c>
      <c r="W278" t="inlineStr">
        <is>
          <t>Assumptions Sheet!D16:J16</t>
        </is>
      </c>
      <c r="X278">
        <f>R[-1]C[0]/R[-1]C[-1]-1</f>
        <v/>
      </c>
    </row>
    <row r="279">
      <c r="A279" t="inlineStr">
        <is>
          <t>Assumptions Sheet</t>
        </is>
      </c>
      <c r="B279" t="inlineStr">
        <is>
          <t>I16</t>
        </is>
      </c>
      <c r="C279" t="n">
        <v>16</v>
      </c>
      <c r="D279" t="n">
        <v>9</v>
      </c>
      <c r="E279" t="inlineStr">
        <is>
          <t>Output</t>
        </is>
      </c>
      <c r="F279" t="inlineStr">
        <is>
          <t>'=I15/H15-1</t>
        </is>
      </c>
      <c r="G279" t="n">
        <v>0.2156515383027509</v>
      </c>
      <c r="H279" t="inlineStr"/>
      <c r="I279" t="inlineStr">
        <is>
          <t>0%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G000017</t>
        </is>
      </c>
      <c r="T279" t="inlineStr">
        <is>
          <t>Horizontal</t>
        </is>
      </c>
      <c r="U279" t="n">
        <v>7</v>
      </c>
      <c r="V279" t="b">
        <v>1</v>
      </c>
      <c r="W279" t="inlineStr">
        <is>
          <t>Assumptions Sheet!D16:J16</t>
        </is>
      </c>
      <c r="X279">
        <f>R[-1]C[0]/R[-1]C[-1]-1</f>
        <v/>
      </c>
    </row>
    <row r="280">
      <c r="A280" t="inlineStr">
        <is>
          <t>Assumptions Sheet</t>
        </is>
      </c>
      <c r="B280" t="inlineStr">
        <is>
          <t>J16</t>
        </is>
      </c>
      <c r="C280" t="n">
        <v>16</v>
      </c>
      <c r="D280" t="n">
        <v>10</v>
      </c>
      <c r="E280" t="inlineStr">
        <is>
          <t>Output</t>
        </is>
      </c>
      <c r="F280" t="inlineStr">
        <is>
          <t>'=J15/I15-1</t>
        </is>
      </c>
      <c r="G280" t="n">
        <v>0.2177397798707534</v>
      </c>
      <c r="H280" t="inlineStr"/>
      <c r="I280" t="inlineStr">
        <is>
          <t>0%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G000017</t>
        </is>
      </c>
      <c r="T280" t="inlineStr">
        <is>
          <t>Horizontal</t>
        </is>
      </c>
      <c r="U280" t="n">
        <v>7</v>
      </c>
      <c r="V280" t="b">
        <v>1</v>
      </c>
      <c r="W280" t="inlineStr">
        <is>
          <t>Assumptions Sheet!D16:J16</t>
        </is>
      </c>
      <c r="X280">
        <f>R[-1]C[0]/R[-1]C[-1]-1</f>
        <v/>
      </c>
    </row>
    <row r="281">
      <c r="A281" t="inlineStr">
        <is>
          <t>Assumptions Sheet</t>
        </is>
      </c>
      <c r="B281" t="inlineStr">
        <is>
          <t>K16</t>
        </is>
      </c>
      <c r="C281" t="n">
        <v>16</v>
      </c>
      <c r="D281" t="n">
        <v>11</v>
      </c>
      <c r="E281" t="inlineStr">
        <is>
          <t>Input</t>
        </is>
      </c>
      <c r="F281" t="n">
        <v/>
      </c>
      <c r="G281" t="n">
        <v>0.13</v>
      </c>
      <c r="H281" t="inlineStr"/>
      <c r="I281" t="inlineStr">
        <is>
          <t>0%</t>
        </is>
      </c>
      <c r="J281" t="b">
        <v>0</v>
      </c>
      <c r="K281" t="b">
        <v>0</v>
      </c>
      <c r="L281" t="n">
        <v>11</v>
      </c>
      <c r="M281" t="inlineStr">
        <is>
          <t>FFFF0000</t>
        </is>
      </c>
      <c r="N281" t="inlineStr">
        <is>
          <t>Values must be of type &lt;class 'str'&gt;</t>
        </is>
      </c>
      <c r="O281" t="inlineStr">
        <is>
          <t>center</t>
        </is>
      </c>
      <c r="P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Assumptions Sheet</t>
        </is>
      </c>
      <c r="B282" t="inlineStr">
        <is>
          <t>L16</t>
        </is>
      </c>
      <c r="C282" t="n">
        <v>16</v>
      </c>
      <c r="D282" t="n">
        <v>12</v>
      </c>
      <c r="E282" t="inlineStr">
        <is>
          <t>Input</t>
        </is>
      </c>
      <c r="F282" t="n">
        <v/>
      </c>
      <c r="G282" t="n">
        <v>0.14</v>
      </c>
      <c r="H282" t="inlineStr"/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FFFF0000</t>
        </is>
      </c>
      <c r="N282" t="inlineStr">
        <is>
          <t>Values must be of type &lt;class 'str'&gt;</t>
        </is>
      </c>
      <c r="O282" t="inlineStr">
        <is>
          <t>center</t>
        </is>
      </c>
      <c r="P282" t="n">
        <v/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Assumptions Sheet</t>
        </is>
      </c>
      <c r="B283" t="inlineStr">
        <is>
          <t>M16</t>
        </is>
      </c>
      <c r="C283" t="n">
        <v>16</v>
      </c>
      <c r="D283" t="n">
        <v>13</v>
      </c>
      <c r="E283" t="inlineStr">
        <is>
          <t>Input</t>
        </is>
      </c>
      <c r="F283" t="n">
        <v/>
      </c>
      <c r="G283" t="n">
        <v>0.14</v>
      </c>
      <c r="H283" t="inlineStr"/>
      <c r="I283" t="inlineStr">
        <is>
          <t>0%</t>
        </is>
      </c>
      <c r="J283" t="b">
        <v>0</v>
      </c>
      <c r="K283" t="b">
        <v>0</v>
      </c>
      <c r="L283" t="n">
        <v>11</v>
      </c>
      <c r="M283" t="inlineStr">
        <is>
          <t>FFFF0000</t>
        </is>
      </c>
      <c r="N283" t="inlineStr">
        <is>
          <t>Values must be of type &lt;class 'str'&gt;</t>
        </is>
      </c>
      <c r="O283" t="inlineStr">
        <is>
          <t>center</t>
        </is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Assumptions Sheet</t>
        </is>
      </c>
      <c r="B284" t="inlineStr">
        <is>
          <t>N16</t>
        </is>
      </c>
      <c r="C284" t="n">
        <v>16</v>
      </c>
      <c r="D284" t="n">
        <v>14</v>
      </c>
      <c r="E284" t="inlineStr">
        <is>
          <t>Input</t>
        </is>
      </c>
      <c r="F284" t="n">
        <v/>
      </c>
      <c r="G284" t="n">
        <v>0.15</v>
      </c>
      <c r="H284" t="inlineStr"/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FFFF0000</t>
        </is>
      </c>
      <c r="N284" t="inlineStr">
        <is>
          <t>Values must be of type &lt;class 'str'&gt;</t>
        </is>
      </c>
      <c r="O284" t="inlineStr">
        <is>
          <t>center</t>
        </is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Assumptions Sheet</t>
        </is>
      </c>
      <c r="B285" t="inlineStr">
        <is>
          <t>O16</t>
        </is>
      </c>
      <c r="C285" t="n">
        <v>16</v>
      </c>
      <c r="D285" t="n">
        <v>15</v>
      </c>
      <c r="E285" t="inlineStr">
        <is>
          <t>Input</t>
        </is>
      </c>
      <c r="F285" t="n">
        <v/>
      </c>
      <c r="G285" t="n">
        <v>0.15</v>
      </c>
      <c r="H285" t="inlineStr"/>
      <c r="I285" t="inlineStr">
        <is>
          <t>0%</t>
        </is>
      </c>
      <c r="J285" t="b">
        <v>0</v>
      </c>
      <c r="K285" t="b">
        <v>0</v>
      </c>
      <c r="L285" t="n">
        <v>11</v>
      </c>
      <c r="M285" t="inlineStr">
        <is>
          <t>FFFF0000</t>
        </is>
      </c>
      <c r="N285" t="inlineStr">
        <is>
          <t>Values must be of type &lt;class 'str'&gt;</t>
        </is>
      </c>
      <c r="O285" t="inlineStr">
        <is>
          <t>center</t>
        </is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Assumptions Sheet</t>
        </is>
      </c>
      <c r="B286" t="inlineStr">
        <is>
          <t>P16</t>
        </is>
      </c>
      <c r="C286" t="n">
        <v>16</v>
      </c>
      <c r="D286" t="n">
        <v>16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11</v>
      </c>
      <c r="M286" t="inlineStr">
        <is>
          <t>FFFF0000</t>
        </is>
      </c>
      <c r="N286" t="inlineStr">
        <is>
          <t>Values must be of type &lt;class 'str'&gt;</t>
        </is>
      </c>
      <c r="O286" t="inlineStr">
        <is>
          <t>center</t>
        </is>
      </c>
      <c r="P286" t="n">
        <v/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Assumptions Sheet</t>
        </is>
      </c>
      <c r="B287" t="inlineStr">
        <is>
          <t>B17</t>
        </is>
      </c>
      <c r="C287" t="n">
        <v>17</v>
      </c>
      <c r="D287" t="n">
        <v>2</v>
      </c>
      <c r="E287" t="inlineStr">
        <is>
          <t>Input</t>
        </is>
      </c>
      <c r="F287" t="n">
        <v/>
      </c>
      <c r="G287" t="inlineStr">
        <is>
          <t>Number of Planes</t>
        </is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Values must be of type &lt;class 'str'&gt;</t>
        </is>
      </c>
      <c r="O287" t="inlineStr">
        <is>
          <t>left</t>
        </is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Assumptions Sheet</t>
        </is>
      </c>
      <c r="B288" t="inlineStr">
        <is>
          <t>C17</t>
        </is>
      </c>
      <c r="C288" t="n">
        <v>17</v>
      </c>
      <c r="D288" t="n">
        <v>3</v>
      </c>
      <c r="E288" t="inlineStr">
        <is>
          <t>Input</t>
        </is>
      </c>
      <c r="F288" t="n">
        <v/>
      </c>
      <c r="G288" t="n">
        <v>25</v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inlineStr">
        <is>
          <t>center</t>
        </is>
      </c>
      <c r="P288" t="inlineStr">
        <is>
          <t>center</t>
        </is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Assumptions Sheet</t>
        </is>
      </c>
      <c r="B289" t="inlineStr">
        <is>
          <t>D17</t>
        </is>
      </c>
      <c r="C289" t="n">
        <v>17</v>
      </c>
      <c r="D289" t="n">
        <v>4</v>
      </c>
      <c r="E289" t="inlineStr">
        <is>
          <t>Input</t>
        </is>
      </c>
      <c r="F289" t="n">
        <v/>
      </c>
      <c r="G289" t="n">
        <v>39</v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Values must be of type &lt;class 'str'&gt;</t>
        </is>
      </c>
      <c r="O289" t="inlineStr">
        <is>
          <t>center</t>
        </is>
      </c>
      <c r="P289" t="inlineStr">
        <is>
          <t>center</t>
        </is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Assumptions Sheet</t>
        </is>
      </c>
      <c r="B290" t="inlineStr">
        <is>
          <t>E17</t>
        </is>
      </c>
      <c r="C290" t="n">
        <v>17</v>
      </c>
      <c r="D290" t="n">
        <v>5</v>
      </c>
      <c r="E290" t="inlineStr">
        <is>
          <t>Input</t>
        </is>
      </c>
      <c r="F290" t="n">
        <v/>
      </c>
      <c r="G290" t="n">
        <v>55</v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Values must be of type &lt;class 'str'&gt;</t>
        </is>
      </c>
      <c r="O290" t="inlineStr">
        <is>
          <t>center</t>
        </is>
      </c>
      <c r="P290" t="inlineStr">
        <is>
          <t>center</t>
        </is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Assumptions Sheet</t>
        </is>
      </c>
      <c r="B291" t="inlineStr">
        <is>
          <t>F17</t>
        </is>
      </c>
      <c r="C291" t="n">
        <v>17</v>
      </c>
      <c r="D291" t="n">
        <v>6</v>
      </c>
      <c r="E291" t="inlineStr">
        <is>
          <t>Input</t>
        </is>
      </c>
      <c r="F291" t="n">
        <v/>
      </c>
      <c r="G291" t="n">
        <v>66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Values must be of type &lt;class 'str'&gt;</t>
        </is>
      </c>
      <c r="O291" t="inlineStr">
        <is>
          <t>center</t>
        </is>
      </c>
      <c r="P291" t="inlineStr">
        <is>
          <t>center</t>
        </is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</row>
    <row r="292">
      <c r="A292" t="inlineStr">
        <is>
          <t>Assumptions Sheet</t>
        </is>
      </c>
      <c r="B292" t="inlineStr">
        <is>
          <t>G17</t>
        </is>
      </c>
      <c r="C292" t="n">
        <v>17</v>
      </c>
      <c r="D292" t="n">
        <v>7</v>
      </c>
      <c r="E292" t="inlineStr">
        <is>
          <t>Input</t>
        </is>
      </c>
      <c r="F292" t="n">
        <v/>
      </c>
      <c r="G292" t="n">
        <v>77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inlineStr">
        <is>
          <t>center</t>
        </is>
      </c>
      <c r="P292" t="inlineStr">
        <is>
          <t>center</t>
        </is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Assumptions Sheet</t>
        </is>
      </c>
      <c r="B293" t="inlineStr">
        <is>
          <t>H17</t>
        </is>
      </c>
      <c r="C293" t="n">
        <v>17</v>
      </c>
      <c r="D293" t="n">
        <v>8</v>
      </c>
      <c r="E293" t="inlineStr">
        <is>
          <t>Input</t>
        </is>
      </c>
      <c r="F293" t="n">
        <v/>
      </c>
      <c r="G293" t="n">
        <v>94</v>
      </c>
      <c r="H293" t="inlineStr"/>
      <c r="I293" t="inlineStr">
        <is>
          <t>#,##0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Values must be of type &lt;class 'str'&gt;</t>
        </is>
      </c>
      <c r="O293" t="inlineStr">
        <is>
          <t>center</t>
        </is>
      </c>
      <c r="P293" t="inlineStr">
        <is>
          <t>center</t>
        </is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</row>
    <row r="294">
      <c r="A294" t="inlineStr">
        <is>
          <t>Assumptions Sheet</t>
        </is>
      </c>
      <c r="B294" t="inlineStr">
        <is>
          <t>I17</t>
        </is>
      </c>
      <c r="C294" t="n">
        <v>17</v>
      </c>
      <c r="D294" t="n">
        <v>9</v>
      </c>
      <c r="E294" t="inlineStr">
        <is>
          <t>Input</t>
        </is>
      </c>
      <c r="F294" t="n">
        <v/>
      </c>
      <c r="G294" t="n">
        <v>107</v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Values must be of type &lt;class 'str'&gt;</t>
        </is>
      </c>
      <c r="O294" t="inlineStr">
        <is>
          <t>center</t>
        </is>
      </c>
      <c r="P294" t="inlineStr">
        <is>
          <t>center</t>
        </is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</row>
    <row r="295">
      <c r="A295" t="inlineStr">
        <is>
          <t>Assumptions Sheet</t>
        </is>
      </c>
      <c r="B295" t="inlineStr">
        <is>
          <t>J17</t>
        </is>
      </c>
      <c r="C295" t="n">
        <v>17</v>
      </c>
      <c r="D295" t="n">
        <v>10</v>
      </c>
      <c r="E295" t="inlineStr">
        <is>
          <t>Input</t>
        </is>
      </c>
      <c r="F295" t="n">
        <v/>
      </c>
      <c r="G295" t="n">
        <v>131</v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Values must be of type &lt;class 'str'&gt;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Assumptions Sheet</t>
        </is>
      </c>
      <c r="B296" t="inlineStr">
        <is>
          <t>K17</t>
        </is>
      </c>
      <c r="C296" t="n">
        <v>17</v>
      </c>
      <c r="D296" t="n">
        <v>11</v>
      </c>
      <c r="E296" t="inlineStr">
        <is>
          <t>Input</t>
        </is>
      </c>
      <c r="F296" t="n">
        <v/>
      </c>
      <c r="G296" t="n">
        <v>160</v>
      </c>
      <c r="H296" t="inlineStr"/>
      <c r="I296" t="inlineStr">
        <is>
          <t>0</t>
        </is>
      </c>
      <c r="J296" t="b">
        <v>0</v>
      </c>
      <c r="K296" t="b">
        <v>0</v>
      </c>
      <c r="L296" t="n">
        <v>11</v>
      </c>
      <c r="M296" t="inlineStr">
        <is>
          <t>FFFF0000</t>
        </is>
      </c>
      <c r="N296" t="inlineStr">
        <is>
          <t>Values must be of type &lt;class 'str'&gt;</t>
        </is>
      </c>
      <c r="O296" t="inlineStr">
        <is>
          <t>center</t>
        </is>
      </c>
      <c r="P296" t="inlineStr">
        <is>
          <t>center</t>
        </is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Assumptions Sheet</t>
        </is>
      </c>
      <c r="B297" t="inlineStr">
        <is>
          <t>L17</t>
        </is>
      </c>
      <c r="C297" t="n">
        <v>17</v>
      </c>
      <c r="D297" t="n">
        <v>12</v>
      </c>
      <c r="E297" t="inlineStr">
        <is>
          <t>Calculation</t>
        </is>
      </c>
      <c r="F297" t="inlineStr">
        <is>
          <t>'=L2/L20</t>
        </is>
      </c>
      <c r="G297" t="n">
        <v>170.8685217391304</v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FFFF0000</t>
        </is>
      </c>
      <c r="N297" t="inlineStr">
        <is>
          <t>Values must be of type &lt;class 'str'&gt;</t>
        </is>
      </c>
      <c r="O297" t="inlineStr">
        <is>
          <t>center</t>
        </is>
      </c>
      <c r="P297" t="inlineStr">
        <is>
          <t>center</t>
        </is>
      </c>
      <c r="R297" t="b">
        <v>1</v>
      </c>
      <c r="S297" t="inlineStr">
        <is>
          <t>G000023</t>
        </is>
      </c>
      <c r="T297" t="inlineStr">
        <is>
          <t>Horizontal</t>
        </is>
      </c>
      <c r="U297" t="n">
        <v>5</v>
      </c>
      <c r="V297" t="b">
        <v>1</v>
      </c>
      <c r="W297" t="inlineStr">
        <is>
          <t>Assumptions Sheet!L17:P17</t>
        </is>
      </c>
      <c r="X297">
        <f>R[-15]C[0]/R[3]C[0]</f>
        <v/>
      </c>
    </row>
    <row r="298">
      <c r="A298" t="inlineStr">
        <is>
          <t>Assumptions Sheet</t>
        </is>
      </c>
      <c r="B298" t="inlineStr">
        <is>
          <t>M17</t>
        </is>
      </c>
      <c r="C298" t="n">
        <v>17</v>
      </c>
      <c r="D298" t="n">
        <v>13</v>
      </c>
      <c r="E298" t="inlineStr">
        <is>
          <t>Calculation</t>
        </is>
      </c>
      <c r="F298" t="inlineStr">
        <is>
          <t>'=M2/M20</t>
        </is>
      </c>
      <c r="G298" t="n">
        <v>205.0422260869565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FFFF0000</t>
        </is>
      </c>
      <c r="N298" t="inlineStr">
        <is>
          <t>Values must be of type &lt;class 'str'&gt;</t>
        </is>
      </c>
      <c r="O298" t="inlineStr">
        <is>
          <t>center</t>
        </is>
      </c>
      <c r="P298" t="inlineStr">
        <is>
          <t>center</t>
        </is>
      </c>
      <c r="R298" t="b">
        <v>1</v>
      </c>
      <c r="S298" t="inlineStr">
        <is>
          <t>G000023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Assumptions Sheet!L17:P17</t>
        </is>
      </c>
      <c r="X298">
        <f>R[-15]C[0]/R[3]C[0]</f>
        <v/>
      </c>
    </row>
    <row r="299">
      <c r="A299" t="inlineStr">
        <is>
          <t>Assumptions Sheet</t>
        </is>
      </c>
      <c r="B299" t="inlineStr">
        <is>
          <t>N17</t>
        </is>
      </c>
      <c r="C299" t="n">
        <v>17</v>
      </c>
      <c r="D299" t="n">
        <v>14</v>
      </c>
      <c r="E299" t="inlineStr">
        <is>
          <t>Calculation</t>
        </is>
      </c>
      <c r="F299" t="inlineStr">
        <is>
          <t>'=N2/N20</t>
        </is>
      </c>
      <c r="G299" t="n">
        <v>246.0506713043478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FFFF0000</t>
        </is>
      </c>
      <c r="N299" t="inlineStr">
        <is>
          <t>Values must be of type &lt;class 'str'&gt;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inlineStr">
        <is>
          <t>G000023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Assumptions Sheet!L17:P17</t>
        </is>
      </c>
      <c r="X299">
        <f>R[-15]C[0]/R[3]C[0]</f>
        <v/>
      </c>
    </row>
    <row r="300">
      <c r="A300" t="inlineStr">
        <is>
          <t>Assumptions Sheet</t>
        </is>
      </c>
      <c r="B300" t="inlineStr">
        <is>
          <t>O17</t>
        </is>
      </c>
      <c r="C300" t="n">
        <v>17</v>
      </c>
      <c r="D300" t="n">
        <v>15</v>
      </c>
      <c r="E300" t="inlineStr">
        <is>
          <t>Calculation</t>
        </is>
      </c>
      <c r="F300" t="inlineStr">
        <is>
          <t>'=O2/O20</t>
        </is>
      </c>
      <c r="G300" t="n">
        <v>295.2608055652174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FFFF0000</t>
        </is>
      </c>
      <c r="N300" t="inlineStr">
        <is>
          <t>Values must be of type &lt;class 'str'&gt;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inlineStr">
        <is>
          <t>G000023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Assumptions Sheet!L17:P17</t>
        </is>
      </c>
      <c r="X300">
        <f>R[-15]C[0]/R[3]C[0]</f>
        <v/>
      </c>
    </row>
    <row r="301">
      <c r="A301" t="inlineStr">
        <is>
          <t>Assumptions Sheet</t>
        </is>
      </c>
      <c r="B301" t="inlineStr">
        <is>
          <t>P17</t>
        </is>
      </c>
      <c r="C301" t="n">
        <v>17</v>
      </c>
      <c r="D301" t="n">
        <v>16</v>
      </c>
      <c r="E301" t="inlineStr">
        <is>
          <t>Calculation</t>
        </is>
      </c>
      <c r="F301" t="inlineStr">
        <is>
          <t>'=P2/P20</t>
        </is>
      </c>
      <c r="G301" t="n">
        <v>354.3129666782608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FFFF0000</t>
        </is>
      </c>
      <c r="N301" t="inlineStr">
        <is>
          <t>Values must be of type &lt;class 'str'&gt;</t>
        </is>
      </c>
      <c r="O301" t="inlineStr">
        <is>
          <t>center</t>
        </is>
      </c>
      <c r="P301" t="inlineStr">
        <is>
          <t>center</t>
        </is>
      </c>
      <c r="R301" t="b">
        <v>1</v>
      </c>
      <c r="S301" t="inlineStr">
        <is>
          <t>G000023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Assumptions Sheet!L17:P17</t>
        </is>
      </c>
      <c r="X301">
        <f>R[-15]C[0]/R[3]C[0]</f>
        <v/>
      </c>
    </row>
    <row r="302">
      <c r="A302" t="inlineStr">
        <is>
          <t>Assumptions Sheet</t>
        </is>
      </c>
      <c r="B302" t="inlineStr">
        <is>
          <t>B18</t>
        </is>
      </c>
      <c r="C302" t="n">
        <v>18</v>
      </c>
      <c r="D302" t="n">
        <v>2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inlineStr">
        <is>
          <t>left</t>
        </is>
      </c>
      <c r="P302" t="n">
        <v/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Assumptions Sheet</t>
        </is>
      </c>
      <c r="B303" t="inlineStr">
        <is>
          <t>C18</t>
        </is>
      </c>
      <c r="C303" t="n">
        <v>18</v>
      </c>
      <c r="D303" t="n">
        <v>3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center</t>
        </is>
      </c>
      <c r="P303" t="inlineStr">
        <is>
          <t>center</t>
        </is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Assumptions Sheet</t>
        </is>
      </c>
      <c r="B304" t="inlineStr">
        <is>
          <t>D18</t>
        </is>
      </c>
      <c r="C304" t="n">
        <v>18</v>
      </c>
      <c r="D304" t="n">
        <v>4</v>
      </c>
      <c r="E304" t="inlineStr">
        <is>
          <t>Calculation</t>
        </is>
      </c>
      <c r="F304" t="inlineStr">
        <is>
          <t>'=D17-C17</t>
        </is>
      </c>
      <c r="G304" t="n">
        <v>14</v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inlineStr">
        <is>
          <t>center</t>
        </is>
      </c>
      <c r="P304" t="inlineStr">
        <is>
          <t>center</t>
        </is>
      </c>
      <c r="R304" t="b">
        <v>1</v>
      </c>
      <c r="S304" t="inlineStr">
        <is>
          <t>G000024</t>
        </is>
      </c>
      <c r="T304" t="inlineStr">
        <is>
          <t>Horizontal</t>
        </is>
      </c>
      <c r="U304" t="n">
        <v>13</v>
      </c>
      <c r="V304" t="b">
        <v>1</v>
      </c>
      <c r="W304" t="inlineStr">
        <is>
          <t>Assumptions Sheet!D18:P18</t>
        </is>
      </c>
      <c r="X304">
        <f>R[-1]C[0]-R[-1]C[-1]</f>
        <v/>
      </c>
    </row>
    <row r="305">
      <c r="A305" t="inlineStr">
        <is>
          <t>Assumptions Sheet</t>
        </is>
      </c>
      <c r="B305" t="inlineStr">
        <is>
          <t>E18</t>
        </is>
      </c>
      <c r="C305" t="n">
        <v>18</v>
      </c>
      <c r="D305" t="n">
        <v>5</v>
      </c>
      <c r="E305" t="inlineStr">
        <is>
          <t>Calculation</t>
        </is>
      </c>
      <c r="F305" t="inlineStr">
        <is>
          <t>'=E17-D17</t>
        </is>
      </c>
      <c r="G305" t="n">
        <v>16</v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inlineStr">
        <is>
          <t>G000024</t>
        </is>
      </c>
      <c r="T305" t="inlineStr">
        <is>
          <t>Horizontal</t>
        </is>
      </c>
      <c r="U305" t="n">
        <v>13</v>
      </c>
      <c r="V305" t="b">
        <v>1</v>
      </c>
      <c r="W305" t="inlineStr">
        <is>
          <t>Assumptions Sheet!D18:P18</t>
        </is>
      </c>
      <c r="X305">
        <f>R[-1]C[0]-R[-1]C[-1]</f>
        <v/>
      </c>
    </row>
    <row r="306">
      <c r="A306" t="inlineStr">
        <is>
          <t>Assumptions Sheet</t>
        </is>
      </c>
      <c r="B306" t="inlineStr">
        <is>
          <t>F18</t>
        </is>
      </c>
      <c r="C306" t="n">
        <v>18</v>
      </c>
      <c r="D306" t="n">
        <v>6</v>
      </c>
      <c r="E306" t="inlineStr">
        <is>
          <t>Calculation</t>
        </is>
      </c>
      <c r="F306" t="inlineStr">
        <is>
          <t>'=F17-E17</t>
        </is>
      </c>
      <c r="G306" t="n">
        <v>11</v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inlineStr">
        <is>
          <t>center</t>
        </is>
      </c>
      <c r="P306" t="inlineStr">
        <is>
          <t>center</t>
        </is>
      </c>
      <c r="R306" t="b">
        <v>1</v>
      </c>
      <c r="S306" t="inlineStr">
        <is>
          <t>G000024</t>
        </is>
      </c>
      <c r="T306" t="inlineStr">
        <is>
          <t>Horizontal</t>
        </is>
      </c>
      <c r="U306" t="n">
        <v>13</v>
      </c>
      <c r="V306" t="b">
        <v>1</v>
      </c>
      <c r="W306" t="inlineStr">
        <is>
          <t>Assumptions Sheet!D18:P18</t>
        </is>
      </c>
      <c r="X306">
        <f>R[-1]C[0]-R[-1]C[-1]</f>
        <v/>
      </c>
    </row>
    <row r="307">
      <c r="A307" t="inlineStr">
        <is>
          <t>Assumptions Sheet</t>
        </is>
      </c>
      <c r="B307" t="inlineStr">
        <is>
          <t>G18</t>
        </is>
      </c>
      <c r="C307" t="n">
        <v>18</v>
      </c>
      <c r="D307" t="n">
        <v>7</v>
      </c>
      <c r="E307" t="inlineStr">
        <is>
          <t>Calculation</t>
        </is>
      </c>
      <c r="F307" t="inlineStr">
        <is>
          <t>'=G17-F17</t>
        </is>
      </c>
      <c r="G307" t="n">
        <v>11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inlineStr">
        <is>
          <t>G000024</t>
        </is>
      </c>
      <c r="T307" t="inlineStr">
        <is>
          <t>Horizontal</t>
        </is>
      </c>
      <c r="U307" t="n">
        <v>13</v>
      </c>
      <c r="V307" t="b">
        <v>1</v>
      </c>
      <c r="W307" t="inlineStr">
        <is>
          <t>Assumptions Sheet!D18:P18</t>
        </is>
      </c>
      <c r="X307">
        <f>R[-1]C[0]-R[-1]C[-1]</f>
        <v/>
      </c>
    </row>
    <row r="308">
      <c r="A308" t="inlineStr">
        <is>
          <t>Assumptions Sheet</t>
        </is>
      </c>
      <c r="B308" t="inlineStr">
        <is>
          <t>H18</t>
        </is>
      </c>
      <c r="C308" t="n">
        <v>18</v>
      </c>
      <c r="D308" t="n">
        <v>8</v>
      </c>
      <c r="E308" t="inlineStr">
        <is>
          <t>Calculation</t>
        </is>
      </c>
      <c r="F308" t="inlineStr">
        <is>
          <t>'=H17-G17</t>
        </is>
      </c>
      <c r="G308" t="n">
        <v>17</v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inlineStr">
        <is>
          <t>G000024</t>
        </is>
      </c>
      <c r="T308" t="inlineStr">
        <is>
          <t>Horizontal</t>
        </is>
      </c>
      <c r="U308" t="n">
        <v>13</v>
      </c>
      <c r="V308" t="b">
        <v>1</v>
      </c>
      <c r="W308" t="inlineStr">
        <is>
          <t>Assumptions Sheet!D18:P18</t>
        </is>
      </c>
      <c r="X308">
        <f>R[-1]C[0]-R[-1]C[-1]</f>
        <v/>
      </c>
    </row>
    <row r="309">
      <c r="A309" t="inlineStr">
        <is>
          <t>Assumptions Sheet</t>
        </is>
      </c>
      <c r="B309" t="inlineStr">
        <is>
          <t>I18</t>
        </is>
      </c>
      <c r="C309" t="n">
        <v>18</v>
      </c>
      <c r="D309" t="n">
        <v>9</v>
      </c>
      <c r="E309" t="inlineStr">
        <is>
          <t>Calculation</t>
        </is>
      </c>
      <c r="F309" t="inlineStr">
        <is>
          <t>'=I17-H17</t>
        </is>
      </c>
      <c r="G309" t="n">
        <v>13</v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inlineStr">
        <is>
          <t>G000024</t>
        </is>
      </c>
      <c r="T309" t="inlineStr">
        <is>
          <t>Horizontal</t>
        </is>
      </c>
      <c r="U309" t="n">
        <v>13</v>
      </c>
      <c r="V309" t="b">
        <v>1</v>
      </c>
      <c r="W309" t="inlineStr">
        <is>
          <t>Assumptions Sheet!D18:P18</t>
        </is>
      </c>
      <c r="X309">
        <f>R[-1]C[0]-R[-1]C[-1]</f>
        <v/>
      </c>
    </row>
    <row r="310">
      <c r="A310" t="inlineStr">
        <is>
          <t>Assumptions Sheet</t>
        </is>
      </c>
      <c r="B310" t="inlineStr">
        <is>
          <t>J18</t>
        </is>
      </c>
      <c r="C310" t="n">
        <v>18</v>
      </c>
      <c r="D310" t="n">
        <v>10</v>
      </c>
      <c r="E310" t="inlineStr">
        <is>
          <t>Calculation</t>
        </is>
      </c>
      <c r="F310" t="inlineStr">
        <is>
          <t>'=J17-I17</t>
        </is>
      </c>
      <c r="G310" t="n">
        <v>24</v>
      </c>
      <c r="H310" t="inlineStr"/>
      <c r="I310" t="inlineStr">
        <is>
          <t>0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inlineStr">
        <is>
          <t>G000024</t>
        </is>
      </c>
      <c r="T310" t="inlineStr">
        <is>
          <t>Horizontal</t>
        </is>
      </c>
      <c r="U310" t="n">
        <v>13</v>
      </c>
      <c r="V310" t="b">
        <v>1</v>
      </c>
      <c r="W310" t="inlineStr">
        <is>
          <t>Assumptions Sheet!D18:P18</t>
        </is>
      </c>
      <c r="X310">
        <f>R[-1]C[0]-R[-1]C[-1]</f>
        <v/>
      </c>
    </row>
    <row r="311">
      <c r="A311" t="inlineStr">
        <is>
          <t>Assumptions Sheet</t>
        </is>
      </c>
      <c r="B311" t="inlineStr">
        <is>
          <t>K18</t>
        </is>
      </c>
      <c r="C311" t="n">
        <v>18</v>
      </c>
      <c r="D311" t="n">
        <v>11</v>
      </c>
      <c r="E311" t="inlineStr">
        <is>
          <t>Calculation</t>
        </is>
      </c>
      <c r="F311" t="inlineStr">
        <is>
          <t>'=K17-J17</t>
        </is>
      </c>
      <c r="G311" t="n">
        <v>29</v>
      </c>
      <c r="H311" t="inlineStr"/>
      <c r="I311" t="inlineStr">
        <is>
          <t>0</t>
        </is>
      </c>
      <c r="J311" t="b">
        <v>0</v>
      </c>
      <c r="K311" t="b">
        <v>0</v>
      </c>
      <c r="L311" t="n">
        <v>11</v>
      </c>
      <c r="M311" t="inlineStr">
        <is>
          <t>FFFF0000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inlineStr">
        <is>
          <t>G000024</t>
        </is>
      </c>
      <c r="T311" t="inlineStr">
        <is>
          <t>Horizontal</t>
        </is>
      </c>
      <c r="U311" t="n">
        <v>13</v>
      </c>
      <c r="V311" t="b">
        <v>1</v>
      </c>
      <c r="W311" t="inlineStr">
        <is>
          <t>Assumptions Sheet!D18:P18</t>
        </is>
      </c>
      <c r="X311">
        <f>R[-1]C[0]-R[-1]C[-1]</f>
        <v/>
      </c>
    </row>
    <row r="312">
      <c r="A312" t="inlineStr">
        <is>
          <t>Assumptions Sheet</t>
        </is>
      </c>
      <c r="B312" t="inlineStr">
        <is>
          <t>L18</t>
        </is>
      </c>
      <c r="C312" t="n">
        <v>18</v>
      </c>
      <c r="D312" t="n">
        <v>12</v>
      </c>
      <c r="E312" t="inlineStr">
        <is>
          <t>Calculation</t>
        </is>
      </c>
      <c r="F312" t="inlineStr">
        <is>
          <t>'=L17-K17</t>
        </is>
      </c>
      <c r="G312" t="n">
        <v>10.86852173913041</v>
      </c>
      <c r="H312" t="inlineStr"/>
      <c r="I312" t="inlineStr">
        <is>
          <t>0</t>
        </is>
      </c>
      <c r="J312" t="b">
        <v>0</v>
      </c>
      <c r="K312" t="b">
        <v>0</v>
      </c>
      <c r="L312" t="n">
        <v>11</v>
      </c>
      <c r="M312" t="inlineStr">
        <is>
          <t>FFFF0000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inlineStr">
        <is>
          <t>G000024</t>
        </is>
      </c>
      <c r="T312" t="inlineStr">
        <is>
          <t>Horizontal</t>
        </is>
      </c>
      <c r="U312" t="n">
        <v>13</v>
      </c>
      <c r="V312" t="b">
        <v>1</v>
      </c>
      <c r="W312" t="inlineStr">
        <is>
          <t>Assumptions Sheet!D18:P18</t>
        </is>
      </c>
      <c r="X312">
        <f>R[-1]C[0]-R[-1]C[-1]</f>
        <v/>
      </c>
    </row>
    <row r="313">
      <c r="A313" t="inlineStr">
        <is>
          <t>Assumptions Sheet</t>
        </is>
      </c>
      <c r="B313" t="inlineStr">
        <is>
          <t>M18</t>
        </is>
      </c>
      <c r="C313" t="n">
        <v>18</v>
      </c>
      <c r="D313" t="n">
        <v>13</v>
      </c>
      <c r="E313" t="inlineStr">
        <is>
          <t>Calculation</t>
        </is>
      </c>
      <c r="F313" t="inlineStr">
        <is>
          <t>'=M17-L17</t>
        </is>
      </c>
      <c r="G313" t="n">
        <v>34.17370434782606</v>
      </c>
      <c r="H313" t="inlineStr"/>
      <c r="I313" t="inlineStr">
        <is>
          <t>0</t>
        </is>
      </c>
      <c r="J313" t="b">
        <v>0</v>
      </c>
      <c r="K313" t="b">
        <v>0</v>
      </c>
      <c r="L313" t="n">
        <v>11</v>
      </c>
      <c r="M313" t="inlineStr">
        <is>
          <t>FFFF0000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inlineStr">
        <is>
          <t>G000024</t>
        </is>
      </c>
      <c r="T313" t="inlineStr">
        <is>
          <t>Horizontal</t>
        </is>
      </c>
      <c r="U313" t="n">
        <v>13</v>
      </c>
      <c r="V313" t="b">
        <v>1</v>
      </c>
      <c r="W313" t="inlineStr">
        <is>
          <t>Assumptions Sheet!D18:P18</t>
        </is>
      </c>
      <c r="X313">
        <f>R[-1]C[0]-R[-1]C[-1]</f>
        <v/>
      </c>
    </row>
    <row r="314">
      <c r="A314" t="inlineStr">
        <is>
          <t>Assumptions Sheet</t>
        </is>
      </c>
      <c r="B314" t="inlineStr">
        <is>
          <t>N18</t>
        </is>
      </c>
      <c r="C314" t="n">
        <v>18</v>
      </c>
      <c r="D314" t="n">
        <v>14</v>
      </c>
      <c r="E314" t="inlineStr">
        <is>
          <t>Calculation</t>
        </is>
      </c>
      <c r="F314" t="inlineStr">
        <is>
          <t>'=N17-M17</t>
        </is>
      </c>
      <c r="G314" t="n">
        <v>41.00844521739131</v>
      </c>
      <c r="H314" t="inlineStr"/>
      <c r="I314" t="inlineStr">
        <is>
          <t>0</t>
        </is>
      </c>
      <c r="J314" t="b">
        <v>0</v>
      </c>
      <c r="K314" t="b">
        <v>0</v>
      </c>
      <c r="L314" t="n">
        <v>11</v>
      </c>
      <c r="M314" t="inlineStr">
        <is>
          <t>FFFF0000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inlineStr">
        <is>
          <t>G000024</t>
        </is>
      </c>
      <c r="T314" t="inlineStr">
        <is>
          <t>Horizontal</t>
        </is>
      </c>
      <c r="U314" t="n">
        <v>13</v>
      </c>
      <c r="V314" t="b">
        <v>1</v>
      </c>
      <c r="W314" t="inlineStr">
        <is>
          <t>Assumptions Sheet!D18:P18</t>
        </is>
      </c>
      <c r="X314">
        <f>R[-1]C[0]-R[-1]C[-1]</f>
        <v/>
      </c>
    </row>
    <row r="315">
      <c r="A315" t="inlineStr">
        <is>
          <t>Assumptions Sheet</t>
        </is>
      </c>
      <c r="B315" t="inlineStr">
        <is>
          <t>O18</t>
        </is>
      </c>
      <c r="C315" t="n">
        <v>18</v>
      </c>
      <c r="D315" t="n">
        <v>15</v>
      </c>
      <c r="E315" t="inlineStr">
        <is>
          <t>Calculation</t>
        </is>
      </c>
      <c r="F315" t="inlineStr">
        <is>
          <t>'=O17-N17</t>
        </is>
      </c>
      <c r="G315" t="n">
        <v>49.21013426086958</v>
      </c>
      <c r="H315" t="inlineStr"/>
      <c r="I315" t="inlineStr">
        <is>
          <t>0</t>
        </is>
      </c>
      <c r="J315" t="b">
        <v>0</v>
      </c>
      <c r="K315" t="b">
        <v>0</v>
      </c>
      <c r="L315" t="n">
        <v>11</v>
      </c>
      <c r="M315" t="inlineStr">
        <is>
          <t>FFFF0000</t>
        </is>
      </c>
      <c r="N315" t="inlineStr">
        <is>
          <t>Values must be of type &lt;class 'str'&gt;</t>
        </is>
      </c>
      <c r="O315" t="inlineStr">
        <is>
          <t>center</t>
        </is>
      </c>
      <c r="P315" t="inlineStr">
        <is>
          <t>center</t>
        </is>
      </c>
      <c r="R315" t="b">
        <v>1</v>
      </c>
      <c r="S315" t="inlineStr">
        <is>
          <t>G000024</t>
        </is>
      </c>
      <c r="T315" t="inlineStr">
        <is>
          <t>Horizontal</t>
        </is>
      </c>
      <c r="U315" t="n">
        <v>13</v>
      </c>
      <c r="V315" t="b">
        <v>1</v>
      </c>
      <c r="W315" t="inlineStr">
        <is>
          <t>Assumptions Sheet!D18:P18</t>
        </is>
      </c>
      <c r="X315">
        <f>R[-1]C[0]-R[-1]C[-1]</f>
        <v/>
      </c>
    </row>
    <row r="316">
      <c r="A316" t="inlineStr">
        <is>
          <t>Assumptions Sheet</t>
        </is>
      </c>
      <c r="B316" t="inlineStr">
        <is>
          <t>P18</t>
        </is>
      </c>
      <c r="C316" t="n">
        <v>18</v>
      </c>
      <c r="D316" t="n">
        <v>16</v>
      </c>
      <c r="E316" t="inlineStr">
        <is>
          <t>Calculation</t>
        </is>
      </c>
      <c r="F316" t="inlineStr">
        <is>
          <t>'=P17-O17</t>
        </is>
      </c>
      <c r="G316" t="n">
        <v>59.05216111304344</v>
      </c>
      <c r="H316" t="inlineStr"/>
      <c r="I316" t="inlineStr">
        <is>
          <t>0</t>
        </is>
      </c>
      <c r="J316" t="b">
        <v>0</v>
      </c>
      <c r="K316" t="b">
        <v>0</v>
      </c>
      <c r="L316" t="n">
        <v>11</v>
      </c>
      <c r="M316" t="inlineStr">
        <is>
          <t>FFFF0000</t>
        </is>
      </c>
      <c r="N316" t="inlineStr">
        <is>
          <t>Values must be of type &lt;class 'str'&gt;</t>
        </is>
      </c>
      <c r="O316" t="inlineStr">
        <is>
          <t>center</t>
        </is>
      </c>
      <c r="P316" t="inlineStr">
        <is>
          <t>center</t>
        </is>
      </c>
      <c r="R316" t="b">
        <v>1</v>
      </c>
      <c r="S316" t="inlineStr">
        <is>
          <t>G000024</t>
        </is>
      </c>
      <c r="T316" t="inlineStr">
        <is>
          <t>Horizontal</t>
        </is>
      </c>
      <c r="U316" t="n">
        <v>13</v>
      </c>
      <c r="V316" t="b">
        <v>1</v>
      </c>
      <c r="W316" t="inlineStr">
        <is>
          <t>Assumptions Sheet!D18:P18</t>
        </is>
      </c>
      <c r="X316">
        <f>R[-1]C[0]-R[-1]C[-1]</f>
        <v/>
      </c>
    </row>
    <row r="317">
      <c r="A317" t="inlineStr">
        <is>
          <t>Assumptions Sheet</t>
        </is>
      </c>
      <c r="B317" t="inlineStr">
        <is>
          <t>B19</t>
        </is>
      </c>
      <c r="C317" t="n">
        <v>19</v>
      </c>
      <c r="D317" t="n">
        <v>2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inlineStr">
        <is>
          <t>left</t>
        </is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Assumptions Sheet</t>
        </is>
      </c>
      <c r="B318" t="inlineStr">
        <is>
          <t>C19</t>
        </is>
      </c>
      <c r="C318" t="n">
        <v>19</v>
      </c>
      <c r="D318" t="n">
        <v>3</v>
      </c>
      <c r="E318" t="inlineStr">
        <is>
          <t>Output</t>
        </is>
      </c>
      <c r="F318" t="inlineStr">
        <is>
          <t>'=C20*(1+J21)^7</t>
        </is>
      </c>
      <c r="G318" t="n">
        <v>371.44</v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inlineStr">
        <is>
          <t>center</t>
        </is>
      </c>
      <c r="P318" t="n">
        <v/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>
        <f>R[1]C[0]*(1+R[2]C[7])^7</f>
        <v/>
      </c>
    </row>
    <row r="319">
      <c r="A319" t="inlineStr">
        <is>
          <t>Assumptions Sheet</t>
        </is>
      </c>
      <c r="B319" t="inlineStr">
        <is>
          <t>D19</t>
        </is>
      </c>
      <c r="C319" t="n">
        <v>19</v>
      </c>
      <c r="D319" t="n">
        <v>4</v>
      </c>
      <c r="E319" t="inlineStr">
        <is>
          <t>Output</t>
        </is>
      </c>
      <c r="F319" t="inlineStr">
        <is>
          <t>'=D18/C17</t>
        </is>
      </c>
      <c r="G319" t="n">
        <v>0.5600000000000001</v>
      </c>
      <c r="H319" t="inlineStr"/>
      <c r="I319" t="inlineStr">
        <is>
          <t>0%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inlineStr">
        <is>
          <t>center</t>
        </is>
      </c>
      <c r="P319" t="n">
        <v/>
      </c>
      <c r="R319" t="b">
        <v>1</v>
      </c>
      <c r="S319" t="inlineStr">
        <is>
          <t>G000025</t>
        </is>
      </c>
      <c r="T319" t="inlineStr">
        <is>
          <t>Horizontal</t>
        </is>
      </c>
      <c r="U319" t="n">
        <v>13</v>
      </c>
      <c r="V319" t="b">
        <v>1</v>
      </c>
      <c r="W319" t="inlineStr">
        <is>
          <t>Assumptions Sheet!D19:P19</t>
        </is>
      </c>
      <c r="X319">
        <f>R[-1]C[0]/R[-2]C[-1]</f>
        <v/>
      </c>
    </row>
    <row r="320">
      <c r="A320" t="inlineStr">
        <is>
          <t>Assumptions Sheet</t>
        </is>
      </c>
      <c r="B320" t="inlineStr">
        <is>
          <t>E19</t>
        </is>
      </c>
      <c r="C320" t="n">
        <v>19</v>
      </c>
      <c r="D320" t="n">
        <v>5</v>
      </c>
      <c r="E320" t="inlineStr">
        <is>
          <t>Output</t>
        </is>
      </c>
      <c r="F320" t="inlineStr">
        <is>
          <t>'=E18/D17</t>
        </is>
      </c>
      <c r="G320" t="n">
        <v>0.4102564102564102</v>
      </c>
      <c r="H320" t="inlineStr"/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inlineStr">
        <is>
          <t>center</t>
        </is>
      </c>
      <c r="P320" t="n">
        <v/>
      </c>
      <c r="R320" t="b">
        <v>1</v>
      </c>
      <c r="S320" t="inlineStr">
        <is>
          <t>G000025</t>
        </is>
      </c>
      <c r="T320" t="inlineStr">
        <is>
          <t>Horizontal</t>
        </is>
      </c>
      <c r="U320" t="n">
        <v>13</v>
      </c>
      <c r="V320" t="b">
        <v>1</v>
      </c>
      <c r="W320" t="inlineStr">
        <is>
          <t>Assumptions Sheet!D19:P19</t>
        </is>
      </c>
      <c r="X320">
        <f>R[-1]C[0]/R[-2]C[-1]</f>
        <v/>
      </c>
    </row>
    <row r="321">
      <c r="A321" t="inlineStr">
        <is>
          <t>Assumptions Sheet</t>
        </is>
      </c>
      <c r="B321" t="inlineStr">
        <is>
          <t>F19</t>
        </is>
      </c>
      <c r="C321" t="n">
        <v>19</v>
      </c>
      <c r="D321" t="n">
        <v>6</v>
      </c>
      <c r="E321" t="inlineStr">
        <is>
          <t>Output</t>
        </is>
      </c>
      <c r="F321" t="inlineStr">
        <is>
          <t>'=F18/E17</t>
        </is>
      </c>
      <c r="G321" t="n">
        <v>0.2</v>
      </c>
      <c r="H321" t="inlineStr"/>
      <c r="I321" t="inlineStr">
        <is>
          <t>0%</t>
        </is>
      </c>
      <c r="J321" t="b">
        <v>0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Values must be of type &lt;class 'str'&gt;</t>
        </is>
      </c>
      <c r="O321" t="inlineStr">
        <is>
          <t>center</t>
        </is>
      </c>
      <c r="P321" t="n">
        <v/>
      </c>
      <c r="R321" t="b">
        <v>1</v>
      </c>
      <c r="S321" t="inlineStr">
        <is>
          <t>G000025</t>
        </is>
      </c>
      <c r="T321" t="inlineStr">
        <is>
          <t>Horizontal</t>
        </is>
      </c>
      <c r="U321" t="n">
        <v>13</v>
      </c>
      <c r="V321" t="b">
        <v>1</v>
      </c>
      <c r="W321" t="inlineStr">
        <is>
          <t>Assumptions Sheet!D19:P19</t>
        </is>
      </c>
      <c r="X321">
        <f>R[-1]C[0]/R[-2]C[-1]</f>
        <v/>
      </c>
    </row>
    <row r="322">
      <c r="A322" t="inlineStr">
        <is>
          <t>Assumptions Sheet</t>
        </is>
      </c>
      <c r="B322" t="inlineStr">
        <is>
          <t>G19</t>
        </is>
      </c>
      <c r="C322" t="n">
        <v>19</v>
      </c>
      <c r="D322" t="n">
        <v>7</v>
      </c>
      <c r="E322" t="inlineStr">
        <is>
          <t>Output</t>
        </is>
      </c>
      <c r="F322" t="inlineStr">
        <is>
          <t>'=G18/F17</t>
        </is>
      </c>
      <c r="G322" t="n">
        <v>0.1666666666666667</v>
      </c>
      <c r="H322" t="inlineStr"/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Values must be of type &lt;class 'str'&gt;</t>
        </is>
      </c>
      <c r="O322" t="inlineStr">
        <is>
          <t>center</t>
        </is>
      </c>
      <c r="P322" t="n">
        <v/>
      </c>
      <c r="R322" t="b">
        <v>1</v>
      </c>
      <c r="S322" t="inlineStr">
        <is>
          <t>G000025</t>
        </is>
      </c>
      <c r="T322" t="inlineStr">
        <is>
          <t>Horizontal</t>
        </is>
      </c>
      <c r="U322" t="n">
        <v>13</v>
      </c>
      <c r="V322" t="b">
        <v>1</v>
      </c>
      <c r="W322" t="inlineStr">
        <is>
          <t>Assumptions Sheet!D19:P19</t>
        </is>
      </c>
      <c r="X322">
        <f>R[-1]C[0]/R[-2]C[-1]</f>
        <v/>
      </c>
    </row>
    <row r="323">
      <c r="A323" t="inlineStr">
        <is>
          <t>Assumptions Sheet</t>
        </is>
      </c>
      <c r="B323" t="inlineStr">
        <is>
          <t>H19</t>
        </is>
      </c>
      <c r="C323" t="n">
        <v>19</v>
      </c>
      <c r="D323" t="n">
        <v>8</v>
      </c>
      <c r="E323" t="inlineStr">
        <is>
          <t>Output</t>
        </is>
      </c>
      <c r="F323" t="inlineStr">
        <is>
          <t>'=H18/G17</t>
        </is>
      </c>
      <c r="G323" t="n">
        <v>0.2207792207792208</v>
      </c>
      <c r="H323" t="inlineStr"/>
      <c r="I323" t="inlineStr">
        <is>
          <t>0%</t>
        </is>
      </c>
      <c r="J323" t="b">
        <v>0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Values must be of type &lt;class 'str'&gt;</t>
        </is>
      </c>
      <c r="O323" t="inlineStr">
        <is>
          <t>center</t>
        </is>
      </c>
      <c r="P323" t="n">
        <v/>
      </c>
      <c r="R323" t="b">
        <v>1</v>
      </c>
      <c r="S323" t="inlineStr">
        <is>
          <t>G000025</t>
        </is>
      </c>
      <c r="T323" t="inlineStr">
        <is>
          <t>Horizontal</t>
        </is>
      </c>
      <c r="U323" t="n">
        <v>13</v>
      </c>
      <c r="V323" t="b">
        <v>1</v>
      </c>
      <c r="W323" t="inlineStr">
        <is>
          <t>Assumptions Sheet!D19:P19</t>
        </is>
      </c>
      <c r="X323">
        <f>R[-1]C[0]/R[-2]C[-1]</f>
        <v/>
      </c>
    </row>
    <row r="324">
      <c r="A324" t="inlineStr">
        <is>
          <t>Assumptions Sheet</t>
        </is>
      </c>
      <c r="B324" t="inlineStr">
        <is>
          <t>I19</t>
        </is>
      </c>
      <c r="C324" t="n">
        <v>19</v>
      </c>
      <c r="D324" t="n">
        <v>9</v>
      </c>
      <c r="E324" t="inlineStr">
        <is>
          <t>Output</t>
        </is>
      </c>
      <c r="F324" t="inlineStr">
        <is>
          <t>'=I18/H17</t>
        </is>
      </c>
      <c r="G324" t="n">
        <v>0.1382978723404255</v>
      </c>
      <c r="H324" t="inlineStr"/>
      <c r="I324" t="inlineStr">
        <is>
          <t>0%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inlineStr">
        <is>
          <t>center</t>
        </is>
      </c>
      <c r="P324" t="n">
        <v/>
      </c>
      <c r="R324" t="b">
        <v>1</v>
      </c>
      <c r="S324" t="inlineStr">
        <is>
          <t>G000025</t>
        </is>
      </c>
      <c r="T324" t="inlineStr">
        <is>
          <t>Horizontal</t>
        </is>
      </c>
      <c r="U324" t="n">
        <v>13</v>
      </c>
      <c r="V324" t="b">
        <v>1</v>
      </c>
      <c r="W324" t="inlineStr">
        <is>
          <t>Assumptions Sheet!D19:P19</t>
        </is>
      </c>
      <c r="X324">
        <f>R[-1]C[0]/R[-2]C[-1]</f>
        <v/>
      </c>
    </row>
    <row r="325">
      <c r="A325" t="inlineStr">
        <is>
          <t>Assumptions Sheet</t>
        </is>
      </c>
      <c r="B325" t="inlineStr">
        <is>
          <t>J19</t>
        </is>
      </c>
      <c r="C325" t="n">
        <v>19</v>
      </c>
      <c r="D325" t="n">
        <v>10</v>
      </c>
      <c r="E325" t="inlineStr">
        <is>
          <t>Output</t>
        </is>
      </c>
      <c r="F325" t="inlineStr">
        <is>
          <t>'=J18/I17</t>
        </is>
      </c>
      <c r="G325" t="n">
        <v>0.2242990654205607</v>
      </c>
      <c r="H325" t="inlineStr"/>
      <c r="I325" t="inlineStr">
        <is>
          <t>0%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inlineStr">
        <is>
          <t>center</t>
        </is>
      </c>
      <c r="P325" t="n">
        <v/>
      </c>
      <c r="R325" t="b">
        <v>1</v>
      </c>
      <c r="S325" t="inlineStr">
        <is>
          <t>G000025</t>
        </is>
      </c>
      <c r="T325" t="inlineStr">
        <is>
          <t>Horizontal</t>
        </is>
      </c>
      <c r="U325" t="n">
        <v>13</v>
      </c>
      <c r="V325" t="b">
        <v>1</v>
      </c>
      <c r="W325" t="inlineStr">
        <is>
          <t>Assumptions Sheet!D19:P19</t>
        </is>
      </c>
      <c r="X325">
        <f>R[-1]C[0]/R[-2]C[-1]</f>
        <v/>
      </c>
    </row>
    <row r="326">
      <c r="A326" t="inlineStr">
        <is>
          <t>Assumptions Sheet</t>
        </is>
      </c>
      <c r="B326" t="inlineStr">
        <is>
          <t>K19</t>
        </is>
      </c>
      <c r="C326" t="n">
        <v>19</v>
      </c>
      <c r="D326" t="n">
        <v>11</v>
      </c>
      <c r="E326" t="inlineStr">
        <is>
          <t>Output</t>
        </is>
      </c>
      <c r="F326" t="inlineStr">
        <is>
          <t>'=K18/J17</t>
        </is>
      </c>
      <c r="G326" t="n">
        <v>0.2213740458015267</v>
      </c>
      <c r="H326" t="inlineStr"/>
      <c r="I326" t="inlineStr">
        <is>
          <t>0%</t>
        </is>
      </c>
      <c r="J326" t="b">
        <v>0</v>
      </c>
      <c r="K326" t="b">
        <v>0</v>
      </c>
      <c r="L326" t="n">
        <v>11</v>
      </c>
      <c r="M326" t="inlineStr">
        <is>
          <t>FFFF0000</t>
        </is>
      </c>
      <c r="N326" t="inlineStr">
        <is>
          <t>Values must be of type &lt;class 'str'&gt;</t>
        </is>
      </c>
      <c r="O326" t="inlineStr">
        <is>
          <t>center</t>
        </is>
      </c>
      <c r="P326" t="n">
        <v/>
      </c>
      <c r="R326" t="b">
        <v>1</v>
      </c>
      <c r="S326" t="inlineStr">
        <is>
          <t>G000025</t>
        </is>
      </c>
      <c r="T326" t="inlineStr">
        <is>
          <t>Horizontal</t>
        </is>
      </c>
      <c r="U326" t="n">
        <v>13</v>
      </c>
      <c r="V326" t="b">
        <v>1</v>
      </c>
      <c r="W326" t="inlineStr">
        <is>
          <t>Assumptions Sheet!D19:P19</t>
        </is>
      </c>
      <c r="X326">
        <f>R[-1]C[0]/R[-2]C[-1]</f>
        <v/>
      </c>
    </row>
    <row r="327">
      <c r="A327" t="inlineStr">
        <is>
          <t>Assumptions Sheet</t>
        </is>
      </c>
      <c r="B327" t="inlineStr">
        <is>
          <t>L19</t>
        </is>
      </c>
      <c r="C327" t="n">
        <v>19</v>
      </c>
      <c r="D327" t="n">
        <v>12</v>
      </c>
      <c r="E327" t="inlineStr">
        <is>
          <t>Output</t>
        </is>
      </c>
      <c r="F327" t="inlineStr">
        <is>
          <t>'=L18/K17</t>
        </is>
      </c>
      <c r="G327" t="n">
        <v>0.06792826086956509</v>
      </c>
      <c r="H327" t="inlineStr"/>
      <c r="I327" t="inlineStr">
        <is>
          <t>0%</t>
        </is>
      </c>
      <c r="J327" t="b">
        <v>0</v>
      </c>
      <c r="K327" t="b">
        <v>0</v>
      </c>
      <c r="L327" t="n">
        <v>11</v>
      </c>
      <c r="M327" t="inlineStr">
        <is>
          <t>FFFF0000</t>
        </is>
      </c>
      <c r="N327" t="inlineStr">
        <is>
          <t>Values must be of type &lt;class 'str'&gt;</t>
        </is>
      </c>
      <c r="O327" t="inlineStr">
        <is>
          <t>center</t>
        </is>
      </c>
      <c r="P327" t="n">
        <v/>
      </c>
      <c r="R327" t="b">
        <v>1</v>
      </c>
      <c r="S327" t="inlineStr">
        <is>
          <t>G000025</t>
        </is>
      </c>
      <c r="T327" t="inlineStr">
        <is>
          <t>Horizontal</t>
        </is>
      </c>
      <c r="U327" t="n">
        <v>13</v>
      </c>
      <c r="V327" t="b">
        <v>1</v>
      </c>
      <c r="W327" t="inlineStr">
        <is>
          <t>Assumptions Sheet!D19:P19</t>
        </is>
      </c>
      <c r="X327">
        <f>R[-1]C[0]/R[-2]C[-1]</f>
        <v/>
      </c>
    </row>
    <row r="328">
      <c r="A328" t="inlineStr">
        <is>
          <t>Assumptions Sheet</t>
        </is>
      </c>
      <c r="B328" t="inlineStr">
        <is>
          <t>M19</t>
        </is>
      </c>
      <c r="C328" t="n">
        <v>19</v>
      </c>
      <c r="D328" t="n">
        <v>13</v>
      </c>
      <c r="E328" t="inlineStr">
        <is>
          <t>Output</t>
        </is>
      </c>
      <c r="F328" t="inlineStr">
        <is>
          <t>'=M18/L17</t>
        </is>
      </c>
      <c r="G328" t="n">
        <v>0.1999999999999999</v>
      </c>
      <c r="H328" t="inlineStr"/>
      <c r="I328" t="inlineStr">
        <is>
          <t>0%</t>
        </is>
      </c>
      <c r="J328" t="b">
        <v>0</v>
      </c>
      <c r="K328" t="b">
        <v>0</v>
      </c>
      <c r="L328" t="n">
        <v>11</v>
      </c>
      <c r="M328" t="inlineStr">
        <is>
          <t>FFFF0000</t>
        </is>
      </c>
      <c r="N328" t="inlineStr">
        <is>
          <t>Values must be of type &lt;class 'str'&gt;</t>
        </is>
      </c>
      <c r="O328" t="inlineStr">
        <is>
          <t>center</t>
        </is>
      </c>
      <c r="P328" t="n">
        <v/>
      </c>
      <c r="R328" t="b">
        <v>1</v>
      </c>
      <c r="S328" t="inlineStr">
        <is>
          <t>G000025</t>
        </is>
      </c>
      <c r="T328" t="inlineStr">
        <is>
          <t>Horizontal</t>
        </is>
      </c>
      <c r="U328" t="n">
        <v>13</v>
      </c>
      <c r="V328" t="b">
        <v>1</v>
      </c>
      <c r="W328" t="inlineStr">
        <is>
          <t>Assumptions Sheet!D19:P19</t>
        </is>
      </c>
      <c r="X328">
        <f>R[-1]C[0]/R[-2]C[-1]</f>
        <v/>
      </c>
    </row>
    <row r="329">
      <c r="A329" t="inlineStr">
        <is>
          <t>Assumptions Sheet</t>
        </is>
      </c>
      <c r="B329" t="inlineStr">
        <is>
          <t>N19</t>
        </is>
      </c>
      <c r="C329" t="n">
        <v>19</v>
      </c>
      <c r="D329" t="n">
        <v>14</v>
      </c>
      <c r="E329" t="inlineStr">
        <is>
          <t>Output</t>
        </is>
      </c>
      <c r="F329" t="inlineStr">
        <is>
          <t>'=N18/M17</t>
        </is>
      </c>
      <c r="G329" t="n">
        <v>0.2000000000000001</v>
      </c>
      <c r="H329" t="inlineStr"/>
      <c r="I329" t="inlineStr">
        <is>
          <t>0%</t>
        </is>
      </c>
      <c r="J329" t="b">
        <v>0</v>
      </c>
      <c r="K329" t="b">
        <v>0</v>
      </c>
      <c r="L329" t="n">
        <v>11</v>
      </c>
      <c r="M329" t="inlineStr">
        <is>
          <t>FFFF0000</t>
        </is>
      </c>
      <c r="N329" t="inlineStr">
        <is>
          <t>Values must be of type &lt;class 'str'&gt;</t>
        </is>
      </c>
      <c r="O329" t="inlineStr">
        <is>
          <t>center</t>
        </is>
      </c>
      <c r="P329" t="n">
        <v/>
      </c>
      <c r="R329" t="b">
        <v>1</v>
      </c>
      <c r="S329" t="inlineStr">
        <is>
          <t>G000025</t>
        </is>
      </c>
      <c r="T329" t="inlineStr">
        <is>
          <t>Horizontal</t>
        </is>
      </c>
      <c r="U329" t="n">
        <v>13</v>
      </c>
      <c r="V329" t="b">
        <v>1</v>
      </c>
      <c r="W329" t="inlineStr">
        <is>
          <t>Assumptions Sheet!D19:P19</t>
        </is>
      </c>
      <c r="X329">
        <f>R[-1]C[0]/R[-2]C[-1]</f>
        <v/>
      </c>
    </row>
    <row r="330">
      <c r="A330" t="inlineStr">
        <is>
          <t>Assumptions Sheet</t>
        </is>
      </c>
      <c r="B330" t="inlineStr">
        <is>
          <t>O19</t>
        </is>
      </c>
      <c r="C330" t="n">
        <v>19</v>
      </c>
      <c r="D330" t="n">
        <v>15</v>
      </c>
      <c r="E330" t="inlineStr">
        <is>
          <t>Output</t>
        </is>
      </c>
      <c r="F330" t="inlineStr">
        <is>
          <t>'=O18/N17</t>
        </is>
      </c>
      <c r="G330" t="n">
        <v>0.2000000000000001</v>
      </c>
      <c r="H330" t="inlineStr"/>
      <c r="I330" t="inlineStr">
        <is>
          <t>0%</t>
        </is>
      </c>
      <c r="J330" t="b">
        <v>0</v>
      </c>
      <c r="K330" t="b">
        <v>0</v>
      </c>
      <c r="L330" t="n">
        <v>11</v>
      </c>
      <c r="M330" t="inlineStr">
        <is>
          <t>FFFF0000</t>
        </is>
      </c>
      <c r="N330" t="inlineStr">
        <is>
          <t>Values must be of type &lt;class 'str'&gt;</t>
        </is>
      </c>
      <c r="O330" t="inlineStr">
        <is>
          <t>center</t>
        </is>
      </c>
      <c r="P330" t="n">
        <v/>
      </c>
      <c r="R330" t="b">
        <v>1</v>
      </c>
      <c r="S330" t="inlineStr">
        <is>
          <t>G000025</t>
        </is>
      </c>
      <c r="T330" t="inlineStr">
        <is>
          <t>Horizontal</t>
        </is>
      </c>
      <c r="U330" t="n">
        <v>13</v>
      </c>
      <c r="V330" t="b">
        <v>1</v>
      </c>
      <c r="W330" t="inlineStr">
        <is>
          <t>Assumptions Sheet!D19:P19</t>
        </is>
      </c>
      <c r="X330">
        <f>R[-1]C[0]/R[-2]C[-1]</f>
        <v/>
      </c>
    </row>
    <row r="331">
      <c r="A331" t="inlineStr">
        <is>
          <t>Assumptions Sheet</t>
        </is>
      </c>
      <c r="B331" t="inlineStr">
        <is>
          <t>P19</t>
        </is>
      </c>
      <c r="C331" t="n">
        <v>19</v>
      </c>
      <c r="D331" t="n">
        <v>16</v>
      </c>
      <c r="E331" t="inlineStr">
        <is>
          <t>Output</t>
        </is>
      </c>
      <c r="F331" t="inlineStr">
        <is>
          <t>'=P18/O17</t>
        </is>
      </c>
      <c r="G331" t="n">
        <v>0.1999999999999999</v>
      </c>
      <c r="H331" t="inlineStr"/>
      <c r="I331" t="inlineStr">
        <is>
          <t>0%</t>
        </is>
      </c>
      <c r="J331" t="b">
        <v>0</v>
      </c>
      <c r="K331" t="b">
        <v>0</v>
      </c>
      <c r="L331" t="n">
        <v>11</v>
      </c>
      <c r="M331" t="inlineStr">
        <is>
          <t>FFFF0000</t>
        </is>
      </c>
      <c r="N331" t="inlineStr">
        <is>
          <t>Values must be of type &lt;class 'str'&gt;</t>
        </is>
      </c>
      <c r="O331" t="inlineStr">
        <is>
          <t>center</t>
        </is>
      </c>
      <c r="P331" t="n">
        <v/>
      </c>
      <c r="R331" t="b">
        <v>1</v>
      </c>
      <c r="S331" t="inlineStr">
        <is>
          <t>G000025</t>
        </is>
      </c>
      <c r="T331" t="inlineStr">
        <is>
          <t>Horizontal</t>
        </is>
      </c>
      <c r="U331" t="n">
        <v>13</v>
      </c>
      <c r="V331" t="b">
        <v>1</v>
      </c>
      <c r="W331" t="inlineStr">
        <is>
          <t>Assumptions Sheet!D19:P19</t>
        </is>
      </c>
      <c r="X331">
        <f>R[-1]C[0]/R[-2]C[-1]</f>
        <v/>
      </c>
    </row>
    <row r="332">
      <c r="A332" t="inlineStr">
        <is>
          <t>Assumptions Sheet</t>
        </is>
      </c>
      <c r="B332" t="inlineStr">
        <is>
          <t>B20</t>
        </is>
      </c>
      <c r="C332" t="n">
        <v>20</v>
      </c>
      <c r="D332" t="n">
        <v>2</v>
      </c>
      <c r="E332" t="inlineStr">
        <is>
          <t>Input</t>
        </is>
      </c>
      <c r="F332" t="n">
        <v/>
      </c>
      <c r="G332" t="inlineStr">
        <is>
          <t>ASK Per Plane</t>
        </is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left</t>
        </is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Assumptions Sheet</t>
        </is>
      </c>
      <c r="B333" t="inlineStr">
        <is>
          <t>C20</t>
        </is>
      </c>
      <c r="C333" t="n">
        <v>20</v>
      </c>
      <c r="D333" t="n">
        <v>3</v>
      </c>
      <c r="E333" t="inlineStr">
        <is>
          <t>Calculation</t>
        </is>
      </c>
      <c r="F333" t="inlineStr">
        <is>
          <t>'=C2/C17</t>
        </is>
      </c>
      <c r="G333" t="n">
        <v>371.44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inlineStr">
        <is>
          <t>center</t>
        </is>
      </c>
      <c r="P333" t="inlineStr">
        <is>
          <t>center</t>
        </is>
      </c>
      <c r="R333" t="b">
        <v>1</v>
      </c>
      <c r="S333" t="inlineStr">
        <is>
          <t>G000026</t>
        </is>
      </c>
      <c r="T333" t="inlineStr">
        <is>
          <t>Horizontal</t>
        </is>
      </c>
      <c r="U333" t="n">
        <v>2</v>
      </c>
      <c r="V333" t="b">
        <v>1</v>
      </c>
      <c r="W333" t="inlineStr">
        <is>
          <t>Assumptions Sheet!C20:D20</t>
        </is>
      </c>
      <c r="X333">
        <f>R[-18]C[0]/R[-3]C[0]</f>
        <v/>
      </c>
    </row>
    <row r="334">
      <c r="A334" t="inlineStr">
        <is>
          <t>Assumptions Sheet</t>
        </is>
      </c>
      <c r="B334" t="inlineStr">
        <is>
          <t>D20</t>
        </is>
      </c>
      <c r="C334" t="n">
        <v>20</v>
      </c>
      <c r="D334" t="n">
        <v>4</v>
      </c>
      <c r="E334" t="inlineStr">
        <is>
          <t>Output</t>
        </is>
      </c>
      <c r="F334" t="inlineStr">
        <is>
          <t>'=D2/D17</t>
        </is>
      </c>
      <c r="G334" t="n">
        <v>320.2820512820513</v>
      </c>
      <c r="H334" t="inlineStr"/>
      <c r="I334" t="inlineStr">
        <is>
          <t>0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inlineStr">
        <is>
          <t>center</t>
        </is>
      </c>
      <c r="P334" t="inlineStr">
        <is>
          <t>center</t>
        </is>
      </c>
      <c r="R334" t="b">
        <v>1</v>
      </c>
      <c r="S334" t="inlineStr">
        <is>
          <t>G000026</t>
        </is>
      </c>
      <c r="T334" t="inlineStr">
        <is>
          <t>Horizontal</t>
        </is>
      </c>
      <c r="U334" t="n">
        <v>2</v>
      </c>
      <c r="V334" t="b">
        <v>1</v>
      </c>
      <c r="W334" t="inlineStr">
        <is>
          <t>Assumptions Sheet!C20:D20</t>
        </is>
      </c>
      <c r="X334">
        <f>R[-18]C[0]/R[-3]C[0]</f>
        <v/>
      </c>
    </row>
    <row r="335">
      <c r="A335" t="inlineStr">
        <is>
          <t>Assumptions Sheet</t>
        </is>
      </c>
      <c r="B335" t="inlineStr">
        <is>
          <t>E20</t>
        </is>
      </c>
      <c r="C335" t="n">
        <v>20</v>
      </c>
      <c r="D335" t="n">
        <v>5</v>
      </c>
      <c r="E335" t="inlineStr">
        <is>
          <t>Output</t>
        </is>
      </c>
      <c r="F335" t="inlineStr">
        <is>
          <t>'='Revenue Matrix'!E15</t>
        </is>
      </c>
      <c r="G335" t="n">
        <v>383.1063829787234</v>
      </c>
      <c r="H335" t="inlineStr"/>
      <c r="I335" t="inlineStr">
        <is>
          <t>0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center</t>
        </is>
      </c>
      <c r="P335" t="inlineStr">
        <is>
          <t>center</t>
        </is>
      </c>
      <c r="R335" t="b">
        <v>1</v>
      </c>
      <c r="S335" t="inlineStr">
        <is>
          <t>G000027</t>
        </is>
      </c>
      <c r="T335" t="inlineStr">
        <is>
          <t>Horizontal</t>
        </is>
      </c>
      <c r="U335" t="n">
        <v>6</v>
      </c>
      <c r="V335" t="b">
        <v>1</v>
      </c>
      <c r="W335" t="inlineStr">
        <is>
          <t>Assumptions Sheet!E20:J20</t>
        </is>
      </c>
      <c r="X335">
        <f>'Revenue Matrix'!R[-5]C[0]</f>
        <v/>
      </c>
    </row>
    <row r="336">
      <c r="A336" t="inlineStr">
        <is>
          <t>Assumptions Sheet</t>
        </is>
      </c>
      <c r="B336" t="inlineStr">
        <is>
          <t>F20</t>
        </is>
      </c>
      <c r="C336" t="n">
        <v>20</v>
      </c>
      <c r="D336" t="n">
        <v>6</v>
      </c>
      <c r="E336" t="inlineStr">
        <is>
          <t>Output</t>
        </is>
      </c>
      <c r="F336" t="inlineStr">
        <is>
          <t>'='Revenue Matrix'!F15</t>
        </is>
      </c>
      <c r="G336" t="n">
        <v>412.8429752066116</v>
      </c>
      <c r="H336" t="inlineStr"/>
      <c r="I336" t="inlineStr">
        <is>
          <t>0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inlineStr">
        <is>
          <t>G000027</t>
        </is>
      </c>
      <c r="T336" t="inlineStr">
        <is>
          <t>Horizontal</t>
        </is>
      </c>
      <c r="U336" t="n">
        <v>6</v>
      </c>
      <c r="V336" t="b">
        <v>1</v>
      </c>
      <c r="W336" t="inlineStr">
        <is>
          <t>Assumptions Sheet!E20:J20</t>
        </is>
      </c>
      <c r="X336">
        <f>'Revenue Matrix'!R[-5]C[0]</f>
        <v/>
      </c>
    </row>
    <row r="337">
      <c r="A337" t="inlineStr">
        <is>
          <t>Assumptions Sheet</t>
        </is>
      </c>
      <c r="B337" t="inlineStr">
        <is>
          <t>G20</t>
        </is>
      </c>
      <c r="C337" t="n">
        <v>20</v>
      </c>
      <c r="D337" t="n">
        <v>7</v>
      </c>
      <c r="E337" t="inlineStr">
        <is>
          <t>Output</t>
        </is>
      </c>
      <c r="F337" t="inlineStr">
        <is>
          <t>'='Revenue Matrix'!G15</t>
        </is>
      </c>
      <c r="G337" t="n">
        <v>419.1188811188811</v>
      </c>
      <c r="H337" t="inlineStr"/>
      <c r="I337" t="inlineStr">
        <is>
          <t>0</t>
        </is>
      </c>
      <c r="J337" t="b">
        <v>0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Values must be of type &lt;class 'str'&gt;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inlineStr">
        <is>
          <t>G000027</t>
        </is>
      </c>
      <c r="T337" t="inlineStr">
        <is>
          <t>Horizontal</t>
        </is>
      </c>
      <c r="U337" t="n">
        <v>6</v>
      </c>
      <c r="V337" t="b">
        <v>1</v>
      </c>
      <c r="W337" t="inlineStr">
        <is>
          <t>Assumptions Sheet!E20:J20</t>
        </is>
      </c>
      <c r="X337">
        <f>'Revenue Matrix'!R[-5]C[0]</f>
        <v/>
      </c>
    </row>
    <row r="338">
      <c r="A338" t="inlineStr">
        <is>
          <t>Assumptions Sheet</t>
        </is>
      </c>
      <c r="B338" t="inlineStr">
        <is>
          <t>H20</t>
        </is>
      </c>
      <c r="C338" t="n">
        <v>20</v>
      </c>
      <c r="D338" t="n">
        <v>8</v>
      </c>
      <c r="E338" t="inlineStr">
        <is>
          <t>Output</t>
        </is>
      </c>
      <c r="F338" t="inlineStr">
        <is>
          <t>'='Revenue Matrix'!H15</t>
        </is>
      </c>
      <c r="G338" t="n">
        <v>413.1812865497076</v>
      </c>
      <c r="H338" t="inlineStr"/>
      <c r="I338" t="inlineStr">
        <is>
          <t>0</t>
        </is>
      </c>
      <c r="J338" t="b">
        <v>0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Values must be of type &lt;class 'str'&gt;</t>
        </is>
      </c>
      <c r="O338" t="inlineStr">
        <is>
          <t>center</t>
        </is>
      </c>
      <c r="P338" t="inlineStr">
        <is>
          <t>center</t>
        </is>
      </c>
      <c r="R338" t="b">
        <v>1</v>
      </c>
      <c r="S338" t="inlineStr">
        <is>
          <t>G000027</t>
        </is>
      </c>
      <c r="T338" t="inlineStr">
        <is>
          <t>Horizontal</t>
        </is>
      </c>
      <c r="U338" t="n">
        <v>6</v>
      </c>
      <c r="V338" t="b">
        <v>1</v>
      </c>
      <c r="W338" t="inlineStr">
        <is>
          <t>Assumptions Sheet!E20:J20</t>
        </is>
      </c>
      <c r="X338">
        <f>'Revenue Matrix'!R[-5]C[0]</f>
        <v/>
      </c>
    </row>
    <row r="339">
      <c r="A339" t="inlineStr">
        <is>
          <t>Assumptions Sheet</t>
        </is>
      </c>
      <c r="B339" t="inlineStr">
        <is>
          <t>I20</t>
        </is>
      </c>
      <c r="C339" t="n">
        <v>20</v>
      </c>
      <c r="D339" t="n">
        <v>9</v>
      </c>
      <c r="E339" t="inlineStr">
        <is>
          <t>Output</t>
        </is>
      </c>
      <c r="F339" t="inlineStr">
        <is>
          <t>'='Revenue Matrix'!I15</t>
        </is>
      </c>
      <c r="G339" t="n">
        <v>426.1293532338308</v>
      </c>
      <c r="H339" t="inlineStr"/>
      <c r="I339" t="inlineStr">
        <is>
          <t>0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Values must be of type &lt;class 'str'&gt;</t>
        </is>
      </c>
      <c r="O339" t="inlineStr">
        <is>
          <t>center</t>
        </is>
      </c>
      <c r="P339" t="inlineStr">
        <is>
          <t>center</t>
        </is>
      </c>
      <c r="R339" t="b">
        <v>1</v>
      </c>
      <c r="S339" t="inlineStr">
        <is>
          <t>G000027</t>
        </is>
      </c>
      <c r="T339" t="inlineStr">
        <is>
          <t>Horizontal</t>
        </is>
      </c>
      <c r="U339" t="n">
        <v>6</v>
      </c>
      <c r="V339" t="b">
        <v>1</v>
      </c>
      <c r="W339" t="inlineStr">
        <is>
          <t>Assumptions Sheet!E20:J20</t>
        </is>
      </c>
      <c r="X339">
        <f>'Revenue Matrix'!R[-5]C[0]</f>
        <v/>
      </c>
    </row>
    <row r="340">
      <c r="A340" t="inlineStr">
        <is>
          <t>Assumptions Sheet</t>
        </is>
      </c>
      <c r="B340" t="inlineStr">
        <is>
          <t>J20</t>
        </is>
      </c>
      <c r="C340" t="n">
        <v>20</v>
      </c>
      <c r="D340" t="n">
        <v>10</v>
      </c>
      <c r="E340" t="inlineStr">
        <is>
          <t>Output</t>
        </is>
      </c>
      <c r="F340" t="inlineStr">
        <is>
          <t>'='Revenue Matrix'!J15</t>
        </is>
      </c>
      <c r="G340" t="n">
        <v>458.6806722689076</v>
      </c>
      <c r="H340" t="inlineStr"/>
      <c r="I340" t="inlineStr">
        <is>
          <t>0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inlineStr">
        <is>
          <t>center</t>
        </is>
      </c>
      <c r="P340" t="inlineStr">
        <is>
          <t>center</t>
        </is>
      </c>
      <c r="R340" t="b">
        <v>1</v>
      </c>
      <c r="S340" t="inlineStr">
        <is>
          <t>G000027</t>
        </is>
      </c>
      <c r="T340" t="inlineStr">
        <is>
          <t>Horizontal</t>
        </is>
      </c>
      <c r="U340" t="n">
        <v>6</v>
      </c>
      <c r="V340" t="b">
        <v>1</v>
      </c>
      <c r="W340" t="inlineStr">
        <is>
          <t>Assumptions Sheet!E20:J20</t>
        </is>
      </c>
      <c r="X340">
        <f>'Revenue Matrix'!R[-5]C[0]</f>
        <v/>
      </c>
    </row>
    <row r="341">
      <c r="A341" t="inlineStr">
        <is>
          <t>Assumptions Sheet</t>
        </is>
      </c>
      <c r="B341" t="inlineStr">
        <is>
          <t>K20</t>
        </is>
      </c>
      <c r="C341" t="n">
        <v>20</v>
      </c>
      <c r="D341" t="n">
        <v>11</v>
      </c>
      <c r="E341" t="inlineStr">
        <is>
          <t>Input</t>
        </is>
      </c>
      <c r="F341" t="n">
        <v/>
      </c>
      <c r="G341" t="n">
        <v>460</v>
      </c>
      <c r="H341" t="inlineStr"/>
      <c r="I341" t="inlineStr">
        <is>
          <t>0</t>
        </is>
      </c>
      <c r="J341" t="b">
        <v>0</v>
      </c>
      <c r="K341" t="b">
        <v>0</v>
      </c>
      <c r="L341" t="n">
        <v>11</v>
      </c>
      <c r="M341" t="inlineStr">
        <is>
          <t>FFFF0000</t>
        </is>
      </c>
      <c r="N341" t="inlineStr">
        <is>
          <t>Values must be of type &lt;class 'str'&gt;</t>
        </is>
      </c>
      <c r="O341" t="inlineStr">
        <is>
          <t>center</t>
        </is>
      </c>
      <c r="P341" t="n">
        <v/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Assumptions Sheet</t>
        </is>
      </c>
      <c r="B342" t="inlineStr">
        <is>
          <t>L20</t>
        </is>
      </c>
      <c r="C342" t="n">
        <v>20</v>
      </c>
      <c r="D342" t="n">
        <v>12</v>
      </c>
      <c r="E342" t="inlineStr">
        <is>
          <t>Calculation</t>
        </is>
      </c>
      <c r="F342" t="inlineStr">
        <is>
          <t>'=K20</t>
        </is>
      </c>
      <c r="G342" t="n">
        <v>460</v>
      </c>
      <c r="H342" t="inlineStr"/>
      <c r="I342" t="inlineStr">
        <is>
          <t>0</t>
        </is>
      </c>
      <c r="J342" t="b">
        <v>0</v>
      </c>
      <c r="K342" t="b">
        <v>0</v>
      </c>
      <c r="L342" t="n">
        <v>11</v>
      </c>
      <c r="M342" t="inlineStr">
        <is>
          <t>FFFF0000</t>
        </is>
      </c>
      <c r="N342" t="inlineStr">
        <is>
          <t>Values must be of type &lt;class 'str'&gt;</t>
        </is>
      </c>
      <c r="O342" t="inlineStr">
        <is>
          <t>center</t>
        </is>
      </c>
      <c r="P342" t="n">
        <v/>
      </c>
      <c r="R342" t="b">
        <v>1</v>
      </c>
      <c r="S342" t="inlineStr">
        <is>
          <t>G000007</t>
        </is>
      </c>
      <c r="T342" t="inlineStr">
        <is>
          <t>Horizontal</t>
        </is>
      </c>
      <c r="U342" t="n">
        <v>5</v>
      </c>
      <c r="V342" t="b">
        <v>1</v>
      </c>
      <c r="W342" t="inlineStr">
        <is>
          <t>Assumptions Sheet!L20:P20</t>
        </is>
      </c>
      <c r="X342">
        <f>R[0]C[-1]</f>
        <v/>
      </c>
    </row>
    <row r="343">
      <c r="A343" t="inlineStr">
        <is>
          <t>Assumptions Sheet</t>
        </is>
      </c>
      <c r="B343" t="inlineStr">
        <is>
          <t>M20</t>
        </is>
      </c>
      <c r="C343" t="n">
        <v>20</v>
      </c>
      <c r="D343" t="n">
        <v>13</v>
      </c>
      <c r="E343" t="inlineStr">
        <is>
          <t>Calculation</t>
        </is>
      </c>
      <c r="F343" t="inlineStr">
        <is>
          <t>'=L20</t>
        </is>
      </c>
      <c r="G343" t="n">
        <v>460</v>
      </c>
      <c r="H343" t="inlineStr"/>
      <c r="I343" t="inlineStr">
        <is>
          <t>0</t>
        </is>
      </c>
      <c r="J343" t="b">
        <v>0</v>
      </c>
      <c r="K343" t="b">
        <v>0</v>
      </c>
      <c r="L343" t="n">
        <v>11</v>
      </c>
      <c r="M343" t="inlineStr">
        <is>
          <t>FFFF0000</t>
        </is>
      </c>
      <c r="N343" t="inlineStr">
        <is>
          <t>Values must be of type &lt;class 'str'&gt;</t>
        </is>
      </c>
      <c r="O343" t="inlineStr">
        <is>
          <t>center</t>
        </is>
      </c>
      <c r="P343" t="n">
        <v/>
      </c>
      <c r="R343" t="b">
        <v>1</v>
      </c>
      <c r="S343" t="inlineStr">
        <is>
          <t>G000007</t>
        </is>
      </c>
      <c r="T343" t="inlineStr">
        <is>
          <t>Horizontal</t>
        </is>
      </c>
      <c r="U343" t="n">
        <v>5</v>
      </c>
      <c r="V343" t="b">
        <v>1</v>
      </c>
      <c r="W343" t="inlineStr">
        <is>
          <t>Assumptions Sheet!L20:P20</t>
        </is>
      </c>
      <c r="X343">
        <f>R[0]C[-1]</f>
        <v/>
      </c>
    </row>
    <row r="344">
      <c r="A344" t="inlineStr">
        <is>
          <t>Assumptions Sheet</t>
        </is>
      </c>
      <c r="B344" t="inlineStr">
        <is>
          <t>N20</t>
        </is>
      </c>
      <c r="C344" t="n">
        <v>20</v>
      </c>
      <c r="D344" t="n">
        <v>14</v>
      </c>
      <c r="E344" t="inlineStr">
        <is>
          <t>Calculation</t>
        </is>
      </c>
      <c r="F344" t="inlineStr">
        <is>
          <t>'=M20</t>
        </is>
      </c>
      <c r="G344" t="n">
        <v>460</v>
      </c>
      <c r="H344" t="inlineStr"/>
      <c r="I344" t="inlineStr">
        <is>
          <t>0</t>
        </is>
      </c>
      <c r="J344" t="b">
        <v>0</v>
      </c>
      <c r="K344" t="b">
        <v>0</v>
      </c>
      <c r="L344" t="n">
        <v>11</v>
      </c>
      <c r="M344" t="inlineStr">
        <is>
          <t>FFFF0000</t>
        </is>
      </c>
      <c r="N344" t="inlineStr">
        <is>
          <t>Values must be of type &lt;class 'str'&gt;</t>
        </is>
      </c>
      <c r="O344" t="inlineStr">
        <is>
          <t>center</t>
        </is>
      </c>
      <c r="P344" t="n">
        <v/>
      </c>
      <c r="R344" t="b">
        <v>1</v>
      </c>
      <c r="S344" t="inlineStr">
        <is>
          <t>G000007</t>
        </is>
      </c>
      <c r="T344" t="inlineStr">
        <is>
          <t>Horizontal</t>
        </is>
      </c>
      <c r="U344" t="n">
        <v>5</v>
      </c>
      <c r="V344" t="b">
        <v>1</v>
      </c>
      <c r="W344" t="inlineStr">
        <is>
          <t>Assumptions Sheet!L20:P20</t>
        </is>
      </c>
      <c r="X344">
        <f>R[0]C[-1]</f>
        <v/>
      </c>
    </row>
    <row r="345">
      <c r="A345" t="inlineStr">
        <is>
          <t>Assumptions Sheet</t>
        </is>
      </c>
      <c r="B345" t="inlineStr">
        <is>
          <t>O20</t>
        </is>
      </c>
      <c r="C345" t="n">
        <v>20</v>
      </c>
      <c r="D345" t="n">
        <v>15</v>
      </c>
      <c r="E345" t="inlineStr">
        <is>
          <t>Calculation</t>
        </is>
      </c>
      <c r="F345" t="inlineStr">
        <is>
          <t>'=N20</t>
        </is>
      </c>
      <c r="G345" t="n">
        <v>460</v>
      </c>
      <c r="H345" t="inlineStr"/>
      <c r="I345" t="inlineStr">
        <is>
          <t>0</t>
        </is>
      </c>
      <c r="J345" t="b">
        <v>0</v>
      </c>
      <c r="K345" t="b">
        <v>0</v>
      </c>
      <c r="L345" t="n">
        <v>11</v>
      </c>
      <c r="M345" t="inlineStr">
        <is>
          <t>FFFF0000</t>
        </is>
      </c>
      <c r="N345" t="inlineStr">
        <is>
          <t>Values must be of type &lt;class 'str'&gt;</t>
        </is>
      </c>
      <c r="O345" t="inlineStr">
        <is>
          <t>center</t>
        </is>
      </c>
      <c r="P345" t="n">
        <v/>
      </c>
      <c r="R345" t="b">
        <v>1</v>
      </c>
      <c r="S345" t="inlineStr">
        <is>
          <t>G000007</t>
        </is>
      </c>
      <c r="T345" t="inlineStr">
        <is>
          <t>Horizontal</t>
        </is>
      </c>
      <c r="U345" t="n">
        <v>5</v>
      </c>
      <c r="V345" t="b">
        <v>1</v>
      </c>
      <c r="W345" t="inlineStr">
        <is>
          <t>Assumptions Sheet!L20:P20</t>
        </is>
      </c>
      <c r="X345">
        <f>R[0]C[-1]</f>
        <v/>
      </c>
    </row>
    <row r="346">
      <c r="A346" t="inlineStr">
        <is>
          <t>Assumptions Sheet</t>
        </is>
      </c>
      <c r="B346" t="inlineStr">
        <is>
          <t>P20</t>
        </is>
      </c>
      <c r="C346" t="n">
        <v>20</v>
      </c>
      <c r="D346" t="n">
        <v>16</v>
      </c>
      <c r="E346" t="inlineStr">
        <is>
          <t>Calculation</t>
        </is>
      </c>
      <c r="F346" t="inlineStr">
        <is>
          <t>'=O20</t>
        </is>
      </c>
      <c r="G346" t="n">
        <v>460</v>
      </c>
      <c r="H346" t="inlineStr"/>
      <c r="I346" t="inlineStr">
        <is>
          <t>0</t>
        </is>
      </c>
      <c r="J346" t="b">
        <v>0</v>
      </c>
      <c r="K346" t="b">
        <v>0</v>
      </c>
      <c r="L346" t="n">
        <v>11</v>
      </c>
      <c r="M346" t="inlineStr">
        <is>
          <t>FFFF0000</t>
        </is>
      </c>
      <c r="N346" t="inlineStr">
        <is>
          <t>Values must be of type &lt;class 'str'&gt;</t>
        </is>
      </c>
      <c r="O346" t="inlineStr">
        <is>
          <t>center</t>
        </is>
      </c>
      <c r="P346" t="n">
        <v/>
      </c>
      <c r="R346" t="b">
        <v>1</v>
      </c>
      <c r="S346" t="inlineStr">
        <is>
          <t>G000007</t>
        </is>
      </c>
      <c r="T346" t="inlineStr">
        <is>
          <t>Horizontal</t>
        </is>
      </c>
      <c r="U346" t="n">
        <v>5</v>
      </c>
      <c r="V346" t="b">
        <v>1</v>
      </c>
      <c r="W346" t="inlineStr">
        <is>
          <t>Assumptions Sheet!L20:P20</t>
        </is>
      </c>
      <c r="X346">
        <f>R[0]C[-1]</f>
        <v/>
      </c>
    </row>
    <row r="347">
      <c r="A347" t="inlineStr">
        <is>
          <t>Assumptions Sheet</t>
        </is>
      </c>
      <c r="B347" t="inlineStr">
        <is>
          <t>B21</t>
        </is>
      </c>
      <c r="C347" t="n">
        <v>21</v>
      </c>
      <c r="D347" t="n">
        <v>2</v>
      </c>
      <c r="E347" t="inlineStr">
        <is>
          <t>Input</t>
        </is>
      </c>
      <c r="F347" t="n">
        <v/>
      </c>
      <c r="G347" t="inlineStr">
        <is>
          <t>Average Fare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Values must be of type &lt;class 'str'&gt;</t>
        </is>
      </c>
      <c r="O347" t="inlineStr">
        <is>
          <t>left</t>
        </is>
      </c>
      <c r="P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Assumptions Sheet</t>
        </is>
      </c>
      <c r="B348" t="inlineStr">
        <is>
          <t>C21</t>
        </is>
      </c>
      <c r="C348" t="n">
        <v>21</v>
      </c>
      <c r="D348" t="n">
        <v>3</v>
      </c>
      <c r="E348" t="inlineStr">
        <is>
          <t>Input</t>
        </is>
      </c>
      <c r="F348" t="n">
        <v/>
      </c>
      <c r="G348" t="n">
        <v>3548</v>
      </c>
      <c r="H348" t="inlineStr"/>
      <c r="I348" t="inlineStr">
        <is>
          <t>#,##0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Values must be of type &lt;class 'str'&gt;</t>
        </is>
      </c>
      <c r="O348" t="inlineStr">
        <is>
          <t>center</t>
        </is>
      </c>
      <c r="P348" t="n">
        <v/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Assumptions Sheet</t>
        </is>
      </c>
      <c r="B349" t="inlineStr">
        <is>
          <t>D21</t>
        </is>
      </c>
      <c r="C349" t="n">
        <v>21</v>
      </c>
      <c r="D349" t="n">
        <v>4</v>
      </c>
      <c r="E349" t="inlineStr">
        <is>
          <t>Input</t>
        </is>
      </c>
      <c r="F349" t="n">
        <v/>
      </c>
      <c r="G349" t="n">
        <v>3582</v>
      </c>
      <c r="H349" t="inlineStr"/>
      <c r="I349" t="inlineStr">
        <is>
          <t>#,##0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Values must be of type &lt;class 'str'&gt;</t>
        </is>
      </c>
      <c r="O349" t="inlineStr">
        <is>
          <t>center</t>
        </is>
      </c>
      <c r="P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Assumptions Sheet</t>
        </is>
      </c>
      <c r="B350" t="inlineStr">
        <is>
          <t>E21</t>
        </is>
      </c>
      <c r="C350" t="n">
        <v>21</v>
      </c>
      <c r="D350" t="n">
        <v>5</v>
      </c>
      <c r="E350" t="inlineStr">
        <is>
          <t>Input</t>
        </is>
      </c>
      <c r="F350" t="n">
        <v/>
      </c>
      <c r="G350" t="n">
        <v>3911</v>
      </c>
      <c r="H350" t="inlineStr"/>
      <c r="I350" t="inlineStr">
        <is>
          <t>#,##0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inlineStr">
        <is>
          <t>center</t>
        </is>
      </c>
      <c r="P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Assumptions Sheet</t>
        </is>
      </c>
      <c r="B351" t="inlineStr">
        <is>
          <t>F21</t>
        </is>
      </c>
      <c r="C351" t="n">
        <v>21</v>
      </c>
      <c r="D351" t="n">
        <v>6</v>
      </c>
      <c r="E351" t="inlineStr">
        <is>
          <t>Input</t>
        </is>
      </c>
      <c r="F351" t="n">
        <v/>
      </c>
      <c r="G351" t="n">
        <v>4895</v>
      </c>
      <c r="H351" t="inlineStr"/>
      <c r="I351" t="inlineStr">
        <is>
          <t>#,##0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inlineStr">
        <is>
          <t>center</t>
        </is>
      </c>
      <c r="P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Assumptions Sheet</t>
        </is>
      </c>
      <c r="B352" t="inlineStr">
        <is>
          <t>G21</t>
        </is>
      </c>
      <c r="C352" t="n">
        <v>21</v>
      </c>
      <c r="D352" t="n">
        <v>7</v>
      </c>
      <c r="E352" t="inlineStr">
        <is>
          <t>Input</t>
        </is>
      </c>
      <c r="F352" t="n">
        <v/>
      </c>
      <c r="G352" t="n">
        <v>5071</v>
      </c>
      <c r="H352" t="inlineStr"/>
      <c r="I352" t="inlineStr">
        <is>
          <t>#,##0</t>
        </is>
      </c>
      <c r="J352" t="b">
        <v>0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inlineStr">
        <is>
          <t>center</t>
        </is>
      </c>
      <c r="P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Assumptions Sheet</t>
        </is>
      </c>
      <c r="B353" t="inlineStr">
        <is>
          <t>H21</t>
        </is>
      </c>
      <c r="C353" t="n">
        <v>21</v>
      </c>
      <c r="D353" t="n">
        <v>8</v>
      </c>
      <c r="E353" t="inlineStr">
        <is>
          <t>Input</t>
        </is>
      </c>
      <c r="F353" t="n">
        <v/>
      </c>
      <c r="G353" t="n">
        <v>4882</v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Assumptions Sheet</t>
        </is>
      </c>
      <c r="B354" t="inlineStr">
        <is>
          <t>I21</t>
        </is>
      </c>
      <c r="C354" t="n">
        <v>21</v>
      </c>
      <c r="D354" t="n">
        <v>9</v>
      </c>
      <c r="E354" t="inlineStr">
        <is>
          <t>Input</t>
        </is>
      </c>
      <c r="F354" t="n">
        <v/>
      </c>
      <c r="G354" t="n">
        <v>4248</v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n">
        <v/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Assumptions Sheet</t>
        </is>
      </c>
      <c r="B355" t="inlineStr">
        <is>
          <t>J21</t>
        </is>
      </c>
      <c r="C355" t="n">
        <v>21</v>
      </c>
      <c r="D355" t="n">
        <v>10</v>
      </c>
      <c r="E355" t="inlineStr">
        <is>
          <t>Input</t>
        </is>
      </c>
      <c r="F355" t="n">
        <v/>
      </c>
      <c r="H355" t="inlineStr"/>
      <c r="I355" t="inlineStr">
        <is>
          <t>0.000%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n">
        <v/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Assumptions Sheet</t>
        </is>
      </c>
      <c r="B356" t="inlineStr">
        <is>
          <t>K21</t>
        </is>
      </c>
      <c r="C356" t="n">
        <v>21</v>
      </c>
      <c r="D356" t="n">
        <v>11</v>
      </c>
      <c r="E356" t="inlineStr">
        <is>
          <t>Input</t>
        </is>
      </c>
      <c r="F356" t="n">
        <v/>
      </c>
      <c r="H356" t="inlineStr"/>
      <c r="I356" t="inlineStr">
        <is>
          <t>0%</t>
        </is>
      </c>
      <c r="J356" t="b">
        <v>0</v>
      </c>
      <c r="K356" t="b">
        <v>0</v>
      </c>
      <c r="L356" t="n">
        <v>11</v>
      </c>
      <c r="M356" t="inlineStr">
        <is>
          <t>FFFF0000</t>
        </is>
      </c>
      <c r="N356" t="inlineStr">
        <is>
          <t>Values must be of type &lt;class 'str'&gt;</t>
        </is>
      </c>
      <c r="O356" t="inlineStr">
        <is>
          <t>center</t>
        </is>
      </c>
      <c r="P356" t="n">
        <v/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Assumptions Sheet</t>
        </is>
      </c>
      <c r="B357" t="inlineStr">
        <is>
          <t>L21</t>
        </is>
      </c>
      <c r="C357" t="n">
        <v>21</v>
      </c>
      <c r="D357" t="n">
        <v>12</v>
      </c>
      <c r="E357" t="inlineStr">
        <is>
          <t>Input</t>
        </is>
      </c>
      <c r="F357" t="n">
        <v/>
      </c>
      <c r="H357" t="inlineStr"/>
      <c r="I357" t="inlineStr">
        <is>
          <t>0%</t>
        </is>
      </c>
      <c r="J357" t="b">
        <v>0</v>
      </c>
      <c r="K357" t="b">
        <v>0</v>
      </c>
      <c r="L357" t="n">
        <v>11</v>
      </c>
      <c r="M357" t="inlineStr">
        <is>
          <t>FFFF0000</t>
        </is>
      </c>
      <c r="N357" t="inlineStr">
        <is>
          <t>Values must be of type &lt;class 'str'&gt;</t>
        </is>
      </c>
      <c r="O357" t="inlineStr">
        <is>
          <t>center</t>
        </is>
      </c>
      <c r="P357" t="n">
        <v/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Assumptions Sheet</t>
        </is>
      </c>
      <c r="B358" t="inlineStr">
        <is>
          <t>M21</t>
        </is>
      </c>
      <c r="C358" t="n">
        <v>21</v>
      </c>
      <c r="D358" t="n">
        <v>13</v>
      </c>
      <c r="E358" t="inlineStr">
        <is>
          <t>Input</t>
        </is>
      </c>
      <c r="F358" t="n">
        <v/>
      </c>
      <c r="H358" t="inlineStr"/>
      <c r="I358" t="inlineStr">
        <is>
          <t>0%</t>
        </is>
      </c>
      <c r="J358" t="b">
        <v>0</v>
      </c>
      <c r="K358" t="b">
        <v>0</v>
      </c>
      <c r="L358" t="n">
        <v>11</v>
      </c>
      <c r="M358" t="inlineStr">
        <is>
          <t>FFFF0000</t>
        </is>
      </c>
      <c r="N358" t="inlineStr">
        <is>
          <t>Values must be of type &lt;class 'str'&gt;</t>
        </is>
      </c>
      <c r="O358" t="inlineStr">
        <is>
          <t>center</t>
        </is>
      </c>
      <c r="P358" t="n">
        <v/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Assumptions Sheet</t>
        </is>
      </c>
      <c r="B359" t="inlineStr">
        <is>
          <t>N21</t>
        </is>
      </c>
      <c r="C359" t="n">
        <v>21</v>
      </c>
      <c r="D359" t="n">
        <v>14</v>
      </c>
      <c r="E359" t="inlineStr">
        <is>
          <t>Input</t>
        </is>
      </c>
      <c r="F359" t="n">
        <v/>
      </c>
      <c r="H359" t="inlineStr"/>
      <c r="I359" t="inlineStr">
        <is>
          <t>0%</t>
        </is>
      </c>
      <c r="J359" t="b">
        <v>0</v>
      </c>
      <c r="K359" t="b">
        <v>0</v>
      </c>
      <c r="L359" t="n">
        <v>11</v>
      </c>
      <c r="M359" t="inlineStr">
        <is>
          <t>FFFF0000</t>
        </is>
      </c>
      <c r="N359" t="inlineStr">
        <is>
          <t>Values must be of type &lt;class 'str'&gt;</t>
        </is>
      </c>
      <c r="O359" t="inlineStr">
        <is>
          <t>center</t>
        </is>
      </c>
      <c r="P359" t="n">
        <v/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Assumptions Sheet</t>
        </is>
      </c>
      <c r="B360" t="inlineStr">
        <is>
          <t>O21</t>
        </is>
      </c>
      <c r="C360" t="n">
        <v>21</v>
      </c>
      <c r="D360" t="n">
        <v>15</v>
      </c>
      <c r="E360" t="inlineStr">
        <is>
          <t>Input</t>
        </is>
      </c>
      <c r="F360" t="n">
        <v/>
      </c>
      <c r="H360" t="inlineStr"/>
      <c r="I360" t="inlineStr">
        <is>
          <t>0%</t>
        </is>
      </c>
      <c r="J360" t="b">
        <v>0</v>
      </c>
      <c r="K360" t="b">
        <v>0</v>
      </c>
      <c r="L360" t="n">
        <v>11</v>
      </c>
      <c r="M360" t="inlineStr">
        <is>
          <t>FFFF0000</t>
        </is>
      </c>
      <c r="N360" t="inlineStr">
        <is>
          <t>Values must be of type &lt;class 'str'&gt;</t>
        </is>
      </c>
      <c r="O360" t="inlineStr">
        <is>
          <t>center</t>
        </is>
      </c>
      <c r="P360" t="n">
        <v/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Assumptions Sheet</t>
        </is>
      </c>
      <c r="B361" t="inlineStr">
        <is>
          <t>P21</t>
        </is>
      </c>
      <c r="C361" t="n">
        <v>21</v>
      </c>
      <c r="D361" t="n">
        <v>16</v>
      </c>
      <c r="E361" t="inlineStr">
        <is>
          <t>Input</t>
        </is>
      </c>
      <c r="F361" t="n">
        <v/>
      </c>
      <c r="H361" t="inlineStr"/>
      <c r="I361" t="inlineStr">
        <is>
          <t>0%</t>
        </is>
      </c>
      <c r="J361" t="b">
        <v>0</v>
      </c>
      <c r="K361" t="b">
        <v>0</v>
      </c>
      <c r="L361" t="n">
        <v>11</v>
      </c>
      <c r="M361" t="inlineStr">
        <is>
          <t>FFFF0000</t>
        </is>
      </c>
      <c r="N361" t="inlineStr">
        <is>
          <t>Values must be of type &lt;class 'str'&gt;</t>
        </is>
      </c>
      <c r="O361" t="inlineStr">
        <is>
          <t>center</t>
        </is>
      </c>
      <c r="P361" t="n">
        <v/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Assumptions Sheet</t>
        </is>
      </c>
      <c r="B362" t="inlineStr">
        <is>
          <t>B22</t>
        </is>
      </c>
      <c r="C362" t="n">
        <v>22</v>
      </c>
      <c r="D362" t="n">
        <v>2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inlineStr">
        <is>
          <t>left</t>
        </is>
      </c>
      <c r="P362" t="n">
        <v/>
      </c>
      <c r="Q362" t="b">
        <v>1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Assumptions Sheet</t>
        </is>
      </c>
      <c r="B363" t="inlineStr">
        <is>
          <t>C22</t>
        </is>
      </c>
      <c r="C363" t="n">
        <v>22</v>
      </c>
      <c r="D363" t="n">
        <v>3</v>
      </c>
      <c r="E363" t="inlineStr">
        <is>
          <t>Input</t>
        </is>
      </c>
      <c r="F363" t="n">
        <v/>
      </c>
      <c r="H363" t="inlineStr"/>
      <c r="I363" t="inlineStr">
        <is>
          <t xml:space="preserve">_ * #,##0.00_ ;_ * \-#,##0.00_ ;_ * "-"??_ ;_ @_ 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00000000</t>
        </is>
      </c>
      <c r="O363" t="n">
        <v/>
      </c>
      <c r="P363" t="n">
        <v/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Assumptions Sheet</t>
        </is>
      </c>
      <c r="B364" t="inlineStr">
        <is>
          <t>D22</t>
        </is>
      </c>
      <c r="C364" t="n">
        <v>22</v>
      </c>
      <c r="D364" t="n">
        <v>4</v>
      </c>
      <c r="E364" t="inlineStr">
        <is>
          <t>Input</t>
        </is>
      </c>
      <c r="F364" t="n">
        <v/>
      </c>
      <c r="H364" t="inlineStr"/>
      <c r="I364" t="inlineStr">
        <is>
          <t xml:space="preserve">_ * #,##0.00_ ;_ * \-#,##0.00_ ;_ * "-"??_ ;_ @_ </t>
        </is>
      </c>
      <c r="J364" t="b">
        <v>0</v>
      </c>
      <c r="K364" t="b">
        <v>0</v>
      </c>
      <c r="L364" t="n">
        <v>11</v>
      </c>
      <c r="M364" t="inlineStr">
        <is>
          <t>Values must be of type &lt;class 'str'&gt;</t>
        </is>
      </c>
      <c r="N364" t="inlineStr">
        <is>
          <t>00000000</t>
        </is>
      </c>
      <c r="O364" t="n">
        <v/>
      </c>
      <c r="P364" t="n">
        <v/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Assumptions Sheet</t>
        </is>
      </c>
      <c r="B365" t="inlineStr">
        <is>
          <t>E22</t>
        </is>
      </c>
      <c r="C365" t="n">
        <v>22</v>
      </c>
      <c r="D365" t="n">
        <v>5</v>
      </c>
      <c r="E365" t="inlineStr">
        <is>
          <t>Input</t>
        </is>
      </c>
      <c r="F365" t="n">
        <v/>
      </c>
      <c r="H365" t="inlineStr"/>
      <c r="I365" t="inlineStr">
        <is>
          <t xml:space="preserve">_ * #,##0.00_ ;_ * \-#,##0.00_ ;_ * "-"??_ ;_ @_ </t>
        </is>
      </c>
      <c r="J365" t="b">
        <v>0</v>
      </c>
      <c r="K365" t="b">
        <v>0</v>
      </c>
      <c r="L365" t="n">
        <v>11</v>
      </c>
      <c r="M365" t="inlineStr">
        <is>
          <t>Values must be of type &lt;class 'str'&gt;</t>
        </is>
      </c>
      <c r="N365" t="inlineStr">
        <is>
          <t>00000000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Assumptions Sheet</t>
        </is>
      </c>
      <c r="B366" t="inlineStr">
        <is>
          <t>F22</t>
        </is>
      </c>
      <c r="C366" t="n">
        <v>22</v>
      </c>
      <c r="D366" t="n">
        <v>6</v>
      </c>
      <c r="E366" t="inlineStr">
        <is>
          <t>Input</t>
        </is>
      </c>
      <c r="F366" t="n">
        <v/>
      </c>
      <c r="H366" t="inlineStr"/>
      <c r="I366" t="inlineStr">
        <is>
          <t xml:space="preserve">_ * #,##0.00_ ;_ * \-#,##0.00_ ;_ * "-"??_ ;_ @_ 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n">
        <v/>
      </c>
      <c r="P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Assumptions Sheet</t>
        </is>
      </c>
      <c r="B367" t="inlineStr">
        <is>
          <t>G22</t>
        </is>
      </c>
      <c r="C367" t="n">
        <v>22</v>
      </c>
      <c r="D367" t="n">
        <v>7</v>
      </c>
      <c r="E367" t="inlineStr">
        <is>
          <t>Input</t>
        </is>
      </c>
      <c r="F367" t="n">
        <v/>
      </c>
      <c r="H367" t="inlineStr"/>
      <c r="I367" t="inlineStr">
        <is>
          <t xml:space="preserve">_ * #,##0.00_ ;_ * \-#,##0.00_ ;_ * "-"??_ ;_ @_ 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n">
        <v/>
      </c>
      <c r="P367" t="n">
        <v/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Assumptions Sheet</t>
        </is>
      </c>
      <c r="B368" t="inlineStr">
        <is>
          <t>H22</t>
        </is>
      </c>
      <c r="C368" t="n">
        <v>22</v>
      </c>
      <c r="D368" t="n">
        <v>8</v>
      </c>
      <c r="E368" t="inlineStr">
        <is>
          <t>Input</t>
        </is>
      </c>
      <c r="F368" t="n">
        <v/>
      </c>
      <c r="H368" t="inlineStr"/>
      <c r="I368" t="inlineStr">
        <is>
          <t xml:space="preserve">_ * #,##0.00_ ;_ * \-#,##0.00_ ;_ * "-"??_ ;_ @_ 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n">
        <v/>
      </c>
      <c r="P368" t="n">
        <v/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Assumptions Sheet</t>
        </is>
      </c>
      <c r="B369" t="inlineStr">
        <is>
          <t>I22</t>
        </is>
      </c>
      <c r="C369" t="n">
        <v>22</v>
      </c>
      <c r="D369" t="n">
        <v>9</v>
      </c>
      <c r="E369" t="inlineStr">
        <is>
          <t>Input</t>
        </is>
      </c>
      <c r="F369" t="n">
        <v/>
      </c>
      <c r="H369" t="inlineStr"/>
      <c r="I369" t="inlineStr">
        <is>
          <t xml:space="preserve">_ * #,##0.00_ ;_ * \-#,##0.00_ ;_ * "-"??_ ;_ @_ 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P369" t="n">
        <v/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Assumptions Sheet</t>
        </is>
      </c>
      <c r="B370" t="inlineStr">
        <is>
          <t>J22</t>
        </is>
      </c>
      <c r="C370" t="n">
        <v>22</v>
      </c>
      <c r="D370" t="n">
        <v>10</v>
      </c>
      <c r="E370" t="inlineStr">
        <is>
          <t>Input</t>
        </is>
      </c>
      <c r="F370" t="n">
        <v/>
      </c>
      <c r="H370" t="inlineStr"/>
      <c r="I370" t="inlineStr">
        <is>
          <t xml:space="preserve">_ * #,##0.00_ ;_ * \-#,##0.00_ ;_ * "-"??_ ;_ @_ 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n">
        <v/>
      </c>
      <c r="P370" t="n">
        <v/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Assumptions Sheet</t>
        </is>
      </c>
      <c r="B371" t="inlineStr">
        <is>
          <t>K22</t>
        </is>
      </c>
      <c r="C371" t="n">
        <v>22</v>
      </c>
      <c r="D371" t="n">
        <v>11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11</v>
      </c>
      <c r="M371" t="inlineStr">
        <is>
          <t>FFFF0000</t>
        </is>
      </c>
      <c r="N371" t="inlineStr">
        <is>
          <t>Values must be of type &lt;class 'str'&gt;</t>
        </is>
      </c>
      <c r="O371" t="inlineStr">
        <is>
          <t>center</t>
        </is>
      </c>
      <c r="P371" t="n">
        <v/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Assumptions Sheet</t>
        </is>
      </c>
      <c r="B372" t="inlineStr">
        <is>
          <t>L22</t>
        </is>
      </c>
      <c r="C372" t="n">
        <v>22</v>
      </c>
      <c r="D372" t="n">
        <v>12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11</v>
      </c>
      <c r="M372" t="inlineStr">
        <is>
          <t>FFFF0000</t>
        </is>
      </c>
      <c r="N372" t="inlineStr">
        <is>
          <t>Values must be of type &lt;class 'str'&gt;</t>
        </is>
      </c>
      <c r="O372" t="inlineStr">
        <is>
          <t>center</t>
        </is>
      </c>
      <c r="P372" t="n">
        <v/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Assumptions Sheet</t>
        </is>
      </c>
      <c r="B373" t="inlineStr">
        <is>
          <t>M22</t>
        </is>
      </c>
      <c r="C373" t="n">
        <v>22</v>
      </c>
      <c r="D373" t="n">
        <v>13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FFFF0000</t>
        </is>
      </c>
      <c r="N373" t="inlineStr">
        <is>
          <t>Values must be of type &lt;class 'str'&gt;</t>
        </is>
      </c>
      <c r="O373" t="inlineStr">
        <is>
          <t>center</t>
        </is>
      </c>
      <c r="P373" t="n">
        <v/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Assumptions Sheet</t>
        </is>
      </c>
      <c r="B374" t="inlineStr">
        <is>
          <t>N22</t>
        </is>
      </c>
      <c r="C374" t="n">
        <v>22</v>
      </c>
      <c r="D374" t="n">
        <v>14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FFFF0000</t>
        </is>
      </c>
      <c r="N374" t="inlineStr">
        <is>
          <t>Values must be of type &lt;class 'str'&gt;</t>
        </is>
      </c>
      <c r="O374" t="inlineStr">
        <is>
          <t>center</t>
        </is>
      </c>
      <c r="P374" t="n">
        <v/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Assumptions Sheet</t>
        </is>
      </c>
      <c r="B375" t="inlineStr">
        <is>
          <t>O22</t>
        </is>
      </c>
      <c r="C375" t="n">
        <v>22</v>
      </c>
      <c r="D375" t="n">
        <v>15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FFFF0000</t>
        </is>
      </c>
      <c r="N375" t="inlineStr">
        <is>
          <t>Values must be of type &lt;class 'str'&gt;</t>
        </is>
      </c>
      <c r="O375" t="inlineStr">
        <is>
          <t>center</t>
        </is>
      </c>
      <c r="P375" t="n">
        <v/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Assumptions Sheet</t>
        </is>
      </c>
      <c r="B376" t="inlineStr">
        <is>
          <t>P22</t>
        </is>
      </c>
      <c r="C376" t="n">
        <v>22</v>
      </c>
      <c r="D376" t="n">
        <v>16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FFFF0000</t>
        </is>
      </c>
      <c r="N376" t="inlineStr">
        <is>
          <t>Values must be of type &lt;class 'str'&gt;</t>
        </is>
      </c>
      <c r="O376" t="inlineStr">
        <is>
          <t>center</t>
        </is>
      </c>
      <c r="P376" t="n">
        <v/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Assumptions Sheet</t>
        </is>
      </c>
      <c r="B377" t="inlineStr">
        <is>
          <t>B23</t>
        </is>
      </c>
      <c r="C377" t="n">
        <v>23</v>
      </c>
      <c r="D377" t="n">
        <v>2</v>
      </c>
      <c r="E377" t="inlineStr">
        <is>
          <t>Input</t>
        </is>
      </c>
      <c r="F377" t="n">
        <v/>
      </c>
      <c r="G377" t="inlineStr">
        <is>
          <t>Passenger Revenue</t>
        </is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Values must be of type &lt;class 'str'&gt;</t>
        </is>
      </c>
      <c r="O377" t="inlineStr">
        <is>
          <t>left</t>
        </is>
      </c>
      <c r="P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Assumptions Sheet</t>
        </is>
      </c>
      <c r="B378" t="inlineStr">
        <is>
          <t>C23</t>
        </is>
      </c>
      <c r="C378" t="n">
        <v>23</v>
      </c>
      <c r="D378" t="n">
        <v>3</v>
      </c>
      <c r="E378" t="inlineStr">
        <is>
          <t>Input</t>
        </is>
      </c>
      <c r="F378" t="n">
        <v/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Values must be of type &lt;class 'str'&gt;</t>
        </is>
      </c>
      <c r="O378" t="n">
        <v/>
      </c>
      <c r="P378" t="n">
        <v/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Assumptions Sheet</t>
        </is>
      </c>
      <c r="B379" t="inlineStr">
        <is>
          <t>D23</t>
        </is>
      </c>
      <c r="C379" t="n">
        <v>23</v>
      </c>
      <c r="D379" t="n">
        <v>4</v>
      </c>
      <c r="E379" t="inlineStr">
        <is>
          <t>Input</t>
        </is>
      </c>
      <c r="F379" t="n">
        <v/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n">
        <v/>
      </c>
      <c r="P379" t="n">
        <v/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Assumptions Sheet</t>
        </is>
      </c>
      <c r="B380" t="inlineStr">
        <is>
          <t>E23</t>
        </is>
      </c>
      <c r="C380" t="n">
        <v>23</v>
      </c>
      <c r="D380" t="n">
        <v>5</v>
      </c>
      <c r="E380" t="inlineStr">
        <is>
          <t>Input</t>
        </is>
      </c>
      <c r="F380" t="n">
        <v/>
      </c>
      <c r="H380" t="inlineStr"/>
      <c r="I380" t="inlineStr">
        <is>
          <t>0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n">
        <v/>
      </c>
      <c r="P380" t="n">
        <v/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Assumptions Sheet</t>
        </is>
      </c>
      <c r="B381" t="inlineStr">
        <is>
          <t>F23</t>
        </is>
      </c>
      <c r="C381" t="n">
        <v>23</v>
      </c>
      <c r="D381" t="n">
        <v>6</v>
      </c>
      <c r="E381" t="inlineStr">
        <is>
          <t>Input</t>
        </is>
      </c>
      <c r="F381" t="n">
        <v/>
      </c>
      <c r="H381" t="inlineStr"/>
      <c r="I381" t="inlineStr">
        <is>
          <t>0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n">
        <v/>
      </c>
      <c r="P381" t="n">
        <v/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Assumptions Sheet</t>
        </is>
      </c>
      <c r="B382" t="inlineStr">
        <is>
          <t>G23</t>
        </is>
      </c>
      <c r="C382" t="n">
        <v>23</v>
      </c>
      <c r="D382" t="n">
        <v>7</v>
      </c>
      <c r="E382" t="inlineStr">
        <is>
          <t>Input</t>
        </is>
      </c>
      <c r="F382" t="n">
        <v/>
      </c>
      <c r="H382" t="inlineStr"/>
      <c r="I382" t="inlineStr">
        <is>
          <t>0</t>
        </is>
      </c>
      <c r="J382" t="b">
        <v>0</v>
      </c>
      <c r="K382" t="b">
        <v>0</v>
      </c>
      <c r="L382" t="n">
        <v>11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n">
        <v/>
      </c>
      <c r="P382" t="n">
        <v/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Assumptions Sheet</t>
        </is>
      </c>
      <c r="B383" t="inlineStr">
        <is>
          <t>H23</t>
        </is>
      </c>
      <c r="C383" t="n">
        <v>23</v>
      </c>
      <c r="D383" t="n">
        <v>8</v>
      </c>
      <c r="E383" t="inlineStr">
        <is>
          <t>Input</t>
        </is>
      </c>
      <c r="F383" t="n">
        <v/>
      </c>
      <c r="H383" t="inlineStr"/>
      <c r="I383" t="inlineStr">
        <is>
          <t>0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n">
        <v/>
      </c>
      <c r="P383" t="n">
        <v/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Assumptions Sheet</t>
        </is>
      </c>
      <c r="B384" t="inlineStr">
        <is>
          <t>I23</t>
        </is>
      </c>
      <c r="C384" t="n">
        <v>23</v>
      </c>
      <c r="D384" t="n">
        <v>9</v>
      </c>
      <c r="E384" t="inlineStr">
        <is>
          <t>Input</t>
        </is>
      </c>
      <c r="F384" t="n">
        <v/>
      </c>
      <c r="H384" t="inlineStr"/>
      <c r="I384" t="inlineStr">
        <is>
          <t>0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n">
        <v/>
      </c>
      <c r="P384" t="n">
        <v/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Assumptions Sheet</t>
        </is>
      </c>
      <c r="B385" t="inlineStr">
        <is>
          <t>J23</t>
        </is>
      </c>
      <c r="C385" t="n">
        <v>23</v>
      </c>
      <c r="D385" t="n">
        <v>10</v>
      </c>
      <c r="E385" t="inlineStr">
        <is>
          <t>Input</t>
        </is>
      </c>
      <c r="F385" t="n">
        <v/>
      </c>
      <c r="H385" t="inlineStr"/>
      <c r="I385" t="inlineStr">
        <is>
          <t>0</t>
        </is>
      </c>
      <c r="J385" t="b">
        <v>0</v>
      </c>
      <c r="K385" t="b">
        <v>0</v>
      </c>
      <c r="L385" t="n">
        <v>11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n">
        <v/>
      </c>
      <c r="P385" t="n">
        <v/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Assumptions Sheet</t>
        </is>
      </c>
      <c r="B386" t="inlineStr">
        <is>
          <t>K23</t>
        </is>
      </c>
      <c r="C386" t="n">
        <v>23</v>
      </c>
      <c r="D386" t="n">
        <v>11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11</v>
      </c>
      <c r="M386" t="inlineStr">
        <is>
          <t>FFFF0000</t>
        </is>
      </c>
      <c r="N386" t="inlineStr">
        <is>
          <t>Values must be of type &lt;class 'str'&gt;</t>
        </is>
      </c>
      <c r="O386" t="inlineStr">
        <is>
          <t>center</t>
        </is>
      </c>
      <c r="P386" t="n">
        <v/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Assumptions Sheet</t>
        </is>
      </c>
      <c r="B387" t="inlineStr">
        <is>
          <t>L23</t>
        </is>
      </c>
      <c r="C387" t="n">
        <v>23</v>
      </c>
      <c r="D387" t="n">
        <v>12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FFFF0000</t>
        </is>
      </c>
      <c r="N387" t="inlineStr">
        <is>
          <t>Values must be of type &lt;class 'str'&gt;</t>
        </is>
      </c>
      <c r="O387" t="inlineStr">
        <is>
          <t>center</t>
        </is>
      </c>
      <c r="P387" t="n">
        <v/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Assumptions Sheet</t>
        </is>
      </c>
      <c r="B388" t="inlineStr">
        <is>
          <t>M23</t>
        </is>
      </c>
      <c r="C388" t="n">
        <v>23</v>
      </c>
      <c r="D388" t="n">
        <v>13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11</v>
      </c>
      <c r="M388" t="inlineStr">
        <is>
          <t>FFFF0000</t>
        </is>
      </c>
      <c r="N388" t="inlineStr">
        <is>
          <t>Values must be of type &lt;class 'str'&gt;</t>
        </is>
      </c>
      <c r="O388" t="inlineStr">
        <is>
          <t>center</t>
        </is>
      </c>
      <c r="P388" t="n">
        <v/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Assumptions Sheet</t>
        </is>
      </c>
      <c r="B389" t="inlineStr">
        <is>
          <t>N23</t>
        </is>
      </c>
      <c r="C389" t="n">
        <v>23</v>
      </c>
      <c r="D389" t="n">
        <v>14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FFFF0000</t>
        </is>
      </c>
      <c r="N389" t="inlineStr">
        <is>
          <t>Values must be of type &lt;class 'str'&gt;</t>
        </is>
      </c>
      <c r="O389" t="inlineStr">
        <is>
          <t>center</t>
        </is>
      </c>
      <c r="P389" t="n">
        <v/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Assumptions Sheet</t>
        </is>
      </c>
      <c r="B390" t="inlineStr">
        <is>
          <t>O23</t>
        </is>
      </c>
      <c r="C390" t="n">
        <v>23</v>
      </c>
      <c r="D390" t="n">
        <v>15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11</v>
      </c>
      <c r="M390" t="inlineStr">
        <is>
          <t>FFFF0000</t>
        </is>
      </c>
      <c r="N390" t="inlineStr">
        <is>
          <t>Values must be of type &lt;class 'str'&gt;</t>
        </is>
      </c>
      <c r="O390" t="inlineStr">
        <is>
          <t>center</t>
        </is>
      </c>
      <c r="P390" t="n">
        <v/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Assumptions Sheet</t>
        </is>
      </c>
      <c r="B391" t="inlineStr">
        <is>
          <t>P23</t>
        </is>
      </c>
      <c r="C391" t="n">
        <v>23</v>
      </c>
      <c r="D391" t="n">
        <v>16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11</v>
      </c>
      <c r="M391" t="inlineStr">
        <is>
          <t>FFFF0000</t>
        </is>
      </c>
      <c r="N391" t="inlineStr">
        <is>
          <t>Values must be of type &lt;class 'str'&gt;</t>
        </is>
      </c>
      <c r="O391" t="inlineStr">
        <is>
          <t>center</t>
        </is>
      </c>
      <c r="P391" t="n">
        <v/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Assumptions Sheet</t>
        </is>
      </c>
      <c r="B392" t="inlineStr">
        <is>
          <t>B24</t>
        </is>
      </c>
      <c r="C392" t="n">
        <v>24</v>
      </c>
      <c r="D392" t="n">
        <v>2</v>
      </c>
      <c r="E392" t="inlineStr">
        <is>
          <t>Input</t>
        </is>
      </c>
      <c r="F392" t="n">
        <v/>
      </c>
      <c r="G392" t="inlineStr">
        <is>
          <t>Passenger
ticket revenue</t>
        </is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Values must be of type &lt;class 'str'&gt;</t>
        </is>
      </c>
      <c r="O392" t="inlineStr">
        <is>
          <t>left</t>
        </is>
      </c>
      <c r="P392" t="n">
        <v/>
      </c>
      <c r="R392" t="b">
        <v>1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Assumptions Sheet</t>
        </is>
      </c>
      <c r="B393" t="inlineStr">
        <is>
          <t>C24</t>
        </is>
      </c>
      <c r="C393" t="n">
        <v>24</v>
      </c>
      <c r="D393" t="n">
        <v>3</v>
      </c>
      <c r="E393" t="inlineStr">
        <is>
          <t>Input</t>
        </is>
      </c>
      <c r="F393" t="n">
        <v/>
      </c>
      <c r="G393" t="n">
        <v>23259.89</v>
      </c>
      <c r="H393" t="inlineStr"/>
      <c r="I393" t="inlineStr">
        <is>
          <t>#,##0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Values must be of type &lt;class 'str'&gt;</t>
        </is>
      </c>
      <c r="O393" t="inlineStr">
        <is>
          <t>center</t>
        </is>
      </c>
      <c r="P393" t="n">
        <v/>
      </c>
      <c r="R393" t="b">
        <v>1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Assumptions Sheet</t>
        </is>
      </c>
      <c r="B394" t="inlineStr">
        <is>
          <t>D24</t>
        </is>
      </c>
      <c r="C394" t="n">
        <v>24</v>
      </c>
      <c r="D394" t="n">
        <v>4</v>
      </c>
      <c r="E394" t="inlineStr">
        <is>
          <t>Input</t>
        </is>
      </c>
      <c r="F394" t="n">
        <v/>
      </c>
      <c r="G394" t="n">
        <v>33909.86</v>
      </c>
      <c r="H394" t="inlineStr"/>
      <c r="I394" t="inlineStr">
        <is>
          <t>#,##0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Values must be of type &lt;class 'str'&gt;</t>
        </is>
      </c>
      <c r="O394" t="inlineStr">
        <is>
          <t>center</t>
        </is>
      </c>
      <c r="P394" t="n">
        <v/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Assumptions Sheet</t>
        </is>
      </c>
      <c r="B395" t="inlineStr">
        <is>
          <t>E24</t>
        </is>
      </c>
      <c r="C395" t="n">
        <v>24</v>
      </c>
      <c r="D395" t="n">
        <v>5</v>
      </c>
      <c r="E395" t="inlineStr">
        <is>
          <t>Input</t>
        </is>
      </c>
      <c r="F395" t="n">
        <v/>
      </c>
      <c r="G395" t="n">
        <v>49873.04</v>
      </c>
      <c r="H395" t="inlineStr"/>
      <c r="I395" t="inlineStr">
        <is>
          <t>#,##0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Values must be of type &lt;class 'str'&gt;</t>
        </is>
      </c>
      <c r="O395" t="inlineStr">
        <is>
          <t>center</t>
        </is>
      </c>
      <c r="P395" t="n">
        <v/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Assumptions Sheet</t>
        </is>
      </c>
      <c r="B396" t="inlineStr">
        <is>
          <t>F24</t>
        </is>
      </c>
      <c r="C396" t="n">
        <v>24</v>
      </c>
      <c r="D396" t="n">
        <v>6</v>
      </c>
      <c r="E396" t="inlineStr">
        <is>
          <t>Input</t>
        </is>
      </c>
      <c r="F396" t="n">
        <v/>
      </c>
      <c r="G396" t="n">
        <v>82666.57000000001</v>
      </c>
      <c r="H396" t="inlineStr"/>
      <c r="I396" t="inlineStr">
        <is>
          <t>#,##0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inlineStr">
        <is>
          <t>center</t>
        </is>
      </c>
      <c r="P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Assumptions Sheet</t>
        </is>
      </c>
      <c r="B397" t="inlineStr">
        <is>
          <t>G24</t>
        </is>
      </c>
      <c r="C397" t="n">
        <v>24</v>
      </c>
      <c r="D397" t="n">
        <v>7</v>
      </c>
      <c r="E397" t="inlineStr">
        <is>
          <t>Input</t>
        </is>
      </c>
      <c r="F397" t="n">
        <v/>
      </c>
      <c r="G397" t="n">
        <v>99239.83</v>
      </c>
      <c r="H397" t="inlineStr"/>
      <c r="I397" t="inlineStr">
        <is>
          <t>#,##0</t>
        </is>
      </c>
      <c r="J397" t="b">
        <v>0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inlineStr">
        <is>
          <t>center</t>
        </is>
      </c>
      <c r="P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Assumptions Sheet</t>
        </is>
      </c>
      <c r="B398" t="inlineStr">
        <is>
          <t>H24</t>
        </is>
      </c>
      <c r="C398" t="n">
        <v>24</v>
      </c>
      <c r="D398" t="n">
        <v>8</v>
      </c>
      <c r="E398" t="inlineStr">
        <is>
          <t>Input</t>
        </is>
      </c>
      <c r="F398" t="n">
        <v/>
      </c>
      <c r="G398" t="n">
        <v>122939</v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Values must be of type &lt;class 'str'&gt;</t>
        </is>
      </c>
      <c r="O398" t="inlineStr">
        <is>
          <t>center</t>
        </is>
      </c>
      <c r="P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Assumptions Sheet</t>
        </is>
      </c>
      <c r="B399" t="inlineStr">
        <is>
          <t>I24</t>
        </is>
      </c>
      <c r="C399" t="n">
        <v>24</v>
      </c>
      <c r="D399" t="n">
        <v>9</v>
      </c>
      <c r="E399" t="inlineStr">
        <is>
          <t>Input</t>
        </is>
      </c>
      <c r="F399" t="n">
        <v/>
      </c>
      <c r="G399" t="n">
        <v>140624.22</v>
      </c>
      <c r="H399" t="inlineStr"/>
      <c r="I399" t="inlineStr">
        <is>
          <t>#,##0</t>
        </is>
      </c>
      <c r="J399" t="b">
        <v>0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n">
        <v/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Assumptions Sheet</t>
        </is>
      </c>
      <c r="B400" t="inlineStr">
        <is>
          <t>J24</t>
        </is>
      </c>
      <c r="C400" t="n">
        <v>24</v>
      </c>
      <c r="D400" t="n">
        <v>10</v>
      </c>
      <c r="E400" t="inlineStr">
        <is>
          <t>Input</t>
        </is>
      </c>
      <c r="F400" t="n">
        <v/>
      </c>
      <c r="G400" t="n">
        <v>161970.72</v>
      </c>
      <c r="H400" t="inlineStr"/>
      <c r="I400" t="inlineStr">
        <is>
          <t>0</t>
        </is>
      </c>
      <c r="J400" t="b">
        <v>0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n">
        <v/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Assumptions Sheet</t>
        </is>
      </c>
      <c r="B401" t="inlineStr">
        <is>
          <t>K24</t>
        </is>
      </c>
      <c r="C401" t="n">
        <v>24</v>
      </c>
      <c r="D401" t="n">
        <v>11</v>
      </c>
      <c r="E401" t="inlineStr">
        <is>
          <t>Calculation</t>
        </is>
      </c>
      <c r="F401" t="inlineStr">
        <is>
          <t>'=K7*K4</t>
        </is>
      </c>
      <c r="G401" t="n">
        <v>217131.174</v>
      </c>
      <c r="H401" t="inlineStr"/>
      <c r="I401" t="inlineStr">
        <is>
          <t>0</t>
        </is>
      </c>
      <c r="J401" t="b">
        <v>0</v>
      </c>
      <c r="K401" t="b">
        <v>0</v>
      </c>
      <c r="L401" t="n">
        <v>11</v>
      </c>
      <c r="M401" t="inlineStr">
        <is>
          <t>FFFF0000</t>
        </is>
      </c>
      <c r="N401" t="inlineStr">
        <is>
          <t>Values must be of type &lt;class 'str'&gt;</t>
        </is>
      </c>
      <c r="O401" t="inlineStr">
        <is>
          <t>center</t>
        </is>
      </c>
      <c r="P401" t="n">
        <v/>
      </c>
      <c r="R401" t="b">
        <v>1</v>
      </c>
      <c r="S401" t="inlineStr">
        <is>
          <t>G000028</t>
        </is>
      </c>
      <c r="T401" t="inlineStr">
        <is>
          <t>Horizontal</t>
        </is>
      </c>
      <c r="U401" t="n">
        <v>6</v>
      </c>
      <c r="V401" t="b">
        <v>1</v>
      </c>
      <c r="W401" t="inlineStr">
        <is>
          <t>Assumptions Sheet!K24:P24</t>
        </is>
      </c>
      <c r="X401">
        <f>R[-17]C[0]*R[-20]C[0]</f>
        <v/>
      </c>
    </row>
    <row r="402">
      <c r="A402" t="inlineStr">
        <is>
          <t>Assumptions Sheet</t>
        </is>
      </c>
      <c r="B402" t="inlineStr">
        <is>
          <t>L24</t>
        </is>
      </c>
      <c r="C402" t="n">
        <v>24</v>
      </c>
      <c r="D402" t="n">
        <v>12</v>
      </c>
      <c r="E402" t="inlineStr">
        <is>
          <t>Calculation</t>
        </is>
      </c>
      <c r="F402" t="inlineStr">
        <is>
          <t>'=L7*L4</t>
        </is>
      </c>
      <c r="G402" t="n">
        <v>260557.4087999999</v>
      </c>
      <c r="H402" t="inlineStr"/>
      <c r="I402" t="inlineStr">
        <is>
          <t>0</t>
        </is>
      </c>
      <c r="J402" t="b">
        <v>0</v>
      </c>
      <c r="K402" t="b">
        <v>0</v>
      </c>
      <c r="L402" t="n">
        <v>11</v>
      </c>
      <c r="M402" t="inlineStr">
        <is>
          <t>FFFF0000</t>
        </is>
      </c>
      <c r="N402" t="inlineStr">
        <is>
          <t>Values must be of type &lt;class 'str'&gt;</t>
        </is>
      </c>
      <c r="O402" t="inlineStr">
        <is>
          <t>center</t>
        </is>
      </c>
      <c r="P402" t="n">
        <v/>
      </c>
      <c r="R402" t="b">
        <v>1</v>
      </c>
      <c r="S402" t="inlineStr">
        <is>
          <t>G000028</t>
        </is>
      </c>
      <c r="T402" t="inlineStr">
        <is>
          <t>Horizontal</t>
        </is>
      </c>
      <c r="U402" t="n">
        <v>6</v>
      </c>
      <c r="V402" t="b">
        <v>1</v>
      </c>
      <c r="W402" t="inlineStr">
        <is>
          <t>Assumptions Sheet!K24:P24</t>
        </is>
      </c>
      <c r="X402">
        <f>R[-17]C[0]*R[-20]C[0]</f>
        <v/>
      </c>
    </row>
    <row r="403">
      <c r="A403" t="inlineStr">
        <is>
          <t>Assumptions Sheet</t>
        </is>
      </c>
      <c r="B403" t="inlineStr">
        <is>
          <t>M24</t>
        </is>
      </c>
      <c r="C403" t="n">
        <v>24</v>
      </c>
      <c r="D403" t="n">
        <v>13</v>
      </c>
      <c r="E403" t="inlineStr">
        <is>
          <t>Calculation</t>
        </is>
      </c>
      <c r="F403" t="inlineStr">
        <is>
          <t>'=M7*M4</t>
        </is>
      </c>
      <c r="G403" t="n">
        <v>312668.8905599999</v>
      </c>
      <c r="H403" t="inlineStr"/>
      <c r="I403" t="inlineStr">
        <is>
          <t>0</t>
        </is>
      </c>
      <c r="J403" t="b">
        <v>0</v>
      </c>
      <c r="K403" t="b">
        <v>0</v>
      </c>
      <c r="L403" t="n">
        <v>11</v>
      </c>
      <c r="M403" t="inlineStr">
        <is>
          <t>FFFF0000</t>
        </is>
      </c>
      <c r="N403" t="inlineStr">
        <is>
          <t>Values must be of type &lt;class 'str'&gt;</t>
        </is>
      </c>
      <c r="O403" t="inlineStr">
        <is>
          <t>center</t>
        </is>
      </c>
      <c r="P403" t="n">
        <v/>
      </c>
      <c r="R403" t="b">
        <v>1</v>
      </c>
      <c r="S403" t="inlineStr">
        <is>
          <t>G000028</t>
        </is>
      </c>
      <c r="T403" t="inlineStr">
        <is>
          <t>Horizontal</t>
        </is>
      </c>
      <c r="U403" t="n">
        <v>6</v>
      </c>
      <c r="V403" t="b">
        <v>1</v>
      </c>
      <c r="W403" t="inlineStr">
        <is>
          <t>Assumptions Sheet!K24:P24</t>
        </is>
      </c>
      <c r="X403">
        <f>R[-17]C[0]*R[-20]C[0]</f>
        <v/>
      </c>
    </row>
    <row r="404">
      <c r="A404" t="inlineStr">
        <is>
          <t>Assumptions Sheet</t>
        </is>
      </c>
      <c r="B404" t="inlineStr">
        <is>
          <t>N24</t>
        </is>
      </c>
      <c r="C404" t="n">
        <v>24</v>
      </c>
      <c r="D404" t="n">
        <v>14</v>
      </c>
      <c r="E404" t="inlineStr">
        <is>
          <t>Calculation</t>
        </is>
      </c>
      <c r="F404" t="inlineStr">
        <is>
          <t>'=N7*N4</t>
        </is>
      </c>
      <c r="G404" t="n">
        <v>375202.6686719999</v>
      </c>
      <c r="H404" t="inlineStr"/>
      <c r="I404" t="inlineStr">
        <is>
          <t>0</t>
        </is>
      </c>
      <c r="J404" t="b">
        <v>0</v>
      </c>
      <c r="K404" t="b">
        <v>0</v>
      </c>
      <c r="L404" t="n">
        <v>11</v>
      </c>
      <c r="M404" t="inlineStr">
        <is>
          <t>FFFF0000</t>
        </is>
      </c>
      <c r="N404" t="inlineStr">
        <is>
          <t>Values must be of type &lt;class 'str'&gt;</t>
        </is>
      </c>
      <c r="O404" t="inlineStr">
        <is>
          <t>center</t>
        </is>
      </c>
      <c r="P404" t="n">
        <v/>
      </c>
      <c r="R404" t="b">
        <v>1</v>
      </c>
      <c r="S404" t="inlineStr">
        <is>
          <t>G000028</t>
        </is>
      </c>
      <c r="T404" t="inlineStr">
        <is>
          <t>Horizontal</t>
        </is>
      </c>
      <c r="U404" t="n">
        <v>6</v>
      </c>
      <c r="V404" t="b">
        <v>1</v>
      </c>
      <c r="W404" t="inlineStr">
        <is>
          <t>Assumptions Sheet!K24:P24</t>
        </is>
      </c>
      <c r="X404">
        <f>R[-17]C[0]*R[-20]C[0]</f>
        <v/>
      </c>
    </row>
    <row r="405">
      <c r="A405" t="inlineStr">
        <is>
          <t>Assumptions Sheet</t>
        </is>
      </c>
      <c r="B405" t="inlineStr">
        <is>
          <t>O24</t>
        </is>
      </c>
      <c r="C405" t="n">
        <v>24</v>
      </c>
      <c r="D405" t="n">
        <v>15</v>
      </c>
      <c r="E405" t="inlineStr">
        <is>
          <t>Calculation</t>
        </is>
      </c>
      <c r="F405" t="inlineStr">
        <is>
          <t>'=O7*O4</t>
        </is>
      </c>
      <c r="G405" t="n">
        <v>450243.2024063999</v>
      </c>
      <c r="H405" t="inlineStr"/>
      <c r="I405" t="inlineStr">
        <is>
          <t>0</t>
        </is>
      </c>
      <c r="J405" t="b">
        <v>0</v>
      </c>
      <c r="K405" t="b">
        <v>0</v>
      </c>
      <c r="L405" t="n">
        <v>11</v>
      </c>
      <c r="M405" t="inlineStr">
        <is>
          <t>FFFF0000</t>
        </is>
      </c>
      <c r="N405" t="inlineStr">
        <is>
          <t>Values must be of type &lt;class 'str'&gt;</t>
        </is>
      </c>
      <c r="O405" t="inlineStr">
        <is>
          <t>center</t>
        </is>
      </c>
      <c r="P405" t="n">
        <v/>
      </c>
      <c r="R405" t="b">
        <v>1</v>
      </c>
      <c r="S405" t="inlineStr">
        <is>
          <t>G000028</t>
        </is>
      </c>
      <c r="T405" t="inlineStr">
        <is>
          <t>Horizontal</t>
        </is>
      </c>
      <c r="U405" t="n">
        <v>6</v>
      </c>
      <c r="V405" t="b">
        <v>1</v>
      </c>
      <c r="W405" t="inlineStr">
        <is>
          <t>Assumptions Sheet!K24:P24</t>
        </is>
      </c>
      <c r="X405">
        <f>R[-17]C[0]*R[-20]C[0]</f>
        <v/>
      </c>
    </row>
    <row r="406">
      <c r="A406" t="inlineStr">
        <is>
          <t>Assumptions Sheet</t>
        </is>
      </c>
      <c r="B406" t="inlineStr">
        <is>
          <t>P24</t>
        </is>
      </c>
      <c r="C406" t="n">
        <v>24</v>
      </c>
      <c r="D406" t="n">
        <v>16</v>
      </c>
      <c r="E406" t="inlineStr">
        <is>
          <t>Calculation</t>
        </is>
      </c>
      <c r="F406" t="inlineStr">
        <is>
          <t>'=P7*P4</t>
        </is>
      </c>
      <c r="G406" t="n">
        <v>540291.8428876799</v>
      </c>
      <c r="H406" t="inlineStr"/>
      <c r="I406" t="inlineStr">
        <is>
          <t>0</t>
        </is>
      </c>
      <c r="J406" t="b">
        <v>0</v>
      </c>
      <c r="K406" t="b">
        <v>0</v>
      </c>
      <c r="L406" t="n">
        <v>11</v>
      </c>
      <c r="M406" t="inlineStr">
        <is>
          <t>FFFF0000</t>
        </is>
      </c>
      <c r="N406" t="inlineStr">
        <is>
          <t>Values must be of type &lt;class 'str'&gt;</t>
        </is>
      </c>
      <c r="O406" t="inlineStr">
        <is>
          <t>center</t>
        </is>
      </c>
      <c r="P406" t="n">
        <v/>
      </c>
      <c r="R406" t="b">
        <v>1</v>
      </c>
      <c r="S406" t="inlineStr">
        <is>
          <t>G000028</t>
        </is>
      </c>
      <c r="T406" t="inlineStr">
        <is>
          <t>Horizontal</t>
        </is>
      </c>
      <c r="U406" t="n">
        <v>6</v>
      </c>
      <c r="V406" t="b">
        <v>1</v>
      </c>
      <c r="W406" t="inlineStr">
        <is>
          <t>Assumptions Sheet!K24:P24</t>
        </is>
      </c>
      <c r="X406">
        <f>R[-17]C[0]*R[-20]C[0]</f>
        <v/>
      </c>
    </row>
    <row r="407">
      <c r="A407" t="inlineStr">
        <is>
          <t>Assumptions Sheet</t>
        </is>
      </c>
      <c r="B407" t="inlineStr">
        <is>
          <t>Q24</t>
        </is>
      </c>
      <c r="C407" t="n">
        <v>24</v>
      </c>
      <c r="D407" t="n">
        <v>17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1</v>
      </c>
      <c r="L407" t="n">
        <v>11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n">
        <v/>
      </c>
      <c r="P407" t="n">
        <v/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Assumptions Sheet</t>
        </is>
      </c>
      <c r="B408" t="inlineStr">
        <is>
          <t>B25</t>
        </is>
      </c>
      <c r="C408" t="n">
        <v>25</v>
      </c>
      <c r="D408" t="n">
        <v>2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inlineStr">
        <is>
          <t>left</t>
        </is>
      </c>
      <c r="P408" t="n">
        <v/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Assumptions Sheet</t>
        </is>
      </c>
      <c r="B409" t="inlineStr">
        <is>
          <t>C25</t>
        </is>
      </c>
      <c r="C409" t="n">
        <v>25</v>
      </c>
      <c r="D409" t="n">
        <v>3</v>
      </c>
      <c r="E409" t="inlineStr">
        <is>
          <t>Input</t>
        </is>
      </c>
      <c r="F409" t="n">
        <v/>
      </c>
      <c r="H409" t="inlineStr"/>
      <c r="I409" t="inlineStr">
        <is>
          <t>0.00%</t>
        </is>
      </c>
      <c r="J409" t="b">
        <v>0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Values must be of type &lt;class 'str'&gt;</t>
        </is>
      </c>
      <c r="O409" t="inlineStr">
        <is>
          <t>center</t>
        </is>
      </c>
      <c r="P409" t="n">
        <v/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Assumptions Sheet</t>
        </is>
      </c>
      <c r="B410" t="inlineStr">
        <is>
          <t>D25</t>
        </is>
      </c>
      <c r="C410" t="n">
        <v>25</v>
      </c>
      <c r="D410" t="n">
        <v>4</v>
      </c>
      <c r="E410" t="inlineStr">
        <is>
          <t>Input</t>
        </is>
      </c>
      <c r="F410" t="n">
        <v/>
      </c>
      <c r="H410" t="inlineStr"/>
      <c r="I410" t="inlineStr">
        <is>
          <t>0.00%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Values must be of type &lt;class 'str'&gt;</t>
        </is>
      </c>
      <c r="O410" t="inlineStr">
        <is>
          <t>center</t>
        </is>
      </c>
      <c r="P410" t="n">
        <v/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Assumptions Sheet</t>
        </is>
      </c>
      <c r="B411" t="inlineStr">
        <is>
          <t>E25</t>
        </is>
      </c>
      <c r="C411" t="n">
        <v>25</v>
      </c>
      <c r="D411" t="n">
        <v>5</v>
      </c>
      <c r="E411" t="inlineStr">
        <is>
          <t>Input</t>
        </is>
      </c>
      <c r="F411" t="n">
        <v/>
      </c>
      <c r="H411" t="inlineStr"/>
      <c r="I411" t="inlineStr">
        <is>
          <t>0.00%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inlineStr">
        <is>
          <t>center</t>
        </is>
      </c>
      <c r="P411" t="n">
        <v/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Assumptions Sheet</t>
        </is>
      </c>
      <c r="B412" t="inlineStr">
        <is>
          <t>F25</t>
        </is>
      </c>
      <c r="C412" t="n">
        <v>25</v>
      </c>
      <c r="D412" t="n">
        <v>6</v>
      </c>
      <c r="E412" t="inlineStr">
        <is>
          <t>Input</t>
        </is>
      </c>
      <c r="F412" t="n">
        <v/>
      </c>
      <c r="H412" t="inlineStr"/>
      <c r="I412" t="inlineStr">
        <is>
          <t>0.00%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center</t>
        </is>
      </c>
      <c r="P412" t="n">
        <v/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Assumptions Sheet</t>
        </is>
      </c>
      <c r="B413" t="inlineStr">
        <is>
          <t>G25</t>
        </is>
      </c>
      <c r="C413" t="n">
        <v>25</v>
      </c>
      <c r="D413" t="n">
        <v>7</v>
      </c>
      <c r="E413" t="inlineStr">
        <is>
          <t>Input</t>
        </is>
      </c>
      <c r="F413" t="n">
        <v/>
      </c>
      <c r="H413" t="inlineStr"/>
      <c r="I413" t="inlineStr">
        <is>
          <t>0.00%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inlineStr">
        <is>
          <t>center</t>
        </is>
      </c>
      <c r="P413" t="n">
        <v/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Assumptions Sheet</t>
        </is>
      </c>
      <c r="B414" t="inlineStr">
        <is>
          <t>H25</t>
        </is>
      </c>
      <c r="C414" t="n">
        <v>25</v>
      </c>
      <c r="D414" t="n">
        <v>8</v>
      </c>
      <c r="E414" t="inlineStr">
        <is>
          <t>Input</t>
        </is>
      </c>
      <c r="F414" t="n">
        <v/>
      </c>
      <c r="H414" t="inlineStr"/>
      <c r="I414" t="inlineStr">
        <is>
          <t>0.00%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inlineStr">
        <is>
          <t>center</t>
        </is>
      </c>
      <c r="P414" t="n">
        <v/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Assumptions Sheet</t>
        </is>
      </c>
      <c r="B415" t="inlineStr">
        <is>
          <t>I25</t>
        </is>
      </c>
      <c r="C415" t="n">
        <v>25</v>
      </c>
      <c r="D415" t="n">
        <v>9</v>
      </c>
      <c r="E415" t="inlineStr">
        <is>
          <t>Input</t>
        </is>
      </c>
      <c r="F415" t="n">
        <v/>
      </c>
      <c r="H415" t="inlineStr"/>
      <c r="I415" t="inlineStr">
        <is>
          <t>0.00%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center</t>
        </is>
      </c>
      <c r="P415" t="n">
        <v/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Assumptions Sheet</t>
        </is>
      </c>
      <c r="B416" t="inlineStr">
        <is>
          <t>J25</t>
        </is>
      </c>
      <c r="C416" t="n">
        <v>25</v>
      </c>
      <c r="D416" t="n">
        <v>10</v>
      </c>
      <c r="E416" t="inlineStr">
        <is>
          <t>Input</t>
        </is>
      </c>
      <c r="F416" t="n">
        <v/>
      </c>
      <c r="H416" t="inlineStr"/>
      <c r="I416" t="inlineStr">
        <is>
          <t>0.00%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inlineStr">
        <is>
          <t>center</t>
        </is>
      </c>
      <c r="P416" t="n">
        <v/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Assumptions Sheet</t>
        </is>
      </c>
      <c r="B417" t="inlineStr">
        <is>
          <t>K25</t>
        </is>
      </c>
      <c r="C417" t="n">
        <v>25</v>
      </c>
      <c r="D417" t="n">
        <v>11</v>
      </c>
      <c r="E417" t="inlineStr">
        <is>
          <t>Input</t>
        </is>
      </c>
      <c r="F417" t="n">
        <v/>
      </c>
      <c r="H417" t="inlineStr"/>
      <c r="I417" t="inlineStr">
        <is>
          <t>0</t>
        </is>
      </c>
      <c r="J417" t="b">
        <v>0</v>
      </c>
      <c r="K417" t="b">
        <v>0</v>
      </c>
      <c r="L417" t="n">
        <v>11</v>
      </c>
      <c r="M417" t="inlineStr">
        <is>
          <t>FFFF0000</t>
        </is>
      </c>
      <c r="N417" t="inlineStr">
        <is>
          <t>Values must be of type &lt;class 'str'&gt;</t>
        </is>
      </c>
      <c r="O417" t="inlineStr">
        <is>
          <t>center</t>
        </is>
      </c>
      <c r="P417" t="n">
        <v/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Assumptions Sheet</t>
        </is>
      </c>
      <c r="B418" t="inlineStr">
        <is>
          <t>L25</t>
        </is>
      </c>
      <c r="C418" t="n">
        <v>25</v>
      </c>
      <c r="D418" t="n">
        <v>12</v>
      </c>
      <c r="E418" t="inlineStr">
        <is>
          <t>Input</t>
        </is>
      </c>
      <c r="F418" t="n">
        <v/>
      </c>
      <c r="H418" t="inlineStr"/>
      <c r="I418" t="inlineStr">
        <is>
          <t>0</t>
        </is>
      </c>
      <c r="J418" t="b">
        <v>0</v>
      </c>
      <c r="K418" t="b">
        <v>0</v>
      </c>
      <c r="L418" t="n">
        <v>11</v>
      </c>
      <c r="M418" t="inlineStr">
        <is>
          <t>FFFF0000</t>
        </is>
      </c>
      <c r="N418" t="inlineStr">
        <is>
          <t>Values must be of type &lt;class 'str'&gt;</t>
        </is>
      </c>
      <c r="O418" t="inlineStr">
        <is>
          <t>center</t>
        </is>
      </c>
      <c r="P418" t="n">
        <v/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Assumptions Sheet</t>
        </is>
      </c>
      <c r="B419" t="inlineStr">
        <is>
          <t>M25</t>
        </is>
      </c>
      <c r="C419" t="n">
        <v>25</v>
      </c>
      <c r="D419" t="n">
        <v>13</v>
      </c>
      <c r="E419" t="inlineStr">
        <is>
          <t>Input</t>
        </is>
      </c>
      <c r="F419" t="n">
        <v/>
      </c>
      <c r="H419" t="inlineStr"/>
      <c r="I419" t="inlineStr">
        <is>
          <t>0</t>
        </is>
      </c>
      <c r="J419" t="b">
        <v>0</v>
      </c>
      <c r="K419" t="b">
        <v>0</v>
      </c>
      <c r="L419" t="n">
        <v>11</v>
      </c>
      <c r="M419" t="inlineStr">
        <is>
          <t>FFFF0000</t>
        </is>
      </c>
      <c r="N419" t="inlineStr">
        <is>
          <t>Values must be of type &lt;class 'str'&gt;</t>
        </is>
      </c>
      <c r="O419" t="inlineStr">
        <is>
          <t>center</t>
        </is>
      </c>
      <c r="P419" t="n">
        <v/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Assumptions Sheet</t>
        </is>
      </c>
      <c r="B420" t="inlineStr">
        <is>
          <t>N25</t>
        </is>
      </c>
      <c r="C420" t="n">
        <v>25</v>
      </c>
      <c r="D420" t="n">
        <v>14</v>
      </c>
      <c r="E420" t="inlineStr">
        <is>
          <t>Input</t>
        </is>
      </c>
      <c r="F420" t="n">
        <v/>
      </c>
      <c r="H420" t="inlineStr"/>
      <c r="I420" t="inlineStr">
        <is>
          <t>0</t>
        </is>
      </c>
      <c r="J420" t="b">
        <v>0</v>
      </c>
      <c r="K420" t="b">
        <v>0</v>
      </c>
      <c r="L420" t="n">
        <v>11</v>
      </c>
      <c r="M420" t="inlineStr">
        <is>
          <t>FFFF0000</t>
        </is>
      </c>
      <c r="N420" t="inlineStr">
        <is>
          <t>Values must be of type &lt;class 'str'&gt;</t>
        </is>
      </c>
      <c r="O420" t="inlineStr">
        <is>
          <t>center</t>
        </is>
      </c>
      <c r="P420" t="n">
        <v/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Assumptions Sheet</t>
        </is>
      </c>
      <c r="B421" t="inlineStr">
        <is>
          <t>O25</t>
        </is>
      </c>
      <c r="C421" t="n">
        <v>25</v>
      </c>
      <c r="D421" t="n">
        <v>15</v>
      </c>
      <c r="E421" t="inlineStr">
        <is>
          <t>Input</t>
        </is>
      </c>
      <c r="F421" t="n">
        <v/>
      </c>
      <c r="H421" t="inlineStr"/>
      <c r="I421" t="inlineStr">
        <is>
          <t>0</t>
        </is>
      </c>
      <c r="J421" t="b">
        <v>0</v>
      </c>
      <c r="K421" t="b">
        <v>0</v>
      </c>
      <c r="L421" t="n">
        <v>11</v>
      </c>
      <c r="M421" t="inlineStr">
        <is>
          <t>FFFF0000</t>
        </is>
      </c>
      <c r="N421" t="inlineStr">
        <is>
          <t>Values must be of type &lt;class 'str'&gt;</t>
        </is>
      </c>
      <c r="O421" t="inlineStr">
        <is>
          <t>center</t>
        </is>
      </c>
      <c r="P421" t="n">
        <v/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</row>
    <row r="422">
      <c r="A422" t="inlineStr">
        <is>
          <t>Assumptions Sheet</t>
        </is>
      </c>
      <c r="B422" t="inlineStr">
        <is>
          <t>P25</t>
        </is>
      </c>
      <c r="C422" t="n">
        <v>25</v>
      </c>
      <c r="D422" t="n">
        <v>16</v>
      </c>
      <c r="E422" t="inlineStr">
        <is>
          <t>Input</t>
        </is>
      </c>
      <c r="F422" t="n">
        <v/>
      </c>
      <c r="H422" t="inlineStr"/>
      <c r="I422" t="inlineStr">
        <is>
          <t>0</t>
        </is>
      </c>
      <c r="J422" t="b">
        <v>0</v>
      </c>
      <c r="K422" t="b">
        <v>0</v>
      </c>
      <c r="L422" t="n">
        <v>11</v>
      </c>
      <c r="M422" t="inlineStr">
        <is>
          <t>FFFF0000</t>
        </is>
      </c>
      <c r="N422" t="inlineStr">
        <is>
          <t>Values must be of type &lt;class 'str'&gt;</t>
        </is>
      </c>
      <c r="O422" t="inlineStr">
        <is>
          <t>center</t>
        </is>
      </c>
      <c r="P422" t="n">
        <v/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</row>
    <row r="423">
      <c r="A423" t="inlineStr">
        <is>
          <t>Assumptions Sheet</t>
        </is>
      </c>
      <c r="B423" t="inlineStr">
        <is>
          <t>B26</t>
        </is>
      </c>
      <c r="C423" t="n">
        <v>26</v>
      </c>
      <c r="D423" t="n">
        <v>2</v>
      </c>
      <c r="E423" t="inlineStr">
        <is>
          <t>Input</t>
        </is>
      </c>
      <c r="F423" t="n">
        <v/>
      </c>
      <c r="G423" t="inlineStr">
        <is>
          <t>Ancillary
revenue</t>
        </is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inlineStr">
        <is>
          <t>left</t>
        </is>
      </c>
      <c r="P423" t="n">
        <v/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</row>
    <row r="424">
      <c r="A424" t="inlineStr">
        <is>
          <t>Assumptions Sheet</t>
        </is>
      </c>
      <c r="B424" t="inlineStr">
        <is>
          <t>C26</t>
        </is>
      </c>
      <c r="C424" t="n">
        <v>26</v>
      </c>
      <c r="D424" t="n">
        <v>3</v>
      </c>
      <c r="E424" t="inlineStr">
        <is>
          <t>Calculation</t>
        </is>
      </c>
      <c r="F424" t="inlineStr">
        <is>
          <t>'=C40</t>
        </is>
      </c>
      <c r="G424" t="n">
        <v>2765.35</v>
      </c>
      <c r="H424" t="inlineStr"/>
      <c r="I424" t="inlineStr">
        <is>
          <t>#,##0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inlineStr">
        <is>
          <t>center</t>
        </is>
      </c>
      <c r="P424" t="n">
        <v/>
      </c>
      <c r="R424" t="b">
        <v>1</v>
      </c>
      <c r="S424" t="inlineStr">
        <is>
          <t>G000029</t>
        </is>
      </c>
      <c r="T424" t="inlineStr">
        <is>
          <t>Horizontal</t>
        </is>
      </c>
      <c r="U424" t="n">
        <v>7</v>
      </c>
      <c r="V424" t="b">
        <v>1</v>
      </c>
      <c r="W424" t="inlineStr">
        <is>
          <t>Assumptions Sheet!C26:I26</t>
        </is>
      </c>
      <c r="X424">
        <f>R[14]C[0]</f>
        <v/>
      </c>
    </row>
    <row r="425">
      <c r="A425" t="inlineStr">
        <is>
          <t>Assumptions Sheet</t>
        </is>
      </c>
      <c r="B425" t="inlineStr">
        <is>
          <t>D26</t>
        </is>
      </c>
      <c r="C425" t="n">
        <v>26</v>
      </c>
      <c r="D425" t="n">
        <v>4</v>
      </c>
      <c r="E425" t="inlineStr">
        <is>
          <t>Calculation</t>
        </is>
      </c>
      <c r="F425" t="inlineStr">
        <is>
          <t>'=D40</t>
        </is>
      </c>
      <c r="G425" t="n">
        <v>4356.65</v>
      </c>
      <c r="H425" t="inlineStr"/>
      <c r="I425" t="inlineStr">
        <is>
          <t>#,##0</t>
        </is>
      </c>
      <c r="J425" t="b">
        <v>0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Values must be of type &lt;class 'str'&gt;</t>
        </is>
      </c>
      <c r="O425" t="inlineStr">
        <is>
          <t>center</t>
        </is>
      </c>
      <c r="P425" t="n">
        <v/>
      </c>
      <c r="R425" t="b">
        <v>1</v>
      </c>
      <c r="S425" t="inlineStr">
        <is>
          <t>G000029</t>
        </is>
      </c>
      <c r="T425" t="inlineStr">
        <is>
          <t>Horizontal</t>
        </is>
      </c>
      <c r="U425" t="n">
        <v>7</v>
      </c>
      <c r="V425" t="b">
        <v>1</v>
      </c>
      <c r="W425" t="inlineStr">
        <is>
          <t>Assumptions Sheet!C26:I26</t>
        </is>
      </c>
      <c r="X425">
        <f>R[14]C[0]</f>
        <v/>
      </c>
    </row>
    <row r="426">
      <c r="A426" t="inlineStr">
        <is>
          <t>Assumptions Sheet</t>
        </is>
      </c>
      <c r="B426" t="inlineStr">
        <is>
          <t>E26</t>
        </is>
      </c>
      <c r="C426" t="n">
        <v>26</v>
      </c>
      <c r="D426" t="n">
        <v>5</v>
      </c>
      <c r="E426" t="inlineStr">
        <is>
          <t>Calculation</t>
        </is>
      </c>
      <c r="F426" t="inlineStr">
        <is>
          <t>'=E40</t>
        </is>
      </c>
      <c r="G426" t="n">
        <v>5680.339999999999</v>
      </c>
      <c r="H426" t="inlineStr"/>
      <c r="I426" t="inlineStr">
        <is>
          <t>#,##0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Values must be of type &lt;class 'str'&gt;</t>
        </is>
      </c>
      <c r="O426" t="inlineStr">
        <is>
          <t>center</t>
        </is>
      </c>
      <c r="P426" t="n">
        <v/>
      </c>
      <c r="R426" t="b">
        <v>1</v>
      </c>
      <c r="S426" t="inlineStr">
        <is>
          <t>G000029</t>
        </is>
      </c>
      <c r="T426" t="inlineStr">
        <is>
          <t>Horizontal</t>
        </is>
      </c>
      <c r="U426" t="n">
        <v>7</v>
      </c>
      <c r="V426" t="b">
        <v>1</v>
      </c>
      <c r="W426" t="inlineStr">
        <is>
          <t>Assumptions Sheet!C26:I26</t>
        </is>
      </c>
      <c r="X426">
        <f>R[14]C[0]</f>
        <v/>
      </c>
    </row>
    <row r="427">
      <c r="A427" t="inlineStr">
        <is>
          <t>Assumptions Sheet</t>
        </is>
      </c>
      <c r="B427" t="inlineStr">
        <is>
          <t>F26</t>
        </is>
      </c>
      <c r="C427" t="n">
        <v>26</v>
      </c>
      <c r="D427" t="n">
        <v>6</v>
      </c>
      <c r="E427" t="inlineStr">
        <is>
          <t>Calculation</t>
        </is>
      </c>
      <c r="F427" t="inlineStr">
        <is>
          <t>'=F40</t>
        </is>
      </c>
      <c r="G427" t="n">
        <v>9253.440000000001</v>
      </c>
      <c r="H427" t="inlineStr"/>
      <c r="I427" t="inlineStr">
        <is>
          <t>#,##0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Values must be of type &lt;class 'str'&gt;</t>
        </is>
      </c>
      <c r="O427" t="inlineStr">
        <is>
          <t>center</t>
        </is>
      </c>
      <c r="P427" t="n">
        <v/>
      </c>
      <c r="R427" t="b">
        <v>1</v>
      </c>
      <c r="S427" t="inlineStr">
        <is>
          <t>G000029</t>
        </is>
      </c>
      <c r="T427" t="inlineStr">
        <is>
          <t>Horizontal</t>
        </is>
      </c>
      <c r="U427" t="n">
        <v>7</v>
      </c>
      <c r="V427" t="b">
        <v>1</v>
      </c>
      <c r="W427" t="inlineStr">
        <is>
          <t>Assumptions Sheet!C26:I26</t>
        </is>
      </c>
      <c r="X427">
        <f>R[14]C[0]</f>
        <v/>
      </c>
    </row>
    <row r="428">
      <c r="A428" t="inlineStr">
        <is>
          <t>Assumptions Sheet</t>
        </is>
      </c>
      <c r="B428" t="inlineStr">
        <is>
          <t>G26</t>
        </is>
      </c>
      <c r="C428" t="n">
        <v>26</v>
      </c>
      <c r="D428" t="n">
        <v>7</v>
      </c>
      <c r="E428" t="inlineStr">
        <is>
          <t>Calculation</t>
        </is>
      </c>
      <c r="F428" t="inlineStr">
        <is>
          <t>'=G40</t>
        </is>
      </c>
      <c r="G428" t="n">
        <v>11553.33</v>
      </c>
      <c r="H428" t="inlineStr"/>
      <c r="I428" t="inlineStr">
        <is>
          <t>#,##0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Values must be of type &lt;class 'str'&gt;</t>
        </is>
      </c>
      <c r="O428" t="inlineStr">
        <is>
          <t>center</t>
        </is>
      </c>
      <c r="P428" t="n">
        <v/>
      </c>
      <c r="R428" t="b">
        <v>1</v>
      </c>
      <c r="S428" t="inlineStr">
        <is>
          <t>G000029</t>
        </is>
      </c>
      <c r="T428" t="inlineStr">
        <is>
          <t>Horizontal</t>
        </is>
      </c>
      <c r="U428" t="n">
        <v>7</v>
      </c>
      <c r="V428" t="b">
        <v>1</v>
      </c>
      <c r="W428" t="inlineStr">
        <is>
          <t>Assumptions Sheet!C26:I26</t>
        </is>
      </c>
      <c r="X428">
        <f>R[14]C[0]</f>
        <v/>
      </c>
    </row>
    <row r="429">
      <c r="A429" t="inlineStr">
        <is>
          <t>Assumptions Sheet</t>
        </is>
      </c>
      <c r="B429" t="inlineStr">
        <is>
          <t>H26</t>
        </is>
      </c>
      <c r="C429" t="n">
        <v>26</v>
      </c>
      <c r="D429" t="n">
        <v>8</v>
      </c>
      <c r="E429" t="inlineStr">
        <is>
          <t>Calculation</t>
        </is>
      </c>
      <c r="F429" t="inlineStr">
        <is>
          <t>'=H40</t>
        </is>
      </c>
      <c r="G429" t="n">
        <v>15724.87</v>
      </c>
      <c r="H429" t="inlineStr"/>
      <c r="I429" t="inlineStr">
        <is>
          <t>#,##0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inlineStr">
        <is>
          <t>center</t>
        </is>
      </c>
      <c r="P429" t="n">
        <v/>
      </c>
      <c r="R429" t="b">
        <v>1</v>
      </c>
      <c r="S429" t="inlineStr">
        <is>
          <t>G000029</t>
        </is>
      </c>
      <c r="T429" t="inlineStr">
        <is>
          <t>Horizontal</t>
        </is>
      </c>
      <c r="U429" t="n">
        <v>7</v>
      </c>
      <c r="V429" t="b">
        <v>1</v>
      </c>
      <c r="W429" t="inlineStr">
        <is>
          <t>Assumptions Sheet!C26:I26</t>
        </is>
      </c>
      <c r="X429">
        <f>R[14]C[0]</f>
        <v/>
      </c>
    </row>
    <row r="430">
      <c r="A430" t="inlineStr">
        <is>
          <t>Assumptions Sheet</t>
        </is>
      </c>
      <c r="B430" t="inlineStr">
        <is>
          <t>I26</t>
        </is>
      </c>
      <c r="C430" t="n">
        <v>26</v>
      </c>
      <c r="D430" t="n">
        <v>9</v>
      </c>
      <c r="E430" t="inlineStr">
        <is>
          <t>Calculation</t>
        </is>
      </c>
      <c r="F430" t="inlineStr">
        <is>
          <t>'=I40</t>
        </is>
      </c>
      <c r="G430" t="n">
        <v>20019.95</v>
      </c>
      <c r="H430" t="inlineStr"/>
      <c r="I430" t="inlineStr">
        <is>
          <t>#,##0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inlineStr">
        <is>
          <t>center</t>
        </is>
      </c>
      <c r="P430" t="n">
        <v/>
      </c>
      <c r="R430" t="b">
        <v>1</v>
      </c>
      <c r="S430" t="inlineStr">
        <is>
          <t>G000029</t>
        </is>
      </c>
      <c r="T430" t="inlineStr">
        <is>
          <t>Horizontal</t>
        </is>
      </c>
      <c r="U430" t="n">
        <v>7</v>
      </c>
      <c r="V430" t="b">
        <v>1</v>
      </c>
      <c r="W430" t="inlineStr">
        <is>
          <t>Assumptions Sheet!C26:I26</t>
        </is>
      </c>
      <c r="X430">
        <f>R[14]C[0]</f>
        <v/>
      </c>
    </row>
    <row r="431">
      <c r="A431" t="inlineStr">
        <is>
          <t>Assumptions Sheet</t>
        </is>
      </c>
      <c r="B431" t="inlineStr">
        <is>
          <t>J26</t>
        </is>
      </c>
      <c r="C431" t="n">
        <v>26</v>
      </c>
      <c r="D431" t="n">
        <v>10</v>
      </c>
      <c r="E431" t="inlineStr">
        <is>
          <t>Input</t>
        </is>
      </c>
      <c r="F431" t="n">
        <v/>
      </c>
      <c r="G431" t="n">
        <v>22667.6</v>
      </c>
      <c r="H431" t="inlineStr"/>
      <c r="I431" t="inlineStr">
        <is>
          <t>0</t>
        </is>
      </c>
      <c r="J431" t="b">
        <v>0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center</t>
        </is>
      </c>
      <c r="P431" t="n">
        <v/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Assumptions Sheet</t>
        </is>
      </c>
      <c r="B432" t="inlineStr">
        <is>
          <t>K26</t>
        </is>
      </c>
      <c r="C432" t="n">
        <v>26</v>
      </c>
      <c r="D432" t="n">
        <v>11</v>
      </c>
      <c r="E432" t="inlineStr">
        <is>
          <t>Calculation</t>
        </is>
      </c>
      <c r="F432" t="inlineStr">
        <is>
          <t>'=K27*K24</t>
        </is>
      </c>
      <c r="G432" t="n">
        <v>29312.70849</v>
      </c>
      <c r="H432" t="inlineStr"/>
      <c r="I432" t="inlineStr">
        <is>
          <t>0</t>
        </is>
      </c>
      <c r="J432" t="b">
        <v>0</v>
      </c>
      <c r="K432" t="b">
        <v>0</v>
      </c>
      <c r="L432" t="n">
        <v>11</v>
      </c>
      <c r="M432" t="inlineStr">
        <is>
          <t>FFFF0000</t>
        </is>
      </c>
      <c r="N432" t="inlineStr">
        <is>
          <t>Values must be of type &lt;class 'str'&gt;</t>
        </is>
      </c>
      <c r="O432" t="inlineStr">
        <is>
          <t>center</t>
        </is>
      </c>
      <c r="P432" t="n">
        <v/>
      </c>
      <c r="R432" t="b">
        <v>1</v>
      </c>
      <c r="S432" t="inlineStr">
        <is>
          <t>G000030</t>
        </is>
      </c>
      <c r="T432" t="inlineStr">
        <is>
          <t>Horizontal</t>
        </is>
      </c>
      <c r="U432" t="n">
        <v>6</v>
      </c>
      <c r="V432" t="b">
        <v>1</v>
      </c>
      <c r="W432" t="inlineStr">
        <is>
          <t>Assumptions Sheet!K26:P26</t>
        </is>
      </c>
      <c r="X432">
        <f>R[1]C[0]*R[-2]C[0]</f>
        <v/>
      </c>
    </row>
    <row r="433">
      <c r="A433" t="inlineStr">
        <is>
          <t>Assumptions Sheet</t>
        </is>
      </c>
      <c r="B433" t="inlineStr">
        <is>
          <t>L26</t>
        </is>
      </c>
      <c r="C433" t="n">
        <v>26</v>
      </c>
      <c r="D433" t="n">
        <v>12</v>
      </c>
      <c r="E433" t="inlineStr">
        <is>
          <t>Calculation</t>
        </is>
      </c>
      <c r="F433" t="inlineStr">
        <is>
          <t>'=L27*L24</t>
        </is>
      </c>
      <c r="G433" t="n">
        <v>35175.250188</v>
      </c>
      <c r="H433" t="inlineStr"/>
      <c r="I433" t="inlineStr">
        <is>
          <t>0</t>
        </is>
      </c>
      <c r="J433" t="b">
        <v>0</v>
      </c>
      <c r="K433" t="b">
        <v>0</v>
      </c>
      <c r="L433" t="n">
        <v>11</v>
      </c>
      <c r="M433" t="inlineStr">
        <is>
          <t>FFFF0000</t>
        </is>
      </c>
      <c r="N433" t="inlineStr">
        <is>
          <t>Values must be of type &lt;class 'str'&gt;</t>
        </is>
      </c>
      <c r="O433" t="inlineStr">
        <is>
          <t>center</t>
        </is>
      </c>
      <c r="P433" t="n">
        <v/>
      </c>
      <c r="R433" t="b">
        <v>1</v>
      </c>
      <c r="S433" t="inlineStr">
        <is>
          <t>G000030</t>
        </is>
      </c>
      <c r="T433" t="inlineStr">
        <is>
          <t>Horizontal</t>
        </is>
      </c>
      <c r="U433" t="n">
        <v>6</v>
      </c>
      <c r="V433" t="b">
        <v>1</v>
      </c>
      <c r="W433" t="inlineStr">
        <is>
          <t>Assumptions Sheet!K26:P26</t>
        </is>
      </c>
      <c r="X433">
        <f>R[1]C[0]*R[-2]C[0]</f>
        <v/>
      </c>
    </row>
    <row r="434">
      <c r="A434" t="inlineStr">
        <is>
          <t>Assumptions Sheet</t>
        </is>
      </c>
      <c r="B434" t="inlineStr">
        <is>
          <t>M26</t>
        </is>
      </c>
      <c r="C434" t="n">
        <v>26</v>
      </c>
      <c r="D434" t="n">
        <v>13</v>
      </c>
      <c r="E434" t="inlineStr">
        <is>
          <t>Calculation</t>
        </is>
      </c>
      <c r="F434" t="inlineStr">
        <is>
          <t>'=M27*M24</t>
        </is>
      </c>
      <c r="G434" t="n">
        <v>40646.95577279999</v>
      </c>
      <c r="H434" t="inlineStr"/>
      <c r="I434" t="inlineStr">
        <is>
          <t>0</t>
        </is>
      </c>
      <c r="J434" t="b">
        <v>0</v>
      </c>
      <c r="K434" t="b">
        <v>0</v>
      </c>
      <c r="L434" t="n">
        <v>11</v>
      </c>
      <c r="M434" t="inlineStr">
        <is>
          <t>FFFF0000</t>
        </is>
      </c>
      <c r="N434" t="inlineStr">
        <is>
          <t>Values must be of type &lt;class 'str'&gt;</t>
        </is>
      </c>
      <c r="O434" t="inlineStr">
        <is>
          <t>center</t>
        </is>
      </c>
      <c r="P434" t="n">
        <v/>
      </c>
      <c r="R434" t="b">
        <v>1</v>
      </c>
      <c r="S434" t="inlineStr">
        <is>
          <t>G000030</t>
        </is>
      </c>
      <c r="T434" t="inlineStr">
        <is>
          <t>Horizontal</t>
        </is>
      </c>
      <c r="U434" t="n">
        <v>6</v>
      </c>
      <c r="V434" t="b">
        <v>1</v>
      </c>
      <c r="W434" t="inlineStr">
        <is>
          <t>Assumptions Sheet!K26:P26</t>
        </is>
      </c>
      <c r="X434">
        <f>R[1]C[0]*R[-2]C[0]</f>
        <v/>
      </c>
    </row>
    <row r="435">
      <c r="A435" t="inlineStr">
        <is>
          <t>Assumptions Sheet</t>
        </is>
      </c>
      <c r="B435" t="inlineStr">
        <is>
          <t>N26</t>
        </is>
      </c>
      <c r="C435" t="n">
        <v>26</v>
      </c>
      <c r="D435" t="n">
        <v>14</v>
      </c>
      <c r="E435" t="inlineStr">
        <is>
          <t>Calculation</t>
        </is>
      </c>
      <c r="F435" t="inlineStr">
        <is>
          <t>'=N27*N24</t>
        </is>
      </c>
      <c r="G435" t="n">
        <v>46900.33358399999</v>
      </c>
      <c r="H435" t="inlineStr"/>
      <c r="I435" t="inlineStr">
        <is>
          <t>0</t>
        </is>
      </c>
      <c r="J435" t="b">
        <v>0</v>
      </c>
      <c r="K435" t="b">
        <v>0</v>
      </c>
      <c r="L435" t="n">
        <v>11</v>
      </c>
      <c r="M435" t="inlineStr">
        <is>
          <t>FFFF0000</t>
        </is>
      </c>
      <c r="N435" t="inlineStr">
        <is>
          <t>Values must be of type &lt;class 'str'&gt;</t>
        </is>
      </c>
      <c r="O435" t="inlineStr">
        <is>
          <t>center</t>
        </is>
      </c>
      <c r="P435" t="n">
        <v/>
      </c>
      <c r="R435" t="b">
        <v>1</v>
      </c>
      <c r="S435" t="inlineStr">
        <is>
          <t>G000030</t>
        </is>
      </c>
      <c r="T435" t="inlineStr">
        <is>
          <t>Horizontal</t>
        </is>
      </c>
      <c r="U435" t="n">
        <v>6</v>
      </c>
      <c r="V435" t="b">
        <v>1</v>
      </c>
      <c r="W435" t="inlineStr">
        <is>
          <t>Assumptions Sheet!K26:P26</t>
        </is>
      </c>
      <c r="X435">
        <f>R[1]C[0]*R[-2]C[0]</f>
        <v/>
      </c>
    </row>
    <row r="436">
      <c r="A436" t="inlineStr">
        <is>
          <t>Assumptions Sheet</t>
        </is>
      </c>
      <c r="B436" t="inlineStr">
        <is>
          <t>O26</t>
        </is>
      </c>
      <c r="C436" t="n">
        <v>26</v>
      </c>
      <c r="D436" t="n">
        <v>15</v>
      </c>
      <c r="E436" t="inlineStr">
        <is>
          <t>Calculation</t>
        </is>
      </c>
      <c r="F436" t="inlineStr">
        <is>
          <t>'=O27*O24</t>
        </is>
      </c>
      <c r="G436" t="n">
        <v>56280.40030079999</v>
      </c>
      <c r="H436" t="inlineStr"/>
      <c r="I436" t="inlineStr">
        <is>
          <t>0</t>
        </is>
      </c>
      <c r="J436" t="b">
        <v>0</v>
      </c>
      <c r="K436" t="b">
        <v>0</v>
      </c>
      <c r="L436" t="n">
        <v>11</v>
      </c>
      <c r="M436" t="inlineStr">
        <is>
          <t>FFFF0000</t>
        </is>
      </c>
      <c r="N436" t="inlineStr">
        <is>
          <t>Values must be of type &lt;class 'str'&gt;</t>
        </is>
      </c>
      <c r="O436" t="inlineStr">
        <is>
          <t>center</t>
        </is>
      </c>
      <c r="P436" t="n">
        <v/>
      </c>
      <c r="R436" t="b">
        <v>1</v>
      </c>
      <c r="S436" t="inlineStr">
        <is>
          <t>G000030</t>
        </is>
      </c>
      <c r="T436" t="inlineStr">
        <is>
          <t>Horizontal</t>
        </is>
      </c>
      <c r="U436" t="n">
        <v>6</v>
      </c>
      <c r="V436" t="b">
        <v>1</v>
      </c>
      <c r="W436" t="inlineStr">
        <is>
          <t>Assumptions Sheet!K26:P26</t>
        </is>
      </c>
      <c r="X436">
        <f>R[1]C[0]*R[-2]C[0]</f>
        <v/>
      </c>
    </row>
    <row r="437">
      <c r="A437" t="inlineStr">
        <is>
          <t>Assumptions Sheet</t>
        </is>
      </c>
      <c r="B437" t="inlineStr">
        <is>
          <t>P26</t>
        </is>
      </c>
      <c r="C437" t="n">
        <v>26</v>
      </c>
      <c r="D437" t="n">
        <v>16</v>
      </c>
      <c r="E437" t="inlineStr">
        <is>
          <t>Calculation</t>
        </is>
      </c>
      <c r="F437" t="inlineStr">
        <is>
          <t>'=P27*P24</t>
        </is>
      </c>
      <c r="G437" t="n">
        <v>67536.48036095999</v>
      </c>
      <c r="H437" t="inlineStr"/>
      <c r="I437" t="inlineStr">
        <is>
          <t>0</t>
        </is>
      </c>
      <c r="J437" t="b">
        <v>0</v>
      </c>
      <c r="K437" t="b">
        <v>0</v>
      </c>
      <c r="L437" t="n">
        <v>11</v>
      </c>
      <c r="M437" t="inlineStr">
        <is>
          <t>FFFF0000</t>
        </is>
      </c>
      <c r="N437" t="inlineStr">
        <is>
          <t>Values must be of type &lt;class 'str'&gt;</t>
        </is>
      </c>
      <c r="O437" t="inlineStr">
        <is>
          <t>center</t>
        </is>
      </c>
      <c r="P437" t="n">
        <v/>
      </c>
      <c r="R437" t="b">
        <v>1</v>
      </c>
      <c r="S437" t="inlineStr">
        <is>
          <t>G000030</t>
        </is>
      </c>
      <c r="T437" t="inlineStr">
        <is>
          <t>Horizontal</t>
        </is>
      </c>
      <c r="U437" t="n">
        <v>6</v>
      </c>
      <c r="V437" t="b">
        <v>1</v>
      </c>
      <c r="W437" t="inlineStr">
        <is>
          <t>Assumptions Sheet!K26:P26</t>
        </is>
      </c>
      <c r="X437">
        <f>R[1]C[0]*R[-2]C[0]</f>
        <v/>
      </c>
    </row>
    <row r="438">
      <c r="A438" t="inlineStr">
        <is>
          <t>Assumptions Sheet</t>
        </is>
      </c>
      <c r="B438" t="inlineStr">
        <is>
          <t>B27</t>
        </is>
      </c>
      <c r="C438" t="n">
        <v>27</v>
      </c>
      <c r="D438" t="n">
        <v>2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left</t>
        </is>
      </c>
      <c r="P438" t="n">
        <v/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Assumptions Sheet</t>
        </is>
      </c>
      <c r="B439" t="inlineStr">
        <is>
          <t>C27</t>
        </is>
      </c>
      <c r="C439" t="n">
        <v>27</v>
      </c>
      <c r="D439" t="n">
        <v>3</v>
      </c>
      <c r="E439" t="inlineStr">
        <is>
          <t>Output</t>
        </is>
      </c>
      <c r="F439" t="inlineStr">
        <is>
          <t>'=C26/C$24</t>
        </is>
      </c>
      <c r="G439" t="n">
        <v>0.1188892122877623</v>
      </c>
      <c r="H439" t="inlineStr"/>
      <c r="I439" t="inlineStr">
        <is>
          <t>0.00%</t>
        </is>
      </c>
      <c r="J439" t="b">
        <v>0</v>
      </c>
      <c r="K439" t="b">
        <v>1</v>
      </c>
      <c r="L439" t="n">
        <v>11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center</t>
        </is>
      </c>
      <c r="P439" t="n">
        <v/>
      </c>
      <c r="R439" t="b">
        <v>1</v>
      </c>
      <c r="S439" t="inlineStr">
        <is>
          <t>G000031</t>
        </is>
      </c>
      <c r="T439" t="inlineStr">
        <is>
          <t>Horizontal</t>
        </is>
      </c>
      <c r="U439" t="n">
        <v>8</v>
      </c>
      <c r="V439" t="b">
        <v>1</v>
      </c>
      <c r="W439" t="inlineStr">
        <is>
          <t>Assumptions Sheet!C27:J27</t>
        </is>
      </c>
      <c r="X439">
        <f>R[-1]C[0]/R24C[0]</f>
        <v/>
      </c>
    </row>
    <row r="440">
      <c r="A440" t="inlineStr">
        <is>
          <t>Assumptions Sheet</t>
        </is>
      </c>
      <c r="B440" t="inlineStr">
        <is>
          <t>D27</t>
        </is>
      </c>
      <c r="C440" t="n">
        <v>27</v>
      </c>
      <c r="D440" t="n">
        <v>4</v>
      </c>
      <c r="E440" t="inlineStr">
        <is>
          <t>Calculation</t>
        </is>
      </c>
      <c r="F440" t="inlineStr">
        <is>
          <t>'=D26/D$24</t>
        </is>
      </c>
      <c r="G440" t="n">
        <v>0.1284773809151674</v>
      </c>
      <c r="H440" t="inlineStr"/>
      <c r="I440" t="inlineStr">
        <is>
          <t>0.00%</t>
        </is>
      </c>
      <c r="J440" t="b">
        <v>0</v>
      </c>
      <c r="K440" t="b">
        <v>1</v>
      </c>
      <c r="L440" t="n">
        <v>11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inlineStr">
        <is>
          <t>center</t>
        </is>
      </c>
      <c r="P440" t="n">
        <v/>
      </c>
      <c r="R440" t="b">
        <v>1</v>
      </c>
      <c r="S440" t="inlineStr">
        <is>
          <t>G000031</t>
        </is>
      </c>
      <c r="T440" t="inlineStr">
        <is>
          <t>Horizontal</t>
        </is>
      </c>
      <c r="U440" t="n">
        <v>8</v>
      </c>
      <c r="V440" t="b">
        <v>1</v>
      </c>
      <c r="W440" t="inlineStr">
        <is>
          <t>Assumptions Sheet!C27:J27</t>
        </is>
      </c>
      <c r="X440">
        <f>R[-1]C[0]/R24C[0]</f>
        <v/>
      </c>
    </row>
    <row r="441">
      <c r="A441" t="inlineStr">
        <is>
          <t>Assumptions Sheet</t>
        </is>
      </c>
      <c r="B441" t="inlineStr">
        <is>
          <t>E27</t>
        </is>
      </c>
      <c r="C441" t="n">
        <v>27</v>
      </c>
      <c r="D441" t="n">
        <v>5</v>
      </c>
      <c r="E441" t="inlineStr">
        <is>
          <t>Calculation</t>
        </is>
      </c>
      <c r="F441" t="inlineStr">
        <is>
          <t>'=E26/E$24</t>
        </is>
      </c>
      <c r="G441" t="n">
        <v>0.1138960047352237</v>
      </c>
      <c r="H441" t="inlineStr"/>
      <c r="I441" t="inlineStr">
        <is>
          <t>0.00%</t>
        </is>
      </c>
      <c r="J441" t="b">
        <v>0</v>
      </c>
      <c r="K441" t="b">
        <v>1</v>
      </c>
      <c r="L441" t="n">
        <v>11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inlineStr">
        <is>
          <t>center</t>
        </is>
      </c>
      <c r="P441" t="n">
        <v/>
      </c>
      <c r="R441" t="b">
        <v>1</v>
      </c>
      <c r="S441" t="inlineStr">
        <is>
          <t>G000031</t>
        </is>
      </c>
      <c r="T441" t="inlineStr">
        <is>
          <t>Horizontal</t>
        </is>
      </c>
      <c r="U441" t="n">
        <v>8</v>
      </c>
      <c r="V441" t="b">
        <v>1</v>
      </c>
      <c r="W441" t="inlineStr">
        <is>
          <t>Assumptions Sheet!C27:J27</t>
        </is>
      </c>
      <c r="X441">
        <f>R[-1]C[0]/R24C[0]</f>
        <v/>
      </c>
    </row>
    <row r="442">
      <c r="A442" t="inlineStr">
        <is>
          <t>Assumptions Sheet</t>
        </is>
      </c>
      <c r="B442" t="inlineStr">
        <is>
          <t>F27</t>
        </is>
      </c>
      <c r="C442" t="n">
        <v>27</v>
      </c>
      <c r="D442" t="n">
        <v>6</v>
      </c>
      <c r="E442" t="inlineStr">
        <is>
          <t>Calculation</t>
        </is>
      </c>
      <c r="F442" t="inlineStr">
        <is>
          <t>'=F26/F$24</t>
        </is>
      </c>
      <c r="G442" t="n">
        <v>0.11193690508751</v>
      </c>
      <c r="H442" t="inlineStr"/>
      <c r="I442" t="inlineStr">
        <is>
          <t>0.00%</t>
        </is>
      </c>
      <c r="J442" t="b">
        <v>0</v>
      </c>
      <c r="K442" t="b">
        <v>1</v>
      </c>
      <c r="L442" t="n">
        <v>11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inlineStr">
        <is>
          <t>center</t>
        </is>
      </c>
      <c r="P442" t="n">
        <v/>
      </c>
      <c r="R442" t="b">
        <v>1</v>
      </c>
      <c r="S442" t="inlineStr">
        <is>
          <t>G000031</t>
        </is>
      </c>
      <c r="T442" t="inlineStr">
        <is>
          <t>Horizontal</t>
        </is>
      </c>
      <c r="U442" t="n">
        <v>8</v>
      </c>
      <c r="V442" t="b">
        <v>1</v>
      </c>
      <c r="W442" t="inlineStr">
        <is>
          <t>Assumptions Sheet!C27:J27</t>
        </is>
      </c>
      <c r="X442">
        <f>R[-1]C[0]/R24C[0]</f>
        <v/>
      </c>
    </row>
    <row r="443">
      <c r="A443" t="inlineStr">
        <is>
          <t>Assumptions Sheet</t>
        </is>
      </c>
      <c r="B443" t="inlineStr">
        <is>
          <t>G27</t>
        </is>
      </c>
      <c r="C443" t="n">
        <v>27</v>
      </c>
      <c r="D443" t="n">
        <v>7</v>
      </c>
      <c r="E443" t="inlineStr">
        <is>
          <t>Calculation</t>
        </is>
      </c>
      <c r="F443" t="inlineStr">
        <is>
          <t>'=G26/G$24</t>
        </is>
      </c>
      <c r="G443" t="n">
        <v>0.1164182768148635</v>
      </c>
      <c r="H443" t="inlineStr"/>
      <c r="I443" t="inlineStr">
        <is>
          <t>0.00%</t>
        </is>
      </c>
      <c r="J443" t="b">
        <v>0</v>
      </c>
      <c r="K443" t="b">
        <v>1</v>
      </c>
      <c r="L443" t="n">
        <v>11</v>
      </c>
      <c r="M443" t="inlineStr">
        <is>
          <t>Values must be of type &lt;class 'str'&gt;</t>
        </is>
      </c>
      <c r="N443" t="inlineStr">
        <is>
          <t>Values must be of type &lt;class 'str'&gt;</t>
        </is>
      </c>
      <c r="O443" t="inlineStr">
        <is>
          <t>center</t>
        </is>
      </c>
      <c r="P443" t="n">
        <v/>
      </c>
      <c r="R443" t="b">
        <v>1</v>
      </c>
      <c r="S443" t="inlineStr">
        <is>
          <t>G000031</t>
        </is>
      </c>
      <c r="T443" t="inlineStr">
        <is>
          <t>Horizontal</t>
        </is>
      </c>
      <c r="U443" t="n">
        <v>8</v>
      </c>
      <c r="V443" t="b">
        <v>1</v>
      </c>
      <c r="W443" t="inlineStr">
        <is>
          <t>Assumptions Sheet!C27:J27</t>
        </is>
      </c>
      <c r="X443">
        <f>R[-1]C[0]/R24C[0]</f>
        <v/>
      </c>
    </row>
    <row r="444">
      <c r="A444" t="inlineStr">
        <is>
          <t>Assumptions Sheet</t>
        </is>
      </c>
      <c r="B444" t="inlineStr">
        <is>
          <t>H27</t>
        </is>
      </c>
      <c r="C444" t="n">
        <v>27</v>
      </c>
      <c r="D444" t="n">
        <v>8</v>
      </c>
      <c r="E444" t="inlineStr">
        <is>
          <t>Calculation</t>
        </is>
      </c>
      <c r="F444" t="inlineStr">
        <is>
          <t>'=H26/H$24</t>
        </is>
      </c>
      <c r="G444" t="n">
        <v>0.1279079055466532</v>
      </c>
      <c r="H444" t="inlineStr"/>
      <c r="I444" t="inlineStr">
        <is>
          <t>0.00%</t>
        </is>
      </c>
      <c r="J444" t="b">
        <v>0</v>
      </c>
      <c r="K444" t="b">
        <v>1</v>
      </c>
      <c r="L444" t="n">
        <v>11</v>
      </c>
      <c r="M444" t="inlineStr">
        <is>
          <t>Values must be of type &lt;class 'str'&gt;</t>
        </is>
      </c>
      <c r="N444" t="inlineStr">
        <is>
          <t>Values must be of type &lt;class 'str'&gt;</t>
        </is>
      </c>
      <c r="O444" t="inlineStr">
        <is>
          <t>center</t>
        </is>
      </c>
      <c r="P444" t="n">
        <v/>
      </c>
      <c r="R444" t="b">
        <v>1</v>
      </c>
      <c r="S444" t="inlineStr">
        <is>
          <t>G000031</t>
        </is>
      </c>
      <c r="T444" t="inlineStr">
        <is>
          <t>Horizontal</t>
        </is>
      </c>
      <c r="U444" t="n">
        <v>8</v>
      </c>
      <c r="V444" t="b">
        <v>1</v>
      </c>
      <c r="W444" t="inlineStr">
        <is>
          <t>Assumptions Sheet!C27:J27</t>
        </is>
      </c>
      <c r="X444">
        <f>R[-1]C[0]/R24C[0]</f>
        <v/>
      </c>
    </row>
    <row r="445">
      <c r="A445" t="inlineStr">
        <is>
          <t>Assumptions Sheet</t>
        </is>
      </c>
      <c r="B445" t="inlineStr">
        <is>
          <t>I27</t>
        </is>
      </c>
      <c r="C445" t="n">
        <v>27</v>
      </c>
      <c r="D445" t="n">
        <v>9</v>
      </c>
      <c r="E445" t="inlineStr">
        <is>
          <t>Calculation</t>
        </is>
      </c>
      <c r="F445" t="inlineStr">
        <is>
          <t>'=I26/I$24</t>
        </is>
      </c>
      <c r="G445" t="n">
        <v>0.1423648785394152</v>
      </c>
      <c r="H445" t="inlineStr"/>
      <c r="I445" t="inlineStr">
        <is>
          <t>0.00%</t>
        </is>
      </c>
      <c r="J445" t="b">
        <v>0</v>
      </c>
      <c r="K445" t="b">
        <v>1</v>
      </c>
      <c r="L445" t="n">
        <v>11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n">
        <v/>
      </c>
      <c r="R445" t="b">
        <v>1</v>
      </c>
      <c r="S445" t="inlineStr">
        <is>
          <t>G000031</t>
        </is>
      </c>
      <c r="T445" t="inlineStr">
        <is>
          <t>Horizontal</t>
        </is>
      </c>
      <c r="U445" t="n">
        <v>8</v>
      </c>
      <c r="V445" t="b">
        <v>1</v>
      </c>
      <c r="W445" t="inlineStr">
        <is>
          <t>Assumptions Sheet!C27:J27</t>
        </is>
      </c>
      <c r="X445">
        <f>R[-1]C[0]/R24C[0]</f>
        <v/>
      </c>
    </row>
    <row r="446">
      <c r="A446" t="inlineStr">
        <is>
          <t>Assumptions Sheet</t>
        </is>
      </c>
      <c r="B446" t="inlineStr">
        <is>
          <t>J27</t>
        </is>
      </c>
      <c r="C446" t="n">
        <v>27</v>
      </c>
      <c r="D446" t="n">
        <v>10</v>
      </c>
      <c r="E446" t="inlineStr">
        <is>
          <t>Calculation</t>
        </is>
      </c>
      <c r="F446" t="inlineStr">
        <is>
          <t>'=J26/J$24</t>
        </is>
      </c>
      <c r="G446" t="n">
        <v>0.1399487512310867</v>
      </c>
      <c r="H446" t="inlineStr"/>
      <c r="I446" t="inlineStr">
        <is>
          <t>0.00%</t>
        </is>
      </c>
      <c r="J446" t="b">
        <v>0</v>
      </c>
      <c r="K446" t="b">
        <v>1</v>
      </c>
      <c r="L446" t="n">
        <v>11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n">
        <v/>
      </c>
      <c r="R446" t="b">
        <v>1</v>
      </c>
      <c r="S446" t="inlineStr">
        <is>
          <t>G000031</t>
        </is>
      </c>
      <c r="T446" t="inlineStr">
        <is>
          <t>Horizontal</t>
        </is>
      </c>
      <c r="U446" t="n">
        <v>8</v>
      </c>
      <c r="V446" t="b">
        <v>1</v>
      </c>
      <c r="W446" t="inlineStr">
        <is>
          <t>Assumptions Sheet!C27:J27</t>
        </is>
      </c>
      <c r="X446">
        <f>R[-1]C[0]/R24C[0]</f>
        <v/>
      </c>
    </row>
    <row r="447">
      <c r="A447" t="inlineStr">
        <is>
          <t>Assumptions Sheet</t>
        </is>
      </c>
      <c r="B447" t="inlineStr">
        <is>
          <t>K27</t>
        </is>
      </c>
      <c r="C447" t="n">
        <v>27</v>
      </c>
      <c r="D447" t="n">
        <v>11</v>
      </c>
      <c r="E447" t="inlineStr">
        <is>
          <t>Input</t>
        </is>
      </c>
      <c r="F447" t="n">
        <v/>
      </c>
      <c r="G447" t="n">
        <v>0.135</v>
      </c>
      <c r="H447" t="inlineStr"/>
      <c r="I447" t="inlineStr">
        <is>
          <t>0.00%</t>
        </is>
      </c>
      <c r="J447" t="b">
        <v>0</v>
      </c>
      <c r="K447" t="b">
        <v>1</v>
      </c>
      <c r="L447" t="n">
        <v>11</v>
      </c>
      <c r="M447" t="inlineStr">
        <is>
          <t>FF002060</t>
        </is>
      </c>
      <c r="N447" t="inlineStr">
        <is>
          <t>Values must be of type &lt;class 'str'&gt;</t>
        </is>
      </c>
      <c r="O447" t="inlineStr">
        <is>
          <t>center</t>
        </is>
      </c>
      <c r="P447" t="n">
        <v/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</row>
    <row r="448">
      <c r="A448" t="inlineStr">
        <is>
          <t>Assumptions Sheet</t>
        </is>
      </c>
      <c r="B448" t="inlineStr">
        <is>
          <t>L27</t>
        </is>
      </c>
      <c r="C448" t="n">
        <v>27</v>
      </c>
      <c r="D448" t="n">
        <v>12</v>
      </c>
      <c r="E448" t="inlineStr">
        <is>
          <t>Input</t>
        </is>
      </c>
      <c r="F448" t="n">
        <v/>
      </c>
      <c r="G448" t="n">
        <v>0.135</v>
      </c>
      <c r="H448" t="inlineStr"/>
      <c r="I448" t="inlineStr">
        <is>
          <t>0.00%</t>
        </is>
      </c>
      <c r="J448" t="b">
        <v>0</v>
      </c>
      <c r="K448" t="b">
        <v>1</v>
      </c>
      <c r="L448" t="n">
        <v>11</v>
      </c>
      <c r="M448" t="inlineStr">
        <is>
          <t>FF002060</t>
        </is>
      </c>
      <c r="N448" t="inlineStr">
        <is>
          <t>Values must be of type &lt;class 'str'&gt;</t>
        </is>
      </c>
      <c r="O448" t="inlineStr">
        <is>
          <t>center</t>
        </is>
      </c>
      <c r="P448" t="n">
        <v/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</row>
    <row r="449">
      <c r="A449" t="inlineStr">
        <is>
          <t>Assumptions Sheet</t>
        </is>
      </c>
      <c r="B449" t="inlineStr">
        <is>
          <t>M27</t>
        </is>
      </c>
      <c r="C449" t="n">
        <v>27</v>
      </c>
      <c r="D449" t="n">
        <v>13</v>
      </c>
      <c r="E449" t="inlineStr">
        <is>
          <t>Input</t>
        </is>
      </c>
      <c r="F449" t="n">
        <v/>
      </c>
      <c r="G449" t="n">
        <v>0.13</v>
      </c>
      <c r="H449" t="inlineStr"/>
      <c r="I449" t="inlineStr">
        <is>
          <t>0.00%</t>
        </is>
      </c>
      <c r="J449" t="b">
        <v>0</v>
      </c>
      <c r="K449" t="b">
        <v>1</v>
      </c>
      <c r="L449" t="n">
        <v>11</v>
      </c>
      <c r="M449" t="inlineStr">
        <is>
          <t>FF002060</t>
        </is>
      </c>
      <c r="N449" t="inlineStr">
        <is>
          <t>Values must be of type &lt;class 'str'&gt;</t>
        </is>
      </c>
      <c r="O449" t="inlineStr">
        <is>
          <t>center</t>
        </is>
      </c>
      <c r="P449" t="n">
        <v/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Assumptions Sheet</t>
        </is>
      </c>
      <c r="B450" t="inlineStr">
        <is>
          <t>N27</t>
        </is>
      </c>
      <c r="C450" t="n">
        <v>27</v>
      </c>
      <c r="D450" t="n">
        <v>14</v>
      </c>
      <c r="E450" t="inlineStr">
        <is>
          <t>Input</t>
        </is>
      </c>
      <c r="F450" t="n">
        <v/>
      </c>
      <c r="G450" t="n">
        <v>0.125</v>
      </c>
      <c r="H450" t="inlineStr"/>
      <c r="I450" t="inlineStr">
        <is>
          <t>0.00%</t>
        </is>
      </c>
      <c r="J450" t="b">
        <v>0</v>
      </c>
      <c r="K450" t="b">
        <v>1</v>
      </c>
      <c r="L450" t="n">
        <v>11</v>
      </c>
      <c r="M450" t="inlineStr">
        <is>
          <t>FF002060</t>
        </is>
      </c>
      <c r="N450" t="inlineStr">
        <is>
          <t>Values must be of type &lt;class 'str'&gt;</t>
        </is>
      </c>
      <c r="O450" t="inlineStr">
        <is>
          <t>center</t>
        </is>
      </c>
      <c r="P450" t="n">
        <v/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Assumptions Sheet</t>
        </is>
      </c>
      <c r="B451" t="inlineStr">
        <is>
          <t>O27</t>
        </is>
      </c>
      <c r="C451" t="n">
        <v>27</v>
      </c>
      <c r="D451" t="n">
        <v>15</v>
      </c>
      <c r="E451" t="inlineStr">
        <is>
          <t>Input</t>
        </is>
      </c>
      <c r="F451" t="n">
        <v/>
      </c>
      <c r="G451" t="n">
        <v>0.125</v>
      </c>
      <c r="H451" t="inlineStr"/>
      <c r="I451" t="inlineStr">
        <is>
          <t>0.00%</t>
        </is>
      </c>
      <c r="J451" t="b">
        <v>0</v>
      </c>
      <c r="K451" t="b">
        <v>1</v>
      </c>
      <c r="L451" t="n">
        <v>11</v>
      </c>
      <c r="M451" t="inlineStr">
        <is>
          <t>FF002060</t>
        </is>
      </c>
      <c r="N451" t="inlineStr">
        <is>
          <t>Values must be of type &lt;class 'str'&gt;</t>
        </is>
      </c>
      <c r="O451" t="inlineStr">
        <is>
          <t>center</t>
        </is>
      </c>
      <c r="P451" t="n">
        <v/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Assumptions Sheet</t>
        </is>
      </c>
      <c r="B452" t="inlineStr">
        <is>
          <t>P27</t>
        </is>
      </c>
      <c r="C452" t="n">
        <v>27</v>
      </c>
      <c r="D452" t="n">
        <v>16</v>
      </c>
      <c r="E452" t="inlineStr">
        <is>
          <t>Input</t>
        </is>
      </c>
      <c r="F452" t="n">
        <v/>
      </c>
      <c r="G452" t="n">
        <v>0.125</v>
      </c>
      <c r="H452" t="inlineStr"/>
      <c r="I452" t="inlineStr">
        <is>
          <t>0.00%</t>
        </is>
      </c>
      <c r="J452" t="b">
        <v>0</v>
      </c>
      <c r="K452" t="b">
        <v>1</v>
      </c>
      <c r="L452" t="n">
        <v>11</v>
      </c>
      <c r="M452" t="inlineStr">
        <is>
          <t>FF002060</t>
        </is>
      </c>
      <c r="N452" t="inlineStr">
        <is>
          <t>Values must be of type &lt;class 'str'&gt;</t>
        </is>
      </c>
      <c r="O452" t="inlineStr">
        <is>
          <t>center</t>
        </is>
      </c>
      <c r="P452" t="n">
        <v/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Assumptions Sheet</t>
        </is>
      </c>
      <c r="B453" t="inlineStr">
        <is>
          <t>B28</t>
        </is>
      </c>
      <c r="C453" t="n">
        <v>28</v>
      </c>
      <c r="D453" t="n">
        <v>2</v>
      </c>
      <c r="E453" t="inlineStr">
        <is>
          <t>Input</t>
        </is>
      </c>
      <c r="F453" t="n">
        <v/>
      </c>
      <c r="G453" t="inlineStr">
        <is>
          <t>Other
operating
revenue</t>
        </is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Values must be of type &lt;class 'str'&gt;</t>
        </is>
      </c>
      <c r="O453" t="inlineStr">
        <is>
          <t>left</t>
        </is>
      </c>
      <c r="P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Assumptions Sheet</t>
        </is>
      </c>
      <c r="B454" t="inlineStr">
        <is>
          <t>C28</t>
        </is>
      </c>
      <c r="C454" t="n">
        <v>28</v>
      </c>
      <c r="D454" t="n">
        <v>3</v>
      </c>
      <c r="E454" t="inlineStr">
        <is>
          <t>Input</t>
        </is>
      </c>
      <c r="F454" t="n">
        <v/>
      </c>
      <c r="G454" t="n">
        <v>29.57</v>
      </c>
      <c r="H454" t="inlineStr"/>
      <c r="I454" t="inlineStr">
        <is>
          <t>0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Values must be of type &lt;class 'str'&gt;</t>
        </is>
      </c>
      <c r="O454" t="inlineStr">
        <is>
          <t>center</t>
        </is>
      </c>
      <c r="P454" t="n">
        <v/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Assumptions Sheet</t>
        </is>
      </c>
      <c r="B455" t="inlineStr">
        <is>
          <t>D28</t>
        </is>
      </c>
      <c r="C455" t="n">
        <v>28</v>
      </c>
      <c r="D455" t="n">
        <v>4</v>
      </c>
      <c r="E455" t="inlineStr">
        <is>
          <t>Input</t>
        </is>
      </c>
      <c r="F455" t="n">
        <v/>
      </c>
      <c r="G455" t="n">
        <v>67.69</v>
      </c>
      <c r="H455" t="inlineStr"/>
      <c r="I455" t="inlineStr">
        <is>
          <t>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Values must be of type &lt;class 'str'&gt;</t>
        </is>
      </c>
      <c r="O455" t="inlineStr">
        <is>
          <t>center</t>
        </is>
      </c>
      <c r="P455" t="n">
        <v/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Assumptions Sheet</t>
        </is>
      </c>
      <c r="B456" t="inlineStr">
        <is>
          <t>E28</t>
        </is>
      </c>
      <c r="C456" t="n">
        <v>28</v>
      </c>
      <c r="D456" t="n">
        <v>5</v>
      </c>
      <c r="E456" t="inlineStr">
        <is>
          <t>Input</t>
        </is>
      </c>
      <c r="F456" t="n">
        <v/>
      </c>
      <c r="G456" t="n">
        <v>93.22</v>
      </c>
      <c r="H456" t="inlineStr"/>
      <c r="I456" t="inlineStr">
        <is>
          <t>0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Values must be of type &lt;class 'str'&gt;</t>
        </is>
      </c>
      <c r="O456" t="inlineStr">
        <is>
          <t>center</t>
        </is>
      </c>
      <c r="P456" t="n">
        <v/>
      </c>
      <c r="R456" t="b">
        <v>1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Assumptions Sheet</t>
        </is>
      </c>
      <c r="B457" t="inlineStr">
        <is>
          <t>F28</t>
        </is>
      </c>
      <c r="C457" t="n">
        <v>28</v>
      </c>
      <c r="D457" t="n">
        <v>6</v>
      </c>
      <c r="E457" t="inlineStr">
        <is>
          <t>Input</t>
        </is>
      </c>
      <c r="F457" t="n">
        <v/>
      </c>
      <c r="G457" t="n">
        <v>111.29</v>
      </c>
      <c r="H457" t="inlineStr"/>
      <c r="I457" t="inlineStr">
        <is>
          <t>0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Values must be of type &lt;class 'str'&gt;</t>
        </is>
      </c>
      <c r="O457" t="inlineStr">
        <is>
          <t>center</t>
        </is>
      </c>
      <c r="P457" t="n">
        <v/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Assumptions Sheet</t>
        </is>
      </c>
      <c r="B458" t="inlineStr">
        <is>
          <t>G28</t>
        </is>
      </c>
      <c r="C458" t="n">
        <v>28</v>
      </c>
      <c r="D458" t="n">
        <v>7</v>
      </c>
      <c r="E458" t="inlineStr">
        <is>
          <t>Input</t>
        </is>
      </c>
      <c r="F458" t="n">
        <v/>
      </c>
      <c r="G458" t="n">
        <v>372.69</v>
      </c>
      <c r="H458" t="inlineStr"/>
      <c r="I458" t="inlineStr">
        <is>
          <t>0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Values must be of type &lt;class 'str'&gt;</t>
        </is>
      </c>
      <c r="O458" t="inlineStr">
        <is>
          <t>center</t>
        </is>
      </c>
      <c r="P458" t="n">
        <v/>
      </c>
      <c r="R458" t="b">
        <v>1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</row>
    <row r="459">
      <c r="A459" t="inlineStr">
        <is>
          <t>Assumptions Sheet</t>
        </is>
      </c>
      <c r="B459" t="inlineStr">
        <is>
          <t>H28</t>
        </is>
      </c>
      <c r="C459" t="n">
        <v>28</v>
      </c>
      <c r="D459" t="n">
        <v>8</v>
      </c>
      <c r="E459" t="inlineStr">
        <is>
          <t>Input</t>
        </is>
      </c>
      <c r="F459" t="n">
        <v/>
      </c>
      <c r="G459" t="n">
        <v>589.5</v>
      </c>
      <c r="H459" t="inlineStr"/>
      <c r="I459" t="inlineStr">
        <is>
          <t>0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inlineStr">
        <is>
          <t>center</t>
        </is>
      </c>
      <c r="P459" t="n">
        <v/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Assumptions Sheet</t>
        </is>
      </c>
      <c r="B460" t="inlineStr">
        <is>
          <t>I28</t>
        </is>
      </c>
      <c r="C460" t="n">
        <v>28</v>
      </c>
      <c r="D460" t="n">
        <v>9</v>
      </c>
      <c r="E460" t="inlineStr">
        <is>
          <t>Input</t>
        </is>
      </c>
      <c r="F460" t="n">
        <v/>
      </c>
      <c r="G460" t="n">
        <v>754.9</v>
      </c>
      <c r="H460" t="inlineStr"/>
      <c r="I460" t="inlineStr">
        <is>
          <t>0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inlineStr">
        <is>
          <t>center</t>
        </is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Assumptions Sheet</t>
        </is>
      </c>
      <c r="B461" t="inlineStr">
        <is>
          <t>J28</t>
        </is>
      </c>
      <c r="C461" t="n">
        <v>28</v>
      </c>
      <c r="D461" t="n">
        <v>10</v>
      </c>
      <c r="E461" t="inlineStr">
        <is>
          <t>Input</t>
        </is>
      </c>
      <c r="F461" t="n">
        <v/>
      </c>
      <c r="G461" t="n">
        <v>1167</v>
      </c>
      <c r="H461" t="inlineStr"/>
      <c r="I461" t="inlineStr">
        <is>
          <t>0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inlineStr">
        <is>
          <t>center</t>
        </is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Assumptions Sheet</t>
        </is>
      </c>
      <c r="B462" t="inlineStr">
        <is>
          <t>K28</t>
        </is>
      </c>
      <c r="C462" t="n">
        <v>28</v>
      </c>
      <c r="D462" t="n">
        <v>11</v>
      </c>
      <c r="E462" t="inlineStr">
        <is>
          <t>Calculation</t>
        </is>
      </c>
      <c r="F462" t="inlineStr">
        <is>
          <t>'=K29*K24</t>
        </is>
      </c>
      <c r="G462" t="n">
        <v>1694.710103223194</v>
      </c>
      <c r="H462" t="inlineStr"/>
      <c r="I462" t="inlineStr">
        <is>
          <t>0</t>
        </is>
      </c>
      <c r="J462" t="b">
        <v>0</v>
      </c>
      <c r="K462" t="b">
        <v>0</v>
      </c>
      <c r="L462" t="n">
        <v>11</v>
      </c>
      <c r="M462" t="inlineStr">
        <is>
          <t>FFFF0000</t>
        </is>
      </c>
      <c r="N462" t="inlineStr">
        <is>
          <t>Values must be of type &lt;class 'str'&gt;</t>
        </is>
      </c>
      <c r="O462" t="inlineStr">
        <is>
          <t>center</t>
        </is>
      </c>
      <c r="P462" t="n">
        <v/>
      </c>
      <c r="R462" t="b">
        <v>1</v>
      </c>
      <c r="S462" t="inlineStr">
        <is>
          <t>G000034</t>
        </is>
      </c>
      <c r="T462" t="inlineStr">
        <is>
          <t>Horizontal</t>
        </is>
      </c>
      <c r="U462" t="n">
        <v>6</v>
      </c>
      <c r="V462" t="b">
        <v>1</v>
      </c>
      <c r="W462" t="inlineStr">
        <is>
          <t>Assumptions Sheet!K28:P28</t>
        </is>
      </c>
      <c r="X462">
        <f>R[1]C[0]*R[-4]C[0]</f>
        <v/>
      </c>
    </row>
    <row r="463">
      <c r="A463" t="inlineStr">
        <is>
          <t>Assumptions Sheet</t>
        </is>
      </c>
      <c r="B463" t="inlineStr">
        <is>
          <t>L28</t>
        </is>
      </c>
      <c r="C463" t="n">
        <v>28</v>
      </c>
      <c r="D463" t="n">
        <v>12</v>
      </c>
      <c r="E463" t="inlineStr">
        <is>
          <t>Calculation</t>
        </is>
      </c>
      <c r="F463" t="inlineStr">
        <is>
          <t>'=L29*L24</t>
        </is>
      </c>
      <c r="G463" t="n">
        <v>2189.986569147833</v>
      </c>
      <c r="H463" t="inlineStr"/>
      <c r="I463" t="inlineStr">
        <is>
          <t>0</t>
        </is>
      </c>
      <c r="J463" t="b">
        <v>0</v>
      </c>
      <c r="K463" t="b">
        <v>0</v>
      </c>
      <c r="L463" t="n">
        <v>11</v>
      </c>
      <c r="M463" t="inlineStr">
        <is>
          <t>FFFF0000</t>
        </is>
      </c>
      <c r="N463" t="inlineStr">
        <is>
          <t>Values must be of type &lt;class 'str'&gt;</t>
        </is>
      </c>
      <c r="O463" t="inlineStr">
        <is>
          <t>center</t>
        </is>
      </c>
      <c r="P463" t="n">
        <v/>
      </c>
      <c r="R463" t="b">
        <v>1</v>
      </c>
      <c r="S463" t="inlineStr">
        <is>
          <t>G000034</t>
        </is>
      </c>
      <c r="T463" t="inlineStr">
        <is>
          <t>Horizontal</t>
        </is>
      </c>
      <c r="U463" t="n">
        <v>6</v>
      </c>
      <c r="V463" t="b">
        <v>1</v>
      </c>
      <c r="W463" t="inlineStr">
        <is>
          <t>Assumptions Sheet!K28:P28</t>
        </is>
      </c>
      <c r="X463">
        <f>R[1]C[0]*R[-4]C[0]</f>
        <v/>
      </c>
    </row>
    <row r="464">
      <c r="A464" t="inlineStr">
        <is>
          <t>Assumptions Sheet</t>
        </is>
      </c>
      <c r="B464" t="inlineStr">
        <is>
          <t>M28</t>
        </is>
      </c>
      <c r="C464" t="n">
        <v>28</v>
      </c>
      <c r="D464" t="n">
        <v>13</v>
      </c>
      <c r="E464" t="inlineStr">
        <is>
          <t>Calculation</t>
        </is>
      </c>
      <c r="F464" t="inlineStr">
        <is>
          <t>'=M29*M24</t>
        </is>
      </c>
      <c r="G464" t="n">
        <v>2815.585217313399</v>
      </c>
      <c r="H464" t="inlineStr"/>
      <c r="I464" t="inlineStr">
        <is>
          <t>0</t>
        </is>
      </c>
      <c r="J464" t="b">
        <v>0</v>
      </c>
      <c r="K464" t="b">
        <v>0</v>
      </c>
      <c r="L464" t="n">
        <v>11</v>
      </c>
      <c r="M464" t="inlineStr">
        <is>
          <t>FFFF0000</t>
        </is>
      </c>
      <c r="N464" t="inlineStr">
        <is>
          <t>Values must be of type &lt;class 'str'&gt;</t>
        </is>
      </c>
      <c r="O464" t="inlineStr">
        <is>
          <t>center</t>
        </is>
      </c>
      <c r="P464" t="n">
        <v/>
      </c>
      <c r="R464" t="b">
        <v>1</v>
      </c>
      <c r="S464" t="inlineStr">
        <is>
          <t>G000034</t>
        </is>
      </c>
      <c r="T464" t="inlineStr">
        <is>
          <t>Horizontal</t>
        </is>
      </c>
      <c r="U464" t="n">
        <v>6</v>
      </c>
      <c r="V464" t="b">
        <v>1</v>
      </c>
      <c r="W464" t="inlineStr">
        <is>
          <t>Assumptions Sheet!K28:P28</t>
        </is>
      </c>
      <c r="X464">
        <f>R[1]C[0]*R[-4]C[0]</f>
        <v/>
      </c>
    </row>
    <row r="465">
      <c r="A465" t="inlineStr">
        <is>
          <t>Assumptions Sheet</t>
        </is>
      </c>
      <c r="B465" t="inlineStr">
        <is>
          <t>N28</t>
        </is>
      </c>
      <c r="C465" t="n">
        <v>28</v>
      </c>
      <c r="D465" t="n">
        <v>14</v>
      </c>
      <c r="E465" t="inlineStr">
        <is>
          <t>Calculation</t>
        </is>
      </c>
      <c r="F465" t="inlineStr">
        <is>
          <t>'=N29*N24</t>
        </is>
      </c>
      <c r="G465" t="n">
        <v>3603.823861979279</v>
      </c>
      <c r="H465" t="inlineStr"/>
      <c r="I465" t="inlineStr">
        <is>
          <t>0</t>
        </is>
      </c>
      <c r="J465" t="b">
        <v>0</v>
      </c>
      <c r="K465" t="b">
        <v>0</v>
      </c>
      <c r="L465" t="n">
        <v>11</v>
      </c>
      <c r="M465" t="inlineStr">
        <is>
          <t>FFFF0000</t>
        </is>
      </c>
      <c r="N465" t="inlineStr">
        <is>
          <t>Values must be of type &lt;class 'str'&gt;</t>
        </is>
      </c>
      <c r="O465" t="inlineStr">
        <is>
          <t>center</t>
        </is>
      </c>
      <c r="P465" t="n">
        <v/>
      </c>
      <c r="R465" t="b">
        <v>1</v>
      </c>
      <c r="S465" t="inlineStr">
        <is>
          <t>G000034</t>
        </is>
      </c>
      <c r="T465" t="inlineStr">
        <is>
          <t>Horizontal</t>
        </is>
      </c>
      <c r="U465" t="n">
        <v>6</v>
      </c>
      <c r="V465" t="b">
        <v>1</v>
      </c>
      <c r="W465" t="inlineStr">
        <is>
          <t>Assumptions Sheet!K28:P28</t>
        </is>
      </c>
      <c r="X465">
        <f>R[1]C[0]*R[-4]C[0]</f>
        <v/>
      </c>
    </row>
    <row r="466">
      <c r="A466" t="inlineStr">
        <is>
          <t>Assumptions Sheet</t>
        </is>
      </c>
      <c r="B466" t="inlineStr">
        <is>
          <t>O28</t>
        </is>
      </c>
      <c r="C466" t="n">
        <v>28</v>
      </c>
      <c r="D466" t="n">
        <v>15</v>
      </c>
      <c r="E466" t="inlineStr">
        <is>
          <t>Calculation</t>
        </is>
      </c>
      <c r="F466" t="inlineStr">
        <is>
          <t>'=O29*O24</t>
        </is>
      </c>
      <c r="G466" t="n">
        <v>4594.734555818975</v>
      </c>
      <c r="H466" t="inlineStr"/>
      <c r="I466" t="inlineStr">
        <is>
          <t>0</t>
        </is>
      </c>
      <c r="J466" t="b">
        <v>0</v>
      </c>
      <c r="K466" t="b">
        <v>0</v>
      </c>
      <c r="L466" t="n">
        <v>11</v>
      </c>
      <c r="M466" t="inlineStr">
        <is>
          <t>FFFF0000</t>
        </is>
      </c>
      <c r="N466" t="inlineStr">
        <is>
          <t>Values must be of type &lt;class 'str'&gt;</t>
        </is>
      </c>
      <c r="O466" t="inlineStr">
        <is>
          <t>center</t>
        </is>
      </c>
      <c r="P466" t="n">
        <v/>
      </c>
      <c r="R466" t="b">
        <v>1</v>
      </c>
      <c r="S466" t="inlineStr">
        <is>
          <t>G000034</t>
        </is>
      </c>
      <c r="T466" t="inlineStr">
        <is>
          <t>Horizontal</t>
        </is>
      </c>
      <c r="U466" t="n">
        <v>6</v>
      </c>
      <c r="V466" t="b">
        <v>1</v>
      </c>
      <c r="W466" t="inlineStr">
        <is>
          <t>Assumptions Sheet!K28:P28</t>
        </is>
      </c>
      <c r="X466">
        <f>R[1]C[0]*R[-4]C[0]</f>
        <v/>
      </c>
    </row>
    <row r="467">
      <c r="A467" t="inlineStr">
        <is>
          <t>Assumptions Sheet</t>
        </is>
      </c>
      <c r="B467" t="inlineStr">
        <is>
          <t>P28</t>
        </is>
      </c>
      <c r="C467" t="n">
        <v>28</v>
      </c>
      <c r="D467" t="n">
        <v>16</v>
      </c>
      <c r="E467" t="inlineStr">
        <is>
          <t>Calculation</t>
        </is>
      </c>
      <c r="F467" t="inlineStr">
        <is>
          <t>'=P29*P24</t>
        </is>
      </c>
      <c r="G467" t="n">
        <v>5837.856572715378</v>
      </c>
      <c r="H467" t="inlineStr"/>
      <c r="I467" t="inlineStr">
        <is>
          <t>0</t>
        </is>
      </c>
      <c r="J467" t="b">
        <v>0</v>
      </c>
      <c r="K467" t="b">
        <v>0</v>
      </c>
      <c r="L467" t="n">
        <v>11</v>
      </c>
      <c r="M467" t="inlineStr">
        <is>
          <t>FFFF0000</t>
        </is>
      </c>
      <c r="N467" t="inlineStr">
        <is>
          <t>Values must be of type &lt;class 'str'&gt;</t>
        </is>
      </c>
      <c r="O467" t="inlineStr">
        <is>
          <t>center</t>
        </is>
      </c>
      <c r="P467" t="n">
        <v/>
      </c>
      <c r="R467" t="b">
        <v>1</v>
      </c>
      <c r="S467" t="inlineStr">
        <is>
          <t>G000034</t>
        </is>
      </c>
      <c r="T467" t="inlineStr">
        <is>
          <t>Horizontal</t>
        </is>
      </c>
      <c r="U467" t="n">
        <v>6</v>
      </c>
      <c r="V467" t="b">
        <v>1</v>
      </c>
      <c r="W467" t="inlineStr">
        <is>
          <t>Assumptions Sheet!K28:P28</t>
        </is>
      </c>
      <c r="X467">
        <f>R[1]C[0]*R[-4]C[0]</f>
        <v/>
      </c>
    </row>
    <row r="468">
      <c r="A468" t="inlineStr">
        <is>
          <t>Assumptions Sheet</t>
        </is>
      </c>
      <c r="B468" t="inlineStr">
        <is>
          <t>Q28</t>
        </is>
      </c>
      <c r="C468" t="n">
        <v>28</v>
      </c>
      <c r="D468" t="n">
        <v>17</v>
      </c>
      <c r="E468" t="inlineStr">
        <is>
          <t>Input</t>
        </is>
      </c>
      <c r="F468" t="n">
        <v/>
      </c>
      <c r="G468" t="n">
        <v>0.19</v>
      </c>
      <c r="H468" t="inlineStr"/>
      <c r="I468" t="inlineStr">
        <is>
          <t>0%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n">
        <v/>
      </c>
      <c r="P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Assumptions Sheet</t>
        </is>
      </c>
      <c r="B469" t="inlineStr">
        <is>
          <t>B29</t>
        </is>
      </c>
      <c r="C469" t="n">
        <v>29</v>
      </c>
      <c r="D469" t="n">
        <v>2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inlineStr">
        <is>
          <t>left</t>
        </is>
      </c>
      <c r="P469" t="n">
        <v/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Assumptions Sheet</t>
        </is>
      </c>
      <c r="B470" t="inlineStr">
        <is>
          <t>C29</t>
        </is>
      </c>
      <c r="C470" t="n">
        <v>29</v>
      </c>
      <c r="D470" t="n">
        <v>3</v>
      </c>
      <c r="E470" t="inlineStr">
        <is>
          <t>Output</t>
        </is>
      </c>
      <c r="F470" t="inlineStr">
        <is>
          <t>'=C28/C$24</t>
        </is>
      </c>
      <c r="G470" t="n">
        <v>0.001271287181495699</v>
      </c>
      <c r="H470" t="inlineStr"/>
      <c r="I470" t="inlineStr">
        <is>
          <t>0.00%</t>
        </is>
      </c>
      <c r="J470" t="b">
        <v>0</v>
      </c>
      <c r="K470" t="b">
        <v>1</v>
      </c>
      <c r="L470" t="n">
        <v>11</v>
      </c>
      <c r="M470" t="inlineStr">
        <is>
          <t>Values must be of type &lt;class 'str'&gt;</t>
        </is>
      </c>
      <c r="N470" t="inlineStr">
        <is>
          <t>Values must be of type &lt;class 'str'&gt;</t>
        </is>
      </c>
      <c r="O470" t="inlineStr">
        <is>
          <t>center</t>
        </is>
      </c>
      <c r="P470" t="n">
        <v/>
      </c>
      <c r="R470" t="b">
        <v>1</v>
      </c>
      <c r="S470" t="inlineStr">
        <is>
          <t>G000032</t>
        </is>
      </c>
      <c r="T470" t="inlineStr">
        <is>
          <t>Horizontal</t>
        </is>
      </c>
      <c r="U470" t="n">
        <v>8</v>
      </c>
      <c r="V470" t="b">
        <v>1</v>
      </c>
      <c r="W470" t="inlineStr">
        <is>
          <t>Assumptions Sheet!C29:J29</t>
        </is>
      </c>
      <c r="X470">
        <f>R[-1]C[0]/R24C[0]</f>
        <v/>
      </c>
    </row>
    <row r="471">
      <c r="A471" t="inlineStr">
        <is>
          <t>Assumptions Sheet</t>
        </is>
      </c>
      <c r="B471" t="inlineStr">
        <is>
          <t>D29</t>
        </is>
      </c>
      <c r="C471" t="n">
        <v>29</v>
      </c>
      <c r="D471" t="n">
        <v>4</v>
      </c>
      <c r="E471" t="inlineStr">
        <is>
          <t>Calculation</t>
        </is>
      </c>
      <c r="F471" t="inlineStr">
        <is>
          <t>'=D28/D$24</t>
        </is>
      </c>
      <c r="G471" t="n">
        <v>0.001996174563976377</v>
      </c>
      <c r="H471" t="inlineStr"/>
      <c r="I471" t="inlineStr">
        <is>
          <t>0.00%</t>
        </is>
      </c>
      <c r="J471" t="b">
        <v>0</v>
      </c>
      <c r="K471" t="b">
        <v>1</v>
      </c>
      <c r="L471" t="n">
        <v>11</v>
      </c>
      <c r="M471" t="inlineStr">
        <is>
          <t>Values must be of type &lt;class 'str'&gt;</t>
        </is>
      </c>
      <c r="N471" t="inlineStr">
        <is>
          <t>Values must be of type &lt;class 'str'&gt;</t>
        </is>
      </c>
      <c r="O471" t="inlineStr">
        <is>
          <t>center</t>
        </is>
      </c>
      <c r="P471" t="n">
        <v/>
      </c>
      <c r="R471" t="b">
        <v>1</v>
      </c>
      <c r="S471" t="inlineStr">
        <is>
          <t>G000032</t>
        </is>
      </c>
      <c r="T471" t="inlineStr">
        <is>
          <t>Horizontal</t>
        </is>
      </c>
      <c r="U471" t="n">
        <v>8</v>
      </c>
      <c r="V471" t="b">
        <v>1</v>
      </c>
      <c r="W471" t="inlineStr">
        <is>
          <t>Assumptions Sheet!C29:J29</t>
        </is>
      </c>
      <c r="X471">
        <f>R[-1]C[0]/R24C[0]</f>
        <v/>
      </c>
    </row>
    <row r="472">
      <c r="A472" t="inlineStr">
        <is>
          <t>Assumptions Sheet</t>
        </is>
      </c>
      <c r="B472" t="inlineStr">
        <is>
          <t>E29</t>
        </is>
      </c>
      <c r="C472" t="n">
        <v>29</v>
      </c>
      <c r="D472" t="n">
        <v>5</v>
      </c>
      <c r="E472" t="inlineStr">
        <is>
          <t>Calculation</t>
        </is>
      </c>
      <c r="F472" t="inlineStr">
        <is>
          <t>'=E28/E$24</t>
        </is>
      </c>
      <c r="G472" t="n">
        <v>0.001869146135868196</v>
      </c>
      <c r="H472" t="inlineStr"/>
      <c r="I472" t="inlineStr">
        <is>
          <t>0.00%</t>
        </is>
      </c>
      <c r="J472" t="b">
        <v>0</v>
      </c>
      <c r="K472" t="b">
        <v>1</v>
      </c>
      <c r="L472" t="n">
        <v>11</v>
      </c>
      <c r="M472" t="inlineStr">
        <is>
          <t>Values must be of type &lt;class 'str'&gt;</t>
        </is>
      </c>
      <c r="N472" t="inlineStr">
        <is>
          <t>Values must be of type &lt;class 'str'&gt;</t>
        </is>
      </c>
      <c r="O472" t="inlineStr">
        <is>
          <t>center</t>
        </is>
      </c>
      <c r="P472" t="n">
        <v/>
      </c>
      <c r="R472" t="b">
        <v>1</v>
      </c>
      <c r="S472" t="inlineStr">
        <is>
          <t>G000032</t>
        </is>
      </c>
      <c r="T472" t="inlineStr">
        <is>
          <t>Horizontal</t>
        </is>
      </c>
      <c r="U472" t="n">
        <v>8</v>
      </c>
      <c r="V472" t="b">
        <v>1</v>
      </c>
      <c r="W472" t="inlineStr">
        <is>
          <t>Assumptions Sheet!C29:J29</t>
        </is>
      </c>
      <c r="X472">
        <f>R[-1]C[0]/R24C[0]</f>
        <v/>
      </c>
    </row>
    <row r="473">
      <c r="A473" t="inlineStr">
        <is>
          <t>Assumptions Sheet</t>
        </is>
      </c>
      <c r="B473" t="inlineStr">
        <is>
          <t>F29</t>
        </is>
      </c>
      <c r="C473" t="n">
        <v>29</v>
      </c>
      <c r="D473" t="n">
        <v>6</v>
      </c>
      <c r="E473" t="inlineStr">
        <is>
          <t>Calculation</t>
        </is>
      </c>
      <c r="F473" t="inlineStr">
        <is>
          <t>'=F28/F$24</t>
        </is>
      </c>
      <c r="G473" t="n">
        <v>0.001346251574245792</v>
      </c>
      <c r="H473" t="inlineStr"/>
      <c r="I473" t="inlineStr">
        <is>
          <t>0.00%</t>
        </is>
      </c>
      <c r="J473" t="b">
        <v>0</v>
      </c>
      <c r="K473" t="b">
        <v>1</v>
      </c>
      <c r="L473" t="n">
        <v>11</v>
      </c>
      <c r="M473" t="inlineStr">
        <is>
          <t>Values must be of type &lt;class 'str'&gt;</t>
        </is>
      </c>
      <c r="N473" t="inlineStr">
        <is>
          <t>Values must be of type &lt;class 'str'&gt;</t>
        </is>
      </c>
      <c r="O473" t="inlineStr">
        <is>
          <t>center</t>
        </is>
      </c>
      <c r="P473" t="n">
        <v/>
      </c>
      <c r="R473" t="b">
        <v>1</v>
      </c>
      <c r="S473" t="inlineStr">
        <is>
          <t>G000032</t>
        </is>
      </c>
      <c r="T473" t="inlineStr">
        <is>
          <t>Horizontal</t>
        </is>
      </c>
      <c r="U473" t="n">
        <v>8</v>
      </c>
      <c r="V473" t="b">
        <v>1</v>
      </c>
      <c r="W473" t="inlineStr">
        <is>
          <t>Assumptions Sheet!C29:J29</t>
        </is>
      </c>
      <c r="X473">
        <f>R[-1]C[0]/R24C[0]</f>
        <v/>
      </c>
    </row>
    <row r="474">
      <c r="A474" t="inlineStr">
        <is>
          <t>Assumptions Sheet</t>
        </is>
      </c>
      <c r="B474" t="inlineStr">
        <is>
          <t>G29</t>
        </is>
      </c>
      <c r="C474" t="n">
        <v>29</v>
      </c>
      <c r="D474" t="n">
        <v>7</v>
      </c>
      <c r="E474" t="inlineStr">
        <is>
          <t>Calculation</t>
        </is>
      </c>
      <c r="F474" t="inlineStr">
        <is>
          <t>'=G28/G$24</t>
        </is>
      </c>
      <c r="G474" t="n">
        <v>0.003755447787445827</v>
      </c>
      <c r="H474" t="inlineStr"/>
      <c r="I474" t="inlineStr">
        <is>
          <t>0.00%</t>
        </is>
      </c>
      <c r="J474" t="b">
        <v>0</v>
      </c>
      <c r="K474" t="b">
        <v>1</v>
      </c>
      <c r="L474" t="n">
        <v>11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inlineStr">
        <is>
          <t>center</t>
        </is>
      </c>
      <c r="P474" t="n">
        <v/>
      </c>
      <c r="R474" t="b">
        <v>1</v>
      </c>
      <c r="S474" t="inlineStr">
        <is>
          <t>G000032</t>
        </is>
      </c>
      <c r="T474" t="inlineStr">
        <is>
          <t>Horizontal</t>
        </is>
      </c>
      <c r="U474" t="n">
        <v>8</v>
      </c>
      <c r="V474" t="b">
        <v>1</v>
      </c>
      <c r="W474" t="inlineStr">
        <is>
          <t>Assumptions Sheet!C29:J29</t>
        </is>
      </c>
      <c r="X474">
        <f>R[-1]C[0]/R24C[0]</f>
        <v/>
      </c>
    </row>
    <row r="475">
      <c r="A475" t="inlineStr">
        <is>
          <t>Assumptions Sheet</t>
        </is>
      </c>
      <c r="B475" t="inlineStr">
        <is>
          <t>H29</t>
        </is>
      </c>
      <c r="C475" t="n">
        <v>29</v>
      </c>
      <c r="D475" t="n">
        <v>8</v>
      </c>
      <c r="E475" t="inlineStr">
        <is>
          <t>Calculation</t>
        </is>
      </c>
      <c r="F475" t="inlineStr">
        <is>
          <t>'=H28/H$24</t>
        </is>
      </c>
      <c r="G475" t="n">
        <v>0.00479506096519412</v>
      </c>
      <c r="H475" t="inlineStr"/>
      <c r="I475" t="inlineStr">
        <is>
          <t>0.00%</t>
        </is>
      </c>
      <c r="J475" t="b">
        <v>0</v>
      </c>
      <c r="K475" t="b">
        <v>1</v>
      </c>
      <c r="L475" t="n">
        <v>11</v>
      </c>
      <c r="M475" t="inlineStr">
        <is>
          <t>Values must be of type &lt;class 'str'&gt;</t>
        </is>
      </c>
      <c r="N475" t="inlineStr">
        <is>
          <t>Values must be of type &lt;class 'str'&gt;</t>
        </is>
      </c>
      <c r="O475" t="inlineStr">
        <is>
          <t>center</t>
        </is>
      </c>
      <c r="P475" t="n">
        <v/>
      </c>
      <c r="R475" t="b">
        <v>1</v>
      </c>
      <c r="S475" t="inlineStr">
        <is>
          <t>G000032</t>
        </is>
      </c>
      <c r="T475" t="inlineStr">
        <is>
          <t>Horizontal</t>
        </is>
      </c>
      <c r="U475" t="n">
        <v>8</v>
      </c>
      <c r="V475" t="b">
        <v>1</v>
      </c>
      <c r="W475" t="inlineStr">
        <is>
          <t>Assumptions Sheet!C29:J29</t>
        </is>
      </c>
      <c r="X475">
        <f>R[-1]C[0]/R24C[0]</f>
        <v/>
      </c>
    </row>
    <row r="476">
      <c r="A476" t="inlineStr">
        <is>
          <t>Assumptions Sheet</t>
        </is>
      </c>
      <c r="B476" t="inlineStr">
        <is>
          <t>I29</t>
        </is>
      </c>
      <c r="C476" t="n">
        <v>29</v>
      </c>
      <c r="D476" t="n">
        <v>9</v>
      </c>
      <c r="E476" t="inlineStr">
        <is>
          <t>Calculation</t>
        </is>
      </c>
      <c r="F476" t="inlineStr">
        <is>
          <t>'=I28/I$24</t>
        </is>
      </c>
      <c r="G476" t="n">
        <v>0.005368207553435674</v>
      </c>
      <c r="H476" t="inlineStr"/>
      <c r="I476" t="inlineStr">
        <is>
          <t>0.00%</t>
        </is>
      </c>
      <c r="J476" t="b">
        <v>0</v>
      </c>
      <c r="K476" t="b">
        <v>1</v>
      </c>
      <c r="L476" t="n">
        <v>11</v>
      </c>
      <c r="M476" t="inlineStr">
        <is>
          <t>Values must be of type &lt;class 'str'&gt;</t>
        </is>
      </c>
      <c r="N476" t="inlineStr">
        <is>
          <t>Values must be of type &lt;class 'str'&gt;</t>
        </is>
      </c>
      <c r="O476" t="inlineStr">
        <is>
          <t>center</t>
        </is>
      </c>
      <c r="P476" t="n">
        <v/>
      </c>
      <c r="R476" t="b">
        <v>1</v>
      </c>
      <c r="S476" t="inlineStr">
        <is>
          <t>G000032</t>
        </is>
      </c>
      <c r="T476" t="inlineStr">
        <is>
          <t>Horizontal</t>
        </is>
      </c>
      <c r="U476" t="n">
        <v>8</v>
      </c>
      <c r="V476" t="b">
        <v>1</v>
      </c>
      <c r="W476" t="inlineStr">
        <is>
          <t>Assumptions Sheet!C29:J29</t>
        </is>
      </c>
      <c r="X476">
        <f>R[-1]C[0]/R24C[0]</f>
        <v/>
      </c>
    </row>
    <row r="477">
      <c r="A477" t="inlineStr">
        <is>
          <t>Assumptions Sheet</t>
        </is>
      </c>
      <c r="B477" t="inlineStr">
        <is>
          <t>J29</t>
        </is>
      </c>
      <c r="C477" t="n">
        <v>29</v>
      </c>
      <c r="D477" t="n">
        <v>10</v>
      </c>
      <c r="E477" t="inlineStr">
        <is>
          <t>Calculation</t>
        </is>
      </c>
      <c r="F477" t="inlineStr">
        <is>
          <t>'=J28/J$24</t>
        </is>
      </c>
      <c r="G477" t="n">
        <v>0.007205005941814668</v>
      </c>
      <c r="H477" t="inlineStr"/>
      <c r="I477" t="inlineStr">
        <is>
          <t>0.00%</t>
        </is>
      </c>
      <c r="J477" t="b">
        <v>0</v>
      </c>
      <c r="K477" t="b">
        <v>1</v>
      </c>
      <c r="L477" t="n">
        <v>11</v>
      </c>
      <c r="M477" t="inlineStr">
        <is>
          <t>Values must be of type &lt;class 'str'&gt;</t>
        </is>
      </c>
      <c r="N477" t="inlineStr">
        <is>
          <t>Values must be of type &lt;class 'str'&gt;</t>
        </is>
      </c>
      <c r="O477" t="inlineStr">
        <is>
          <t>center</t>
        </is>
      </c>
      <c r="P477" t="n">
        <v/>
      </c>
      <c r="R477" t="b">
        <v>1</v>
      </c>
      <c r="S477" t="inlineStr">
        <is>
          <t>G000032</t>
        </is>
      </c>
      <c r="T477" t="inlineStr">
        <is>
          <t>Horizontal</t>
        </is>
      </c>
      <c r="U477" t="n">
        <v>8</v>
      </c>
      <c r="V477" t="b">
        <v>1</v>
      </c>
      <c r="W477" t="inlineStr">
        <is>
          <t>Assumptions Sheet!C29:J29</t>
        </is>
      </c>
      <c r="X477">
        <f>R[-1]C[0]/R24C[0]</f>
        <v/>
      </c>
    </row>
    <row r="478">
      <c r="A478" t="inlineStr">
        <is>
          <t>Assumptions Sheet</t>
        </is>
      </c>
      <c r="B478" t="inlineStr">
        <is>
          <t>K29</t>
        </is>
      </c>
      <c r="C478" t="n">
        <v>29</v>
      </c>
      <c r="D478" t="n">
        <v>11</v>
      </c>
      <c r="E478" t="inlineStr">
        <is>
          <t>Calculation</t>
        </is>
      </c>
      <c r="F478" t="inlineStr">
        <is>
          <t>'=J29+0.06%</t>
        </is>
      </c>
      <c r="G478" t="n">
        <v>0.007805005941814668</v>
      </c>
      <c r="H478" t="inlineStr"/>
      <c r="I478" t="inlineStr">
        <is>
          <t>0.00%</t>
        </is>
      </c>
      <c r="J478" t="b">
        <v>0</v>
      </c>
      <c r="K478" t="b">
        <v>1</v>
      </c>
      <c r="L478" t="n">
        <v>11</v>
      </c>
      <c r="M478" t="inlineStr">
        <is>
          <t>FF002060</t>
        </is>
      </c>
      <c r="N478" t="inlineStr">
        <is>
          <t>Values must be of type &lt;class 'str'&gt;</t>
        </is>
      </c>
      <c r="O478" t="inlineStr">
        <is>
          <t>center</t>
        </is>
      </c>
      <c r="P478" t="n">
        <v/>
      </c>
      <c r="R478" t="b">
        <v>1</v>
      </c>
      <c r="S478" t="inlineStr">
        <is>
          <t>G000035</t>
        </is>
      </c>
      <c r="T478" t="inlineStr">
        <is>
          <t>Horizontal</t>
        </is>
      </c>
      <c r="U478" t="n">
        <v>6</v>
      </c>
      <c r="V478" t="b">
        <v>1</v>
      </c>
      <c r="W478" t="inlineStr">
        <is>
          <t>Assumptions Sheet!K29:P29</t>
        </is>
      </c>
      <c r="X478">
        <f>R[0]C[-1]+0.06%</f>
        <v/>
      </c>
    </row>
    <row r="479">
      <c r="A479" t="inlineStr">
        <is>
          <t>Assumptions Sheet</t>
        </is>
      </c>
      <c r="B479" t="inlineStr">
        <is>
          <t>L29</t>
        </is>
      </c>
      <c r="C479" t="n">
        <v>29</v>
      </c>
      <c r="D479" t="n">
        <v>12</v>
      </c>
      <c r="E479" t="inlineStr">
        <is>
          <t>Calculation</t>
        </is>
      </c>
      <c r="F479" t="inlineStr">
        <is>
          <t>'=K29+0.06%</t>
        </is>
      </c>
      <c r="G479" t="n">
        <v>0.008405005941814668</v>
      </c>
      <c r="H479" t="inlineStr"/>
      <c r="I479" t="inlineStr">
        <is>
          <t>0.00%</t>
        </is>
      </c>
      <c r="J479" t="b">
        <v>0</v>
      </c>
      <c r="K479" t="b">
        <v>1</v>
      </c>
      <c r="L479" t="n">
        <v>11</v>
      </c>
      <c r="M479" t="inlineStr">
        <is>
          <t>FF002060</t>
        </is>
      </c>
      <c r="N479" t="inlineStr">
        <is>
          <t>Values must be of type &lt;class 'str'&gt;</t>
        </is>
      </c>
      <c r="O479" t="inlineStr">
        <is>
          <t>center</t>
        </is>
      </c>
      <c r="P479" t="n">
        <v/>
      </c>
      <c r="R479" t="b">
        <v>1</v>
      </c>
      <c r="S479" t="inlineStr">
        <is>
          <t>G000035</t>
        </is>
      </c>
      <c r="T479" t="inlineStr">
        <is>
          <t>Horizontal</t>
        </is>
      </c>
      <c r="U479" t="n">
        <v>6</v>
      </c>
      <c r="V479" t="b">
        <v>1</v>
      </c>
      <c r="W479" t="inlineStr">
        <is>
          <t>Assumptions Sheet!K29:P29</t>
        </is>
      </c>
      <c r="X479">
        <f>R[0]C[-1]+0.06%</f>
        <v/>
      </c>
    </row>
    <row r="480">
      <c r="A480" t="inlineStr">
        <is>
          <t>Assumptions Sheet</t>
        </is>
      </c>
      <c r="B480" t="inlineStr">
        <is>
          <t>M29</t>
        </is>
      </c>
      <c r="C480" t="n">
        <v>29</v>
      </c>
      <c r="D480" t="n">
        <v>13</v>
      </c>
      <c r="E480" t="inlineStr">
        <is>
          <t>Calculation</t>
        </is>
      </c>
      <c r="F480" t="inlineStr">
        <is>
          <t>'=L29+0.06%</t>
        </is>
      </c>
      <c r="G480" t="n">
        <v>0.009005005941814668</v>
      </c>
      <c r="H480" t="inlineStr"/>
      <c r="I480" t="inlineStr">
        <is>
          <t>0.00%</t>
        </is>
      </c>
      <c r="J480" t="b">
        <v>0</v>
      </c>
      <c r="K480" t="b">
        <v>1</v>
      </c>
      <c r="L480" t="n">
        <v>11</v>
      </c>
      <c r="M480" t="inlineStr">
        <is>
          <t>FF002060</t>
        </is>
      </c>
      <c r="N480" t="inlineStr">
        <is>
          <t>Values must be of type &lt;class 'str'&gt;</t>
        </is>
      </c>
      <c r="O480" t="inlineStr">
        <is>
          <t>center</t>
        </is>
      </c>
      <c r="P480" t="n">
        <v/>
      </c>
      <c r="R480" t="b">
        <v>1</v>
      </c>
      <c r="S480" t="inlineStr">
        <is>
          <t>G000035</t>
        </is>
      </c>
      <c r="T480" t="inlineStr">
        <is>
          <t>Horizontal</t>
        </is>
      </c>
      <c r="U480" t="n">
        <v>6</v>
      </c>
      <c r="V480" t="b">
        <v>1</v>
      </c>
      <c r="W480" t="inlineStr">
        <is>
          <t>Assumptions Sheet!K29:P29</t>
        </is>
      </c>
      <c r="X480">
        <f>R[0]C[-1]+0.06%</f>
        <v/>
      </c>
    </row>
    <row r="481">
      <c r="A481" t="inlineStr">
        <is>
          <t>Assumptions Sheet</t>
        </is>
      </c>
      <c r="B481" t="inlineStr">
        <is>
          <t>N29</t>
        </is>
      </c>
      <c r="C481" t="n">
        <v>29</v>
      </c>
      <c r="D481" t="n">
        <v>14</v>
      </c>
      <c r="E481" t="inlineStr">
        <is>
          <t>Calculation</t>
        </is>
      </c>
      <c r="F481" t="inlineStr">
        <is>
          <t>'=M29+0.06%</t>
        </is>
      </c>
      <c r="G481" t="n">
        <v>0.009605005941814668</v>
      </c>
      <c r="H481" t="inlineStr"/>
      <c r="I481" t="inlineStr">
        <is>
          <t>0.00%</t>
        </is>
      </c>
      <c r="J481" t="b">
        <v>0</v>
      </c>
      <c r="K481" t="b">
        <v>1</v>
      </c>
      <c r="L481" t="n">
        <v>11</v>
      </c>
      <c r="M481" t="inlineStr">
        <is>
          <t>FF002060</t>
        </is>
      </c>
      <c r="N481" t="inlineStr">
        <is>
          <t>Values must be of type &lt;class 'str'&gt;</t>
        </is>
      </c>
      <c r="O481" t="inlineStr">
        <is>
          <t>center</t>
        </is>
      </c>
      <c r="P481" t="n">
        <v/>
      </c>
      <c r="R481" t="b">
        <v>1</v>
      </c>
      <c r="S481" t="inlineStr">
        <is>
          <t>G000035</t>
        </is>
      </c>
      <c r="T481" t="inlineStr">
        <is>
          <t>Horizontal</t>
        </is>
      </c>
      <c r="U481" t="n">
        <v>6</v>
      </c>
      <c r="V481" t="b">
        <v>1</v>
      </c>
      <c r="W481" t="inlineStr">
        <is>
          <t>Assumptions Sheet!K29:P29</t>
        </is>
      </c>
      <c r="X481">
        <f>R[0]C[-1]+0.06%</f>
        <v/>
      </c>
    </row>
    <row r="482">
      <c r="A482" t="inlineStr">
        <is>
          <t>Assumptions Sheet</t>
        </is>
      </c>
      <c r="B482" t="inlineStr">
        <is>
          <t>O29</t>
        </is>
      </c>
      <c r="C482" t="n">
        <v>29</v>
      </c>
      <c r="D482" t="n">
        <v>15</v>
      </c>
      <c r="E482" t="inlineStr">
        <is>
          <t>Calculation</t>
        </is>
      </c>
      <c r="F482" t="inlineStr">
        <is>
          <t>'=N29+0.06%</t>
        </is>
      </c>
      <c r="G482" t="n">
        <v>0.01020500594181467</v>
      </c>
      <c r="H482" t="inlineStr"/>
      <c r="I482" t="inlineStr">
        <is>
          <t>0.00%</t>
        </is>
      </c>
      <c r="J482" t="b">
        <v>0</v>
      </c>
      <c r="K482" t="b">
        <v>1</v>
      </c>
      <c r="L482" t="n">
        <v>11</v>
      </c>
      <c r="M482" t="inlineStr">
        <is>
          <t>FF002060</t>
        </is>
      </c>
      <c r="N482" t="inlineStr">
        <is>
          <t>Values must be of type &lt;class 'str'&gt;</t>
        </is>
      </c>
      <c r="O482" t="inlineStr">
        <is>
          <t>center</t>
        </is>
      </c>
      <c r="P482" t="n">
        <v/>
      </c>
      <c r="R482" t="b">
        <v>1</v>
      </c>
      <c r="S482" t="inlineStr">
        <is>
          <t>G000035</t>
        </is>
      </c>
      <c r="T482" t="inlineStr">
        <is>
          <t>Horizontal</t>
        </is>
      </c>
      <c r="U482" t="n">
        <v>6</v>
      </c>
      <c r="V482" t="b">
        <v>1</v>
      </c>
      <c r="W482" t="inlineStr">
        <is>
          <t>Assumptions Sheet!K29:P29</t>
        </is>
      </c>
      <c r="X482">
        <f>R[0]C[-1]+0.06%</f>
        <v/>
      </c>
    </row>
    <row r="483">
      <c r="A483" t="inlineStr">
        <is>
          <t>Assumptions Sheet</t>
        </is>
      </c>
      <c r="B483" t="inlineStr">
        <is>
          <t>P29</t>
        </is>
      </c>
      <c r="C483" t="n">
        <v>29</v>
      </c>
      <c r="D483" t="n">
        <v>16</v>
      </c>
      <c r="E483" t="inlineStr">
        <is>
          <t>Calculation</t>
        </is>
      </c>
      <c r="F483" t="inlineStr">
        <is>
          <t>'=O29+0.06%</t>
        </is>
      </c>
      <c r="G483" t="n">
        <v>0.01080500594181467</v>
      </c>
      <c r="H483" t="inlineStr"/>
      <c r="I483" t="inlineStr">
        <is>
          <t>0.00%</t>
        </is>
      </c>
      <c r="J483" t="b">
        <v>0</v>
      </c>
      <c r="K483" t="b">
        <v>1</v>
      </c>
      <c r="L483" t="n">
        <v>11</v>
      </c>
      <c r="M483" t="inlineStr">
        <is>
          <t>FF002060</t>
        </is>
      </c>
      <c r="N483" t="inlineStr">
        <is>
          <t>Values must be of type &lt;class 'str'&gt;</t>
        </is>
      </c>
      <c r="O483" t="inlineStr">
        <is>
          <t>center</t>
        </is>
      </c>
      <c r="P483" t="n">
        <v/>
      </c>
      <c r="R483" t="b">
        <v>1</v>
      </c>
      <c r="S483" t="inlineStr">
        <is>
          <t>G000035</t>
        </is>
      </c>
      <c r="T483" t="inlineStr">
        <is>
          <t>Horizontal</t>
        </is>
      </c>
      <c r="U483" t="n">
        <v>6</v>
      </c>
      <c r="V483" t="b">
        <v>1</v>
      </c>
      <c r="W483" t="inlineStr">
        <is>
          <t>Assumptions Sheet!K29:P29</t>
        </is>
      </c>
      <c r="X483">
        <f>R[0]C[-1]+0.06%</f>
        <v/>
      </c>
    </row>
    <row r="484">
      <c r="A484" t="inlineStr">
        <is>
          <t>Assumptions Sheet</t>
        </is>
      </c>
      <c r="B484" t="inlineStr">
        <is>
          <t>B30</t>
        </is>
      </c>
      <c r="C484" t="n">
        <v>30</v>
      </c>
      <c r="D484" t="n">
        <v>2</v>
      </c>
      <c r="E484" t="inlineStr">
        <is>
          <t>Input</t>
        </is>
      </c>
      <c r="F484" t="n">
        <v/>
      </c>
      <c r="G484" t="inlineStr">
        <is>
          <t>Other Income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inlineStr">
        <is>
          <t>left</t>
        </is>
      </c>
      <c r="P484" t="n">
        <v/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Assumptions Sheet</t>
        </is>
      </c>
      <c r="B485" t="inlineStr">
        <is>
          <t>C30</t>
        </is>
      </c>
      <c r="C485" t="n">
        <v>30</v>
      </c>
      <c r="D485" t="n">
        <v>3</v>
      </c>
      <c r="E485" t="inlineStr">
        <is>
          <t>Input</t>
        </is>
      </c>
      <c r="F485" t="n">
        <v/>
      </c>
      <c r="G485" t="n">
        <v>621.9299999999999</v>
      </c>
      <c r="H485" t="inlineStr"/>
      <c r="I485" t="inlineStr">
        <is>
          <t>0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inlineStr">
        <is>
          <t>center</t>
        </is>
      </c>
      <c r="P485" t="n">
        <v/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Assumptions Sheet</t>
        </is>
      </c>
      <c r="B486" t="inlineStr">
        <is>
          <t>D30</t>
        </is>
      </c>
      <c r="C486" t="n">
        <v>30</v>
      </c>
      <c r="D486" t="n">
        <v>4</v>
      </c>
      <c r="E486" t="inlineStr">
        <is>
          <t>Input</t>
        </is>
      </c>
      <c r="F486" t="n">
        <v/>
      </c>
      <c r="G486" t="n">
        <v>1107.37</v>
      </c>
      <c r="H486" t="inlineStr"/>
      <c r="I486" t="inlineStr">
        <is>
          <t>0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inlineStr">
        <is>
          <t>center</t>
        </is>
      </c>
      <c r="P486" t="n">
        <v/>
      </c>
      <c r="R486" t="b">
        <v>1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Assumptions Sheet</t>
        </is>
      </c>
      <c r="B487" t="inlineStr">
        <is>
          <t>E30</t>
        </is>
      </c>
      <c r="C487" t="n">
        <v>30</v>
      </c>
      <c r="D487" t="n">
        <v>5</v>
      </c>
      <c r="E487" t="inlineStr">
        <is>
          <t>Input</t>
        </is>
      </c>
      <c r="F487" t="n">
        <v/>
      </c>
      <c r="G487" t="n">
        <v>1439.6</v>
      </c>
      <c r="H487" t="inlineStr"/>
      <c r="I487" t="inlineStr">
        <is>
          <t>0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inlineStr">
        <is>
          <t>center</t>
        </is>
      </c>
      <c r="P487" t="n">
        <v/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Assumptions Sheet</t>
        </is>
      </c>
      <c r="B488" t="inlineStr">
        <is>
          <t>F30</t>
        </is>
      </c>
      <c r="C488" t="n">
        <v>30</v>
      </c>
      <c r="D488" t="n">
        <v>6</v>
      </c>
      <c r="E488" t="inlineStr">
        <is>
          <t>Input</t>
        </is>
      </c>
      <c r="F488" t="n">
        <v/>
      </c>
      <c r="G488" t="n">
        <v>2371.04</v>
      </c>
      <c r="H488" t="inlineStr"/>
      <c r="I488" t="inlineStr">
        <is>
          <t>0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Values must be of type &lt;class 'str'&gt;</t>
        </is>
      </c>
      <c r="O488" t="inlineStr">
        <is>
          <t>center</t>
        </is>
      </c>
      <c r="P488" t="n">
        <v/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</row>
    <row r="489">
      <c r="A489" t="inlineStr">
        <is>
          <t>Assumptions Sheet</t>
        </is>
      </c>
      <c r="B489" t="inlineStr">
        <is>
          <t>G30</t>
        </is>
      </c>
      <c r="C489" t="n">
        <v>30</v>
      </c>
      <c r="D489" t="n">
        <v>7</v>
      </c>
      <c r="E489" t="inlineStr">
        <is>
          <t>Input</t>
        </is>
      </c>
      <c r="F489" t="n">
        <v/>
      </c>
      <c r="G489" t="n">
        <v>3155.34</v>
      </c>
      <c r="H489" t="inlineStr"/>
      <c r="I489" t="inlineStr">
        <is>
          <t>0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Values must be of type &lt;class 'str'&gt;</t>
        </is>
      </c>
      <c r="O489" t="inlineStr">
        <is>
          <t>center</t>
        </is>
      </c>
      <c r="P489" t="n">
        <v/>
      </c>
      <c r="R489" t="b">
        <v>1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</row>
    <row r="490">
      <c r="A490" t="inlineStr">
        <is>
          <t>Assumptions Sheet</t>
        </is>
      </c>
      <c r="B490" t="inlineStr">
        <is>
          <t>H30</t>
        </is>
      </c>
      <c r="C490" t="n">
        <v>30</v>
      </c>
      <c r="D490" t="n">
        <v>8</v>
      </c>
      <c r="E490" t="inlineStr">
        <is>
          <t>Input</t>
        </is>
      </c>
      <c r="F490" t="n">
        <v/>
      </c>
      <c r="G490" t="n">
        <v>3945.83</v>
      </c>
      <c r="H490" t="inlineStr"/>
      <c r="I490" t="inlineStr">
        <is>
          <t>0</t>
        </is>
      </c>
      <c r="J490" t="b">
        <v>0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Values must be of type &lt;class 'str'&gt;</t>
        </is>
      </c>
      <c r="O490" t="inlineStr">
        <is>
          <t>center</t>
        </is>
      </c>
      <c r="P490" t="n">
        <v/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</row>
    <row r="491">
      <c r="A491" t="inlineStr">
        <is>
          <t>Assumptions Sheet</t>
        </is>
      </c>
      <c r="B491" t="inlineStr">
        <is>
          <t>I30</t>
        </is>
      </c>
      <c r="C491" t="n">
        <v>30</v>
      </c>
      <c r="D491" t="n">
        <v>9</v>
      </c>
      <c r="E491" t="inlineStr">
        <is>
          <t>Input</t>
        </is>
      </c>
      <c r="F491" t="n">
        <v/>
      </c>
      <c r="G491" t="n">
        <v>4613.93</v>
      </c>
      <c r="H491" t="inlineStr"/>
      <c r="I491" t="inlineStr">
        <is>
          <t>0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n">
        <v/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</row>
    <row r="492">
      <c r="A492" t="inlineStr">
        <is>
          <t>Assumptions Sheet</t>
        </is>
      </c>
      <c r="B492" t="inlineStr">
        <is>
          <t>J30</t>
        </is>
      </c>
      <c r="C492" t="n">
        <v>30</v>
      </c>
      <c r="D492" t="n">
        <v>10</v>
      </c>
      <c r="E492" t="inlineStr">
        <is>
          <t>Input</t>
        </is>
      </c>
      <c r="F492" t="n">
        <v/>
      </c>
      <c r="G492" t="n">
        <v>7890.7</v>
      </c>
      <c r="H492" t="inlineStr"/>
      <c r="I492" t="inlineStr">
        <is>
          <t>0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n">
        <v/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</row>
    <row r="493">
      <c r="A493" t="inlineStr">
        <is>
          <t>Assumptions Sheet</t>
        </is>
      </c>
      <c r="B493" t="inlineStr">
        <is>
          <t>K30</t>
        </is>
      </c>
      <c r="C493" t="n">
        <v>30</v>
      </c>
      <c r="D493" t="n">
        <v>11</v>
      </c>
      <c r="E493" t="inlineStr">
        <is>
          <t>Calculation</t>
        </is>
      </c>
      <c r="F493" t="inlineStr">
        <is>
          <t>'=K24*K31</t>
        </is>
      </c>
      <c r="G493" t="n">
        <v>6513.935219999998</v>
      </c>
      <c r="H493" t="inlineStr"/>
      <c r="I493" t="inlineStr">
        <is>
          <t>0</t>
        </is>
      </c>
      <c r="J493" t="b">
        <v>0</v>
      </c>
      <c r="K493" t="b">
        <v>0</v>
      </c>
      <c r="L493" t="n">
        <v>11</v>
      </c>
      <c r="M493" t="inlineStr">
        <is>
          <t>FFFF0000</t>
        </is>
      </c>
      <c r="N493" t="inlineStr">
        <is>
          <t>Values must be of type &lt;class 'str'&gt;</t>
        </is>
      </c>
      <c r="O493" t="inlineStr">
        <is>
          <t>center</t>
        </is>
      </c>
      <c r="P493" t="n">
        <v/>
      </c>
      <c r="R493" t="b">
        <v>1</v>
      </c>
      <c r="S493" t="inlineStr">
        <is>
          <t>G000036</t>
        </is>
      </c>
      <c r="T493" t="inlineStr">
        <is>
          <t>Horizontal</t>
        </is>
      </c>
      <c r="U493" t="n">
        <v>6</v>
      </c>
      <c r="V493" t="b">
        <v>1</v>
      </c>
      <c r="W493" t="inlineStr">
        <is>
          <t>Assumptions Sheet!K30:P30</t>
        </is>
      </c>
      <c r="X493">
        <f>R[-6]C[0]*R[1]C[0]</f>
        <v/>
      </c>
    </row>
    <row r="494">
      <c r="A494" t="inlineStr">
        <is>
          <t>Assumptions Sheet</t>
        </is>
      </c>
      <c r="B494" t="inlineStr">
        <is>
          <t>L30</t>
        </is>
      </c>
      <c r="C494" t="n">
        <v>30</v>
      </c>
      <c r="D494" t="n">
        <v>12</v>
      </c>
      <c r="E494" t="inlineStr">
        <is>
          <t>Calculation</t>
        </is>
      </c>
      <c r="F494" t="inlineStr">
        <is>
          <t>'=L24*L31</t>
        </is>
      </c>
      <c r="G494" t="n">
        <v>7816.722263999998</v>
      </c>
      <c r="H494" t="inlineStr"/>
      <c r="I494" t="inlineStr">
        <is>
          <t>0</t>
        </is>
      </c>
      <c r="J494" t="b">
        <v>0</v>
      </c>
      <c r="K494" t="b">
        <v>0</v>
      </c>
      <c r="L494" t="n">
        <v>11</v>
      </c>
      <c r="M494" t="inlineStr">
        <is>
          <t>FFFF0000</t>
        </is>
      </c>
      <c r="N494" t="inlineStr">
        <is>
          <t>Values must be of type &lt;class 'str'&gt;</t>
        </is>
      </c>
      <c r="O494" t="inlineStr">
        <is>
          <t>center</t>
        </is>
      </c>
      <c r="P494" t="n">
        <v/>
      </c>
      <c r="R494" t="b">
        <v>1</v>
      </c>
      <c r="S494" t="inlineStr">
        <is>
          <t>G000036</t>
        </is>
      </c>
      <c r="T494" t="inlineStr">
        <is>
          <t>Horizontal</t>
        </is>
      </c>
      <c r="U494" t="n">
        <v>6</v>
      </c>
      <c r="V494" t="b">
        <v>1</v>
      </c>
      <c r="W494" t="inlineStr">
        <is>
          <t>Assumptions Sheet!K30:P30</t>
        </is>
      </c>
      <c r="X494">
        <f>R[-6]C[0]*R[1]C[0]</f>
        <v/>
      </c>
    </row>
    <row r="495">
      <c r="A495" t="inlineStr">
        <is>
          <t>Assumptions Sheet</t>
        </is>
      </c>
      <c r="B495" t="inlineStr">
        <is>
          <t>M30</t>
        </is>
      </c>
      <c r="C495" t="n">
        <v>30</v>
      </c>
      <c r="D495" t="n">
        <v>13</v>
      </c>
      <c r="E495" t="inlineStr">
        <is>
          <t>Calculation</t>
        </is>
      </c>
      <c r="F495" t="inlineStr">
        <is>
          <t>'=M24*M31</t>
        </is>
      </c>
      <c r="G495" t="n">
        <v>9380.066716799996</v>
      </c>
      <c r="H495" t="inlineStr"/>
      <c r="I495" t="inlineStr">
        <is>
          <t>0</t>
        </is>
      </c>
      <c r="J495" t="b">
        <v>0</v>
      </c>
      <c r="K495" t="b">
        <v>0</v>
      </c>
      <c r="L495" t="n">
        <v>11</v>
      </c>
      <c r="M495" t="inlineStr">
        <is>
          <t>FFFF0000</t>
        </is>
      </c>
      <c r="N495" t="inlineStr">
        <is>
          <t>Values must be of type &lt;class 'str'&gt;</t>
        </is>
      </c>
      <c r="O495" t="inlineStr">
        <is>
          <t>center</t>
        </is>
      </c>
      <c r="P495" t="n">
        <v/>
      </c>
      <c r="R495" t="b">
        <v>1</v>
      </c>
      <c r="S495" t="inlineStr">
        <is>
          <t>G000036</t>
        </is>
      </c>
      <c r="T495" t="inlineStr">
        <is>
          <t>Horizontal</t>
        </is>
      </c>
      <c r="U495" t="n">
        <v>6</v>
      </c>
      <c r="V495" t="b">
        <v>1</v>
      </c>
      <c r="W495" t="inlineStr">
        <is>
          <t>Assumptions Sheet!K30:P30</t>
        </is>
      </c>
      <c r="X495">
        <f>R[-6]C[0]*R[1]C[0]</f>
        <v/>
      </c>
    </row>
    <row r="496">
      <c r="A496" t="inlineStr">
        <is>
          <t>Assumptions Sheet</t>
        </is>
      </c>
      <c r="B496" t="inlineStr">
        <is>
          <t>N30</t>
        </is>
      </c>
      <c r="C496" t="n">
        <v>30</v>
      </c>
      <c r="D496" t="n">
        <v>14</v>
      </c>
      <c r="E496" t="inlineStr">
        <is>
          <t>Calculation</t>
        </is>
      </c>
      <c r="F496" t="inlineStr">
        <is>
          <t>'=N24*N31</t>
        </is>
      </c>
      <c r="G496" t="n">
        <v>11256.08006016</v>
      </c>
      <c r="H496" t="inlineStr"/>
      <c r="I496" t="inlineStr">
        <is>
          <t>0</t>
        </is>
      </c>
      <c r="J496" t="b">
        <v>0</v>
      </c>
      <c r="K496" t="b">
        <v>0</v>
      </c>
      <c r="L496" t="n">
        <v>11</v>
      </c>
      <c r="M496" t="inlineStr">
        <is>
          <t>FFFF0000</t>
        </is>
      </c>
      <c r="N496" t="inlineStr">
        <is>
          <t>Values must be of type &lt;class 'str'&gt;</t>
        </is>
      </c>
      <c r="O496" t="inlineStr">
        <is>
          <t>center</t>
        </is>
      </c>
      <c r="P496" t="n">
        <v/>
      </c>
      <c r="R496" t="b">
        <v>1</v>
      </c>
      <c r="S496" t="inlineStr">
        <is>
          <t>G000036</t>
        </is>
      </c>
      <c r="T496" t="inlineStr">
        <is>
          <t>Horizontal</t>
        </is>
      </c>
      <c r="U496" t="n">
        <v>6</v>
      </c>
      <c r="V496" t="b">
        <v>1</v>
      </c>
      <c r="W496" t="inlineStr">
        <is>
          <t>Assumptions Sheet!K30:P30</t>
        </is>
      </c>
      <c r="X496">
        <f>R[-6]C[0]*R[1]C[0]</f>
        <v/>
      </c>
    </row>
    <row r="497">
      <c r="A497" t="inlineStr">
        <is>
          <t>Assumptions Sheet</t>
        </is>
      </c>
      <c r="B497" t="inlineStr">
        <is>
          <t>O30</t>
        </is>
      </c>
      <c r="C497" t="n">
        <v>30</v>
      </c>
      <c r="D497" t="n">
        <v>15</v>
      </c>
      <c r="E497" t="inlineStr">
        <is>
          <t>Calculation</t>
        </is>
      </c>
      <c r="F497" t="inlineStr">
        <is>
          <t>'=O24*O31</t>
        </is>
      </c>
      <c r="G497" t="n">
        <v>13507.296072192</v>
      </c>
      <c r="H497" t="inlineStr"/>
      <c r="I497" t="inlineStr">
        <is>
          <t>0</t>
        </is>
      </c>
      <c r="J497" t="b">
        <v>0</v>
      </c>
      <c r="K497" t="b">
        <v>0</v>
      </c>
      <c r="L497" t="n">
        <v>11</v>
      </c>
      <c r="M497" t="inlineStr">
        <is>
          <t>FFFF0000</t>
        </is>
      </c>
      <c r="N497" t="inlineStr">
        <is>
          <t>Values must be of type &lt;class 'str'&gt;</t>
        </is>
      </c>
      <c r="O497" t="inlineStr">
        <is>
          <t>center</t>
        </is>
      </c>
      <c r="P497" t="n">
        <v/>
      </c>
      <c r="R497" t="b">
        <v>1</v>
      </c>
      <c r="S497" t="inlineStr">
        <is>
          <t>G000036</t>
        </is>
      </c>
      <c r="T497" t="inlineStr">
        <is>
          <t>Horizontal</t>
        </is>
      </c>
      <c r="U497" t="n">
        <v>6</v>
      </c>
      <c r="V497" t="b">
        <v>1</v>
      </c>
      <c r="W497" t="inlineStr">
        <is>
          <t>Assumptions Sheet!K30:P30</t>
        </is>
      </c>
      <c r="X497">
        <f>R[-6]C[0]*R[1]C[0]</f>
        <v/>
      </c>
    </row>
    <row r="498">
      <c r="A498" t="inlineStr">
        <is>
          <t>Assumptions Sheet</t>
        </is>
      </c>
      <c r="B498" t="inlineStr">
        <is>
          <t>P30</t>
        </is>
      </c>
      <c r="C498" t="n">
        <v>30</v>
      </c>
      <c r="D498" t="n">
        <v>16</v>
      </c>
      <c r="E498" t="inlineStr">
        <is>
          <t>Calculation</t>
        </is>
      </c>
      <c r="F498" t="inlineStr">
        <is>
          <t>'=P24*P31</t>
        </is>
      </c>
      <c r="G498" t="n">
        <v>16208.7552866304</v>
      </c>
      <c r="H498" t="inlineStr"/>
      <c r="I498" t="inlineStr">
        <is>
          <t>0</t>
        </is>
      </c>
      <c r="J498" t="b">
        <v>0</v>
      </c>
      <c r="K498" t="b">
        <v>0</v>
      </c>
      <c r="L498" t="n">
        <v>11</v>
      </c>
      <c r="M498" t="inlineStr">
        <is>
          <t>FFFF0000</t>
        </is>
      </c>
      <c r="N498" t="inlineStr">
        <is>
          <t>Values must be of type &lt;class 'str'&gt;</t>
        </is>
      </c>
      <c r="O498" t="inlineStr">
        <is>
          <t>center</t>
        </is>
      </c>
      <c r="P498" t="n">
        <v/>
      </c>
      <c r="R498" t="b">
        <v>1</v>
      </c>
      <c r="S498" t="inlineStr">
        <is>
          <t>G000036</t>
        </is>
      </c>
      <c r="T498" t="inlineStr">
        <is>
          <t>Horizontal</t>
        </is>
      </c>
      <c r="U498" t="n">
        <v>6</v>
      </c>
      <c r="V498" t="b">
        <v>1</v>
      </c>
      <c r="W498" t="inlineStr">
        <is>
          <t>Assumptions Sheet!K30:P30</t>
        </is>
      </c>
      <c r="X498">
        <f>R[-6]C[0]*R[1]C[0]</f>
        <v/>
      </c>
    </row>
    <row r="499">
      <c r="A499" t="inlineStr">
        <is>
          <t>Assumptions Sheet</t>
        </is>
      </c>
      <c r="B499" t="inlineStr">
        <is>
          <t>B31</t>
        </is>
      </c>
      <c r="C499" t="n">
        <v>31</v>
      </c>
      <c r="D499" t="n">
        <v>2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Values must be of type &lt;class 'str'&gt;</t>
        </is>
      </c>
      <c r="N499" t="inlineStr">
        <is>
          <t>Values must be of type &lt;class 'str'&gt;</t>
        </is>
      </c>
      <c r="O499" t="inlineStr">
        <is>
          <t>left</t>
        </is>
      </c>
      <c r="P499" t="n">
        <v/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</row>
    <row r="500">
      <c r="A500" t="inlineStr">
        <is>
          <t>Assumptions Sheet</t>
        </is>
      </c>
      <c r="B500" t="inlineStr">
        <is>
          <t>C31</t>
        </is>
      </c>
      <c r="C500" t="n">
        <v>31</v>
      </c>
      <c r="D500" t="n">
        <v>3</v>
      </c>
      <c r="E500" t="inlineStr">
        <is>
          <t>Output</t>
        </is>
      </c>
      <c r="F500" t="inlineStr">
        <is>
          <t>'=C30/C$24</t>
        </is>
      </c>
      <c r="G500" t="n">
        <v>0.02673830357753196</v>
      </c>
      <c r="H500" t="inlineStr"/>
      <c r="I500" t="inlineStr">
        <is>
          <t>0.00%</t>
        </is>
      </c>
      <c r="J500" t="b">
        <v>0</v>
      </c>
      <c r="K500" t="b">
        <v>1</v>
      </c>
      <c r="L500" t="n">
        <v>11</v>
      </c>
      <c r="M500" t="inlineStr">
        <is>
          <t>Values must be of type &lt;class 'str'&gt;</t>
        </is>
      </c>
      <c r="N500" t="inlineStr">
        <is>
          <t>Values must be of type &lt;class 'str'&gt;</t>
        </is>
      </c>
      <c r="O500" t="inlineStr">
        <is>
          <t>center</t>
        </is>
      </c>
      <c r="P500" t="n">
        <v/>
      </c>
      <c r="R500" t="b">
        <v>1</v>
      </c>
      <c r="S500" t="inlineStr">
        <is>
          <t>G000033</t>
        </is>
      </c>
      <c r="T500" t="inlineStr">
        <is>
          <t>Horizontal</t>
        </is>
      </c>
      <c r="U500" t="n">
        <v>8</v>
      </c>
      <c r="V500" t="b">
        <v>1</v>
      </c>
      <c r="W500" t="inlineStr">
        <is>
          <t>Assumptions Sheet!C31:J31</t>
        </is>
      </c>
      <c r="X500">
        <f>R[-1]C[0]/R24C[0]</f>
        <v/>
      </c>
    </row>
    <row r="501">
      <c r="A501" t="inlineStr">
        <is>
          <t>Assumptions Sheet</t>
        </is>
      </c>
      <c r="B501" t="inlineStr">
        <is>
          <t>D31</t>
        </is>
      </c>
      <c r="C501" t="n">
        <v>31</v>
      </c>
      <c r="D501" t="n">
        <v>4</v>
      </c>
      <c r="E501" t="inlineStr">
        <is>
          <t>Output</t>
        </is>
      </c>
      <c r="F501" t="inlineStr">
        <is>
          <t>'=D30/D$24</t>
        </is>
      </c>
      <c r="G501" t="n">
        <v>0.03265628345265949</v>
      </c>
      <c r="H501" t="inlineStr"/>
      <c r="I501" t="inlineStr">
        <is>
          <t>0.00%</t>
        </is>
      </c>
      <c r="J501" t="b">
        <v>0</v>
      </c>
      <c r="K501" t="b">
        <v>1</v>
      </c>
      <c r="L501" t="n">
        <v>11</v>
      </c>
      <c r="M501" t="inlineStr">
        <is>
          <t>Values must be of type &lt;class 'str'&gt;</t>
        </is>
      </c>
      <c r="N501" t="inlineStr">
        <is>
          <t>Values must be of type &lt;class 'str'&gt;</t>
        </is>
      </c>
      <c r="O501" t="inlineStr">
        <is>
          <t>center</t>
        </is>
      </c>
      <c r="P501" t="n">
        <v/>
      </c>
      <c r="R501" t="b">
        <v>1</v>
      </c>
      <c r="S501" t="inlineStr">
        <is>
          <t>G000033</t>
        </is>
      </c>
      <c r="T501" t="inlineStr">
        <is>
          <t>Horizontal</t>
        </is>
      </c>
      <c r="U501" t="n">
        <v>8</v>
      </c>
      <c r="V501" t="b">
        <v>1</v>
      </c>
      <c r="W501" t="inlineStr">
        <is>
          <t>Assumptions Sheet!C31:J31</t>
        </is>
      </c>
      <c r="X501">
        <f>R[-1]C[0]/R24C[0]</f>
        <v/>
      </c>
    </row>
    <row r="502">
      <c r="A502" t="inlineStr">
        <is>
          <t>Assumptions Sheet</t>
        </is>
      </c>
      <c r="B502" t="inlineStr">
        <is>
          <t>E31</t>
        </is>
      </c>
      <c r="C502" t="n">
        <v>31</v>
      </c>
      <c r="D502" t="n">
        <v>5</v>
      </c>
      <c r="E502" t="inlineStr">
        <is>
          <t>Output</t>
        </is>
      </c>
      <c r="F502" t="inlineStr">
        <is>
          <t>'=E30/E$24</t>
        </is>
      </c>
      <c r="G502" t="n">
        <v>0.02886529475644557</v>
      </c>
      <c r="H502" t="inlineStr"/>
      <c r="I502" t="inlineStr">
        <is>
          <t>0.00%</t>
        </is>
      </c>
      <c r="J502" t="b">
        <v>0</v>
      </c>
      <c r="K502" t="b">
        <v>1</v>
      </c>
      <c r="L502" t="n">
        <v>11</v>
      </c>
      <c r="M502" t="inlineStr">
        <is>
          <t>Values must be of type &lt;class 'str'&gt;</t>
        </is>
      </c>
      <c r="N502" t="inlineStr">
        <is>
          <t>Values must be of type &lt;class 'str'&gt;</t>
        </is>
      </c>
      <c r="O502" t="inlineStr">
        <is>
          <t>center</t>
        </is>
      </c>
      <c r="P502" t="n">
        <v/>
      </c>
      <c r="R502" t="b">
        <v>1</v>
      </c>
      <c r="S502" t="inlineStr">
        <is>
          <t>G000033</t>
        </is>
      </c>
      <c r="T502" t="inlineStr">
        <is>
          <t>Horizontal</t>
        </is>
      </c>
      <c r="U502" t="n">
        <v>8</v>
      </c>
      <c r="V502" t="b">
        <v>1</v>
      </c>
      <c r="W502" t="inlineStr">
        <is>
          <t>Assumptions Sheet!C31:J31</t>
        </is>
      </c>
      <c r="X502">
        <f>R[-1]C[0]/R24C[0]</f>
        <v/>
      </c>
    </row>
    <row r="503">
      <c r="A503" t="inlineStr">
        <is>
          <t>Assumptions Sheet</t>
        </is>
      </c>
      <c r="B503" t="inlineStr">
        <is>
          <t>F31</t>
        </is>
      </c>
      <c r="C503" t="n">
        <v>31</v>
      </c>
      <c r="D503" t="n">
        <v>6</v>
      </c>
      <c r="E503" t="inlineStr">
        <is>
          <t>Output</t>
        </is>
      </c>
      <c r="F503" t="inlineStr">
        <is>
          <t>'=F30/F$24</t>
        </is>
      </c>
      <c r="G503" t="n">
        <v>0.02868196902327023</v>
      </c>
      <c r="H503" t="inlineStr"/>
      <c r="I503" t="inlineStr">
        <is>
          <t>0.00%</t>
        </is>
      </c>
      <c r="J503" t="b">
        <v>0</v>
      </c>
      <c r="K503" t="b">
        <v>1</v>
      </c>
      <c r="L503" t="n">
        <v>11</v>
      </c>
      <c r="M503" t="inlineStr">
        <is>
          <t>Values must be of type &lt;class 'str'&gt;</t>
        </is>
      </c>
      <c r="N503" t="inlineStr">
        <is>
          <t>Values must be of type &lt;class 'str'&gt;</t>
        </is>
      </c>
      <c r="O503" t="inlineStr">
        <is>
          <t>center</t>
        </is>
      </c>
      <c r="P503" t="n">
        <v/>
      </c>
      <c r="R503" t="b">
        <v>1</v>
      </c>
      <c r="S503" t="inlineStr">
        <is>
          <t>G000033</t>
        </is>
      </c>
      <c r="T503" t="inlineStr">
        <is>
          <t>Horizontal</t>
        </is>
      </c>
      <c r="U503" t="n">
        <v>8</v>
      </c>
      <c r="V503" t="b">
        <v>1</v>
      </c>
      <c r="W503" t="inlineStr">
        <is>
          <t>Assumptions Sheet!C31:J31</t>
        </is>
      </c>
      <c r="X503">
        <f>R[-1]C[0]/R24C[0]</f>
        <v/>
      </c>
    </row>
    <row r="504">
      <c r="A504" t="inlineStr">
        <is>
          <t>Assumptions Sheet</t>
        </is>
      </c>
      <c r="B504" t="inlineStr">
        <is>
          <t>G31</t>
        </is>
      </c>
      <c r="C504" t="n">
        <v>31</v>
      </c>
      <c r="D504" t="n">
        <v>7</v>
      </c>
      <c r="E504" t="inlineStr">
        <is>
          <t>Output</t>
        </is>
      </c>
      <c r="F504" t="inlineStr">
        <is>
          <t>'=G30/G$24</t>
        </is>
      </c>
      <c r="G504" t="n">
        <v>0.03179509678724762</v>
      </c>
      <c r="H504" t="inlineStr"/>
      <c r="I504" t="inlineStr">
        <is>
          <t>0.00%</t>
        </is>
      </c>
      <c r="J504" t="b">
        <v>0</v>
      </c>
      <c r="K504" t="b">
        <v>1</v>
      </c>
      <c r="L504" t="n">
        <v>11</v>
      </c>
      <c r="M504" t="inlineStr">
        <is>
          <t>Values must be of type &lt;class 'str'&gt;</t>
        </is>
      </c>
      <c r="N504" t="inlineStr">
        <is>
          <t>Values must be of type &lt;class 'str'&gt;</t>
        </is>
      </c>
      <c r="O504" t="inlineStr">
        <is>
          <t>center</t>
        </is>
      </c>
      <c r="P504" t="n">
        <v/>
      </c>
      <c r="R504" t="b">
        <v>1</v>
      </c>
      <c r="S504" t="inlineStr">
        <is>
          <t>G000033</t>
        </is>
      </c>
      <c r="T504" t="inlineStr">
        <is>
          <t>Horizontal</t>
        </is>
      </c>
      <c r="U504" t="n">
        <v>8</v>
      </c>
      <c r="V504" t="b">
        <v>1</v>
      </c>
      <c r="W504" t="inlineStr">
        <is>
          <t>Assumptions Sheet!C31:J31</t>
        </is>
      </c>
      <c r="X504">
        <f>R[-1]C[0]/R24C[0]</f>
        <v/>
      </c>
    </row>
    <row r="505">
      <c r="A505" t="inlineStr">
        <is>
          <t>Assumptions Sheet</t>
        </is>
      </c>
      <c r="B505" t="inlineStr">
        <is>
          <t>H31</t>
        </is>
      </c>
      <c r="C505" t="n">
        <v>31</v>
      </c>
      <c r="D505" t="n">
        <v>8</v>
      </c>
      <c r="E505" t="inlineStr">
        <is>
          <t>Output</t>
        </is>
      </c>
      <c r="F505" t="inlineStr">
        <is>
          <t>'=H30/H$24</t>
        </is>
      </c>
      <c r="G505" t="n">
        <v>0.03209583614638154</v>
      </c>
      <c r="H505" t="inlineStr"/>
      <c r="I505" t="inlineStr">
        <is>
          <t>0.00%</t>
        </is>
      </c>
      <c r="J505" t="b">
        <v>0</v>
      </c>
      <c r="K505" t="b">
        <v>1</v>
      </c>
      <c r="L505" t="n">
        <v>11</v>
      </c>
      <c r="M505" t="inlineStr">
        <is>
          <t>Values must be of type &lt;class 'str'&gt;</t>
        </is>
      </c>
      <c r="N505" t="inlineStr">
        <is>
          <t>Values must be of type &lt;class 'str'&gt;</t>
        </is>
      </c>
      <c r="O505" t="inlineStr">
        <is>
          <t>center</t>
        </is>
      </c>
      <c r="P505" t="n">
        <v/>
      </c>
      <c r="R505" t="b">
        <v>1</v>
      </c>
      <c r="S505" t="inlineStr">
        <is>
          <t>G000033</t>
        </is>
      </c>
      <c r="T505" t="inlineStr">
        <is>
          <t>Horizontal</t>
        </is>
      </c>
      <c r="U505" t="n">
        <v>8</v>
      </c>
      <c r="V505" t="b">
        <v>1</v>
      </c>
      <c r="W505" t="inlineStr">
        <is>
          <t>Assumptions Sheet!C31:J31</t>
        </is>
      </c>
      <c r="X505">
        <f>R[-1]C[0]/R24C[0]</f>
        <v/>
      </c>
    </row>
    <row r="506">
      <c r="A506" t="inlineStr">
        <is>
          <t>Assumptions Sheet</t>
        </is>
      </c>
      <c r="B506" t="inlineStr">
        <is>
          <t>I31</t>
        </is>
      </c>
      <c r="C506" t="n">
        <v>31</v>
      </c>
      <c r="D506" t="n">
        <v>9</v>
      </c>
      <c r="E506" t="inlineStr">
        <is>
          <t>Output</t>
        </is>
      </c>
      <c r="F506" t="inlineStr">
        <is>
          <t>'=I30/I$24</t>
        </is>
      </c>
      <c r="G506" t="n">
        <v>0.03281035087696842</v>
      </c>
      <c r="H506" t="inlineStr"/>
      <c r="I506" t="inlineStr">
        <is>
          <t>0.00%</t>
        </is>
      </c>
      <c r="J506" t="b">
        <v>0</v>
      </c>
      <c r="K506" t="b">
        <v>1</v>
      </c>
      <c r="L506" t="n">
        <v>11</v>
      </c>
      <c r="M506" t="inlineStr">
        <is>
          <t>Values must be of type &lt;class 'str'&gt;</t>
        </is>
      </c>
      <c r="N506" t="inlineStr">
        <is>
          <t>Values must be of type &lt;class 'str'&gt;</t>
        </is>
      </c>
      <c r="O506" t="inlineStr">
        <is>
          <t>center</t>
        </is>
      </c>
      <c r="P506" t="n">
        <v/>
      </c>
      <c r="R506" t="b">
        <v>1</v>
      </c>
      <c r="S506" t="inlineStr">
        <is>
          <t>G000033</t>
        </is>
      </c>
      <c r="T506" t="inlineStr">
        <is>
          <t>Horizontal</t>
        </is>
      </c>
      <c r="U506" t="n">
        <v>8</v>
      </c>
      <c r="V506" t="b">
        <v>1</v>
      </c>
      <c r="W506" t="inlineStr">
        <is>
          <t>Assumptions Sheet!C31:J31</t>
        </is>
      </c>
      <c r="X506">
        <f>R[-1]C[0]/R24C[0]</f>
        <v/>
      </c>
    </row>
    <row r="507">
      <c r="A507" t="inlineStr">
        <is>
          <t>Assumptions Sheet</t>
        </is>
      </c>
      <c r="B507" t="inlineStr">
        <is>
          <t>J31</t>
        </is>
      </c>
      <c r="C507" t="n">
        <v>31</v>
      </c>
      <c r="D507" t="n">
        <v>10</v>
      </c>
      <c r="E507" t="inlineStr">
        <is>
          <t>Output</t>
        </is>
      </c>
      <c r="F507" t="inlineStr">
        <is>
          <t>'=J30/J$24</t>
        </is>
      </c>
      <c r="G507" t="n">
        <v>0.04871682980726393</v>
      </c>
      <c r="H507" t="inlineStr"/>
      <c r="I507" t="inlineStr">
        <is>
          <t>0.00%</t>
        </is>
      </c>
      <c r="J507" t="b">
        <v>0</v>
      </c>
      <c r="K507" t="b">
        <v>1</v>
      </c>
      <c r="L507" t="n">
        <v>11</v>
      </c>
      <c r="M507" t="inlineStr">
        <is>
          <t>Values must be of type &lt;class 'str'&gt;</t>
        </is>
      </c>
      <c r="N507" t="inlineStr">
        <is>
          <t>Values must be of type &lt;class 'str'&gt;</t>
        </is>
      </c>
      <c r="O507" t="inlineStr">
        <is>
          <t>center</t>
        </is>
      </c>
      <c r="P507" t="n">
        <v/>
      </c>
      <c r="R507" t="b">
        <v>1</v>
      </c>
      <c r="S507" t="inlineStr">
        <is>
          <t>G000033</t>
        </is>
      </c>
      <c r="T507" t="inlineStr">
        <is>
          <t>Horizontal</t>
        </is>
      </c>
      <c r="U507" t="n">
        <v>8</v>
      </c>
      <c r="V507" t="b">
        <v>1</v>
      </c>
      <c r="W507" t="inlineStr">
        <is>
          <t>Assumptions Sheet!C31:J31</t>
        </is>
      </c>
      <c r="X507">
        <f>R[-1]C[0]/R24C[0]</f>
        <v/>
      </c>
    </row>
    <row r="508">
      <c r="A508" t="inlineStr">
        <is>
          <t>Assumptions Sheet</t>
        </is>
      </c>
      <c r="B508" t="inlineStr">
        <is>
          <t>K31</t>
        </is>
      </c>
      <c r="C508" t="n">
        <v>31</v>
      </c>
      <c r="D508" t="n">
        <v>11</v>
      </c>
      <c r="E508" t="inlineStr">
        <is>
          <t>Input</t>
        </is>
      </c>
      <c r="F508" t="n">
        <v/>
      </c>
      <c r="G508" t="n">
        <v>0.03</v>
      </c>
      <c r="H508" t="inlineStr"/>
      <c r="I508" t="inlineStr">
        <is>
          <t>0.00%</t>
        </is>
      </c>
      <c r="J508" t="b">
        <v>0</v>
      </c>
      <c r="K508" t="b">
        <v>1</v>
      </c>
      <c r="L508" t="n">
        <v>11</v>
      </c>
      <c r="M508" t="inlineStr">
        <is>
          <t>FF002060</t>
        </is>
      </c>
      <c r="N508" t="inlineStr">
        <is>
          <t>Values must be of type &lt;class 'str'&gt;</t>
        </is>
      </c>
      <c r="O508" t="inlineStr">
        <is>
          <t>center</t>
        </is>
      </c>
      <c r="P508" t="n">
        <v/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</row>
    <row r="509">
      <c r="A509" t="inlineStr">
        <is>
          <t>Assumptions Sheet</t>
        </is>
      </c>
      <c r="B509" t="inlineStr">
        <is>
          <t>L31</t>
        </is>
      </c>
      <c r="C509" t="n">
        <v>31</v>
      </c>
      <c r="D509" t="n">
        <v>12</v>
      </c>
      <c r="E509" t="inlineStr">
        <is>
          <t>Calculation</t>
        </is>
      </c>
      <c r="F509" t="inlineStr">
        <is>
          <t>'=K31</t>
        </is>
      </c>
      <c r="G509" t="n">
        <v>0.03</v>
      </c>
      <c r="H509" t="inlineStr"/>
      <c r="I509" t="inlineStr">
        <is>
          <t>0.00%</t>
        </is>
      </c>
      <c r="J509" t="b">
        <v>0</v>
      </c>
      <c r="K509" t="b">
        <v>1</v>
      </c>
      <c r="L509" t="n">
        <v>11</v>
      </c>
      <c r="M509" t="inlineStr">
        <is>
          <t>FF002060</t>
        </is>
      </c>
      <c r="N509" t="inlineStr">
        <is>
          <t>Values must be of type &lt;class 'str'&gt;</t>
        </is>
      </c>
      <c r="O509" t="inlineStr">
        <is>
          <t>center</t>
        </is>
      </c>
      <c r="P509" t="n">
        <v/>
      </c>
      <c r="R509" t="b">
        <v>1</v>
      </c>
      <c r="S509" t="inlineStr">
        <is>
          <t>G000008</t>
        </is>
      </c>
      <c r="T509" t="inlineStr">
        <is>
          <t>Horizontal</t>
        </is>
      </c>
      <c r="U509" t="n">
        <v>5</v>
      </c>
      <c r="V509" t="b">
        <v>1</v>
      </c>
      <c r="W509" t="inlineStr">
        <is>
          <t>Assumptions Sheet!L31:P31</t>
        </is>
      </c>
      <c r="X509">
        <f>R[0]C[-1]</f>
        <v/>
      </c>
    </row>
    <row r="510">
      <c r="A510" t="inlineStr">
        <is>
          <t>Assumptions Sheet</t>
        </is>
      </c>
      <c r="B510" t="inlineStr">
        <is>
          <t>M31</t>
        </is>
      </c>
      <c r="C510" t="n">
        <v>31</v>
      </c>
      <c r="D510" t="n">
        <v>13</v>
      </c>
      <c r="E510" t="inlineStr">
        <is>
          <t>Calculation</t>
        </is>
      </c>
      <c r="F510" t="inlineStr">
        <is>
          <t>'=L31</t>
        </is>
      </c>
      <c r="G510" t="n">
        <v>0.03</v>
      </c>
      <c r="H510" t="inlineStr"/>
      <c r="I510" t="inlineStr">
        <is>
          <t>0.00%</t>
        </is>
      </c>
      <c r="J510" t="b">
        <v>0</v>
      </c>
      <c r="K510" t="b">
        <v>1</v>
      </c>
      <c r="L510" t="n">
        <v>11</v>
      </c>
      <c r="M510" t="inlineStr">
        <is>
          <t>FF002060</t>
        </is>
      </c>
      <c r="N510" t="inlineStr">
        <is>
          <t>Values must be of type &lt;class 'str'&gt;</t>
        </is>
      </c>
      <c r="O510" t="inlineStr">
        <is>
          <t>center</t>
        </is>
      </c>
      <c r="P510" t="n">
        <v/>
      </c>
      <c r="R510" t="b">
        <v>1</v>
      </c>
      <c r="S510" t="inlineStr">
        <is>
          <t>G000008</t>
        </is>
      </c>
      <c r="T510" t="inlineStr">
        <is>
          <t>Horizontal</t>
        </is>
      </c>
      <c r="U510" t="n">
        <v>5</v>
      </c>
      <c r="V510" t="b">
        <v>1</v>
      </c>
      <c r="W510" t="inlineStr">
        <is>
          <t>Assumptions Sheet!L31:P31</t>
        </is>
      </c>
      <c r="X510">
        <f>R[0]C[-1]</f>
        <v/>
      </c>
    </row>
    <row r="511">
      <c r="A511" t="inlineStr">
        <is>
          <t>Assumptions Sheet</t>
        </is>
      </c>
      <c r="B511" t="inlineStr">
        <is>
          <t>N31</t>
        </is>
      </c>
      <c r="C511" t="n">
        <v>31</v>
      </c>
      <c r="D511" t="n">
        <v>14</v>
      </c>
      <c r="E511" t="inlineStr">
        <is>
          <t>Calculation</t>
        </is>
      </c>
      <c r="F511" t="inlineStr">
        <is>
          <t>'=M31</t>
        </is>
      </c>
      <c r="G511" t="n">
        <v>0.03</v>
      </c>
      <c r="H511" t="inlineStr"/>
      <c r="I511" t="inlineStr">
        <is>
          <t>0.00%</t>
        </is>
      </c>
      <c r="J511" t="b">
        <v>0</v>
      </c>
      <c r="K511" t="b">
        <v>1</v>
      </c>
      <c r="L511" t="n">
        <v>11</v>
      </c>
      <c r="M511" t="inlineStr">
        <is>
          <t>FF002060</t>
        </is>
      </c>
      <c r="N511" t="inlineStr">
        <is>
          <t>Values must be of type &lt;class 'str'&gt;</t>
        </is>
      </c>
      <c r="O511" t="inlineStr">
        <is>
          <t>center</t>
        </is>
      </c>
      <c r="P511" t="n">
        <v/>
      </c>
      <c r="R511" t="b">
        <v>1</v>
      </c>
      <c r="S511" t="inlineStr">
        <is>
          <t>G000008</t>
        </is>
      </c>
      <c r="T511" t="inlineStr">
        <is>
          <t>Horizontal</t>
        </is>
      </c>
      <c r="U511" t="n">
        <v>5</v>
      </c>
      <c r="V511" t="b">
        <v>1</v>
      </c>
      <c r="W511" t="inlineStr">
        <is>
          <t>Assumptions Sheet!L31:P31</t>
        </is>
      </c>
      <c r="X511">
        <f>R[0]C[-1]</f>
        <v/>
      </c>
    </row>
    <row r="512">
      <c r="A512" t="inlineStr">
        <is>
          <t>Assumptions Sheet</t>
        </is>
      </c>
      <c r="B512" t="inlineStr">
        <is>
          <t>O31</t>
        </is>
      </c>
      <c r="C512" t="n">
        <v>31</v>
      </c>
      <c r="D512" t="n">
        <v>15</v>
      </c>
      <c r="E512" t="inlineStr">
        <is>
          <t>Calculation</t>
        </is>
      </c>
      <c r="F512" t="inlineStr">
        <is>
          <t>'=N31</t>
        </is>
      </c>
      <c r="G512" t="n">
        <v>0.03</v>
      </c>
      <c r="H512" t="inlineStr"/>
      <c r="I512" t="inlineStr">
        <is>
          <t>0.00%</t>
        </is>
      </c>
      <c r="J512" t="b">
        <v>0</v>
      </c>
      <c r="K512" t="b">
        <v>1</v>
      </c>
      <c r="L512" t="n">
        <v>11</v>
      </c>
      <c r="M512" t="inlineStr">
        <is>
          <t>FF002060</t>
        </is>
      </c>
      <c r="N512" t="inlineStr">
        <is>
          <t>Values must be of type &lt;class 'str'&gt;</t>
        </is>
      </c>
      <c r="O512" t="inlineStr">
        <is>
          <t>center</t>
        </is>
      </c>
      <c r="P512" t="n">
        <v/>
      </c>
      <c r="R512" t="b">
        <v>1</v>
      </c>
      <c r="S512" t="inlineStr">
        <is>
          <t>G000008</t>
        </is>
      </c>
      <c r="T512" t="inlineStr">
        <is>
          <t>Horizontal</t>
        </is>
      </c>
      <c r="U512" t="n">
        <v>5</v>
      </c>
      <c r="V512" t="b">
        <v>1</v>
      </c>
      <c r="W512" t="inlineStr">
        <is>
          <t>Assumptions Sheet!L31:P31</t>
        </is>
      </c>
      <c r="X512">
        <f>R[0]C[-1]</f>
        <v/>
      </c>
    </row>
    <row r="513">
      <c r="A513" t="inlineStr">
        <is>
          <t>Assumptions Sheet</t>
        </is>
      </c>
      <c r="B513" t="inlineStr">
        <is>
          <t>P31</t>
        </is>
      </c>
      <c r="C513" t="n">
        <v>31</v>
      </c>
      <c r="D513" t="n">
        <v>16</v>
      </c>
      <c r="E513" t="inlineStr">
        <is>
          <t>Calculation</t>
        </is>
      </c>
      <c r="F513" t="inlineStr">
        <is>
          <t>'=O31</t>
        </is>
      </c>
      <c r="G513" t="n">
        <v>0.03</v>
      </c>
      <c r="H513" t="inlineStr"/>
      <c r="I513" t="inlineStr">
        <is>
          <t>0.00%</t>
        </is>
      </c>
      <c r="J513" t="b">
        <v>0</v>
      </c>
      <c r="K513" t="b">
        <v>1</v>
      </c>
      <c r="L513" t="n">
        <v>11</v>
      </c>
      <c r="M513" t="inlineStr">
        <is>
          <t>FF002060</t>
        </is>
      </c>
      <c r="N513" t="inlineStr">
        <is>
          <t>Values must be of type &lt;class 'str'&gt;</t>
        </is>
      </c>
      <c r="O513" t="inlineStr">
        <is>
          <t>center</t>
        </is>
      </c>
      <c r="P513" t="n">
        <v/>
      </c>
      <c r="R513" t="b">
        <v>1</v>
      </c>
      <c r="S513" t="inlineStr">
        <is>
          <t>G000008</t>
        </is>
      </c>
      <c r="T513" t="inlineStr">
        <is>
          <t>Horizontal</t>
        </is>
      </c>
      <c r="U513" t="n">
        <v>5</v>
      </c>
      <c r="V513" t="b">
        <v>1</v>
      </c>
      <c r="W513" t="inlineStr">
        <is>
          <t>Assumptions Sheet!L31:P31</t>
        </is>
      </c>
      <c r="X513">
        <f>R[0]C[-1]</f>
        <v/>
      </c>
    </row>
    <row r="514">
      <c r="A514" t="inlineStr">
        <is>
          <t>Assumptions Sheet</t>
        </is>
      </c>
      <c r="B514" t="inlineStr">
        <is>
          <t>Q31</t>
        </is>
      </c>
      <c r="C514" t="n">
        <v>31</v>
      </c>
      <c r="D514" t="n">
        <v>17</v>
      </c>
      <c r="E514" t="inlineStr">
        <is>
          <t>Input</t>
        </is>
      </c>
      <c r="F514" t="n">
        <v/>
      </c>
      <c r="G514" t="n">
        <v>0.03</v>
      </c>
      <c r="H514" t="inlineStr"/>
      <c r="I514" t="inlineStr">
        <is>
          <t>0.00%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n">
        <v/>
      </c>
      <c r="P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</row>
    <row r="515">
      <c r="A515" t="inlineStr">
        <is>
          <t>Assumptions Sheet</t>
        </is>
      </c>
      <c r="B515" t="inlineStr">
        <is>
          <t>B32</t>
        </is>
      </c>
      <c r="C515" t="n">
        <v>32</v>
      </c>
      <c r="D515" t="n">
        <v>2</v>
      </c>
      <c r="E515" t="inlineStr">
        <is>
          <t>Input</t>
        </is>
      </c>
      <c r="F515" t="n">
        <v/>
      </c>
      <c r="G515" t="inlineStr">
        <is>
          <t>Total Revenue</t>
        </is>
      </c>
      <c r="H515" t="inlineStr"/>
      <c r="I515" t="inlineStr">
        <is>
          <t>General</t>
        </is>
      </c>
      <c r="J515" t="b">
        <v>1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Values must be of type &lt;class 'str'&gt;</t>
        </is>
      </c>
      <c r="O515" t="inlineStr">
        <is>
          <t>left</t>
        </is>
      </c>
      <c r="P515" t="n">
        <v/>
      </c>
      <c r="Q515" t="b">
        <v>1</v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</row>
    <row r="516">
      <c r="A516" t="inlineStr">
        <is>
          <t>Assumptions Sheet</t>
        </is>
      </c>
      <c r="B516" t="inlineStr">
        <is>
          <t>C32</t>
        </is>
      </c>
      <c r="C516" t="n">
        <v>32</v>
      </c>
      <c r="D516" t="n">
        <v>3</v>
      </c>
      <c r="E516" t="inlineStr">
        <is>
          <t>Calculation</t>
        </is>
      </c>
      <c r="F516" t="inlineStr">
        <is>
          <t>'=SUM(C24,C26,C28,C30)</t>
        </is>
      </c>
      <c r="G516" t="n">
        <v>26676.74</v>
      </c>
      <c r="H516" t="inlineStr"/>
      <c r="I516" t="inlineStr">
        <is>
          <t>#,##0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Values must be of type &lt;class 'str'&gt;</t>
        </is>
      </c>
      <c r="O516" t="inlineStr">
        <is>
          <t>center</t>
        </is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>
        <f>SUM(R[-8]C[0],R[-6]C[0],R[-4]C[0],R[-2]C[0])</f>
        <v/>
      </c>
    </row>
    <row r="517">
      <c r="A517" t="inlineStr">
        <is>
          <t>Assumptions Sheet</t>
        </is>
      </c>
      <c r="B517" t="inlineStr">
        <is>
          <t>D32</t>
        </is>
      </c>
      <c r="C517" t="n">
        <v>32</v>
      </c>
      <c r="D517" t="n">
        <v>4</v>
      </c>
      <c r="E517" t="inlineStr">
        <is>
          <t>Calculation</t>
        </is>
      </c>
      <c r="F517" t="inlineStr">
        <is>
          <t>'=SUM(D24:D30)</t>
        </is>
      </c>
      <c r="G517" t="n">
        <v>39441.70047355549</v>
      </c>
      <c r="H517" t="inlineStr"/>
      <c r="I517" t="inlineStr">
        <is>
          <t>#,##0</t>
        </is>
      </c>
      <c r="J517" t="b">
        <v>0</v>
      </c>
      <c r="K517" t="b">
        <v>0</v>
      </c>
      <c r="L517" t="n">
        <v>11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inlineStr">
        <is>
          <t>center</t>
        </is>
      </c>
      <c r="P517" t="n">
        <v/>
      </c>
      <c r="R517" t="b">
        <v>1</v>
      </c>
      <c r="S517" t="inlineStr">
        <is>
          <t>G000037</t>
        </is>
      </c>
      <c r="T517" t="inlineStr">
        <is>
          <t>Horizontal</t>
        </is>
      </c>
      <c r="U517" t="n">
        <v>13</v>
      </c>
      <c r="V517" t="b">
        <v>1</v>
      </c>
      <c r="W517" t="inlineStr">
        <is>
          <t>Assumptions Sheet!D32:P32</t>
        </is>
      </c>
      <c r="X517">
        <f>SUM(R[-8]C[0]:R[-2]C[0])</f>
        <v/>
      </c>
    </row>
    <row r="518">
      <c r="A518" t="inlineStr">
        <is>
          <t>Assumptions Sheet</t>
        </is>
      </c>
      <c r="B518" t="inlineStr">
        <is>
          <t>E32</t>
        </is>
      </c>
      <c r="C518" t="n">
        <v>32</v>
      </c>
      <c r="D518" t="n">
        <v>5</v>
      </c>
      <c r="E518" t="inlineStr">
        <is>
          <t>Calculation</t>
        </is>
      </c>
      <c r="F518" t="inlineStr">
        <is>
          <t>'=SUM(E24:E30)</t>
        </is>
      </c>
      <c r="G518" t="n">
        <v>57086.31576515087</v>
      </c>
      <c r="H518" t="inlineStr"/>
      <c r="I518" t="inlineStr">
        <is>
          <t>#,##0</t>
        </is>
      </c>
      <c r="J518" t="b">
        <v>0</v>
      </c>
      <c r="K518" t="b">
        <v>0</v>
      </c>
      <c r="L518" t="n">
        <v>11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inlineStr">
        <is>
          <t>center</t>
        </is>
      </c>
      <c r="P518" t="n">
        <v/>
      </c>
      <c r="R518" t="b">
        <v>1</v>
      </c>
      <c r="S518" t="inlineStr">
        <is>
          <t>G000037</t>
        </is>
      </c>
      <c r="T518" t="inlineStr">
        <is>
          <t>Horizontal</t>
        </is>
      </c>
      <c r="U518" t="n">
        <v>13</v>
      </c>
      <c r="V518" t="b">
        <v>1</v>
      </c>
      <c r="W518" t="inlineStr">
        <is>
          <t>Assumptions Sheet!D32:P32</t>
        </is>
      </c>
      <c r="X518">
        <f>SUM(R[-8]C[0]:R[-2]C[0])</f>
        <v/>
      </c>
    </row>
    <row r="519">
      <c r="A519" t="inlineStr">
        <is>
          <t>Assumptions Sheet</t>
        </is>
      </c>
      <c r="B519" t="inlineStr">
        <is>
          <t>F32</t>
        </is>
      </c>
      <c r="C519" t="n">
        <v>32</v>
      </c>
      <c r="D519" t="n">
        <v>6</v>
      </c>
      <c r="E519" t="inlineStr">
        <is>
          <t>Calculation</t>
        </is>
      </c>
      <c r="F519" t="inlineStr">
        <is>
          <t>'=SUM(F24:F30)</t>
        </is>
      </c>
      <c r="G519" t="n">
        <v>94402.45328315666</v>
      </c>
      <c r="H519" t="inlineStr"/>
      <c r="I519" t="inlineStr">
        <is>
          <t>#,##0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Values must be of type &lt;class 'str'&gt;</t>
        </is>
      </c>
      <c r="O519" t="inlineStr">
        <is>
          <t>center</t>
        </is>
      </c>
      <c r="P519" t="n">
        <v/>
      </c>
      <c r="R519" t="b">
        <v>1</v>
      </c>
      <c r="S519" t="inlineStr">
        <is>
          <t>G000037</t>
        </is>
      </c>
      <c r="T519" t="inlineStr">
        <is>
          <t>Horizontal</t>
        </is>
      </c>
      <c r="U519" t="n">
        <v>13</v>
      </c>
      <c r="V519" t="b">
        <v>1</v>
      </c>
      <c r="W519" t="inlineStr">
        <is>
          <t>Assumptions Sheet!D32:P32</t>
        </is>
      </c>
      <c r="X519">
        <f>SUM(R[-8]C[0]:R[-2]C[0])</f>
        <v/>
      </c>
    </row>
    <row r="520">
      <c r="A520" t="inlineStr">
        <is>
          <t>Assumptions Sheet</t>
        </is>
      </c>
      <c r="B520" t="inlineStr">
        <is>
          <t>G32</t>
        </is>
      </c>
      <c r="C520" t="n">
        <v>32</v>
      </c>
      <c r="D520" t="n">
        <v>7</v>
      </c>
      <c r="E520" t="inlineStr">
        <is>
          <t>Calculation</t>
        </is>
      </c>
      <c r="F520" t="inlineStr">
        <is>
          <t>'=SUM(G24:G30)</t>
        </is>
      </c>
      <c r="G520" t="n">
        <v>114321.3101737246</v>
      </c>
      <c r="H520" t="inlineStr"/>
      <c r="I520" t="inlineStr">
        <is>
          <t>#,##0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Values must be of type &lt;class 'str'&gt;</t>
        </is>
      </c>
      <c r="O520" t="inlineStr">
        <is>
          <t>center</t>
        </is>
      </c>
      <c r="P520" t="n">
        <v/>
      </c>
      <c r="R520" t="b">
        <v>1</v>
      </c>
      <c r="S520" t="inlineStr">
        <is>
          <t>G000037</t>
        </is>
      </c>
      <c r="T520" t="inlineStr">
        <is>
          <t>Horizontal</t>
        </is>
      </c>
      <c r="U520" t="n">
        <v>13</v>
      </c>
      <c r="V520" t="b">
        <v>1</v>
      </c>
      <c r="W520" t="inlineStr">
        <is>
          <t>Assumptions Sheet!D32:P32</t>
        </is>
      </c>
      <c r="X520">
        <f>SUM(R[-8]C[0]:R[-2]C[0])</f>
        <v/>
      </c>
    </row>
    <row r="521">
      <c r="A521" t="inlineStr">
        <is>
          <t>Assumptions Sheet</t>
        </is>
      </c>
      <c r="B521" t="inlineStr">
        <is>
          <t>H32</t>
        </is>
      </c>
      <c r="C521" t="n">
        <v>32</v>
      </c>
      <c r="D521" t="n">
        <v>8</v>
      </c>
      <c r="E521" t="inlineStr">
        <is>
          <t>Calculation</t>
        </is>
      </c>
      <c r="F521" t="inlineStr">
        <is>
          <t>'=SUM(H24:H30)</t>
        </is>
      </c>
      <c r="G521" t="n">
        <v>143199.3327029665</v>
      </c>
      <c r="H521" t="inlineStr"/>
      <c r="I521" t="inlineStr">
        <is>
          <t>#,##0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Values must be of type &lt;class 'str'&gt;</t>
        </is>
      </c>
      <c r="O521" t="inlineStr">
        <is>
          <t>center</t>
        </is>
      </c>
      <c r="P521" t="n">
        <v/>
      </c>
      <c r="R521" t="b">
        <v>1</v>
      </c>
      <c r="S521" t="inlineStr">
        <is>
          <t>G000037</t>
        </is>
      </c>
      <c r="T521" t="inlineStr">
        <is>
          <t>Horizontal</t>
        </is>
      </c>
      <c r="U521" t="n">
        <v>13</v>
      </c>
      <c r="V521" t="b">
        <v>1</v>
      </c>
      <c r="W521" t="inlineStr">
        <is>
          <t>Assumptions Sheet!D32:P32</t>
        </is>
      </c>
      <c r="X521">
        <f>SUM(R[-8]C[0]:R[-2]C[0])</f>
        <v/>
      </c>
    </row>
    <row r="522">
      <c r="A522" t="inlineStr">
        <is>
          <t>Assumptions Sheet</t>
        </is>
      </c>
      <c r="B522" t="inlineStr">
        <is>
          <t>I32</t>
        </is>
      </c>
      <c r="C522" t="n">
        <v>32</v>
      </c>
      <c r="D522" t="n">
        <v>9</v>
      </c>
      <c r="E522" t="inlineStr">
        <is>
          <t>Calculation</t>
        </is>
      </c>
      <c r="F522" t="inlineStr">
        <is>
          <t>'=SUM(I24:I30)</t>
        </is>
      </c>
      <c r="G522" t="n">
        <v>166013.1477330861</v>
      </c>
      <c r="H522" t="inlineStr"/>
      <c r="I522" t="inlineStr">
        <is>
          <t>#,##0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inlineStr">
        <is>
          <t>center</t>
        </is>
      </c>
      <c r="P522" t="n">
        <v/>
      </c>
      <c r="R522" t="b">
        <v>1</v>
      </c>
      <c r="S522" t="inlineStr">
        <is>
          <t>G000037</t>
        </is>
      </c>
      <c r="T522" t="inlineStr">
        <is>
          <t>Horizontal</t>
        </is>
      </c>
      <c r="U522" t="n">
        <v>13</v>
      </c>
      <c r="V522" t="b">
        <v>1</v>
      </c>
      <c r="W522" t="inlineStr">
        <is>
          <t>Assumptions Sheet!D32:P32</t>
        </is>
      </c>
      <c r="X522">
        <f>SUM(R[-8]C[0]:R[-2]C[0])</f>
        <v/>
      </c>
    </row>
    <row r="523">
      <c r="A523" t="inlineStr">
        <is>
          <t>Assumptions Sheet</t>
        </is>
      </c>
      <c r="B523" t="inlineStr">
        <is>
          <t>J32</t>
        </is>
      </c>
      <c r="C523" t="n">
        <v>32</v>
      </c>
      <c r="D523" t="n">
        <v>10</v>
      </c>
      <c r="E523" t="inlineStr">
        <is>
          <t>Calculation</t>
        </is>
      </c>
      <c r="F523" t="inlineStr">
        <is>
          <t>'=SUM(J24:J30)</t>
        </is>
      </c>
      <c r="G523" t="n">
        <v>193696.1671537572</v>
      </c>
      <c r="H523" t="inlineStr"/>
      <c r="I523" t="inlineStr">
        <is>
          <t>#,##0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Values must be of type &lt;class 'str'&gt;</t>
        </is>
      </c>
      <c r="O523" t="inlineStr">
        <is>
          <t>center</t>
        </is>
      </c>
      <c r="P523" t="n">
        <v/>
      </c>
      <c r="R523" t="b">
        <v>1</v>
      </c>
      <c r="S523" t="inlineStr">
        <is>
          <t>G000037</t>
        </is>
      </c>
      <c r="T523" t="inlineStr">
        <is>
          <t>Horizontal</t>
        </is>
      </c>
      <c r="U523" t="n">
        <v>13</v>
      </c>
      <c r="V523" t="b">
        <v>1</v>
      </c>
      <c r="W523" t="inlineStr">
        <is>
          <t>Assumptions Sheet!D32:P32</t>
        </is>
      </c>
      <c r="X523">
        <f>SUM(R[-8]C[0]:R[-2]C[0])</f>
        <v/>
      </c>
    </row>
    <row r="524">
      <c r="A524" t="inlineStr">
        <is>
          <t>Assumptions Sheet</t>
        </is>
      </c>
      <c r="B524" t="inlineStr">
        <is>
          <t>K32</t>
        </is>
      </c>
      <c r="C524" t="n">
        <v>32</v>
      </c>
      <c r="D524" t="n">
        <v>11</v>
      </c>
      <c r="E524" t="inlineStr">
        <is>
          <t>Calculation</t>
        </is>
      </c>
      <c r="F524" t="inlineStr">
        <is>
          <t>'=SUM(K24:K30)</t>
        </is>
      </c>
      <c r="G524" t="n">
        <v>254652.6706182291</v>
      </c>
      <c r="H524" t="inlineStr"/>
      <c r="I524" t="inlineStr">
        <is>
          <t>#,##0</t>
        </is>
      </c>
      <c r="J524" t="b">
        <v>0</v>
      </c>
      <c r="K524" t="b">
        <v>0</v>
      </c>
      <c r="L524" t="n">
        <v>11</v>
      </c>
      <c r="M524" t="inlineStr">
        <is>
          <t>FFFF0000</t>
        </is>
      </c>
      <c r="N524" t="inlineStr">
        <is>
          <t>Values must be of type &lt;class 'str'&gt;</t>
        </is>
      </c>
      <c r="O524" t="inlineStr">
        <is>
          <t>center</t>
        </is>
      </c>
      <c r="P524" t="n">
        <v/>
      </c>
      <c r="R524" t="b">
        <v>1</v>
      </c>
      <c r="S524" t="inlineStr">
        <is>
          <t>G000037</t>
        </is>
      </c>
      <c r="T524" t="inlineStr">
        <is>
          <t>Horizontal</t>
        </is>
      </c>
      <c r="U524" t="n">
        <v>13</v>
      </c>
      <c r="V524" t="b">
        <v>1</v>
      </c>
      <c r="W524" t="inlineStr">
        <is>
          <t>Assumptions Sheet!D32:P32</t>
        </is>
      </c>
      <c r="X524">
        <f>SUM(R[-8]C[0]:R[-2]C[0])</f>
        <v/>
      </c>
    </row>
    <row r="525">
      <c r="A525" t="inlineStr">
        <is>
          <t>Assumptions Sheet</t>
        </is>
      </c>
      <c r="B525" t="inlineStr">
        <is>
          <t>L32</t>
        </is>
      </c>
      <c r="C525" t="n">
        <v>32</v>
      </c>
      <c r="D525" t="n">
        <v>12</v>
      </c>
      <c r="E525" t="inlineStr">
        <is>
          <t>Calculation</t>
        </is>
      </c>
      <c r="F525" t="inlineStr">
        <is>
          <t>'=SUM(L24:L30)</t>
        </is>
      </c>
      <c r="G525" t="n">
        <v>305739.5112261538</v>
      </c>
      <c r="H525" t="inlineStr"/>
      <c r="I525" t="inlineStr">
        <is>
          <t>#,##0</t>
        </is>
      </c>
      <c r="J525" t="b">
        <v>0</v>
      </c>
      <c r="K525" t="b">
        <v>0</v>
      </c>
      <c r="L525" t="n">
        <v>11</v>
      </c>
      <c r="M525" t="inlineStr">
        <is>
          <t>FFFF0000</t>
        </is>
      </c>
      <c r="N525" t="inlineStr">
        <is>
          <t>Values must be of type &lt;class 'str'&gt;</t>
        </is>
      </c>
      <c r="O525" t="inlineStr">
        <is>
          <t>center</t>
        </is>
      </c>
      <c r="P525" t="n">
        <v/>
      </c>
      <c r="R525" t="b">
        <v>1</v>
      </c>
      <c r="S525" t="inlineStr">
        <is>
          <t>G000037</t>
        </is>
      </c>
      <c r="T525" t="inlineStr">
        <is>
          <t>Horizontal</t>
        </is>
      </c>
      <c r="U525" t="n">
        <v>13</v>
      </c>
      <c r="V525" t="b">
        <v>1</v>
      </c>
      <c r="W525" t="inlineStr">
        <is>
          <t>Assumptions Sheet!D32:P32</t>
        </is>
      </c>
      <c r="X525">
        <f>SUM(R[-8]C[0]:R[-2]C[0])</f>
        <v/>
      </c>
    </row>
    <row r="526">
      <c r="A526" t="inlineStr">
        <is>
          <t>Assumptions Sheet</t>
        </is>
      </c>
      <c r="B526" t="inlineStr">
        <is>
          <t>M32</t>
        </is>
      </c>
      <c r="C526" t="n">
        <v>32</v>
      </c>
      <c r="D526" t="n">
        <v>13</v>
      </c>
      <c r="E526" t="inlineStr">
        <is>
          <t>Calculation</t>
        </is>
      </c>
      <c r="F526" t="inlineStr">
        <is>
          <t>'=SUM(M24:M30)</t>
        </is>
      </c>
      <c r="G526" t="n">
        <v>365511.6372719192</v>
      </c>
      <c r="H526" t="inlineStr"/>
      <c r="I526" t="inlineStr">
        <is>
          <t>#,##0</t>
        </is>
      </c>
      <c r="J526" t="b">
        <v>0</v>
      </c>
      <c r="K526" t="b">
        <v>0</v>
      </c>
      <c r="L526" t="n">
        <v>11</v>
      </c>
      <c r="M526" t="inlineStr">
        <is>
          <t>FFFF0000</t>
        </is>
      </c>
      <c r="N526" t="inlineStr">
        <is>
          <t>Values must be of type &lt;class 'str'&gt;</t>
        </is>
      </c>
      <c r="O526" t="inlineStr">
        <is>
          <t>center</t>
        </is>
      </c>
      <c r="P526" t="n">
        <v/>
      </c>
      <c r="R526" t="b">
        <v>1</v>
      </c>
      <c r="S526" t="inlineStr">
        <is>
          <t>G000037</t>
        </is>
      </c>
      <c r="T526" t="inlineStr">
        <is>
          <t>Horizontal</t>
        </is>
      </c>
      <c r="U526" t="n">
        <v>13</v>
      </c>
      <c r="V526" t="b">
        <v>1</v>
      </c>
      <c r="W526" t="inlineStr">
        <is>
          <t>Assumptions Sheet!D32:P32</t>
        </is>
      </c>
      <c r="X526">
        <f>SUM(R[-8]C[0]:R[-2]C[0])</f>
        <v/>
      </c>
    </row>
    <row r="527">
      <c r="A527" t="inlineStr">
        <is>
          <t>Assumptions Sheet</t>
        </is>
      </c>
      <c r="B527" t="inlineStr">
        <is>
          <t>N32</t>
        </is>
      </c>
      <c r="C527" t="n">
        <v>32</v>
      </c>
      <c r="D527" t="n">
        <v>14</v>
      </c>
      <c r="E527" t="inlineStr">
        <is>
          <t>Calculation</t>
        </is>
      </c>
      <c r="F527" t="inlineStr">
        <is>
          <t>'=SUM(N24:N30)</t>
        </is>
      </c>
      <c r="G527" t="n">
        <v>436963.0407831452</v>
      </c>
      <c r="H527" t="inlineStr"/>
      <c r="I527" t="inlineStr">
        <is>
          <t>#,##0</t>
        </is>
      </c>
      <c r="J527" t="b">
        <v>0</v>
      </c>
      <c r="K527" t="b">
        <v>0</v>
      </c>
      <c r="L527" t="n">
        <v>11</v>
      </c>
      <c r="M527" t="inlineStr">
        <is>
          <t>FFFF0000</t>
        </is>
      </c>
      <c r="N527" t="inlineStr">
        <is>
          <t>Values must be of type &lt;class 'str'&gt;</t>
        </is>
      </c>
      <c r="O527" t="inlineStr">
        <is>
          <t>center</t>
        </is>
      </c>
      <c r="P527" t="n">
        <v/>
      </c>
      <c r="R527" t="b">
        <v>1</v>
      </c>
      <c r="S527" t="inlineStr">
        <is>
          <t>G000037</t>
        </is>
      </c>
      <c r="T527" t="inlineStr">
        <is>
          <t>Horizontal</t>
        </is>
      </c>
      <c r="U527" t="n">
        <v>13</v>
      </c>
      <c r="V527" t="b">
        <v>1</v>
      </c>
      <c r="W527" t="inlineStr">
        <is>
          <t>Assumptions Sheet!D32:P32</t>
        </is>
      </c>
      <c r="X527">
        <f>SUM(R[-8]C[0]:R[-2]C[0])</f>
        <v/>
      </c>
    </row>
    <row r="528">
      <c r="A528" t="inlineStr">
        <is>
          <t>Assumptions Sheet</t>
        </is>
      </c>
      <c r="B528" t="inlineStr">
        <is>
          <t>O32</t>
        </is>
      </c>
      <c r="C528" t="n">
        <v>32</v>
      </c>
      <c r="D528" t="n">
        <v>15</v>
      </c>
      <c r="E528" t="inlineStr">
        <is>
          <t>Calculation</t>
        </is>
      </c>
      <c r="F528" t="inlineStr">
        <is>
          <t>'=SUM(O24:O30)</t>
        </is>
      </c>
      <c r="G528" t="n">
        <v>524625.7685402168</v>
      </c>
      <c r="H528" t="inlineStr"/>
      <c r="I528" t="inlineStr">
        <is>
          <t>#,##0</t>
        </is>
      </c>
      <c r="J528" t="b">
        <v>0</v>
      </c>
      <c r="K528" t="b">
        <v>0</v>
      </c>
      <c r="L528" t="n">
        <v>11</v>
      </c>
      <c r="M528" t="inlineStr">
        <is>
          <t>FFFF0000</t>
        </is>
      </c>
      <c r="N528" t="inlineStr">
        <is>
          <t>Values must be of type &lt;class 'str'&gt;</t>
        </is>
      </c>
      <c r="O528" t="inlineStr">
        <is>
          <t>center</t>
        </is>
      </c>
      <c r="P528" t="n">
        <v/>
      </c>
      <c r="R528" t="b">
        <v>1</v>
      </c>
      <c r="S528" t="inlineStr">
        <is>
          <t>G000037</t>
        </is>
      </c>
      <c r="T528" t="inlineStr">
        <is>
          <t>Horizontal</t>
        </is>
      </c>
      <c r="U528" t="n">
        <v>13</v>
      </c>
      <c r="V528" t="b">
        <v>1</v>
      </c>
      <c r="W528" t="inlineStr">
        <is>
          <t>Assumptions Sheet!D32:P32</t>
        </is>
      </c>
      <c r="X528">
        <f>SUM(R[-8]C[0]:R[-2]C[0])</f>
        <v/>
      </c>
    </row>
    <row r="529">
      <c r="A529" t="inlineStr">
        <is>
          <t>Assumptions Sheet</t>
        </is>
      </c>
      <c r="B529" t="inlineStr">
        <is>
          <t>P32</t>
        </is>
      </c>
      <c r="C529" t="n">
        <v>32</v>
      </c>
      <c r="D529" t="n">
        <v>16</v>
      </c>
      <c r="E529" t="inlineStr">
        <is>
          <t>Output</t>
        </is>
      </c>
      <c r="F529" t="inlineStr">
        <is>
          <t>'=SUM(P24:P30)</t>
        </is>
      </c>
      <c r="G529" t="n">
        <v>629875.0709129915</v>
      </c>
      <c r="H529" t="inlineStr"/>
      <c r="I529" t="inlineStr">
        <is>
          <t>#,##0</t>
        </is>
      </c>
      <c r="J529" t="b">
        <v>0</v>
      </c>
      <c r="K529" t="b">
        <v>0</v>
      </c>
      <c r="L529" t="n">
        <v>11</v>
      </c>
      <c r="M529" t="inlineStr">
        <is>
          <t>FFFF0000</t>
        </is>
      </c>
      <c r="N529" t="inlineStr">
        <is>
          <t>Values must be of type &lt;class 'str'&gt;</t>
        </is>
      </c>
      <c r="O529" t="inlineStr">
        <is>
          <t>center</t>
        </is>
      </c>
      <c r="P529" t="n">
        <v/>
      </c>
      <c r="R529" t="b">
        <v>1</v>
      </c>
      <c r="S529" t="inlineStr">
        <is>
          <t>G000037</t>
        </is>
      </c>
      <c r="T529" t="inlineStr">
        <is>
          <t>Horizontal</t>
        </is>
      </c>
      <c r="U529" t="n">
        <v>13</v>
      </c>
      <c r="V529" t="b">
        <v>1</v>
      </c>
      <c r="W529" t="inlineStr">
        <is>
          <t>Assumptions Sheet!D32:P32</t>
        </is>
      </c>
      <c r="X529">
        <f>SUM(R[-8]C[0]:R[-2]C[0])</f>
        <v/>
      </c>
    </row>
    <row r="530">
      <c r="A530" t="inlineStr">
        <is>
          <t>Assumptions Sheet</t>
        </is>
      </c>
      <c r="B530" t="inlineStr">
        <is>
          <t>B33</t>
        </is>
      </c>
      <c r="C530" t="n">
        <v>33</v>
      </c>
      <c r="D530" t="n">
        <v>2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11</v>
      </c>
      <c r="M530" t="inlineStr">
        <is>
          <t>Values must be of type &lt;class 'str'&gt;</t>
        </is>
      </c>
      <c r="N530" t="inlineStr">
        <is>
          <t>Values must be of type &lt;class 'str'&gt;</t>
        </is>
      </c>
      <c r="O530" t="inlineStr">
        <is>
          <t>left</t>
        </is>
      </c>
      <c r="P530" t="n">
        <v/>
      </c>
      <c r="R530" t="b">
        <v>0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</row>
    <row r="531">
      <c r="A531" t="inlineStr">
        <is>
          <t>Assumptions Sheet</t>
        </is>
      </c>
      <c r="B531" t="inlineStr">
        <is>
          <t>C33</t>
        </is>
      </c>
      <c r="C531" t="n">
        <v>33</v>
      </c>
      <c r="D531" t="n">
        <v>3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Values must be of type &lt;class 'str'&gt;</t>
        </is>
      </c>
      <c r="O531" t="inlineStr">
        <is>
          <t>center</t>
        </is>
      </c>
      <c r="P531" t="n">
        <v/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</row>
    <row r="532">
      <c r="A532" t="inlineStr">
        <is>
          <t>Assumptions Sheet</t>
        </is>
      </c>
      <c r="B532" t="inlineStr">
        <is>
          <t>D33</t>
        </is>
      </c>
      <c r="C532" t="n">
        <v>33</v>
      </c>
      <c r="D532" t="n">
        <v>4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Values must be of type &lt;class 'str'&gt;</t>
        </is>
      </c>
      <c r="O532" t="inlineStr">
        <is>
          <t>center</t>
        </is>
      </c>
      <c r="P532" t="n">
        <v/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</row>
    <row r="533">
      <c r="A533" t="inlineStr">
        <is>
          <t>Assumptions Sheet</t>
        </is>
      </c>
      <c r="B533" t="inlineStr">
        <is>
          <t>E33</t>
        </is>
      </c>
      <c r="C533" t="n">
        <v>33</v>
      </c>
      <c r="D533" t="n">
        <v>5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Values must be of type &lt;class 'str'&gt;</t>
        </is>
      </c>
      <c r="O533" t="inlineStr">
        <is>
          <t>center</t>
        </is>
      </c>
      <c r="P533" t="n">
        <v/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</row>
    <row r="534">
      <c r="A534" t="inlineStr">
        <is>
          <t>Assumptions Sheet</t>
        </is>
      </c>
      <c r="B534" t="inlineStr">
        <is>
          <t>F33</t>
        </is>
      </c>
      <c r="C534" t="n">
        <v>33</v>
      </c>
      <c r="D534" t="n">
        <v>6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Values must be of type &lt;class 'str'&gt;</t>
        </is>
      </c>
      <c r="O534" t="inlineStr">
        <is>
          <t>center</t>
        </is>
      </c>
      <c r="P534" t="n">
        <v/>
      </c>
      <c r="R534" t="b">
        <v>0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</row>
    <row r="535">
      <c r="A535" t="inlineStr">
        <is>
          <t>Assumptions Sheet</t>
        </is>
      </c>
      <c r="B535" t="inlineStr">
        <is>
          <t>G33</t>
        </is>
      </c>
      <c r="C535" t="n">
        <v>33</v>
      </c>
      <c r="D535" t="n">
        <v>7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Values must be of type &lt;class 'str'&gt;</t>
        </is>
      </c>
      <c r="O535" t="inlineStr">
        <is>
          <t>center</t>
        </is>
      </c>
      <c r="P535" t="n">
        <v/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</row>
    <row r="536">
      <c r="A536" t="inlineStr">
        <is>
          <t>Assumptions Sheet</t>
        </is>
      </c>
      <c r="B536" t="inlineStr">
        <is>
          <t>H33</t>
        </is>
      </c>
      <c r="C536" t="n">
        <v>33</v>
      </c>
      <c r="D536" t="n">
        <v>8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Values must be of type &lt;class 'str'&gt;</t>
        </is>
      </c>
      <c r="O536" t="inlineStr">
        <is>
          <t>center</t>
        </is>
      </c>
      <c r="P536" t="n">
        <v/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Assumptions Sheet</t>
        </is>
      </c>
      <c r="B537" t="inlineStr">
        <is>
          <t>I33</t>
        </is>
      </c>
      <c r="C537" t="n">
        <v>33</v>
      </c>
      <c r="D537" t="n">
        <v>9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n">
        <v/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</row>
    <row r="538">
      <c r="A538" t="inlineStr">
        <is>
          <t>Assumptions Sheet</t>
        </is>
      </c>
      <c r="B538" t="inlineStr">
        <is>
          <t>J33</t>
        </is>
      </c>
      <c r="C538" t="n">
        <v>33</v>
      </c>
      <c r="D538" t="n">
        <v>10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n">
        <v/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Assumptions Sheet</t>
        </is>
      </c>
      <c r="B539" t="inlineStr">
        <is>
          <t>K33</t>
        </is>
      </c>
      <c r="C539" t="n">
        <v>33</v>
      </c>
      <c r="D539" t="n">
        <v>11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11</v>
      </c>
      <c r="M539" t="inlineStr">
        <is>
          <t>FFFF0000</t>
        </is>
      </c>
      <c r="N539" t="inlineStr">
        <is>
          <t>Values must be of type &lt;class 'str'&gt;</t>
        </is>
      </c>
      <c r="O539" t="inlineStr">
        <is>
          <t>center</t>
        </is>
      </c>
      <c r="P539" t="n">
        <v/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Assumptions Sheet</t>
        </is>
      </c>
      <c r="B540" t="inlineStr">
        <is>
          <t>L33</t>
        </is>
      </c>
      <c r="C540" t="n">
        <v>33</v>
      </c>
      <c r="D540" t="n">
        <v>12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11</v>
      </c>
      <c r="M540" t="inlineStr">
        <is>
          <t>FFFF0000</t>
        </is>
      </c>
      <c r="N540" t="inlineStr">
        <is>
          <t>Values must be of type &lt;class 'str'&gt;</t>
        </is>
      </c>
      <c r="O540" t="inlineStr">
        <is>
          <t>center</t>
        </is>
      </c>
      <c r="P540" t="n">
        <v/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Assumptions Sheet</t>
        </is>
      </c>
      <c r="B541" t="inlineStr">
        <is>
          <t>M33</t>
        </is>
      </c>
      <c r="C541" t="n">
        <v>33</v>
      </c>
      <c r="D541" t="n">
        <v>13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11</v>
      </c>
      <c r="M541" t="inlineStr">
        <is>
          <t>FFFF0000</t>
        </is>
      </c>
      <c r="N541" t="inlineStr">
        <is>
          <t>Values must be of type &lt;class 'str'&gt;</t>
        </is>
      </c>
      <c r="O541" t="inlineStr">
        <is>
          <t>center</t>
        </is>
      </c>
      <c r="P541" t="n">
        <v/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Assumptions Sheet</t>
        </is>
      </c>
      <c r="B542" t="inlineStr">
        <is>
          <t>N33</t>
        </is>
      </c>
      <c r="C542" t="n">
        <v>33</v>
      </c>
      <c r="D542" t="n">
        <v>14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11</v>
      </c>
      <c r="M542" t="inlineStr">
        <is>
          <t>FFFF0000</t>
        </is>
      </c>
      <c r="N542" t="inlineStr">
        <is>
          <t>Values must be of type &lt;class 'str'&gt;</t>
        </is>
      </c>
      <c r="O542" t="inlineStr">
        <is>
          <t>center</t>
        </is>
      </c>
      <c r="P542" t="n">
        <v/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Assumptions Sheet</t>
        </is>
      </c>
      <c r="B543" t="inlineStr">
        <is>
          <t>O33</t>
        </is>
      </c>
      <c r="C543" t="n">
        <v>33</v>
      </c>
      <c r="D543" t="n">
        <v>15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11</v>
      </c>
      <c r="M543" t="inlineStr">
        <is>
          <t>FFFF0000</t>
        </is>
      </c>
      <c r="N543" t="inlineStr">
        <is>
          <t>Values must be of type &lt;class 'str'&gt;</t>
        </is>
      </c>
      <c r="O543" t="inlineStr">
        <is>
          <t>center</t>
        </is>
      </c>
      <c r="P543" t="n">
        <v/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</row>
    <row r="544">
      <c r="A544" t="inlineStr">
        <is>
          <t>Assumptions Sheet</t>
        </is>
      </c>
      <c r="B544" t="inlineStr">
        <is>
          <t>P33</t>
        </is>
      </c>
      <c r="C544" t="n">
        <v>33</v>
      </c>
      <c r="D544" t="n">
        <v>16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11</v>
      </c>
      <c r="M544" t="inlineStr">
        <is>
          <t>FFFF0000</t>
        </is>
      </c>
      <c r="N544" t="inlineStr">
        <is>
          <t>Values must be of type &lt;class 'str'&gt;</t>
        </is>
      </c>
      <c r="O544" t="inlineStr">
        <is>
          <t>center</t>
        </is>
      </c>
      <c r="P544" t="n">
        <v/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</row>
    <row r="545">
      <c r="A545" t="inlineStr">
        <is>
          <t>Assumptions Sheet</t>
        </is>
      </c>
      <c r="B545" t="inlineStr">
        <is>
          <t>B34</t>
        </is>
      </c>
      <c r="C545" t="n">
        <v>34</v>
      </c>
      <c r="D545" t="n">
        <v>2</v>
      </c>
      <c r="E545" t="inlineStr">
        <is>
          <t>Input</t>
        </is>
      </c>
      <c r="F545" t="n">
        <v/>
      </c>
      <c r="G545" t="inlineStr">
        <is>
          <t>(a) Revenue
 from 
Ancillary
 Passenger
 related
 services</t>
        </is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Values must be of type &lt;class 'str'&gt;</t>
        </is>
      </c>
      <c r="O545" t="inlineStr">
        <is>
          <t>left</t>
        </is>
      </c>
      <c r="P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</row>
    <row r="546">
      <c r="A546" t="inlineStr">
        <is>
          <t>Assumptions Sheet</t>
        </is>
      </c>
      <c r="B546" t="inlineStr">
        <is>
          <t>C34</t>
        </is>
      </c>
      <c r="C546" t="n">
        <v>34</v>
      </c>
      <c r="D546" t="n">
        <v>3</v>
      </c>
      <c r="E546" t="inlineStr">
        <is>
          <t>Input</t>
        </is>
      </c>
      <c r="F546" t="n">
        <v/>
      </c>
      <c r="G546" t="n">
        <v>934.38</v>
      </c>
      <c r="H546" t="inlineStr"/>
      <c r="I546" t="inlineStr">
        <is>
          <t>0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Values must be of type &lt;class 'str'&gt;</t>
        </is>
      </c>
      <c r="O546" t="inlineStr">
        <is>
          <t>center</t>
        </is>
      </c>
      <c r="P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</row>
    <row r="547">
      <c r="A547" t="inlineStr">
        <is>
          <t>Assumptions Sheet</t>
        </is>
      </c>
      <c r="B547" t="inlineStr">
        <is>
          <t>D34</t>
        </is>
      </c>
      <c r="C547" t="n">
        <v>34</v>
      </c>
      <c r="D547" t="n">
        <v>4</v>
      </c>
      <c r="E547" t="inlineStr">
        <is>
          <t>Input</t>
        </is>
      </c>
      <c r="F547" t="n">
        <v/>
      </c>
      <c r="G547" t="n">
        <v>1508.03</v>
      </c>
      <c r="H547" t="inlineStr"/>
      <c r="I547" t="inlineStr">
        <is>
          <t>0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Values must be of type &lt;class 'str'&gt;</t>
        </is>
      </c>
      <c r="O547" t="inlineStr">
        <is>
          <t>center</t>
        </is>
      </c>
      <c r="P547" t="n">
        <v/>
      </c>
      <c r="R547" t="b">
        <v>1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</row>
    <row r="548">
      <c r="A548" t="inlineStr">
        <is>
          <t>Assumptions Sheet</t>
        </is>
      </c>
      <c r="B548" t="inlineStr">
        <is>
          <t>E34</t>
        </is>
      </c>
      <c r="C548" t="n">
        <v>34</v>
      </c>
      <c r="D548" t="n">
        <v>5</v>
      </c>
      <c r="E548" t="inlineStr">
        <is>
          <t>Input</t>
        </is>
      </c>
      <c r="F548" t="n">
        <v/>
      </c>
      <c r="G548" t="n">
        <v>2075.43</v>
      </c>
      <c r="H548" t="inlineStr"/>
      <c r="I548" t="inlineStr">
        <is>
          <t>0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Values must be of type &lt;class 'str'&gt;</t>
        </is>
      </c>
      <c r="O548" t="inlineStr">
        <is>
          <t>center</t>
        </is>
      </c>
      <c r="P548" t="n">
        <v/>
      </c>
      <c r="R548" t="b">
        <v>1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</row>
    <row r="549">
      <c r="A549" t="inlineStr">
        <is>
          <t>Assumptions Sheet</t>
        </is>
      </c>
      <c r="B549" t="inlineStr">
        <is>
          <t>F34</t>
        </is>
      </c>
      <c r="C549" t="n">
        <v>34</v>
      </c>
      <c r="D549" t="n">
        <v>6</v>
      </c>
      <c r="E549" t="inlineStr">
        <is>
          <t>Input</t>
        </is>
      </c>
      <c r="F549" t="n">
        <v/>
      </c>
      <c r="G549" t="n">
        <v>3936.81</v>
      </c>
      <c r="H549" t="inlineStr"/>
      <c r="I549" t="inlineStr">
        <is>
          <t>0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Values must be of type &lt;class 'str'&gt;</t>
        </is>
      </c>
      <c r="O549" t="inlineStr">
        <is>
          <t>center</t>
        </is>
      </c>
      <c r="P549" t="n">
        <v/>
      </c>
      <c r="R549" t="b">
        <v>1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Assumptions Sheet</t>
        </is>
      </c>
      <c r="B550" t="inlineStr">
        <is>
          <t>G34</t>
        </is>
      </c>
      <c r="C550" t="n">
        <v>34</v>
      </c>
      <c r="D550" t="n">
        <v>7</v>
      </c>
      <c r="E550" t="inlineStr">
        <is>
          <t>Input</t>
        </is>
      </c>
      <c r="F550" t="n">
        <v/>
      </c>
      <c r="G550" t="n">
        <v>5394.52</v>
      </c>
      <c r="H550" t="inlineStr"/>
      <c r="I550" t="inlineStr">
        <is>
          <t>0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inlineStr">
        <is>
          <t>center</t>
        </is>
      </c>
      <c r="P550" t="n">
        <v/>
      </c>
      <c r="R550" t="b">
        <v>1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Assumptions Sheet</t>
        </is>
      </c>
      <c r="B551" t="inlineStr">
        <is>
          <t>H34</t>
        </is>
      </c>
      <c r="C551" t="n">
        <v>34</v>
      </c>
      <c r="D551" t="n">
        <v>8</v>
      </c>
      <c r="E551" t="inlineStr">
        <is>
          <t>Input</t>
        </is>
      </c>
      <c r="F551" t="n">
        <v/>
      </c>
      <c r="G551" t="n">
        <v>7608.24</v>
      </c>
      <c r="H551" t="inlineStr"/>
      <c r="I551" t="inlineStr">
        <is>
          <t>0</t>
        </is>
      </c>
      <c r="J551" t="b">
        <v>0</v>
      </c>
      <c r="K551" t="b">
        <v>0</v>
      </c>
      <c r="L551" t="n">
        <v>11</v>
      </c>
      <c r="M551" t="inlineStr">
        <is>
          <t>Values must be of type &lt;class 'str'&gt;</t>
        </is>
      </c>
      <c r="N551" t="inlineStr">
        <is>
          <t>Values must be of type &lt;class 'str'&gt;</t>
        </is>
      </c>
      <c r="O551" t="inlineStr">
        <is>
          <t>center</t>
        </is>
      </c>
      <c r="P551" t="n">
        <v/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</row>
    <row r="552">
      <c r="A552" t="inlineStr">
        <is>
          <t>Assumptions Sheet</t>
        </is>
      </c>
      <c r="B552" t="inlineStr">
        <is>
          <t>I34</t>
        </is>
      </c>
      <c r="C552" t="n">
        <v>34</v>
      </c>
      <c r="D552" t="n">
        <v>9</v>
      </c>
      <c r="E552" t="inlineStr">
        <is>
          <t>Input</t>
        </is>
      </c>
      <c r="F552" t="n">
        <v/>
      </c>
      <c r="G552" t="n">
        <v>10464.65</v>
      </c>
      <c r="H552" t="inlineStr"/>
      <c r="I552" t="inlineStr">
        <is>
          <t>0</t>
        </is>
      </c>
      <c r="J552" t="b">
        <v>0</v>
      </c>
      <c r="K552" t="b">
        <v>0</v>
      </c>
      <c r="L552" t="n">
        <v>11</v>
      </c>
      <c r="M552" t="inlineStr">
        <is>
          <t>Values must be of type &lt;class 'str'&gt;</t>
        </is>
      </c>
      <c r="N552" t="inlineStr">
        <is>
          <t>Values must be of type &lt;class 'str'&gt;</t>
        </is>
      </c>
      <c r="O552" t="inlineStr">
        <is>
          <t>center</t>
        </is>
      </c>
      <c r="P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</row>
    <row r="553">
      <c r="A553" t="inlineStr">
        <is>
          <t>Assumptions Sheet</t>
        </is>
      </c>
      <c r="B553" t="inlineStr">
        <is>
          <t>J34</t>
        </is>
      </c>
      <c r="C553" t="n">
        <v>34</v>
      </c>
      <c r="D553" t="n">
        <v>10</v>
      </c>
      <c r="E553" t="inlineStr">
        <is>
          <t>Calculation</t>
        </is>
      </c>
      <c r="F553" t="inlineStr">
        <is>
          <t>'=J26-SUM(J35:J39)</t>
        </is>
      </c>
      <c r="G553" t="n">
        <v>11376.95</v>
      </c>
      <c r="H553" t="inlineStr"/>
      <c r="I553" t="inlineStr">
        <is>
          <t>0</t>
        </is>
      </c>
      <c r="J553" t="b">
        <v>0</v>
      </c>
      <c r="K553" t="b">
        <v>0</v>
      </c>
      <c r="L553" t="n">
        <v>11</v>
      </c>
      <c r="M553" t="inlineStr">
        <is>
          <t>Values must be of type &lt;class 'str'&gt;</t>
        </is>
      </c>
      <c r="N553" t="inlineStr">
        <is>
          <t>Values must be of type &lt;class 'str'&gt;</t>
        </is>
      </c>
      <c r="O553" t="inlineStr">
        <is>
          <t>center</t>
        </is>
      </c>
      <c r="P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>
        <f>R[-8]C[0]-SUM(R[1]C[0]:R[5]C[0])</f>
        <v/>
      </c>
    </row>
    <row r="554">
      <c r="A554" t="inlineStr">
        <is>
          <t>Assumptions Sheet</t>
        </is>
      </c>
      <c r="B554" t="inlineStr">
        <is>
          <t>K34</t>
        </is>
      </c>
      <c r="C554" t="n">
        <v>34</v>
      </c>
      <c r="D554" t="n">
        <v>11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11</v>
      </c>
      <c r="M554" t="inlineStr">
        <is>
          <t>FFFF0000</t>
        </is>
      </c>
      <c r="N554" t="inlineStr">
        <is>
          <t>Values must be of type &lt;class 'str'&gt;</t>
        </is>
      </c>
      <c r="O554" t="inlineStr">
        <is>
          <t>center</t>
        </is>
      </c>
      <c r="P554" t="n">
        <v/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</row>
    <row r="555">
      <c r="A555" t="inlineStr">
        <is>
          <t>Assumptions Sheet</t>
        </is>
      </c>
      <c r="B555" t="inlineStr">
        <is>
          <t>L34</t>
        </is>
      </c>
      <c r="C555" t="n">
        <v>34</v>
      </c>
      <c r="D555" t="n">
        <v>12</v>
      </c>
      <c r="E555" t="inlineStr">
        <is>
          <t>Input</t>
        </is>
      </c>
      <c r="F555" t="n">
        <v/>
      </c>
      <c r="H555" t="inlineStr"/>
      <c r="I555" t="inlineStr">
        <is>
          <t>0%</t>
        </is>
      </c>
      <c r="J555" t="b">
        <v>0</v>
      </c>
      <c r="K555" t="b">
        <v>0</v>
      </c>
      <c r="L555" t="n">
        <v>11</v>
      </c>
      <c r="M555" t="inlineStr">
        <is>
          <t>FFFF0000</t>
        </is>
      </c>
      <c r="N555" t="inlineStr">
        <is>
          <t>Values must be of type &lt;class 'str'&gt;</t>
        </is>
      </c>
      <c r="O555" t="inlineStr">
        <is>
          <t>center</t>
        </is>
      </c>
      <c r="P555" t="n">
        <v/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</row>
    <row r="556">
      <c r="A556" t="inlineStr">
        <is>
          <t>Assumptions Sheet</t>
        </is>
      </c>
      <c r="B556" t="inlineStr">
        <is>
          <t>M34</t>
        </is>
      </c>
      <c r="C556" t="n">
        <v>34</v>
      </c>
      <c r="D556" t="n">
        <v>13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11</v>
      </c>
      <c r="M556" t="inlineStr">
        <is>
          <t>FFFF0000</t>
        </is>
      </c>
      <c r="N556" t="inlineStr">
        <is>
          <t>Values must be of type &lt;class 'str'&gt;</t>
        </is>
      </c>
      <c r="O556" t="inlineStr">
        <is>
          <t>center</t>
        </is>
      </c>
      <c r="P556" t="n">
        <v/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</row>
    <row r="557">
      <c r="A557" t="inlineStr">
        <is>
          <t>Assumptions Sheet</t>
        </is>
      </c>
      <c r="B557" t="inlineStr">
        <is>
          <t>N34</t>
        </is>
      </c>
      <c r="C557" t="n">
        <v>34</v>
      </c>
      <c r="D557" t="n">
        <v>14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11</v>
      </c>
      <c r="M557" t="inlineStr">
        <is>
          <t>FFFF0000</t>
        </is>
      </c>
      <c r="N557" t="inlineStr">
        <is>
          <t>Values must be of type &lt;class 'str'&gt;</t>
        </is>
      </c>
      <c r="O557" t="inlineStr">
        <is>
          <t>center</t>
        </is>
      </c>
      <c r="P557" t="n">
        <v/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</row>
    <row r="558">
      <c r="A558" t="inlineStr">
        <is>
          <t>Assumptions Sheet</t>
        </is>
      </c>
      <c r="B558" t="inlineStr">
        <is>
          <t>O34</t>
        </is>
      </c>
      <c r="C558" t="n">
        <v>34</v>
      </c>
      <c r="D558" t="n">
        <v>15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11</v>
      </c>
      <c r="M558" t="inlineStr">
        <is>
          <t>FFFF0000</t>
        </is>
      </c>
      <c r="N558" t="inlineStr">
        <is>
          <t>Values must be of type &lt;class 'str'&gt;</t>
        </is>
      </c>
      <c r="O558" t="inlineStr">
        <is>
          <t>center</t>
        </is>
      </c>
      <c r="P558" t="n">
        <v/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</row>
    <row r="559">
      <c r="A559" t="inlineStr">
        <is>
          <t>Assumptions Sheet</t>
        </is>
      </c>
      <c r="B559" t="inlineStr">
        <is>
          <t>P34</t>
        </is>
      </c>
      <c r="C559" t="n">
        <v>34</v>
      </c>
      <c r="D559" t="n">
        <v>16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FFFF0000</t>
        </is>
      </c>
      <c r="N559" t="inlineStr">
        <is>
          <t>Values must be of type &lt;class 'str'&gt;</t>
        </is>
      </c>
      <c r="O559" t="inlineStr">
        <is>
          <t>center</t>
        </is>
      </c>
      <c r="P559" t="n">
        <v/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</row>
    <row r="560">
      <c r="A560" t="inlineStr">
        <is>
          <t>Assumptions Sheet</t>
        </is>
      </c>
      <c r="B560" t="inlineStr">
        <is>
          <t>B35</t>
        </is>
      </c>
      <c r="C560" t="n">
        <v>35</v>
      </c>
      <c r="D560" t="n">
        <v>2</v>
      </c>
      <c r="E560" t="inlineStr">
        <is>
          <t>Input</t>
        </is>
      </c>
      <c r="F560" t="n">
        <v/>
      </c>
      <c r="G560" t="inlineStr">
        <is>
          <t>(b) Cargo
 services</t>
        </is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Values must be of type &lt;class 'str'&gt;</t>
        </is>
      </c>
      <c r="O560" t="inlineStr">
        <is>
          <t>left</t>
        </is>
      </c>
      <c r="P560" t="n">
        <v/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</row>
    <row r="561">
      <c r="A561" t="inlineStr">
        <is>
          <t>Assumptions Sheet</t>
        </is>
      </c>
      <c r="B561" t="inlineStr">
        <is>
          <t>C35</t>
        </is>
      </c>
      <c r="C561" t="n">
        <v>35</v>
      </c>
      <c r="D561" t="n">
        <v>3</v>
      </c>
      <c r="E561" t="inlineStr">
        <is>
          <t>Input</t>
        </is>
      </c>
      <c r="F561" t="n">
        <v/>
      </c>
      <c r="G561" t="n">
        <v>1565.4</v>
      </c>
      <c r="H561" t="inlineStr"/>
      <c r="I561" t="inlineStr">
        <is>
          <t>0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Values must be of type &lt;class 'str'&gt;</t>
        </is>
      </c>
      <c r="O561" t="inlineStr">
        <is>
          <t>center</t>
        </is>
      </c>
      <c r="P561" t="n">
        <v/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</row>
    <row r="562">
      <c r="A562" t="inlineStr">
        <is>
          <t>Assumptions Sheet</t>
        </is>
      </c>
      <c r="B562" t="inlineStr">
        <is>
          <t>D35</t>
        </is>
      </c>
      <c r="C562" t="n">
        <v>35</v>
      </c>
      <c r="D562" t="n">
        <v>4</v>
      </c>
      <c r="E562" t="inlineStr">
        <is>
          <t>Input</t>
        </is>
      </c>
      <c r="F562" t="n">
        <v/>
      </c>
      <c r="G562" t="n">
        <v>2451.26</v>
      </c>
      <c r="H562" t="inlineStr"/>
      <c r="I562" t="inlineStr">
        <is>
          <t>0</t>
        </is>
      </c>
      <c r="J562" t="b">
        <v>0</v>
      </c>
      <c r="K562" t="b">
        <v>0</v>
      </c>
      <c r="L562" t="n">
        <v>11</v>
      </c>
      <c r="M562" t="inlineStr">
        <is>
          <t>Values must be of type &lt;class 'str'&gt;</t>
        </is>
      </c>
      <c r="N562" t="inlineStr">
        <is>
          <t>Values must be of type &lt;class 'str'&gt;</t>
        </is>
      </c>
      <c r="O562" t="inlineStr">
        <is>
          <t>center</t>
        </is>
      </c>
      <c r="P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Assumptions Sheet</t>
        </is>
      </c>
      <c r="B563" t="inlineStr">
        <is>
          <t>E35</t>
        </is>
      </c>
      <c r="C563" t="n">
        <v>35</v>
      </c>
      <c r="D563" t="n">
        <v>5</v>
      </c>
      <c r="E563" t="inlineStr">
        <is>
          <t>Input</t>
        </is>
      </c>
      <c r="F563" t="n">
        <v/>
      </c>
      <c r="G563" t="n">
        <v>2903.72</v>
      </c>
      <c r="H563" t="inlineStr"/>
      <c r="I563" t="inlineStr">
        <is>
          <t>0</t>
        </is>
      </c>
      <c r="J563" t="b">
        <v>0</v>
      </c>
      <c r="K563" t="b">
        <v>0</v>
      </c>
      <c r="L563" t="n">
        <v>11</v>
      </c>
      <c r="M563" t="inlineStr">
        <is>
          <t>Values must be of type &lt;class 'str'&gt;</t>
        </is>
      </c>
      <c r="N563" t="inlineStr">
        <is>
          <t>Values must be of type &lt;class 'str'&gt;</t>
        </is>
      </c>
      <c r="O563" t="inlineStr">
        <is>
          <t>center</t>
        </is>
      </c>
      <c r="P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Assumptions Sheet</t>
        </is>
      </c>
      <c r="B564" t="inlineStr">
        <is>
          <t>F35</t>
        </is>
      </c>
      <c r="C564" t="n">
        <v>35</v>
      </c>
      <c r="D564" t="n">
        <v>6</v>
      </c>
      <c r="E564" t="inlineStr">
        <is>
          <t>Input</t>
        </is>
      </c>
      <c r="F564" t="n">
        <v/>
      </c>
      <c r="G564" t="n">
        <v>4102.94</v>
      </c>
      <c r="H564" t="inlineStr"/>
      <c r="I564" t="inlineStr">
        <is>
          <t>0</t>
        </is>
      </c>
      <c r="J564" t="b">
        <v>0</v>
      </c>
      <c r="K564" t="b">
        <v>0</v>
      </c>
      <c r="L564" t="n">
        <v>11</v>
      </c>
      <c r="M564" t="inlineStr">
        <is>
          <t>Values must be of type &lt;class 'str'&gt;</t>
        </is>
      </c>
      <c r="N564" t="inlineStr">
        <is>
          <t>Values must be of type &lt;class 'str'&gt;</t>
        </is>
      </c>
      <c r="O564" t="inlineStr">
        <is>
          <t>center</t>
        </is>
      </c>
      <c r="P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</row>
    <row r="565">
      <c r="A565" t="inlineStr">
        <is>
          <t>Assumptions Sheet</t>
        </is>
      </c>
      <c r="B565" t="inlineStr">
        <is>
          <t>G35</t>
        </is>
      </c>
      <c r="C565" t="n">
        <v>35</v>
      </c>
      <c r="D565" t="n">
        <v>7</v>
      </c>
      <c r="E565" t="inlineStr">
        <is>
          <t>Input</t>
        </is>
      </c>
      <c r="F565" t="n">
        <v/>
      </c>
      <c r="G565" t="n">
        <v>4859.78</v>
      </c>
      <c r="H565" t="inlineStr"/>
      <c r="I565" t="inlineStr">
        <is>
          <t>0</t>
        </is>
      </c>
      <c r="J565" t="b">
        <v>0</v>
      </c>
      <c r="K565" t="b">
        <v>0</v>
      </c>
      <c r="L565" t="n">
        <v>11</v>
      </c>
      <c r="M565" t="inlineStr">
        <is>
          <t>Values must be of type &lt;class 'str'&gt;</t>
        </is>
      </c>
      <c r="N565" t="inlineStr">
        <is>
          <t>Values must be of type &lt;class 'str'&gt;</t>
        </is>
      </c>
      <c r="O565" t="inlineStr">
        <is>
          <t>center</t>
        </is>
      </c>
      <c r="P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Assumptions Sheet</t>
        </is>
      </c>
      <c r="B566" t="inlineStr">
        <is>
          <t>H35</t>
        </is>
      </c>
      <c r="C566" t="n">
        <v>35</v>
      </c>
      <c r="D566" t="n">
        <v>8</v>
      </c>
      <c r="E566" t="inlineStr">
        <is>
          <t>Input</t>
        </is>
      </c>
      <c r="F566" t="n">
        <v/>
      </c>
      <c r="G566" t="n">
        <v>6538.8</v>
      </c>
      <c r="H566" t="inlineStr"/>
      <c r="I566" t="inlineStr">
        <is>
          <t>0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Values must be of type &lt;class 'str'&gt;</t>
        </is>
      </c>
      <c r="O566" t="inlineStr">
        <is>
          <t>center</t>
        </is>
      </c>
      <c r="P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</row>
    <row r="567">
      <c r="A567" t="inlineStr">
        <is>
          <t>Assumptions Sheet</t>
        </is>
      </c>
      <c r="B567" t="inlineStr">
        <is>
          <t>I35</t>
        </is>
      </c>
      <c r="C567" t="n">
        <v>35</v>
      </c>
      <c r="D567" t="n">
        <v>9</v>
      </c>
      <c r="E567" t="inlineStr">
        <is>
          <t>Input</t>
        </is>
      </c>
      <c r="F567" t="n">
        <v/>
      </c>
      <c r="G567" t="n">
        <v>7576.65</v>
      </c>
      <c r="H567" t="inlineStr"/>
      <c r="I567" t="inlineStr">
        <is>
          <t>0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inlineStr">
        <is>
          <t>center</t>
        </is>
      </c>
      <c r="P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Assumptions Sheet</t>
        </is>
      </c>
      <c r="B568" t="inlineStr">
        <is>
          <t>J35</t>
        </is>
      </c>
      <c r="C568" t="n">
        <v>35</v>
      </c>
      <c r="D568" t="n">
        <v>10</v>
      </c>
      <c r="E568" t="inlineStr">
        <is>
          <t>Input</t>
        </is>
      </c>
      <c r="F568" t="n">
        <v/>
      </c>
      <c r="G568" t="n">
        <v>8761.860000000001</v>
      </c>
      <c r="H568" t="inlineStr"/>
      <c r="I568" t="inlineStr">
        <is>
          <t>0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inlineStr">
        <is>
          <t>center</t>
        </is>
      </c>
      <c r="P568" t="n">
        <v/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Assumptions Sheet</t>
        </is>
      </c>
      <c r="B569" t="inlineStr">
        <is>
          <t>K35</t>
        </is>
      </c>
      <c r="C569" t="n">
        <v>35</v>
      </c>
      <c r="D569" t="n">
        <v>11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11</v>
      </c>
      <c r="M569" t="inlineStr">
        <is>
          <t>FFFF0000</t>
        </is>
      </c>
      <c r="N569" t="inlineStr">
        <is>
          <t>Values must be of type &lt;class 'str'&gt;</t>
        </is>
      </c>
      <c r="O569" t="inlineStr">
        <is>
          <t>center</t>
        </is>
      </c>
      <c r="P569" t="n">
        <v/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</row>
    <row r="570">
      <c r="A570" t="inlineStr">
        <is>
          <t>Assumptions Sheet</t>
        </is>
      </c>
      <c r="B570" t="inlineStr">
        <is>
          <t>L35</t>
        </is>
      </c>
      <c r="C570" t="n">
        <v>35</v>
      </c>
      <c r="D570" t="n">
        <v>12</v>
      </c>
      <c r="E570" t="inlineStr">
        <is>
          <t>Input</t>
        </is>
      </c>
      <c r="F570" t="n">
        <v/>
      </c>
      <c r="H570" t="inlineStr"/>
      <c r="I570" t="inlineStr">
        <is>
          <t>0%</t>
        </is>
      </c>
      <c r="J570" t="b">
        <v>0</v>
      </c>
      <c r="K570" t="b">
        <v>0</v>
      </c>
      <c r="L570" t="n">
        <v>11</v>
      </c>
      <c r="M570" t="inlineStr">
        <is>
          <t>FFFF0000</t>
        </is>
      </c>
      <c r="N570" t="inlineStr">
        <is>
          <t>Values must be of type &lt;class 'str'&gt;</t>
        </is>
      </c>
      <c r="O570" t="inlineStr">
        <is>
          <t>center</t>
        </is>
      </c>
      <c r="P570" t="n">
        <v/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</row>
    <row r="571">
      <c r="A571" t="inlineStr">
        <is>
          <t>Assumptions Sheet</t>
        </is>
      </c>
      <c r="B571" t="inlineStr">
        <is>
          <t>M35</t>
        </is>
      </c>
      <c r="C571" t="n">
        <v>35</v>
      </c>
      <c r="D571" t="n">
        <v>13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11</v>
      </c>
      <c r="M571" t="inlineStr">
        <is>
          <t>FFFF0000</t>
        </is>
      </c>
      <c r="N571" t="inlineStr">
        <is>
          <t>Values must be of type &lt;class 'str'&gt;</t>
        </is>
      </c>
      <c r="O571" t="inlineStr">
        <is>
          <t>center</t>
        </is>
      </c>
      <c r="P571" t="n">
        <v/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</row>
    <row r="572">
      <c r="A572" t="inlineStr">
        <is>
          <t>Assumptions Sheet</t>
        </is>
      </c>
      <c r="B572" t="inlineStr">
        <is>
          <t>N35</t>
        </is>
      </c>
      <c r="C572" t="n">
        <v>35</v>
      </c>
      <c r="D572" t="n">
        <v>14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11</v>
      </c>
      <c r="M572" t="inlineStr">
        <is>
          <t>FFFF0000</t>
        </is>
      </c>
      <c r="N572" t="inlineStr">
        <is>
          <t>Values must be of type &lt;class 'str'&gt;</t>
        </is>
      </c>
      <c r="O572" t="inlineStr">
        <is>
          <t>center</t>
        </is>
      </c>
      <c r="P572" t="n">
        <v/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</row>
    <row r="573">
      <c r="A573" t="inlineStr">
        <is>
          <t>Assumptions Sheet</t>
        </is>
      </c>
      <c r="B573" t="inlineStr">
        <is>
          <t>O35</t>
        </is>
      </c>
      <c r="C573" t="n">
        <v>35</v>
      </c>
      <c r="D573" t="n">
        <v>15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FFFF0000</t>
        </is>
      </c>
      <c r="N573" t="inlineStr">
        <is>
          <t>Values must be of type &lt;class 'str'&gt;</t>
        </is>
      </c>
      <c r="O573" t="inlineStr">
        <is>
          <t>center</t>
        </is>
      </c>
      <c r="P573" t="n">
        <v/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</row>
    <row r="574">
      <c r="A574" t="inlineStr">
        <is>
          <t>Assumptions Sheet</t>
        </is>
      </c>
      <c r="B574" t="inlineStr">
        <is>
          <t>P35</t>
        </is>
      </c>
      <c r="C574" t="n">
        <v>35</v>
      </c>
      <c r="D574" t="n">
        <v>16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11</v>
      </c>
      <c r="M574" t="inlineStr">
        <is>
          <t>FFFF0000</t>
        </is>
      </c>
      <c r="N574" t="inlineStr">
        <is>
          <t>Values must be of type &lt;class 'str'&gt;</t>
        </is>
      </c>
      <c r="O574" t="inlineStr">
        <is>
          <t>center</t>
        </is>
      </c>
      <c r="P574" t="n">
        <v/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</row>
    <row r="575">
      <c r="A575" t="inlineStr">
        <is>
          <t>Assumptions Sheet</t>
        </is>
      </c>
      <c r="B575" t="inlineStr">
        <is>
          <t>B36</t>
        </is>
      </c>
      <c r="C575" t="n">
        <v>36</v>
      </c>
      <c r="D575" t="n">
        <v>2</v>
      </c>
      <c r="E575" t="inlineStr">
        <is>
          <t>Input</t>
        </is>
      </c>
      <c r="F575" t="n">
        <v/>
      </c>
      <c r="G575" t="inlineStr">
        <is>
          <t>(c) Tours and
 packages</t>
        </is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11</v>
      </c>
      <c r="M575" t="inlineStr">
        <is>
          <t>Values must be of type &lt;class 'str'&gt;</t>
        </is>
      </c>
      <c r="N575" t="inlineStr">
        <is>
          <t>Values must be of type &lt;class 'str'&gt;</t>
        </is>
      </c>
      <c r="O575" t="inlineStr">
        <is>
          <t>left</t>
        </is>
      </c>
      <c r="P575" t="n">
        <v/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</row>
    <row r="576">
      <c r="A576" t="inlineStr">
        <is>
          <t>Assumptions Sheet</t>
        </is>
      </c>
      <c r="B576" t="inlineStr">
        <is>
          <t>C36</t>
        </is>
      </c>
      <c r="C576" t="n">
        <v>36</v>
      </c>
      <c r="D576" t="n">
        <v>3</v>
      </c>
      <c r="E576" t="inlineStr">
        <is>
          <t>Input</t>
        </is>
      </c>
      <c r="F576" t="n">
        <v/>
      </c>
      <c r="G576" t="inlineStr">
        <is>
          <t>–</t>
        </is>
      </c>
      <c r="H576" t="inlineStr"/>
      <c r="I576" t="inlineStr">
        <is>
          <t>0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Values must be of type &lt;class 'str'&gt;</t>
        </is>
      </c>
      <c r="O576" t="inlineStr">
        <is>
          <t>center</t>
        </is>
      </c>
      <c r="P576" t="n">
        <v/>
      </c>
      <c r="R576" t="b">
        <v>1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</row>
    <row r="577">
      <c r="A577" t="inlineStr">
        <is>
          <t>Assumptions Sheet</t>
        </is>
      </c>
      <c r="B577" t="inlineStr">
        <is>
          <t>D36</t>
        </is>
      </c>
      <c r="C577" t="n">
        <v>36</v>
      </c>
      <c r="D577" t="n">
        <v>4</v>
      </c>
      <c r="E577" t="inlineStr">
        <is>
          <t>Input</t>
        </is>
      </c>
      <c r="F577" t="n">
        <v/>
      </c>
      <c r="G577" t="n">
        <v>1.37</v>
      </c>
      <c r="H577" t="inlineStr"/>
      <c r="I577" t="inlineStr">
        <is>
          <t>0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Values must be of type &lt;class 'str'&gt;</t>
        </is>
      </c>
      <c r="O577" t="inlineStr">
        <is>
          <t>center</t>
        </is>
      </c>
      <c r="P577" t="n">
        <v/>
      </c>
      <c r="R577" t="b">
        <v>1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</row>
    <row r="578">
      <c r="A578" t="inlineStr">
        <is>
          <t>Assumptions Sheet</t>
        </is>
      </c>
      <c r="B578" t="inlineStr">
        <is>
          <t>E36</t>
        </is>
      </c>
      <c r="C578" t="n">
        <v>36</v>
      </c>
      <c r="D578" t="n">
        <v>5</v>
      </c>
      <c r="E578" t="inlineStr">
        <is>
          <t>Input</t>
        </is>
      </c>
      <c r="F578" t="n">
        <v/>
      </c>
      <c r="G578" t="n">
        <v>61.78</v>
      </c>
      <c r="H578" t="inlineStr"/>
      <c r="I578" t="inlineStr">
        <is>
          <t>0</t>
        </is>
      </c>
      <c r="J578" t="b">
        <v>0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Values must be of type &lt;class 'str'&gt;</t>
        </is>
      </c>
      <c r="O578" t="inlineStr">
        <is>
          <t>center</t>
        </is>
      </c>
      <c r="P578" t="n">
        <v/>
      </c>
      <c r="R578" t="b">
        <v>1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</row>
    <row r="579">
      <c r="A579" t="inlineStr">
        <is>
          <t>Assumptions Sheet</t>
        </is>
      </c>
      <c r="B579" t="inlineStr">
        <is>
          <t>F36</t>
        </is>
      </c>
      <c r="C579" t="n">
        <v>36</v>
      </c>
      <c r="D579" t="n">
        <v>6</v>
      </c>
      <c r="E579" t="inlineStr">
        <is>
          <t>Input</t>
        </is>
      </c>
      <c r="F579" t="n">
        <v/>
      </c>
      <c r="G579" t="n">
        <v>121.67</v>
      </c>
      <c r="H579" t="inlineStr"/>
      <c r="I579" t="inlineStr">
        <is>
          <t>0</t>
        </is>
      </c>
      <c r="J579" t="b">
        <v>0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Values must be of type &lt;class 'str'&gt;</t>
        </is>
      </c>
      <c r="O579" t="inlineStr">
        <is>
          <t>center</t>
        </is>
      </c>
      <c r="P579" t="n">
        <v/>
      </c>
      <c r="R579" t="b">
        <v>1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</row>
    <row r="580">
      <c r="A580" t="inlineStr">
        <is>
          <t>Assumptions Sheet</t>
        </is>
      </c>
      <c r="B580" t="inlineStr">
        <is>
          <t>G36</t>
        </is>
      </c>
      <c r="C580" t="n">
        <v>36</v>
      </c>
      <c r="D580" t="n">
        <v>7</v>
      </c>
      <c r="E580" t="inlineStr">
        <is>
          <t>Input</t>
        </is>
      </c>
      <c r="F580" t="n">
        <v/>
      </c>
      <c r="G580" t="n">
        <v>142.03</v>
      </c>
      <c r="H580" t="inlineStr"/>
      <c r="I580" t="inlineStr">
        <is>
          <t>0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Values must be of type &lt;class 'str'&gt;</t>
        </is>
      </c>
      <c r="O580" t="inlineStr">
        <is>
          <t>center</t>
        </is>
      </c>
      <c r="P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</row>
    <row r="581">
      <c r="A581" t="inlineStr">
        <is>
          <t>Assumptions Sheet</t>
        </is>
      </c>
      <c r="B581" t="inlineStr">
        <is>
          <t>H36</t>
        </is>
      </c>
      <c r="C581" t="n">
        <v>36</v>
      </c>
      <c r="D581" t="n">
        <v>8</v>
      </c>
      <c r="E581" t="inlineStr">
        <is>
          <t>Input</t>
        </is>
      </c>
      <c r="F581" t="n">
        <v/>
      </c>
      <c r="G581" t="n">
        <v>146</v>
      </c>
      <c r="H581" t="inlineStr"/>
      <c r="I581" t="inlineStr">
        <is>
          <t>0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Values must be of type &lt;class 'str'&gt;</t>
        </is>
      </c>
      <c r="O581" t="inlineStr">
        <is>
          <t>center</t>
        </is>
      </c>
      <c r="P581" t="n">
        <v/>
      </c>
      <c r="R581" t="b">
        <v>1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</row>
    <row r="582">
      <c r="A582" t="inlineStr">
        <is>
          <t>Assumptions Sheet</t>
        </is>
      </c>
      <c r="B582" t="inlineStr">
        <is>
          <t>I36</t>
        </is>
      </c>
      <c r="C582" t="n">
        <v>36</v>
      </c>
      <c r="D582" t="n">
        <v>9</v>
      </c>
      <c r="E582" t="inlineStr">
        <is>
          <t>Input</t>
        </is>
      </c>
      <c r="F582" t="n">
        <v/>
      </c>
      <c r="G582" t="n">
        <v>33</v>
      </c>
      <c r="H582" t="inlineStr"/>
      <c r="I582" t="inlineStr">
        <is>
          <t>0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Values must be of type &lt;class 'str'&gt;</t>
        </is>
      </c>
      <c r="O582" t="inlineStr">
        <is>
          <t>center</t>
        </is>
      </c>
      <c r="P582" t="n">
        <v/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</row>
    <row r="583">
      <c r="A583" t="inlineStr">
        <is>
          <t>Assumptions Sheet</t>
        </is>
      </c>
      <c r="B583" t="inlineStr">
        <is>
          <t>J36</t>
        </is>
      </c>
      <c r="C583" t="n">
        <v>36</v>
      </c>
      <c r="D583" t="n">
        <v>10</v>
      </c>
      <c r="E583" t="inlineStr">
        <is>
          <t>Input</t>
        </is>
      </c>
      <c r="F583" t="n">
        <v/>
      </c>
      <c r="G583" t="n">
        <v>33</v>
      </c>
      <c r="H583" t="inlineStr"/>
      <c r="I583" t="inlineStr">
        <is>
          <t>0</t>
        </is>
      </c>
      <c r="J583" t="b">
        <v>0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n">
        <v/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</row>
    <row r="584">
      <c r="A584" t="inlineStr">
        <is>
          <t>Assumptions Sheet</t>
        </is>
      </c>
      <c r="B584" t="inlineStr">
        <is>
          <t>K36</t>
        </is>
      </c>
      <c r="C584" t="n">
        <v>36</v>
      </c>
      <c r="D584" t="n">
        <v>11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11</v>
      </c>
      <c r="M584" t="inlineStr">
        <is>
          <t>FFFF0000</t>
        </is>
      </c>
      <c r="N584" t="inlineStr">
        <is>
          <t>Values must be of type &lt;class 'str'&gt;</t>
        </is>
      </c>
      <c r="O584" t="inlineStr">
        <is>
          <t>center</t>
        </is>
      </c>
      <c r="P584" t="n">
        <v/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</row>
    <row r="585">
      <c r="A585" t="inlineStr">
        <is>
          <t>Assumptions Sheet</t>
        </is>
      </c>
      <c r="B585" t="inlineStr">
        <is>
          <t>L36</t>
        </is>
      </c>
      <c r="C585" t="n">
        <v>36</v>
      </c>
      <c r="D585" t="n">
        <v>12</v>
      </c>
      <c r="E585" t="inlineStr">
        <is>
          <t>Input</t>
        </is>
      </c>
      <c r="F585" t="n">
        <v/>
      </c>
      <c r="H585" t="inlineStr"/>
      <c r="I585" t="inlineStr">
        <is>
          <t>0%</t>
        </is>
      </c>
      <c r="J585" t="b">
        <v>0</v>
      </c>
      <c r="K585" t="b">
        <v>0</v>
      </c>
      <c r="L585" t="n">
        <v>11</v>
      </c>
      <c r="M585" t="inlineStr">
        <is>
          <t>FFFF0000</t>
        </is>
      </c>
      <c r="N585" t="inlineStr">
        <is>
          <t>Values must be of type &lt;class 'str'&gt;</t>
        </is>
      </c>
      <c r="O585" t="inlineStr">
        <is>
          <t>center</t>
        </is>
      </c>
      <c r="P585" t="n">
        <v/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</row>
    <row r="586">
      <c r="A586" t="inlineStr">
        <is>
          <t>Assumptions Sheet</t>
        </is>
      </c>
      <c r="B586" t="inlineStr">
        <is>
          <t>M36</t>
        </is>
      </c>
      <c r="C586" t="n">
        <v>36</v>
      </c>
      <c r="D586" t="n">
        <v>13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11</v>
      </c>
      <c r="M586" t="inlineStr">
        <is>
          <t>FFFF0000</t>
        </is>
      </c>
      <c r="N586" t="inlineStr">
        <is>
          <t>Values must be of type &lt;class 'str'&gt;</t>
        </is>
      </c>
      <c r="O586" t="inlineStr">
        <is>
          <t>center</t>
        </is>
      </c>
      <c r="P586" t="n">
        <v/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</row>
    <row r="587">
      <c r="A587" t="inlineStr">
        <is>
          <t>Assumptions Sheet</t>
        </is>
      </c>
      <c r="B587" t="inlineStr">
        <is>
          <t>N36</t>
        </is>
      </c>
      <c r="C587" t="n">
        <v>36</v>
      </c>
      <c r="D587" t="n">
        <v>14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11</v>
      </c>
      <c r="M587" t="inlineStr">
        <is>
          <t>FFFF0000</t>
        </is>
      </c>
      <c r="N587" t="inlineStr">
        <is>
          <t>Values must be of type &lt;class 'str'&gt;</t>
        </is>
      </c>
      <c r="O587" t="inlineStr">
        <is>
          <t>center</t>
        </is>
      </c>
      <c r="P587" t="n">
        <v/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</row>
    <row r="588">
      <c r="A588" t="inlineStr">
        <is>
          <t>Assumptions Sheet</t>
        </is>
      </c>
      <c r="B588" t="inlineStr">
        <is>
          <t>O36</t>
        </is>
      </c>
      <c r="C588" t="n">
        <v>36</v>
      </c>
      <c r="D588" t="n">
        <v>15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11</v>
      </c>
      <c r="M588" t="inlineStr">
        <is>
          <t>FFFF0000</t>
        </is>
      </c>
      <c r="N588" t="inlineStr">
        <is>
          <t>Values must be of type &lt;class 'str'&gt;</t>
        </is>
      </c>
      <c r="O588" t="inlineStr">
        <is>
          <t>center</t>
        </is>
      </c>
      <c r="P588" t="n">
        <v/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</row>
    <row r="589">
      <c r="A589" t="inlineStr">
        <is>
          <t>Assumptions Sheet</t>
        </is>
      </c>
      <c r="B589" t="inlineStr">
        <is>
          <t>P36</t>
        </is>
      </c>
      <c r="C589" t="n">
        <v>36</v>
      </c>
      <c r="D589" t="n">
        <v>16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11</v>
      </c>
      <c r="M589" t="inlineStr">
        <is>
          <t>FFFF0000</t>
        </is>
      </c>
      <c r="N589" t="inlineStr">
        <is>
          <t>Values must be of type &lt;class 'str'&gt;</t>
        </is>
      </c>
      <c r="O589" t="inlineStr">
        <is>
          <t>center</t>
        </is>
      </c>
      <c r="P589" t="n">
        <v/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</row>
    <row r="590">
      <c r="A590" t="inlineStr">
        <is>
          <t>Assumptions Sheet</t>
        </is>
      </c>
      <c r="B590" t="inlineStr">
        <is>
          <t>B37</t>
        </is>
      </c>
      <c r="C590" t="n">
        <v>37</v>
      </c>
      <c r="D590" t="n">
        <v>2</v>
      </c>
      <c r="E590" t="inlineStr">
        <is>
          <t>Input</t>
        </is>
      </c>
      <c r="F590" t="n">
        <v/>
      </c>
      <c r="G590" t="inlineStr">
        <is>
          <t>In-flight sales</t>
        </is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left</t>
        </is>
      </c>
      <c r="P590" t="n">
        <v/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</row>
    <row r="591">
      <c r="A591" t="inlineStr">
        <is>
          <t>Assumptions Sheet</t>
        </is>
      </c>
      <c r="B591" t="inlineStr">
        <is>
          <t>C37</t>
        </is>
      </c>
      <c r="C591" t="n">
        <v>37</v>
      </c>
      <c r="D591" t="n">
        <v>3</v>
      </c>
      <c r="E591" t="inlineStr">
        <is>
          <t>Input</t>
        </is>
      </c>
      <c r="F591" t="n">
        <v/>
      </c>
      <c r="G591" t="n">
        <v>256.02</v>
      </c>
      <c r="H591" t="inlineStr"/>
      <c r="I591" t="inlineStr">
        <is>
          <t>0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Values must be of type &lt;class 'str'&gt;</t>
        </is>
      </c>
      <c r="O591" t="inlineStr">
        <is>
          <t>center</t>
        </is>
      </c>
      <c r="P591" t="n">
        <v/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</row>
    <row r="592">
      <c r="A592" t="inlineStr">
        <is>
          <t>Assumptions Sheet</t>
        </is>
      </c>
      <c r="B592" t="inlineStr">
        <is>
          <t>D37</t>
        </is>
      </c>
      <c r="C592" t="n">
        <v>37</v>
      </c>
      <c r="D592" t="n">
        <v>4</v>
      </c>
      <c r="E592" t="inlineStr">
        <is>
          <t>Input</t>
        </is>
      </c>
      <c r="F592" t="n">
        <v/>
      </c>
      <c r="G592" t="n">
        <v>383.57</v>
      </c>
      <c r="H592" t="inlineStr"/>
      <c r="I592" t="inlineStr">
        <is>
          <t>0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Values must be of type &lt;class 'str'&gt;</t>
        </is>
      </c>
      <c r="O592" t="inlineStr">
        <is>
          <t>center</t>
        </is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</row>
    <row r="593">
      <c r="A593" t="inlineStr">
        <is>
          <t>Assumptions Sheet</t>
        </is>
      </c>
      <c r="B593" t="inlineStr">
        <is>
          <t>E37</t>
        </is>
      </c>
      <c r="C593" t="n">
        <v>37</v>
      </c>
      <c r="D593" t="n">
        <v>5</v>
      </c>
      <c r="E593" t="inlineStr">
        <is>
          <t>Input</t>
        </is>
      </c>
      <c r="F593" t="n">
        <v/>
      </c>
      <c r="G593" t="n">
        <v>610.0700000000001</v>
      </c>
      <c r="H593" t="inlineStr"/>
      <c r="I593" t="inlineStr">
        <is>
          <t>0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Values must be of type &lt;class 'str'&gt;</t>
        </is>
      </c>
      <c r="O593" t="inlineStr">
        <is>
          <t>center</t>
        </is>
      </c>
      <c r="P593" t="n">
        <v/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</row>
    <row r="594">
      <c r="A594" t="inlineStr">
        <is>
          <t>Assumptions Sheet</t>
        </is>
      </c>
      <c r="B594" t="inlineStr">
        <is>
          <t>F37</t>
        </is>
      </c>
      <c r="C594" t="n">
        <v>37</v>
      </c>
      <c r="D594" t="n">
        <v>6</v>
      </c>
      <c r="E594" t="inlineStr">
        <is>
          <t>Input</t>
        </is>
      </c>
      <c r="F594" t="n">
        <v/>
      </c>
      <c r="G594" t="n">
        <v>1022.28</v>
      </c>
      <c r="H594" t="inlineStr"/>
      <c r="I594" t="inlineStr">
        <is>
          <t>0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inlineStr">
        <is>
          <t>center</t>
        </is>
      </c>
      <c r="P594" t="n">
        <v/>
      </c>
      <c r="R594" t="b">
        <v>1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</row>
    <row r="595">
      <c r="A595" t="inlineStr">
        <is>
          <t>Assumptions Sheet</t>
        </is>
      </c>
      <c r="B595" t="inlineStr">
        <is>
          <t>G37</t>
        </is>
      </c>
      <c r="C595" t="n">
        <v>37</v>
      </c>
      <c r="D595" t="n">
        <v>7</v>
      </c>
      <c r="E595" t="inlineStr">
        <is>
          <t>Input</t>
        </is>
      </c>
      <c r="F595" t="n">
        <v/>
      </c>
      <c r="G595" t="n">
        <v>1047.38</v>
      </c>
      <c r="H595" t="inlineStr"/>
      <c r="I595" t="inlineStr">
        <is>
          <t>0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inlineStr">
        <is>
          <t>center</t>
        </is>
      </c>
      <c r="P595" t="n">
        <v/>
      </c>
      <c r="R595" t="b">
        <v>1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</row>
    <row r="596">
      <c r="A596" t="inlineStr">
        <is>
          <t>Assumptions Sheet</t>
        </is>
      </c>
      <c r="B596" t="inlineStr">
        <is>
          <t>H37</t>
        </is>
      </c>
      <c r="C596" t="n">
        <v>37</v>
      </c>
      <c r="D596" t="n">
        <v>8</v>
      </c>
      <c r="E596" t="inlineStr">
        <is>
          <t>Input</t>
        </is>
      </c>
      <c r="F596" t="n">
        <v/>
      </c>
      <c r="G596" t="n">
        <v>1290.3</v>
      </c>
      <c r="H596" t="inlineStr"/>
      <c r="I596" t="inlineStr">
        <is>
          <t>0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Values must be of type &lt;class 'str'&gt;</t>
        </is>
      </c>
      <c r="O596" t="inlineStr">
        <is>
          <t>center</t>
        </is>
      </c>
      <c r="P596" t="n">
        <v/>
      </c>
      <c r="R596" t="b">
        <v>1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</row>
    <row r="597">
      <c r="A597" t="inlineStr">
        <is>
          <t>Assumptions Sheet</t>
        </is>
      </c>
      <c r="B597" t="inlineStr">
        <is>
          <t>I37</t>
        </is>
      </c>
      <c r="C597" t="n">
        <v>37</v>
      </c>
      <c r="D597" t="n">
        <v>9</v>
      </c>
      <c r="E597" t="inlineStr">
        <is>
          <t>Input</t>
        </is>
      </c>
      <c r="F597" t="n">
        <v/>
      </c>
      <c r="G597" t="n">
        <v>1726.3</v>
      </c>
      <c r="H597" t="inlineStr"/>
      <c r="I597" t="inlineStr">
        <is>
          <t>0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Values must be of type &lt;class 'str'&gt;</t>
        </is>
      </c>
      <c r="O597" t="inlineStr">
        <is>
          <t>center</t>
        </is>
      </c>
      <c r="P597" t="n">
        <v/>
      </c>
      <c r="R597" t="b">
        <v>1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</row>
    <row r="598">
      <c r="A598" t="inlineStr">
        <is>
          <t>Assumptions Sheet</t>
        </is>
      </c>
      <c r="B598" t="inlineStr">
        <is>
          <t>J37</t>
        </is>
      </c>
      <c r="C598" t="n">
        <v>37</v>
      </c>
      <c r="D598" t="n">
        <v>10</v>
      </c>
      <c r="E598" t="inlineStr">
        <is>
          <t>Input</t>
        </is>
      </c>
      <c r="F598" t="n">
        <v/>
      </c>
      <c r="G598" t="n">
        <v>1595.9</v>
      </c>
      <c r="H598" t="inlineStr"/>
      <c r="I598" t="inlineStr">
        <is>
          <t>0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Values must be of type &lt;class 'str'&gt;</t>
        </is>
      </c>
      <c r="O598" t="inlineStr">
        <is>
          <t>center</t>
        </is>
      </c>
      <c r="P598" t="n">
        <v/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</row>
    <row r="599">
      <c r="A599" t="inlineStr">
        <is>
          <t>Assumptions Sheet</t>
        </is>
      </c>
      <c r="B599" t="inlineStr">
        <is>
          <t>K37</t>
        </is>
      </c>
      <c r="C599" t="n">
        <v>37</v>
      </c>
      <c r="D599" t="n">
        <v>11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FFFF0000</t>
        </is>
      </c>
      <c r="N599" t="inlineStr">
        <is>
          <t>Values must be of type &lt;class 'str'&gt;</t>
        </is>
      </c>
      <c r="O599" t="inlineStr">
        <is>
          <t>center</t>
        </is>
      </c>
      <c r="P599" t="n">
        <v/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</row>
    <row r="600">
      <c r="A600" t="inlineStr">
        <is>
          <t>Assumptions Sheet</t>
        </is>
      </c>
      <c r="B600" t="inlineStr">
        <is>
          <t>L37</t>
        </is>
      </c>
      <c r="C600" t="n">
        <v>37</v>
      </c>
      <c r="D600" t="n">
        <v>12</v>
      </c>
      <c r="E600" t="inlineStr">
        <is>
          <t>Input</t>
        </is>
      </c>
      <c r="F600" t="n">
        <v/>
      </c>
      <c r="H600" t="inlineStr"/>
      <c r="I600" t="inlineStr">
        <is>
          <t>0%</t>
        </is>
      </c>
      <c r="J600" t="b">
        <v>0</v>
      </c>
      <c r="K600" t="b">
        <v>0</v>
      </c>
      <c r="L600" t="n">
        <v>11</v>
      </c>
      <c r="M600" t="inlineStr">
        <is>
          <t>FFFF0000</t>
        </is>
      </c>
      <c r="N600" t="inlineStr">
        <is>
          <t>Values must be of type &lt;class 'str'&gt;</t>
        </is>
      </c>
      <c r="O600" t="inlineStr">
        <is>
          <t>center</t>
        </is>
      </c>
      <c r="P600" t="n">
        <v/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</row>
    <row r="601">
      <c r="A601" t="inlineStr">
        <is>
          <t>Assumptions Sheet</t>
        </is>
      </c>
      <c r="B601" t="inlineStr">
        <is>
          <t>M37</t>
        </is>
      </c>
      <c r="C601" t="n">
        <v>37</v>
      </c>
      <c r="D601" t="n">
        <v>13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11</v>
      </c>
      <c r="M601" t="inlineStr">
        <is>
          <t>FFFF0000</t>
        </is>
      </c>
      <c r="N601" t="inlineStr">
        <is>
          <t>Values must be of type &lt;class 'str'&gt;</t>
        </is>
      </c>
      <c r="O601" t="inlineStr">
        <is>
          <t>center</t>
        </is>
      </c>
      <c r="P601" t="n">
        <v/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</row>
    <row r="602">
      <c r="A602" t="inlineStr">
        <is>
          <t>Assumptions Sheet</t>
        </is>
      </c>
      <c r="B602" t="inlineStr">
        <is>
          <t>N37</t>
        </is>
      </c>
      <c r="C602" t="n">
        <v>37</v>
      </c>
      <c r="D602" t="n">
        <v>14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11</v>
      </c>
      <c r="M602" t="inlineStr">
        <is>
          <t>FFFF0000</t>
        </is>
      </c>
      <c r="N602" t="inlineStr">
        <is>
          <t>Values must be of type &lt;class 'str'&gt;</t>
        </is>
      </c>
      <c r="O602" t="inlineStr">
        <is>
          <t>center</t>
        </is>
      </c>
      <c r="P602" t="n">
        <v/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</row>
    <row r="603">
      <c r="A603" t="inlineStr">
        <is>
          <t>Assumptions Sheet</t>
        </is>
      </c>
      <c r="B603" t="inlineStr">
        <is>
          <t>O37</t>
        </is>
      </c>
      <c r="C603" t="n">
        <v>37</v>
      </c>
      <c r="D603" t="n">
        <v>15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11</v>
      </c>
      <c r="M603" t="inlineStr">
        <is>
          <t>FFFF0000</t>
        </is>
      </c>
      <c r="N603" t="inlineStr">
        <is>
          <t>Values must be of type &lt;class 'str'&gt;</t>
        </is>
      </c>
      <c r="O603" t="inlineStr">
        <is>
          <t>center</t>
        </is>
      </c>
      <c r="P603" t="n">
        <v/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</row>
    <row r="604">
      <c r="A604" t="inlineStr">
        <is>
          <t>Assumptions Sheet</t>
        </is>
      </c>
      <c r="B604" t="inlineStr">
        <is>
          <t>P37</t>
        </is>
      </c>
      <c r="C604" t="n">
        <v>37</v>
      </c>
      <c r="D604" t="n">
        <v>16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11</v>
      </c>
      <c r="M604" t="inlineStr">
        <is>
          <t>FFFF0000</t>
        </is>
      </c>
      <c r="N604" t="inlineStr">
        <is>
          <t>Values must be of type &lt;class 'str'&gt;</t>
        </is>
      </c>
      <c r="O604" t="inlineStr">
        <is>
          <t>center</t>
        </is>
      </c>
      <c r="P604" t="n">
        <v/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</row>
    <row r="605">
      <c r="A605" t="inlineStr">
        <is>
          <t>Assumptions Sheet</t>
        </is>
      </c>
      <c r="B605" t="inlineStr">
        <is>
          <t>B38</t>
        </is>
      </c>
      <c r="C605" t="n">
        <v>38</v>
      </c>
      <c r="D605" t="n">
        <v>2</v>
      </c>
      <c r="E605" t="inlineStr">
        <is>
          <t>Input</t>
        </is>
      </c>
      <c r="F605" t="n">
        <v/>
      </c>
      <c r="G605" t="inlineStr">
        <is>
          <t>Advertisement</t>
        </is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Values must be of type &lt;class 'str'&gt;</t>
        </is>
      </c>
      <c r="N605" t="inlineStr">
        <is>
          <t>Values must be of type &lt;class 'str'&gt;</t>
        </is>
      </c>
      <c r="O605" t="inlineStr">
        <is>
          <t>left</t>
        </is>
      </c>
      <c r="P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</row>
    <row r="606">
      <c r="A606" t="inlineStr">
        <is>
          <t>Assumptions Sheet</t>
        </is>
      </c>
      <c r="B606" t="inlineStr">
        <is>
          <t>C38</t>
        </is>
      </c>
      <c r="C606" t="n">
        <v>38</v>
      </c>
      <c r="D606" t="n">
        <v>3</v>
      </c>
      <c r="E606" t="inlineStr">
        <is>
          <t>Input</t>
        </is>
      </c>
      <c r="F606" t="n">
        <v/>
      </c>
      <c r="G606" t="n">
        <v>9.550000000000001</v>
      </c>
      <c r="H606" t="inlineStr"/>
      <c r="I606" t="inlineStr">
        <is>
          <t>0</t>
        </is>
      </c>
      <c r="J606" t="b">
        <v>0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Values must be of type &lt;class 'str'&gt;</t>
        </is>
      </c>
      <c r="O606" t="inlineStr">
        <is>
          <t>center</t>
        </is>
      </c>
      <c r="P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</row>
    <row r="607">
      <c r="A607" t="inlineStr">
        <is>
          <t>Assumptions Sheet</t>
        </is>
      </c>
      <c r="B607" t="inlineStr">
        <is>
          <t>D38</t>
        </is>
      </c>
      <c r="C607" t="n">
        <v>38</v>
      </c>
      <c r="D607" t="n">
        <v>4</v>
      </c>
      <c r="E607" t="inlineStr">
        <is>
          <t>Input</t>
        </is>
      </c>
      <c r="F607" t="n">
        <v/>
      </c>
      <c r="G607" t="n">
        <v>12.42</v>
      </c>
      <c r="H607" t="inlineStr"/>
      <c r="I607" t="inlineStr">
        <is>
          <t>0</t>
        </is>
      </c>
      <c r="J607" t="b">
        <v>0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Values must be of type &lt;class 'str'&gt;</t>
        </is>
      </c>
      <c r="O607" t="inlineStr">
        <is>
          <t>center</t>
        </is>
      </c>
      <c r="P607" t="n">
        <v/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</row>
    <row r="608">
      <c r="A608" t="inlineStr">
        <is>
          <t>Assumptions Sheet</t>
        </is>
      </c>
      <c r="B608" t="inlineStr">
        <is>
          <t>E38</t>
        </is>
      </c>
      <c r="C608" t="n">
        <v>38</v>
      </c>
      <c r="D608" t="n">
        <v>5</v>
      </c>
      <c r="E608" t="inlineStr">
        <is>
          <t>Input</t>
        </is>
      </c>
      <c r="F608" t="n">
        <v/>
      </c>
      <c r="G608" t="n">
        <v>23.29</v>
      </c>
      <c r="H608" t="inlineStr"/>
      <c r="I608" t="inlineStr">
        <is>
          <t>0</t>
        </is>
      </c>
      <c r="J608" t="b">
        <v>0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Values must be of type &lt;class 'str'&gt;</t>
        </is>
      </c>
      <c r="O608" t="inlineStr">
        <is>
          <t>center</t>
        </is>
      </c>
      <c r="P608" t="n">
        <v/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</row>
    <row r="609">
      <c r="A609" t="inlineStr">
        <is>
          <t>Assumptions Sheet</t>
        </is>
      </c>
      <c r="B609" t="inlineStr">
        <is>
          <t>F38</t>
        </is>
      </c>
      <c r="C609" t="n">
        <v>38</v>
      </c>
      <c r="D609" t="n">
        <v>6</v>
      </c>
      <c r="E609" t="inlineStr">
        <is>
          <t>Input</t>
        </is>
      </c>
      <c r="F609" t="n">
        <v/>
      </c>
      <c r="G609" t="n">
        <v>62.14</v>
      </c>
      <c r="H609" t="inlineStr"/>
      <c r="I609" t="inlineStr">
        <is>
          <t>0</t>
        </is>
      </c>
      <c r="J609" t="b">
        <v>0</v>
      </c>
      <c r="K609" t="b">
        <v>0</v>
      </c>
      <c r="L609" t="n">
        <v>11</v>
      </c>
      <c r="M609" t="inlineStr">
        <is>
          <t>Values must be of type &lt;class 'str'&gt;</t>
        </is>
      </c>
      <c r="N609" t="inlineStr">
        <is>
          <t>Values must be of type &lt;class 'str'&gt;</t>
        </is>
      </c>
      <c r="O609" t="inlineStr">
        <is>
          <t>center</t>
        </is>
      </c>
      <c r="P609" t="n">
        <v/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</row>
    <row r="610">
      <c r="A610" t="inlineStr">
        <is>
          <t>Assumptions Sheet</t>
        </is>
      </c>
      <c r="B610" t="inlineStr">
        <is>
          <t>G38</t>
        </is>
      </c>
      <c r="C610" t="n">
        <v>38</v>
      </c>
      <c r="D610" t="n">
        <v>7</v>
      </c>
      <c r="E610" t="inlineStr">
        <is>
          <t>Input</t>
        </is>
      </c>
      <c r="F610" t="n">
        <v/>
      </c>
      <c r="G610" t="n">
        <v>106.97</v>
      </c>
      <c r="H610" t="inlineStr"/>
      <c r="I610" t="inlineStr">
        <is>
          <t>0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Values must be of type &lt;class 'str'&gt;</t>
        </is>
      </c>
      <c r="O610" t="inlineStr">
        <is>
          <t>center</t>
        </is>
      </c>
      <c r="P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</row>
    <row r="611">
      <c r="A611" t="inlineStr">
        <is>
          <t>Assumptions Sheet</t>
        </is>
      </c>
      <c r="B611" t="inlineStr">
        <is>
          <t>H38</t>
        </is>
      </c>
      <c r="C611" t="n">
        <v>38</v>
      </c>
      <c r="D611" t="n">
        <v>8</v>
      </c>
      <c r="E611" t="inlineStr">
        <is>
          <t>Input</t>
        </is>
      </c>
      <c r="F611" t="n">
        <v/>
      </c>
      <c r="G611" t="n">
        <v>138.6</v>
      </c>
      <c r="H611" t="inlineStr"/>
      <c r="I611" t="inlineStr">
        <is>
          <t>0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Values must be of type &lt;class 'str'&gt;</t>
        </is>
      </c>
      <c r="O611" t="inlineStr">
        <is>
          <t>center</t>
        </is>
      </c>
      <c r="P611" t="n">
        <v/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</row>
    <row r="612">
      <c r="A612" t="inlineStr">
        <is>
          <t>Assumptions Sheet</t>
        </is>
      </c>
      <c r="B612" t="inlineStr">
        <is>
          <t>I38</t>
        </is>
      </c>
      <c r="C612" t="n">
        <v>38</v>
      </c>
      <c r="D612" t="n">
        <v>9</v>
      </c>
      <c r="E612" t="inlineStr">
        <is>
          <t>Input</t>
        </is>
      </c>
      <c r="F612" t="n">
        <v/>
      </c>
      <c r="G612" t="n">
        <v>218.9</v>
      </c>
      <c r="H612" t="inlineStr"/>
      <c r="I612" t="inlineStr">
        <is>
          <t>0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Values must be of type &lt;class 'str'&gt;</t>
        </is>
      </c>
      <c r="O612" t="inlineStr">
        <is>
          <t>center</t>
        </is>
      </c>
      <c r="P612" t="n">
        <v/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</row>
    <row r="613">
      <c r="A613" t="inlineStr">
        <is>
          <t>Assumptions Sheet</t>
        </is>
      </c>
      <c r="B613" t="inlineStr">
        <is>
          <t>J38</t>
        </is>
      </c>
      <c r="C613" t="n">
        <v>38</v>
      </c>
      <c r="D613" t="n">
        <v>10</v>
      </c>
      <c r="E613" t="inlineStr">
        <is>
          <t>Input</t>
        </is>
      </c>
      <c r="F613" t="n">
        <v/>
      </c>
      <c r="G613" t="n">
        <v>899.89</v>
      </c>
      <c r="H613" t="inlineStr"/>
      <c r="I613" t="inlineStr">
        <is>
          <t>0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Values must be of type &lt;class 'str'&gt;</t>
        </is>
      </c>
      <c r="O613" t="inlineStr">
        <is>
          <t>center</t>
        </is>
      </c>
      <c r="P613" t="inlineStr">
        <is>
          <t>center</t>
        </is>
      </c>
      <c r="R613" t="b">
        <v>1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</row>
    <row r="614">
      <c r="A614" t="inlineStr">
        <is>
          <t>Assumptions Sheet</t>
        </is>
      </c>
      <c r="B614" t="inlineStr">
        <is>
          <t>K38</t>
        </is>
      </c>
      <c r="C614" t="n">
        <v>38</v>
      </c>
      <c r="D614" t="n">
        <v>11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11</v>
      </c>
      <c r="M614" t="inlineStr">
        <is>
          <t>FFFF0000</t>
        </is>
      </c>
      <c r="N614" t="inlineStr">
        <is>
          <t>Values must be of type &lt;class 'str'&gt;</t>
        </is>
      </c>
      <c r="O614" t="inlineStr">
        <is>
          <t>center</t>
        </is>
      </c>
      <c r="P614" t="n">
        <v/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</row>
    <row r="615">
      <c r="A615" t="inlineStr">
        <is>
          <t>Assumptions Sheet</t>
        </is>
      </c>
      <c r="B615" t="inlineStr">
        <is>
          <t>L38</t>
        </is>
      </c>
      <c r="C615" t="n">
        <v>38</v>
      </c>
      <c r="D615" t="n">
        <v>12</v>
      </c>
      <c r="E615" t="inlineStr">
        <is>
          <t>Input</t>
        </is>
      </c>
      <c r="F615" t="n">
        <v/>
      </c>
      <c r="H615" t="inlineStr"/>
      <c r="I615" t="inlineStr">
        <is>
          <t>0%</t>
        </is>
      </c>
      <c r="J615" t="b">
        <v>0</v>
      </c>
      <c r="K615" t="b">
        <v>0</v>
      </c>
      <c r="L615" t="n">
        <v>11</v>
      </c>
      <c r="M615" t="inlineStr">
        <is>
          <t>FFFF0000</t>
        </is>
      </c>
      <c r="N615" t="inlineStr">
        <is>
          <t>Values must be of type &lt;class 'str'&gt;</t>
        </is>
      </c>
      <c r="O615" t="inlineStr">
        <is>
          <t>center</t>
        </is>
      </c>
      <c r="P615" t="n">
        <v/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</row>
    <row r="616">
      <c r="A616" t="inlineStr">
        <is>
          <t>Assumptions Sheet</t>
        </is>
      </c>
      <c r="B616" t="inlineStr">
        <is>
          <t>M38</t>
        </is>
      </c>
      <c r="C616" t="n">
        <v>38</v>
      </c>
      <c r="D616" t="n">
        <v>13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11</v>
      </c>
      <c r="M616" t="inlineStr">
        <is>
          <t>FFFF0000</t>
        </is>
      </c>
      <c r="N616" t="inlineStr">
        <is>
          <t>Values must be of type &lt;class 'str'&gt;</t>
        </is>
      </c>
      <c r="O616" t="inlineStr">
        <is>
          <t>center</t>
        </is>
      </c>
      <c r="P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</row>
    <row r="617">
      <c r="A617" t="inlineStr">
        <is>
          <t>Assumptions Sheet</t>
        </is>
      </c>
      <c r="B617" t="inlineStr">
        <is>
          <t>N38</t>
        </is>
      </c>
      <c r="C617" t="n">
        <v>38</v>
      </c>
      <c r="D617" t="n">
        <v>14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11</v>
      </c>
      <c r="M617" t="inlineStr">
        <is>
          <t>FFFF0000</t>
        </is>
      </c>
      <c r="N617" t="inlineStr">
        <is>
          <t>Values must be of type &lt;class 'str'&gt;</t>
        </is>
      </c>
      <c r="O617" t="inlineStr">
        <is>
          <t>center</t>
        </is>
      </c>
      <c r="P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</row>
    <row r="618">
      <c r="A618" t="inlineStr">
        <is>
          <t>Assumptions Sheet</t>
        </is>
      </c>
      <c r="B618" t="inlineStr">
        <is>
          <t>O38</t>
        </is>
      </c>
      <c r="C618" t="n">
        <v>38</v>
      </c>
      <c r="D618" t="n">
        <v>15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11</v>
      </c>
      <c r="M618" t="inlineStr">
        <is>
          <t>FFFF0000</t>
        </is>
      </c>
      <c r="N618" t="inlineStr">
        <is>
          <t>Values must be of type &lt;class 'str'&gt;</t>
        </is>
      </c>
      <c r="O618" t="inlineStr">
        <is>
          <t>center</t>
        </is>
      </c>
      <c r="P618" t="n">
        <v/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</row>
    <row r="619">
      <c r="A619" t="inlineStr">
        <is>
          <t>Assumptions Sheet</t>
        </is>
      </c>
      <c r="B619" t="inlineStr">
        <is>
          <t>P38</t>
        </is>
      </c>
      <c r="C619" t="n">
        <v>38</v>
      </c>
      <c r="D619" t="n">
        <v>16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FFFF0000</t>
        </is>
      </c>
      <c r="N619" t="inlineStr">
        <is>
          <t>Values must be of type &lt;class 'str'&gt;</t>
        </is>
      </c>
      <c r="O619" t="inlineStr">
        <is>
          <t>center</t>
        </is>
      </c>
      <c r="P619" t="n">
        <v/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</row>
    <row r="620">
      <c r="A620" t="inlineStr">
        <is>
          <t>Assumptions Sheet</t>
        </is>
      </c>
      <c r="B620" t="inlineStr">
        <is>
          <t>B39</t>
        </is>
      </c>
      <c r="C620" t="n">
        <v>39</v>
      </c>
      <c r="D620" t="n">
        <v>2</v>
      </c>
      <c r="E620" t="inlineStr">
        <is>
          <t>Input</t>
        </is>
      </c>
      <c r="F620" t="n">
        <v/>
      </c>
      <c r="G620" t="inlineStr">
        <is>
          <t>Commission</t>
        </is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Values must be of type &lt;class 'str'&gt;</t>
        </is>
      </c>
      <c r="O620" t="inlineStr">
        <is>
          <t>left</t>
        </is>
      </c>
      <c r="P620" t="n">
        <v/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</row>
    <row r="621">
      <c r="A621" t="inlineStr">
        <is>
          <t>Assumptions Sheet</t>
        </is>
      </c>
      <c r="B621" t="inlineStr">
        <is>
          <t>C39</t>
        </is>
      </c>
      <c r="C621" t="n">
        <v>39</v>
      </c>
      <c r="D621" t="n">
        <v>3</v>
      </c>
      <c r="E621" t="inlineStr">
        <is>
          <t>Input</t>
        </is>
      </c>
      <c r="F621" t="n">
        <v/>
      </c>
      <c r="G621" t="inlineStr">
        <is>
          <t>–</t>
        </is>
      </c>
      <c r="H621" t="inlineStr"/>
      <c r="I621" t="inlineStr">
        <is>
          <t>0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Values must be of type &lt;class 'str'&gt;</t>
        </is>
      </c>
      <c r="O621" t="inlineStr">
        <is>
          <t>center</t>
        </is>
      </c>
      <c r="P621" t="n">
        <v/>
      </c>
      <c r="R621" t="b">
        <v>1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</row>
    <row r="622">
      <c r="A622" t="inlineStr">
        <is>
          <t>Assumptions Sheet</t>
        </is>
      </c>
      <c r="B622" t="inlineStr">
        <is>
          <t>D39</t>
        </is>
      </c>
      <c r="C622" t="n">
        <v>39</v>
      </c>
      <c r="D622" t="n">
        <v>4</v>
      </c>
      <c r="E622" t="inlineStr">
        <is>
          <t>Input</t>
        </is>
      </c>
      <c r="F622" t="n">
        <v/>
      </c>
      <c r="G622" t="inlineStr">
        <is>
          <t>–</t>
        </is>
      </c>
      <c r="H622" t="inlineStr"/>
      <c r="I622" t="inlineStr">
        <is>
          <t>0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Values must be of type &lt;class 'str'&gt;</t>
        </is>
      </c>
      <c r="O622" t="inlineStr">
        <is>
          <t>center</t>
        </is>
      </c>
      <c r="P622" t="n">
        <v/>
      </c>
      <c r="R622" t="b">
        <v>1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</row>
    <row r="623">
      <c r="A623" t="inlineStr">
        <is>
          <t>Assumptions Sheet</t>
        </is>
      </c>
      <c r="B623" t="inlineStr">
        <is>
          <t>E39</t>
        </is>
      </c>
      <c r="C623" t="n">
        <v>39</v>
      </c>
      <c r="D623" t="n">
        <v>5</v>
      </c>
      <c r="E623" t="inlineStr">
        <is>
          <t>Input</t>
        </is>
      </c>
      <c r="F623" t="n">
        <v/>
      </c>
      <c r="G623" t="n">
        <v>6.05</v>
      </c>
      <c r="H623" t="inlineStr"/>
      <c r="I623" t="inlineStr">
        <is>
          <t>0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Values must be of type &lt;class 'str'&gt;</t>
        </is>
      </c>
      <c r="O623" t="inlineStr">
        <is>
          <t>center</t>
        </is>
      </c>
      <c r="P623" t="n">
        <v/>
      </c>
      <c r="R623" t="b">
        <v>1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</row>
    <row r="624">
      <c r="A624" t="inlineStr">
        <is>
          <t>Assumptions Sheet</t>
        </is>
      </c>
      <c r="B624" t="inlineStr">
        <is>
          <t>F39</t>
        </is>
      </c>
      <c r="C624" t="n">
        <v>39</v>
      </c>
      <c r="D624" t="n">
        <v>6</v>
      </c>
      <c r="E624" t="inlineStr">
        <is>
          <t>Input</t>
        </is>
      </c>
      <c r="F624" t="n">
        <v/>
      </c>
      <c r="G624" t="n">
        <v>7.6</v>
      </c>
      <c r="H624" t="inlineStr"/>
      <c r="I624" t="inlineStr">
        <is>
          <t>0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Values must be of type &lt;class 'str'&gt;</t>
        </is>
      </c>
      <c r="O624" t="inlineStr">
        <is>
          <t>center</t>
        </is>
      </c>
      <c r="P624" t="n">
        <v/>
      </c>
      <c r="R624" t="b">
        <v>1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</row>
    <row r="625">
      <c r="A625" t="inlineStr">
        <is>
          <t>Assumptions Sheet</t>
        </is>
      </c>
      <c r="B625" t="inlineStr">
        <is>
          <t>G39</t>
        </is>
      </c>
      <c r="C625" t="n">
        <v>39</v>
      </c>
      <c r="D625" t="n">
        <v>7</v>
      </c>
      <c r="E625" t="inlineStr">
        <is>
          <t>Input</t>
        </is>
      </c>
      <c r="F625" t="n">
        <v/>
      </c>
      <c r="G625" t="n">
        <v>2.65</v>
      </c>
      <c r="H625" t="inlineStr"/>
      <c r="I625" t="inlineStr">
        <is>
          <t>0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Values must be of type &lt;class 'str'&gt;</t>
        </is>
      </c>
      <c r="O625" t="inlineStr">
        <is>
          <t>center</t>
        </is>
      </c>
      <c r="P625" t="n">
        <v/>
      </c>
      <c r="R625" t="b">
        <v>1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</row>
    <row r="626">
      <c r="A626" t="inlineStr">
        <is>
          <t>Assumptions Sheet</t>
        </is>
      </c>
      <c r="B626" t="inlineStr">
        <is>
          <t>H39</t>
        </is>
      </c>
      <c r="C626" t="n">
        <v>39</v>
      </c>
      <c r="D626" t="n">
        <v>8</v>
      </c>
      <c r="E626" t="inlineStr">
        <is>
          <t>Input</t>
        </is>
      </c>
      <c r="F626" t="n">
        <v/>
      </c>
      <c r="G626" t="n">
        <v>2.93</v>
      </c>
      <c r="H626" t="inlineStr"/>
      <c r="I626" t="inlineStr">
        <is>
          <t>0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Values must be of type &lt;class 'str'&gt;</t>
        </is>
      </c>
      <c r="O626" t="inlineStr">
        <is>
          <t>center</t>
        </is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</row>
    <row r="627">
      <c r="A627" t="inlineStr">
        <is>
          <t>Assumptions Sheet</t>
        </is>
      </c>
      <c r="B627" t="inlineStr">
        <is>
          <t>I39</t>
        </is>
      </c>
      <c r="C627" t="n">
        <v>39</v>
      </c>
      <c r="D627" t="n">
        <v>9</v>
      </c>
      <c r="E627" t="inlineStr">
        <is>
          <t>Input</t>
        </is>
      </c>
      <c r="F627" t="n">
        <v/>
      </c>
      <c r="G627" t="n">
        <v>0.45</v>
      </c>
      <c r="H627" t="inlineStr"/>
      <c r="I627" t="inlineStr">
        <is>
          <t>0</t>
        </is>
      </c>
      <c r="J627" t="b">
        <v>0</v>
      </c>
      <c r="K627" t="b">
        <v>0</v>
      </c>
      <c r="L627" t="n">
        <v>11</v>
      </c>
      <c r="M627" t="inlineStr">
        <is>
          <t>Values must be of type &lt;class 'str'&gt;</t>
        </is>
      </c>
      <c r="N627" t="inlineStr">
        <is>
          <t>Values must be of type &lt;class 'str'&gt;</t>
        </is>
      </c>
      <c r="O627" t="inlineStr">
        <is>
          <t>center</t>
        </is>
      </c>
      <c r="P627" t="n">
        <v/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</row>
    <row r="628">
      <c r="A628" t="inlineStr">
        <is>
          <t>Assumptions Sheet</t>
        </is>
      </c>
      <c r="B628" t="inlineStr">
        <is>
          <t>J39</t>
        </is>
      </c>
      <c r="C628" t="n">
        <v>39</v>
      </c>
      <c r="D628" t="n">
        <v>10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11</v>
      </c>
      <c r="M628" t="inlineStr">
        <is>
          <t>Values must be of type &lt;class 'str'&gt;</t>
        </is>
      </c>
      <c r="N628" t="inlineStr">
        <is>
          <t>00000000</t>
        </is>
      </c>
      <c r="O628" t="n">
        <v/>
      </c>
      <c r="P628" t="n">
        <v/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</row>
    <row r="629">
      <c r="A629" t="inlineStr">
        <is>
          <t>Assumptions Sheet</t>
        </is>
      </c>
      <c r="B629" t="inlineStr">
        <is>
          <t>K39</t>
        </is>
      </c>
      <c r="C629" t="n">
        <v>39</v>
      </c>
      <c r="D629" t="n">
        <v>11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11</v>
      </c>
      <c r="M629" t="inlineStr">
        <is>
          <t>FFFF0000</t>
        </is>
      </c>
      <c r="N629" t="inlineStr">
        <is>
          <t>Values must be of type &lt;class 'str'&gt;</t>
        </is>
      </c>
      <c r="O629" t="inlineStr">
        <is>
          <t>center</t>
        </is>
      </c>
      <c r="P629" t="n">
        <v/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</row>
    <row r="630">
      <c r="A630" t="inlineStr">
        <is>
          <t>Assumptions Sheet</t>
        </is>
      </c>
      <c r="B630" t="inlineStr">
        <is>
          <t>L39</t>
        </is>
      </c>
      <c r="C630" t="n">
        <v>39</v>
      </c>
      <c r="D630" t="n">
        <v>12</v>
      </c>
      <c r="E630" t="inlineStr">
        <is>
          <t>Input</t>
        </is>
      </c>
      <c r="F630" t="n">
        <v/>
      </c>
      <c r="H630" t="inlineStr"/>
      <c r="I630" t="inlineStr">
        <is>
          <t>0%</t>
        </is>
      </c>
      <c r="J630" t="b">
        <v>0</v>
      </c>
      <c r="K630" t="b">
        <v>0</v>
      </c>
      <c r="L630" t="n">
        <v>11</v>
      </c>
      <c r="M630" t="inlineStr">
        <is>
          <t>FFFF0000</t>
        </is>
      </c>
      <c r="N630" t="inlineStr">
        <is>
          <t>Values must be of type &lt;class 'str'&gt;</t>
        </is>
      </c>
      <c r="O630" t="inlineStr">
        <is>
          <t>center</t>
        </is>
      </c>
      <c r="P630" t="n">
        <v/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</row>
    <row r="631">
      <c r="A631" t="inlineStr">
        <is>
          <t>Assumptions Sheet</t>
        </is>
      </c>
      <c r="B631" t="inlineStr">
        <is>
          <t>M39</t>
        </is>
      </c>
      <c r="C631" t="n">
        <v>39</v>
      </c>
      <c r="D631" t="n">
        <v>13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11</v>
      </c>
      <c r="M631" t="inlineStr">
        <is>
          <t>FFFF0000</t>
        </is>
      </c>
      <c r="N631" t="inlineStr">
        <is>
          <t>Values must be of type &lt;class 'str'&gt;</t>
        </is>
      </c>
      <c r="O631" t="inlineStr">
        <is>
          <t>center</t>
        </is>
      </c>
      <c r="P631" t="n">
        <v/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</row>
    <row r="632">
      <c r="A632" t="inlineStr">
        <is>
          <t>Assumptions Sheet</t>
        </is>
      </c>
      <c r="B632" t="inlineStr">
        <is>
          <t>N39</t>
        </is>
      </c>
      <c r="C632" t="n">
        <v>39</v>
      </c>
      <c r="D632" t="n">
        <v>14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11</v>
      </c>
      <c r="M632" t="inlineStr">
        <is>
          <t>FFFF0000</t>
        </is>
      </c>
      <c r="N632" t="inlineStr">
        <is>
          <t>Values must be of type &lt;class 'str'&gt;</t>
        </is>
      </c>
      <c r="O632" t="inlineStr">
        <is>
          <t>center</t>
        </is>
      </c>
      <c r="P632" t="n">
        <v/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</row>
    <row r="633">
      <c r="A633" t="inlineStr">
        <is>
          <t>Assumptions Sheet</t>
        </is>
      </c>
      <c r="B633" t="inlineStr">
        <is>
          <t>O39</t>
        </is>
      </c>
      <c r="C633" t="n">
        <v>39</v>
      </c>
      <c r="D633" t="n">
        <v>15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11</v>
      </c>
      <c r="M633" t="inlineStr">
        <is>
          <t>FFFF0000</t>
        </is>
      </c>
      <c r="N633" t="inlineStr">
        <is>
          <t>Values must be of type &lt;class 'str'&gt;</t>
        </is>
      </c>
      <c r="O633" t="inlineStr">
        <is>
          <t>center</t>
        </is>
      </c>
      <c r="P633" t="n">
        <v/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</row>
    <row r="634">
      <c r="A634" t="inlineStr">
        <is>
          <t>Assumptions Sheet</t>
        </is>
      </c>
      <c r="B634" t="inlineStr">
        <is>
          <t>P39</t>
        </is>
      </c>
      <c r="C634" t="n">
        <v>39</v>
      </c>
      <c r="D634" t="n">
        <v>16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11</v>
      </c>
      <c r="M634" t="inlineStr">
        <is>
          <t>FFFF0000</t>
        </is>
      </c>
      <c r="N634" t="inlineStr">
        <is>
          <t>Values must be of type &lt;class 'str'&gt;</t>
        </is>
      </c>
      <c r="O634" t="inlineStr">
        <is>
          <t>center</t>
        </is>
      </c>
      <c r="P634" t="n">
        <v/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</row>
    <row r="635">
      <c r="A635" t="inlineStr">
        <is>
          <t>Assumptions Sheet</t>
        </is>
      </c>
      <c r="B635" t="inlineStr">
        <is>
          <t>B40</t>
        </is>
      </c>
      <c r="C635" t="n">
        <v>40</v>
      </c>
      <c r="D635" t="n">
        <v>2</v>
      </c>
      <c r="E635" t="inlineStr">
        <is>
          <t>Input</t>
        </is>
      </c>
      <c r="F635" t="n">
        <v/>
      </c>
      <c r="G635" t="inlineStr">
        <is>
          <t>Total Revenues
 from Ancillary
 Products and
 Services</t>
        </is>
      </c>
      <c r="H635" t="inlineStr"/>
      <c r="I635" t="inlineStr">
        <is>
          <t>General</t>
        </is>
      </c>
      <c r="J635" t="b">
        <v>1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Values must be of type &lt;class 'str'&gt;</t>
        </is>
      </c>
      <c r="O635" t="inlineStr">
        <is>
          <t>left</t>
        </is>
      </c>
      <c r="P635" t="n">
        <v/>
      </c>
      <c r="R635" t="b">
        <v>1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</row>
    <row r="636">
      <c r="A636" t="inlineStr">
        <is>
          <t>Assumptions Sheet</t>
        </is>
      </c>
      <c r="B636" t="inlineStr">
        <is>
          <t>C40</t>
        </is>
      </c>
      <c r="C636" t="n">
        <v>40</v>
      </c>
      <c r="D636" t="n">
        <v>3</v>
      </c>
      <c r="E636" t="inlineStr">
        <is>
          <t>Calculation</t>
        </is>
      </c>
      <c r="F636" t="inlineStr">
        <is>
          <t>'=SUM(C34:C39)</t>
        </is>
      </c>
      <c r="G636" t="n">
        <v>2765.35</v>
      </c>
      <c r="H636" t="inlineStr"/>
      <c r="I636" t="inlineStr">
        <is>
          <t>0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Values must be of type &lt;class 'str'&gt;</t>
        </is>
      </c>
      <c r="O636" t="inlineStr">
        <is>
          <t>center</t>
        </is>
      </c>
      <c r="P636" t="n">
        <v/>
      </c>
      <c r="R636" t="b">
        <v>1</v>
      </c>
      <c r="S636" t="inlineStr">
        <is>
          <t>G000038</t>
        </is>
      </c>
      <c r="T636" t="inlineStr">
        <is>
          <t>Horizontal</t>
        </is>
      </c>
      <c r="U636" t="n">
        <v>8</v>
      </c>
      <c r="V636" t="b">
        <v>1</v>
      </c>
      <c r="W636" t="inlineStr">
        <is>
          <t>Assumptions Sheet!C40:J40</t>
        </is>
      </c>
      <c r="X636">
        <f>SUM(R[-6]C[0]:R[-1]C[0])</f>
        <v/>
      </c>
    </row>
    <row r="637">
      <c r="A637" t="inlineStr">
        <is>
          <t>Assumptions Sheet</t>
        </is>
      </c>
      <c r="B637" t="inlineStr">
        <is>
          <t>D40</t>
        </is>
      </c>
      <c r="C637" t="n">
        <v>40</v>
      </c>
      <c r="D637" t="n">
        <v>4</v>
      </c>
      <c r="E637" t="inlineStr">
        <is>
          <t>Calculation</t>
        </is>
      </c>
      <c r="F637" t="inlineStr">
        <is>
          <t>'=SUM(D34:D39)</t>
        </is>
      </c>
      <c r="G637" t="n">
        <v>4356.65</v>
      </c>
      <c r="H637" t="inlineStr"/>
      <c r="I637" t="inlineStr">
        <is>
          <t>0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Values must be of type &lt;class 'str'&gt;</t>
        </is>
      </c>
      <c r="O637" t="inlineStr">
        <is>
          <t>center</t>
        </is>
      </c>
      <c r="P637" t="n">
        <v/>
      </c>
      <c r="R637" t="b">
        <v>1</v>
      </c>
      <c r="S637" t="inlineStr">
        <is>
          <t>G000038</t>
        </is>
      </c>
      <c r="T637" t="inlineStr">
        <is>
          <t>Horizontal</t>
        </is>
      </c>
      <c r="U637" t="n">
        <v>8</v>
      </c>
      <c r="V637" t="b">
        <v>1</v>
      </c>
      <c r="W637" t="inlineStr">
        <is>
          <t>Assumptions Sheet!C40:J40</t>
        </is>
      </c>
      <c r="X637">
        <f>SUM(R[-6]C[0]:R[-1]C[0])</f>
        <v/>
      </c>
    </row>
    <row r="638">
      <c r="A638" t="inlineStr">
        <is>
          <t>Assumptions Sheet</t>
        </is>
      </c>
      <c r="B638" t="inlineStr">
        <is>
          <t>E40</t>
        </is>
      </c>
      <c r="C638" t="n">
        <v>40</v>
      </c>
      <c r="D638" t="n">
        <v>5</v>
      </c>
      <c r="E638" t="inlineStr">
        <is>
          <t>Calculation</t>
        </is>
      </c>
      <c r="F638" t="inlineStr">
        <is>
          <t>'=SUM(E34:E39)</t>
        </is>
      </c>
      <c r="G638" t="n">
        <v>5680.339999999999</v>
      </c>
      <c r="H638" t="inlineStr"/>
      <c r="I638" t="inlineStr">
        <is>
          <t>0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Values must be of type &lt;class 'str'&gt;</t>
        </is>
      </c>
      <c r="O638" t="inlineStr">
        <is>
          <t>center</t>
        </is>
      </c>
      <c r="P638" t="n">
        <v/>
      </c>
      <c r="R638" t="b">
        <v>1</v>
      </c>
      <c r="S638" t="inlineStr">
        <is>
          <t>G000038</t>
        </is>
      </c>
      <c r="T638" t="inlineStr">
        <is>
          <t>Horizontal</t>
        </is>
      </c>
      <c r="U638" t="n">
        <v>8</v>
      </c>
      <c r="V638" t="b">
        <v>1</v>
      </c>
      <c r="W638" t="inlineStr">
        <is>
          <t>Assumptions Sheet!C40:J40</t>
        </is>
      </c>
      <c r="X638">
        <f>SUM(R[-6]C[0]:R[-1]C[0])</f>
        <v/>
      </c>
    </row>
    <row r="639">
      <c r="A639" t="inlineStr">
        <is>
          <t>Assumptions Sheet</t>
        </is>
      </c>
      <c r="B639" t="inlineStr">
        <is>
          <t>F40</t>
        </is>
      </c>
      <c r="C639" t="n">
        <v>40</v>
      </c>
      <c r="D639" t="n">
        <v>6</v>
      </c>
      <c r="E639" t="inlineStr">
        <is>
          <t>Calculation</t>
        </is>
      </c>
      <c r="F639" t="inlineStr">
        <is>
          <t>'=SUM(F34:F39)</t>
        </is>
      </c>
      <c r="G639" t="n">
        <v>9253.440000000001</v>
      </c>
      <c r="H639" t="inlineStr"/>
      <c r="I639" t="inlineStr">
        <is>
          <t>0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Values must be of type &lt;class 'str'&gt;</t>
        </is>
      </c>
      <c r="O639" t="inlineStr">
        <is>
          <t>center</t>
        </is>
      </c>
      <c r="P639" t="n">
        <v/>
      </c>
      <c r="R639" t="b">
        <v>1</v>
      </c>
      <c r="S639" t="inlineStr">
        <is>
          <t>G000038</t>
        </is>
      </c>
      <c r="T639" t="inlineStr">
        <is>
          <t>Horizontal</t>
        </is>
      </c>
      <c r="U639" t="n">
        <v>8</v>
      </c>
      <c r="V639" t="b">
        <v>1</v>
      </c>
      <c r="W639" t="inlineStr">
        <is>
          <t>Assumptions Sheet!C40:J40</t>
        </is>
      </c>
      <c r="X639">
        <f>SUM(R[-6]C[0]:R[-1]C[0])</f>
        <v/>
      </c>
    </row>
    <row r="640">
      <c r="A640" t="inlineStr">
        <is>
          <t>Assumptions Sheet</t>
        </is>
      </c>
      <c r="B640" t="inlineStr">
        <is>
          <t>G40</t>
        </is>
      </c>
      <c r="C640" t="n">
        <v>40</v>
      </c>
      <c r="D640" t="n">
        <v>7</v>
      </c>
      <c r="E640" t="inlineStr">
        <is>
          <t>Calculation</t>
        </is>
      </c>
      <c r="F640" t="inlineStr">
        <is>
          <t>'=SUM(G34:G39)</t>
        </is>
      </c>
      <c r="G640" t="n">
        <v>11553.33</v>
      </c>
      <c r="H640" t="inlineStr"/>
      <c r="I640" t="inlineStr">
        <is>
          <t>0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Values must be of type &lt;class 'str'&gt;</t>
        </is>
      </c>
      <c r="O640" t="inlineStr">
        <is>
          <t>center</t>
        </is>
      </c>
      <c r="P640" t="n">
        <v/>
      </c>
      <c r="R640" t="b">
        <v>1</v>
      </c>
      <c r="S640" t="inlineStr">
        <is>
          <t>G000038</t>
        </is>
      </c>
      <c r="T640" t="inlineStr">
        <is>
          <t>Horizontal</t>
        </is>
      </c>
      <c r="U640" t="n">
        <v>8</v>
      </c>
      <c r="V640" t="b">
        <v>1</v>
      </c>
      <c r="W640" t="inlineStr">
        <is>
          <t>Assumptions Sheet!C40:J40</t>
        </is>
      </c>
      <c r="X640">
        <f>SUM(R[-6]C[0]:R[-1]C[0])</f>
        <v/>
      </c>
    </row>
    <row r="641">
      <c r="A641" t="inlineStr">
        <is>
          <t>Assumptions Sheet</t>
        </is>
      </c>
      <c r="B641" t="inlineStr">
        <is>
          <t>H40</t>
        </is>
      </c>
      <c r="C641" t="n">
        <v>40</v>
      </c>
      <c r="D641" t="n">
        <v>8</v>
      </c>
      <c r="E641" t="inlineStr">
        <is>
          <t>Calculation</t>
        </is>
      </c>
      <c r="F641" t="inlineStr">
        <is>
          <t>'=SUM(H34:H39)</t>
        </is>
      </c>
      <c r="G641" t="n">
        <v>15724.87</v>
      </c>
      <c r="H641" t="inlineStr"/>
      <c r="I641" t="inlineStr">
        <is>
          <t>0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Values must be of type &lt;class 'str'&gt;</t>
        </is>
      </c>
      <c r="O641" t="inlineStr">
        <is>
          <t>center</t>
        </is>
      </c>
      <c r="P641" t="n">
        <v/>
      </c>
      <c r="R641" t="b">
        <v>1</v>
      </c>
      <c r="S641" t="inlineStr">
        <is>
          <t>G000038</t>
        </is>
      </c>
      <c r="T641" t="inlineStr">
        <is>
          <t>Horizontal</t>
        </is>
      </c>
      <c r="U641" t="n">
        <v>8</v>
      </c>
      <c r="V641" t="b">
        <v>1</v>
      </c>
      <c r="W641" t="inlineStr">
        <is>
          <t>Assumptions Sheet!C40:J40</t>
        </is>
      </c>
      <c r="X641">
        <f>SUM(R[-6]C[0]:R[-1]C[0])</f>
        <v/>
      </c>
    </row>
    <row r="642">
      <c r="A642" t="inlineStr">
        <is>
          <t>Assumptions Sheet</t>
        </is>
      </c>
      <c r="B642" t="inlineStr">
        <is>
          <t>I40</t>
        </is>
      </c>
      <c r="C642" t="n">
        <v>40</v>
      </c>
      <c r="D642" t="n">
        <v>9</v>
      </c>
      <c r="E642" t="inlineStr">
        <is>
          <t>Calculation</t>
        </is>
      </c>
      <c r="F642" t="inlineStr">
        <is>
          <t>'=SUM(I34:I39)</t>
        </is>
      </c>
      <c r="G642" t="n">
        <v>20019.95</v>
      </c>
      <c r="H642" t="inlineStr"/>
      <c r="I642" t="inlineStr">
        <is>
          <t>0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Values must be of type &lt;class 'str'&gt;</t>
        </is>
      </c>
      <c r="O642" t="inlineStr">
        <is>
          <t>center</t>
        </is>
      </c>
      <c r="P642" t="n">
        <v/>
      </c>
      <c r="R642" t="b">
        <v>1</v>
      </c>
      <c r="S642" t="inlineStr">
        <is>
          <t>G000038</t>
        </is>
      </c>
      <c r="T642" t="inlineStr">
        <is>
          <t>Horizontal</t>
        </is>
      </c>
      <c r="U642" t="n">
        <v>8</v>
      </c>
      <c r="V642" t="b">
        <v>1</v>
      </c>
      <c r="W642" t="inlineStr">
        <is>
          <t>Assumptions Sheet!C40:J40</t>
        </is>
      </c>
      <c r="X642">
        <f>SUM(R[-6]C[0]:R[-1]C[0])</f>
        <v/>
      </c>
    </row>
    <row r="643">
      <c r="A643" t="inlineStr">
        <is>
          <t>Assumptions Sheet</t>
        </is>
      </c>
      <c r="B643" t="inlineStr">
        <is>
          <t>J40</t>
        </is>
      </c>
      <c r="C643" t="n">
        <v>40</v>
      </c>
      <c r="D643" t="n">
        <v>10</v>
      </c>
      <c r="E643" t="inlineStr">
        <is>
          <t>Output</t>
        </is>
      </c>
      <c r="F643" t="inlineStr">
        <is>
          <t>'=SUM(J34:J39)</t>
        </is>
      </c>
      <c r="G643" t="n">
        <v>22667.6</v>
      </c>
      <c r="H643" t="inlineStr"/>
      <c r="I643" t="inlineStr">
        <is>
          <t>0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Values must be of type &lt;class 'str'&gt;</t>
        </is>
      </c>
      <c r="O643" t="inlineStr">
        <is>
          <t>center</t>
        </is>
      </c>
      <c r="P643" t="n">
        <v/>
      </c>
      <c r="R643" t="b">
        <v>1</v>
      </c>
      <c r="S643" t="inlineStr">
        <is>
          <t>G000038</t>
        </is>
      </c>
      <c r="T643" t="inlineStr">
        <is>
          <t>Horizontal</t>
        </is>
      </c>
      <c r="U643" t="n">
        <v>8</v>
      </c>
      <c r="V643" t="b">
        <v>1</v>
      </c>
      <c r="W643" t="inlineStr">
        <is>
          <t>Assumptions Sheet!C40:J40</t>
        </is>
      </c>
      <c r="X643">
        <f>SUM(R[-6]C[0]:R[-1]C[0])</f>
        <v/>
      </c>
    </row>
    <row r="644">
      <c r="A644" t="inlineStr">
        <is>
          <t>Assumptions Sheet</t>
        </is>
      </c>
      <c r="B644" t="inlineStr">
        <is>
          <t>K40</t>
        </is>
      </c>
      <c r="C644" t="n">
        <v>40</v>
      </c>
      <c r="D644" t="n">
        <v>11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11</v>
      </c>
      <c r="M644" t="inlineStr">
        <is>
          <t>FFFF0000</t>
        </is>
      </c>
      <c r="N644" t="inlineStr">
        <is>
          <t>Values must be of type &lt;class 'str'&gt;</t>
        </is>
      </c>
      <c r="O644" t="inlineStr">
        <is>
          <t>center</t>
        </is>
      </c>
      <c r="P644" t="n">
        <v/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</row>
    <row r="645">
      <c r="A645" t="inlineStr">
        <is>
          <t>Assumptions Sheet</t>
        </is>
      </c>
      <c r="B645" t="inlineStr">
        <is>
          <t>L40</t>
        </is>
      </c>
      <c r="C645" t="n">
        <v>40</v>
      </c>
      <c r="D645" t="n">
        <v>12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11</v>
      </c>
      <c r="M645" t="inlineStr">
        <is>
          <t>FFFF0000</t>
        </is>
      </c>
      <c r="N645" t="inlineStr">
        <is>
          <t>Values must be of type &lt;class 'str'&gt;</t>
        </is>
      </c>
      <c r="O645" t="inlineStr">
        <is>
          <t>center</t>
        </is>
      </c>
      <c r="P645" t="n">
        <v/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</row>
    <row r="646">
      <c r="A646" t="inlineStr">
        <is>
          <t>Assumptions Sheet</t>
        </is>
      </c>
      <c r="B646" t="inlineStr">
        <is>
          <t>M40</t>
        </is>
      </c>
      <c r="C646" t="n">
        <v>40</v>
      </c>
      <c r="D646" t="n">
        <v>13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11</v>
      </c>
      <c r="M646" t="inlineStr">
        <is>
          <t>FFFF0000</t>
        </is>
      </c>
      <c r="N646" t="inlineStr">
        <is>
          <t>Values must be of type &lt;class 'str'&gt;</t>
        </is>
      </c>
      <c r="O646" t="inlineStr">
        <is>
          <t>center</t>
        </is>
      </c>
      <c r="P646" t="n">
        <v/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</row>
    <row r="647">
      <c r="A647" t="inlineStr">
        <is>
          <t>Assumptions Sheet</t>
        </is>
      </c>
      <c r="B647" t="inlineStr">
        <is>
          <t>N40</t>
        </is>
      </c>
      <c r="C647" t="n">
        <v>40</v>
      </c>
      <c r="D647" t="n">
        <v>14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11</v>
      </c>
      <c r="M647" t="inlineStr">
        <is>
          <t>FFFF0000</t>
        </is>
      </c>
      <c r="N647" t="inlineStr">
        <is>
          <t>Values must be of type &lt;class 'str'&gt;</t>
        </is>
      </c>
      <c r="O647" t="inlineStr">
        <is>
          <t>center</t>
        </is>
      </c>
      <c r="P647" t="n">
        <v/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</row>
    <row r="648">
      <c r="A648" t="inlineStr">
        <is>
          <t>Assumptions Sheet</t>
        </is>
      </c>
      <c r="B648" t="inlineStr">
        <is>
          <t>O40</t>
        </is>
      </c>
      <c r="C648" t="n">
        <v>40</v>
      </c>
      <c r="D648" t="n">
        <v>15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11</v>
      </c>
      <c r="M648" t="inlineStr">
        <is>
          <t>FFFF0000</t>
        </is>
      </c>
      <c r="N648" t="inlineStr">
        <is>
          <t>Values must be of type &lt;class 'str'&gt;</t>
        </is>
      </c>
      <c r="O648" t="inlineStr">
        <is>
          <t>center</t>
        </is>
      </c>
      <c r="P648" t="n">
        <v/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</row>
    <row r="649">
      <c r="A649" t="inlineStr">
        <is>
          <t>Assumptions Sheet</t>
        </is>
      </c>
      <c r="B649" t="inlineStr">
        <is>
          <t>P40</t>
        </is>
      </c>
      <c r="C649" t="n">
        <v>40</v>
      </c>
      <c r="D649" t="n">
        <v>16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FFFF0000</t>
        </is>
      </c>
      <c r="N649" t="inlineStr">
        <is>
          <t>Values must be of type &lt;class 'str'&gt;</t>
        </is>
      </c>
      <c r="O649" t="inlineStr">
        <is>
          <t>center</t>
        </is>
      </c>
      <c r="P649" t="n">
        <v/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</row>
    <row r="650">
      <c r="A650" t="inlineStr">
        <is>
          <t>Assumptions Sheet</t>
        </is>
      </c>
      <c r="B650" t="inlineStr">
        <is>
          <t>B45</t>
        </is>
      </c>
      <c r="C650" t="n">
        <v>45</v>
      </c>
      <c r="D650" t="n">
        <v>2</v>
      </c>
      <c r="E650" t="inlineStr">
        <is>
          <t>Input</t>
        </is>
      </c>
      <c r="F650" t="n">
        <v/>
      </c>
      <c r="G650" t="inlineStr">
        <is>
          <t>Lease Payments</t>
        </is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Values must be of type &lt;class 'str'&gt;</t>
        </is>
      </c>
      <c r="O650" t="inlineStr">
        <is>
          <t>left</t>
        </is>
      </c>
      <c r="P650" t="n">
        <v/>
      </c>
      <c r="R650" t="b">
        <v>1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</row>
    <row r="651">
      <c r="A651" t="inlineStr">
        <is>
          <t>Assumptions Sheet</t>
        </is>
      </c>
      <c r="B651" t="inlineStr">
        <is>
          <t>B46</t>
        </is>
      </c>
      <c r="C651" t="n">
        <v>46</v>
      </c>
      <c r="D651" t="n">
        <v>2</v>
      </c>
      <c r="E651" t="inlineStr">
        <is>
          <t>Input</t>
        </is>
      </c>
      <c r="F651" t="n">
        <v/>
      </c>
      <c r="G651" t="inlineStr">
        <is>
          <t>Operating Lease Expense</t>
        </is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11</v>
      </c>
      <c r="M651" t="inlineStr">
        <is>
          <t>Values must be of type &lt;class 'str'&gt;</t>
        </is>
      </c>
      <c r="N651" t="inlineStr">
        <is>
          <t>Values must be of type &lt;class 'str'&gt;</t>
        </is>
      </c>
      <c r="O651" t="inlineStr">
        <is>
          <t>left</t>
        </is>
      </c>
      <c r="P651" t="n">
        <v/>
      </c>
      <c r="R651" t="b">
        <v>1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</row>
    <row r="652">
      <c r="A652" t="inlineStr">
        <is>
          <t>Assumptions Sheet</t>
        </is>
      </c>
      <c r="B652" t="inlineStr">
        <is>
          <t>B47</t>
        </is>
      </c>
      <c r="C652" t="n">
        <v>47</v>
      </c>
      <c r="D652" t="n">
        <v>2</v>
      </c>
      <c r="E652" t="inlineStr">
        <is>
          <t>Input</t>
        </is>
      </c>
      <c r="F652" t="n">
        <v/>
      </c>
      <c r="G652" t="inlineStr">
        <is>
          <t>Finance Lease Interest Payment</t>
        </is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11</v>
      </c>
      <c r="M652" t="inlineStr">
        <is>
          <t>Values must be of type &lt;class 'str'&gt;</t>
        </is>
      </c>
      <c r="N652" t="inlineStr">
        <is>
          <t>Values must be of type &lt;class 'str'&gt;</t>
        </is>
      </c>
      <c r="O652" t="inlineStr">
        <is>
          <t>left</t>
        </is>
      </c>
      <c r="P652" t="n">
        <v/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</row>
    <row r="653">
      <c r="A653" t="inlineStr">
        <is>
          <t>Assumptions Sheet</t>
        </is>
      </c>
      <c r="B653" t="inlineStr">
        <is>
          <t>Q47</t>
        </is>
      </c>
      <c r="C653" t="n">
        <v>47</v>
      </c>
      <c r="D653" t="n">
        <v>17</v>
      </c>
      <c r="E653" t="inlineStr">
        <is>
          <t>Input</t>
        </is>
      </c>
      <c r="F653" t="n">
        <v/>
      </c>
      <c r="G653" t="inlineStr">
        <is>
          <t>2023E</t>
        </is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11</v>
      </c>
      <c r="M653" t="inlineStr">
        <is>
          <t>Values must be of type &lt;class 'str'&gt;</t>
        </is>
      </c>
      <c r="N653" t="inlineStr">
        <is>
          <t>Values must be of type &lt;class 'str'&gt;</t>
        </is>
      </c>
      <c r="O653" t="n">
        <v/>
      </c>
      <c r="P653" t="n">
        <v/>
      </c>
      <c r="R653" t="b">
        <v>1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</row>
    <row r="654">
      <c r="A654" t="inlineStr">
        <is>
          <t>Assumptions Sheet</t>
        </is>
      </c>
      <c r="B654" t="inlineStr">
        <is>
          <t>B48</t>
        </is>
      </c>
      <c r="C654" t="n">
        <v>48</v>
      </c>
      <c r="D654" t="n">
        <v>2</v>
      </c>
      <c r="E654" t="inlineStr">
        <is>
          <t>Input</t>
        </is>
      </c>
      <c r="F654" t="n">
        <v/>
      </c>
      <c r="G654" t="inlineStr">
        <is>
          <t>Finance Lease Principal Payment</t>
        </is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11</v>
      </c>
      <c r="M654" t="inlineStr">
        <is>
          <t>Values must be of type &lt;class 'str'&gt;</t>
        </is>
      </c>
      <c r="N654" t="inlineStr">
        <is>
          <t>Values must be of type &lt;class 'str'&gt;</t>
        </is>
      </c>
      <c r="O654" t="inlineStr">
        <is>
          <t>left</t>
        </is>
      </c>
      <c r="P654" t="n">
        <v/>
      </c>
      <c r="R654" t="b">
        <v>1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</row>
    <row r="655">
      <c r="A655" t="inlineStr">
        <is>
          <t>Assumptions Sheet</t>
        </is>
      </c>
      <c r="B655" t="inlineStr">
        <is>
          <t>C48</t>
        </is>
      </c>
      <c r="C655" t="n">
        <v>48</v>
      </c>
      <c r="D655" t="n">
        <v>3</v>
      </c>
      <c r="E655" t="inlineStr">
        <is>
          <t>Output</t>
        </is>
      </c>
      <c r="F655" t="inlineStr">
        <is>
          <t>'=C52/C32</t>
        </is>
      </c>
      <c r="G655" t="n">
        <v>0.1035681271399729</v>
      </c>
      <c r="H655" t="inlineStr"/>
      <c r="I655" t="inlineStr">
        <is>
          <t>0%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Values must be of type &lt;class 'str'&gt;</t>
        </is>
      </c>
      <c r="O655" t="inlineStr">
        <is>
          <t>center</t>
        </is>
      </c>
      <c r="P655" t="n">
        <v/>
      </c>
      <c r="R655" t="b">
        <v>1</v>
      </c>
      <c r="S655" t="inlineStr">
        <is>
          <t>G000039</t>
        </is>
      </c>
      <c r="T655" t="inlineStr">
        <is>
          <t>Horizontal</t>
        </is>
      </c>
      <c r="U655" t="n">
        <v>8</v>
      </c>
      <c r="V655" t="b">
        <v>1</v>
      </c>
      <c r="W655" t="inlineStr">
        <is>
          <t>Assumptions Sheet!C48:J48</t>
        </is>
      </c>
      <c r="X655">
        <f>R[4]C[0]/R[-16]C[0]</f>
        <v/>
      </c>
    </row>
    <row r="656">
      <c r="A656" t="inlineStr">
        <is>
          <t>Assumptions Sheet</t>
        </is>
      </c>
      <c r="B656" t="inlineStr">
        <is>
          <t>D48</t>
        </is>
      </c>
      <c r="C656" t="n">
        <v>48</v>
      </c>
      <c r="D656" t="n">
        <v>4</v>
      </c>
      <c r="E656" t="inlineStr">
        <is>
          <t>Output</t>
        </is>
      </c>
      <c r="F656" t="inlineStr">
        <is>
          <t>'=D52/D32</t>
        </is>
      </c>
      <c r="G656" t="n">
        <v>0.1039126090100481</v>
      </c>
      <c r="H656" t="inlineStr"/>
      <c r="I656" t="inlineStr">
        <is>
          <t>0%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Values must be of type &lt;class 'str'&gt;</t>
        </is>
      </c>
      <c r="O656" t="inlineStr">
        <is>
          <t>center</t>
        </is>
      </c>
      <c r="P656" t="n">
        <v/>
      </c>
      <c r="R656" t="b">
        <v>1</v>
      </c>
      <c r="S656" t="inlineStr">
        <is>
          <t>G000039</t>
        </is>
      </c>
      <c r="T656" t="inlineStr">
        <is>
          <t>Horizontal</t>
        </is>
      </c>
      <c r="U656" t="n">
        <v>8</v>
      </c>
      <c r="V656" t="b">
        <v>1</v>
      </c>
      <c r="W656" t="inlineStr">
        <is>
          <t>Assumptions Sheet!C48:J48</t>
        </is>
      </c>
      <c r="X656">
        <f>R[4]C[0]/R[-16]C[0]</f>
        <v/>
      </c>
    </row>
    <row r="657">
      <c r="A657" t="inlineStr">
        <is>
          <t>Assumptions Sheet</t>
        </is>
      </c>
      <c r="B657" t="inlineStr">
        <is>
          <t>E48</t>
        </is>
      </c>
      <c r="C657" t="n">
        <v>48</v>
      </c>
      <c r="D657" t="n">
        <v>5</v>
      </c>
      <c r="E657" t="inlineStr">
        <is>
          <t>Output</t>
        </is>
      </c>
      <c r="F657" t="inlineStr">
        <is>
          <t>'=E52/E32</t>
        </is>
      </c>
      <c r="G657" t="n">
        <v>0.1402639125099763</v>
      </c>
      <c r="H657" t="inlineStr"/>
      <c r="I657" t="inlineStr">
        <is>
          <t>0%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Values must be of type &lt;class 'str'&gt;</t>
        </is>
      </c>
      <c r="O657" t="inlineStr">
        <is>
          <t>center</t>
        </is>
      </c>
      <c r="P657" t="n">
        <v/>
      </c>
      <c r="R657" t="b">
        <v>1</v>
      </c>
      <c r="S657" t="inlineStr">
        <is>
          <t>G000039</t>
        </is>
      </c>
      <c r="T657" t="inlineStr">
        <is>
          <t>Horizontal</t>
        </is>
      </c>
      <c r="U657" t="n">
        <v>8</v>
      </c>
      <c r="V657" t="b">
        <v>1</v>
      </c>
      <c r="W657" t="inlineStr">
        <is>
          <t>Assumptions Sheet!C48:J48</t>
        </is>
      </c>
      <c r="X657">
        <f>R[4]C[0]/R[-16]C[0]</f>
        <v/>
      </c>
    </row>
    <row r="658">
      <c r="A658" t="inlineStr">
        <is>
          <t>Assumptions Sheet</t>
        </is>
      </c>
      <c r="B658" t="inlineStr">
        <is>
          <t>F48</t>
        </is>
      </c>
      <c r="C658" t="n">
        <v>48</v>
      </c>
      <c r="D658" t="n">
        <v>6</v>
      </c>
      <c r="E658" t="inlineStr">
        <is>
          <t>Output</t>
        </is>
      </c>
      <c r="F658" t="inlineStr">
        <is>
          <t>'=F52/F32</t>
        </is>
      </c>
      <c r="G658" t="n">
        <v>0.1436560124059789</v>
      </c>
      <c r="H658" t="inlineStr"/>
      <c r="I658" t="inlineStr">
        <is>
          <t>0%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Values must be of type &lt;class 'str'&gt;</t>
        </is>
      </c>
      <c r="O658" t="inlineStr">
        <is>
          <t>center</t>
        </is>
      </c>
      <c r="P658" t="n">
        <v/>
      </c>
      <c r="R658" t="b">
        <v>1</v>
      </c>
      <c r="S658" t="inlineStr">
        <is>
          <t>G000039</t>
        </is>
      </c>
      <c r="T658" t="inlineStr">
        <is>
          <t>Horizontal</t>
        </is>
      </c>
      <c r="U658" t="n">
        <v>8</v>
      </c>
      <c r="V658" t="b">
        <v>1</v>
      </c>
      <c r="W658" t="inlineStr">
        <is>
          <t>Assumptions Sheet!C48:J48</t>
        </is>
      </c>
      <c r="X658">
        <f>R[4]C[0]/R[-16]C[0]</f>
        <v/>
      </c>
    </row>
    <row r="659">
      <c r="A659" t="inlineStr">
        <is>
          <t>Assumptions Sheet</t>
        </is>
      </c>
      <c r="B659" t="inlineStr">
        <is>
          <t>G48</t>
        </is>
      </c>
      <c r="C659" t="n">
        <v>48</v>
      </c>
      <c r="D659" t="n">
        <v>7</v>
      </c>
      <c r="E659" t="inlineStr">
        <is>
          <t>Output</t>
        </is>
      </c>
      <c r="F659" t="inlineStr">
        <is>
          <t>'=G52/G32</t>
        </is>
      </c>
      <c r="G659" t="n">
        <v>0.1461069679364033</v>
      </c>
      <c r="H659" t="inlineStr"/>
      <c r="I659" t="inlineStr">
        <is>
          <t>0%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Values must be of type &lt;class 'str'&gt;</t>
        </is>
      </c>
      <c r="O659" t="inlineStr">
        <is>
          <t>center</t>
        </is>
      </c>
      <c r="P659" t="n">
        <v/>
      </c>
      <c r="R659" t="b">
        <v>1</v>
      </c>
      <c r="S659" t="inlineStr">
        <is>
          <t>G000039</t>
        </is>
      </c>
      <c r="T659" t="inlineStr">
        <is>
          <t>Horizontal</t>
        </is>
      </c>
      <c r="U659" t="n">
        <v>8</v>
      </c>
      <c r="V659" t="b">
        <v>1</v>
      </c>
      <c r="W659" t="inlineStr">
        <is>
          <t>Assumptions Sheet!C48:J48</t>
        </is>
      </c>
      <c r="X659">
        <f>R[4]C[0]/R[-16]C[0]</f>
        <v/>
      </c>
    </row>
    <row r="660">
      <c r="A660" t="inlineStr">
        <is>
          <t>Assumptions Sheet</t>
        </is>
      </c>
      <c r="B660" t="inlineStr">
        <is>
          <t>H48</t>
        </is>
      </c>
      <c r="C660" t="n">
        <v>48</v>
      </c>
      <c r="D660" t="n">
        <v>8</v>
      </c>
      <c r="E660" t="inlineStr">
        <is>
          <t>Output</t>
        </is>
      </c>
      <c r="F660" t="inlineStr">
        <is>
          <t>'=H52/H32</t>
        </is>
      </c>
      <c r="G660" t="n">
        <v>0.1363301045577818</v>
      </c>
      <c r="H660" t="inlineStr"/>
      <c r="I660" t="inlineStr">
        <is>
          <t>0%</t>
        </is>
      </c>
      <c r="J660" t="b">
        <v>0</v>
      </c>
      <c r="K660" t="b">
        <v>0</v>
      </c>
      <c r="L660" t="n">
        <v>11</v>
      </c>
      <c r="M660" t="inlineStr">
        <is>
          <t>Values must be of type &lt;class 'str'&gt;</t>
        </is>
      </c>
      <c r="N660" t="inlineStr">
        <is>
          <t>Values must be of type &lt;class 'str'&gt;</t>
        </is>
      </c>
      <c r="O660" t="inlineStr">
        <is>
          <t>center</t>
        </is>
      </c>
      <c r="P660" t="n">
        <v/>
      </c>
      <c r="R660" t="b">
        <v>1</v>
      </c>
      <c r="S660" t="inlineStr">
        <is>
          <t>G000039</t>
        </is>
      </c>
      <c r="T660" t="inlineStr">
        <is>
          <t>Horizontal</t>
        </is>
      </c>
      <c r="U660" t="n">
        <v>8</v>
      </c>
      <c r="V660" t="b">
        <v>1</v>
      </c>
      <c r="W660" t="inlineStr">
        <is>
          <t>Assumptions Sheet!C48:J48</t>
        </is>
      </c>
      <c r="X660">
        <f>R[4]C[0]/R[-16]C[0]</f>
        <v/>
      </c>
    </row>
    <row r="661">
      <c r="A661" t="inlineStr">
        <is>
          <t>Assumptions Sheet</t>
        </is>
      </c>
      <c r="B661" t="inlineStr">
        <is>
          <t>I48</t>
        </is>
      </c>
      <c r="C661" t="n">
        <v>48</v>
      </c>
      <c r="D661" t="n">
        <v>9</v>
      </c>
      <c r="E661" t="inlineStr">
        <is>
          <t>Output</t>
        </is>
      </c>
      <c r="F661" t="inlineStr">
        <is>
          <t>'=I52/I32</t>
        </is>
      </c>
      <c r="G661" t="n">
        <v>0.1573460919010937</v>
      </c>
      <c r="H661" t="inlineStr"/>
      <c r="I661" t="inlineStr">
        <is>
          <t>0%</t>
        </is>
      </c>
      <c r="J661" t="b">
        <v>0</v>
      </c>
      <c r="K661" t="b">
        <v>0</v>
      </c>
      <c r="L661" t="n">
        <v>11</v>
      </c>
      <c r="M661" t="inlineStr">
        <is>
          <t>Values must be of type &lt;class 'str'&gt;</t>
        </is>
      </c>
      <c r="N661" t="inlineStr">
        <is>
          <t>Values must be of type &lt;class 'str'&gt;</t>
        </is>
      </c>
      <c r="O661" t="inlineStr">
        <is>
          <t>center</t>
        </is>
      </c>
      <c r="P661" t="n">
        <v/>
      </c>
      <c r="R661" t="b">
        <v>1</v>
      </c>
      <c r="S661" t="inlineStr">
        <is>
          <t>G000039</t>
        </is>
      </c>
      <c r="T661" t="inlineStr">
        <is>
          <t>Horizontal</t>
        </is>
      </c>
      <c r="U661" t="n">
        <v>8</v>
      </c>
      <c r="V661" t="b">
        <v>1</v>
      </c>
      <c r="W661" t="inlineStr">
        <is>
          <t>Assumptions Sheet!C48:J48</t>
        </is>
      </c>
      <c r="X661">
        <f>R[4]C[0]/R[-16]C[0]</f>
        <v/>
      </c>
    </row>
    <row r="662">
      <c r="A662" t="inlineStr">
        <is>
          <t>Assumptions Sheet</t>
        </is>
      </c>
      <c r="B662" t="inlineStr">
        <is>
          <t>J48</t>
        </is>
      </c>
      <c r="C662" t="n">
        <v>48</v>
      </c>
      <c r="D662" t="n">
        <v>10</v>
      </c>
      <c r="E662" t="inlineStr">
        <is>
          <t>Output</t>
        </is>
      </c>
      <c r="F662" t="inlineStr">
        <is>
          <t>'=J52/J32</t>
        </is>
      </c>
      <c r="G662" t="n">
        <v>0.1613544060228647</v>
      </c>
      <c r="H662" t="inlineStr"/>
      <c r="I662" t="inlineStr">
        <is>
          <t>0%</t>
        </is>
      </c>
      <c r="J662" t="b">
        <v>0</v>
      </c>
      <c r="K662" t="b">
        <v>0</v>
      </c>
      <c r="L662" t="n">
        <v>11</v>
      </c>
      <c r="M662" t="inlineStr">
        <is>
          <t>Values must be of type &lt;class 'str'&gt;</t>
        </is>
      </c>
      <c r="N662" t="inlineStr">
        <is>
          <t>Values must be of type &lt;class 'str'&gt;</t>
        </is>
      </c>
      <c r="O662" t="inlineStr">
        <is>
          <t>center</t>
        </is>
      </c>
      <c r="P662" t="n">
        <v/>
      </c>
      <c r="R662" t="b">
        <v>1</v>
      </c>
      <c r="S662" t="inlineStr">
        <is>
          <t>G000039</t>
        </is>
      </c>
      <c r="T662" t="inlineStr">
        <is>
          <t>Horizontal</t>
        </is>
      </c>
      <c r="U662" t="n">
        <v>8</v>
      </c>
      <c r="V662" t="b">
        <v>1</v>
      </c>
      <c r="W662" t="inlineStr">
        <is>
          <t>Assumptions Sheet!C48:J48</t>
        </is>
      </c>
      <c r="X662">
        <f>R[4]C[0]/R[-16]C[0]</f>
        <v/>
      </c>
    </row>
    <row r="663">
      <c r="A663" t="inlineStr">
        <is>
          <t>Assumptions Sheet</t>
        </is>
      </c>
      <c r="B663" t="inlineStr">
        <is>
          <t>Q48</t>
        </is>
      </c>
      <c r="C663" t="n">
        <v>48</v>
      </c>
      <c r="D663" t="n">
        <v>17</v>
      </c>
      <c r="E663" t="inlineStr">
        <is>
          <t>Input</t>
        </is>
      </c>
      <c r="F663" t="n">
        <v/>
      </c>
      <c r="G663" t="n">
        <v>460</v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11</v>
      </c>
      <c r="M663" t="inlineStr">
        <is>
          <t>Values must be of type &lt;class 'str'&gt;</t>
        </is>
      </c>
      <c r="N663" t="inlineStr">
        <is>
          <t>Values must be of type &lt;class 'str'&gt;</t>
        </is>
      </c>
      <c r="O663" t="n">
        <v/>
      </c>
      <c r="P663" t="n">
        <v/>
      </c>
      <c r="R663" t="b">
        <v>1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</row>
    <row r="664">
      <c r="A664" t="inlineStr">
        <is>
          <t>Assumptions Sheet</t>
        </is>
      </c>
      <c r="B664" t="inlineStr">
        <is>
          <t>B49</t>
        </is>
      </c>
      <c r="C664" t="n">
        <v>49</v>
      </c>
      <c r="D664" t="n">
        <v>2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11</v>
      </c>
      <c r="M664" t="inlineStr">
        <is>
          <t>Values must be of type &lt;class 'str'&gt;</t>
        </is>
      </c>
      <c r="N664" t="inlineStr">
        <is>
          <t>Values must be of type &lt;class 'str'&gt;</t>
        </is>
      </c>
      <c r="O664" t="inlineStr">
        <is>
          <t>center</t>
        </is>
      </c>
      <c r="P664" t="n">
        <v/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</row>
    <row r="665">
      <c r="A665" t="inlineStr">
        <is>
          <t>Assumptions Sheet</t>
        </is>
      </c>
      <c r="B665" t="inlineStr">
        <is>
          <t>C49</t>
        </is>
      </c>
      <c r="C665" t="n">
        <v>49</v>
      </c>
      <c r="D665" t="n">
        <v>3</v>
      </c>
      <c r="E665" t="inlineStr">
        <is>
          <t>Input</t>
        </is>
      </c>
      <c r="F665" t="n">
        <v/>
      </c>
      <c r="G665" t="n">
        <v>2010</v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11</v>
      </c>
      <c r="M665" t="inlineStr">
        <is>
          <t>Values must be of type &lt;class 'str'&gt;</t>
        </is>
      </c>
      <c r="N665" t="inlineStr">
        <is>
          <t>Values must be of type &lt;class 'str'&gt;</t>
        </is>
      </c>
      <c r="O665" t="inlineStr">
        <is>
          <t>center</t>
        </is>
      </c>
      <c r="P665" t="n">
        <v/>
      </c>
      <c r="R665" t="b">
        <v>1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</row>
    <row r="666">
      <c r="A666" t="inlineStr">
        <is>
          <t>Assumptions Sheet</t>
        </is>
      </c>
      <c r="B666" t="inlineStr">
        <is>
          <t>D49</t>
        </is>
      </c>
      <c r="C666" t="n">
        <v>49</v>
      </c>
      <c r="D666" t="n">
        <v>4</v>
      </c>
      <c r="E666" t="inlineStr">
        <is>
          <t>Calculation</t>
        </is>
      </c>
      <c r="F666" t="inlineStr">
        <is>
          <t>'=C49+1</t>
        </is>
      </c>
      <c r="G666" t="n">
        <v>2011</v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Values must be of type &lt;class 'str'&gt;</t>
        </is>
      </c>
      <c r="O666" t="inlineStr">
        <is>
          <t>center</t>
        </is>
      </c>
      <c r="P666" t="n">
        <v/>
      </c>
      <c r="R666" t="b">
        <v>1</v>
      </c>
      <c r="S666" t="inlineStr">
        <is>
          <t>G000040</t>
        </is>
      </c>
      <c r="T666" t="inlineStr">
        <is>
          <t>Horizontal</t>
        </is>
      </c>
      <c r="U666" t="n">
        <v>7</v>
      </c>
      <c r="V666" t="b">
        <v>1</v>
      </c>
      <c r="W666" t="inlineStr">
        <is>
          <t>Assumptions Sheet!D49:J49</t>
        </is>
      </c>
      <c r="X666">
        <f>R[0]C[-1]+1</f>
        <v/>
      </c>
    </row>
    <row r="667">
      <c r="A667" t="inlineStr">
        <is>
          <t>Assumptions Sheet</t>
        </is>
      </c>
      <c r="B667" t="inlineStr">
        <is>
          <t>E49</t>
        </is>
      </c>
      <c r="C667" t="n">
        <v>49</v>
      </c>
      <c r="D667" t="n">
        <v>5</v>
      </c>
      <c r="E667" t="inlineStr">
        <is>
          <t>Calculation</t>
        </is>
      </c>
      <c r="F667" t="inlineStr">
        <is>
          <t>'=D49+1</t>
        </is>
      </c>
      <c r="G667" t="n">
        <v>2012</v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Values must be of type &lt;class 'str'&gt;</t>
        </is>
      </c>
      <c r="O667" t="inlineStr">
        <is>
          <t>center</t>
        </is>
      </c>
      <c r="P667" t="n">
        <v/>
      </c>
      <c r="R667" t="b">
        <v>1</v>
      </c>
      <c r="S667" t="inlineStr">
        <is>
          <t>G000040</t>
        </is>
      </c>
      <c r="T667" t="inlineStr">
        <is>
          <t>Horizontal</t>
        </is>
      </c>
      <c r="U667" t="n">
        <v>7</v>
      </c>
      <c r="V667" t="b">
        <v>1</v>
      </c>
      <c r="W667" t="inlineStr">
        <is>
          <t>Assumptions Sheet!D49:J49</t>
        </is>
      </c>
      <c r="X667">
        <f>R[0]C[-1]+1</f>
        <v/>
      </c>
    </row>
    <row r="668">
      <c r="A668" t="inlineStr">
        <is>
          <t>Assumptions Sheet</t>
        </is>
      </c>
      <c r="B668" t="inlineStr">
        <is>
          <t>F49</t>
        </is>
      </c>
      <c r="C668" t="n">
        <v>49</v>
      </c>
      <c r="D668" t="n">
        <v>6</v>
      </c>
      <c r="E668" t="inlineStr">
        <is>
          <t>Calculation</t>
        </is>
      </c>
      <c r="F668" t="inlineStr">
        <is>
          <t>'=E49+1</t>
        </is>
      </c>
      <c r="G668" t="n">
        <v>2013</v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11</v>
      </c>
      <c r="M668" t="inlineStr">
        <is>
          <t>Values must be of type &lt;class 'str'&gt;</t>
        </is>
      </c>
      <c r="N668" t="inlineStr">
        <is>
          <t>Values must be of type &lt;class 'str'&gt;</t>
        </is>
      </c>
      <c r="O668" t="inlineStr">
        <is>
          <t>center</t>
        </is>
      </c>
      <c r="P668" t="n">
        <v/>
      </c>
      <c r="R668" t="b">
        <v>1</v>
      </c>
      <c r="S668" t="inlineStr">
        <is>
          <t>G000040</t>
        </is>
      </c>
      <c r="T668" t="inlineStr">
        <is>
          <t>Horizontal</t>
        </is>
      </c>
      <c r="U668" t="n">
        <v>7</v>
      </c>
      <c r="V668" t="b">
        <v>1</v>
      </c>
      <c r="W668" t="inlineStr">
        <is>
          <t>Assumptions Sheet!D49:J49</t>
        </is>
      </c>
      <c r="X668">
        <f>R[0]C[-1]+1</f>
        <v/>
      </c>
    </row>
    <row r="669">
      <c r="A669" t="inlineStr">
        <is>
          <t>Assumptions Sheet</t>
        </is>
      </c>
      <c r="B669" t="inlineStr">
        <is>
          <t>G49</t>
        </is>
      </c>
      <c r="C669" t="n">
        <v>49</v>
      </c>
      <c r="D669" t="n">
        <v>7</v>
      </c>
      <c r="E669" t="inlineStr">
        <is>
          <t>Calculation</t>
        </is>
      </c>
      <c r="F669" t="inlineStr">
        <is>
          <t>'=F49+1</t>
        </is>
      </c>
      <c r="G669" t="n">
        <v>2014</v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11</v>
      </c>
      <c r="M669" t="inlineStr">
        <is>
          <t>Values must be of type &lt;class 'str'&gt;</t>
        </is>
      </c>
      <c r="N669" t="inlineStr">
        <is>
          <t>Values must be of type &lt;class 'str'&gt;</t>
        </is>
      </c>
      <c r="O669" t="inlineStr">
        <is>
          <t>center</t>
        </is>
      </c>
      <c r="P669" t="n">
        <v/>
      </c>
      <c r="R669" t="b">
        <v>1</v>
      </c>
      <c r="S669" t="inlineStr">
        <is>
          <t>G000040</t>
        </is>
      </c>
      <c r="T669" t="inlineStr">
        <is>
          <t>Horizontal</t>
        </is>
      </c>
      <c r="U669" t="n">
        <v>7</v>
      </c>
      <c r="V669" t="b">
        <v>1</v>
      </c>
      <c r="W669" t="inlineStr">
        <is>
          <t>Assumptions Sheet!D49:J49</t>
        </is>
      </c>
      <c r="X669">
        <f>R[0]C[-1]+1</f>
        <v/>
      </c>
    </row>
    <row r="670">
      <c r="A670" t="inlineStr">
        <is>
          <t>Assumptions Sheet</t>
        </is>
      </c>
      <c r="B670" t="inlineStr">
        <is>
          <t>H49</t>
        </is>
      </c>
      <c r="C670" t="n">
        <v>49</v>
      </c>
      <c r="D670" t="n">
        <v>8</v>
      </c>
      <c r="E670" t="inlineStr">
        <is>
          <t>Calculation</t>
        </is>
      </c>
      <c r="F670" t="inlineStr">
        <is>
          <t>'=G49+1</t>
        </is>
      </c>
      <c r="G670" t="n">
        <v>2015</v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11</v>
      </c>
      <c r="M670" t="inlineStr">
        <is>
          <t>Values must be of type &lt;class 'str'&gt;</t>
        </is>
      </c>
      <c r="N670" t="inlineStr">
        <is>
          <t>Values must be of type &lt;class 'str'&gt;</t>
        </is>
      </c>
      <c r="O670" t="inlineStr">
        <is>
          <t>center</t>
        </is>
      </c>
      <c r="P670" t="n">
        <v/>
      </c>
      <c r="R670" t="b">
        <v>1</v>
      </c>
      <c r="S670" t="inlineStr">
        <is>
          <t>G000040</t>
        </is>
      </c>
      <c r="T670" t="inlineStr">
        <is>
          <t>Horizontal</t>
        </is>
      </c>
      <c r="U670" t="n">
        <v>7</v>
      </c>
      <c r="V670" t="b">
        <v>1</v>
      </c>
      <c r="W670" t="inlineStr">
        <is>
          <t>Assumptions Sheet!D49:J49</t>
        </is>
      </c>
      <c r="X670">
        <f>R[0]C[-1]+1</f>
        <v/>
      </c>
    </row>
    <row r="671">
      <c r="A671" t="inlineStr">
        <is>
          <t>Assumptions Sheet</t>
        </is>
      </c>
      <c r="B671" t="inlineStr">
        <is>
          <t>I49</t>
        </is>
      </c>
      <c r="C671" t="n">
        <v>49</v>
      </c>
      <c r="D671" t="n">
        <v>9</v>
      </c>
      <c r="E671" t="inlineStr">
        <is>
          <t>Calculation</t>
        </is>
      </c>
      <c r="F671" t="inlineStr">
        <is>
          <t>'=H49+1</t>
        </is>
      </c>
      <c r="G671" t="n">
        <v>2016</v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11</v>
      </c>
      <c r="M671" t="inlineStr">
        <is>
          <t>Values must be of type &lt;class 'str'&gt;</t>
        </is>
      </c>
      <c r="N671" t="inlineStr">
        <is>
          <t>Values must be of type &lt;class 'str'&gt;</t>
        </is>
      </c>
      <c r="O671" t="inlineStr">
        <is>
          <t>center</t>
        </is>
      </c>
      <c r="P671" t="n">
        <v/>
      </c>
      <c r="R671" t="b">
        <v>1</v>
      </c>
      <c r="S671" t="inlineStr">
        <is>
          <t>G000040</t>
        </is>
      </c>
      <c r="T671" t="inlineStr">
        <is>
          <t>Horizontal</t>
        </is>
      </c>
      <c r="U671" t="n">
        <v>7</v>
      </c>
      <c r="V671" t="b">
        <v>1</v>
      </c>
      <c r="W671" t="inlineStr">
        <is>
          <t>Assumptions Sheet!D49:J49</t>
        </is>
      </c>
      <c r="X671">
        <f>R[0]C[-1]+1</f>
        <v/>
      </c>
    </row>
    <row r="672">
      <c r="A672" t="inlineStr">
        <is>
          <t>Assumptions Sheet</t>
        </is>
      </c>
      <c r="B672" t="inlineStr">
        <is>
          <t>J49</t>
        </is>
      </c>
      <c r="C672" t="n">
        <v>49</v>
      </c>
      <c r="D672" t="n">
        <v>10</v>
      </c>
      <c r="E672" t="inlineStr">
        <is>
          <t>Output</t>
        </is>
      </c>
      <c r="F672" t="inlineStr">
        <is>
          <t>'=I49+1</t>
        </is>
      </c>
      <c r="G672" t="n">
        <v>2017</v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11</v>
      </c>
      <c r="M672" t="inlineStr">
        <is>
          <t>Values must be of type &lt;class 'str'&gt;</t>
        </is>
      </c>
      <c r="N672" t="inlineStr">
        <is>
          <t>Values must be of type &lt;class 'str'&gt;</t>
        </is>
      </c>
      <c r="O672" t="inlineStr">
        <is>
          <t>center</t>
        </is>
      </c>
      <c r="P672" t="n">
        <v/>
      </c>
      <c r="R672" t="b">
        <v>1</v>
      </c>
      <c r="S672" t="inlineStr">
        <is>
          <t>G000040</t>
        </is>
      </c>
      <c r="T672" t="inlineStr">
        <is>
          <t>Horizontal</t>
        </is>
      </c>
      <c r="U672" t="n">
        <v>7</v>
      </c>
      <c r="V672" t="b">
        <v>1</v>
      </c>
      <c r="W672" t="inlineStr">
        <is>
          <t>Assumptions Sheet!D49:J49</t>
        </is>
      </c>
      <c r="X672">
        <f>R[0]C[-1]+1</f>
        <v/>
      </c>
    </row>
    <row r="673">
      <c r="A673" t="inlineStr">
        <is>
          <t>Assumptions Sheet</t>
        </is>
      </c>
      <c r="B673" t="inlineStr">
        <is>
          <t>B50</t>
        </is>
      </c>
      <c r="C673" t="n">
        <v>50</v>
      </c>
      <c r="D673" t="n">
        <v>2</v>
      </c>
      <c r="E673" t="inlineStr">
        <is>
          <t>Input</t>
        </is>
      </c>
      <c r="F673" t="n">
        <v/>
      </c>
      <c r="G673" t="inlineStr">
        <is>
          <t>Aircraft and engine rentals</t>
        </is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11</v>
      </c>
      <c r="M673" t="inlineStr">
        <is>
          <t>Values must be of type &lt;class 'str'&gt;</t>
        </is>
      </c>
      <c r="N673" t="inlineStr">
        <is>
          <t>Values must be of type &lt;class 'str'&gt;</t>
        </is>
      </c>
      <c r="O673" t="inlineStr">
        <is>
          <t>left</t>
        </is>
      </c>
      <c r="P673" t="n">
        <v/>
      </c>
      <c r="R673" t="b">
        <v>1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</row>
    <row r="674">
      <c r="A674" t="inlineStr">
        <is>
          <t>Assumptions Sheet</t>
        </is>
      </c>
      <c r="B674" t="inlineStr">
        <is>
          <t>C50</t>
        </is>
      </c>
      <c r="C674" t="n">
        <v>50</v>
      </c>
      <c r="D674" t="n">
        <v>3</v>
      </c>
      <c r="E674" t="inlineStr">
        <is>
          <t>Input</t>
        </is>
      </c>
      <c r="F674" t="n">
        <v/>
      </c>
      <c r="G674" t="n">
        <v>4703.81</v>
      </c>
      <c r="H674" t="inlineStr"/>
      <c r="I674" t="inlineStr">
        <is>
          <t>#,##0</t>
        </is>
      </c>
      <c r="J674" t="b">
        <v>0</v>
      </c>
      <c r="K674" t="b">
        <v>0</v>
      </c>
      <c r="L674" t="n">
        <v>11</v>
      </c>
      <c r="M674" t="inlineStr">
        <is>
          <t>Values must be of type &lt;class 'str'&gt;</t>
        </is>
      </c>
      <c r="N674" t="inlineStr">
        <is>
          <t>Values must be of type &lt;class 'str'&gt;</t>
        </is>
      </c>
      <c r="O674" t="inlineStr">
        <is>
          <t>center</t>
        </is>
      </c>
      <c r="P674" t="n">
        <v/>
      </c>
      <c r="R674" t="b">
        <v>1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</row>
    <row r="675">
      <c r="A675" t="inlineStr">
        <is>
          <t>Assumptions Sheet</t>
        </is>
      </c>
      <c r="B675" t="inlineStr">
        <is>
          <t>D50</t>
        </is>
      </c>
      <c r="C675" t="n">
        <v>50</v>
      </c>
      <c r="D675" t="n">
        <v>4</v>
      </c>
      <c r="E675" t="inlineStr">
        <is>
          <t>Input</t>
        </is>
      </c>
      <c r="F675" t="n">
        <v/>
      </c>
      <c r="G675" t="n">
        <v>6372.43</v>
      </c>
      <c r="H675" t="inlineStr"/>
      <c r="I675" t="inlineStr">
        <is>
          <t>#,##0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Values must be of type &lt;class 'str'&gt;</t>
        </is>
      </c>
      <c r="O675" t="inlineStr">
        <is>
          <t>center</t>
        </is>
      </c>
      <c r="P675" t="n">
        <v/>
      </c>
      <c r="R675" t="b">
        <v>1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</row>
    <row r="676">
      <c r="A676" t="inlineStr">
        <is>
          <t>Assumptions Sheet</t>
        </is>
      </c>
      <c r="B676" t="inlineStr">
        <is>
          <t>E50</t>
        </is>
      </c>
      <c r="C676" t="n">
        <v>50</v>
      </c>
      <c r="D676" t="n">
        <v>5</v>
      </c>
      <c r="E676" t="inlineStr">
        <is>
          <t>Input</t>
        </is>
      </c>
      <c r="F676" t="n">
        <v/>
      </c>
      <c r="G676" t="n">
        <v>10634.4</v>
      </c>
      <c r="H676" t="inlineStr"/>
      <c r="I676" t="inlineStr">
        <is>
          <t>#,##0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Values must be of type &lt;class 'str'&gt;</t>
        </is>
      </c>
      <c r="O676" t="inlineStr">
        <is>
          <t>center</t>
        </is>
      </c>
      <c r="P676" t="n">
        <v/>
      </c>
      <c r="R676" t="b">
        <v>1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</row>
    <row r="677">
      <c r="A677" t="inlineStr">
        <is>
          <t>Assumptions Sheet</t>
        </is>
      </c>
      <c r="B677" t="inlineStr">
        <is>
          <t>F50</t>
        </is>
      </c>
      <c r="C677" t="n">
        <v>50</v>
      </c>
      <c r="D677" t="n">
        <v>6</v>
      </c>
      <c r="E677" t="inlineStr">
        <is>
          <t>Input</t>
        </is>
      </c>
      <c r="F677" t="n">
        <v/>
      </c>
      <c r="G677" t="n">
        <v>17149.51</v>
      </c>
      <c r="H677" t="inlineStr"/>
      <c r="I677" t="inlineStr">
        <is>
          <t>#,##0</t>
        </is>
      </c>
      <c r="J677" t="b">
        <v>0</v>
      </c>
      <c r="K677" t="b">
        <v>0</v>
      </c>
      <c r="L677" t="n">
        <v>11</v>
      </c>
      <c r="M677" t="inlineStr">
        <is>
          <t>Values must be of type &lt;class 'str'&gt;</t>
        </is>
      </c>
      <c r="N677" t="inlineStr">
        <is>
          <t>Values must be of type &lt;class 'str'&gt;</t>
        </is>
      </c>
      <c r="O677" t="inlineStr">
        <is>
          <t>center</t>
        </is>
      </c>
      <c r="P677" t="n">
        <v/>
      </c>
      <c r="R677" t="b">
        <v>1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</row>
    <row r="678">
      <c r="A678" t="inlineStr">
        <is>
          <t>Assumptions Sheet</t>
        </is>
      </c>
      <c r="B678" t="inlineStr">
        <is>
          <t>G50</t>
        </is>
      </c>
      <c r="C678" t="n">
        <v>50</v>
      </c>
      <c r="D678" t="n">
        <v>7</v>
      </c>
      <c r="E678" t="inlineStr">
        <is>
          <t>Input</t>
        </is>
      </c>
      <c r="F678" t="n">
        <v/>
      </c>
      <c r="G678" t="n">
        <v>20310.31</v>
      </c>
      <c r="H678" t="inlineStr"/>
      <c r="I678" t="inlineStr">
        <is>
          <t>#,##0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Values must be of type &lt;class 'str'&gt;</t>
        </is>
      </c>
      <c r="O678" t="inlineStr">
        <is>
          <t>center</t>
        </is>
      </c>
      <c r="P678" t="n">
        <v/>
      </c>
      <c r="R678" t="b">
        <v>1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</row>
    <row r="679">
      <c r="A679" t="inlineStr">
        <is>
          <t>Assumptions Sheet</t>
        </is>
      </c>
      <c r="B679" t="inlineStr">
        <is>
          <t>H50</t>
        </is>
      </c>
      <c r="C679" t="n">
        <v>50</v>
      </c>
      <c r="D679" t="n">
        <v>8</v>
      </c>
      <c r="E679" t="inlineStr">
        <is>
          <t>Calculation</t>
        </is>
      </c>
      <c r="F679" t="inlineStr">
        <is>
          <t>'=H52-H51</t>
        </is>
      </c>
      <c r="G679" t="n">
        <v>23075.5</v>
      </c>
      <c r="H679" t="inlineStr"/>
      <c r="I679" t="inlineStr">
        <is>
          <t>#,##0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Values must be of type &lt;class 'str'&gt;</t>
        </is>
      </c>
      <c r="O679" t="inlineStr">
        <is>
          <t>center</t>
        </is>
      </c>
      <c r="P679" t="n">
        <v/>
      </c>
      <c r="R679" t="b">
        <v>1</v>
      </c>
      <c r="S679" t="inlineStr">
        <is>
          <t>G000041</t>
        </is>
      </c>
      <c r="T679" t="inlineStr">
        <is>
          <t>Horizontal</t>
        </is>
      </c>
      <c r="U679" t="n">
        <v>3</v>
      </c>
      <c r="V679" t="b">
        <v>1</v>
      </c>
      <c r="W679" t="inlineStr">
        <is>
          <t>Assumptions Sheet!H50:J50</t>
        </is>
      </c>
      <c r="X679">
        <f>R[2]C[0]-R[1]C[0]</f>
        <v/>
      </c>
    </row>
    <row r="680">
      <c r="A680" t="inlineStr">
        <is>
          <t>Assumptions Sheet</t>
        </is>
      </c>
      <c r="B680" t="inlineStr">
        <is>
          <t>I50</t>
        </is>
      </c>
      <c r="C680" t="n">
        <v>50</v>
      </c>
      <c r="D680" t="n">
        <v>9</v>
      </c>
      <c r="E680" t="inlineStr">
        <is>
          <t>Calculation</t>
        </is>
      </c>
      <c r="F680" t="inlineStr">
        <is>
          <t>'=I52-I51</t>
        </is>
      </c>
      <c r="G680" t="n">
        <v>29687.48</v>
      </c>
      <c r="H680" t="inlineStr"/>
      <c r="I680" t="inlineStr">
        <is>
          <t>#,##0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Values must be of type &lt;class 'str'&gt;</t>
        </is>
      </c>
      <c r="O680" t="inlineStr">
        <is>
          <t>center</t>
        </is>
      </c>
      <c r="P680" t="n">
        <v/>
      </c>
      <c r="R680" t="b">
        <v>1</v>
      </c>
      <c r="S680" t="inlineStr">
        <is>
          <t>G000041</t>
        </is>
      </c>
      <c r="T680" t="inlineStr">
        <is>
          <t>Horizontal</t>
        </is>
      </c>
      <c r="U680" t="n">
        <v>3</v>
      </c>
      <c r="V680" t="b">
        <v>1</v>
      </c>
      <c r="W680" t="inlineStr">
        <is>
          <t>Assumptions Sheet!H50:J50</t>
        </is>
      </c>
      <c r="X680">
        <f>R[2]C[0]-R[1]C[0]</f>
        <v/>
      </c>
    </row>
    <row r="681">
      <c r="A681" t="inlineStr">
        <is>
          <t>Assumptions Sheet</t>
        </is>
      </c>
      <c r="B681" t="inlineStr">
        <is>
          <t>J50</t>
        </is>
      </c>
      <c r="C681" t="n">
        <v>50</v>
      </c>
      <c r="D681" t="n">
        <v>10</v>
      </c>
      <c r="E681" t="inlineStr">
        <is>
          <t>Calculation</t>
        </is>
      </c>
      <c r="F681" t="inlineStr">
        <is>
          <t>'=J52-J51</t>
        </is>
      </c>
      <c r="G681" t="n">
        <v>36585.73</v>
      </c>
      <c r="H681" t="inlineStr"/>
      <c r="I681" t="inlineStr">
        <is>
          <t>#,##0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Values must be of type &lt;class 'str'&gt;</t>
        </is>
      </c>
      <c r="O681" t="inlineStr">
        <is>
          <t>center</t>
        </is>
      </c>
      <c r="P681" t="n">
        <v/>
      </c>
      <c r="R681" t="b">
        <v>1</v>
      </c>
      <c r="S681" t="inlineStr">
        <is>
          <t>G000041</t>
        </is>
      </c>
      <c r="T681" t="inlineStr">
        <is>
          <t>Horizontal</t>
        </is>
      </c>
      <c r="U681" t="n">
        <v>3</v>
      </c>
      <c r="V681" t="b">
        <v>1</v>
      </c>
      <c r="W681" t="inlineStr">
        <is>
          <t>Assumptions Sheet!H50:J50</t>
        </is>
      </c>
      <c r="X681">
        <f>R[2]C[0]-R[1]C[0]</f>
        <v/>
      </c>
    </row>
    <row r="682">
      <c r="A682" t="inlineStr">
        <is>
          <t>Assumptions Sheet</t>
        </is>
      </c>
      <c r="B682" t="inlineStr">
        <is>
          <t>B51</t>
        </is>
      </c>
      <c r="C682" t="n">
        <v>51</v>
      </c>
      <c r="D682" t="n">
        <v>2</v>
      </c>
      <c r="E682" t="inlineStr">
        <is>
          <t>Input</t>
        </is>
      </c>
      <c r="F682" t="n">
        <v/>
      </c>
      <c r="G682" t="inlineStr">
        <is>
          <t>Cash and non-cash
incentives</t>
        </is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11</v>
      </c>
      <c r="M682" t="inlineStr">
        <is>
          <t>Values must be of type &lt;class 'str'&gt;</t>
        </is>
      </c>
      <c r="N682" t="inlineStr">
        <is>
          <t>Values must be of type &lt;class 'str'&gt;</t>
        </is>
      </c>
      <c r="O682" t="inlineStr">
        <is>
          <t>left</t>
        </is>
      </c>
      <c r="P682" t="n">
        <v/>
      </c>
      <c r="R682" t="b">
        <v>1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</row>
    <row r="683">
      <c r="A683" t="inlineStr">
        <is>
          <t>Assumptions Sheet</t>
        </is>
      </c>
      <c r="B683" t="inlineStr">
        <is>
          <t>C51</t>
        </is>
      </c>
      <c r="C683" t="n">
        <v>51</v>
      </c>
      <c r="D683" t="n">
        <v>3</v>
      </c>
      <c r="E683" t="inlineStr">
        <is>
          <t>Input</t>
        </is>
      </c>
      <c r="F683" t="n">
        <v/>
      </c>
      <c r="G683" t="n">
        <v>-1940.95</v>
      </c>
      <c r="H683" t="inlineStr"/>
      <c r="I683" t="inlineStr">
        <is>
          <t>#,##0</t>
        </is>
      </c>
      <c r="J683" t="b">
        <v>0</v>
      </c>
      <c r="K683" t="b">
        <v>0</v>
      </c>
      <c r="L683" t="n">
        <v>11</v>
      </c>
      <c r="M683" t="inlineStr">
        <is>
          <t>Values must be of type &lt;class 'str'&gt;</t>
        </is>
      </c>
      <c r="N683" t="inlineStr">
        <is>
          <t>Values must be of type &lt;class 'str'&gt;</t>
        </is>
      </c>
      <c r="O683" t="inlineStr">
        <is>
          <t>center</t>
        </is>
      </c>
      <c r="P683" t="n">
        <v/>
      </c>
      <c r="R683" t="b">
        <v>1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</row>
    <row r="684">
      <c r="A684" t="inlineStr">
        <is>
          <t>Assumptions Sheet</t>
        </is>
      </c>
      <c r="B684" t="inlineStr">
        <is>
          <t>D51</t>
        </is>
      </c>
      <c r="C684" t="n">
        <v>51</v>
      </c>
      <c r="D684" t="n">
        <v>4</v>
      </c>
      <c r="E684" t="inlineStr">
        <is>
          <t>Input</t>
        </is>
      </c>
      <c r="F684" t="n">
        <v/>
      </c>
      <c r="G684" t="n">
        <v>-2273.94</v>
      </c>
      <c r="H684" t="inlineStr"/>
      <c r="I684" t="inlineStr">
        <is>
          <t>#,##0</t>
        </is>
      </c>
      <c r="J684" t="b">
        <v>0</v>
      </c>
      <c r="K684" t="b">
        <v>0</v>
      </c>
      <c r="L684" t="n">
        <v>11</v>
      </c>
      <c r="M684" t="inlineStr">
        <is>
          <t>Values must be of type &lt;class 'str'&gt;</t>
        </is>
      </c>
      <c r="N684" t="inlineStr">
        <is>
          <t>Values must be of type &lt;class 'str'&gt;</t>
        </is>
      </c>
      <c r="O684" t="inlineStr">
        <is>
          <t>center</t>
        </is>
      </c>
      <c r="P684" t="n">
        <v/>
      </c>
      <c r="R684" t="b">
        <v>1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</row>
    <row r="685">
      <c r="A685" t="inlineStr">
        <is>
          <t>Assumptions Sheet</t>
        </is>
      </c>
      <c r="B685" t="inlineStr">
        <is>
          <t>E51</t>
        </is>
      </c>
      <c r="C685" t="n">
        <v>51</v>
      </c>
      <c r="D685" t="n">
        <v>5</v>
      </c>
      <c r="E685" t="inlineStr">
        <is>
          <t>Input</t>
        </is>
      </c>
      <c r="F685" t="n">
        <v/>
      </c>
      <c r="G685" t="n">
        <v>-2627.25</v>
      </c>
      <c r="H685" t="inlineStr"/>
      <c r="I685" t="inlineStr">
        <is>
          <t>#,##0</t>
        </is>
      </c>
      <c r="J685" t="b">
        <v>0</v>
      </c>
      <c r="K685" t="b">
        <v>0</v>
      </c>
      <c r="L685" t="n">
        <v>11</v>
      </c>
      <c r="M685" t="inlineStr">
        <is>
          <t>Values must be of type &lt;class 'str'&gt;</t>
        </is>
      </c>
      <c r="N685" t="inlineStr">
        <is>
          <t>Values must be of type &lt;class 'str'&gt;</t>
        </is>
      </c>
      <c r="O685" t="inlineStr">
        <is>
          <t>center</t>
        </is>
      </c>
      <c r="P685" t="n">
        <v/>
      </c>
      <c r="R685" t="b">
        <v>1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</row>
    <row r="686">
      <c r="A686" t="inlineStr">
        <is>
          <t>Assumptions Sheet</t>
        </is>
      </c>
      <c r="B686" t="inlineStr">
        <is>
          <t>F51</t>
        </is>
      </c>
      <c r="C686" t="n">
        <v>51</v>
      </c>
      <c r="D686" t="n">
        <v>6</v>
      </c>
      <c r="E686" t="inlineStr">
        <is>
          <t>Input</t>
        </is>
      </c>
      <c r="F686" t="n">
        <v/>
      </c>
      <c r="G686" t="n">
        <v>-3588.03</v>
      </c>
      <c r="H686" t="inlineStr"/>
      <c r="I686" t="inlineStr">
        <is>
          <t>#,##0</t>
        </is>
      </c>
      <c r="J686" t="b">
        <v>0</v>
      </c>
      <c r="K686" t="b">
        <v>0</v>
      </c>
      <c r="L686" t="n">
        <v>11</v>
      </c>
      <c r="M686" t="inlineStr">
        <is>
          <t>Values must be of type &lt;class 'str'&gt;</t>
        </is>
      </c>
      <c r="N686" t="inlineStr">
        <is>
          <t>Values must be of type &lt;class 'str'&gt;</t>
        </is>
      </c>
      <c r="O686" t="inlineStr">
        <is>
          <t>center</t>
        </is>
      </c>
      <c r="P686" t="n">
        <v/>
      </c>
      <c r="R686" t="b">
        <v>1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</row>
    <row r="687">
      <c r="A687" t="inlineStr">
        <is>
          <t>Assumptions Sheet</t>
        </is>
      </c>
      <c r="B687" t="inlineStr">
        <is>
          <t>G51</t>
        </is>
      </c>
      <c r="C687" t="n">
        <v>51</v>
      </c>
      <c r="D687" t="n">
        <v>7</v>
      </c>
      <c r="E687" t="inlineStr">
        <is>
          <t>Input</t>
        </is>
      </c>
      <c r="F687" t="n">
        <v/>
      </c>
      <c r="G687" t="n">
        <v>-3607.17</v>
      </c>
      <c r="H687" t="inlineStr"/>
      <c r="I687" t="inlineStr">
        <is>
          <t>#,##0</t>
        </is>
      </c>
      <c r="J687" t="b">
        <v>0</v>
      </c>
      <c r="K687" t="b">
        <v>0</v>
      </c>
      <c r="L687" t="n">
        <v>11</v>
      </c>
      <c r="M687" t="inlineStr">
        <is>
          <t>Values must be of type &lt;class 'str'&gt;</t>
        </is>
      </c>
      <c r="N687" t="inlineStr">
        <is>
          <t>Values must be of type &lt;class 'str'&gt;</t>
        </is>
      </c>
      <c r="O687" t="inlineStr">
        <is>
          <t>center</t>
        </is>
      </c>
      <c r="P687" t="n">
        <v/>
      </c>
      <c r="R687" t="b">
        <v>1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</row>
    <row r="688">
      <c r="A688" t="inlineStr">
        <is>
          <t>Assumptions Sheet</t>
        </is>
      </c>
      <c r="B688" t="inlineStr">
        <is>
          <t>H51</t>
        </is>
      </c>
      <c r="C688" t="n">
        <v>51</v>
      </c>
      <c r="D688" t="n">
        <v>8</v>
      </c>
      <c r="E688" t="inlineStr">
        <is>
          <t>Input</t>
        </is>
      </c>
      <c r="F688" t="n">
        <v/>
      </c>
      <c r="G688" t="n">
        <v>-3553.12</v>
      </c>
      <c r="H688" t="inlineStr"/>
      <c r="I688" t="inlineStr">
        <is>
          <t>#,##0</t>
        </is>
      </c>
      <c r="J688" t="b">
        <v>0</v>
      </c>
      <c r="K688" t="b">
        <v>0</v>
      </c>
      <c r="L688" t="n">
        <v>11</v>
      </c>
      <c r="M688" t="inlineStr">
        <is>
          <t>Values must be of type &lt;class 'str'&gt;</t>
        </is>
      </c>
      <c r="N688" t="inlineStr">
        <is>
          <t>Values must be of type &lt;class 'str'&gt;</t>
        </is>
      </c>
      <c r="O688" t="inlineStr">
        <is>
          <t>center</t>
        </is>
      </c>
      <c r="P688" t="n">
        <v/>
      </c>
      <c r="R688" t="b">
        <v>1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</row>
    <row r="689">
      <c r="A689" t="inlineStr">
        <is>
          <t>Assumptions Sheet</t>
        </is>
      </c>
      <c r="B689" t="inlineStr">
        <is>
          <t>I51</t>
        </is>
      </c>
      <c r="C689" t="n">
        <v>51</v>
      </c>
      <c r="D689" t="n">
        <v>9</v>
      </c>
      <c r="E689" t="inlineStr">
        <is>
          <t>Input</t>
        </is>
      </c>
      <c r="F689" t="n">
        <v/>
      </c>
      <c r="G689" t="n">
        <v>-3565.96</v>
      </c>
      <c r="H689" t="inlineStr"/>
      <c r="I689" t="inlineStr">
        <is>
          <t>#,##0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Values must be of type &lt;class 'str'&gt;</t>
        </is>
      </c>
      <c r="O689" t="inlineStr">
        <is>
          <t>center</t>
        </is>
      </c>
      <c r="P689" t="n">
        <v/>
      </c>
      <c r="R689" t="b">
        <v>1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</row>
    <row r="690">
      <c r="A690" t="inlineStr">
        <is>
          <t>Assumptions Sheet</t>
        </is>
      </c>
      <c r="B690" t="inlineStr">
        <is>
          <t>J51</t>
        </is>
      </c>
      <c r="C690" t="n">
        <v>51</v>
      </c>
      <c r="D690" t="n">
        <v>10</v>
      </c>
      <c r="E690" t="inlineStr">
        <is>
          <t>Input</t>
        </is>
      </c>
      <c r="F690" t="n">
        <v/>
      </c>
      <c r="G690" t="n">
        <v>-5332</v>
      </c>
      <c r="H690" t="inlineStr"/>
      <c r="I690" t="inlineStr">
        <is>
          <t>#,##0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Values must be of type &lt;class 'str'&gt;</t>
        </is>
      </c>
      <c r="O690" t="inlineStr">
        <is>
          <t>center</t>
        </is>
      </c>
      <c r="P690" t="n">
        <v/>
      </c>
      <c r="R690" t="b">
        <v>1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</row>
    <row r="691">
      <c r="A691" t="inlineStr">
        <is>
          <t>Assumptions Sheet</t>
        </is>
      </c>
      <c r="B691" t="inlineStr">
        <is>
          <t>AA51</t>
        </is>
      </c>
      <c r="C691" t="n">
        <v>51</v>
      </c>
      <c r="D691" t="n">
        <v>27</v>
      </c>
      <c r="E691" t="inlineStr">
        <is>
          <t>Input</t>
        </is>
      </c>
      <c r="F691" t="n">
        <v/>
      </c>
      <c r="G691" t="n">
        <v>354.3129666782608</v>
      </c>
      <c r="H691" t="inlineStr"/>
      <c r="I691" t="inlineStr">
        <is>
          <t>0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Values must be of type &lt;class 'str'&gt;</t>
        </is>
      </c>
      <c r="O691" t="n">
        <v/>
      </c>
      <c r="P691" t="n">
        <v/>
      </c>
      <c r="R691" t="b">
        <v>1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</row>
    <row r="692">
      <c r="A692" t="inlineStr">
        <is>
          <t>Assumptions Sheet</t>
        </is>
      </c>
      <c r="B692" t="inlineStr">
        <is>
          <t>B52</t>
        </is>
      </c>
      <c r="C692" t="n">
        <v>52</v>
      </c>
      <c r="D692" t="n">
        <v>2</v>
      </c>
      <c r="E692" t="inlineStr">
        <is>
          <t>Input</t>
        </is>
      </c>
      <c r="F692" t="n">
        <v/>
      </c>
      <c r="G692" t="inlineStr">
        <is>
          <t>Aircraft and engine rentals (net)</t>
        </is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Values must be of type &lt;class 'str'&gt;</t>
        </is>
      </c>
      <c r="O692" t="inlineStr">
        <is>
          <t>left</t>
        </is>
      </c>
      <c r="P692" t="n">
        <v/>
      </c>
      <c r="R692" t="b">
        <v>1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</row>
    <row r="693">
      <c r="A693" t="inlineStr">
        <is>
          <t>Assumptions Sheet</t>
        </is>
      </c>
      <c r="B693" t="inlineStr">
        <is>
          <t>C52</t>
        </is>
      </c>
      <c r="C693" t="n">
        <v>52</v>
      </c>
      <c r="D693" t="n">
        <v>3</v>
      </c>
      <c r="E693" t="inlineStr">
        <is>
          <t>Input</t>
        </is>
      </c>
      <c r="F693" t="n">
        <v/>
      </c>
      <c r="G693" t="n">
        <v>2762.86</v>
      </c>
      <c r="H693" t="inlineStr"/>
      <c r="I693" t="inlineStr">
        <is>
          <t>#,##0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Values must be of type &lt;class 'str'&gt;</t>
        </is>
      </c>
      <c r="O693" t="inlineStr">
        <is>
          <t>center</t>
        </is>
      </c>
      <c r="P693" t="n">
        <v/>
      </c>
      <c r="R693" t="b">
        <v>1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</row>
    <row r="694">
      <c r="A694" t="inlineStr">
        <is>
          <t>Assumptions Sheet</t>
        </is>
      </c>
      <c r="B694" t="inlineStr">
        <is>
          <t>D52</t>
        </is>
      </c>
      <c r="C694" t="n">
        <v>52</v>
      </c>
      <c r="D694" t="n">
        <v>4</v>
      </c>
      <c r="E694" t="inlineStr">
        <is>
          <t>Input</t>
        </is>
      </c>
      <c r="F694" t="n">
        <v/>
      </c>
      <c r="G694" t="n">
        <v>4098.49</v>
      </c>
      <c r="H694" t="inlineStr"/>
      <c r="I694" t="inlineStr">
        <is>
          <t>#,##0</t>
        </is>
      </c>
      <c r="J694" t="b">
        <v>0</v>
      </c>
      <c r="K694" t="b">
        <v>0</v>
      </c>
      <c r="L694" t="n">
        <v>11</v>
      </c>
      <c r="M694" t="inlineStr">
        <is>
          <t>Values must be of type &lt;class 'str'&gt;</t>
        </is>
      </c>
      <c r="N694" t="inlineStr">
        <is>
          <t>Values must be of type &lt;class 'str'&gt;</t>
        </is>
      </c>
      <c r="O694" t="inlineStr">
        <is>
          <t>center</t>
        </is>
      </c>
      <c r="P694" t="n">
        <v/>
      </c>
      <c r="R694" t="b">
        <v>1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</row>
    <row r="695">
      <c r="A695" t="inlineStr">
        <is>
          <t>Assumptions Sheet</t>
        </is>
      </c>
      <c r="B695" t="inlineStr">
        <is>
          <t>E52</t>
        </is>
      </c>
      <c r="C695" t="n">
        <v>52</v>
      </c>
      <c r="D695" t="n">
        <v>5</v>
      </c>
      <c r="E695" t="inlineStr">
        <is>
          <t>Input</t>
        </is>
      </c>
      <c r="F695" t="n">
        <v/>
      </c>
      <c r="G695" t="n">
        <v>8007.15</v>
      </c>
      <c r="H695" t="inlineStr"/>
      <c r="I695" t="inlineStr">
        <is>
          <t>#,##0</t>
        </is>
      </c>
      <c r="J695" t="b">
        <v>0</v>
      </c>
      <c r="K695" t="b">
        <v>0</v>
      </c>
      <c r="L695" t="n">
        <v>11</v>
      </c>
      <c r="M695" t="inlineStr">
        <is>
          <t>Values must be of type &lt;class 'str'&gt;</t>
        </is>
      </c>
      <c r="N695" t="inlineStr">
        <is>
          <t>Values must be of type &lt;class 'str'&gt;</t>
        </is>
      </c>
      <c r="O695" t="inlineStr">
        <is>
          <t>center</t>
        </is>
      </c>
      <c r="P695" t="n">
        <v/>
      </c>
      <c r="R695" t="b">
        <v>1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</row>
    <row r="696">
      <c r="A696" t="inlineStr">
        <is>
          <t>Assumptions Sheet</t>
        </is>
      </c>
      <c r="B696" t="inlineStr">
        <is>
          <t>F52</t>
        </is>
      </c>
      <c r="C696" t="n">
        <v>52</v>
      </c>
      <c r="D696" t="n">
        <v>6</v>
      </c>
      <c r="E696" t="inlineStr">
        <is>
          <t>Input</t>
        </is>
      </c>
      <c r="F696" t="n">
        <v/>
      </c>
      <c r="G696" t="n">
        <v>13561.48</v>
      </c>
      <c r="H696" t="inlineStr"/>
      <c r="I696" t="inlineStr">
        <is>
          <t>#,##0</t>
        </is>
      </c>
      <c r="J696" t="b">
        <v>0</v>
      </c>
      <c r="K696" t="b">
        <v>0</v>
      </c>
      <c r="L696" t="n">
        <v>11</v>
      </c>
      <c r="M696" t="inlineStr">
        <is>
          <t>Values must be of type &lt;class 'str'&gt;</t>
        </is>
      </c>
      <c r="N696" t="inlineStr">
        <is>
          <t>Values must be of type &lt;class 'str'&gt;</t>
        </is>
      </c>
      <c r="O696" t="inlineStr">
        <is>
          <t>center</t>
        </is>
      </c>
      <c r="P696" t="n">
        <v/>
      </c>
      <c r="R696" t="b">
        <v>1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</row>
    <row r="697">
      <c r="A697" t="inlineStr">
        <is>
          <t>Assumptions Sheet</t>
        </is>
      </c>
      <c r="B697" t="inlineStr">
        <is>
          <t>G52</t>
        </is>
      </c>
      <c r="C697" t="n">
        <v>52</v>
      </c>
      <c r="D697" t="n">
        <v>7</v>
      </c>
      <c r="E697" t="inlineStr">
        <is>
          <t>Input</t>
        </is>
      </c>
      <c r="F697" t="n">
        <v/>
      </c>
      <c r="G697" t="n">
        <v>16703.14</v>
      </c>
      <c r="H697" t="inlineStr"/>
      <c r="I697" t="inlineStr">
        <is>
          <t>#,##0</t>
        </is>
      </c>
      <c r="J697" t="b">
        <v>0</v>
      </c>
      <c r="K697" t="b">
        <v>0</v>
      </c>
      <c r="L697" t="n">
        <v>11</v>
      </c>
      <c r="M697" t="inlineStr">
        <is>
          <t>Values must be of type &lt;class 'str'&gt;</t>
        </is>
      </c>
      <c r="N697" t="inlineStr">
        <is>
          <t>Values must be of type &lt;class 'str'&gt;</t>
        </is>
      </c>
      <c r="O697" t="inlineStr">
        <is>
          <t>center</t>
        </is>
      </c>
      <c r="P697" t="n">
        <v/>
      </c>
      <c r="R697" t="b">
        <v>1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</row>
    <row r="698">
      <c r="A698" t="inlineStr">
        <is>
          <t>Assumptions Sheet</t>
        </is>
      </c>
      <c r="B698" t="inlineStr">
        <is>
          <t>H52</t>
        </is>
      </c>
      <c r="C698" t="n">
        <v>52</v>
      </c>
      <c r="D698" t="n">
        <v>8</v>
      </c>
      <c r="E698" t="inlineStr">
        <is>
          <t>Input</t>
        </is>
      </c>
      <c r="F698" t="n">
        <v/>
      </c>
      <c r="G698" t="n">
        <v>19522.38</v>
      </c>
      <c r="H698" t="inlineStr"/>
      <c r="I698" t="inlineStr">
        <is>
          <t>#,##0</t>
        </is>
      </c>
      <c r="J698" t="b">
        <v>0</v>
      </c>
      <c r="K698" t="b">
        <v>0</v>
      </c>
      <c r="L698" t="n">
        <v>11</v>
      </c>
      <c r="M698" t="inlineStr">
        <is>
          <t>Values must be of type &lt;class 'str'&gt;</t>
        </is>
      </c>
      <c r="N698" t="inlineStr">
        <is>
          <t>Values must be of type &lt;class 'str'&gt;</t>
        </is>
      </c>
      <c r="O698" t="inlineStr">
        <is>
          <t>center</t>
        </is>
      </c>
      <c r="P698" t="n">
        <v/>
      </c>
      <c r="R698" t="b">
        <v>1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</row>
    <row r="699">
      <c r="A699" t="inlineStr">
        <is>
          <t>Assumptions Sheet</t>
        </is>
      </c>
      <c r="B699" t="inlineStr">
        <is>
          <t>I52</t>
        </is>
      </c>
      <c r="C699" t="n">
        <v>52</v>
      </c>
      <c r="D699" t="n">
        <v>9</v>
      </c>
      <c r="E699" t="inlineStr">
        <is>
          <t>Input</t>
        </is>
      </c>
      <c r="F699" t="n">
        <v/>
      </c>
      <c r="G699" t="n">
        <v>26121.52</v>
      </c>
      <c r="H699" t="inlineStr"/>
      <c r="I699" t="inlineStr">
        <is>
          <t>#,##0</t>
        </is>
      </c>
      <c r="J699" t="b">
        <v>0</v>
      </c>
      <c r="K699" t="b">
        <v>0</v>
      </c>
      <c r="L699" t="n">
        <v>11</v>
      </c>
      <c r="M699" t="inlineStr">
        <is>
          <t>Values must be of type &lt;class 'str'&gt;</t>
        </is>
      </c>
      <c r="N699" t="inlineStr">
        <is>
          <t>Values must be of type &lt;class 'str'&gt;</t>
        </is>
      </c>
      <c r="O699" t="inlineStr">
        <is>
          <t>center</t>
        </is>
      </c>
      <c r="P699" t="n">
        <v/>
      </c>
      <c r="R699" t="b">
        <v>1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</row>
    <row r="700">
      <c r="A700" t="inlineStr">
        <is>
          <t>Assumptions Sheet</t>
        </is>
      </c>
      <c r="B700" t="inlineStr">
        <is>
          <t>J52</t>
        </is>
      </c>
      <c r="C700" t="n">
        <v>52</v>
      </c>
      <c r="D700" t="n">
        <v>10</v>
      </c>
      <c r="E700" t="inlineStr">
        <is>
          <t>Input</t>
        </is>
      </c>
      <c r="F700" t="n">
        <v/>
      </c>
      <c r="G700" t="n">
        <v>31253.73</v>
      </c>
      <c r="H700" t="inlineStr"/>
      <c r="I700" t="inlineStr">
        <is>
          <t>#,##0</t>
        </is>
      </c>
      <c r="J700" t="b">
        <v>0</v>
      </c>
      <c r="K700" t="b">
        <v>0</v>
      </c>
      <c r="L700" t="n">
        <v>11</v>
      </c>
      <c r="M700" t="inlineStr">
        <is>
          <t>Values must be of type &lt;class 'str'&gt;</t>
        </is>
      </c>
      <c r="N700" t="inlineStr">
        <is>
          <t>Values must be of type &lt;class 'str'&gt;</t>
        </is>
      </c>
      <c r="O700" t="inlineStr">
        <is>
          <t>center</t>
        </is>
      </c>
      <c r="P700" t="n">
        <v/>
      </c>
      <c r="R700" t="b">
        <v>1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</row>
    <row r="701">
      <c r="A701" t="inlineStr">
        <is>
          <t>Assumptions Sheet</t>
        </is>
      </c>
      <c r="B701" t="inlineStr">
        <is>
          <t>B53</t>
        </is>
      </c>
      <c r="C701" t="n">
        <v>53</v>
      </c>
      <c r="D701" t="n">
        <v>2</v>
      </c>
      <c r="E701" t="inlineStr">
        <is>
          <t>Input</t>
        </is>
      </c>
      <c r="F701" t="n">
        <v/>
      </c>
      <c r="G701" t="inlineStr">
        <is>
          <t>Finance lease charges (Interest)</t>
        </is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Values must be of type &lt;class 'str'&gt;</t>
        </is>
      </c>
      <c r="O701" t="inlineStr">
        <is>
          <t>left</t>
        </is>
      </c>
      <c r="P701" t="n">
        <v/>
      </c>
      <c r="R701" t="b">
        <v>1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</row>
    <row r="702">
      <c r="A702" t="inlineStr">
        <is>
          <t>Assumptions Sheet</t>
        </is>
      </c>
      <c r="B702" t="inlineStr">
        <is>
          <t>C53</t>
        </is>
      </c>
      <c r="C702" t="n">
        <v>53</v>
      </c>
      <c r="D702" t="n">
        <v>3</v>
      </c>
      <c r="E702" t="inlineStr">
        <is>
          <t>Input</t>
        </is>
      </c>
      <c r="F702" t="n">
        <v/>
      </c>
      <c r="G702" t="n">
        <v>87.77</v>
      </c>
      <c r="H702" t="inlineStr"/>
      <c r="I702" t="inlineStr">
        <is>
          <t>#,##0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Values must be of type &lt;class 'str'&gt;</t>
        </is>
      </c>
      <c r="O702" t="inlineStr">
        <is>
          <t>center</t>
        </is>
      </c>
      <c r="P702" t="n">
        <v/>
      </c>
      <c r="R702" t="b">
        <v>1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</row>
    <row r="703">
      <c r="A703" t="inlineStr">
        <is>
          <t>Assumptions Sheet</t>
        </is>
      </c>
      <c r="B703" t="inlineStr">
        <is>
          <t>D53</t>
        </is>
      </c>
      <c r="C703" t="n">
        <v>53</v>
      </c>
      <c r="D703" t="n">
        <v>4</v>
      </c>
      <c r="E703" t="inlineStr">
        <is>
          <t>Input</t>
        </is>
      </c>
      <c r="F703" t="n">
        <v/>
      </c>
      <c r="G703" t="n">
        <v>300.35</v>
      </c>
      <c r="H703" t="inlineStr"/>
      <c r="I703" t="inlineStr">
        <is>
          <t>#,##0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Values must be of type &lt;class 'str'&gt;</t>
        </is>
      </c>
      <c r="O703" t="inlineStr">
        <is>
          <t>center</t>
        </is>
      </c>
      <c r="P703" t="n">
        <v/>
      </c>
      <c r="R703" t="b">
        <v>1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</row>
    <row r="704">
      <c r="A704" t="inlineStr">
        <is>
          <t>Assumptions Sheet</t>
        </is>
      </c>
      <c r="B704" t="inlineStr">
        <is>
          <t>E53</t>
        </is>
      </c>
      <c r="C704" t="n">
        <v>53</v>
      </c>
      <c r="D704" t="n">
        <v>5</v>
      </c>
      <c r="E704" t="inlineStr">
        <is>
          <t>Input</t>
        </is>
      </c>
      <c r="F704" t="n">
        <v/>
      </c>
      <c r="G704" t="n">
        <v>313.18</v>
      </c>
      <c r="H704" t="inlineStr"/>
      <c r="I704" t="inlineStr">
        <is>
          <t>#,##0</t>
        </is>
      </c>
      <c r="J704" t="b">
        <v>0</v>
      </c>
      <c r="K704" t="b">
        <v>0</v>
      </c>
      <c r="L704" t="n">
        <v>11</v>
      </c>
      <c r="M704" t="inlineStr">
        <is>
          <t>Values must be of type &lt;class 'str'&gt;</t>
        </is>
      </c>
      <c r="N704" t="inlineStr">
        <is>
          <t>Values must be of type &lt;class 'str'&gt;</t>
        </is>
      </c>
      <c r="O704" t="inlineStr">
        <is>
          <t>center</t>
        </is>
      </c>
      <c r="P704" t="n">
        <v/>
      </c>
      <c r="R704" t="b">
        <v>1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</row>
    <row r="705">
      <c r="A705" t="inlineStr">
        <is>
          <t>Assumptions Sheet</t>
        </is>
      </c>
      <c r="B705" t="inlineStr">
        <is>
          <t>F53</t>
        </is>
      </c>
      <c r="C705" t="n">
        <v>53</v>
      </c>
      <c r="D705" t="n">
        <v>6</v>
      </c>
      <c r="E705" t="inlineStr">
        <is>
          <t>Input</t>
        </is>
      </c>
      <c r="F705" t="n">
        <v/>
      </c>
      <c r="G705" t="n">
        <v>364.29</v>
      </c>
      <c r="H705" t="inlineStr"/>
      <c r="I705" t="inlineStr">
        <is>
          <t>#,##0</t>
        </is>
      </c>
      <c r="J705" t="b">
        <v>0</v>
      </c>
      <c r="K705" t="b">
        <v>0</v>
      </c>
      <c r="L705" t="n">
        <v>11</v>
      </c>
      <c r="M705" t="inlineStr">
        <is>
          <t>Values must be of type &lt;class 'str'&gt;</t>
        </is>
      </c>
      <c r="N705" t="inlineStr">
        <is>
          <t>Values must be of type &lt;class 'str'&gt;</t>
        </is>
      </c>
      <c r="O705" t="inlineStr">
        <is>
          <t>center</t>
        </is>
      </c>
      <c r="P705" t="n">
        <v/>
      </c>
      <c r="R705" t="b">
        <v>1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</row>
    <row r="706">
      <c r="A706" t="inlineStr">
        <is>
          <t>Assumptions Sheet</t>
        </is>
      </c>
      <c r="B706" t="inlineStr">
        <is>
          <t>G53</t>
        </is>
      </c>
      <c r="C706" t="n">
        <v>53</v>
      </c>
      <c r="D706" t="n">
        <v>7</v>
      </c>
      <c r="E706" t="inlineStr">
        <is>
          <t>Input</t>
        </is>
      </c>
      <c r="F706" t="n">
        <v/>
      </c>
      <c r="G706" t="n">
        <v>826.5700000000001</v>
      </c>
      <c r="H706" t="inlineStr"/>
      <c r="I706" t="inlineStr">
        <is>
          <t>#,##0</t>
        </is>
      </c>
      <c r="J706" t="b">
        <v>0</v>
      </c>
      <c r="K706" t="b">
        <v>0</v>
      </c>
      <c r="L706" t="n">
        <v>11</v>
      </c>
      <c r="M706" t="inlineStr">
        <is>
          <t>Values must be of type &lt;class 'str'&gt;</t>
        </is>
      </c>
      <c r="N706" t="inlineStr">
        <is>
          <t>Values must be of type &lt;class 'str'&gt;</t>
        </is>
      </c>
      <c r="O706" t="inlineStr">
        <is>
          <t>center</t>
        </is>
      </c>
      <c r="P706" t="n">
        <v/>
      </c>
      <c r="R706" t="b">
        <v>1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</row>
    <row r="707">
      <c r="A707" t="inlineStr">
        <is>
          <t>Assumptions Sheet</t>
        </is>
      </c>
      <c r="B707" t="inlineStr">
        <is>
          <t>H53</t>
        </is>
      </c>
      <c r="C707" t="n">
        <v>53</v>
      </c>
      <c r="D707" t="n">
        <v>8</v>
      </c>
      <c r="E707" t="inlineStr">
        <is>
          <t>Input</t>
        </is>
      </c>
      <c r="F707" t="n">
        <v/>
      </c>
      <c r="G707" t="n">
        <v>929.36</v>
      </c>
      <c r="H707" t="inlineStr"/>
      <c r="I707" t="inlineStr">
        <is>
          <t>#,##0</t>
        </is>
      </c>
      <c r="J707" t="b">
        <v>0</v>
      </c>
      <c r="K707" t="b">
        <v>0</v>
      </c>
      <c r="L707" t="n">
        <v>11</v>
      </c>
      <c r="M707" t="inlineStr">
        <is>
          <t>Values must be of type &lt;class 'str'&gt;</t>
        </is>
      </c>
      <c r="N707" t="inlineStr">
        <is>
          <t>Values must be of type &lt;class 'str'&gt;</t>
        </is>
      </c>
      <c r="O707" t="inlineStr">
        <is>
          <t>center</t>
        </is>
      </c>
      <c r="P707" t="n">
        <v/>
      </c>
      <c r="R707" t="b">
        <v>1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</row>
    <row r="708">
      <c r="A708" t="inlineStr">
        <is>
          <t>Assumptions Sheet</t>
        </is>
      </c>
      <c r="B708" t="inlineStr">
        <is>
          <t>I53</t>
        </is>
      </c>
      <c r="C708" t="n">
        <v>53</v>
      </c>
      <c r="D708" t="n">
        <v>9</v>
      </c>
      <c r="E708" t="inlineStr">
        <is>
          <t>Input</t>
        </is>
      </c>
      <c r="F708" t="n">
        <v/>
      </c>
      <c r="G708" t="n">
        <v>1019.02</v>
      </c>
      <c r="H708" t="inlineStr"/>
      <c r="I708" t="inlineStr">
        <is>
          <t>#,##0</t>
        </is>
      </c>
      <c r="J708" t="b">
        <v>0</v>
      </c>
      <c r="K708" t="b">
        <v>0</v>
      </c>
      <c r="L708" t="n">
        <v>11</v>
      </c>
      <c r="M708" t="inlineStr">
        <is>
          <t>Values must be of type &lt;class 'str'&gt;</t>
        </is>
      </c>
      <c r="N708" t="inlineStr">
        <is>
          <t>Values must be of type &lt;class 'str'&gt;</t>
        </is>
      </c>
      <c r="O708" t="inlineStr">
        <is>
          <t>center</t>
        </is>
      </c>
      <c r="P708" t="n">
        <v/>
      </c>
      <c r="R708" t="b">
        <v>1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</row>
    <row r="709">
      <c r="A709" t="inlineStr">
        <is>
          <t>Assumptions Sheet</t>
        </is>
      </c>
      <c r="B709" t="inlineStr">
        <is>
          <t>J53</t>
        </is>
      </c>
      <c r="C709" t="n">
        <v>53</v>
      </c>
      <c r="D709" t="n">
        <v>10</v>
      </c>
      <c r="E709" t="inlineStr">
        <is>
          <t>Input</t>
        </is>
      </c>
      <c r="F709" t="n">
        <v/>
      </c>
      <c r="G709" t="n">
        <v>1299</v>
      </c>
      <c r="H709" t="inlineStr"/>
      <c r="I709" t="inlineStr">
        <is>
          <t>#,##0</t>
        </is>
      </c>
      <c r="J709" t="b">
        <v>0</v>
      </c>
      <c r="K709" t="b">
        <v>0</v>
      </c>
      <c r="L709" t="n">
        <v>11</v>
      </c>
      <c r="M709" t="inlineStr">
        <is>
          <t>Values must be of type &lt;class 'str'&gt;</t>
        </is>
      </c>
      <c r="N709" t="inlineStr">
        <is>
          <t>Values must be of type &lt;class 'str'&gt;</t>
        </is>
      </c>
      <c r="O709" t="inlineStr">
        <is>
          <t>center</t>
        </is>
      </c>
      <c r="P709" t="n">
        <v/>
      </c>
      <c r="R709" t="b">
        <v>1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</row>
    <row r="710">
      <c r="A710" t="inlineStr">
        <is>
          <t>Assumptions Sheet</t>
        </is>
      </c>
      <c r="B710" t="inlineStr">
        <is>
          <t>U53</t>
        </is>
      </c>
      <c r="C710" t="n">
        <v>53</v>
      </c>
      <c r="D710" t="n">
        <v>21</v>
      </c>
      <c r="E710" t="inlineStr">
        <is>
          <t>Input</t>
        </is>
      </c>
      <c r="F710" t="n">
        <v/>
      </c>
      <c r="G710" t="inlineStr">
        <is>
          <t>Year</t>
        </is>
      </c>
      <c r="H710" t="inlineStr"/>
      <c r="I710" t="inlineStr">
        <is>
          <t>General</t>
        </is>
      </c>
      <c r="J710" t="b">
        <v>1</v>
      </c>
      <c r="K710" t="b">
        <v>0</v>
      </c>
      <c r="L710" t="n">
        <v>11</v>
      </c>
      <c r="M710" t="inlineStr">
        <is>
          <t>Values must be of type &lt;class 'str'&gt;</t>
        </is>
      </c>
      <c r="N710" t="inlineStr">
        <is>
          <t>Values must be of type &lt;class 'str'&gt;</t>
        </is>
      </c>
      <c r="O710" t="n">
        <v/>
      </c>
      <c r="P710" t="n">
        <v/>
      </c>
      <c r="R710" t="b">
        <v>1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</row>
    <row r="711">
      <c r="A711" t="inlineStr">
        <is>
          <t>Assumptions Sheet</t>
        </is>
      </c>
      <c r="B711" t="inlineStr">
        <is>
          <t>V53</t>
        </is>
      </c>
      <c r="C711" t="n">
        <v>53</v>
      </c>
      <c r="D711" t="n">
        <v>22</v>
      </c>
      <c r="E711" t="inlineStr">
        <is>
          <t>Input</t>
        </is>
      </c>
      <c r="F711" t="n">
        <v/>
      </c>
      <c r="G711" t="inlineStr">
        <is>
          <t>2018E</t>
        </is>
      </c>
      <c r="H711" t="inlineStr"/>
      <c r="I711" t="inlineStr">
        <is>
          <t>General</t>
        </is>
      </c>
      <c r="J711" t="b">
        <v>1</v>
      </c>
      <c r="K711" t="b">
        <v>0</v>
      </c>
      <c r="L711" t="n">
        <v>11</v>
      </c>
      <c r="M711" t="n">
        <v/>
      </c>
      <c r="N711" t="inlineStr">
        <is>
          <t>Values must be of type &lt;class 'str'&gt;</t>
        </is>
      </c>
      <c r="O711" t="inlineStr">
        <is>
          <t>center</t>
        </is>
      </c>
      <c r="P711" t="n">
        <v/>
      </c>
      <c r="R711" t="b">
        <v>1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</row>
    <row r="712">
      <c r="A712" t="inlineStr">
        <is>
          <t>Assumptions Sheet</t>
        </is>
      </c>
      <c r="B712" t="inlineStr">
        <is>
          <t>W53</t>
        </is>
      </c>
      <c r="C712" t="n">
        <v>53</v>
      </c>
      <c r="D712" t="n">
        <v>23</v>
      </c>
      <c r="E712" t="inlineStr">
        <is>
          <t>Input</t>
        </is>
      </c>
      <c r="F712" t="n">
        <v/>
      </c>
      <c r="G712" t="inlineStr">
        <is>
          <t>2019E</t>
        </is>
      </c>
      <c r="H712" t="inlineStr"/>
      <c r="I712" t="inlineStr">
        <is>
          <t>General</t>
        </is>
      </c>
      <c r="J712" t="b">
        <v>1</v>
      </c>
      <c r="K712" t="b">
        <v>0</v>
      </c>
      <c r="L712" t="n">
        <v>11</v>
      </c>
      <c r="M712" t="n">
        <v/>
      </c>
      <c r="N712" t="inlineStr">
        <is>
          <t>Values must be of type &lt;class 'str'&gt;</t>
        </is>
      </c>
      <c r="O712" t="inlineStr">
        <is>
          <t>center</t>
        </is>
      </c>
      <c r="P712" t="n">
        <v/>
      </c>
      <c r="R712" t="b">
        <v>1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</row>
    <row r="713">
      <c r="A713" t="inlineStr">
        <is>
          <t>Assumptions Sheet</t>
        </is>
      </c>
      <c r="B713" t="inlineStr">
        <is>
          <t>X53</t>
        </is>
      </c>
      <c r="C713" t="n">
        <v>53</v>
      </c>
      <c r="D713" t="n">
        <v>24</v>
      </c>
      <c r="E713" t="inlineStr">
        <is>
          <t>Input</t>
        </is>
      </c>
      <c r="F713" t="n">
        <v/>
      </c>
      <c r="G713" t="inlineStr">
        <is>
          <t>2020E</t>
        </is>
      </c>
      <c r="H713" t="inlineStr"/>
      <c r="I713" t="inlineStr">
        <is>
          <t>General</t>
        </is>
      </c>
      <c r="J713" t="b">
        <v>1</v>
      </c>
      <c r="K713" t="b">
        <v>0</v>
      </c>
      <c r="L713" t="n">
        <v>11</v>
      </c>
      <c r="M713" t="n">
        <v/>
      </c>
      <c r="N713" t="inlineStr">
        <is>
          <t>Values must be of type &lt;class 'str'&gt;</t>
        </is>
      </c>
      <c r="O713" t="inlineStr">
        <is>
          <t>center</t>
        </is>
      </c>
      <c r="P713" t="n">
        <v/>
      </c>
      <c r="R713" t="b">
        <v>1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</row>
    <row r="714">
      <c r="A714" t="inlineStr">
        <is>
          <t>Assumptions Sheet</t>
        </is>
      </c>
      <c r="B714" t="inlineStr">
        <is>
          <t>Y53</t>
        </is>
      </c>
      <c r="C714" t="n">
        <v>53</v>
      </c>
      <c r="D714" t="n">
        <v>25</v>
      </c>
      <c r="E714" t="inlineStr">
        <is>
          <t>Input</t>
        </is>
      </c>
      <c r="F714" t="n">
        <v/>
      </c>
      <c r="G714" t="inlineStr">
        <is>
          <t>2021E</t>
        </is>
      </c>
      <c r="H714" t="inlineStr"/>
      <c r="I714" t="inlineStr">
        <is>
          <t>General</t>
        </is>
      </c>
      <c r="J714" t="b">
        <v>1</v>
      </c>
      <c r="K714" t="b">
        <v>0</v>
      </c>
      <c r="L714" t="n">
        <v>11</v>
      </c>
      <c r="M714" t="n">
        <v/>
      </c>
      <c r="N714" t="inlineStr">
        <is>
          <t>Values must be of type &lt;class 'str'&gt;</t>
        </is>
      </c>
      <c r="O714" t="inlineStr">
        <is>
          <t>center</t>
        </is>
      </c>
      <c r="P714" t="n">
        <v/>
      </c>
      <c r="R714" t="b">
        <v>1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</row>
    <row r="715">
      <c r="A715" t="inlineStr">
        <is>
          <t>Assumptions Sheet</t>
        </is>
      </c>
      <c r="B715" t="inlineStr">
        <is>
          <t>Z53</t>
        </is>
      </c>
      <c r="C715" t="n">
        <v>53</v>
      </c>
      <c r="D715" t="n">
        <v>26</v>
      </c>
      <c r="E715" t="inlineStr">
        <is>
          <t>Input</t>
        </is>
      </c>
      <c r="F715" t="n">
        <v/>
      </c>
      <c r="G715" t="inlineStr">
        <is>
          <t>2022E</t>
        </is>
      </c>
      <c r="H715" t="inlineStr"/>
      <c r="I715" t="inlineStr">
        <is>
          <t>General</t>
        </is>
      </c>
      <c r="J715" t="b">
        <v>1</v>
      </c>
      <c r="K715" t="b">
        <v>0</v>
      </c>
      <c r="L715" t="n">
        <v>11</v>
      </c>
      <c r="M715" t="n">
        <v/>
      </c>
      <c r="N715" t="inlineStr">
        <is>
          <t>Values must be of type &lt;class 'str'&gt;</t>
        </is>
      </c>
      <c r="O715" t="inlineStr">
        <is>
          <t>center</t>
        </is>
      </c>
      <c r="P715" t="n">
        <v/>
      </c>
      <c r="R715" t="b">
        <v>1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</row>
    <row r="716">
      <c r="A716" t="inlineStr">
        <is>
          <t>Assumptions Sheet</t>
        </is>
      </c>
      <c r="B716" t="inlineStr">
        <is>
          <t>B54</t>
        </is>
      </c>
      <c r="C716" t="n">
        <v>54</v>
      </c>
      <c r="D716" t="n">
        <v>2</v>
      </c>
      <c r="E716" t="inlineStr">
        <is>
          <t>Input</t>
        </is>
      </c>
      <c r="F716" t="n">
        <v/>
      </c>
      <c r="G716" t="inlineStr">
        <is>
          <t>Finance lease charges paid</t>
        </is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11</v>
      </c>
      <c r="M716" t="inlineStr">
        <is>
          <t>Values must be of type &lt;class 'str'&gt;</t>
        </is>
      </c>
      <c r="N716" t="inlineStr">
        <is>
          <t>Values must be of type &lt;class 'str'&gt;</t>
        </is>
      </c>
      <c r="O716" t="inlineStr">
        <is>
          <t>left</t>
        </is>
      </c>
      <c r="P716" t="n">
        <v/>
      </c>
      <c r="R716" t="b">
        <v>1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</row>
    <row r="717">
      <c r="A717" t="inlineStr">
        <is>
          <t>Assumptions Sheet</t>
        </is>
      </c>
      <c r="B717" t="inlineStr">
        <is>
          <t>C54</t>
        </is>
      </c>
      <c r="C717" t="n">
        <v>54</v>
      </c>
      <c r="D717" t="n">
        <v>3</v>
      </c>
      <c r="E717" t="inlineStr">
        <is>
          <t>Input</t>
        </is>
      </c>
      <c r="F717" t="n">
        <v/>
      </c>
      <c r="G717" t="n">
        <v>80.68000000000001</v>
      </c>
      <c r="H717" t="inlineStr"/>
      <c r="I717" t="inlineStr">
        <is>
          <t>#,##0</t>
        </is>
      </c>
      <c r="J717" t="b">
        <v>0</v>
      </c>
      <c r="K717" t="b">
        <v>0</v>
      </c>
      <c r="L717" t="n">
        <v>11</v>
      </c>
      <c r="M717" t="inlineStr">
        <is>
          <t>Values must be of type &lt;class 'str'&gt;</t>
        </is>
      </c>
      <c r="N717" t="inlineStr">
        <is>
          <t>Values must be of type &lt;class 'str'&gt;</t>
        </is>
      </c>
      <c r="O717" t="inlineStr">
        <is>
          <t>center</t>
        </is>
      </c>
      <c r="P717" t="n">
        <v/>
      </c>
      <c r="R717" t="b">
        <v>1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</row>
    <row r="718">
      <c r="A718" t="inlineStr">
        <is>
          <t>Assumptions Sheet</t>
        </is>
      </c>
      <c r="B718" t="inlineStr">
        <is>
          <t>D54</t>
        </is>
      </c>
      <c r="C718" t="n">
        <v>54</v>
      </c>
      <c r="D718" t="n">
        <v>4</v>
      </c>
      <c r="E718" t="inlineStr">
        <is>
          <t>Input</t>
        </is>
      </c>
      <c r="F718" t="n">
        <v/>
      </c>
      <c r="G718" t="n">
        <v>302.35</v>
      </c>
      <c r="H718" t="inlineStr"/>
      <c r="I718" t="inlineStr">
        <is>
          <t>#,##0</t>
        </is>
      </c>
      <c r="J718" t="b">
        <v>0</v>
      </c>
      <c r="K718" t="b">
        <v>0</v>
      </c>
      <c r="L718" t="n">
        <v>11</v>
      </c>
      <c r="M718" t="inlineStr">
        <is>
          <t>Values must be of type &lt;class 'str'&gt;</t>
        </is>
      </c>
      <c r="N718" t="inlineStr">
        <is>
          <t>Values must be of type &lt;class 'str'&gt;</t>
        </is>
      </c>
      <c r="O718" t="inlineStr">
        <is>
          <t>center</t>
        </is>
      </c>
      <c r="P718" t="n">
        <v/>
      </c>
      <c r="R718" t="b">
        <v>1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</row>
    <row r="719">
      <c r="A719" t="inlineStr">
        <is>
          <t>Assumptions Sheet</t>
        </is>
      </c>
      <c r="B719" t="inlineStr">
        <is>
          <t>E54</t>
        </is>
      </c>
      <c r="C719" t="n">
        <v>54</v>
      </c>
      <c r="D719" t="n">
        <v>5</v>
      </c>
      <c r="E719" t="inlineStr">
        <is>
          <t>Input</t>
        </is>
      </c>
      <c r="F719" t="n">
        <v/>
      </c>
      <c r="G719" t="n">
        <v>312.73</v>
      </c>
      <c r="H719" t="inlineStr"/>
      <c r="I719" t="inlineStr">
        <is>
          <t>#,##0</t>
        </is>
      </c>
      <c r="J719" t="b">
        <v>0</v>
      </c>
      <c r="K719" t="b">
        <v>0</v>
      </c>
      <c r="L719" t="n">
        <v>11</v>
      </c>
      <c r="M719" t="inlineStr">
        <is>
          <t>Values must be of type &lt;class 'str'&gt;</t>
        </is>
      </c>
      <c r="N719" t="inlineStr">
        <is>
          <t>Values must be of type &lt;class 'str'&gt;</t>
        </is>
      </c>
      <c r="O719" t="inlineStr">
        <is>
          <t>center</t>
        </is>
      </c>
      <c r="P719" t="n">
        <v/>
      </c>
      <c r="R719" t="b">
        <v>1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</row>
    <row r="720">
      <c r="A720" t="inlineStr">
        <is>
          <t>Assumptions Sheet</t>
        </is>
      </c>
      <c r="B720" t="inlineStr">
        <is>
          <t>F54</t>
        </is>
      </c>
      <c r="C720" t="n">
        <v>54</v>
      </c>
      <c r="D720" t="n">
        <v>6</v>
      </c>
      <c r="E720" t="inlineStr">
        <is>
          <t>Input</t>
        </is>
      </c>
      <c r="F720" t="n">
        <v/>
      </c>
      <c r="G720" t="n">
        <v>363.12</v>
      </c>
      <c r="H720" t="inlineStr"/>
      <c r="I720" t="inlineStr">
        <is>
          <t>#,##0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Values must be of type &lt;class 'str'&gt;</t>
        </is>
      </c>
      <c r="O720" t="inlineStr">
        <is>
          <t>center</t>
        </is>
      </c>
      <c r="P720" t="n">
        <v/>
      </c>
      <c r="R720" t="b">
        <v>1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</row>
    <row r="721">
      <c r="A721" t="inlineStr">
        <is>
          <t>Assumptions Sheet</t>
        </is>
      </c>
      <c r="B721" t="inlineStr">
        <is>
          <t>G54</t>
        </is>
      </c>
      <c r="C721" t="n">
        <v>54</v>
      </c>
      <c r="D721" t="n">
        <v>7</v>
      </c>
      <c r="E721" t="inlineStr">
        <is>
          <t>Input</t>
        </is>
      </c>
      <c r="F721" t="n">
        <v/>
      </c>
      <c r="G721" t="n">
        <v>603.2</v>
      </c>
      <c r="H721" t="inlineStr"/>
      <c r="I721" t="inlineStr">
        <is>
          <t>#,##0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Values must be of type &lt;class 'str'&gt;</t>
        </is>
      </c>
      <c r="O721" t="inlineStr">
        <is>
          <t>center</t>
        </is>
      </c>
      <c r="P721" t="n">
        <v/>
      </c>
      <c r="R721" t="b">
        <v>1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</row>
    <row r="722">
      <c r="A722" t="inlineStr">
        <is>
          <t>Assumptions Sheet</t>
        </is>
      </c>
      <c r="B722" t="inlineStr">
        <is>
          <t>H54</t>
        </is>
      </c>
      <c r="C722" t="n">
        <v>54</v>
      </c>
      <c r="D722" t="n">
        <v>8</v>
      </c>
      <c r="E722" t="inlineStr">
        <is>
          <t>Input</t>
        </is>
      </c>
      <c r="F722" t="n">
        <v/>
      </c>
      <c r="G722" t="n">
        <v>669.67</v>
      </c>
      <c r="H722" t="inlineStr"/>
      <c r="I722" t="inlineStr">
        <is>
          <t>#,##0</t>
        </is>
      </c>
      <c r="J722" t="b">
        <v>0</v>
      </c>
      <c r="K722" t="b">
        <v>0</v>
      </c>
      <c r="L722" t="n">
        <v>11</v>
      </c>
      <c r="M722" t="inlineStr">
        <is>
          <t>Values must be of type &lt;class 'str'&gt;</t>
        </is>
      </c>
      <c r="N722" t="inlineStr">
        <is>
          <t>Values must be of type &lt;class 'str'&gt;</t>
        </is>
      </c>
      <c r="O722" t="inlineStr">
        <is>
          <t>center</t>
        </is>
      </c>
      <c r="P722" t="n">
        <v/>
      </c>
      <c r="R722" t="b">
        <v>1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</row>
    <row r="723">
      <c r="A723" t="inlineStr">
        <is>
          <t>Assumptions Sheet</t>
        </is>
      </c>
      <c r="B723" t="inlineStr">
        <is>
          <t>I54</t>
        </is>
      </c>
      <c r="C723" t="n">
        <v>54</v>
      </c>
      <c r="D723" t="n">
        <v>9</v>
      </c>
      <c r="E723" t="inlineStr">
        <is>
          <t>Input</t>
        </is>
      </c>
      <c r="F723" t="n">
        <v/>
      </c>
      <c r="G723" t="n">
        <v>701.5700000000001</v>
      </c>
      <c r="H723" t="inlineStr"/>
      <c r="I723" t="inlineStr">
        <is>
          <t>#,##0</t>
        </is>
      </c>
      <c r="J723" t="b">
        <v>0</v>
      </c>
      <c r="K723" t="b">
        <v>0</v>
      </c>
      <c r="L723" t="n">
        <v>11</v>
      </c>
      <c r="M723" t="inlineStr">
        <is>
          <t>Values must be of type &lt;class 'str'&gt;</t>
        </is>
      </c>
      <c r="N723" t="inlineStr">
        <is>
          <t>Values must be of type &lt;class 'str'&gt;</t>
        </is>
      </c>
      <c r="O723" t="inlineStr">
        <is>
          <t>center</t>
        </is>
      </c>
      <c r="P723" t="n">
        <v/>
      </c>
      <c r="R723" t="b">
        <v>1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</row>
    <row r="724">
      <c r="A724" t="inlineStr">
        <is>
          <t>Assumptions Sheet</t>
        </is>
      </c>
      <c r="B724" t="inlineStr">
        <is>
          <t>J54</t>
        </is>
      </c>
      <c r="C724" t="n">
        <v>54</v>
      </c>
      <c r="D724" t="n">
        <v>10</v>
      </c>
      <c r="E724" t="inlineStr">
        <is>
          <t>Input</t>
        </is>
      </c>
      <c r="F724" t="n">
        <v/>
      </c>
      <c r="G724" t="n">
        <v>478.8</v>
      </c>
      <c r="H724" t="inlineStr"/>
      <c r="I724" t="inlineStr">
        <is>
          <t>#,##0</t>
        </is>
      </c>
      <c r="J724" t="b">
        <v>0</v>
      </c>
      <c r="K724" t="b">
        <v>0</v>
      </c>
      <c r="L724" t="n">
        <v>11</v>
      </c>
      <c r="M724" t="inlineStr">
        <is>
          <t>Values must be of type &lt;class 'str'&gt;</t>
        </is>
      </c>
      <c r="N724" t="inlineStr">
        <is>
          <t>Values must be of type &lt;class 'str'&gt;</t>
        </is>
      </c>
      <c r="O724" t="inlineStr">
        <is>
          <t>center</t>
        </is>
      </c>
      <c r="P724" t="n">
        <v/>
      </c>
      <c r="R724" t="b">
        <v>1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</row>
    <row r="725">
      <c r="A725" t="inlineStr">
        <is>
          <t>Assumptions Sheet</t>
        </is>
      </c>
      <c r="B725" t="inlineStr">
        <is>
          <t>U54</t>
        </is>
      </c>
      <c r="C725" t="n">
        <v>54</v>
      </c>
      <c r="D725" t="n">
        <v>21</v>
      </c>
      <c r="E725" t="inlineStr">
        <is>
          <t>Input</t>
        </is>
      </c>
      <c r="F725" t="n">
        <v/>
      </c>
      <c r="G725" t="inlineStr">
        <is>
          <t>Number of Planes</t>
        </is>
      </c>
      <c r="H725" t="inlineStr"/>
      <c r="I725" t="inlineStr">
        <is>
          <t>General</t>
        </is>
      </c>
      <c r="J725" t="b">
        <v>1</v>
      </c>
      <c r="K725" t="b">
        <v>0</v>
      </c>
      <c r="L725" t="n">
        <v>11</v>
      </c>
      <c r="M725" t="inlineStr">
        <is>
          <t>Values must be of type &lt;class 'str'&gt;</t>
        </is>
      </c>
      <c r="N725" t="inlineStr">
        <is>
          <t>Values must be of type &lt;class 'str'&gt;</t>
        </is>
      </c>
      <c r="O725" t="n">
        <v/>
      </c>
      <c r="P725" t="n">
        <v/>
      </c>
      <c r="R725" t="b">
        <v>1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</row>
    <row r="726">
      <c r="A726" t="inlineStr">
        <is>
          <t>Assumptions Sheet</t>
        </is>
      </c>
      <c r="B726" t="inlineStr">
        <is>
          <t>V54</t>
        </is>
      </c>
      <c r="C726" t="n">
        <v>54</v>
      </c>
      <c r="D726" t="n">
        <v>22</v>
      </c>
      <c r="E726" t="inlineStr">
        <is>
          <t>Input</t>
        </is>
      </c>
      <c r="F726" t="n">
        <v/>
      </c>
      <c r="G726" t="n">
        <v>160</v>
      </c>
      <c r="H726" t="inlineStr"/>
      <c r="I726" t="inlineStr">
        <is>
          <t>0</t>
        </is>
      </c>
      <c r="J726" t="b">
        <v>0</v>
      </c>
      <c r="K726" t="b">
        <v>0</v>
      </c>
      <c r="L726" t="n">
        <v>11</v>
      </c>
      <c r="M726" t="inlineStr">
        <is>
          <t>Values must be of type &lt;class 'str'&gt;</t>
        </is>
      </c>
      <c r="N726" t="inlineStr">
        <is>
          <t>Values must be of type &lt;class 'str'&gt;</t>
        </is>
      </c>
      <c r="O726" t="inlineStr">
        <is>
          <t>center</t>
        </is>
      </c>
      <c r="P726" t="n">
        <v/>
      </c>
      <c r="R726" t="b">
        <v>1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</row>
    <row r="727">
      <c r="A727" t="inlineStr">
        <is>
          <t>Assumptions Sheet</t>
        </is>
      </c>
      <c r="B727" t="inlineStr">
        <is>
          <t>W54</t>
        </is>
      </c>
      <c r="C727" t="n">
        <v>54</v>
      </c>
      <c r="D727" t="n">
        <v>23</v>
      </c>
      <c r="E727" t="inlineStr">
        <is>
          <t>Input</t>
        </is>
      </c>
      <c r="F727" t="n">
        <v/>
      </c>
      <c r="G727" t="n">
        <v>170.8685217391304</v>
      </c>
      <c r="H727" t="inlineStr"/>
      <c r="I727" t="inlineStr">
        <is>
          <t>0</t>
        </is>
      </c>
      <c r="J727" t="b">
        <v>0</v>
      </c>
      <c r="K727" t="b">
        <v>0</v>
      </c>
      <c r="L727" t="n">
        <v>11</v>
      </c>
      <c r="M727" t="inlineStr">
        <is>
          <t>Values must be of type &lt;class 'str'&gt;</t>
        </is>
      </c>
      <c r="N727" t="inlineStr">
        <is>
          <t>Values must be of type &lt;class 'str'&gt;</t>
        </is>
      </c>
      <c r="O727" t="inlineStr">
        <is>
          <t>center</t>
        </is>
      </c>
      <c r="P727" t="n">
        <v/>
      </c>
      <c r="R727" t="b">
        <v>1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</row>
    <row r="728">
      <c r="A728" t="inlineStr">
        <is>
          <t>Assumptions Sheet</t>
        </is>
      </c>
      <c r="B728" t="inlineStr">
        <is>
          <t>X54</t>
        </is>
      </c>
      <c r="C728" t="n">
        <v>54</v>
      </c>
      <c r="D728" t="n">
        <v>24</v>
      </c>
      <c r="E728" t="inlineStr">
        <is>
          <t>Input</t>
        </is>
      </c>
      <c r="F728" t="n">
        <v/>
      </c>
      <c r="G728" t="n">
        <v>205.0422260869565</v>
      </c>
      <c r="H728" t="inlineStr"/>
      <c r="I728" t="inlineStr">
        <is>
          <t>0</t>
        </is>
      </c>
      <c r="J728" t="b">
        <v>0</v>
      </c>
      <c r="K728" t="b">
        <v>0</v>
      </c>
      <c r="L728" t="n">
        <v>11</v>
      </c>
      <c r="M728" t="inlineStr">
        <is>
          <t>Values must be of type &lt;class 'str'&gt;</t>
        </is>
      </c>
      <c r="N728" t="inlineStr">
        <is>
          <t>Values must be of type &lt;class 'str'&gt;</t>
        </is>
      </c>
      <c r="O728" t="inlineStr">
        <is>
          <t>center</t>
        </is>
      </c>
      <c r="P728" t="n">
        <v/>
      </c>
      <c r="R728" t="b">
        <v>1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</row>
    <row r="729">
      <c r="A729" t="inlineStr">
        <is>
          <t>Assumptions Sheet</t>
        </is>
      </c>
      <c r="B729" t="inlineStr">
        <is>
          <t>Y54</t>
        </is>
      </c>
      <c r="C729" t="n">
        <v>54</v>
      </c>
      <c r="D729" t="n">
        <v>25</v>
      </c>
      <c r="E729" t="inlineStr">
        <is>
          <t>Input</t>
        </is>
      </c>
      <c r="F729" t="n">
        <v/>
      </c>
      <c r="G729" t="n">
        <v>246.0506713043478</v>
      </c>
      <c r="H729" t="inlineStr"/>
      <c r="I729" t="inlineStr">
        <is>
          <t>0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Values must be of type &lt;class 'str'&gt;</t>
        </is>
      </c>
      <c r="O729" t="inlineStr">
        <is>
          <t>center</t>
        </is>
      </c>
      <c r="P729" t="n">
        <v/>
      </c>
      <c r="R729" t="b">
        <v>1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</row>
    <row r="730">
      <c r="A730" t="inlineStr">
        <is>
          <t>Assumptions Sheet</t>
        </is>
      </c>
      <c r="B730" t="inlineStr">
        <is>
          <t>Z54</t>
        </is>
      </c>
      <c r="C730" t="n">
        <v>54</v>
      </c>
      <c r="D730" t="n">
        <v>26</v>
      </c>
      <c r="E730" t="inlineStr">
        <is>
          <t>Input</t>
        </is>
      </c>
      <c r="F730" t="n">
        <v/>
      </c>
      <c r="G730" t="n">
        <v>295.2608055652174</v>
      </c>
      <c r="H730" t="inlineStr"/>
      <c r="I730" t="inlineStr">
        <is>
          <t>0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Values must be of type &lt;class 'str'&gt;</t>
        </is>
      </c>
      <c r="O730" t="inlineStr">
        <is>
          <t>center</t>
        </is>
      </c>
      <c r="P730" t="n">
        <v/>
      </c>
      <c r="R730" t="b">
        <v>1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</row>
    <row r="731">
      <c r="A731" t="inlineStr">
        <is>
          <t>Assumptions Sheet</t>
        </is>
      </c>
      <c r="B731" t="inlineStr">
        <is>
          <t>B55</t>
        </is>
      </c>
      <c r="C731" t="n">
        <v>55</v>
      </c>
      <c r="D731" t="n">
        <v>2</v>
      </c>
      <c r="E731" t="inlineStr">
        <is>
          <t>Input</t>
        </is>
      </c>
      <c r="F731" t="n">
        <v/>
      </c>
      <c r="G731" t="inlineStr">
        <is>
          <t>Total Finance %</t>
        </is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11</v>
      </c>
      <c r="M731" t="inlineStr">
        <is>
          <t>Values must be of type &lt;class 'str'&gt;</t>
        </is>
      </c>
      <c r="N731" t="inlineStr">
        <is>
          <t>Values must be of type &lt;class 'str'&gt;</t>
        </is>
      </c>
      <c r="O731" t="inlineStr">
        <is>
          <t>left</t>
        </is>
      </c>
      <c r="P731" t="n">
        <v/>
      </c>
      <c r="R731" t="b">
        <v>1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</row>
    <row r="732">
      <c r="A732" t="inlineStr">
        <is>
          <t>Assumptions Sheet</t>
        </is>
      </c>
      <c r="B732" t="inlineStr">
        <is>
          <t>C55</t>
        </is>
      </c>
      <c r="C732" t="n">
        <v>55</v>
      </c>
      <c r="D732" t="n">
        <v>3</v>
      </c>
      <c r="E732" t="inlineStr">
        <is>
          <t>Output</t>
        </is>
      </c>
      <c r="F732" t="inlineStr">
        <is>
          <t>'=SUM(C53:C54)/C56</t>
        </is>
      </c>
      <c r="G732" t="n">
        <v>0.0345732781091321</v>
      </c>
      <c r="H732" t="inlineStr"/>
      <c r="I732" t="inlineStr">
        <is>
          <t>0%</t>
        </is>
      </c>
      <c r="J732" t="b">
        <v>0</v>
      </c>
      <c r="K732" t="b">
        <v>0</v>
      </c>
      <c r="L732" t="n">
        <v>11</v>
      </c>
      <c r="M732" t="inlineStr">
        <is>
          <t>Values must be of type &lt;class 'str'&gt;</t>
        </is>
      </c>
      <c r="N732" t="inlineStr">
        <is>
          <t>Values must be of type &lt;class 'str'&gt;</t>
        </is>
      </c>
      <c r="O732" t="inlineStr">
        <is>
          <t>center</t>
        </is>
      </c>
      <c r="P732" t="n">
        <v/>
      </c>
      <c r="R732" t="b">
        <v>1</v>
      </c>
      <c r="S732" t="inlineStr">
        <is>
          <t>G000042</t>
        </is>
      </c>
      <c r="T732" t="inlineStr">
        <is>
          <t>Horizontal</t>
        </is>
      </c>
      <c r="U732" t="n">
        <v>8</v>
      </c>
      <c r="V732" t="b">
        <v>1</v>
      </c>
      <c r="W732" t="inlineStr">
        <is>
          <t>Assumptions Sheet!C55:J55</t>
        </is>
      </c>
      <c r="X732">
        <f>SUM(R[-2]C[0]:R[-1]C[0])/R[1]C[0]</f>
        <v/>
      </c>
    </row>
    <row r="733">
      <c r="A733" t="inlineStr">
        <is>
          <t>Assumptions Sheet</t>
        </is>
      </c>
      <c r="B733" t="inlineStr">
        <is>
          <t>D55</t>
        </is>
      </c>
      <c r="C733" t="n">
        <v>55</v>
      </c>
      <c r="D733" t="n">
        <v>4</v>
      </c>
      <c r="E733" t="inlineStr">
        <is>
          <t>Output</t>
        </is>
      </c>
      <c r="F733" t="inlineStr">
        <is>
          <t>'=SUM(D53:D54)/D56</t>
        </is>
      </c>
      <c r="G733" t="n">
        <v>0.08640699169764578</v>
      </c>
      <c r="H733" t="inlineStr"/>
      <c r="I733" t="inlineStr">
        <is>
          <t>0%</t>
        </is>
      </c>
      <c r="J733" t="b">
        <v>0</v>
      </c>
      <c r="K733" t="b">
        <v>0</v>
      </c>
      <c r="L733" t="n">
        <v>11</v>
      </c>
      <c r="M733" t="inlineStr">
        <is>
          <t>Values must be of type &lt;class 'str'&gt;</t>
        </is>
      </c>
      <c r="N733" t="inlineStr">
        <is>
          <t>Values must be of type &lt;class 'str'&gt;</t>
        </is>
      </c>
      <c r="O733" t="inlineStr">
        <is>
          <t>center</t>
        </is>
      </c>
      <c r="P733" t="n">
        <v/>
      </c>
      <c r="R733" t="b">
        <v>1</v>
      </c>
      <c r="S733" t="inlineStr">
        <is>
          <t>G000042</t>
        </is>
      </c>
      <c r="T733" t="inlineStr">
        <is>
          <t>Horizontal</t>
        </is>
      </c>
      <c r="U733" t="n">
        <v>8</v>
      </c>
      <c r="V733" t="b">
        <v>1</v>
      </c>
      <c r="W733" t="inlineStr">
        <is>
          <t>Assumptions Sheet!C55:J55</t>
        </is>
      </c>
      <c r="X733">
        <f>SUM(R[-2]C[0]:R[-1]C[0])/R[1]C[0]</f>
        <v/>
      </c>
    </row>
    <row r="734">
      <c r="A734" t="inlineStr">
        <is>
          <t>Assumptions Sheet</t>
        </is>
      </c>
      <c r="B734" t="inlineStr">
        <is>
          <t>E55</t>
        </is>
      </c>
      <c r="C734" t="n">
        <v>55</v>
      </c>
      <c r="D734" t="n">
        <v>5</v>
      </c>
      <c r="E734" t="inlineStr">
        <is>
          <t>Output</t>
        </is>
      </c>
      <c r="F734" t="inlineStr">
        <is>
          <t>'=SUM(E53:E54)/E56</t>
        </is>
      </c>
      <c r="G734" t="n">
        <v>0.05558550341864479</v>
      </c>
      <c r="H734" t="inlineStr"/>
      <c r="I734" t="inlineStr">
        <is>
          <t>0%</t>
        </is>
      </c>
      <c r="J734" t="b">
        <v>0</v>
      </c>
      <c r="K734" t="b">
        <v>0</v>
      </c>
      <c r="L734" t="n">
        <v>11</v>
      </c>
      <c r="M734" t="inlineStr">
        <is>
          <t>Values must be of type &lt;class 'str'&gt;</t>
        </is>
      </c>
      <c r="N734" t="inlineStr">
        <is>
          <t>Values must be of type &lt;class 'str'&gt;</t>
        </is>
      </c>
      <c r="O734" t="inlineStr">
        <is>
          <t>center</t>
        </is>
      </c>
      <c r="P734" t="n">
        <v/>
      </c>
      <c r="R734" t="b">
        <v>1</v>
      </c>
      <c r="S734" t="inlineStr">
        <is>
          <t>G000042</t>
        </is>
      </c>
      <c r="T734" t="inlineStr">
        <is>
          <t>Horizontal</t>
        </is>
      </c>
      <c r="U734" t="n">
        <v>8</v>
      </c>
      <c r="V734" t="b">
        <v>1</v>
      </c>
      <c r="W734" t="inlineStr">
        <is>
          <t>Assumptions Sheet!C55:J55</t>
        </is>
      </c>
      <c r="X734">
        <f>SUM(R[-2]C[0]:R[-1]C[0])/R[1]C[0]</f>
        <v/>
      </c>
    </row>
    <row r="735">
      <c r="A735" t="inlineStr">
        <is>
          <t>Assumptions Sheet</t>
        </is>
      </c>
      <c r="B735" t="inlineStr">
        <is>
          <t>F55</t>
        </is>
      </c>
      <c r="C735" t="n">
        <v>55</v>
      </c>
      <c r="D735" t="n">
        <v>6</v>
      </c>
      <c r="E735" t="inlineStr">
        <is>
          <t>Output</t>
        </is>
      </c>
      <c r="F735" t="inlineStr">
        <is>
          <t>'=SUM(F53:F54)/F56</t>
        </is>
      </c>
      <c r="G735" t="n">
        <v>0.04068989512734857</v>
      </c>
      <c r="H735" t="inlineStr"/>
      <c r="I735" t="inlineStr">
        <is>
          <t>0%</t>
        </is>
      </c>
      <c r="J735" t="b">
        <v>0</v>
      </c>
      <c r="K735" t="b">
        <v>0</v>
      </c>
      <c r="L735" t="n">
        <v>11</v>
      </c>
      <c r="M735" t="inlineStr">
        <is>
          <t>Values must be of type &lt;class 'str'&gt;</t>
        </is>
      </c>
      <c r="N735" t="inlineStr">
        <is>
          <t>Values must be of type &lt;class 'str'&gt;</t>
        </is>
      </c>
      <c r="O735" t="inlineStr">
        <is>
          <t>center</t>
        </is>
      </c>
      <c r="P735" t="n">
        <v/>
      </c>
      <c r="R735" t="b">
        <v>1</v>
      </c>
      <c r="S735" t="inlineStr">
        <is>
          <t>G000042</t>
        </is>
      </c>
      <c r="T735" t="inlineStr">
        <is>
          <t>Horizontal</t>
        </is>
      </c>
      <c r="U735" t="n">
        <v>8</v>
      </c>
      <c r="V735" t="b">
        <v>1</v>
      </c>
      <c r="W735" t="inlineStr">
        <is>
          <t>Assumptions Sheet!C55:J55</t>
        </is>
      </c>
      <c r="X735">
        <f>SUM(R[-2]C[0]:R[-1]C[0])/R[1]C[0]</f>
        <v/>
      </c>
    </row>
    <row r="736">
      <c r="A736" t="inlineStr">
        <is>
          <t>Assumptions Sheet</t>
        </is>
      </c>
      <c r="B736" t="inlineStr">
        <is>
          <t>G55</t>
        </is>
      </c>
      <c r="C736" t="n">
        <v>55</v>
      </c>
      <c r="D736" t="n">
        <v>7</v>
      </c>
      <c r="E736" t="inlineStr">
        <is>
          <t>Output</t>
        </is>
      </c>
      <c r="F736" t="inlineStr">
        <is>
          <t>'=SUM(G53:G54)/G56</t>
        </is>
      </c>
      <c r="G736" t="n">
        <v>0.06576654731721318</v>
      </c>
      <c r="H736" t="inlineStr"/>
      <c r="I736" t="inlineStr">
        <is>
          <t>0%</t>
        </is>
      </c>
      <c r="J736" t="b">
        <v>0</v>
      </c>
      <c r="K736" t="b">
        <v>0</v>
      </c>
      <c r="L736" t="n">
        <v>11</v>
      </c>
      <c r="M736" t="inlineStr">
        <is>
          <t>Values must be of type &lt;class 'str'&gt;</t>
        </is>
      </c>
      <c r="N736" t="inlineStr">
        <is>
          <t>Values must be of type &lt;class 'str'&gt;</t>
        </is>
      </c>
      <c r="O736" t="inlineStr">
        <is>
          <t>center</t>
        </is>
      </c>
      <c r="P736" t="n">
        <v/>
      </c>
      <c r="R736" t="b">
        <v>1</v>
      </c>
      <c r="S736" t="inlineStr">
        <is>
          <t>G000042</t>
        </is>
      </c>
      <c r="T736" t="inlineStr">
        <is>
          <t>Horizontal</t>
        </is>
      </c>
      <c r="U736" t="n">
        <v>8</v>
      </c>
      <c r="V736" t="b">
        <v>1</v>
      </c>
      <c r="W736" t="inlineStr">
        <is>
          <t>Assumptions Sheet!C55:J55</t>
        </is>
      </c>
      <c r="X736">
        <f>SUM(R[-2]C[0]:R[-1]C[0])/R[1]C[0]</f>
        <v/>
      </c>
    </row>
    <row r="737">
      <c r="A737" t="inlineStr">
        <is>
          <t>Assumptions Sheet</t>
        </is>
      </c>
      <c r="B737" t="inlineStr">
        <is>
          <t>H55</t>
        </is>
      </c>
      <c r="C737" t="n">
        <v>55</v>
      </c>
      <c r="D737" t="n">
        <v>8</v>
      </c>
      <c r="E737" t="inlineStr">
        <is>
          <t>Output</t>
        </is>
      </c>
      <c r="F737" t="inlineStr">
        <is>
          <t>'=SUM(H53:H54)/H56</t>
        </is>
      </c>
      <c r="G737" t="n">
        <v>0.06480488179511423</v>
      </c>
      <c r="H737" t="inlineStr"/>
      <c r="I737" t="inlineStr">
        <is>
          <t>0%</t>
        </is>
      </c>
      <c r="J737" t="b">
        <v>0</v>
      </c>
      <c r="K737" t="b">
        <v>0</v>
      </c>
      <c r="L737" t="n">
        <v>11</v>
      </c>
      <c r="M737" t="inlineStr">
        <is>
          <t>Values must be of type &lt;class 'str'&gt;</t>
        </is>
      </c>
      <c r="N737" t="inlineStr">
        <is>
          <t>Values must be of type &lt;class 'str'&gt;</t>
        </is>
      </c>
      <c r="O737" t="inlineStr">
        <is>
          <t>center</t>
        </is>
      </c>
      <c r="P737" t="n">
        <v/>
      </c>
      <c r="R737" t="b">
        <v>1</v>
      </c>
      <c r="S737" t="inlineStr">
        <is>
          <t>G000042</t>
        </is>
      </c>
      <c r="T737" t="inlineStr">
        <is>
          <t>Horizontal</t>
        </is>
      </c>
      <c r="U737" t="n">
        <v>8</v>
      </c>
      <c r="V737" t="b">
        <v>1</v>
      </c>
      <c r="W737" t="inlineStr">
        <is>
          <t>Assumptions Sheet!C55:J55</t>
        </is>
      </c>
      <c r="X737">
        <f>SUM(R[-2]C[0]:R[-1]C[0])/R[1]C[0]</f>
        <v/>
      </c>
    </row>
    <row r="738">
      <c r="A738" t="inlineStr">
        <is>
          <t>Assumptions Sheet</t>
        </is>
      </c>
      <c r="B738" t="inlineStr">
        <is>
          <t>I55</t>
        </is>
      </c>
      <c r="C738" t="n">
        <v>55</v>
      </c>
      <c r="D738" t="n">
        <v>9</v>
      </c>
      <c r="E738" t="inlineStr">
        <is>
          <t>Output</t>
        </is>
      </c>
      <c r="F738" t="inlineStr">
        <is>
          <t>'=SUM(I53:I54)/I56</t>
        </is>
      </c>
      <c r="G738" t="n">
        <v>0.05478178060606717</v>
      </c>
      <c r="H738" t="inlineStr"/>
      <c r="I738" t="inlineStr">
        <is>
          <t>0%</t>
        </is>
      </c>
      <c r="J738" t="b">
        <v>0</v>
      </c>
      <c r="K738" t="b">
        <v>0</v>
      </c>
      <c r="L738" t="n">
        <v>11</v>
      </c>
      <c r="M738" t="inlineStr">
        <is>
          <t>Values must be of type &lt;class 'str'&gt;</t>
        </is>
      </c>
      <c r="N738" t="inlineStr">
        <is>
          <t>Values must be of type &lt;class 'str'&gt;</t>
        </is>
      </c>
      <c r="O738" t="inlineStr">
        <is>
          <t>center</t>
        </is>
      </c>
      <c r="P738" t="n">
        <v/>
      </c>
      <c r="R738" t="b">
        <v>1</v>
      </c>
      <c r="S738" t="inlineStr">
        <is>
          <t>G000042</t>
        </is>
      </c>
      <c r="T738" t="inlineStr">
        <is>
          <t>Horizontal</t>
        </is>
      </c>
      <c r="U738" t="n">
        <v>8</v>
      </c>
      <c r="V738" t="b">
        <v>1</v>
      </c>
      <c r="W738" t="inlineStr">
        <is>
          <t>Assumptions Sheet!C55:J55</t>
        </is>
      </c>
      <c r="X738">
        <f>SUM(R[-2]C[0]:R[-1]C[0])/R[1]C[0]</f>
        <v/>
      </c>
    </row>
    <row r="739">
      <c r="A739" t="inlineStr">
        <is>
          <t>Assumptions Sheet</t>
        </is>
      </c>
      <c r="B739" t="inlineStr">
        <is>
          <t>J55</t>
        </is>
      </c>
      <c r="C739" t="n">
        <v>55</v>
      </c>
      <c r="D739" t="n">
        <v>10</v>
      </c>
      <c r="E739" t="inlineStr">
        <is>
          <t>Output</t>
        </is>
      </c>
      <c r="F739" t="inlineStr">
        <is>
          <t>'=SUM(J53:J54)/J56</t>
        </is>
      </c>
      <c r="G739" t="n">
        <v>0.04634088677449651</v>
      </c>
      <c r="H739" t="inlineStr"/>
      <c r="I739" t="inlineStr">
        <is>
          <t>0%</t>
        </is>
      </c>
      <c r="J739" t="b">
        <v>0</v>
      </c>
      <c r="K739" t="b">
        <v>0</v>
      </c>
      <c r="L739" t="n">
        <v>11</v>
      </c>
      <c r="M739" t="inlineStr">
        <is>
          <t>Values must be of type &lt;class 'str'&gt;</t>
        </is>
      </c>
      <c r="N739" t="inlineStr">
        <is>
          <t>Values must be of type &lt;class 'str'&gt;</t>
        </is>
      </c>
      <c r="O739" t="inlineStr">
        <is>
          <t>center</t>
        </is>
      </c>
      <c r="P739" t="n">
        <v/>
      </c>
      <c r="R739" t="b">
        <v>1</v>
      </c>
      <c r="S739" t="inlineStr">
        <is>
          <t>G000042</t>
        </is>
      </c>
      <c r="T739" t="inlineStr">
        <is>
          <t>Horizontal</t>
        </is>
      </c>
      <c r="U739" t="n">
        <v>8</v>
      </c>
      <c r="V739" t="b">
        <v>1</v>
      </c>
      <c r="W739" t="inlineStr">
        <is>
          <t>Assumptions Sheet!C55:J55</t>
        </is>
      </c>
      <c r="X739">
        <f>SUM(R[-2]C[0]:R[-1]C[0])/R[1]C[0]</f>
        <v/>
      </c>
    </row>
    <row r="740">
      <c r="A740" t="inlineStr">
        <is>
          <t>Assumptions Sheet</t>
        </is>
      </c>
      <c r="B740" t="inlineStr">
        <is>
          <t>U55</t>
        </is>
      </c>
      <c r="C740" t="n">
        <v>55</v>
      </c>
      <c r="D740" t="n">
        <v>21</v>
      </c>
      <c r="E740" t="inlineStr">
        <is>
          <t>Input</t>
        </is>
      </c>
      <c r="F740" t="n">
        <v/>
      </c>
      <c r="G740" t="inlineStr">
        <is>
          <t>ASK Per Plane</t>
        </is>
      </c>
      <c r="H740" t="inlineStr"/>
      <c r="I740" t="inlineStr">
        <is>
          <t>General</t>
        </is>
      </c>
      <c r="J740" t="b">
        <v>1</v>
      </c>
      <c r="K740" t="b">
        <v>0</v>
      </c>
      <c r="L740" t="n">
        <v>11</v>
      </c>
      <c r="M740" t="inlineStr">
        <is>
          <t>Values must be of type &lt;class 'str'&gt;</t>
        </is>
      </c>
      <c r="N740" t="inlineStr">
        <is>
          <t>Values must be of type &lt;class 'str'&gt;</t>
        </is>
      </c>
      <c r="O740" t="n">
        <v/>
      </c>
      <c r="P740" t="n">
        <v/>
      </c>
      <c r="R740" t="b">
        <v>1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</row>
    <row r="741">
      <c r="A741" t="inlineStr">
        <is>
          <t>Assumptions Sheet</t>
        </is>
      </c>
      <c r="B741" t="inlineStr">
        <is>
          <t>V55</t>
        </is>
      </c>
      <c r="C741" t="n">
        <v>55</v>
      </c>
      <c r="D741" t="n">
        <v>22</v>
      </c>
      <c r="E741" t="inlineStr">
        <is>
          <t>Input</t>
        </is>
      </c>
      <c r="F741" t="n">
        <v/>
      </c>
      <c r="G741" t="n">
        <v>460</v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11</v>
      </c>
      <c r="M741" t="n">
        <v/>
      </c>
      <c r="N741" t="inlineStr">
        <is>
          <t>Values must be of type &lt;class 'str'&gt;</t>
        </is>
      </c>
      <c r="O741" t="inlineStr">
        <is>
          <t>center</t>
        </is>
      </c>
      <c r="P741" t="n">
        <v/>
      </c>
      <c r="R741" t="b">
        <v>1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</row>
    <row r="742">
      <c r="A742" t="inlineStr">
        <is>
          <t>Assumptions Sheet</t>
        </is>
      </c>
      <c r="B742" t="inlineStr">
        <is>
          <t>W55</t>
        </is>
      </c>
      <c r="C742" t="n">
        <v>55</v>
      </c>
      <c r="D742" t="n">
        <v>23</v>
      </c>
      <c r="E742" t="inlineStr">
        <is>
          <t>Input</t>
        </is>
      </c>
      <c r="F742" t="n">
        <v/>
      </c>
      <c r="G742" t="n">
        <v>460</v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11</v>
      </c>
      <c r="M742" t="n">
        <v/>
      </c>
      <c r="N742" t="inlineStr">
        <is>
          <t>Values must be of type &lt;class 'str'&gt;</t>
        </is>
      </c>
      <c r="O742" t="inlineStr">
        <is>
          <t>center</t>
        </is>
      </c>
      <c r="P742" t="n">
        <v/>
      </c>
      <c r="R742" t="b">
        <v>1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</row>
    <row r="743">
      <c r="A743" t="inlineStr">
        <is>
          <t>Assumptions Sheet</t>
        </is>
      </c>
      <c r="B743" t="inlineStr">
        <is>
          <t>X55</t>
        </is>
      </c>
      <c r="C743" t="n">
        <v>55</v>
      </c>
      <c r="D743" t="n">
        <v>24</v>
      </c>
      <c r="E743" t="inlineStr">
        <is>
          <t>Input</t>
        </is>
      </c>
      <c r="F743" t="n">
        <v/>
      </c>
      <c r="G743" t="n">
        <v>460</v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11</v>
      </c>
      <c r="M743" t="n">
        <v/>
      </c>
      <c r="N743" t="inlineStr">
        <is>
          <t>Values must be of type &lt;class 'str'&gt;</t>
        </is>
      </c>
      <c r="O743" t="inlineStr">
        <is>
          <t>center</t>
        </is>
      </c>
      <c r="P743" t="n">
        <v/>
      </c>
      <c r="R743" t="b">
        <v>1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</row>
    <row r="744">
      <c r="A744" t="inlineStr">
        <is>
          <t>Assumptions Sheet</t>
        </is>
      </c>
      <c r="B744" t="inlineStr">
        <is>
          <t>Y55</t>
        </is>
      </c>
      <c r="C744" t="n">
        <v>55</v>
      </c>
      <c r="D744" t="n">
        <v>25</v>
      </c>
      <c r="E744" t="inlineStr">
        <is>
          <t>Input</t>
        </is>
      </c>
      <c r="F744" t="n">
        <v/>
      </c>
      <c r="G744" t="n">
        <v>460</v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11</v>
      </c>
      <c r="M744" t="n">
        <v/>
      </c>
      <c r="N744" t="inlineStr">
        <is>
          <t>Values must be of type &lt;class 'str'&gt;</t>
        </is>
      </c>
      <c r="O744" t="inlineStr">
        <is>
          <t>center</t>
        </is>
      </c>
      <c r="P744" t="n">
        <v/>
      </c>
      <c r="R744" t="b">
        <v>1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</row>
    <row r="745">
      <c r="A745" t="inlineStr">
        <is>
          <t>Assumptions Sheet</t>
        </is>
      </c>
      <c r="B745" t="inlineStr">
        <is>
          <t>Z55</t>
        </is>
      </c>
      <c r="C745" t="n">
        <v>55</v>
      </c>
      <c r="D745" t="n">
        <v>26</v>
      </c>
      <c r="E745" t="inlineStr">
        <is>
          <t>Input</t>
        </is>
      </c>
      <c r="F745" t="n">
        <v/>
      </c>
      <c r="G745" t="n">
        <v>460</v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11</v>
      </c>
      <c r="M745" t="n">
        <v/>
      </c>
      <c r="N745" t="inlineStr">
        <is>
          <t>Values must be of type &lt;class 'str'&gt;</t>
        </is>
      </c>
      <c r="O745" t="inlineStr">
        <is>
          <t>center</t>
        </is>
      </c>
      <c r="P745" t="n">
        <v/>
      </c>
      <c r="R745" t="b">
        <v>1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</row>
    <row r="746">
      <c r="A746" t="inlineStr">
        <is>
          <t>Assumptions Sheet</t>
        </is>
      </c>
      <c r="B746" t="inlineStr">
        <is>
          <t>B56</t>
        </is>
      </c>
      <c r="C746" t="n">
        <v>56</v>
      </c>
      <c r="D746" t="n">
        <v>2</v>
      </c>
      <c r="E746" t="inlineStr">
        <is>
          <t>Input</t>
        </is>
      </c>
      <c r="F746" t="n">
        <v/>
      </c>
      <c r="G746" t="inlineStr">
        <is>
          <t xml:space="preserve">Total Lease Payment </t>
        </is>
      </c>
      <c r="H746" t="inlineStr"/>
      <c r="I746" t="inlineStr">
        <is>
          <t>General</t>
        </is>
      </c>
      <c r="J746" t="b">
        <v>1</v>
      </c>
      <c r="K746" t="b">
        <v>0</v>
      </c>
      <c r="L746" t="n">
        <v>11</v>
      </c>
      <c r="M746" t="inlineStr">
        <is>
          <t>Values must be of type &lt;class 'str'&gt;</t>
        </is>
      </c>
      <c r="N746" t="inlineStr">
        <is>
          <t>Values must be of type &lt;class 'str'&gt;</t>
        </is>
      </c>
      <c r="O746" t="inlineStr">
        <is>
          <t>left</t>
        </is>
      </c>
      <c r="P746" t="n">
        <v/>
      </c>
      <c r="R746" t="b">
        <v>1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</row>
    <row r="747">
      <c r="A747" t="inlineStr">
        <is>
          <t>Assumptions Sheet</t>
        </is>
      </c>
      <c r="B747" t="inlineStr">
        <is>
          <t>C56</t>
        </is>
      </c>
      <c r="C747" t="n">
        <v>56</v>
      </c>
      <c r="D747" t="n">
        <v>3</v>
      </c>
      <c r="E747" t="inlineStr">
        <is>
          <t>Calculation</t>
        </is>
      </c>
      <c r="F747" t="inlineStr">
        <is>
          <t>'=SUM(C50,C53,C54)</t>
        </is>
      </c>
      <c r="G747" t="n">
        <v>4872.260000000001</v>
      </c>
      <c r="H747" t="inlineStr"/>
      <c r="I747" t="inlineStr">
        <is>
          <t>#,##0</t>
        </is>
      </c>
      <c r="J747" t="b">
        <v>0</v>
      </c>
      <c r="K747" t="b">
        <v>0</v>
      </c>
      <c r="L747" t="n">
        <v>11</v>
      </c>
      <c r="M747" t="inlineStr">
        <is>
          <t>Values must be of type &lt;class 'str'&gt;</t>
        </is>
      </c>
      <c r="N747" t="inlineStr">
        <is>
          <t>Values must be of type &lt;class 'str'&gt;</t>
        </is>
      </c>
      <c r="O747" t="inlineStr">
        <is>
          <t>center</t>
        </is>
      </c>
      <c r="P747" t="n">
        <v/>
      </c>
      <c r="R747" t="b">
        <v>1</v>
      </c>
      <c r="S747" t="inlineStr">
        <is>
          <t>G000043</t>
        </is>
      </c>
      <c r="T747" t="inlineStr">
        <is>
          <t>Horizontal</t>
        </is>
      </c>
      <c r="U747" t="n">
        <v>8</v>
      </c>
      <c r="V747" t="b">
        <v>1</v>
      </c>
      <c r="W747" t="inlineStr">
        <is>
          <t>Assumptions Sheet!C56:J56</t>
        </is>
      </c>
      <c r="X747">
        <f>SUM(R[-6]C[0],R[-3]C[0],R[-2]C[0])</f>
        <v/>
      </c>
    </row>
    <row r="748">
      <c r="A748" t="inlineStr">
        <is>
          <t>Assumptions Sheet</t>
        </is>
      </c>
      <c r="B748" t="inlineStr">
        <is>
          <t>D56</t>
        </is>
      </c>
      <c r="C748" t="n">
        <v>56</v>
      </c>
      <c r="D748" t="n">
        <v>4</v>
      </c>
      <c r="E748" t="inlineStr">
        <is>
          <t>Calculation</t>
        </is>
      </c>
      <c r="F748" t="inlineStr">
        <is>
          <t>'=SUM(D50,D53,D54)</t>
        </is>
      </c>
      <c r="G748" t="n">
        <v>6975.130000000001</v>
      </c>
      <c r="H748" t="inlineStr"/>
      <c r="I748" t="inlineStr">
        <is>
          <t>#,##0</t>
        </is>
      </c>
      <c r="J748" t="b">
        <v>0</v>
      </c>
      <c r="K748" t="b">
        <v>0</v>
      </c>
      <c r="L748" t="n">
        <v>11</v>
      </c>
      <c r="M748" t="inlineStr">
        <is>
          <t>Values must be of type &lt;class 'str'&gt;</t>
        </is>
      </c>
      <c r="N748" t="inlineStr">
        <is>
          <t>Values must be of type &lt;class 'str'&gt;</t>
        </is>
      </c>
      <c r="O748" t="inlineStr">
        <is>
          <t>center</t>
        </is>
      </c>
      <c r="P748" t="n">
        <v/>
      </c>
      <c r="R748" t="b">
        <v>1</v>
      </c>
      <c r="S748" t="inlineStr">
        <is>
          <t>G000043</t>
        </is>
      </c>
      <c r="T748" t="inlineStr">
        <is>
          <t>Horizontal</t>
        </is>
      </c>
      <c r="U748" t="n">
        <v>8</v>
      </c>
      <c r="V748" t="b">
        <v>1</v>
      </c>
      <c r="W748" t="inlineStr">
        <is>
          <t>Assumptions Sheet!C56:J56</t>
        </is>
      </c>
      <c r="X748">
        <f>SUM(R[-6]C[0],R[-3]C[0],R[-2]C[0])</f>
        <v/>
      </c>
    </row>
    <row r="749">
      <c r="A749" t="inlineStr">
        <is>
          <t>Assumptions Sheet</t>
        </is>
      </c>
      <c r="B749" t="inlineStr">
        <is>
          <t>E56</t>
        </is>
      </c>
      <c r="C749" t="n">
        <v>56</v>
      </c>
      <c r="D749" t="n">
        <v>5</v>
      </c>
      <c r="E749" t="inlineStr">
        <is>
          <t>Calculation</t>
        </is>
      </c>
      <c r="F749" t="inlineStr">
        <is>
          <t>'=SUM(E50,E53,E54)</t>
        </is>
      </c>
      <c r="G749" t="n">
        <v>11260.31</v>
      </c>
      <c r="H749" t="inlineStr"/>
      <c r="I749" t="inlineStr">
        <is>
          <t>#,##0</t>
        </is>
      </c>
      <c r="J749" t="b">
        <v>0</v>
      </c>
      <c r="K749" t="b">
        <v>0</v>
      </c>
      <c r="L749" t="n">
        <v>11</v>
      </c>
      <c r="M749" t="inlineStr">
        <is>
          <t>Values must be of type &lt;class 'str'&gt;</t>
        </is>
      </c>
      <c r="N749" t="inlineStr">
        <is>
          <t>Values must be of type &lt;class 'str'&gt;</t>
        </is>
      </c>
      <c r="O749" t="inlineStr">
        <is>
          <t>center</t>
        </is>
      </c>
      <c r="P749" t="n">
        <v/>
      </c>
      <c r="R749" t="b">
        <v>1</v>
      </c>
      <c r="S749" t="inlineStr">
        <is>
          <t>G000043</t>
        </is>
      </c>
      <c r="T749" t="inlineStr">
        <is>
          <t>Horizontal</t>
        </is>
      </c>
      <c r="U749" t="n">
        <v>8</v>
      </c>
      <c r="V749" t="b">
        <v>1</v>
      </c>
      <c r="W749" t="inlineStr">
        <is>
          <t>Assumptions Sheet!C56:J56</t>
        </is>
      </c>
      <c r="X749">
        <f>SUM(R[-6]C[0],R[-3]C[0],R[-2]C[0])</f>
        <v/>
      </c>
    </row>
    <row r="750">
      <c r="A750" t="inlineStr">
        <is>
          <t>Assumptions Sheet</t>
        </is>
      </c>
      <c r="B750" t="inlineStr">
        <is>
          <t>F56</t>
        </is>
      </c>
      <c r="C750" t="n">
        <v>56</v>
      </c>
      <c r="D750" t="n">
        <v>6</v>
      </c>
      <c r="E750" t="inlineStr">
        <is>
          <t>Calculation</t>
        </is>
      </c>
      <c r="F750" t="inlineStr">
        <is>
          <t>'=SUM(F50,F53,F54)</t>
        </is>
      </c>
      <c r="G750" t="n">
        <v>17876.92</v>
      </c>
      <c r="H750" t="inlineStr"/>
      <c r="I750" t="inlineStr">
        <is>
          <t>#,##0</t>
        </is>
      </c>
      <c r="J750" t="b">
        <v>0</v>
      </c>
      <c r="K750" t="b">
        <v>0</v>
      </c>
      <c r="L750" t="n">
        <v>11</v>
      </c>
      <c r="M750" t="inlineStr">
        <is>
          <t>Values must be of type &lt;class 'str'&gt;</t>
        </is>
      </c>
      <c r="N750" t="inlineStr">
        <is>
          <t>Values must be of type &lt;class 'str'&gt;</t>
        </is>
      </c>
      <c r="O750" t="inlineStr">
        <is>
          <t>center</t>
        </is>
      </c>
      <c r="P750" t="n">
        <v/>
      </c>
      <c r="R750" t="b">
        <v>1</v>
      </c>
      <c r="S750" t="inlineStr">
        <is>
          <t>G000043</t>
        </is>
      </c>
      <c r="T750" t="inlineStr">
        <is>
          <t>Horizontal</t>
        </is>
      </c>
      <c r="U750" t="n">
        <v>8</v>
      </c>
      <c r="V750" t="b">
        <v>1</v>
      </c>
      <c r="W750" t="inlineStr">
        <is>
          <t>Assumptions Sheet!C56:J56</t>
        </is>
      </c>
      <c r="X750">
        <f>SUM(R[-6]C[0],R[-3]C[0],R[-2]C[0])</f>
        <v/>
      </c>
    </row>
    <row r="751">
      <c r="A751" t="inlineStr">
        <is>
          <t>Assumptions Sheet</t>
        </is>
      </c>
      <c r="B751" t="inlineStr">
        <is>
          <t>G56</t>
        </is>
      </c>
      <c r="C751" t="n">
        <v>56</v>
      </c>
      <c r="D751" t="n">
        <v>7</v>
      </c>
      <c r="E751" t="inlineStr">
        <is>
          <t>Calculation</t>
        </is>
      </c>
      <c r="F751" t="inlineStr">
        <is>
          <t>'=SUM(G50,G53,G54)</t>
        </is>
      </c>
      <c r="G751" t="n">
        <v>21740.08</v>
      </c>
      <c r="H751" t="inlineStr"/>
      <c r="I751" t="inlineStr">
        <is>
          <t>#,##0</t>
        </is>
      </c>
      <c r="J751" t="b">
        <v>0</v>
      </c>
      <c r="K751" t="b">
        <v>0</v>
      </c>
      <c r="L751" t="n">
        <v>11</v>
      </c>
      <c r="M751" t="inlineStr">
        <is>
          <t>Values must be of type &lt;class 'str'&gt;</t>
        </is>
      </c>
      <c r="N751" t="inlineStr">
        <is>
          <t>Values must be of type &lt;class 'str'&gt;</t>
        </is>
      </c>
      <c r="O751" t="inlineStr">
        <is>
          <t>center</t>
        </is>
      </c>
      <c r="P751" t="n">
        <v/>
      </c>
      <c r="R751" t="b">
        <v>1</v>
      </c>
      <c r="S751" t="inlineStr">
        <is>
          <t>G000043</t>
        </is>
      </c>
      <c r="T751" t="inlineStr">
        <is>
          <t>Horizontal</t>
        </is>
      </c>
      <c r="U751" t="n">
        <v>8</v>
      </c>
      <c r="V751" t="b">
        <v>1</v>
      </c>
      <c r="W751" t="inlineStr">
        <is>
          <t>Assumptions Sheet!C56:J56</t>
        </is>
      </c>
      <c r="X751">
        <f>SUM(R[-6]C[0],R[-3]C[0],R[-2]C[0])</f>
        <v/>
      </c>
    </row>
    <row r="752">
      <c r="A752" t="inlineStr">
        <is>
          <t>Assumptions Sheet</t>
        </is>
      </c>
      <c r="B752" t="inlineStr">
        <is>
          <t>H56</t>
        </is>
      </c>
      <c r="C752" t="n">
        <v>56</v>
      </c>
      <c r="D752" t="n">
        <v>8</v>
      </c>
      <c r="E752" t="inlineStr">
        <is>
          <t>Calculation</t>
        </is>
      </c>
      <c r="F752" t="inlineStr">
        <is>
          <t>'=SUM(H50,H53,H54)</t>
        </is>
      </c>
      <c r="G752" t="n">
        <v>24674.53</v>
      </c>
      <c r="H752" t="inlineStr"/>
      <c r="I752" t="inlineStr">
        <is>
          <t>#,##0</t>
        </is>
      </c>
      <c r="J752" t="b">
        <v>0</v>
      </c>
      <c r="K752" t="b">
        <v>0</v>
      </c>
      <c r="L752" t="n">
        <v>11</v>
      </c>
      <c r="M752" t="inlineStr">
        <is>
          <t>Values must be of type &lt;class 'str'&gt;</t>
        </is>
      </c>
      <c r="N752" t="inlineStr">
        <is>
          <t>Values must be of type &lt;class 'str'&gt;</t>
        </is>
      </c>
      <c r="O752" t="inlineStr">
        <is>
          <t>center</t>
        </is>
      </c>
      <c r="P752" t="n">
        <v/>
      </c>
      <c r="R752" t="b">
        <v>1</v>
      </c>
      <c r="S752" t="inlineStr">
        <is>
          <t>G000043</t>
        </is>
      </c>
      <c r="T752" t="inlineStr">
        <is>
          <t>Horizontal</t>
        </is>
      </c>
      <c r="U752" t="n">
        <v>8</v>
      </c>
      <c r="V752" t="b">
        <v>1</v>
      </c>
      <c r="W752" t="inlineStr">
        <is>
          <t>Assumptions Sheet!C56:J56</t>
        </is>
      </c>
      <c r="X752">
        <f>SUM(R[-6]C[0],R[-3]C[0],R[-2]C[0])</f>
        <v/>
      </c>
    </row>
    <row r="753">
      <c r="A753" t="inlineStr">
        <is>
          <t>Assumptions Sheet</t>
        </is>
      </c>
      <c r="B753" t="inlineStr">
        <is>
          <t>I56</t>
        </is>
      </c>
      <c r="C753" t="n">
        <v>56</v>
      </c>
      <c r="D753" t="n">
        <v>9</v>
      </c>
      <c r="E753" t="inlineStr">
        <is>
          <t>Calculation</t>
        </is>
      </c>
      <c r="F753" t="inlineStr">
        <is>
          <t>'=SUM(I50,I53,I54)</t>
        </is>
      </c>
      <c r="G753" t="n">
        <v>31408.07</v>
      </c>
      <c r="H753" t="inlineStr"/>
      <c r="I753" t="inlineStr">
        <is>
          <t>#,##0</t>
        </is>
      </c>
      <c r="J753" t="b">
        <v>0</v>
      </c>
      <c r="K753" t="b">
        <v>0</v>
      </c>
      <c r="L753" t="n">
        <v>11</v>
      </c>
      <c r="M753" t="inlineStr">
        <is>
          <t>Values must be of type &lt;class 'str'&gt;</t>
        </is>
      </c>
      <c r="N753" t="inlineStr">
        <is>
          <t>Values must be of type &lt;class 'str'&gt;</t>
        </is>
      </c>
      <c r="O753" t="inlineStr">
        <is>
          <t>center</t>
        </is>
      </c>
      <c r="P753" t="n">
        <v/>
      </c>
      <c r="R753" t="b">
        <v>1</v>
      </c>
      <c r="S753" t="inlineStr">
        <is>
          <t>G000043</t>
        </is>
      </c>
      <c r="T753" t="inlineStr">
        <is>
          <t>Horizontal</t>
        </is>
      </c>
      <c r="U753" t="n">
        <v>8</v>
      </c>
      <c r="V753" t="b">
        <v>1</v>
      </c>
      <c r="W753" t="inlineStr">
        <is>
          <t>Assumptions Sheet!C56:J56</t>
        </is>
      </c>
      <c r="X753">
        <f>SUM(R[-6]C[0],R[-3]C[0],R[-2]C[0])</f>
        <v/>
      </c>
    </row>
    <row r="754">
      <c r="A754" t="inlineStr">
        <is>
          <t>Assumptions Sheet</t>
        </is>
      </c>
      <c r="B754" t="inlineStr">
        <is>
          <t>J56</t>
        </is>
      </c>
      <c r="C754" t="n">
        <v>56</v>
      </c>
      <c r="D754" t="n">
        <v>10</v>
      </c>
      <c r="E754" t="inlineStr">
        <is>
          <t>Calculation</t>
        </is>
      </c>
      <c r="F754" t="inlineStr">
        <is>
          <t>'=SUM(J50,J53,J54)</t>
        </is>
      </c>
      <c r="G754" t="n">
        <v>38363.53</v>
      </c>
      <c r="H754" t="inlineStr"/>
      <c r="I754" t="inlineStr">
        <is>
          <t>#,##0</t>
        </is>
      </c>
      <c r="J754" t="b">
        <v>0</v>
      </c>
      <c r="K754" t="b">
        <v>0</v>
      </c>
      <c r="L754" t="n">
        <v>11</v>
      </c>
      <c r="M754" t="inlineStr">
        <is>
          <t>Values must be of type &lt;class 'str'&gt;</t>
        </is>
      </c>
      <c r="N754" t="inlineStr">
        <is>
          <t>Values must be of type &lt;class 'str'&gt;</t>
        </is>
      </c>
      <c r="O754" t="inlineStr">
        <is>
          <t>center</t>
        </is>
      </c>
      <c r="P754" t="n">
        <v/>
      </c>
      <c r="R754" t="b">
        <v>1</v>
      </c>
      <c r="S754" t="inlineStr">
        <is>
          <t>G000043</t>
        </is>
      </c>
      <c r="T754" t="inlineStr">
        <is>
          <t>Horizontal</t>
        </is>
      </c>
      <c r="U754" t="n">
        <v>8</v>
      </c>
      <c r="V754" t="b">
        <v>1</v>
      </c>
      <c r="W754" t="inlineStr">
        <is>
          <t>Assumptions Sheet!C56:J56</t>
        </is>
      </c>
      <c r="X754">
        <f>SUM(R[-6]C[0],R[-3]C[0],R[-2]C[0])</f>
        <v/>
      </c>
    </row>
    <row r="755">
      <c r="A755" t="inlineStr">
        <is>
          <t>Assumptions Sheet</t>
        </is>
      </c>
      <c r="B755" t="inlineStr">
        <is>
          <t>B57</t>
        </is>
      </c>
      <c r="C755" t="n">
        <v>57</v>
      </c>
      <c r="D755" t="n">
        <v>2</v>
      </c>
      <c r="E755" t="inlineStr">
        <is>
          <t>Input</t>
        </is>
      </c>
      <c r="F755" t="n">
        <v/>
      </c>
      <c r="G755" t="inlineStr">
        <is>
          <t>Total Lease Payment ( Net of Incentive )</t>
        </is>
      </c>
      <c r="H755" t="inlineStr"/>
      <c r="I755" t="inlineStr">
        <is>
          <t>General</t>
        </is>
      </c>
      <c r="J755" t="b">
        <v>1</v>
      </c>
      <c r="K755" t="b">
        <v>0</v>
      </c>
      <c r="L755" t="n">
        <v>11</v>
      </c>
      <c r="M755" t="inlineStr">
        <is>
          <t>Values must be of type &lt;class 'str'&gt;</t>
        </is>
      </c>
      <c r="N755" t="inlineStr">
        <is>
          <t>Values must be of type &lt;class 'str'&gt;</t>
        </is>
      </c>
      <c r="O755" t="inlineStr">
        <is>
          <t>left</t>
        </is>
      </c>
      <c r="P755" t="n">
        <v/>
      </c>
      <c r="R755" t="b">
        <v>1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</row>
    <row r="756">
      <c r="A756" t="inlineStr">
        <is>
          <t>Assumptions Sheet</t>
        </is>
      </c>
      <c r="B756" t="inlineStr">
        <is>
          <t>C57</t>
        </is>
      </c>
      <c r="C756" t="n">
        <v>57</v>
      </c>
      <c r="D756" t="n">
        <v>3</v>
      </c>
      <c r="E756" t="inlineStr">
        <is>
          <t>Output</t>
        </is>
      </c>
      <c r="F756" t="inlineStr">
        <is>
          <t>'=SUM(C52:C54)</t>
        </is>
      </c>
      <c r="G756" t="n">
        <v>2931.31</v>
      </c>
      <c r="H756" t="inlineStr"/>
      <c r="I756" t="inlineStr">
        <is>
          <t>#,##0</t>
        </is>
      </c>
      <c r="J756" t="b">
        <v>0</v>
      </c>
      <c r="K756" t="b">
        <v>0</v>
      </c>
      <c r="L756" t="n">
        <v>11</v>
      </c>
      <c r="M756" t="inlineStr">
        <is>
          <t>Values must be of type &lt;class 'str'&gt;</t>
        </is>
      </c>
      <c r="N756" t="inlineStr">
        <is>
          <t>Values must be of type &lt;class 'str'&gt;</t>
        </is>
      </c>
      <c r="O756" t="inlineStr">
        <is>
          <t>center</t>
        </is>
      </c>
      <c r="P756" t="n">
        <v/>
      </c>
      <c r="R756" t="b">
        <v>1</v>
      </c>
      <c r="S756" t="inlineStr">
        <is>
          <t>G000044</t>
        </is>
      </c>
      <c r="T756" t="inlineStr">
        <is>
          <t>Horizontal</t>
        </is>
      </c>
      <c r="U756" t="n">
        <v>8</v>
      </c>
      <c r="V756" t="b">
        <v>1</v>
      </c>
      <c r="W756" t="inlineStr">
        <is>
          <t>Assumptions Sheet!C57:J57</t>
        </is>
      </c>
      <c r="X756">
        <f>SUM(R[-5]C[0]:R[-3]C[0])</f>
        <v/>
      </c>
    </row>
    <row r="757">
      <c r="A757" t="inlineStr">
        <is>
          <t>Assumptions Sheet</t>
        </is>
      </c>
      <c r="B757" t="inlineStr">
        <is>
          <t>D57</t>
        </is>
      </c>
      <c r="C757" t="n">
        <v>57</v>
      </c>
      <c r="D757" t="n">
        <v>4</v>
      </c>
      <c r="E757" t="inlineStr">
        <is>
          <t>Output</t>
        </is>
      </c>
      <c r="F757" t="inlineStr">
        <is>
          <t>'=SUM(D52:D54)</t>
        </is>
      </c>
      <c r="G757" t="n">
        <v>4701.190000000001</v>
      </c>
      <c r="H757" t="inlineStr"/>
      <c r="I757" t="inlineStr">
        <is>
          <t>#,##0</t>
        </is>
      </c>
      <c r="J757" t="b">
        <v>0</v>
      </c>
      <c r="K757" t="b">
        <v>0</v>
      </c>
      <c r="L757" t="n">
        <v>11</v>
      </c>
      <c r="M757" t="inlineStr">
        <is>
          <t>Values must be of type &lt;class 'str'&gt;</t>
        </is>
      </c>
      <c r="N757" t="inlineStr">
        <is>
          <t>Values must be of type &lt;class 'str'&gt;</t>
        </is>
      </c>
      <c r="O757" t="inlineStr">
        <is>
          <t>center</t>
        </is>
      </c>
      <c r="P757" t="n">
        <v/>
      </c>
      <c r="R757" t="b">
        <v>1</v>
      </c>
      <c r="S757" t="inlineStr">
        <is>
          <t>G000044</t>
        </is>
      </c>
      <c r="T757" t="inlineStr">
        <is>
          <t>Horizontal</t>
        </is>
      </c>
      <c r="U757" t="n">
        <v>8</v>
      </c>
      <c r="V757" t="b">
        <v>1</v>
      </c>
      <c r="W757" t="inlineStr">
        <is>
          <t>Assumptions Sheet!C57:J57</t>
        </is>
      </c>
      <c r="X757">
        <f>SUM(R[-5]C[0]:R[-3]C[0])</f>
        <v/>
      </c>
    </row>
    <row r="758">
      <c r="A758" t="inlineStr">
        <is>
          <t>Assumptions Sheet</t>
        </is>
      </c>
      <c r="B758" t="inlineStr">
        <is>
          <t>E57</t>
        </is>
      </c>
      <c r="C758" t="n">
        <v>57</v>
      </c>
      <c r="D758" t="n">
        <v>5</v>
      </c>
      <c r="E758" t="inlineStr">
        <is>
          <t>Output</t>
        </is>
      </c>
      <c r="F758" t="inlineStr">
        <is>
          <t>'=SUM(E52:E54)</t>
        </is>
      </c>
      <c r="G758" t="n">
        <v>8633.059999999999</v>
      </c>
      <c r="H758" t="inlineStr"/>
      <c r="I758" t="inlineStr">
        <is>
          <t>#,##0</t>
        </is>
      </c>
      <c r="J758" t="b">
        <v>0</v>
      </c>
      <c r="K758" t="b">
        <v>0</v>
      </c>
      <c r="L758" t="n">
        <v>11</v>
      </c>
      <c r="M758" t="inlineStr">
        <is>
          <t>Values must be of type &lt;class 'str'&gt;</t>
        </is>
      </c>
      <c r="N758" t="inlineStr">
        <is>
          <t>Values must be of type &lt;class 'str'&gt;</t>
        </is>
      </c>
      <c r="O758" t="inlineStr">
        <is>
          <t>center</t>
        </is>
      </c>
      <c r="P758" t="n">
        <v/>
      </c>
      <c r="R758" t="b">
        <v>1</v>
      </c>
      <c r="S758" t="inlineStr">
        <is>
          <t>G000044</t>
        </is>
      </c>
      <c r="T758" t="inlineStr">
        <is>
          <t>Horizontal</t>
        </is>
      </c>
      <c r="U758" t="n">
        <v>8</v>
      </c>
      <c r="V758" t="b">
        <v>1</v>
      </c>
      <c r="W758" t="inlineStr">
        <is>
          <t>Assumptions Sheet!C57:J57</t>
        </is>
      </c>
      <c r="X758">
        <f>SUM(R[-5]C[0]:R[-3]C[0])</f>
        <v/>
      </c>
    </row>
    <row r="759">
      <c r="A759" t="inlineStr">
        <is>
          <t>Assumptions Sheet</t>
        </is>
      </c>
      <c r="B759" t="inlineStr">
        <is>
          <t>F57</t>
        </is>
      </c>
      <c r="C759" t="n">
        <v>57</v>
      </c>
      <c r="D759" t="n">
        <v>6</v>
      </c>
      <c r="E759" t="inlineStr">
        <is>
          <t>Output</t>
        </is>
      </c>
      <c r="F759" t="inlineStr">
        <is>
          <t>'=SUM(F52:F54)</t>
        </is>
      </c>
      <c r="G759" t="n">
        <v>14288.89</v>
      </c>
      <c r="H759" t="inlineStr"/>
      <c r="I759" t="inlineStr">
        <is>
          <t>#,##0</t>
        </is>
      </c>
      <c r="J759" t="b">
        <v>0</v>
      </c>
      <c r="K759" t="b">
        <v>0</v>
      </c>
      <c r="L759" t="n">
        <v>11</v>
      </c>
      <c r="M759" t="inlineStr">
        <is>
          <t>Values must be of type &lt;class 'str'&gt;</t>
        </is>
      </c>
      <c r="N759" t="inlineStr">
        <is>
          <t>Values must be of type &lt;class 'str'&gt;</t>
        </is>
      </c>
      <c r="O759" t="inlineStr">
        <is>
          <t>center</t>
        </is>
      </c>
      <c r="P759" t="n">
        <v/>
      </c>
      <c r="R759" t="b">
        <v>1</v>
      </c>
      <c r="S759" t="inlineStr">
        <is>
          <t>G000044</t>
        </is>
      </c>
      <c r="T759" t="inlineStr">
        <is>
          <t>Horizontal</t>
        </is>
      </c>
      <c r="U759" t="n">
        <v>8</v>
      </c>
      <c r="V759" t="b">
        <v>1</v>
      </c>
      <c r="W759" t="inlineStr">
        <is>
          <t>Assumptions Sheet!C57:J57</t>
        </is>
      </c>
      <c r="X759">
        <f>SUM(R[-5]C[0]:R[-3]C[0])</f>
        <v/>
      </c>
    </row>
    <row r="760">
      <c r="A760" t="inlineStr">
        <is>
          <t>Assumptions Sheet</t>
        </is>
      </c>
      <c r="B760" t="inlineStr">
        <is>
          <t>G57</t>
        </is>
      </c>
      <c r="C760" t="n">
        <v>57</v>
      </c>
      <c r="D760" t="n">
        <v>7</v>
      </c>
      <c r="E760" t="inlineStr">
        <is>
          <t>Output</t>
        </is>
      </c>
      <c r="F760" t="inlineStr">
        <is>
          <t>'=SUM(G52:G54)</t>
        </is>
      </c>
      <c r="G760" t="n">
        <v>18132.91</v>
      </c>
      <c r="H760" t="inlineStr"/>
      <c r="I760" t="inlineStr">
        <is>
          <t>#,##0</t>
        </is>
      </c>
      <c r="J760" t="b">
        <v>0</v>
      </c>
      <c r="K760" t="b">
        <v>0</v>
      </c>
      <c r="L760" t="n">
        <v>11</v>
      </c>
      <c r="M760" t="inlineStr">
        <is>
          <t>Values must be of type &lt;class 'str'&gt;</t>
        </is>
      </c>
      <c r="N760" t="inlineStr">
        <is>
          <t>Values must be of type &lt;class 'str'&gt;</t>
        </is>
      </c>
      <c r="O760" t="inlineStr">
        <is>
          <t>center</t>
        </is>
      </c>
      <c r="P760" t="n">
        <v/>
      </c>
      <c r="R760" t="b">
        <v>1</v>
      </c>
      <c r="S760" t="inlineStr">
        <is>
          <t>G000044</t>
        </is>
      </c>
      <c r="T760" t="inlineStr">
        <is>
          <t>Horizontal</t>
        </is>
      </c>
      <c r="U760" t="n">
        <v>8</v>
      </c>
      <c r="V760" t="b">
        <v>1</v>
      </c>
      <c r="W760" t="inlineStr">
        <is>
          <t>Assumptions Sheet!C57:J57</t>
        </is>
      </c>
      <c r="X760">
        <f>SUM(R[-5]C[0]:R[-3]C[0])</f>
        <v/>
      </c>
    </row>
    <row r="761">
      <c r="A761" t="inlineStr">
        <is>
          <t>Assumptions Sheet</t>
        </is>
      </c>
      <c r="B761" t="inlineStr">
        <is>
          <t>H57</t>
        </is>
      </c>
      <c r="C761" t="n">
        <v>57</v>
      </c>
      <c r="D761" t="n">
        <v>8</v>
      </c>
      <c r="E761" t="inlineStr">
        <is>
          <t>Output</t>
        </is>
      </c>
      <c r="F761" t="inlineStr">
        <is>
          <t>'=SUM(H52:H54)</t>
        </is>
      </c>
      <c r="G761" t="n">
        <v>21121.41</v>
      </c>
      <c r="H761" t="inlineStr"/>
      <c r="I761" t="inlineStr">
        <is>
          <t>#,##0</t>
        </is>
      </c>
      <c r="J761" t="b">
        <v>0</v>
      </c>
      <c r="K761" t="b">
        <v>0</v>
      </c>
      <c r="L761" t="n">
        <v>11</v>
      </c>
      <c r="M761" t="inlineStr">
        <is>
          <t>Values must be of type &lt;class 'str'&gt;</t>
        </is>
      </c>
      <c r="N761" t="inlineStr">
        <is>
          <t>Values must be of type &lt;class 'str'&gt;</t>
        </is>
      </c>
      <c r="O761" t="inlineStr">
        <is>
          <t>center</t>
        </is>
      </c>
      <c r="P761" t="n">
        <v/>
      </c>
      <c r="R761" t="b">
        <v>1</v>
      </c>
      <c r="S761" t="inlineStr">
        <is>
          <t>G000044</t>
        </is>
      </c>
      <c r="T761" t="inlineStr">
        <is>
          <t>Horizontal</t>
        </is>
      </c>
      <c r="U761" t="n">
        <v>8</v>
      </c>
      <c r="V761" t="b">
        <v>1</v>
      </c>
      <c r="W761" t="inlineStr">
        <is>
          <t>Assumptions Sheet!C57:J57</t>
        </is>
      </c>
      <c r="X761">
        <f>SUM(R[-5]C[0]:R[-3]C[0])</f>
        <v/>
      </c>
    </row>
    <row r="762">
      <c r="A762" t="inlineStr">
        <is>
          <t>Assumptions Sheet</t>
        </is>
      </c>
      <c r="B762" t="inlineStr">
        <is>
          <t>I57</t>
        </is>
      </c>
      <c r="C762" t="n">
        <v>57</v>
      </c>
      <c r="D762" t="n">
        <v>9</v>
      </c>
      <c r="E762" t="inlineStr">
        <is>
          <t>Output</t>
        </is>
      </c>
      <c r="F762" t="inlineStr">
        <is>
          <t>'=SUM(I52:I54)</t>
        </is>
      </c>
      <c r="G762" t="n">
        <v>27842.11</v>
      </c>
      <c r="H762" t="inlineStr"/>
      <c r="I762" t="inlineStr">
        <is>
          <t>#,##0</t>
        </is>
      </c>
      <c r="J762" t="b">
        <v>0</v>
      </c>
      <c r="K762" t="b">
        <v>0</v>
      </c>
      <c r="L762" t="n">
        <v>11</v>
      </c>
      <c r="M762" t="inlineStr">
        <is>
          <t>Values must be of type &lt;class 'str'&gt;</t>
        </is>
      </c>
      <c r="N762" t="inlineStr">
        <is>
          <t>Values must be of type &lt;class 'str'&gt;</t>
        </is>
      </c>
      <c r="O762" t="inlineStr">
        <is>
          <t>center</t>
        </is>
      </c>
      <c r="P762" t="n">
        <v/>
      </c>
      <c r="R762" t="b">
        <v>1</v>
      </c>
      <c r="S762" t="inlineStr">
        <is>
          <t>G000044</t>
        </is>
      </c>
      <c r="T762" t="inlineStr">
        <is>
          <t>Horizontal</t>
        </is>
      </c>
      <c r="U762" t="n">
        <v>8</v>
      </c>
      <c r="V762" t="b">
        <v>1</v>
      </c>
      <c r="W762" t="inlineStr">
        <is>
          <t>Assumptions Sheet!C57:J57</t>
        </is>
      </c>
      <c r="X762">
        <f>SUM(R[-5]C[0]:R[-3]C[0])</f>
        <v/>
      </c>
    </row>
    <row r="763">
      <c r="A763" t="inlineStr">
        <is>
          <t>Assumptions Sheet</t>
        </is>
      </c>
      <c r="B763" t="inlineStr">
        <is>
          <t>J57</t>
        </is>
      </c>
      <c r="C763" t="n">
        <v>57</v>
      </c>
      <c r="D763" t="n">
        <v>10</v>
      </c>
      <c r="E763" t="inlineStr">
        <is>
          <t>Output</t>
        </is>
      </c>
      <c r="F763" t="inlineStr">
        <is>
          <t>'=SUM(J52:J54)</t>
        </is>
      </c>
      <c r="G763" t="n">
        <v>33031.53</v>
      </c>
      <c r="H763" t="inlineStr"/>
      <c r="I763" t="inlineStr">
        <is>
          <t>#,##0</t>
        </is>
      </c>
      <c r="J763" t="b">
        <v>0</v>
      </c>
      <c r="K763" t="b">
        <v>0</v>
      </c>
      <c r="L763" t="n">
        <v>11</v>
      </c>
      <c r="M763" t="inlineStr">
        <is>
          <t>Values must be of type &lt;class 'str'&gt;</t>
        </is>
      </c>
      <c r="N763" t="inlineStr">
        <is>
          <t>Values must be of type &lt;class 'str'&gt;</t>
        </is>
      </c>
      <c r="O763" t="inlineStr">
        <is>
          <t>center</t>
        </is>
      </c>
      <c r="P763" t="n">
        <v/>
      </c>
      <c r="R763" t="b">
        <v>1</v>
      </c>
      <c r="S763" t="inlineStr">
        <is>
          <t>G000044</t>
        </is>
      </c>
      <c r="T763" t="inlineStr">
        <is>
          <t>Horizontal</t>
        </is>
      </c>
      <c r="U763" t="n">
        <v>8</v>
      </c>
      <c r="V763" t="b">
        <v>1</v>
      </c>
      <c r="W763" t="inlineStr">
        <is>
          <t>Assumptions Sheet!C57:J57</t>
        </is>
      </c>
      <c r="X763">
        <f>SUM(R[-5]C[0]:R[-3]C[0])</f>
        <v/>
      </c>
    </row>
    <row r="764">
      <c r="A764" t="inlineStr">
        <is>
          <t>Assumptions Sheet</t>
        </is>
      </c>
      <c r="B764" t="inlineStr">
        <is>
          <t>N57</t>
        </is>
      </c>
      <c r="C764" t="n">
        <v>57</v>
      </c>
      <c r="D764" t="n">
        <v>14</v>
      </c>
      <c r="E764" t="inlineStr">
        <is>
          <t>Output</t>
        </is>
      </c>
      <c r="F764" t="inlineStr">
        <is>
          <t>'=7.55%+1.95%+1%</t>
        </is>
      </c>
      <c r="G764" t="n">
        <v>0.105</v>
      </c>
      <c r="H764" t="inlineStr"/>
      <c r="I764" t="inlineStr">
        <is>
          <t>0.000%</t>
        </is>
      </c>
      <c r="J764" t="b">
        <v>0</v>
      </c>
      <c r="K764" t="b">
        <v>0</v>
      </c>
      <c r="L764" t="n">
        <v>11</v>
      </c>
      <c r="M764" t="inlineStr">
        <is>
          <t>FFFF0000</t>
        </is>
      </c>
      <c r="N764" t="inlineStr">
        <is>
          <t>Values must be of type &lt;class 'str'&gt;</t>
        </is>
      </c>
      <c r="O764" t="n">
        <v/>
      </c>
      <c r="P764" t="n">
        <v/>
      </c>
      <c r="R764" t="b">
        <v>1</v>
      </c>
      <c r="S764" t="n">
        <v/>
      </c>
      <c r="T764" t="n">
        <v/>
      </c>
      <c r="U764" t="n">
        <v/>
      </c>
      <c r="V764" t="b">
        <v>0</v>
      </c>
      <c r="W764" t="inlineStr"/>
      <c r="X764">
        <f>7.55%+1.95%+1%</f>
        <v/>
      </c>
    </row>
    <row r="765">
      <c r="A765" t="inlineStr">
        <is>
          <t>Assumptions Sheet</t>
        </is>
      </c>
      <c r="B765" t="inlineStr">
        <is>
          <t>B58</t>
        </is>
      </c>
      <c r="C765" t="n">
        <v>58</v>
      </c>
      <c r="D765" t="n">
        <v>2</v>
      </c>
      <c r="E765" t="inlineStr">
        <is>
          <t>Input</t>
        </is>
      </c>
      <c r="F765" t="n">
        <v/>
      </c>
      <c r="G765" t="inlineStr">
        <is>
          <t>Number of Planes</t>
        </is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11</v>
      </c>
      <c r="M765" t="inlineStr">
        <is>
          <t>Values must be of type &lt;class 'str'&gt;</t>
        </is>
      </c>
      <c r="N765" t="inlineStr">
        <is>
          <t>Values must be of type &lt;class 'str'&gt;</t>
        </is>
      </c>
      <c r="O765" t="inlineStr">
        <is>
          <t>left</t>
        </is>
      </c>
      <c r="P765" t="n">
        <v/>
      </c>
      <c r="R765" t="b">
        <v>1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</row>
    <row r="766">
      <c r="A766" t="inlineStr">
        <is>
          <t>Assumptions Sheet</t>
        </is>
      </c>
      <c r="B766" t="inlineStr">
        <is>
          <t>C58</t>
        </is>
      </c>
      <c r="C766" t="n">
        <v>58</v>
      </c>
      <c r="D766" t="n">
        <v>3</v>
      </c>
      <c r="E766" t="inlineStr">
        <is>
          <t>Calculation</t>
        </is>
      </c>
      <c r="F766" t="inlineStr">
        <is>
          <t>'=C17</t>
        </is>
      </c>
      <c r="G766" t="n">
        <v>25</v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11</v>
      </c>
      <c r="M766" t="inlineStr">
        <is>
          <t>Values must be of type &lt;class 'str'&gt;</t>
        </is>
      </c>
      <c r="N766" t="inlineStr">
        <is>
          <t>Values must be of type &lt;class 'str'&gt;</t>
        </is>
      </c>
      <c r="O766" t="inlineStr">
        <is>
          <t>center</t>
        </is>
      </c>
      <c r="P766" t="n">
        <v/>
      </c>
      <c r="R766" t="b">
        <v>1</v>
      </c>
      <c r="S766" t="inlineStr">
        <is>
          <t>G000045</t>
        </is>
      </c>
      <c r="T766" t="inlineStr">
        <is>
          <t>Horizontal</t>
        </is>
      </c>
      <c r="U766" t="n">
        <v>8</v>
      </c>
      <c r="V766" t="b">
        <v>1</v>
      </c>
      <c r="W766" t="inlineStr">
        <is>
          <t>Assumptions Sheet!C58:J58</t>
        </is>
      </c>
      <c r="X766">
        <f>R[-41]C[0]</f>
        <v/>
      </c>
    </row>
    <row r="767">
      <c r="A767" t="inlineStr">
        <is>
          <t>Assumptions Sheet</t>
        </is>
      </c>
      <c r="B767" t="inlineStr">
        <is>
          <t>D58</t>
        </is>
      </c>
      <c r="C767" t="n">
        <v>58</v>
      </c>
      <c r="D767" t="n">
        <v>4</v>
      </c>
      <c r="E767" t="inlineStr">
        <is>
          <t>Calculation</t>
        </is>
      </c>
      <c r="F767" t="inlineStr">
        <is>
          <t>'=D17</t>
        </is>
      </c>
      <c r="G767" t="n">
        <v>39</v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11</v>
      </c>
      <c r="M767" t="inlineStr">
        <is>
          <t>Values must be of type &lt;class 'str'&gt;</t>
        </is>
      </c>
      <c r="N767" t="inlineStr">
        <is>
          <t>Values must be of type &lt;class 'str'&gt;</t>
        </is>
      </c>
      <c r="O767" t="inlineStr">
        <is>
          <t>center</t>
        </is>
      </c>
      <c r="P767" t="n">
        <v/>
      </c>
      <c r="R767" t="b">
        <v>1</v>
      </c>
      <c r="S767" t="inlineStr">
        <is>
          <t>G000045</t>
        </is>
      </c>
      <c r="T767" t="inlineStr">
        <is>
          <t>Horizontal</t>
        </is>
      </c>
      <c r="U767" t="n">
        <v>8</v>
      </c>
      <c r="V767" t="b">
        <v>1</v>
      </c>
      <c r="W767" t="inlineStr">
        <is>
          <t>Assumptions Sheet!C58:J58</t>
        </is>
      </c>
      <c r="X767">
        <f>R[-41]C[0]</f>
        <v/>
      </c>
    </row>
    <row r="768">
      <c r="A768" t="inlineStr">
        <is>
          <t>Assumptions Sheet</t>
        </is>
      </c>
      <c r="B768" t="inlineStr">
        <is>
          <t>E58</t>
        </is>
      </c>
      <c r="C768" t="n">
        <v>58</v>
      </c>
      <c r="D768" t="n">
        <v>5</v>
      </c>
      <c r="E768" t="inlineStr">
        <is>
          <t>Calculation</t>
        </is>
      </c>
      <c r="F768" t="inlineStr">
        <is>
          <t>'=E17</t>
        </is>
      </c>
      <c r="G768" t="n">
        <v>55</v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11</v>
      </c>
      <c r="M768" t="inlineStr">
        <is>
          <t>Values must be of type &lt;class 'str'&gt;</t>
        </is>
      </c>
      <c r="N768" t="inlineStr">
        <is>
          <t>Values must be of type &lt;class 'str'&gt;</t>
        </is>
      </c>
      <c r="O768" t="inlineStr">
        <is>
          <t>center</t>
        </is>
      </c>
      <c r="P768" t="n">
        <v/>
      </c>
      <c r="R768" t="b">
        <v>1</v>
      </c>
      <c r="S768" t="inlineStr">
        <is>
          <t>G000045</t>
        </is>
      </c>
      <c r="T768" t="inlineStr">
        <is>
          <t>Horizontal</t>
        </is>
      </c>
      <c r="U768" t="n">
        <v>8</v>
      </c>
      <c r="V768" t="b">
        <v>1</v>
      </c>
      <c r="W768" t="inlineStr">
        <is>
          <t>Assumptions Sheet!C58:J58</t>
        </is>
      </c>
      <c r="X768">
        <f>R[-41]C[0]</f>
        <v/>
      </c>
    </row>
    <row r="769">
      <c r="A769" t="inlineStr">
        <is>
          <t>Assumptions Sheet</t>
        </is>
      </c>
      <c r="B769" t="inlineStr">
        <is>
          <t>F58</t>
        </is>
      </c>
      <c r="C769" t="n">
        <v>58</v>
      </c>
      <c r="D769" t="n">
        <v>6</v>
      </c>
      <c r="E769" t="inlineStr">
        <is>
          <t>Calculation</t>
        </is>
      </c>
      <c r="F769" t="inlineStr">
        <is>
          <t>'=F17</t>
        </is>
      </c>
      <c r="G769" t="n">
        <v>66</v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11</v>
      </c>
      <c r="M769" t="inlineStr">
        <is>
          <t>Values must be of type &lt;class 'str'&gt;</t>
        </is>
      </c>
      <c r="N769" t="inlineStr">
        <is>
          <t>Values must be of type &lt;class 'str'&gt;</t>
        </is>
      </c>
      <c r="O769" t="inlineStr">
        <is>
          <t>center</t>
        </is>
      </c>
      <c r="P769" t="n">
        <v/>
      </c>
      <c r="R769" t="b">
        <v>1</v>
      </c>
      <c r="S769" t="inlineStr">
        <is>
          <t>G000045</t>
        </is>
      </c>
      <c r="T769" t="inlineStr">
        <is>
          <t>Horizontal</t>
        </is>
      </c>
      <c r="U769" t="n">
        <v>8</v>
      </c>
      <c r="V769" t="b">
        <v>1</v>
      </c>
      <c r="W769" t="inlineStr">
        <is>
          <t>Assumptions Sheet!C58:J58</t>
        </is>
      </c>
      <c r="X769">
        <f>R[-41]C[0]</f>
        <v/>
      </c>
    </row>
    <row r="770">
      <c r="A770" t="inlineStr">
        <is>
          <t>Assumptions Sheet</t>
        </is>
      </c>
      <c r="B770" t="inlineStr">
        <is>
          <t>G58</t>
        </is>
      </c>
      <c r="C770" t="n">
        <v>58</v>
      </c>
      <c r="D770" t="n">
        <v>7</v>
      </c>
      <c r="E770" t="inlineStr">
        <is>
          <t>Calculation</t>
        </is>
      </c>
      <c r="F770" t="inlineStr">
        <is>
          <t>'=G17</t>
        </is>
      </c>
      <c r="G770" t="n">
        <v>77</v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11</v>
      </c>
      <c r="M770" t="inlineStr">
        <is>
          <t>Values must be of type &lt;class 'str'&gt;</t>
        </is>
      </c>
      <c r="N770" t="inlineStr">
        <is>
          <t>Values must be of type &lt;class 'str'&gt;</t>
        </is>
      </c>
      <c r="O770" t="inlineStr">
        <is>
          <t>center</t>
        </is>
      </c>
      <c r="P770" t="n">
        <v/>
      </c>
      <c r="R770" t="b">
        <v>1</v>
      </c>
      <c r="S770" t="inlineStr">
        <is>
          <t>G000045</t>
        </is>
      </c>
      <c r="T770" t="inlineStr">
        <is>
          <t>Horizontal</t>
        </is>
      </c>
      <c r="U770" t="n">
        <v>8</v>
      </c>
      <c r="V770" t="b">
        <v>1</v>
      </c>
      <c r="W770" t="inlineStr">
        <is>
          <t>Assumptions Sheet!C58:J58</t>
        </is>
      </c>
      <c r="X770">
        <f>R[-41]C[0]</f>
        <v/>
      </c>
    </row>
    <row r="771">
      <c r="A771" t="inlineStr">
        <is>
          <t>Assumptions Sheet</t>
        </is>
      </c>
      <c r="B771" t="inlineStr">
        <is>
          <t>H58</t>
        </is>
      </c>
      <c r="C771" t="n">
        <v>58</v>
      </c>
      <c r="D771" t="n">
        <v>8</v>
      </c>
      <c r="E771" t="inlineStr">
        <is>
          <t>Calculation</t>
        </is>
      </c>
      <c r="F771" t="inlineStr">
        <is>
          <t>'=H17</t>
        </is>
      </c>
      <c r="G771" t="n">
        <v>94</v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11</v>
      </c>
      <c r="M771" t="inlineStr">
        <is>
          <t>Values must be of type &lt;class 'str'&gt;</t>
        </is>
      </c>
      <c r="N771" t="inlineStr">
        <is>
          <t>Values must be of type &lt;class 'str'&gt;</t>
        </is>
      </c>
      <c r="O771" t="inlineStr">
        <is>
          <t>center</t>
        </is>
      </c>
      <c r="P771" t="n">
        <v/>
      </c>
      <c r="R771" t="b">
        <v>1</v>
      </c>
      <c r="S771" t="inlineStr">
        <is>
          <t>G000045</t>
        </is>
      </c>
      <c r="T771" t="inlineStr">
        <is>
          <t>Horizontal</t>
        </is>
      </c>
      <c r="U771" t="n">
        <v>8</v>
      </c>
      <c r="V771" t="b">
        <v>1</v>
      </c>
      <c r="W771" t="inlineStr">
        <is>
          <t>Assumptions Sheet!C58:J58</t>
        </is>
      </c>
      <c r="X771">
        <f>R[-41]C[0]</f>
        <v/>
      </c>
    </row>
    <row r="772">
      <c r="A772" t="inlineStr">
        <is>
          <t>Assumptions Sheet</t>
        </is>
      </c>
      <c r="B772" t="inlineStr">
        <is>
          <t>I58</t>
        </is>
      </c>
      <c r="C772" t="n">
        <v>58</v>
      </c>
      <c r="D772" t="n">
        <v>9</v>
      </c>
      <c r="E772" t="inlineStr">
        <is>
          <t>Calculation</t>
        </is>
      </c>
      <c r="F772" t="inlineStr">
        <is>
          <t>'=I17</t>
        </is>
      </c>
      <c r="G772" t="n">
        <v>107</v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11</v>
      </c>
      <c r="M772" t="inlineStr">
        <is>
          <t>Values must be of type &lt;class 'str'&gt;</t>
        </is>
      </c>
      <c r="N772" t="inlineStr">
        <is>
          <t>Values must be of type &lt;class 'str'&gt;</t>
        </is>
      </c>
      <c r="O772" t="inlineStr">
        <is>
          <t>center</t>
        </is>
      </c>
      <c r="P772" t="n">
        <v/>
      </c>
      <c r="R772" t="b">
        <v>1</v>
      </c>
      <c r="S772" t="inlineStr">
        <is>
          <t>G000045</t>
        </is>
      </c>
      <c r="T772" t="inlineStr">
        <is>
          <t>Horizontal</t>
        </is>
      </c>
      <c r="U772" t="n">
        <v>8</v>
      </c>
      <c r="V772" t="b">
        <v>1</v>
      </c>
      <c r="W772" t="inlineStr">
        <is>
          <t>Assumptions Sheet!C58:J58</t>
        </is>
      </c>
      <c r="X772">
        <f>R[-41]C[0]</f>
        <v/>
      </c>
    </row>
    <row r="773">
      <c r="A773" t="inlineStr">
        <is>
          <t>Assumptions Sheet</t>
        </is>
      </c>
      <c r="B773" t="inlineStr">
        <is>
          <t>J58</t>
        </is>
      </c>
      <c r="C773" t="n">
        <v>58</v>
      </c>
      <c r="D773" t="n">
        <v>10</v>
      </c>
      <c r="E773" t="inlineStr">
        <is>
          <t>Calculation</t>
        </is>
      </c>
      <c r="F773" t="inlineStr">
        <is>
          <t>'=J17</t>
        </is>
      </c>
      <c r="G773" t="n">
        <v>131</v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11</v>
      </c>
      <c r="M773" t="inlineStr">
        <is>
          <t>Values must be of type &lt;class 'str'&gt;</t>
        </is>
      </c>
      <c r="N773" t="inlineStr">
        <is>
          <t>Values must be of type &lt;class 'str'&gt;</t>
        </is>
      </c>
      <c r="O773" t="inlineStr">
        <is>
          <t>center</t>
        </is>
      </c>
      <c r="P773" t="n">
        <v/>
      </c>
      <c r="R773" t="b">
        <v>1</v>
      </c>
      <c r="S773" t="inlineStr">
        <is>
          <t>G000045</t>
        </is>
      </c>
      <c r="T773" t="inlineStr">
        <is>
          <t>Horizontal</t>
        </is>
      </c>
      <c r="U773" t="n">
        <v>8</v>
      </c>
      <c r="V773" t="b">
        <v>1</v>
      </c>
      <c r="W773" t="inlineStr">
        <is>
          <t>Assumptions Sheet!C58:J58</t>
        </is>
      </c>
      <c r="X773">
        <f>R[-41]C[0]</f>
        <v/>
      </c>
    </row>
    <row r="774">
      <c r="A774" t="inlineStr">
        <is>
          <t>Assumptions Sheet</t>
        </is>
      </c>
      <c r="B774" t="inlineStr">
        <is>
          <t>U58</t>
        </is>
      </c>
      <c r="C774" t="n">
        <v>58</v>
      </c>
      <c r="D774" t="n">
        <v>21</v>
      </c>
      <c r="E774" t="inlineStr">
        <is>
          <t>Input</t>
        </is>
      </c>
      <c r="F774" t="n">
        <v/>
      </c>
      <c r="G774" t="inlineStr">
        <is>
          <t>Year</t>
        </is>
      </c>
      <c r="H774" t="inlineStr"/>
      <c r="I774" t="inlineStr">
        <is>
          <t>General</t>
        </is>
      </c>
      <c r="J774" t="b">
        <v>1</v>
      </c>
      <c r="K774" t="b">
        <v>0</v>
      </c>
      <c r="L774" t="n">
        <v>11</v>
      </c>
      <c r="M774" t="n">
        <v/>
      </c>
      <c r="N774" t="inlineStr">
        <is>
          <t>Values must be of type &lt;class 'str'&gt;</t>
        </is>
      </c>
      <c r="O774" t="inlineStr">
        <is>
          <t>left</t>
        </is>
      </c>
      <c r="P774" t="n">
        <v/>
      </c>
      <c r="R774" t="b">
        <v>1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</row>
    <row r="775">
      <c r="A775" t="inlineStr">
        <is>
          <t>Assumptions Sheet</t>
        </is>
      </c>
      <c r="B775" t="inlineStr">
        <is>
          <t>V58</t>
        </is>
      </c>
      <c r="C775" t="n">
        <v>58</v>
      </c>
      <c r="D775" t="n">
        <v>22</v>
      </c>
      <c r="E775" t="inlineStr">
        <is>
          <t>Input</t>
        </is>
      </c>
      <c r="F775" t="n">
        <v/>
      </c>
      <c r="G775" t="inlineStr">
        <is>
          <t>2018E</t>
        </is>
      </c>
      <c r="H775" t="inlineStr"/>
      <c r="I775" t="inlineStr">
        <is>
          <t>General</t>
        </is>
      </c>
      <c r="J775" t="b">
        <v>1</v>
      </c>
      <c r="K775" t="b">
        <v>0</v>
      </c>
      <c r="L775" t="n">
        <v>11</v>
      </c>
      <c r="M775" t="n">
        <v/>
      </c>
      <c r="N775" t="inlineStr">
        <is>
          <t>Values must be of type &lt;class 'str'&gt;</t>
        </is>
      </c>
      <c r="O775" t="inlineStr">
        <is>
          <t>center</t>
        </is>
      </c>
      <c r="P775" t="n">
        <v/>
      </c>
      <c r="R775" t="b">
        <v>1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</row>
    <row r="776">
      <c r="A776" t="inlineStr">
        <is>
          <t>Assumptions Sheet</t>
        </is>
      </c>
      <c r="B776" t="inlineStr">
        <is>
          <t>W58</t>
        </is>
      </c>
      <c r="C776" t="n">
        <v>58</v>
      </c>
      <c r="D776" t="n">
        <v>23</v>
      </c>
      <c r="E776" t="inlineStr">
        <is>
          <t>Input</t>
        </is>
      </c>
      <c r="F776" t="n">
        <v/>
      </c>
      <c r="G776" t="inlineStr">
        <is>
          <t>2019E</t>
        </is>
      </c>
      <c r="H776" t="inlineStr"/>
      <c r="I776" t="inlineStr">
        <is>
          <t>General</t>
        </is>
      </c>
      <c r="J776" t="b">
        <v>1</v>
      </c>
      <c r="K776" t="b">
        <v>0</v>
      </c>
      <c r="L776" t="n">
        <v>11</v>
      </c>
      <c r="M776" t="n">
        <v/>
      </c>
      <c r="N776" t="inlineStr">
        <is>
          <t>Values must be of type &lt;class 'str'&gt;</t>
        </is>
      </c>
      <c r="O776" t="inlineStr">
        <is>
          <t>center</t>
        </is>
      </c>
      <c r="P776" t="n">
        <v/>
      </c>
      <c r="R776" t="b">
        <v>1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</row>
    <row r="777">
      <c r="A777" t="inlineStr">
        <is>
          <t>Assumptions Sheet</t>
        </is>
      </c>
      <c r="B777" t="inlineStr">
        <is>
          <t>X58</t>
        </is>
      </c>
      <c r="C777" t="n">
        <v>58</v>
      </c>
      <c r="D777" t="n">
        <v>24</v>
      </c>
      <c r="E777" t="inlineStr">
        <is>
          <t>Input</t>
        </is>
      </c>
      <c r="F777" t="n">
        <v/>
      </c>
      <c r="G777" t="inlineStr">
        <is>
          <t>2020E</t>
        </is>
      </c>
      <c r="H777" t="inlineStr"/>
      <c r="I777" t="inlineStr">
        <is>
          <t>General</t>
        </is>
      </c>
      <c r="J777" t="b">
        <v>1</v>
      </c>
      <c r="K777" t="b">
        <v>0</v>
      </c>
      <c r="L777" t="n">
        <v>11</v>
      </c>
      <c r="M777" t="n">
        <v/>
      </c>
      <c r="N777" t="inlineStr">
        <is>
          <t>Values must be of type &lt;class 'str'&gt;</t>
        </is>
      </c>
      <c r="O777" t="inlineStr">
        <is>
          <t>center</t>
        </is>
      </c>
      <c r="P777" t="n">
        <v/>
      </c>
      <c r="R777" t="b">
        <v>1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</row>
    <row r="778">
      <c r="A778" t="inlineStr">
        <is>
          <t>Assumptions Sheet</t>
        </is>
      </c>
      <c r="B778" t="inlineStr">
        <is>
          <t>Y58</t>
        </is>
      </c>
      <c r="C778" t="n">
        <v>58</v>
      </c>
      <c r="D778" t="n">
        <v>25</v>
      </c>
      <c r="E778" t="inlineStr">
        <is>
          <t>Input</t>
        </is>
      </c>
      <c r="F778" t="n">
        <v/>
      </c>
      <c r="G778" t="inlineStr">
        <is>
          <t>2021E</t>
        </is>
      </c>
      <c r="H778" t="inlineStr"/>
      <c r="I778" t="inlineStr">
        <is>
          <t>General</t>
        </is>
      </c>
      <c r="J778" t="b">
        <v>1</v>
      </c>
      <c r="K778" t="b">
        <v>0</v>
      </c>
      <c r="L778" t="n">
        <v>11</v>
      </c>
      <c r="M778" t="n">
        <v/>
      </c>
      <c r="N778" t="inlineStr">
        <is>
          <t>Values must be of type &lt;class 'str'&gt;</t>
        </is>
      </c>
      <c r="O778" t="inlineStr">
        <is>
          <t>center</t>
        </is>
      </c>
      <c r="P778" t="n">
        <v/>
      </c>
      <c r="R778" t="b">
        <v>1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</row>
    <row r="779">
      <c r="A779" t="inlineStr">
        <is>
          <t>Assumptions Sheet</t>
        </is>
      </c>
      <c r="B779" t="inlineStr">
        <is>
          <t>Z58</t>
        </is>
      </c>
      <c r="C779" t="n">
        <v>58</v>
      </c>
      <c r="D779" t="n">
        <v>26</v>
      </c>
      <c r="E779" t="inlineStr">
        <is>
          <t>Input</t>
        </is>
      </c>
      <c r="F779" t="n">
        <v/>
      </c>
      <c r="G779" t="inlineStr">
        <is>
          <t>2022E</t>
        </is>
      </c>
      <c r="H779" t="inlineStr"/>
      <c r="I779" t="inlineStr">
        <is>
          <t>General</t>
        </is>
      </c>
      <c r="J779" t="b">
        <v>1</v>
      </c>
      <c r="K779" t="b">
        <v>0</v>
      </c>
      <c r="L779" t="n">
        <v>11</v>
      </c>
      <c r="M779" t="n">
        <v/>
      </c>
      <c r="N779" t="inlineStr">
        <is>
          <t>Values must be of type &lt;class 'str'&gt;</t>
        </is>
      </c>
      <c r="O779" t="inlineStr">
        <is>
          <t>center</t>
        </is>
      </c>
      <c r="P779" t="n">
        <v/>
      </c>
      <c r="R779" t="b">
        <v>1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</row>
    <row r="780">
      <c r="A780" t="inlineStr">
        <is>
          <t>Assumptions Sheet</t>
        </is>
      </c>
      <c r="B780" t="inlineStr">
        <is>
          <t>C59</t>
        </is>
      </c>
      <c r="C780" t="n">
        <v>59</v>
      </c>
      <c r="D780" t="n">
        <v>3</v>
      </c>
      <c r="E780" t="inlineStr">
        <is>
          <t>Output</t>
        </is>
      </c>
      <c r="F780" t="inlineStr">
        <is>
          <t>'=C56/C58</t>
        </is>
      </c>
      <c r="G780" t="n">
        <v>194.8904000000001</v>
      </c>
      <c r="H780" t="inlineStr"/>
      <c r="I780" t="inlineStr">
        <is>
          <t>0</t>
        </is>
      </c>
      <c r="J780" t="b">
        <v>0</v>
      </c>
      <c r="K780" t="b">
        <v>0</v>
      </c>
      <c r="L780" t="n">
        <v>11</v>
      </c>
      <c r="M780" t="inlineStr">
        <is>
          <t>Values must be of type &lt;class 'str'&gt;</t>
        </is>
      </c>
      <c r="N780" t="inlineStr">
        <is>
          <t>Values must be of type &lt;class 'str'&gt;</t>
        </is>
      </c>
      <c r="O780" t="inlineStr">
        <is>
          <t>center</t>
        </is>
      </c>
      <c r="P780" t="n">
        <v/>
      </c>
      <c r="R780" t="b">
        <v>1</v>
      </c>
      <c r="S780" t="inlineStr">
        <is>
          <t>G000046</t>
        </is>
      </c>
      <c r="T780" t="inlineStr">
        <is>
          <t>Horizontal</t>
        </is>
      </c>
      <c r="U780" t="n">
        <v>8</v>
      </c>
      <c r="V780" t="b">
        <v>1</v>
      </c>
      <c r="W780" t="inlineStr">
        <is>
          <t>Assumptions Sheet!C59:J59</t>
        </is>
      </c>
      <c r="X780">
        <f>R[-3]C[0]/R[-1]C[0]</f>
        <v/>
      </c>
    </row>
    <row r="781">
      <c r="A781" t="inlineStr">
        <is>
          <t>Assumptions Sheet</t>
        </is>
      </c>
      <c r="B781" t="inlineStr">
        <is>
          <t>D59</t>
        </is>
      </c>
      <c r="C781" t="n">
        <v>59</v>
      </c>
      <c r="D781" t="n">
        <v>4</v>
      </c>
      <c r="E781" t="inlineStr">
        <is>
          <t>Output</t>
        </is>
      </c>
      <c r="F781" t="inlineStr">
        <is>
          <t>'=D56/D58</t>
        </is>
      </c>
      <c r="G781" t="n">
        <v>178.8494871794872</v>
      </c>
      <c r="H781" t="inlineStr"/>
      <c r="I781" t="inlineStr">
        <is>
          <t>0</t>
        </is>
      </c>
      <c r="J781" t="b">
        <v>0</v>
      </c>
      <c r="K781" t="b">
        <v>0</v>
      </c>
      <c r="L781" t="n">
        <v>11</v>
      </c>
      <c r="M781" t="inlineStr">
        <is>
          <t>Values must be of type &lt;class 'str'&gt;</t>
        </is>
      </c>
      <c r="N781" t="inlineStr">
        <is>
          <t>Values must be of type &lt;class 'str'&gt;</t>
        </is>
      </c>
      <c r="O781" t="inlineStr">
        <is>
          <t>center</t>
        </is>
      </c>
      <c r="P781" t="n">
        <v/>
      </c>
      <c r="R781" t="b">
        <v>1</v>
      </c>
      <c r="S781" t="inlineStr">
        <is>
          <t>G000046</t>
        </is>
      </c>
      <c r="T781" t="inlineStr">
        <is>
          <t>Horizontal</t>
        </is>
      </c>
      <c r="U781" t="n">
        <v>8</v>
      </c>
      <c r="V781" t="b">
        <v>1</v>
      </c>
      <c r="W781" t="inlineStr">
        <is>
          <t>Assumptions Sheet!C59:J59</t>
        </is>
      </c>
      <c r="X781">
        <f>R[-3]C[0]/R[-1]C[0]</f>
        <v/>
      </c>
    </row>
    <row r="782">
      <c r="A782" t="inlineStr">
        <is>
          <t>Assumptions Sheet</t>
        </is>
      </c>
      <c r="B782" t="inlineStr">
        <is>
          <t>E59</t>
        </is>
      </c>
      <c r="C782" t="n">
        <v>59</v>
      </c>
      <c r="D782" t="n">
        <v>5</v>
      </c>
      <c r="E782" t="inlineStr">
        <is>
          <t>Output</t>
        </is>
      </c>
      <c r="F782" t="inlineStr">
        <is>
          <t>'=E56/E58</t>
        </is>
      </c>
      <c r="G782" t="n">
        <v>204.7329090909091</v>
      </c>
      <c r="H782" t="inlineStr"/>
      <c r="I782" t="inlineStr">
        <is>
          <t>0</t>
        </is>
      </c>
      <c r="J782" t="b">
        <v>0</v>
      </c>
      <c r="K782" t="b">
        <v>0</v>
      </c>
      <c r="L782" t="n">
        <v>11</v>
      </c>
      <c r="M782" t="inlineStr">
        <is>
          <t>Values must be of type &lt;class 'str'&gt;</t>
        </is>
      </c>
      <c r="N782" t="inlineStr">
        <is>
          <t>Values must be of type &lt;class 'str'&gt;</t>
        </is>
      </c>
      <c r="O782" t="inlineStr">
        <is>
          <t>center</t>
        </is>
      </c>
      <c r="P782" t="n">
        <v/>
      </c>
      <c r="R782" t="b">
        <v>1</v>
      </c>
      <c r="S782" t="inlineStr">
        <is>
          <t>G000046</t>
        </is>
      </c>
      <c r="T782" t="inlineStr">
        <is>
          <t>Horizontal</t>
        </is>
      </c>
      <c r="U782" t="n">
        <v>8</v>
      </c>
      <c r="V782" t="b">
        <v>1</v>
      </c>
      <c r="W782" t="inlineStr">
        <is>
          <t>Assumptions Sheet!C59:J59</t>
        </is>
      </c>
      <c r="X782">
        <f>R[-3]C[0]/R[-1]C[0]</f>
        <v/>
      </c>
    </row>
    <row r="783">
      <c r="A783" t="inlineStr">
        <is>
          <t>Assumptions Sheet</t>
        </is>
      </c>
      <c r="B783" t="inlineStr">
        <is>
          <t>F59</t>
        </is>
      </c>
      <c r="C783" t="n">
        <v>59</v>
      </c>
      <c r="D783" t="n">
        <v>6</v>
      </c>
      <c r="E783" t="inlineStr">
        <is>
          <t>Output</t>
        </is>
      </c>
      <c r="F783" t="inlineStr">
        <is>
          <t>'=F56/F58</t>
        </is>
      </c>
      <c r="G783" t="n">
        <v>270.8624242424242</v>
      </c>
      <c r="H783" t="inlineStr"/>
      <c r="I783" t="inlineStr">
        <is>
          <t>0</t>
        </is>
      </c>
      <c r="J783" t="b">
        <v>0</v>
      </c>
      <c r="K783" t="b">
        <v>0</v>
      </c>
      <c r="L783" t="n">
        <v>11</v>
      </c>
      <c r="M783" t="inlineStr">
        <is>
          <t>Values must be of type &lt;class 'str'&gt;</t>
        </is>
      </c>
      <c r="N783" t="inlineStr">
        <is>
          <t>Values must be of type &lt;class 'str'&gt;</t>
        </is>
      </c>
      <c r="O783" t="inlineStr">
        <is>
          <t>center</t>
        </is>
      </c>
      <c r="P783" t="n">
        <v/>
      </c>
      <c r="R783" t="b">
        <v>1</v>
      </c>
      <c r="S783" t="inlineStr">
        <is>
          <t>G000046</t>
        </is>
      </c>
      <c r="T783" t="inlineStr">
        <is>
          <t>Horizontal</t>
        </is>
      </c>
      <c r="U783" t="n">
        <v>8</v>
      </c>
      <c r="V783" t="b">
        <v>1</v>
      </c>
      <c r="W783" t="inlineStr">
        <is>
          <t>Assumptions Sheet!C59:J59</t>
        </is>
      </c>
      <c r="X783">
        <f>R[-3]C[0]/R[-1]C[0]</f>
        <v/>
      </c>
    </row>
    <row r="784">
      <c r="A784" t="inlineStr">
        <is>
          <t>Assumptions Sheet</t>
        </is>
      </c>
      <c r="B784" t="inlineStr">
        <is>
          <t>G59</t>
        </is>
      </c>
      <c r="C784" t="n">
        <v>59</v>
      </c>
      <c r="D784" t="n">
        <v>7</v>
      </c>
      <c r="E784" t="inlineStr">
        <is>
          <t>Output</t>
        </is>
      </c>
      <c r="F784" t="inlineStr">
        <is>
          <t>'=G56/G58</t>
        </is>
      </c>
      <c r="G784" t="n">
        <v>282.3387012987013</v>
      </c>
      <c r="H784" t="inlineStr"/>
      <c r="I784" t="inlineStr">
        <is>
          <t>0</t>
        </is>
      </c>
      <c r="J784" t="b">
        <v>0</v>
      </c>
      <c r="K784" t="b">
        <v>0</v>
      </c>
      <c r="L784" t="n">
        <v>11</v>
      </c>
      <c r="M784" t="inlineStr">
        <is>
          <t>Values must be of type &lt;class 'str'&gt;</t>
        </is>
      </c>
      <c r="N784" t="inlineStr">
        <is>
          <t>Values must be of type &lt;class 'str'&gt;</t>
        </is>
      </c>
      <c r="O784" t="inlineStr">
        <is>
          <t>center</t>
        </is>
      </c>
      <c r="P784" t="n">
        <v/>
      </c>
      <c r="R784" t="b">
        <v>1</v>
      </c>
      <c r="S784" t="inlineStr">
        <is>
          <t>G000046</t>
        </is>
      </c>
      <c r="T784" t="inlineStr">
        <is>
          <t>Horizontal</t>
        </is>
      </c>
      <c r="U784" t="n">
        <v>8</v>
      </c>
      <c r="V784" t="b">
        <v>1</v>
      </c>
      <c r="W784" t="inlineStr">
        <is>
          <t>Assumptions Sheet!C59:J59</t>
        </is>
      </c>
      <c r="X784">
        <f>R[-3]C[0]/R[-1]C[0]</f>
        <v/>
      </c>
    </row>
    <row r="785">
      <c r="A785" t="inlineStr">
        <is>
          <t>Assumptions Sheet</t>
        </is>
      </c>
      <c r="B785" t="inlineStr">
        <is>
          <t>H59</t>
        </is>
      </c>
      <c r="C785" t="n">
        <v>59</v>
      </c>
      <c r="D785" t="n">
        <v>8</v>
      </c>
      <c r="E785" t="inlineStr">
        <is>
          <t>Output</t>
        </is>
      </c>
      <c r="F785" t="inlineStr">
        <is>
          <t>'=H56/H58</t>
        </is>
      </c>
      <c r="G785" t="n">
        <v>262.495</v>
      </c>
      <c r="H785" t="inlineStr"/>
      <c r="I785" t="inlineStr">
        <is>
          <t>0</t>
        </is>
      </c>
      <c r="J785" t="b">
        <v>0</v>
      </c>
      <c r="K785" t="b">
        <v>0</v>
      </c>
      <c r="L785" t="n">
        <v>11</v>
      </c>
      <c r="M785" t="inlineStr">
        <is>
          <t>Values must be of type &lt;class 'str'&gt;</t>
        </is>
      </c>
      <c r="N785" t="inlineStr">
        <is>
          <t>Values must be of type &lt;class 'str'&gt;</t>
        </is>
      </c>
      <c r="O785" t="inlineStr">
        <is>
          <t>center</t>
        </is>
      </c>
      <c r="P785" t="n">
        <v/>
      </c>
      <c r="R785" t="b">
        <v>1</v>
      </c>
      <c r="S785" t="inlineStr">
        <is>
          <t>G000046</t>
        </is>
      </c>
      <c r="T785" t="inlineStr">
        <is>
          <t>Horizontal</t>
        </is>
      </c>
      <c r="U785" t="n">
        <v>8</v>
      </c>
      <c r="V785" t="b">
        <v>1</v>
      </c>
      <c r="W785" t="inlineStr">
        <is>
          <t>Assumptions Sheet!C59:J59</t>
        </is>
      </c>
      <c r="X785">
        <f>R[-3]C[0]/R[-1]C[0]</f>
        <v/>
      </c>
    </row>
    <row r="786">
      <c r="A786" t="inlineStr">
        <is>
          <t>Assumptions Sheet</t>
        </is>
      </c>
      <c r="B786" t="inlineStr">
        <is>
          <t>I59</t>
        </is>
      </c>
      <c r="C786" t="n">
        <v>59</v>
      </c>
      <c r="D786" t="n">
        <v>9</v>
      </c>
      <c r="E786" t="inlineStr">
        <is>
          <t>Output</t>
        </is>
      </c>
      <c r="F786" t="inlineStr">
        <is>
          <t>'=I56/I58</t>
        </is>
      </c>
      <c r="G786" t="n">
        <v>293.5333644859813</v>
      </c>
      <c r="H786" t="inlineStr"/>
      <c r="I786" t="inlineStr">
        <is>
          <t>0</t>
        </is>
      </c>
      <c r="J786" t="b">
        <v>0</v>
      </c>
      <c r="K786" t="b">
        <v>0</v>
      </c>
      <c r="L786" t="n">
        <v>11</v>
      </c>
      <c r="M786" t="inlineStr">
        <is>
          <t>Values must be of type &lt;class 'str'&gt;</t>
        </is>
      </c>
      <c r="N786" t="inlineStr">
        <is>
          <t>Values must be of type &lt;class 'str'&gt;</t>
        </is>
      </c>
      <c r="O786" t="inlineStr">
        <is>
          <t>center</t>
        </is>
      </c>
      <c r="P786" t="n">
        <v/>
      </c>
      <c r="R786" t="b">
        <v>1</v>
      </c>
      <c r="S786" t="inlineStr">
        <is>
          <t>G000046</t>
        </is>
      </c>
      <c r="T786" t="inlineStr">
        <is>
          <t>Horizontal</t>
        </is>
      </c>
      <c r="U786" t="n">
        <v>8</v>
      </c>
      <c r="V786" t="b">
        <v>1</v>
      </c>
      <c r="W786" t="inlineStr">
        <is>
          <t>Assumptions Sheet!C59:J59</t>
        </is>
      </c>
      <c r="X786">
        <f>R[-3]C[0]/R[-1]C[0]</f>
        <v/>
      </c>
    </row>
    <row r="787">
      <c r="A787" t="inlineStr">
        <is>
          <t>Assumptions Sheet</t>
        </is>
      </c>
      <c r="B787" t="inlineStr">
        <is>
          <t>J59</t>
        </is>
      </c>
      <c r="C787" t="n">
        <v>59</v>
      </c>
      <c r="D787" t="n">
        <v>10</v>
      </c>
      <c r="E787" t="inlineStr">
        <is>
          <t>Output</t>
        </is>
      </c>
      <c r="F787" t="inlineStr">
        <is>
          <t>'=J56/J58</t>
        </is>
      </c>
      <c r="G787" t="n">
        <v>292.8513740458015</v>
      </c>
      <c r="H787" t="inlineStr"/>
      <c r="I787" t="inlineStr">
        <is>
          <t>0</t>
        </is>
      </c>
      <c r="J787" t="b">
        <v>0</v>
      </c>
      <c r="K787" t="b">
        <v>0</v>
      </c>
      <c r="L787" t="n">
        <v>11</v>
      </c>
      <c r="M787" t="inlineStr">
        <is>
          <t>Values must be of type &lt;class 'str'&gt;</t>
        </is>
      </c>
      <c r="N787" t="inlineStr">
        <is>
          <t>Values must be of type &lt;class 'str'&gt;</t>
        </is>
      </c>
      <c r="O787" t="inlineStr">
        <is>
          <t>center</t>
        </is>
      </c>
      <c r="P787" t="n">
        <v/>
      </c>
      <c r="R787" t="b">
        <v>1</v>
      </c>
      <c r="S787" t="inlineStr">
        <is>
          <t>G000046</t>
        </is>
      </c>
      <c r="T787" t="inlineStr">
        <is>
          <t>Horizontal</t>
        </is>
      </c>
      <c r="U787" t="n">
        <v>8</v>
      </c>
      <c r="V787" t="b">
        <v>1</v>
      </c>
      <c r="W787" t="inlineStr">
        <is>
          <t>Assumptions Sheet!C59:J59</t>
        </is>
      </c>
      <c r="X787">
        <f>R[-3]C[0]/R[-1]C[0]</f>
        <v/>
      </c>
    </row>
    <row r="788">
      <c r="A788" t="inlineStr">
        <is>
          <t>Assumptions Sheet</t>
        </is>
      </c>
      <c r="B788" t="inlineStr">
        <is>
          <t>U59</t>
        </is>
      </c>
      <c r="C788" t="n">
        <v>59</v>
      </c>
      <c r="D788" t="n">
        <v>21</v>
      </c>
      <c r="E788" t="inlineStr">
        <is>
          <t>Input</t>
        </is>
      </c>
      <c r="F788" t="n">
        <v/>
      </c>
      <c r="G788" t="inlineStr">
        <is>
          <t>Passenger Load Factor (%)</t>
        </is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11</v>
      </c>
      <c r="M788" t="n">
        <v/>
      </c>
      <c r="N788" t="inlineStr">
        <is>
          <t>Values must be of type &lt;class 'str'&gt;</t>
        </is>
      </c>
      <c r="O788" t="inlineStr">
        <is>
          <t>left</t>
        </is>
      </c>
      <c r="P788" t="n">
        <v/>
      </c>
      <c r="R788" t="b">
        <v>1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</row>
    <row r="789">
      <c r="A789" t="inlineStr">
        <is>
          <t>Assumptions Sheet</t>
        </is>
      </c>
      <c r="B789" t="inlineStr">
        <is>
          <t>V59</t>
        </is>
      </c>
      <c r="C789" t="n">
        <v>59</v>
      </c>
      <c r="D789" t="n">
        <v>22</v>
      </c>
      <c r="E789" t="inlineStr">
        <is>
          <t>Input</t>
        </is>
      </c>
      <c r="F789" t="n">
        <v/>
      </c>
      <c r="G789" t="n">
        <v>0.85</v>
      </c>
      <c r="H789" t="inlineStr"/>
      <c r="I789" t="inlineStr">
        <is>
          <t>0.00%</t>
        </is>
      </c>
      <c r="J789" t="b">
        <v>0</v>
      </c>
      <c r="K789" t="b">
        <v>0</v>
      </c>
      <c r="L789" t="n">
        <v>11</v>
      </c>
      <c r="M789" t="n">
        <v/>
      </c>
      <c r="N789" t="inlineStr">
        <is>
          <t>Values must be of type &lt;class 'str'&gt;</t>
        </is>
      </c>
      <c r="O789" t="inlineStr">
        <is>
          <t>center</t>
        </is>
      </c>
      <c r="P789" t="n">
        <v/>
      </c>
      <c r="R789" t="b">
        <v>1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</row>
    <row r="790">
      <c r="A790" t="inlineStr">
        <is>
          <t>Assumptions Sheet</t>
        </is>
      </c>
      <c r="B790" t="inlineStr">
        <is>
          <t>W59</t>
        </is>
      </c>
      <c r="C790" t="n">
        <v>59</v>
      </c>
      <c r="D790" t="n">
        <v>23</v>
      </c>
      <c r="E790" t="inlineStr">
        <is>
          <t>Calculation</t>
        </is>
      </c>
      <c r="F790" t="inlineStr">
        <is>
          <t>'=V59</t>
        </is>
      </c>
      <c r="G790" t="n">
        <v>0.85</v>
      </c>
      <c r="H790" t="inlineStr"/>
      <c r="I790" t="inlineStr">
        <is>
          <t>0.00%</t>
        </is>
      </c>
      <c r="J790" t="b">
        <v>0</v>
      </c>
      <c r="K790" t="b">
        <v>0</v>
      </c>
      <c r="L790" t="n">
        <v>11</v>
      </c>
      <c r="M790" t="n">
        <v/>
      </c>
      <c r="N790" t="inlineStr">
        <is>
          <t>Values must be of type &lt;class 'str'&gt;</t>
        </is>
      </c>
      <c r="O790" t="inlineStr">
        <is>
          <t>center</t>
        </is>
      </c>
      <c r="P790" t="n">
        <v/>
      </c>
      <c r="R790" t="b">
        <v>1</v>
      </c>
      <c r="S790" t="inlineStr">
        <is>
          <t>G000009</t>
        </is>
      </c>
      <c r="T790" t="inlineStr">
        <is>
          <t>Horizontal</t>
        </is>
      </c>
      <c r="U790" t="n">
        <v>4</v>
      </c>
      <c r="V790" t="b">
        <v>1</v>
      </c>
      <c r="W790" t="inlineStr">
        <is>
          <t>Assumptions Sheet!W59:Z59</t>
        </is>
      </c>
      <c r="X790">
        <f>R[0]C[-1]</f>
        <v/>
      </c>
    </row>
    <row r="791">
      <c r="A791" t="inlineStr">
        <is>
          <t>Assumptions Sheet</t>
        </is>
      </c>
      <c r="B791" t="inlineStr">
        <is>
          <t>X59</t>
        </is>
      </c>
      <c r="C791" t="n">
        <v>59</v>
      </c>
      <c r="D791" t="n">
        <v>24</v>
      </c>
      <c r="E791" t="inlineStr">
        <is>
          <t>Calculation</t>
        </is>
      </c>
      <c r="F791" t="inlineStr">
        <is>
          <t>'=W59</t>
        </is>
      </c>
      <c r="G791" t="n">
        <v>0.85</v>
      </c>
      <c r="H791" t="inlineStr"/>
      <c r="I791" t="inlineStr">
        <is>
          <t>0.00%</t>
        </is>
      </c>
      <c r="J791" t="b">
        <v>0</v>
      </c>
      <c r="K791" t="b">
        <v>0</v>
      </c>
      <c r="L791" t="n">
        <v>11</v>
      </c>
      <c r="M791" t="n">
        <v/>
      </c>
      <c r="N791" t="inlineStr">
        <is>
          <t>Values must be of type &lt;class 'str'&gt;</t>
        </is>
      </c>
      <c r="O791" t="inlineStr">
        <is>
          <t>center</t>
        </is>
      </c>
      <c r="P791" t="n">
        <v/>
      </c>
      <c r="R791" t="b">
        <v>1</v>
      </c>
      <c r="S791" t="inlineStr">
        <is>
          <t>G000009</t>
        </is>
      </c>
      <c r="T791" t="inlineStr">
        <is>
          <t>Horizontal</t>
        </is>
      </c>
      <c r="U791" t="n">
        <v>4</v>
      </c>
      <c r="V791" t="b">
        <v>1</v>
      </c>
      <c r="W791" t="inlineStr">
        <is>
          <t>Assumptions Sheet!W59:Z59</t>
        </is>
      </c>
      <c r="X791">
        <f>R[0]C[-1]</f>
        <v/>
      </c>
    </row>
    <row r="792">
      <c r="A792" t="inlineStr">
        <is>
          <t>Assumptions Sheet</t>
        </is>
      </c>
      <c r="B792" t="inlineStr">
        <is>
          <t>Y59</t>
        </is>
      </c>
      <c r="C792" t="n">
        <v>59</v>
      </c>
      <c r="D792" t="n">
        <v>25</v>
      </c>
      <c r="E792" t="inlineStr">
        <is>
          <t>Calculation</t>
        </is>
      </c>
      <c r="F792" t="inlineStr">
        <is>
          <t>'=X59</t>
        </is>
      </c>
      <c r="G792" t="n">
        <v>0.85</v>
      </c>
      <c r="H792" t="inlineStr"/>
      <c r="I792" t="inlineStr">
        <is>
          <t>0.00%</t>
        </is>
      </c>
      <c r="J792" t="b">
        <v>0</v>
      </c>
      <c r="K792" t="b">
        <v>0</v>
      </c>
      <c r="L792" t="n">
        <v>11</v>
      </c>
      <c r="M792" t="n">
        <v/>
      </c>
      <c r="N792" t="inlineStr">
        <is>
          <t>Values must be of type &lt;class 'str'&gt;</t>
        </is>
      </c>
      <c r="O792" t="inlineStr">
        <is>
          <t>center</t>
        </is>
      </c>
      <c r="P792" t="n">
        <v/>
      </c>
      <c r="R792" t="b">
        <v>1</v>
      </c>
      <c r="S792" t="inlineStr">
        <is>
          <t>G000009</t>
        </is>
      </c>
      <c r="T792" t="inlineStr">
        <is>
          <t>Horizontal</t>
        </is>
      </c>
      <c r="U792" t="n">
        <v>4</v>
      </c>
      <c r="V792" t="b">
        <v>1</v>
      </c>
      <c r="W792" t="inlineStr">
        <is>
          <t>Assumptions Sheet!W59:Z59</t>
        </is>
      </c>
      <c r="X792">
        <f>R[0]C[-1]</f>
        <v/>
      </c>
    </row>
    <row r="793">
      <c r="A793" t="inlineStr">
        <is>
          <t>Assumptions Sheet</t>
        </is>
      </c>
      <c r="B793" t="inlineStr">
        <is>
          <t>Z59</t>
        </is>
      </c>
      <c r="C793" t="n">
        <v>59</v>
      </c>
      <c r="D793" t="n">
        <v>26</v>
      </c>
      <c r="E793" t="inlineStr">
        <is>
          <t>Output</t>
        </is>
      </c>
      <c r="F793" t="inlineStr">
        <is>
          <t>'=Y59</t>
        </is>
      </c>
      <c r="G793" t="n">
        <v>0.85</v>
      </c>
      <c r="H793" t="inlineStr"/>
      <c r="I793" t="inlineStr">
        <is>
          <t>0.00%</t>
        </is>
      </c>
      <c r="J793" t="b">
        <v>0</v>
      </c>
      <c r="K793" t="b">
        <v>0</v>
      </c>
      <c r="L793" t="n">
        <v>11</v>
      </c>
      <c r="M793" t="n">
        <v/>
      </c>
      <c r="N793" t="inlineStr">
        <is>
          <t>Values must be of type &lt;class 'str'&gt;</t>
        </is>
      </c>
      <c r="O793" t="inlineStr">
        <is>
          <t>center</t>
        </is>
      </c>
      <c r="P793" t="n">
        <v/>
      </c>
      <c r="R793" t="b">
        <v>1</v>
      </c>
      <c r="S793" t="inlineStr">
        <is>
          <t>G000009</t>
        </is>
      </c>
      <c r="T793" t="inlineStr">
        <is>
          <t>Horizontal</t>
        </is>
      </c>
      <c r="U793" t="n">
        <v>4</v>
      </c>
      <c r="V793" t="b">
        <v>1</v>
      </c>
      <c r="W793" t="inlineStr">
        <is>
          <t>Assumptions Sheet!W59:Z59</t>
        </is>
      </c>
      <c r="X793">
        <f>R[0]C[-1]</f>
        <v/>
      </c>
    </row>
    <row r="794">
      <c r="A794" t="inlineStr">
        <is>
          <t>Assumptions Sheet</t>
        </is>
      </c>
      <c r="B794" t="inlineStr">
        <is>
          <t>B60</t>
        </is>
      </c>
      <c r="C794" t="n">
        <v>60</v>
      </c>
      <c r="D794" t="n">
        <v>2</v>
      </c>
      <c r="E794" t="inlineStr">
        <is>
          <t>Input</t>
        </is>
      </c>
      <c r="F794" t="n">
        <v/>
      </c>
      <c r="G794" t="inlineStr">
        <is>
          <t xml:space="preserve">operating Lease </t>
        </is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11</v>
      </c>
      <c r="M794" t="inlineStr">
        <is>
          <t>Values must be of type &lt;class 'str'&gt;</t>
        </is>
      </c>
      <c r="N794" t="inlineStr">
        <is>
          <t>Values must be of type &lt;class 'str'&gt;</t>
        </is>
      </c>
      <c r="O794" t="inlineStr">
        <is>
          <t>left</t>
        </is>
      </c>
      <c r="P794" t="n">
        <v/>
      </c>
      <c r="R794" t="b">
        <v>1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</row>
    <row r="795">
      <c r="A795" t="inlineStr">
        <is>
          <t>Assumptions Sheet</t>
        </is>
      </c>
      <c r="B795" t="inlineStr">
        <is>
          <t>U60</t>
        </is>
      </c>
      <c r="C795" t="n">
        <v>60</v>
      </c>
      <c r="D795" t="n">
        <v>21</v>
      </c>
      <c r="E795" t="inlineStr">
        <is>
          <t>Input</t>
        </is>
      </c>
      <c r="F795" t="n">
        <v/>
      </c>
      <c r="G795" t="inlineStr">
        <is>
          <t>Yield (Rs.)</t>
        </is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11</v>
      </c>
      <c r="M795" t="n">
        <v/>
      </c>
      <c r="N795" t="inlineStr">
        <is>
          <t>Values must be of type &lt;class 'str'&gt;</t>
        </is>
      </c>
      <c r="O795" t="inlineStr">
        <is>
          <t>left</t>
        </is>
      </c>
      <c r="P795" t="n">
        <v/>
      </c>
      <c r="R795" t="b">
        <v>1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</row>
    <row r="796">
      <c r="A796" t="inlineStr">
        <is>
          <t>Assumptions Sheet</t>
        </is>
      </c>
      <c r="B796" t="inlineStr">
        <is>
          <t>V60</t>
        </is>
      </c>
      <c r="C796" t="n">
        <v>60</v>
      </c>
      <c r="D796" t="n">
        <v>22</v>
      </c>
      <c r="E796" t="inlineStr">
        <is>
          <t>Input</t>
        </is>
      </c>
      <c r="F796" t="n">
        <v/>
      </c>
      <c r="G796" t="n">
        <v>3.9</v>
      </c>
      <c r="H796" t="inlineStr"/>
      <c r="I796" t="inlineStr">
        <is>
          <t>0.00</t>
        </is>
      </c>
      <c r="J796" t="b">
        <v>0</v>
      </c>
      <c r="K796" t="b">
        <v>0</v>
      </c>
      <c r="L796" t="n">
        <v>11</v>
      </c>
      <c r="M796" t="n">
        <v/>
      </c>
      <c r="N796" t="inlineStr">
        <is>
          <t>Values must be of type &lt;class 'str'&gt;</t>
        </is>
      </c>
      <c r="O796" t="inlineStr">
        <is>
          <t>center</t>
        </is>
      </c>
      <c r="P796" t="n">
        <v/>
      </c>
      <c r="R796" t="b">
        <v>1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</row>
    <row r="797">
      <c r="A797" t="inlineStr">
        <is>
          <t>Assumptions Sheet</t>
        </is>
      </c>
      <c r="B797" t="inlineStr">
        <is>
          <t>W60</t>
        </is>
      </c>
      <c r="C797" t="n">
        <v>60</v>
      </c>
      <c r="D797" t="n">
        <v>23</v>
      </c>
      <c r="E797" t="inlineStr">
        <is>
          <t>Calculation</t>
        </is>
      </c>
      <c r="F797" t="inlineStr">
        <is>
          <t>'=V60</t>
        </is>
      </c>
      <c r="G797" t="n">
        <v>3.9</v>
      </c>
      <c r="H797" t="inlineStr"/>
      <c r="I797" t="inlineStr">
        <is>
          <t>0.00</t>
        </is>
      </c>
      <c r="J797" t="b">
        <v>0</v>
      </c>
      <c r="K797" t="b">
        <v>0</v>
      </c>
      <c r="L797" t="n">
        <v>11</v>
      </c>
      <c r="M797" t="n">
        <v/>
      </c>
      <c r="N797" t="inlineStr">
        <is>
          <t>Values must be of type &lt;class 'str'&gt;</t>
        </is>
      </c>
      <c r="O797" t="inlineStr">
        <is>
          <t>center</t>
        </is>
      </c>
      <c r="P797" t="n">
        <v/>
      </c>
      <c r="R797" t="b">
        <v>1</v>
      </c>
      <c r="S797" t="inlineStr">
        <is>
          <t>G000010</t>
        </is>
      </c>
      <c r="T797" t="inlineStr">
        <is>
          <t>Horizontal</t>
        </is>
      </c>
      <c r="U797" t="n">
        <v>4</v>
      </c>
      <c r="V797" t="b">
        <v>1</v>
      </c>
      <c r="W797" t="inlineStr">
        <is>
          <t>Assumptions Sheet!W60:Z60</t>
        </is>
      </c>
      <c r="X797">
        <f>R[0]C[-1]</f>
        <v/>
      </c>
    </row>
    <row r="798">
      <c r="A798" t="inlineStr">
        <is>
          <t>Assumptions Sheet</t>
        </is>
      </c>
      <c r="B798" t="inlineStr">
        <is>
          <t>X60</t>
        </is>
      </c>
      <c r="C798" t="n">
        <v>60</v>
      </c>
      <c r="D798" t="n">
        <v>24</v>
      </c>
      <c r="E798" t="inlineStr">
        <is>
          <t>Calculation</t>
        </is>
      </c>
      <c r="F798" t="inlineStr">
        <is>
          <t>'=W60</t>
        </is>
      </c>
      <c r="G798" t="n">
        <v>3.9</v>
      </c>
      <c r="H798" t="inlineStr"/>
      <c r="I798" t="inlineStr">
        <is>
          <t>0.00</t>
        </is>
      </c>
      <c r="J798" t="b">
        <v>0</v>
      </c>
      <c r="K798" t="b">
        <v>0</v>
      </c>
      <c r="L798" t="n">
        <v>11</v>
      </c>
      <c r="M798" t="n">
        <v/>
      </c>
      <c r="N798" t="inlineStr">
        <is>
          <t>Values must be of type &lt;class 'str'&gt;</t>
        </is>
      </c>
      <c r="O798" t="inlineStr">
        <is>
          <t>center</t>
        </is>
      </c>
      <c r="P798" t="n">
        <v/>
      </c>
      <c r="R798" t="b">
        <v>1</v>
      </c>
      <c r="S798" t="inlineStr">
        <is>
          <t>G000010</t>
        </is>
      </c>
      <c r="T798" t="inlineStr">
        <is>
          <t>Horizontal</t>
        </is>
      </c>
      <c r="U798" t="n">
        <v>4</v>
      </c>
      <c r="V798" t="b">
        <v>1</v>
      </c>
      <c r="W798" t="inlineStr">
        <is>
          <t>Assumptions Sheet!W60:Z60</t>
        </is>
      </c>
      <c r="X798">
        <f>R[0]C[-1]</f>
        <v/>
      </c>
    </row>
    <row r="799">
      <c r="A799" t="inlineStr">
        <is>
          <t>Assumptions Sheet</t>
        </is>
      </c>
      <c r="B799" t="inlineStr">
        <is>
          <t>Y60</t>
        </is>
      </c>
      <c r="C799" t="n">
        <v>60</v>
      </c>
      <c r="D799" t="n">
        <v>25</v>
      </c>
      <c r="E799" t="inlineStr">
        <is>
          <t>Calculation</t>
        </is>
      </c>
      <c r="F799" t="inlineStr">
        <is>
          <t>'=X60</t>
        </is>
      </c>
      <c r="G799" t="n">
        <v>3.9</v>
      </c>
      <c r="H799" t="inlineStr"/>
      <c r="I799" t="inlineStr">
        <is>
          <t>0.00</t>
        </is>
      </c>
      <c r="J799" t="b">
        <v>0</v>
      </c>
      <c r="K799" t="b">
        <v>0</v>
      </c>
      <c r="L799" t="n">
        <v>11</v>
      </c>
      <c r="M799" t="n">
        <v/>
      </c>
      <c r="N799" t="inlineStr">
        <is>
          <t>Values must be of type &lt;class 'str'&gt;</t>
        </is>
      </c>
      <c r="O799" t="inlineStr">
        <is>
          <t>center</t>
        </is>
      </c>
      <c r="P799" t="n">
        <v/>
      </c>
      <c r="R799" t="b">
        <v>1</v>
      </c>
      <c r="S799" t="inlineStr">
        <is>
          <t>G000010</t>
        </is>
      </c>
      <c r="T799" t="inlineStr">
        <is>
          <t>Horizontal</t>
        </is>
      </c>
      <c r="U799" t="n">
        <v>4</v>
      </c>
      <c r="V799" t="b">
        <v>1</v>
      </c>
      <c r="W799" t="inlineStr">
        <is>
          <t>Assumptions Sheet!W60:Z60</t>
        </is>
      </c>
      <c r="X799">
        <f>R[0]C[-1]</f>
        <v/>
      </c>
    </row>
    <row r="800">
      <c r="A800" t="inlineStr">
        <is>
          <t>Assumptions Sheet</t>
        </is>
      </c>
      <c r="B800" t="inlineStr">
        <is>
          <t>Z60</t>
        </is>
      </c>
      <c r="C800" t="n">
        <v>60</v>
      </c>
      <c r="D800" t="n">
        <v>26</v>
      </c>
      <c r="E800" t="inlineStr">
        <is>
          <t>Output</t>
        </is>
      </c>
      <c r="F800" t="inlineStr">
        <is>
          <t>'=Y60</t>
        </is>
      </c>
      <c r="G800" t="n">
        <v>3.9</v>
      </c>
      <c r="H800" t="inlineStr"/>
      <c r="I800" t="inlineStr">
        <is>
          <t>0.00</t>
        </is>
      </c>
      <c r="J800" t="b">
        <v>0</v>
      </c>
      <c r="K800" t="b">
        <v>0</v>
      </c>
      <c r="L800" t="n">
        <v>11</v>
      </c>
      <c r="M800" t="n">
        <v/>
      </c>
      <c r="N800" t="inlineStr">
        <is>
          <t>Values must be of type &lt;class 'str'&gt;</t>
        </is>
      </c>
      <c r="O800" t="inlineStr">
        <is>
          <t>center</t>
        </is>
      </c>
      <c r="P800" t="n">
        <v/>
      </c>
      <c r="R800" t="b">
        <v>1</v>
      </c>
      <c r="S800" t="inlineStr">
        <is>
          <t>G000010</t>
        </is>
      </c>
      <c r="T800" t="inlineStr">
        <is>
          <t>Horizontal</t>
        </is>
      </c>
      <c r="U800" t="n">
        <v>4</v>
      </c>
      <c r="V800" t="b">
        <v>1</v>
      </c>
      <c r="W800" t="inlineStr">
        <is>
          <t>Assumptions Sheet!W60:Z60</t>
        </is>
      </c>
      <c r="X800">
        <f>R[0]C[-1]</f>
        <v/>
      </c>
    </row>
    <row r="801">
      <c r="A801" t="inlineStr">
        <is>
          <t>Assumptions Sheet</t>
        </is>
      </c>
      <c r="B801" t="inlineStr">
        <is>
          <t>B61</t>
        </is>
      </c>
      <c r="C801" t="n">
        <v>61</v>
      </c>
      <c r="D801" t="n">
        <v>2</v>
      </c>
      <c r="E801" t="inlineStr">
        <is>
          <t>Input</t>
        </is>
      </c>
      <c r="F801" t="n">
        <v/>
      </c>
      <c r="G801" t="inlineStr">
        <is>
          <t>Capitalized Operating Lease</t>
        </is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11</v>
      </c>
      <c r="M801" t="inlineStr">
        <is>
          <t>Values must be of type &lt;class 'str'&gt;</t>
        </is>
      </c>
      <c r="N801" t="inlineStr">
        <is>
          <t>Values must be of type &lt;class 'str'&gt;</t>
        </is>
      </c>
      <c r="O801" t="inlineStr">
        <is>
          <t>left</t>
        </is>
      </c>
      <c r="P801" t="n">
        <v/>
      </c>
      <c r="R801" t="b">
        <v>1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</row>
    <row r="802">
      <c r="A802" t="inlineStr">
        <is>
          <t>Assumptions Sheet</t>
        </is>
      </c>
      <c r="B802" t="inlineStr">
        <is>
          <t>C61</t>
        </is>
      </c>
      <c r="C802" t="n">
        <v>61</v>
      </c>
      <c r="D802" t="n">
        <v>3</v>
      </c>
      <c r="E802" t="inlineStr">
        <is>
          <t>Input</t>
        </is>
      </c>
      <c r="F802" t="n">
        <v/>
      </c>
      <c r="G802" t="inlineStr">
        <is>
          <t>1 Year</t>
        </is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11</v>
      </c>
      <c r="M802" t="inlineStr">
        <is>
          <t>Values must be of type &lt;class 'str'&gt;</t>
        </is>
      </c>
      <c r="N802" t="inlineStr">
        <is>
          <t>Values must be of type &lt;class 'str'&gt;</t>
        </is>
      </c>
      <c r="O802" t="inlineStr">
        <is>
          <t>center</t>
        </is>
      </c>
      <c r="P802" t="n">
        <v/>
      </c>
      <c r="R802" t="b">
        <v>1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</row>
    <row r="803">
      <c r="A803" t="inlineStr">
        <is>
          <t>Assumptions Sheet</t>
        </is>
      </c>
      <c r="B803" t="inlineStr">
        <is>
          <t>D61</t>
        </is>
      </c>
      <c r="C803" t="n">
        <v>61</v>
      </c>
      <c r="D803" t="n">
        <v>4</v>
      </c>
      <c r="E803" t="inlineStr">
        <is>
          <t>Input</t>
        </is>
      </c>
      <c r="F803" t="n">
        <v/>
      </c>
      <c r="G803" t="inlineStr">
        <is>
          <t>1-5 Year</t>
        </is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11</v>
      </c>
      <c r="M803" t="inlineStr">
        <is>
          <t>Values must be of type &lt;class 'str'&gt;</t>
        </is>
      </c>
      <c r="N803" t="inlineStr">
        <is>
          <t>Values must be of type &lt;class 'str'&gt;</t>
        </is>
      </c>
      <c r="O803" t="inlineStr">
        <is>
          <t>center</t>
        </is>
      </c>
      <c r="P803" t="n">
        <v/>
      </c>
      <c r="R803" t="b">
        <v>1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</row>
    <row r="804">
      <c r="A804" t="inlineStr">
        <is>
          <t>Assumptions Sheet</t>
        </is>
      </c>
      <c r="B804" t="inlineStr">
        <is>
          <t>E61</t>
        </is>
      </c>
      <c r="C804" t="n">
        <v>61</v>
      </c>
      <c r="D804" t="n">
        <v>5</v>
      </c>
      <c r="E804" t="inlineStr">
        <is>
          <t>Input</t>
        </is>
      </c>
      <c r="F804" t="n">
        <v/>
      </c>
      <c r="G804" t="inlineStr">
        <is>
          <t>&gt;5 Years</t>
        </is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11</v>
      </c>
      <c r="M804" t="inlineStr">
        <is>
          <t>Values must be of type &lt;class 'str'&gt;</t>
        </is>
      </c>
      <c r="N804" t="inlineStr">
        <is>
          <t>Values must be of type &lt;class 'str'&gt;</t>
        </is>
      </c>
      <c r="O804" t="inlineStr">
        <is>
          <t>center</t>
        </is>
      </c>
      <c r="P804" t="n">
        <v/>
      </c>
      <c r="R804" t="b">
        <v>1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</row>
    <row r="805">
      <c r="A805" t="inlineStr">
        <is>
          <t>Assumptions Sheet</t>
        </is>
      </c>
      <c r="B805" t="inlineStr">
        <is>
          <t>F61</t>
        </is>
      </c>
      <c r="C805" t="n">
        <v>61</v>
      </c>
      <c r="D805" t="n">
        <v>6</v>
      </c>
      <c r="E805" t="inlineStr">
        <is>
          <t>Input</t>
        </is>
      </c>
      <c r="F805" t="n">
        <v/>
      </c>
      <c r="G805" t="n">
        <v>1</v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11</v>
      </c>
      <c r="M805" t="inlineStr">
        <is>
          <t>Values must be of type &lt;class 'str'&gt;</t>
        </is>
      </c>
      <c r="N805" t="inlineStr">
        <is>
          <t>Values must be of type &lt;class 'str'&gt;</t>
        </is>
      </c>
      <c r="O805" t="inlineStr">
        <is>
          <t>center</t>
        </is>
      </c>
      <c r="P805" t="n">
        <v/>
      </c>
      <c r="R805" t="b">
        <v>1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</row>
    <row r="806">
      <c r="A806" t="inlineStr">
        <is>
          <t>Assumptions Sheet</t>
        </is>
      </c>
      <c r="B806" t="inlineStr">
        <is>
          <t>G61</t>
        </is>
      </c>
      <c r="C806" t="n">
        <v>61</v>
      </c>
      <c r="D806" t="n">
        <v>7</v>
      </c>
      <c r="E806" t="inlineStr">
        <is>
          <t>Input</t>
        </is>
      </c>
      <c r="F806" t="n">
        <v/>
      </c>
      <c r="G806" t="n">
        <v>2</v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11</v>
      </c>
      <c r="M806" t="inlineStr">
        <is>
          <t>Values must be of type &lt;class 'str'&gt;</t>
        </is>
      </c>
      <c r="N806" t="inlineStr">
        <is>
          <t>Values must be of type &lt;class 'str'&gt;</t>
        </is>
      </c>
      <c r="O806" t="inlineStr">
        <is>
          <t>center</t>
        </is>
      </c>
      <c r="P806" t="n">
        <v/>
      </c>
      <c r="R806" t="b">
        <v>1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</row>
    <row r="807">
      <c r="A807" t="inlineStr">
        <is>
          <t>Assumptions Sheet</t>
        </is>
      </c>
      <c r="B807" t="inlineStr">
        <is>
          <t>H61</t>
        </is>
      </c>
      <c r="C807" t="n">
        <v>61</v>
      </c>
      <c r="D807" t="n">
        <v>8</v>
      </c>
      <c r="E807" t="inlineStr">
        <is>
          <t>Input</t>
        </is>
      </c>
      <c r="F807" t="n">
        <v/>
      </c>
      <c r="G807" t="n">
        <v>3</v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11</v>
      </c>
      <c r="M807" t="inlineStr">
        <is>
          <t>Values must be of type &lt;class 'str'&gt;</t>
        </is>
      </c>
      <c r="N807" t="inlineStr">
        <is>
          <t>Values must be of type &lt;class 'str'&gt;</t>
        </is>
      </c>
      <c r="O807" t="inlineStr">
        <is>
          <t>center</t>
        </is>
      </c>
      <c r="P807" t="n">
        <v/>
      </c>
      <c r="R807" t="b">
        <v>1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</row>
    <row r="808">
      <c r="A808" t="inlineStr">
        <is>
          <t>Assumptions Sheet</t>
        </is>
      </c>
      <c r="B808" t="inlineStr">
        <is>
          <t>I61</t>
        </is>
      </c>
      <c r="C808" t="n">
        <v>61</v>
      </c>
      <c r="D808" t="n">
        <v>9</v>
      </c>
      <c r="E808" t="inlineStr">
        <is>
          <t>Input</t>
        </is>
      </c>
      <c r="F808" t="n">
        <v/>
      </c>
      <c r="G808" t="n">
        <v>4</v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11</v>
      </c>
      <c r="M808" t="inlineStr">
        <is>
          <t>Values must be of type &lt;class 'str'&gt;</t>
        </is>
      </c>
      <c r="N808" t="inlineStr">
        <is>
          <t>Values must be of type &lt;class 'str'&gt;</t>
        </is>
      </c>
      <c r="O808" t="inlineStr">
        <is>
          <t>center</t>
        </is>
      </c>
      <c r="P808" t="n">
        <v/>
      </c>
      <c r="R808" t="b">
        <v>1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</row>
    <row r="809">
      <c r="A809" t="inlineStr">
        <is>
          <t>Assumptions Sheet</t>
        </is>
      </c>
      <c r="B809" t="inlineStr">
        <is>
          <t>J61</t>
        </is>
      </c>
      <c r="C809" t="n">
        <v>61</v>
      </c>
      <c r="D809" t="n">
        <v>10</v>
      </c>
      <c r="E809" t="inlineStr">
        <is>
          <t>Input</t>
        </is>
      </c>
      <c r="F809" t="n">
        <v/>
      </c>
      <c r="G809" t="n">
        <v>5</v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11</v>
      </c>
      <c r="M809" t="inlineStr">
        <is>
          <t>Values must be of type &lt;class 'str'&gt;</t>
        </is>
      </c>
      <c r="N809" t="inlineStr">
        <is>
          <t>Values must be of type &lt;class 'str'&gt;</t>
        </is>
      </c>
      <c r="O809" t="inlineStr">
        <is>
          <t>center</t>
        </is>
      </c>
      <c r="P809" t="n">
        <v/>
      </c>
      <c r="R809" t="b">
        <v>1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</row>
    <row r="810">
      <c r="A810" t="inlineStr">
        <is>
          <t>Assumptions Sheet</t>
        </is>
      </c>
      <c r="B810" t="inlineStr">
        <is>
          <t>K61</t>
        </is>
      </c>
      <c r="C810" t="n">
        <v>61</v>
      </c>
      <c r="D810" t="n">
        <v>11</v>
      </c>
      <c r="E810" t="inlineStr">
        <is>
          <t>Input</t>
        </is>
      </c>
      <c r="F810" t="n">
        <v/>
      </c>
      <c r="G810" t="n">
        <v>6</v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11</v>
      </c>
      <c r="M810" t="inlineStr">
        <is>
          <t>Values must be of type &lt;class 'str'&gt;</t>
        </is>
      </c>
      <c r="N810" t="inlineStr">
        <is>
          <t>Values must be of type &lt;class 'str'&gt;</t>
        </is>
      </c>
      <c r="O810" t="inlineStr">
        <is>
          <t>center</t>
        </is>
      </c>
      <c r="P810" t="n">
        <v/>
      </c>
      <c r="R810" t="b">
        <v>1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</row>
    <row r="811">
      <c r="A811" t="inlineStr">
        <is>
          <t>Assumptions Sheet</t>
        </is>
      </c>
      <c r="B811" t="inlineStr">
        <is>
          <t>L61</t>
        </is>
      </c>
      <c r="C811" t="n">
        <v>61</v>
      </c>
      <c r="D811" t="n">
        <v>12</v>
      </c>
      <c r="E811" t="inlineStr">
        <is>
          <t>Input</t>
        </is>
      </c>
      <c r="F811" t="n">
        <v/>
      </c>
      <c r="G811" t="n">
        <v>7</v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11</v>
      </c>
      <c r="M811" t="inlineStr">
        <is>
          <t>Values must be of type &lt;class 'str'&gt;</t>
        </is>
      </c>
      <c r="N811" t="inlineStr">
        <is>
          <t>Values must be of type &lt;class 'str'&gt;</t>
        </is>
      </c>
      <c r="O811" t="inlineStr">
        <is>
          <t>center</t>
        </is>
      </c>
      <c r="P811" t="n">
        <v/>
      </c>
      <c r="R811" t="b">
        <v>1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</row>
    <row r="812">
      <c r="A812" t="inlineStr">
        <is>
          <t>Assumptions Sheet</t>
        </is>
      </c>
      <c r="B812" t="inlineStr">
        <is>
          <t>M61</t>
        </is>
      </c>
      <c r="C812" t="n">
        <v>61</v>
      </c>
      <c r="D812" t="n">
        <v>13</v>
      </c>
      <c r="E812" t="inlineStr">
        <is>
          <t>Input</t>
        </is>
      </c>
      <c r="F812" t="n">
        <v/>
      </c>
      <c r="G812" t="n">
        <v>8</v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11</v>
      </c>
      <c r="M812" t="inlineStr">
        <is>
          <t>Values must be of type &lt;class 'str'&gt;</t>
        </is>
      </c>
      <c r="N812" t="inlineStr">
        <is>
          <t>Values must be of type &lt;class 'str'&gt;</t>
        </is>
      </c>
      <c r="O812" t="inlineStr">
        <is>
          <t>center</t>
        </is>
      </c>
      <c r="P812" t="n">
        <v/>
      </c>
      <c r="R812" t="b">
        <v>1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</row>
    <row r="813">
      <c r="A813" t="inlineStr">
        <is>
          <t>Assumptions Sheet</t>
        </is>
      </c>
      <c r="B813" t="inlineStr">
        <is>
          <t>N61</t>
        </is>
      </c>
      <c r="C813" t="n">
        <v>61</v>
      </c>
      <c r="D813" t="n">
        <v>14</v>
      </c>
      <c r="E813" t="inlineStr">
        <is>
          <t>Input</t>
        </is>
      </c>
      <c r="F813" t="n">
        <v/>
      </c>
      <c r="G813" t="n">
        <v>9</v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11</v>
      </c>
      <c r="M813" t="inlineStr">
        <is>
          <t>Values must be of type &lt;class 'str'&gt;</t>
        </is>
      </c>
      <c r="N813" t="inlineStr">
        <is>
          <t>Values must be of type &lt;class 'str'&gt;</t>
        </is>
      </c>
      <c r="O813" t="inlineStr">
        <is>
          <t>center</t>
        </is>
      </c>
      <c r="P813" t="n">
        <v/>
      </c>
      <c r="R813" t="b">
        <v>1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</row>
    <row r="814">
      <c r="A814" t="inlineStr">
        <is>
          <t>Assumptions Sheet</t>
        </is>
      </c>
      <c r="B814" t="inlineStr">
        <is>
          <t>O61</t>
        </is>
      </c>
      <c r="C814" t="n">
        <v>61</v>
      </c>
      <c r="D814" t="n">
        <v>15</v>
      </c>
      <c r="E814" t="inlineStr">
        <is>
          <t>Input</t>
        </is>
      </c>
      <c r="F814" t="n">
        <v/>
      </c>
      <c r="G814" t="n">
        <v>10</v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11</v>
      </c>
      <c r="M814" t="inlineStr">
        <is>
          <t>Values must be of type &lt;class 'str'&gt;</t>
        </is>
      </c>
      <c r="N814" t="inlineStr">
        <is>
          <t>Values must be of type &lt;class 'str'&gt;</t>
        </is>
      </c>
      <c r="O814" t="inlineStr">
        <is>
          <t>center</t>
        </is>
      </c>
      <c r="P814" t="n">
        <v/>
      </c>
      <c r="R814" t="b">
        <v>1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</row>
    <row r="815">
      <c r="A815" t="inlineStr">
        <is>
          <t>Assumptions Sheet</t>
        </is>
      </c>
      <c r="B815" t="inlineStr">
        <is>
          <t>P61</t>
        </is>
      </c>
      <c r="C815" t="n">
        <v>61</v>
      </c>
      <c r="D815" t="n">
        <v>16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11</v>
      </c>
      <c r="M815" t="inlineStr">
        <is>
          <t>Values must be of type &lt;class 'str'&gt;</t>
        </is>
      </c>
      <c r="N815" t="inlineStr">
        <is>
          <t>Values must be of type &lt;class 'str'&gt;</t>
        </is>
      </c>
      <c r="O815" t="inlineStr">
        <is>
          <t>center</t>
        </is>
      </c>
      <c r="P815" t="n">
        <v/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</row>
    <row r="816">
      <c r="A816" t="inlineStr">
        <is>
          <t>Assumptions Sheet</t>
        </is>
      </c>
      <c r="B816" t="inlineStr">
        <is>
          <t>U61</t>
        </is>
      </c>
      <c r="C816" t="n">
        <v>61</v>
      </c>
      <c r="D816" t="n">
        <v>21</v>
      </c>
      <c r="E816" t="inlineStr">
        <is>
          <t>Input</t>
        </is>
      </c>
      <c r="F816" t="n">
        <v/>
      </c>
      <c r="G816" t="inlineStr">
        <is>
          <t>RASK (Rs.)</t>
        </is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11</v>
      </c>
      <c r="M816" t="n">
        <v/>
      </c>
      <c r="N816" t="inlineStr">
        <is>
          <t>Values must be of type &lt;class 'str'&gt;</t>
        </is>
      </c>
      <c r="O816" t="inlineStr">
        <is>
          <t>left</t>
        </is>
      </c>
      <c r="P816" t="n">
        <v/>
      </c>
      <c r="R816" t="b">
        <v>1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</row>
    <row r="817">
      <c r="A817" t="inlineStr">
        <is>
          <t>Assumptions Sheet</t>
        </is>
      </c>
      <c r="B817" t="inlineStr">
        <is>
          <t>V61</t>
        </is>
      </c>
      <c r="C817" t="n">
        <v>61</v>
      </c>
      <c r="D817" t="n">
        <v>22</v>
      </c>
      <c r="E817" t="inlineStr">
        <is>
          <t>Input</t>
        </is>
      </c>
      <c r="F817" t="n">
        <v/>
      </c>
      <c r="G817" t="n">
        <v>3.315</v>
      </c>
      <c r="H817" t="inlineStr"/>
      <c r="I817" t="inlineStr">
        <is>
          <t>0.00</t>
        </is>
      </c>
      <c r="J817" t="b">
        <v>0</v>
      </c>
      <c r="K817" t="b">
        <v>0</v>
      </c>
      <c r="L817" t="n">
        <v>11</v>
      </c>
      <c r="M817" t="n">
        <v/>
      </c>
      <c r="N817" t="inlineStr">
        <is>
          <t>Values must be of type &lt;class 'str'&gt;</t>
        </is>
      </c>
      <c r="O817" t="inlineStr">
        <is>
          <t>center</t>
        </is>
      </c>
      <c r="P817" t="n">
        <v/>
      </c>
      <c r="R817" t="b">
        <v>1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</row>
    <row r="818">
      <c r="A818" t="inlineStr">
        <is>
          <t>Assumptions Sheet</t>
        </is>
      </c>
      <c r="B818" t="inlineStr">
        <is>
          <t>W61</t>
        </is>
      </c>
      <c r="C818" t="n">
        <v>61</v>
      </c>
      <c r="D818" t="n">
        <v>23</v>
      </c>
      <c r="E818" t="inlineStr">
        <is>
          <t>Input</t>
        </is>
      </c>
      <c r="F818" t="n">
        <v/>
      </c>
      <c r="G818" t="n">
        <v>3.315</v>
      </c>
      <c r="H818" t="inlineStr"/>
      <c r="I818" t="inlineStr">
        <is>
          <t>0.00</t>
        </is>
      </c>
      <c r="J818" t="b">
        <v>0</v>
      </c>
      <c r="K818" t="b">
        <v>0</v>
      </c>
      <c r="L818" t="n">
        <v>11</v>
      </c>
      <c r="M818" t="n">
        <v/>
      </c>
      <c r="N818" t="inlineStr">
        <is>
          <t>Values must be of type &lt;class 'str'&gt;</t>
        </is>
      </c>
      <c r="O818" t="inlineStr">
        <is>
          <t>center</t>
        </is>
      </c>
      <c r="P818" t="n">
        <v/>
      </c>
      <c r="R818" t="b">
        <v>1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</row>
    <row r="819">
      <c r="A819" t="inlineStr">
        <is>
          <t>Assumptions Sheet</t>
        </is>
      </c>
      <c r="B819" t="inlineStr">
        <is>
          <t>X61</t>
        </is>
      </c>
      <c r="C819" t="n">
        <v>61</v>
      </c>
      <c r="D819" t="n">
        <v>24</v>
      </c>
      <c r="E819" t="inlineStr">
        <is>
          <t>Input</t>
        </is>
      </c>
      <c r="F819" t="n">
        <v/>
      </c>
      <c r="G819" t="n">
        <v>3.315</v>
      </c>
      <c r="H819" t="inlineStr"/>
      <c r="I819" t="inlineStr">
        <is>
          <t>0.00</t>
        </is>
      </c>
      <c r="J819" t="b">
        <v>0</v>
      </c>
      <c r="K819" t="b">
        <v>0</v>
      </c>
      <c r="L819" t="n">
        <v>11</v>
      </c>
      <c r="M819" t="n">
        <v/>
      </c>
      <c r="N819" t="inlineStr">
        <is>
          <t>Values must be of type &lt;class 'str'&gt;</t>
        </is>
      </c>
      <c r="O819" t="inlineStr">
        <is>
          <t>center</t>
        </is>
      </c>
      <c r="P819" t="n">
        <v/>
      </c>
      <c r="R819" t="b">
        <v>1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</row>
    <row r="820">
      <c r="A820" t="inlineStr">
        <is>
          <t>Assumptions Sheet</t>
        </is>
      </c>
      <c r="B820" t="inlineStr">
        <is>
          <t>Y61</t>
        </is>
      </c>
      <c r="C820" t="n">
        <v>61</v>
      </c>
      <c r="D820" t="n">
        <v>25</v>
      </c>
      <c r="E820" t="inlineStr">
        <is>
          <t>Input</t>
        </is>
      </c>
      <c r="F820" t="n">
        <v/>
      </c>
      <c r="G820" t="n">
        <v>3.315</v>
      </c>
      <c r="H820" t="inlineStr"/>
      <c r="I820" t="inlineStr">
        <is>
          <t>0.00</t>
        </is>
      </c>
      <c r="J820" t="b">
        <v>0</v>
      </c>
      <c r="K820" t="b">
        <v>0</v>
      </c>
      <c r="L820" t="n">
        <v>11</v>
      </c>
      <c r="M820" t="n">
        <v/>
      </c>
      <c r="N820" t="inlineStr">
        <is>
          <t>Values must be of type &lt;class 'str'&gt;</t>
        </is>
      </c>
      <c r="O820" t="inlineStr">
        <is>
          <t>center</t>
        </is>
      </c>
      <c r="P820" t="n">
        <v/>
      </c>
      <c r="R820" t="b">
        <v>1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</row>
    <row r="821">
      <c r="A821" t="inlineStr">
        <is>
          <t>Assumptions Sheet</t>
        </is>
      </c>
      <c r="B821" t="inlineStr">
        <is>
          <t>Z61</t>
        </is>
      </c>
      <c r="C821" t="n">
        <v>61</v>
      </c>
      <c r="D821" t="n">
        <v>26</v>
      </c>
      <c r="E821" t="inlineStr">
        <is>
          <t>Input</t>
        </is>
      </c>
      <c r="F821" t="n">
        <v/>
      </c>
      <c r="G821" t="n">
        <v>3.315</v>
      </c>
      <c r="H821" t="inlineStr"/>
      <c r="I821" t="inlineStr">
        <is>
          <t>0.00</t>
        </is>
      </c>
      <c r="J821" t="b">
        <v>0</v>
      </c>
      <c r="K821" t="b">
        <v>0</v>
      </c>
      <c r="L821" t="n">
        <v>11</v>
      </c>
      <c r="M821" t="n">
        <v/>
      </c>
      <c r="N821" t="inlineStr">
        <is>
          <t>Values must be of type &lt;class 'str'&gt;</t>
        </is>
      </c>
      <c r="O821" t="inlineStr">
        <is>
          <t>center</t>
        </is>
      </c>
      <c r="P821" t="n">
        <v/>
      </c>
      <c r="R821" t="b">
        <v>1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</row>
    <row r="822">
      <c r="A822" t="inlineStr">
        <is>
          <t>Assumptions Sheet</t>
        </is>
      </c>
      <c r="B822" t="inlineStr">
        <is>
          <t>C62</t>
        </is>
      </c>
      <c r="C822" t="n">
        <v>62</v>
      </c>
      <c r="D822" t="n">
        <v>3</v>
      </c>
      <c r="E822" t="inlineStr">
        <is>
          <t>Input</t>
        </is>
      </c>
      <c r="F822" t="n">
        <v/>
      </c>
      <c r="G822" t="n">
        <v>25603.42</v>
      </c>
      <c r="H822" t="inlineStr"/>
      <c r="I822" t="inlineStr">
        <is>
          <t>0</t>
        </is>
      </c>
      <c r="J822" t="b">
        <v>0</v>
      </c>
      <c r="K822" t="b">
        <v>0</v>
      </c>
      <c r="L822" t="n">
        <v>11</v>
      </c>
      <c r="M822" t="inlineStr">
        <is>
          <t>Values must be of type &lt;class 'str'&gt;</t>
        </is>
      </c>
      <c r="N822" t="inlineStr">
        <is>
          <t>Values must be of type &lt;class 'str'&gt;</t>
        </is>
      </c>
      <c r="O822" t="inlineStr">
        <is>
          <t>center</t>
        </is>
      </c>
      <c r="P822" t="n">
        <v/>
      </c>
      <c r="R822" t="b">
        <v>1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</row>
    <row r="823">
      <c r="A823" t="inlineStr">
        <is>
          <t>Assumptions Sheet</t>
        </is>
      </c>
      <c r="B823" t="inlineStr">
        <is>
          <t>D62</t>
        </is>
      </c>
      <c r="C823" t="n">
        <v>62</v>
      </c>
      <c r="D823" t="n">
        <v>4</v>
      </c>
      <c r="E823" t="inlineStr">
        <is>
          <t>Input</t>
        </is>
      </c>
      <c r="F823" t="n">
        <v/>
      </c>
      <c r="G823" t="n">
        <v>54159.89</v>
      </c>
      <c r="H823" t="inlineStr"/>
      <c r="I823" t="inlineStr">
        <is>
          <t>0</t>
        </is>
      </c>
      <c r="J823" t="b">
        <v>0</v>
      </c>
      <c r="K823" t="b">
        <v>0</v>
      </c>
      <c r="L823" t="n">
        <v>11</v>
      </c>
      <c r="M823" t="inlineStr">
        <is>
          <t>Values must be of type &lt;class 'str'&gt;</t>
        </is>
      </c>
      <c r="N823" t="inlineStr">
        <is>
          <t>Values must be of type &lt;class 'str'&gt;</t>
        </is>
      </c>
      <c r="O823" t="inlineStr">
        <is>
          <t>center</t>
        </is>
      </c>
      <c r="P823" t="n">
        <v/>
      </c>
      <c r="R823" t="b">
        <v>1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</row>
    <row r="824">
      <c r="A824" t="inlineStr">
        <is>
          <t>Assumptions Sheet</t>
        </is>
      </c>
      <c r="B824" t="inlineStr">
        <is>
          <t>E62</t>
        </is>
      </c>
      <c r="C824" t="n">
        <v>62</v>
      </c>
      <c r="D824" t="n">
        <v>5</v>
      </c>
      <c r="E824" t="inlineStr">
        <is>
          <t>Input</t>
        </is>
      </c>
      <c r="F824" t="n">
        <v/>
      </c>
      <c r="G824" t="n">
        <v>3445.52</v>
      </c>
      <c r="H824" t="inlineStr"/>
      <c r="I824" t="inlineStr">
        <is>
          <t>0</t>
        </is>
      </c>
      <c r="J824" t="b">
        <v>0</v>
      </c>
      <c r="K824" t="b">
        <v>0</v>
      </c>
      <c r="L824" t="n">
        <v>11</v>
      </c>
      <c r="M824" t="inlineStr">
        <is>
          <t>Values must be of type &lt;class 'str'&gt;</t>
        </is>
      </c>
      <c r="N824" t="inlineStr">
        <is>
          <t>Values must be of type &lt;class 'str'&gt;</t>
        </is>
      </c>
      <c r="O824" t="inlineStr">
        <is>
          <t>center</t>
        </is>
      </c>
      <c r="P824" t="n">
        <v/>
      </c>
      <c r="R824" t="b">
        <v>1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</row>
    <row r="825">
      <c r="A825" t="inlineStr">
        <is>
          <t>Assumptions Sheet</t>
        </is>
      </c>
      <c r="B825" t="inlineStr">
        <is>
          <t>F62</t>
        </is>
      </c>
      <c r="C825" t="n">
        <v>62</v>
      </c>
      <c r="D825" t="n">
        <v>6</v>
      </c>
      <c r="E825" t="inlineStr">
        <is>
          <t>Calculation</t>
        </is>
      </c>
      <c r="F825" t="inlineStr">
        <is>
          <t>'=C62</t>
        </is>
      </c>
      <c r="G825" t="n">
        <v>25603.42</v>
      </c>
      <c r="H825" t="inlineStr"/>
      <c r="I825" t="inlineStr">
        <is>
          <t>0</t>
        </is>
      </c>
      <c r="J825" t="b">
        <v>0</v>
      </c>
      <c r="K825" t="b">
        <v>0</v>
      </c>
      <c r="L825" t="n">
        <v>11</v>
      </c>
      <c r="M825" t="inlineStr">
        <is>
          <t>Values must be of type &lt;class 'str'&gt;</t>
        </is>
      </c>
      <c r="N825" t="inlineStr">
        <is>
          <t>Values must be of type &lt;class 'str'&gt;</t>
        </is>
      </c>
      <c r="O825" t="inlineStr">
        <is>
          <t>center</t>
        </is>
      </c>
      <c r="P825" t="n">
        <v/>
      </c>
      <c r="R825" t="b">
        <v>1</v>
      </c>
      <c r="S825" t="inlineStr">
        <is>
          <t>G000047</t>
        </is>
      </c>
      <c r="T825" t="inlineStr">
        <is>
          <t>Block</t>
        </is>
      </c>
      <c r="U825" t="n">
        <v>2</v>
      </c>
      <c r="V825" t="b">
        <v>1</v>
      </c>
      <c r="W825" t="inlineStr">
        <is>
          <t>Assumptions Sheet!F62:F65</t>
        </is>
      </c>
      <c r="X825">
        <f>R[0]C[-3]</f>
        <v/>
      </c>
    </row>
    <row r="826">
      <c r="A826" t="inlineStr">
        <is>
          <t>Assumptions Sheet</t>
        </is>
      </c>
      <c r="B826" t="inlineStr">
        <is>
          <t>G62</t>
        </is>
      </c>
      <c r="C826" t="n">
        <v>62</v>
      </c>
      <c r="D826" t="n">
        <v>7</v>
      </c>
      <c r="E826" t="inlineStr">
        <is>
          <t>Calculation</t>
        </is>
      </c>
      <c r="F826" t="inlineStr">
        <is>
          <t>'=$D$62/4</t>
        </is>
      </c>
      <c r="G826" t="n">
        <v>13539.9725</v>
      </c>
      <c r="H826" t="inlineStr"/>
      <c r="I826" t="inlineStr">
        <is>
          <t>0</t>
        </is>
      </c>
      <c r="J826" t="b">
        <v>0</v>
      </c>
      <c r="K826" t="b">
        <v>0</v>
      </c>
      <c r="L826" t="n">
        <v>11</v>
      </c>
      <c r="M826" t="inlineStr">
        <is>
          <t>Values must be of type &lt;class 'str'&gt;</t>
        </is>
      </c>
      <c r="N826" t="inlineStr">
        <is>
          <t>Values must be of type &lt;class 'str'&gt;</t>
        </is>
      </c>
      <c r="O826" t="inlineStr">
        <is>
          <t>center</t>
        </is>
      </c>
      <c r="P826" t="n">
        <v/>
      </c>
      <c r="R826" t="b">
        <v>1</v>
      </c>
      <c r="S826" t="inlineStr">
        <is>
          <t>G000048</t>
        </is>
      </c>
      <c r="T826" t="inlineStr">
        <is>
          <t>Horizontal</t>
        </is>
      </c>
      <c r="U826" t="n">
        <v>4</v>
      </c>
      <c r="V826" t="b">
        <v>1</v>
      </c>
      <c r="W826" t="inlineStr">
        <is>
          <t>Assumptions Sheet!G62:J62</t>
        </is>
      </c>
      <c r="X826">
        <f>R62C4/4</f>
        <v/>
      </c>
    </row>
    <row r="827">
      <c r="A827" t="inlineStr">
        <is>
          <t>Assumptions Sheet</t>
        </is>
      </c>
      <c r="B827" t="inlineStr">
        <is>
          <t>H62</t>
        </is>
      </c>
      <c r="C827" t="n">
        <v>62</v>
      </c>
      <c r="D827" t="n">
        <v>8</v>
      </c>
      <c r="E827" t="inlineStr">
        <is>
          <t>Calculation</t>
        </is>
      </c>
      <c r="F827" t="inlineStr">
        <is>
          <t>'=$D$62/4</t>
        </is>
      </c>
      <c r="G827" t="n">
        <v>13539.9725</v>
      </c>
      <c r="H827" t="inlineStr"/>
      <c r="I827" t="inlineStr">
        <is>
          <t>0</t>
        </is>
      </c>
      <c r="J827" t="b">
        <v>0</v>
      </c>
      <c r="K827" t="b">
        <v>0</v>
      </c>
      <c r="L827" t="n">
        <v>11</v>
      </c>
      <c r="M827" t="inlineStr">
        <is>
          <t>Values must be of type &lt;class 'str'&gt;</t>
        </is>
      </c>
      <c r="N827" t="inlineStr">
        <is>
          <t>Values must be of type &lt;class 'str'&gt;</t>
        </is>
      </c>
      <c r="O827" t="inlineStr">
        <is>
          <t>center</t>
        </is>
      </c>
      <c r="P827" t="n">
        <v/>
      </c>
      <c r="R827" t="b">
        <v>1</v>
      </c>
      <c r="S827" t="inlineStr">
        <is>
          <t>G000048</t>
        </is>
      </c>
      <c r="T827" t="inlineStr">
        <is>
          <t>Horizontal</t>
        </is>
      </c>
      <c r="U827" t="n">
        <v>4</v>
      </c>
      <c r="V827" t="b">
        <v>1</v>
      </c>
      <c r="W827" t="inlineStr">
        <is>
          <t>Assumptions Sheet!G62:J62</t>
        </is>
      </c>
      <c r="X827">
        <f>R62C4/4</f>
        <v/>
      </c>
    </row>
    <row r="828">
      <c r="A828" t="inlineStr">
        <is>
          <t>Assumptions Sheet</t>
        </is>
      </c>
      <c r="B828" t="inlineStr">
        <is>
          <t>I62</t>
        </is>
      </c>
      <c r="C828" t="n">
        <v>62</v>
      </c>
      <c r="D828" t="n">
        <v>9</v>
      </c>
      <c r="E828" t="inlineStr">
        <is>
          <t>Calculation</t>
        </is>
      </c>
      <c r="F828" t="inlineStr">
        <is>
          <t>'=$D$62/4</t>
        </is>
      </c>
      <c r="G828" t="n">
        <v>13539.9725</v>
      </c>
      <c r="H828" t="inlineStr"/>
      <c r="I828" t="inlineStr">
        <is>
          <t>0</t>
        </is>
      </c>
      <c r="J828" t="b">
        <v>0</v>
      </c>
      <c r="K828" t="b">
        <v>0</v>
      </c>
      <c r="L828" t="n">
        <v>11</v>
      </c>
      <c r="M828" t="inlineStr">
        <is>
          <t>Values must be of type &lt;class 'str'&gt;</t>
        </is>
      </c>
      <c r="N828" t="inlineStr">
        <is>
          <t>Values must be of type &lt;class 'str'&gt;</t>
        </is>
      </c>
      <c r="O828" t="inlineStr">
        <is>
          <t>center</t>
        </is>
      </c>
      <c r="P828" t="n">
        <v/>
      </c>
      <c r="R828" t="b">
        <v>1</v>
      </c>
      <c r="S828" t="inlineStr">
        <is>
          <t>G000048</t>
        </is>
      </c>
      <c r="T828" t="inlineStr">
        <is>
          <t>Horizontal</t>
        </is>
      </c>
      <c r="U828" t="n">
        <v>4</v>
      </c>
      <c r="V828" t="b">
        <v>1</v>
      </c>
      <c r="W828" t="inlineStr">
        <is>
          <t>Assumptions Sheet!G62:J62</t>
        </is>
      </c>
      <c r="X828">
        <f>R62C4/4</f>
        <v/>
      </c>
    </row>
    <row r="829">
      <c r="A829" t="inlineStr">
        <is>
          <t>Assumptions Sheet</t>
        </is>
      </c>
      <c r="B829" t="inlineStr">
        <is>
          <t>J62</t>
        </is>
      </c>
      <c r="C829" t="n">
        <v>62</v>
      </c>
      <c r="D829" t="n">
        <v>10</v>
      </c>
      <c r="E829" t="inlineStr">
        <is>
          <t>Calculation</t>
        </is>
      </c>
      <c r="F829" t="inlineStr">
        <is>
          <t>'=$D$62/4</t>
        </is>
      </c>
      <c r="G829" t="n">
        <v>13539.9725</v>
      </c>
      <c r="H829" t="inlineStr"/>
      <c r="I829" t="inlineStr">
        <is>
          <t>0</t>
        </is>
      </c>
      <c r="J829" t="b">
        <v>0</v>
      </c>
      <c r="K829" t="b">
        <v>0</v>
      </c>
      <c r="L829" t="n">
        <v>11</v>
      </c>
      <c r="M829" t="inlineStr">
        <is>
          <t>Values must be of type &lt;class 'str'&gt;</t>
        </is>
      </c>
      <c r="N829" t="inlineStr">
        <is>
          <t>Values must be of type &lt;class 'str'&gt;</t>
        </is>
      </c>
      <c r="O829" t="inlineStr">
        <is>
          <t>center</t>
        </is>
      </c>
      <c r="P829" t="n">
        <v/>
      </c>
      <c r="R829" t="b">
        <v>1</v>
      </c>
      <c r="S829" t="inlineStr">
        <is>
          <t>G000048</t>
        </is>
      </c>
      <c r="T829" t="inlineStr">
        <is>
          <t>Horizontal</t>
        </is>
      </c>
      <c r="U829" t="n">
        <v>4</v>
      </c>
      <c r="V829" t="b">
        <v>1</v>
      </c>
      <c r="W829" t="inlineStr">
        <is>
          <t>Assumptions Sheet!G62:J62</t>
        </is>
      </c>
      <c r="X829">
        <f>R62C4/4</f>
        <v/>
      </c>
    </row>
    <row r="830">
      <c r="A830" t="inlineStr">
        <is>
          <t>Assumptions Sheet</t>
        </is>
      </c>
      <c r="B830" t="inlineStr">
        <is>
          <t>K62</t>
        </is>
      </c>
      <c r="C830" t="n">
        <v>62</v>
      </c>
      <c r="D830" t="n">
        <v>11</v>
      </c>
      <c r="E830" t="inlineStr">
        <is>
          <t>Calculation</t>
        </is>
      </c>
      <c r="F830" t="inlineStr">
        <is>
          <t>'=$E$62/5</t>
        </is>
      </c>
      <c r="G830" t="n">
        <v>689.104</v>
      </c>
      <c r="H830" t="inlineStr"/>
      <c r="I830" t="inlineStr">
        <is>
          <t>0</t>
        </is>
      </c>
      <c r="J830" t="b">
        <v>0</v>
      </c>
      <c r="K830" t="b">
        <v>0</v>
      </c>
      <c r="L830" t="n">
        <v>11</v>
      </c>
      <c r="M830" t="inlineStr">
        <is>
          <t>Values must be of type &lt;class 'str'&gt;</t>
        </is>
      </c>
      <c r="N830" t="inlineStr">
        <is>
          <t>Values must be of type &lt;class 'str'&gt;</t>
        </is>
      </c>
      <c r="O830" t="inlineStr">
        <is>
          <t>center</t>
        </is>
      </c>
      <c r="P830" t="n">
        <v/>
      </c>
      <c r="R830" t="b">
        <v>1</v>
      </c>
      <c r="S830" t="inlineStr">
        <is>
          <t>G000049</t>
        </is>
      </c>
      <c r="T830" t="inlineStr">
        <is>
          <t>Horizontal</t>
        </is>
      </c>
      <c r="U830" t="n">
        <v>5</v>
      </c>
      <c r="V830" t="b">
        <v>1</v>
      </c>
      <c r="W830" t="inlineStr">
        <is>
          <t>Assumptions Sheet!K62:O62</t>
        </is>
      </c>
      <c r="X830">
        <f>R62C5/5</f>
        <v/>
      </c>
    </row>
    <row r="831">
      <c r="A831" t="inlineStr">
        <is>
          <t>Assumptions Sheet</t>
        </is>
      </c>
      <c r="B831" t="inlineStr">
        <is>
          <t>L62</t>
        </is>
      </c>
      <c r="C831" t="n">
        <v>62</v>
      </c>
      <c r="D831" t="n">
        <v>12</v>
      </c>
      <c r="E831" t="inlineStr">
        <is>
          <t>Calculation</t>
        </is>
      </c>
      <c r="F831" t="inlineStr">
        <is>
          <t>'=$E$62/5</t>
        </is>
      </c>
      <c r="G831" t="n">
        <v>689.104</v>
      </c>
      <c r="H831" t="inlineStr"/>
      <c r="I831" t="inlineStr">
        <is>
          <t>0</t>
        </is>
      </c>
      <c r="J831" t="b">
        <v>0</v>
      </c>
      <c r="K831" t="b">
        <v>0</v>
      </c>
      <c r="L831" t="n">
        <v>11</v>
      </c>
      <c r="M831" t="inlineStr">
        <is>
          <t>Values must be of type &lt;class 'str'&gt;</t>
        </is>
      </c>
      <c r="N831" t="inlineStr">
        <is>
          <t>Values must be of type &lt;class 'str'&gt;</t>
        </is>
      </c>
      <c r="O831" t="inlineStr">
        <is>
          <t>center</t>
        </is>
      </c>
      <c r="P831" t="n">
        <v/>
      </c>
      <c r="R831" t="b">
        <v>1</v>
      </c>
      <c r="S831" t="inlineStr">
        <is>
          <t>G000049</t>
        </is>
      </c>
      <c r="T831" t="inlineStr">
        <is>
          <t>Horizontal</t>
        </is>
      </c>
      <c r="U831" t="n">
        <v>5</v>
      </c>
      <c r="V831" t="b">
        <v>1</v>
      </c>
      <c r="W831" t="inlineStr">
        <is>
          <t>Assumptions Sheet!K62:O62</t>
        </is>
      </c>
      <c r="X831">
        <f>R62C5/5</f>
        <v/>
      </c>
    </row>
    <row r="832">
      <c r="A832" t="inlineStr">
        <is>
          <t>Assumptions Sheet</t>
        </is>
      </c>
      <c r="B832" t="inlineStr">
        <is>
          <t>M62</t>
        </is>
      </c>
      <c r="C832" t="n">
        <v>62</v>
      </c>
      <c r="D832" t="n">
        <v>13</v>
      </c>
      <c r="E832" t="inlineStr">
        <is>
          <t>Calculation</t>
        </is>
      </c>
      <c r="F832" t="inlineStr">
        <is>
          <t>'=$E$62/5</t>
        </is>
      </c>
      <c r="G832" t="n">
        <v>689.104</v>
      </c>
      <c r="H832" t="inlineStr"/>
      <c r="I832" t="inlineStr">
        <is>
          <t>0</t>
        </is>
      </c>
      <c r="J832" t="b">
        <v>0</v>
      </c>
      <c r="K832" t="b">
        <v>0</v>
      </c>
      <c r="L832" t="n">
        <v>11</v>
      </c>
      <c r="M832" t="inlineStr">
        <is>
          <t>Values must be of type &lt;class 'str'&gt;</t>
        </is>
      </c>
      <c r="N832" t="inlineStr">
        <is>
          <t>Values must be of type &lt;class 'str'&gt;</t>
        </is>
      </c>
      <c r="O832" t="inlineStr">
        <is>
          <t>center</t>
        </is>
      </c>
      <c r="P832" t="n">
        <v/>
      </c>
      <c r="R832" t="b">
        <v>1</v>
      </c>
      <c r="S832" t="inlineStr">
        <is>
          <t>G000049</t>
        </is>
      </c>
      <c r="T832" t="inlineStr">
        <is>
          <t>Horizontal</t>
        </is>
      </c>
      <c r="U832" t="n">
        <v>5</v>
      </c>
      <c r="V832" t="b">
        <v>1</v>
      </c>
      <c r="W832" t="inlineStr">
        <is>
          <t>Assumptions Sheet!K62:O62</t>
        </is>
      </c>
      <c r="X832">
        <f>R62C5/5</f>
        <v/>
      </c>
    </row>
    <row r="833">
      <c r="A833" t="inlineStr">
        <is>
          <t>Assumptions Sheet</t>
        </is>
      </c>
      <c r="B833" t="inlineStr">
        <is>
          <t>N62</t>
        </is>
      </c>
      <c r="C833" t="n">
        <v>62</v>
      </c>
      <c r="D833" t="n">
        <v>14</v>
      </c>
      <c r="E833" t="inlineStr">
        <is>
          <t>Calculation</t>
        </is>
      </c>
      <c r="F833" t="inlineStr">
        <is>
          <t>'=$E$62/5</t>
        </is>
      </c>
      <c r="G833" t="n">
        <v>689.104</v>
      </c>
      <c r="H833" t="inlineStr"/>
      <c r="I833" t="inlineStr">
        <is>
          <t>0</t>
        </is>
      </c>
      <c r="J833" t="b">
        <v>0</v>
      </c>
      <c r="K833" t="b">
        <v>0</v>
      </c>
      <c r="L833" t="n">
        <v>11</v>
      </c>
      <c r="M833" t="inlineStr">
        <is>
          <t>Values must be of type &lt;class 'str'&gt;</t>
        </is>
      </c>
      <c r="N833" t="inlineStr">
        <is>
          <t>Values must be of type &lt;class 'str'&gt;</t>
        </is>
      </c>
      <c r="O833" t="inlineStr">
        <is>
          <t>center</t>
        </is>
      </c>
      <c r="P833" t="n">
        <v/>
      </c>
      <c r="R833" t="b">
        <v>1</v>
      </c>
      <c r="S833" t="inlineStr">
        <is>
          <t>G000049</t>
        </is>
      </c>
      <c r="T833" t="inlineStr">
        <is>
          <t>Horizontal</t>
        </is>
      </c>
      <c r="U833" t="n">
        <v>5</v>
      </c>
      <c r="V833" t="b">
        <v>1</v>
      </c>
      <c r="W833" t="inlineStr">
        <is>
          <t>Assumptions Sheet!K62:O62</t>
        </is>
      </c>
      <c r="X833">
        <f>R62C5/5</f>
        <v/>
      </c>
    </row>
    <row r="834">
      <c r="A834" t="inlineStr">
        <is>
          <t>Assumptions Sheet</t>
        </is>
      </c>
      <c r="B834" t="inlineStr">
        <is>
          <t>O62</t>
        </is>
      </c>
      <c r="C834" t="n">
        <v>62</v>
      </c>
      <c r="D834" t="n">
        <v>15</v>
      </c>
      <c r="E834" t="inlineStr">
        <is>
          <t>Calculation</t>
        </is>
      </c>
      <c r="F834" t="inlineStr">
        <is>
          <t>'=$E$62/5</t>
        </is>
      </c>
      <c r="G834" t="n">
        <v>689.104</v>
      </c>
      <c r="H834" t="inlineStr"/>
      <c r="I834" t="inlineStr">
        <is>
          <t>0</t>
        </is>
      </c>
      <c r="J834" t="b">
        <v>0</v>
      </c>
      <c r="K834" t="b">
        <v>0</v>
      </c>
      <c r="L834" t="n">
        <v>11</v>
      </c>
      <c r="M834" t="inlineStr">
        <is>
          <t>Values must be of type &lt;class 'str'&gt;</t>
        </is>
      </c>
      <c r="N834" t="inlineStr">
        <is>
          <t>Values must be of type &lt;class 'str'&gt;</t>
        </is>
      </c>
      <c r="O834" t="inlineStr">
        <is>
          <t>center</t>
        </is>
      </c>
      <c r="P834" t="n">
        <v/>
      </c>
      <c r="R834" t="b">
        <v>1</v>
      </c>
      <c r="S834" t="inlineStr">
        <is>
          <t>G000049</t>
        </is>
      </c>
      <c r="T834" t="inlineStr">
        <is>
          <t>Horizontal</t>
        </is>
      </c>
      <c r="U834" t="n">
        <v>5</v>
      </c>
      <c r="V834" t="b">
        <v>1</v>
      </c>
      <c r="W834" t="inlineStr">
        <is>
          <t>Assumptions Sheet!K62:O62</t>
        </is>
      </c>
      <c r="X834">
        <f>R62C5/5</f>
        <v/>
      </c>
    </row>
    <row r="835">
      <c r="A835" t="inlineStr">
        <is>
          <t>Assumptions Sheet</t>
        </is>
      </c>
      <c r="B835" t="inlineStr">
        <is>
          <t>P62</t>
        </is>
      </c>
      <c r="C835" t="n">
        <v>62</v>
      </c>
      <c r="D835" t="n">
        <v>16</v>
      </c>
      <c r="E835" t="inlineStr">
        <is>
          <t>Input</t>
        </is>
      </c>
      <c r="F835" t="n">
        <v/>
      </c>
      <c r="G835" t="n">
        <v>0.105</v>
      </c>
      <c r="H835" t="inlineStr"/>
      <c r="I835" t="inlineStr">
        <is>
          <t>0.00%</t>
        </is>
      </c>
      <c r="J835" t="b">
        <v>0</v>
      </c>
      <c r="K835" t="b">
        <v>0</v>
      </c>
      <c r="L835" t="n">
        <v>11</v>
      </c>
      <c r="M835" t="inlineStr">
        <is>
          <t>Values must be of type &lt;class 'str'&gt;</t>
        </is>
      </c>
      <c r="N835" t="inlineStr">
        <is>
          <t>Values must be of type &lt;class 'str'&gt;</t>
        </is>
      </c>
      <c r="O835" t="inlineStr">
        <is>
          <t>center</t>
        </is>
      </c>
      <c r="P835" t="n">
        <v/>
      </c>
      <c r="R835" t="b">
        <v>1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</row>
    <row r="836">
      <c r="A836" t="inlineStr">
        <is>
          <t>Assumptions Sheet</t>
        </is>
      </c>
      <c r="B836" t="inlineStr">
        <is>
          <t>F63</t>
        </is>
      </c>
      <c r="C836" t="n">
        <v>63</v>
      </c>
      <c r="D836" t="n">
        <v>6</v>
      </c>
      <c r="E836" t="inlineStr">
        <is>
          <t>Calculation</t>
        </is>
      </c>
      <c r="F836" t="inlineStr">
        <is>
          <t>'=F62/(1+$P$62)^F61</t>
        </is>
      </c>
      <c r="G836" t="n">
        <v>23170.51583710407</v>
      </c>
      <c r="H836" t="inlineStr"/>
      <c r="I836" t="inlineStr">
        <is>
          <t>0</t>
        </is>
      </c>
      <c r="J836" t="b">
        <v>0</v>
      </c>
      <c r="K836" t="b">
        <v>0</v>
      </c>
      <c r="L836" t="n">
        <v>11</v>
      </c>
      <c r="M836" t="inlineStr">
        <is>
          <t>Values must be of type &lt;class 'str'&gt;</t>
        </is>
      </c>
      <c r="N836" t="inlineStr">
        <is>
          <t>Values must be of type &lt;class 'str'&gt;</t>
        </is>
      </c>
      <c r="O836" t="inlineStr">
        <is>
          <t>center</t>
        </is>
      </c>
      <c r="P836" t="n">
        <v/>
      </c>
      <c r="R836" t="b">
        <v>1</v>
      </c>
      <c r="S836" t="inlineStr">
        <is>
          <t>G000050</t>
        </is>
      </c>
      <c r="T836" t="inlineStr">
        <is>
          <t>Horizontal</t>
        </is>
      </c>
      <c r="U836" t="n">
        <v>10</v>
      </c>
      <c r="V836" t="b">
        <v>1</v>
      </c>
      <c r="W836" t="inlineStr">
        <is>
          <t>Assumptions Sheet!F63:O63</t>
        </is>
      </c>
      <c r="X836">
        <f>R[-1]C[0]/(1+R62C16)^R[-2]C[0]</f>
        <v/>
      </c>
    </row>
    <row r="837">
      <c r="A837" t="inlineStr">
        <is>
          <t>Assumptions Sheet</t>
        </is>
      </c>
      <c r="B837" t="inlineStr">
        <is>
          <t>G63</t>
        </is>
      </c>
      <c r="C837" t="n">
        <v>63</v>
      </c>
      <c r="D837" t="n">
        <v>7</v>
      </c>
      <c r="E837" t="inlineStr">
        <is>
          <t>Calculation</t>
        </is>
      </c>
      <c r="F837" t="inlineStr">
        <is>
          <t>'=G62/(1+$P$62)^G61</t>
        </is>
      </c>
      <c r="G837" t="n">
        <v>11089.02151880592</v>
      </c>
      <c r="H837" t="inlineStr"/>
      <c r="I837" t="inlineStr">
        <is>
          <t>0</t>
        </is>
      </c>
      <c r="J837" t="b">
        <v>0</v>
      </c>
      <c r="K837" t="b">
        <v>0</v>
      </c>
      <c r="L837" t="n">
        <v>11</v>
      </c>
      <c r="M837" t="inlineStr">
        <is>
          <t>Values must be of type &lt;class 'str'&gt;</t>
        </is>
      </c>
      <c r="N837" t="inlineStr">
        <is>
          <t>Values must be of type &lt;class 'str'&gt;</t>
        </is>
      </c>
      <c r="O837" t="inlineStr">
        <is>
          <t>center</t>
        </is>
      </c>
      <c r="P837" t="n">
        <v/>
      </c>
      <c r="R837" t="b">
        <v>1</v>
      </c>
      <c r="S837" t="inlineStr">
        <is>
          <t>G000050</t>
        </is>
      </c>
      <c r="T837" t="inlineStr">
        <is>
          <t>Horizontal</t>
        </is>
      </c>
      <c r="U837" t="n">
        <v>10</v>
      </c>
      <c r="V837" t="b">
        <v>1</v>
      </c>
      <c r="W837" t="inlineStr">
        <is>
          <t>Assumptions Sheet!F63:O63</t>
        </is>
      </c>
      <c r="X837">
        <f>R[-1]C[0]/(1+R62C16)^R[-2]C[0]</f>
        <v/>
      </c>
    </row>
    <row r="838">
      <c r="A838" t="inlineStr">
        <is>
          <t>Assumptions Sheet</t>
        </is>
      </c>
      <c r="B838" t="inlineStr">
        <is>
          <t>H63</t>
        </is>
      </c>
      <c r="C838" t="n">
        <v>63</v>
      </c>
      <c r="D838" t="n">
        <v>8</v>
      </c>
      <c r="E838" t="inlineStr">
        <is>
          <t>Calculation</t>
        </is>
      </c>
      <c r="F838" t="inlineStr">
        <is>
          <t>'=H62/(1+$P$62)^H61</t>
        </is>
      </c>
      <c r="G838" t="n">
        <v>10035.31359167957</v>
      </c>
      <c r="H838" t="inlineStr"/>
      <c r="I838" t="inlineStr">
        <is>
          <t>0</t>
        </is>
      </c>
      <c r="J838" t="b">
        <v>0</v>
      </c>
      <c r="K838" t="b">
        <v>0</v>
      </c>
      <c r="L838" t="n">
        <v>11</v>
      </c>
      <c r="M838" t="inlineStr">
        <is>
          <t>Values must be of type &lt;class 'str'&gt;</t>
        </is>
      </c>
      <c r="N838" t="inlineStr">
        <is>
          <t>Values must be of type &lt;class 'str'&gt;</t>
        </is>
      </c>
      <c r="O838" t="inlineStr">
        <is>
          <t>center</t>
        </is>
      </c>
      <c r="P838" t="n">
        <v/>
      </c>
      <c r="R838" t="b">
        <v>1</v>
      </c>
      <c r="S838" t="inlineStr">
        <is>
          <t>G000050</t>
        </is>
      </c>
      <c r="T838" t="inlineStr">
        <is>
          <t>Horizontal</t>
        </is>
      </c>
      <c r="U838" t="n">
        <v>10</v>
      </c>
      <c r="V838" t="b">
        <v>1</v>
      </c>
      <c r="W838" t="inlineStr">
        <is>
          <t>Assumptions Sheet!F63:O63</t>
        </is>
      </c>
      <c r="X838">
        <f>R[-1]C[0]/(1+R62C16)^R[-2]C[0]</f>
        <v/>
      </c>
    </row>
    <row r="839">
      <c r="A839" t="inlineStr">
        <is>
          <t>Assumptions Sheet</t>
        </is>
      </c>
      <c r="B839" t="inlineStr">
        <is>
          <t>I63</t>
        </is>
      </c>
      <c r="C839" t="n">
        <v>63</v>
      </c>
      <c r="D839" t="n">
        <v>9</v>
      </c>
      <c r="E839" t="inlineStr">
        <is>
          <t>Calculation</t>
        </is>
      </c>
      <c r="F839" t="inlineStr">
        <is>
          <t>'=I62/(1+$P$62)^I61</t>
        </is>
      </c>
      <c r="G839" t="n">
        <v>9081.731757176078</v>
      </c>
      <c r="H839" t="inlineStr"/>
      <c r="I839" t="inlineStr">
        <is>
          <t>0</t>
        </is>
      </c>
      <c r="J839" t="b">
        <v>0</v>
      </c>
      <c r="K839" t="b">
        <v>0</v>
      </c>
      <c r="L839" t="n">
        <v>11</v>
      </c>
      <c r="M839" t="inlineStr">
        <is>
          <t>Values must be of type &lt;class 'str'&gt;</t>
        </is>
      </c>
      <c r="N839" t="inlineStr">
        <is>
          <t>Values must be of type &lt;class 'str'&gt;</t>
        </is>
      </c>
      <c r="O839" t="inlineStr">
        <is>
          <t>center</t>
        </is>
      </c>
      <c r="P839" t="n">
        <v/>
      </c>
      <c r="R839" t="b">
        <v>1</v>
      </c>
      <c r="S839" t="inlineStr">
        <is>
          <t>G000050</t>
        </is>
      </c>
      <c r="T839" t="inlineStr">
        <is>
          <t>Horizontal</t>
        </is>
      </c>
      <c r="U839" t="n">
        <v>10</v>
      </c>
      <c r="V839" t="b">
        <v>1</v>
      </c>
      <c r="W839" t="inlineStr">
        <is>
          <t>Assumptions Sheet!F63:O63</t>
        </is>
      </c>
      <c r="X839">
        <f>R[-1]C[0]/(1+R62C16)^R[-2]C[0]</f>
        <v/>
      </c>
    </row>
    <row r="840">
      <c r="A840" t="inlineStr">
        <is>
          <t>Assumptions Sheet</t>
        </is>
      </c>
      <c r="B840" t="inlineStr">
        <is>
          <t>J63</t>
        </is>
      </c>
      <c r="C840" t="n">
        <v>63</v>
      </c>
      <c r="D840" t="n">
        <v>10</v>
      </c>
      <c r="E840" t="inlineStr">
        <is>
          <t>Calculation</t>
        </is>
      </c>
      <c r="F840" t="inlineStr">
        <is>
          <t>'=J62/(1+$P$62)^J61</t>
        </is>
      </c>
      <c r="G840" t="n">
        <v>8218.76177120007</v>
      </c>
      <c r="H840" t="inlineStr"/>
      <c r="I840" t="inlineStr">
        <is>
          <t>0</t>
        </is>
      </c>
      <c r="J840" t="b">
        <v>0</v>
      </c>
      <c r="K840" t="b">
        <v>0</v>
      </c>
      <c r="L840" t="n">
        <v>11</v>
      </c>
      <c r="M840" t="inlineStr">
        <is>
          <t>Values must be of type &lt;class 'str'&gt;</t>
        </is>
      </c>
      <c r="N840" t="inlineStr">
        <is>
          <t>Values must be of type &lt;class 'str'&gt;</t>
        </is>
      </c>
      <c r="O840" t="inlineStr">
        <is>
          <t>center</t>
        </is>
      </c>
      <c r="P840" t="n">
        <v/>
      </c>
      <c r="R840" t="b">
        <v>1</v>
      </c>
      <c r="S840" t="inlineStr">
        <is>
          <t>G000050</t>
        </is>
      </c>
      <c r="T840" t="inlineStr">
        <is>
          <t>Horizontal</t>
        </is>
      </c>
      <c r="U840" t="n">
        <v>10</v>
      </c>
      <c r="V840" t="b">
        <v>1</v>
      </c>
      <c r="W840" t="inlineStr">
        <is>
          <t>Assumptions Sheet!F63:O63</t>
        </is>
      </c>
      <c r="X840">
        <f>R[-1]C[0]/(1+R62C16)^R[-2]C[0]</f>
        <v/>
      </c>
    </row>
    <row r="841">
      <c r="A841" t="inlineStr">
        <is>
          <t>Assumptions Sheet</t>
        </is>
      </c>
      <c r="B841" t="inlineStr">
        <is>
          <t>K63</t>
        </is>
      </c>
      <c r="C841" t="n">
        <v>63</v>
      </c>
      <c r="D841" t="n">
        <v>11</v>
      </c>
      <c r="E841" t="inlineStr">
        <is>
          <t>Calculation</t>
        </is>
      </c>
      <c r="F841" t="inlineStr">
        <is>
          <t>'=K62/(1+$P$62)^K61</t>
        </is>
      </c>
      <c r="G841" t="n">
        <v>378.5394115940985</v>
      </c>
      <c r="H841" t="inlineStr"/>
      <c r="I841" t="inlineStr">
        <is>
          <t>0</t>
        </is>
      </c>
      <c r="J841" t="b">
        <v>0</v>
      </c>
      <c r="K841" t="b">
        <v>0</v>
      </c>
      <c r="L841" t="n">
        <v>11</v>
      </c>
      <c r="M841" t="inlineStr">
        <is>
          <t>Values must be of type &lt;class 'str'&gt;</t>
        </is>
      </c>
      <c r="N841" t="inlineStr">
        <is>
          <t>Values must be of type &lt;class 'str'&gt;</t>
        </is>
      </c>
      <c r="O841" t="inlineStr">
        <is>
          <t>center</t>
        </is>
      </c>
      <c r="P841" t="n">
        <v/>
      </c>
      <c r="R841" t="b">
        <v>1</v>
      </c>
      <c r="S841" t="inlineStr">
        <is>
          <t>G000050</t>
        </is>
      </c>
      <c r="T841" t="inlineStr">
        <is>
          <t>Horizontal</t>
        </is>
      </c>
      <c r="U841" t="n">
        <v>10</v>
      </c>
      <c r="V841" t="b">
        <v>1</v>
      </c>
      <c r="W841" t="inlineStr">
        <is>
          <t>Assumptions Sheet!F63:O63</t>
        </is>
      </c>
      <c r="X841">
        <f>R[-1]C[0]/(1+R62C16)^R[-2]C[0]</f>
        <v/>
      </c>
    </row>
    <row r="842">
      <c r="A842" t="inlineStr">
        <is>
          <t>Assumptions Sheet</t>
        </is>
      </c>
      <c r="B842" t="inlineStr">
        <is>
          <t>L63</t>
        </is>
      </c>
      <c r="C842" t="n">
        <v>63</v>
      </c>
      <c r="D842" t="n">
        <v>12</v>
      </c>
      <c r="E842" t="inlineStr">
        <is>
          <t>Calculation</t>
        </is>
      </c>
      <c r="F842" t="inlineStr">
        <is>
          <t>'=L62/(1+$P$62)^L61</t>
        </is>
      </c>
      <c r="G842" t="n">
        <v>342.5696032525778</v>
      </c>
      <c r="H842" t="inlineStr"/>
      <c r="I842" t="inlineStr">
        <is>
          <t>0</t>
        </is>
      </c>
      <c r="J842" t="b">
        <v>0</v>
      </c>
      <c r="K842" t="b">
        <v>0</v>
      </c>
      <c r="L842" t="n">
        <v>11</v>
      </c>
      <c r="M842" t="inlineStr">
        <is>
          <t>Values must be of type &lt;class 'str'&gt;</t>
        </is>
      </c>
      <c r="N842" t="inlineStr">
        <is>
          <t>Values must be of type &lt;class 'str'&gt;</t>
        </is>
      </c>
      <c r="O842" t="inlineStr">
        <is>
          <t>center</t>
        </is>
      </c>
      <c r="P842" t="n">
        <v/>
      </c>
      <c r="R842" t="b">
        <v>1</v>
      </c>
      <c r="S842" t="inlineStr">
        <is>
          <t>G000050</t>
        </is>
      </c>
      <c r="T842" t="inlineStr">
        <is>
          <t>Horizontal</t>
        </is>
      </c>
      <c r="U842" t="n">
        <v>10</v>
      </c>
      <c r="V842" t="b">
        <v>1</v>
      </c>
      <c r="W842" t="inlineStr">
        <is>
          <t>Assumptions Sheet!F63:O63</t>
        </is>
      </c>
      <c r="X842">
        <f>R[-1]C[0]/(1+R62C16)^R[-2]C[0]</f>
        <v/>
      </c>
    </row>
    <row r="843">
      <c r="A843" t="inlineStr">
        <is>
          <t>Assumptions Sheet</t>
        </is>
      </c>
      <c r="B843" t="inlineStr">
        <is>
          <t>M63</t>
        </is>
      </c>
      <c r="C843" t="n">
        <v>63</v>
      </c>
      <c r="D843" t="n">
        <v>13</v>
      </c>
      <c r="E843" t="inlineStr">
        <is>
          <t>Calculation</t>
        </is>
      </c>
      <c r="F843" t="inlineStr">
        <is>
          <t>'=M62/(1+$P$62)^M61</t>
        </is>
      </c>
      <c r="G843" t="n">
        <v>310.0177405000704</v>
      </c>
      <c r="H843" t="inlineStr"/>
      <c r="I843" t="inlineStr">
        <is>
          <t>0</t>
        </is>
      </c>
      <c r="J843" t="b">
        <v>0</v>
      </c>
      <c r="K843" t="b">
        <v>0</v>
      </c>
      <c r="L843" t="n">
        <v>11</v>
      </c>
      <c r="M843" t="inlineStr">
        <is>
          <t>Values must be of type &lt;class 'str'&gt;</t>
        </is>
      </c>
      <c r="N843" t="inlineStr">
        <is>
          <t>Values must be of type &lt;class 'str'&gt;</t>
        </is>
      </c>
      <c r="O843" t="inlineStr">
        <is>
          <t>center</t>
        </is>
      </c>
      <c r="P843" t="n">
        <v/>
      </c>
      <c r="R843" t="b">
        <v>1</v>
      </c>
      <c r="S843" t="inlineStr">
        <is>
          <t>G000050</t>
        </is>
      </c>
      <c r="T843" t="inlineStr">
        <is>
          <t>Horizontal</t>
        </is>
      </c>
      <c r="U843" t="n">
        <v>10</v>
      </c>
      <c r="V843" t="b">
        <v>1</v>
      </c>
      <c r="W843" t="inlineStr">
        <is>
          <t>Assumptions Sheet!F63:O63</t>
        </is>
      </c>
      <c r="X843">
        <f>R[-1]C[0]/(1+R62C16)^R[-2]C[0]</f>
        <v/>
      </c>
    </row>
    <row r="844">
      <c r="A844" t="inlineStr">
        <is>
          <t>Assumptions Sheet</t>
        </is>
      </c>
      <c r="B844" t="inlineStr">
        <is>
          <t>N63</t>
        </is>
      </c>
      <c r="C844" t="n">
        <v>63</v>
      </c>
      <c r="D844" t="n">
        <v>14</v>
      </c>
      <c r="E844" t="inlineStr">
        <is>
          <t>Calculation</t>
        </is>
      </c>
      <c r="F844" t="inlineStr">
        <is>
          <t>'=N62/(1+$P$62)^N61</t>
        </is>
      </c>
      <c r="G844" t="n">
        <v>280.5590411765343</v>
      </c>
      <c r="H844" t="inlineStr"/>
      <c r="I844" t="inlineStr">
        <is>
          <t>0</t>
        </is>
      </c>
      <c r="J844" t="b">
        <v>0</v>
      </c>
      <c r="K844" t="b">
        <v>0</v>
      </c>
      <c r="L844" t="n">
        <v>11</v>
      </c>
      <c r="M844" t="inlineStr">
        <is>
          <t>Values must be of type &lt;class 'str'&gt;</t>
        </is>
      </c>
      <c r="N844" t="inlineStr">
        <is>
          <t>Values must be of type &lt;class 'str'&gt;</t>
        </is>
      </c>
      <c r="O844" t="inlineStr">
        <is>
          <t>center</t>
        </is>
      </c>
      <c r="P844" t="n">
        <v/>
      </c>
      <c r="R844" t="b">
        <v>1</v>
      </c>
      <c r="S844" t="inlineStr">
        <is>
          <t>G000050</t>
        </is>
      </c>
      <c r="T844" t="inlineStr">
        <is>
          <t>Horizontal</t>
        </is>
      </c>
      <c r="U844" t="n">
        <v>10</v>
      </c>
      <c r="V844" t="b">
        <v>1</v>
      </c>
      <c r="W844" t="inlineStr">
        <is>
          <t>Assumptions Sheet!F63:O63</t>
        </is>
      </c>
      <c r="X844">
        <f>R[-1]C[0]/(1+R62C16)^R[-2]C[0]</f>
        <v/>
      </c>
    </row>
    <row r="845">
      <c r="A845" t="inlineStr">
        <is>
          <t>Assumptions Sheet</t>
        </is>
      </c>
      <c r="B845" t="inlineStr">
        <is>
          <t>O63</t>
        </is>
      </c>
      <c r="C845" t="n">
        <v>63</v>
      </c>
      <c r="D845" t="n">
        <v>15</v>
      </c>
      <c r="E845" t="inlineStr">
        <is>
          <t>Calculation</t>
        </is>
      </c>
      <c r="F845" t="inlineStr">
        <is>
          <t>'=O62/(1+$P$62)^O61</t>
        </is>
      </c>
      <c r="G845" t="n">
        <v>253.8995847751442</v>
      </c>
      <c r="H845" t="inlineStr"/>
      <c r="I845" t="inlineStr">
        <is>
          <t>0</t>
        </is>
      </c>
      <c r="J845" t="b">
        <v>0</v>
      </c>
      <c r="K845" t="b">
        <v>0</v>
      </c>
      <c r="L845" t="n">
        <v>11</v>
      </c>
      <c r="M845" t="inlineStr">
        <is>
          <t>Values must be of type &lt;class 'str'&gt;</t>
        </is>
      </c>
      <c r="N845" t="inlineStr">
        <is>
          <t>Values must be of type &lt;class 'str'&gt;</t>
        </is>
      </c>
      <c r="O845" t="inlineStr">
        <is>
          <t>center</t>
        </is>
      </c>
      <c r="P845" t="n">
        <v/>
      </c>
      <c r="R845" t="b">
        <v>1</v>
      </c>
      <c r="S845" t="inlineStr">
        <is>
          <t>G000050</t>
        </is>
      </c>
      <c r="T845" t="inlineStr">
        <is>
          <t>Horizontal</t>
        </is>
      </c>
      <c r="U845" t="n">
        <v>10</v>
      </c>
      <c r="V845" t="b">
        <v>1</v>
      </c>
      <c r="W845" t="inlineStr">
        <is>
          <t>Assumptions Sheet!F63:O63</t>
        </is>
      </c>
      <c r="X845">
        <f>R[-1]C[0]/(1+R62C16)^R[-2]C[0]</f>
        <v/>
      </c>
    </row>
    <row r="846">
      <c r="A846" t="inlineStr">
        <is>
          <t>Assumptions Sheet</t>
        </is>
      </c>
      <c r="B846" t="inlineStr">
        <is>
          <t>P63</t>
        </is>
      </c>
      <c r="C846" t="n">
        <v>63</v>
      </c>
      <c r="D846" t="n">
        <v>16</v>
      </c>
      <c r="E846" t="inlineStr">
        <is>
          <t>Calculation</t>
        </is>
      </c>
      <c r="F846" t="inlineStr">
        <is>
          <t>'=SUM(F63:O63)</t>
        </is>
      </c>
      <c r="G846" t="n">
        <v>63160.92985726414</v>
      </c>
      <c r="H846" t="inlineStr"/>
      <c r="I846" t="inlineStr">
        <is>
          <t>0</t>
        </is>
      </c>
      <c r="J846" t="b">
        <v>1</v>
      </c>
      <c r="K846" t="b">
        <v>0</v>
      </c>
      <c r="L846" t="n">
        <v>11</v>
      </c>
      <c r="M846" t="inlineStr">
        <is>
          <t>Values must be of type &lt;class 'str'&gt;</t>
        </is>
      </c>
      <c r="N846" t="inlineStr">
        <is>
          <t>Values must be of type &lt;class 'str'&gt;</t>
        </is>
      </c>
      <c r="O846" t="inlineStr">
        <is>
          <t>center</t>
        </is>
      </c>
      <c r="P846" t="n">
        <v/>
      </c>
      <c r="R846" t="b">
        <v>1</v>
      </c>
      <c r="S846" t="inlineStr">
        <is>
          <t>G000051</t>
        </is>
      </c>
      <c r="T846" t="inlineStr">
        <is>
          <t>Block</t>
        </is>
      </c>
      <c r="U846" t="n">
        <v>2</v>
      </c>
      <c r="V846" t="b">
        <v>1</v>
      </c>
      <c r="W846" t="inlineStr">
        <is>
          <t>Assumptions Sheet!P63:P66</t>
        </is>
      </c>
      <c r="X846">
        <f>SUM(R[0]C[-10]:R[0]C[-1])</f>
        <v/>
      </c>
    </row>
    <row r="847">
      <c r="A847" t="inlineStr">
        <is>
          <t>Assumptions Sheet</t>
        </is>
      </c>
      <c r="B847" t="inlineStr">
        <is>
          <t>C64</t>
        </is>
      </c>
      <c r="C847" t="n">
        <v>64</v>
      </c>
      <c r="D847" t="n">
        <v>3</v>
      </c>
      <c r="E847" t="inlineStr">
        <is>
          <t>Input</t>
        </is>
      </c>
      <c r="F847" t="n">
        <v/>
      </c>
      <c r="G847" t="inlineStr">
        <is>
          <t>1 Year</t>
        </is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11</v>
      </c>
      <c r="M847" t="inlineStr">
        <is>
          <t>Values must be of type &lt;class 'str'&gt;</t>
        </is>
      </c>
      <c r="N847" t="inlineStr">
        <is>
          <t>Values must be of type &lt;class 'str'&gt;</t>
        </is>
      </c>
      <c r="O847" t="inlineStr">
        <is>
          <t>center</t>
        </is>
      </c>
      <c r="P847" t="n">
        <v/>
      </c>
      <c r="R847" t="b">
        <v>1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</row>
    <row r="848">
      <c r="A848" t="inlineStr">
        <is>
          <t>Assumptions Sheet</t>
        </is>
      </c>
      <c r="B848" t="inlineStr">
        <is>
          <t>D64</t>
        </is>
      </c>
      <c r="C848" t="n">
        <v>64</v>
      </c>
      <c r="D848" t="n">
        <v>4</v>
      </c>
      <c r="E848" t="inlineStr">
        <is>
          <t>Input</t>
        </is>
      </c>
      <c r="F848" t="n">
        <v/>
      </c>
      <c r="G848" t="inlineStr">
        <is>
          <t>1-5 Year</t>
        </is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11</v>
      </c>
      <c r="M848" t="inlineStr">
        <is>
          <t>Values must be of type &lt;class 'str'&gt;</t>
        </is>
      </c>
      <c r="N848" t="inlineStr">
        <is>
          <t>Values must be of type &lt;class 'str'&gt;</t>
        </is>
      </c>
      <c r="O848" t="inlineStr">
        <is>
          <t>center</t>
        </is>
      </c>
      <c r="P848" t="n">
        <v/>
      </c>
      <c r="R848" t="b">
        <v>1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</row>
    <row r="849">
      <c r="A849" t="inlineStr">
        <is>
          <t>Assumptions Sheet</t>
        </is>
      </c>
      <c r="B849" t="inlineStr">
        <is>
          <t>E64</t>
        </is>
      </c>
      <c r="C849" t="n">
        <v>64</v>
      </c>
      <c r="D849" t="n">
        <v>5</v>
      </c>
      <c r="E849" t="inlineStr">
        <is>
          <t>Input</t>
        </is>
      </c>
      <c r="F849" t="n">
        <v/>
      </c>
      <c r="G849" t="inlineStr">
        <is>
          <t>&gt;5 Years</t>
        </is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11</v>
      </c>
      <c r="M849" t="inlineStr">
        <is>
          <t>Values must be of type &lt;class 'str'&gt;</t>
        </is>
      </c>
      <c r="N849" t="inlineStr">
        <is>
          <t>Values must be of type &lt;class 'str'&gt;</t>
        </is>
      </c>
      <c r="O849" t="inlineStr">
        <is>
          <t>center</t>
        </is>
      </c>
      <c r="P849" t="n">
        <v/>
      </c>
      <c r="R849" t="b">
        <v>1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</row>
    <row r="850">
      <c r="A850" t="inlineStr">
        <is>
          <t>Assumptions Sheet</t>
        </is>
      </c>
      <c r="B850" t="inlineStr">
        <is>
          <t>F64</t>
        </is>
      </c>
      <c r="C850" t="n">
        <v>64</v>
      </c>
      <c r="D850" t="n">
        <v>6</v>
      </c>
      <c r="E850" t="inlineStr">
        <is>
          <t>Input</t>
        </is>
      </c>
      <c r="F850" t="n">
        <v/>
      </c>
      <c r="G850" t="n">
        <v>1</v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11</v>
      </c>
      <c r="M850" t="inlineStr">
        <is>
          <t>Values must be of type &lt;class 'str'&gt;</t>
        </is>
      </c>
      <c r="N850" t="inlineStr">
        <is>
          <t>Values must be of type &lt;class 'str'&gt;</t>
        </is>
      </c>
      <c r="O850" t="inlineStr">
        <is>
          <t>center</t>
        </is>
      </c>
      <c r="P850" t="n">
        <v/>
      </c>
      <c r="R850" t="b">
        <v>1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</row>
    <row r="851">
      <c r="A851" t="inlineStr">
        <is>
          <t>Assumptions Sheet</t>
        </is>
      </c>
      <c r="B851" t="inlineStr">
        <is>
          <t>G64</t>
        </is>
      </c>
      <c r="C851" t="n">
        <v>64</v>
      </c>
      <c r="D851" t="n">
        <v>7</v>
      </c>
      <c r="E851" t="inlineStr">
        <is>
          <t>Input</t>
        </is>
      </c>
      <c r="F851" t="n">
        <v/>
      </c>
      <c r="G851" t="n">
        <v>2</v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11</v>
      </c>
      <c r="M851" t="inlineStr">
        <is>
          <t>Values must be of type &lt;class 'str'&gt;</t>
        </is>
      </c>
      <c r="N851" t="inlineStr">
        <is>
          <t>Values must be of type &lt;class 'str'&gt;</t>
        </is>
      </c>
      <c r="O851" t="inlineStr">
        <is>
          <t>center</t>
        </is>
      </c>
      <c r="P851" t="n">
        <v/>
      </c>
      <c r="R851" t="b">
        <v>1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</row>
    <row r="852">
      <c r="A852" t="inlineStr">
        <is>
          <t>Assumptions Sheet</t>
        </is>
      </c>
      <c r="B852" t="inlineStr">
        <is>
          <t>H64</t>
        </is>
      </c>
      <c r="C852" t="n">
        <v>64</v>
      </c>
      <c r="D852" t="n">
        <v>8</v>
      </c>
      <c r="E852" t="inlineStr">
        <is>
          <t>Input</t>
        </is>
      </c>
      <c r="F852" t="n">
        <v/>
      </c>
      <c r="G852" t="n">
        <v>3</v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11</v>
      </c>
      <c r="M852" t="inlineStr">
        <is>
          <t>Values must be of type &lt;class 'str'&gt;</t>
        </is>
      </c>
      <c r="N852" t="inlineStr">
        <is>
          <t>Values must be of type &lt;class 'str'&gt;</t>
        </is>
      </c>
      <c r="O852" t="inlineStr">
        <is>
          <t>center</t>
        </is>
      </c>
      <c r="P852" t="n">
        <v/>
      </c>
      <c r="R852" t="b">
        <v>1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</row>
    <row r="853">
      <c r="A853" t="inlineStr">
        <is>
          <t>Assumptions Sheet</t>
        </is>
      </c>
      <c r="B853" t="inlineStr">
        <is>
          <t>I64</t>
        </is>
      </c>
      <c r="C853" t="n">
        <v>64</v>
      </c>
      <c r="D853" t="n">
        <v>9</v>
      </c>
      <c r="E853" t="inlineStr">
        <is>
          <t>Input</t>
        </is>
      </c>
      <c r="F853" t="n">
        <v/>
      </c>
      <c r="G853" t="n">
        <v>4</v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11</v>
      </c>
      <c r="M853" t="inlineStr">
        <is>
          <t>Values must be of type &lt;class 'str'&gt;</t>
        </is>
      </c>
      <c r="N853" t="inlineStr">
        <is>
          <t>Values must be of type &lt;class 'str'&gt;</t>
        </is>
      </c>
      <c r="O853" t="inlineStr">
        <is>
          <t>center</t>
        </is>
      </c>
      <c r="P853" t="n">
        <v/>
      </c>
      <c r="R853" t="b">
        <v>1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</row>
    <row r="854">
      <c r="A854" t="inlineStr">
        <is>
          <t>Assumptions Sheet</t>
        </is>
      </c>
      <c r="B854" t="inlineStr">
        <is>
          <t>J64</t>
        </is>
      </c>
      <c r="C854" t="n">
        <v>64</v>
      </c>
      <c r="D854" t="n">
        <v>10</v>
      </c>
      <c r="E854" t="inlineStr">
        <is>
          <t>Input</t>
        </is>
      </c>
      <c r="F854" t="n">
        <v/>
      </c>
      <c r="G854" t="n">
        <v>5</v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11</v>
      </c>
      <c r="M854" t="inlineStr">
        <is>
          <t>Values must be of type &lt;class 'str'&gt;</t>
        </is>
      </c>
      <c r="N854" t="inlineStr">
        <is>
          <t>Values must be of type &lt;class 'str'&gt;</t>
        </is>
      </c>
      <c r="O854" t="inlineStr">
        <is>
          <t>center</t>
        </is>
      </c>
      <c r="P854" t="n">
        <v/>
      </c>
      <c r="R854" t="b">
        <v>1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</row>
    <row r="855">
      <c r="A855" t="inlineStr">
        <is>
          <t>Assumptions Sheet</t>
        </is>
      </c>
      <c r="B855" t="inlineStr">
        <is>
          <t>K64</t>
        </is>
      </c>
      <c r="C855" t="n">
        <v>64</v>
      </c>
      <c r="D855" t="n">
        <v>11</v>
      </c>
      <c r="E855" t="inlineStr">
        <is>
          <t>Input</t>
        </is>
      </c>
      <c r="F855" t="n">
        <v/>
      </c>
      <c r="G855" t="n">
        <v>6</v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11</v>
      </c>
      <c r="M855" t="inlineStr">
        <is>
          <t>Values must be of type &lt;class 'str'&gt;</t>
        </is>
      </c>
      <c r="N855" t="inlineStr">
        <is>
          <t>Values must be of type &lt;class 'str'&gt;</t>
        </is>
      </c>
      <c r="O855" t="inlineStr">
        <is>
          <t>center</t>
        </is>
      </c>
      <c r="P855" t="n">
        <v/>
      </c>
      <c r="R855" t="b">
        <v>1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</row>
    <row r="856">
      <c r="A856" t="inlineStr">
        <is>
          <t>Assumptions Sheet</t>
        </is>
      </c>
      <c r="B856" t="inlineStr">
        <is>
          <t>L64</t>
        </is>
      </c>
      <c r="C856" t="n">
        <v>64</v>
      </c>
      <c r="D856" t="n">
        <v>12</v>
      </c>
      <c r="E856" t="inlineStr">
        <is>
          <t>Input</t>
        </is>
      </c>
      <c r="F856" t="n">
        <v/>
      </c>
      <c r="G856" t="n">
        <v>7</v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11</v>
      </c>
      <c r="M856" t="inlineStr">
        <is>
          <t>Values must be of type &lt;class 'str'&gt;</t>
        </is>
      </c>
      <c r="N856" t="inlineStr">
        <is>
          <t>Values must be of type &lt;class 'str'&gt;</t>
        </is>
      </c>
      <c r="O856" t="inlineStr">
        <is>
          <t>center</t>
        </is>
      </c>
      <c r="P856" t="n">
        <v/>
      </c>
      <c r="R856" t="b">
        <v>1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</row>
    <row r="857">
      <c r="A857" t="inlineStr">
        <is>
          <t>Assumptions Sheet</t>
        </is>
      </c>
      <c r="B857" t="inlineStr">
        <is>
          <t>M64</t>
        </is>
      </c>
      <c r="C857" t="n">
        <v>64</v>
      </c>
      <c r="D857" t="n">
        <v>13</v>
      </c>
      <c r="E857" t="inlineStr">
        <is>
          <t>Input</t>
        </is>
      </c>
      <c r="F857" t="n">
        <v/>
      </c>
      <c r="G857" t="n">
        <v>8</v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11</v>
      </c>
      <c r="M857" t="inlineStr">
        <is>
          <t>Values must be of type &lt;class 'str'&gt;</t>
        </is>
      </c>
      <c r="N857" t="inlineStr">
        <is>
          <t>Values must be of type &lt;class 'str'&gt;</t>
        </is>
      </c>
      <c r="O857" t="inlineStr">
        <is>
          <t>center</t>
        </is>
      </c>
      <c r="P857" t="n">
        <v/>
      </c>
      <c r="R857" t="b">
        <v>1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</row>
    <row r="858">
      <c r="A858" t="inlineStr">
        <is>
          <t>Assumptions Sheet</t>
        </is>
      </c>
      <c r="B858" t="inlineStr">
        <is>
          <t>N64</t>
        </is>
      </c>
      <c r="C858" t="n">
        <v>64</v>
      </c>
      <c r="D858" t="n">
        <v>14</v>
      </c>
      <c r="E858" t="inlineStr">
        <is>
          <t>Input</t>
        </is>
      </c>
      <c r="F858" t="n">
        <v/>
      </c>
      <c r="G858" t="n">
        <v>9</v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11</v>
      </c>
      <c r="M858" t="inlineStr">
        <is>
          <t>Values must be of type &lt;class 'str'&gt;</t>
        </is>
      </c>
      <c r="N858" t="inlineStr">
        <is>
          <t>Values must be of type &lt;class 'str'&gt;</t>
        </is>
      </c>
      <c r="O858" t="inlineStr">
        <is>
          <t>center</t>
        </is>
      </c>
      <c r="P858" t="n">
        <v/>
      </c>
      <c r="R858" t="b">
        <v>1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</row>
    <row r="859">
      <c r="A859" t="inlineStr">
        <is>
          <t>Assumptions Sheet</t>
        </is>
      </c>
      <c r="B859" t="inlineStr">
        <is>
          <t>O64</t>
        </is>
      </c>
      <c r="C859" t="n">
        <v>64</v>
      </c>
      <c r="D859" t="n">
        <v>15</v>
      </c>
      <c r="E859" t="inlineStr">
        <is>
          <t>Input</t>
        </is>
      </c>
      <c r="F859" t="n">
        <v/>
      </c>
      <c r="G859" t="n">
        <v>10</v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11</v>
      </c>
      <c r="M859" t="inlineStr">
        <is>
          <t>Values must be of type &lt;class 'str'&gt;</t>
        </is>
      </c>
      <c r="N859" t="inlineStr">
        <is>
          <t>Values must be of type &lt;class 'str'&gt;</t>
        </is>
      </c>
      <c r="O859" t="inlineStr">
        <is>
          <t>center</t>
        </is>
      </c>
      <c r="P859" t="n">
        <v/>
      </c>
      <c r="R859" t="b">
        <v>1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</row>
    <row r="860">
      <c r="A860" t="inlineStr">
        <is>
          <t>Assumptions Sheet</t>
        </is>
      </c>
      <c r="B860" t="inlineStr">
        <is>
          <t>P64</t>
        </is>
      </c>
      <c r="C860" t="n">
        <v>64</v>
      </c>
      <c r="D860" t="n">
        <v>16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11</v>
      </c>
      <c r="M860" t="inlineStr">
        <is>
          <t>Values must be of type &lt;class 'str'&gt;</t>
        </is>
      </c>
      <c r="N860" t="inlineStr">
        <is>
          <t>Values must be of type &lt;class 'str'&gt;</t>
        </is>
      </c>
      <c r="O860" t="inlineStr">
        <is>
          <t>center</t>
        </is>
      </c>
      <c r="P860" t="n">
        <v/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</row>
    <row r="861">
      <c r="A861" t="inlineStr">
        <is>
          <t>Assumptions Sheet</t>
        </is>
      </c>
      <c r="B861" t="inlineStr">
        <is>
          <t>U64</t>
        </is>
      </c>
      <c r="C861" t="n">
        <v>64</v>
      </c>
      <c r="D861" t="n">
        <v>21</v>
      </c>
      <c r="E861" t="inlineStr">
        <is>
          <t>Input</t>
        </is>
      </c>
      <c r="F861" t="n">
        <v/>
      </c>
      <c r="G861" t="inlineStr">
        <is>
          <t>Year</t>
        </is>
      </c>
      <c r="H861" t="inlineStr"/>
      <c r="I861" t="inlineStr">
        <is>
          <t>General</t>
        </is>
      </c>
      <c r="J861" t="b">
        <v>1</v>
      </c>
      <c r="K861" t="b">
        <v>0</v>
      </c>
      <c r="L861" t="n">
        <v>11</v>
      </c>
      <c r="M861" t="n">
        <v/>
      </c>
      <c r="N861" t="inlineStr">
        <is>
          <t>Values must be of type &lt;class 'str'&gt;</t>
        </is>
      </c>
      <c r="O861" t="inlineStr">
        <is>
          <t>left</t>
        </is>
      </c>
      <c r="P861" t="n">
        <v/>
      </c>
      <c r="R861" t="b">
        <v>1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</row>
    <row r="862">
      <c r="A862" t="inlineStr">
        <is>
          <t>Assumptions Sheet</t>
        </is>
      </c>
      <c r="B862" t="inlineStr">
        <is>
          <t>V64</t>
        </is>
      </c>
      <c r="C862" t="n">
        <v>64</v>
      </c>
      <c r="D862" t="n">
        <v>22</v>
      </c>
      <c r="E862" t="inlineStr">
        <is>
          <t>Input</t>
        </is>
      </c>
      <c r="F862" t="n">
        <v/>
      </c>
      <c r="G862" t="inlineStr">
        <is>
          <t>2018E</t>
        </is>
      </c>
      <c r="H862" t="inlineStr"/>
      <c r="I862" t="inlineStr">
        <is>
          <t>General</t>
        </is>
      </c>
      <c r="J862" t="b">
        <v>1</v>
      </c>
      <c r="K862" t="b">
        <v>0</v>
      </c>
      <c r="L862" t="n">
        <v>11</v>
      </c>
      <c r="M862" t="n">
        <v/>
      </c>
      <c r="N862" t="inlineStr">
        <is>
          <t>Values must be of type &lt;class 'str'&gt;</t>
        </is>
      </c>
      <c r="O862" t="inlineStr">
        <is>
          <t>center</t>
        </is>
      </c>
      <c r="P862" t="n">
        <v/>
      </c>
      <c r="R862" t="b">
        <v>1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</row>
    <row r="863">
      <c r="A863" t="inlineStr">
        <is>
          <t>Assumptions Sheet</t>
        </is>
      </c>
      <c r="B863" t="inlineStr">
        <is>
          <t>W64</t>
        </is>
      </c>
      <c r="C863" t="n">
        <v>64</v>
      </c>
      <c r="D863" t="n">
        <v>23</v>
      </c>
      <c r="E863" t="inlineStr">
        <is>
          <t>Input</t>
        </is>
      </c>
      <c r="F863" t="n">
        <v/>
      </c>
      <c r="G863" t="inlineStr">
        <is>
          <t>2019E</t>
        </is>
      </c>
      <c r="H863" t="inlineStr"/>
      <c r="I863" t="inlineStr">
        <is>
          <t>General</t>
        </is>
      </c>
      <c r="J863" t="b">
        <v>1</v>
      </c>
      <c r="K863" t="b">
        <v>0</v>
      </c>
      <c r="L863" t="n">
        <v>11</v>
      </c>
      <c r="M863" t="n">
        <v/>
      </c>
      <c r="N863" t="inlineStr">
        <is>
          <t>Values must be of type &lt;class 'str'&gt;</t>
        </is>
      </c>
      <c r="O863" t="inlineStr">
        <is>
          <t>center</t>
        </is>
      </c>
      <c r="P863" t="n">
        <v/>
      </c>
      <c r="R863" t="b">
        <v>1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</row>
    <row r="864">
      <c r="A864" t="inlineStr">
        <is>
          <t>Assumptions Sheet</t>
        </is>
      </c>
      <c r="B864" t="inlineStr">
        <is>
          <t>X64</t>
        </is>
      </c>
      <c r="C864" t="n">
        <v>64</v>
      </c>
      <c r="D864" t="n">
        <v>24</v>
      </c>
      <c r="E864" t="inlineStr">
        <is>
          <t>Input</t>
        </is>
      </c>
      <c r="F864" t="n">
        <v/>
      </c>
      <c r="G864" t="inlineStr">
        <is>
          <t>2020E</t>
        </is>
      </c>
      <c r="H864" t="inlineStr"/>
      <c r="I864" t="inlineStr">
        <is>
          <t>General</t>
        </is>
      </c>
      <c r="J864" t="b">
        <v>1</v>
      </c>
      <c r="K864" t="b">
        <v>0</v>
      </c>
      <c r="L864" t="n">
        <v>11</v>
      </c>
      <c r="M864" t="n">
        <v/>
      </c>
      <c r="N864" t="inlineStr">
        <is>
          <t>Values must be of type &lt;class 'str'&gt;</t>
        </is>
      </c>
      <c r="O864" t="inlineStr">
        <is>
          <t>center</t>
        </is>
      </c>
      <c r="P864" t="n">
        <v/>
      </c>
      <c r="R864" t="b">
        <v>1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</row>
    <row r="865">
      <c r="A865" t="inlineStr">
        <is>
          <t>Assumptions Sheet</t>
        </is>
      </c>
      <c r="B865" t="inlineStr">
        <is>
          <t>Y64</t>
        </is>
      </c>
      <c r="C865" t="n">
        <v>64</v>
      </c>
      <c r="D865" t="n">
        <v>25</v>
      </c>
      <c r="E865" t="inlineStr">
        <is>
          <t>Input</t>
        </is>
      </c>
      <c r="F865" t="n">
        <v/>
      </c>
      <c r="G865" t="inlineStr">
        <is>
          <t>2021E</t>
        </is>
      </c>
      <c r="H865" t="inlineStr"/>
      <c r="I865" t="inlineStr">
        <is>
          <t>General</t>
        </is>
      </c>
      <c r="J865" t="b">
        <v>1</v>
      </c>
      <c r="K865" t="b">
        <v>0</v>
      </c>
      <c r="L865" t="n">
        <v>11</v>
      </c>
      <c r="M865" t="n">
        <v/>
      </c>
      <c r="N865" t="inlineStr">
        <is>
          <t>Values must be of type &lt;class 'str'&gt;</t>
        </is>
      </c>
      <c r="O865" t="inlineStr">
        <is>
          <t>center</t>
        </is>
      </c>
      <c r="P865" t="n">
        <v/>
      </c>
      <c r="R865" t="b">
        <v>1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</row>
    <row r="866">
      <c r="A866" t="inlineStr">
        <is>
          <t>Assumptions Sheet</t>
        </is>
      </c>
      <c r="B866" t="inlineStr">
        <is>
          <t>Z64</t>
        </is>
      </c>
      <c r="C866" t="n">
        <v>64</v>
      </c>
      <c r="D866" t="n">
        <v>26</v>
      </c>
      <c r="E866" t="inlineStr">
        <is>
          <t>Input</t>
        </is>
      </c>
      <c r="F866" t="n">
        <v/>
      </c>
      <c r="G866" t="inlineStr">
        <is>
          <t>2022E</t>
        </is>
      </c>
      <c r="H866" t="inlineStr"/>
      <c r="I866" t="inlineStr">
        <is>
          <t>General</t>
        </is>
      </c>
      <c r="J866" t="b">
        <v>1</v>
      </c>
      <c r="K866" t="b">
        <v>0</v>
      </c>
      <c r="L866" t="n">
        <v>11</v>
      </c>
      <c r="M866" t="n">
        <v/>
      </c>
      <c r="N866" t="inlineStr">
        <is>
          <t>Values must be of type &lt;class 'str'&gt;</t>
        </is>
      </c>
      <c r="O866" t="inlineStr">
        <is>
          <t>center</t>
        </is>
      </c>
      <c r="P866" t="n">
        <v/>
      </c>
      <c r="R866" t="b">
        <v>1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</row>
    <row r="867">
      <c r="A867" t="inlineStr">
        <is>
          <t>Assumptions Sheet</t>
        </is>
      </c>
      <c r="B867" t="inlineStr">
        <is>
          <t>C65</t>
        </is>
      </c>
      <c r="C867" t="n">
        <v>65</v>
      </c>
      <c r="D867" t="n">
        <v>3</v>
      </c>
      <c r="E867" t="inlineStr">
        <is>
          <t>Input</t>
        </is>
      </c>
      <c r="F867" t="n">
        <v/>
      </c>
      <c r="G867" t="n">
        <v>2993</v>
      </c>
      <c r="H867" t="inlineStr"/>
      <c r="I867" t="inlineStr">
        <is>
          <t>0</t>
        </is>
      </c>
      <c r="J867" t="b">
        <v>0</v>
      </c>
      <c r="K867" t="b">
        <v>0</v>
      </c>
      <c r="L867" t="n">
        <v>11</v>
      </c>
      <c r="M867" t="inlineStr">
        <is>
          <t>Values must be of type &lt;class 'str'&gt;</t>
        </is>
      </c>
      <c r="N867" t="inlineStr">
        <is>
          <t>Values must be of type &lt;class 'str'&gt;</t>
        </is>
      </c>
      <c r="O867" t="inlineStr">
        <is>
          <t>center</t>
        </is>
      </c>
      <c r="P867" t="n">
        <v/>
      </c>
      <c r="R867" t="b">
        <v>1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</row>
    <row r="868">
      <c r="A868" t="inlineStr">
        <is>
          <t>Assumptions Sheet</t>
        </is>
      </c>
      <c r="B868" t="inlineStr">
        <is>
          <t>D65</t>
        </is>
      </c>
      <c r="C868" t="n">
        <v>65</v>
      </c>
      <c r="D868" t="n">
        <v>4</v>
      </c>
      <c r="E868" t="inlineStr">
        <is>
          <t>Input</t>
        </is>
      </c>
      <c r="F868" t="n">
        <v/>
      </c>
      <c r="G868" t="n">
        <v>11980</v>
      </c>
      <c r="H868" t="inlineStr"/>
      <c r="I868" t="inlineStr">
        <is>
          <t>0</t>
        </is>
      </c>
      <c r="J868" t="b">
        <v>0</v>
      </c>
      <c r="K868" t="b">
        <v>0</v>
      </c>
      <c r="L868" t="n">
        <v>11</v>
      </c>
      <c r="M868" t="inlineStr">
        <is>
          <t>Values must be of type &lt;class 'str'&gt;</t>
        </is>
      </c>
      <c r="N868" t="inlineStr">
        <is>
          <t>Values must be of type &lt;class 'str'&gt;</t>
        </is>
      </c>
      <c r="O868" t="inlineStr">
        <is>
          <t>center</t>
        </is>
      </c>
      <c r="P868" t="n">
        <v/>
      </c>
      <c r="R868" t="b">
        <v>1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</row>
    <row r="869">
      <c r="A869" t="inlineStr">
        <is>
          <t>Assumptions Sheet</t>
        </is>
      </c>
      <c r="B869" t="inlineStr">
        <is>
          <t>E65</t>
        </is>
      </c>
      <c r="C869" t="n">
        <v>65</v>
      </c>
      <c r="D869" t="n">
        <v>5</v>
      </c>
      <c r="E869" t="inlineStr">
        <is>
          <t>Input</t>
        </is>
      </c>
      <c r="F869" t="n">
        <v/>
      </c>
      <c r="G869" t="n">
        <v>11336</v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11</v>
      </c>
      <c r="M869" t="inlineStr">
        <is>
          <t>Values must be of type &lt;class 'str'&gt;</t>
        </is>
      </c>
      <c r="N869" t="inlineStr">
        <is>
          <t>Values must be of type &lt;class 'str'&gt;</t>
        </is>
      </c>
      <c r="O869" t="inlineStr">
        <is>
          <t>center</t>
        </is>
      </c>
      <c r="P869" t="n">
        <v/>
      </c>
      <c r="R869" t="b">
        <v>1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</row>
    <row r="870">
      <c r="A870" t="inlineStr">
        <is>
          <t>Assumptions Sheet</t>
        </is>
      </c>
      <c r="B870" t="inlineStr">
        <is>
          <t>F65</t>
        </is>
      </c>
      <c r="C870" t="n">
        <v>65</v>
      </c>
      <c r="D870" t="n">
        <v>6</v>
      </c>
      <c r="E870" t="inlineStr">
        <is>
          <t>Output</t>
        </is>
      </c>
      <c r="F870" t="inlineStr">
        <is>
          <t>'=C65</t>
        </is>
      </c>
      <c r="G870" t="n">
        <v>2993</v>
      </c>
      <c r="H870" t="inlineStr"/>
      <c r="I870" t="inlineStr">
        <is>
          <t>0</t>
        </is>
      </c>
      <c r="J870" t="b">
        <v>0</v>
      </c>
      <c r="K870" t="b">
        <v>0</v>
      </c>
      <c r="L870" t="n">
        <v>11</v>
      </c>
      <c r="M870" t="inlineStr">
        <is>
          <t>Values must be of type &lt;class 'str'&gt;</t>
        </is>
      </c>
      <c r="N870" t="inlineStr">
        <is>
          <t>Values must be of type &lt;class 'str'&gt;</t>
        </is>
      </c>
      <c r="O870" t="inlineStr">
        <is>
          <t>center</t>
        </is>
      </c>
      <c r="P870" t="n">
        <v/>
      </c>
      <c r="R870" t="b">
        <v>1</v>
      </c>
      <c r="S870" t="inlineStr">
        <is>
          <t>G000047</t>
        </is>
      </c>
      <c r="T870" t="inlineStr">
        <is>
          <t>Block</t>
        </is>
      </c>
      <c r="U870" t="n">
        <v>2</v>
      </c>
      <c r="V870" t="b">
        <v>1</v>
      </c>
      <c r="W870" t="inlineStr">
        <is>
          <t>Assumptions Sheet!F62:F65</t>
        </is>
      </c>
      <c r="X870">
        <f>R[0]C[-3]</f>
        <v/>
      </c>
    </row>
    <row r="871">
      <c r="A871" t="inlineStr">
        <is>
          <t>Assumptions Sheet</t>
        </is>
      </c>
      <c r="B871" t="inlineStr">
        <is>
          <t>G65</t>
        </is>
      </c>
      <c r="C871" t="n">
        <v>65</v>
      </c>
      <c r="D871" t="n">
        <v>7</v>
      </c>
      <c r="E871" t="inlineStr">
        <is>
          <t>Output</t>
        </is>
      </c>
      <c r="F871" t="inlineStr">
        <is>
          <t>'=$D$65/4</t>
        </is>
      </c>
      <c r="G871" t="n">
        <v>2995</v>
      </c>
      <c r="H871" t="inlineStr"/>
      <c r="I871" t="inlineStr">
        <is>
          <t>0</t>
        </is>
      </c>
      <c r="J871" t="b">
        <v>0</v>
      </c>
      <c r="K871" t="b">
        <v>0</v>
      </c>
      <c r="L871" t="n">
        <v>11</v>
      </c>
      <c r="M871" t="inlineStr">
        <is>
          <t>Values must be of type &lt;class 'str'&gt;</t>
        </is>
      </c>
      <c r="N871" t="inlineStr">
        <is>
          <t>Values must be of type &lt;class 'str'&gt;</t>
        </is>
      </c>
      <c r="O871" t="inlineStr">
        <is>
          <t>center</t>
        </is>
      </c>
      <c r="P871" t="n">
        <v/>
      </c>
      <c r="R871" t="b">
        <v>1</v>
      </c>
      <c r="S871" t="inlineStr">
        <is>
          <t>G000052</t>
        </is>
      </c>
      <c r="T871" t="inlineStr">
        <is>
          <t>Horizontal</t>
        </is>
      </c>
      <c r="U871" t="n">
        <v>4</v>
      </c>
      <c r="V871" t="b">
        <v>1</v>
      </c>
      <c r="W871" t="inlineStr">
        <is>
          <t>Assumptions Sheet!G65:J65</t>
        </is>
      </c>
      <c r="X871">
        <f>R65C4/4</f>
        <v/>
      </c>
    </row>
    <row r="872">
      <c r="A872" t="inlineStr">
        <is>
          <t>Assumptions Sheet</t>
        </is>
      </c>
      <c r="B872" t="inlineStr">
        <is>
          <t>H65</t>
        </is>
      </c>
      <c r="C872" t="n">
        <v>65</v>
      </c>
      <c r="D872" t="n">
        <v>8</v>
      </c>
      <c r="E872" t="inlineStr">
        <is>
          <t>Output</t>
        </is>
      </c>
      <c r="F872" t="inlineStr">
        <is>
          <t>'=$D$65/4</t>
        </is>
      </c>
      <c r="G872" t="n">
        <v>2995</v>
      </c>
      <c r="H872" t="inlineStr"/>
      <c r="I872" t="inlineStr">
        <is>
          <t>0</t>
        </is>
      </c>
      <c r="J872" t="b">
        <v>0</v>
      </c>
      <c r="K872" t="b">
        <v>0</v>
      </c>
      <c r="L872" t="n">
        <v>11</v>
      </c>
      <c r="M872" t="inlineStr">
        <is>
          <t>Values must be of type &lt;class 'str'&gt;</t>
        </is>
      </c>
      <c r="N872" t="inlineStr">
        <is>
          <t>Values must be of type &lt;class 'str'&gt;</t>
        </is>
      </c>
      <c r="O872" t="inlineStr">
        <is>
          <t>center</t>
        </is>
      </c>
      <c r="P872" t="n">
        <v/>
      </c>
      <c r="R872" t="b">
        <v>1</v>
      </c>
      <c r="S872" t="inlineStr">
        <is>
          <t>G000052</t>
        </is>
      </c>
      <c r="T872" t="inlineStr">
        <is>
          <t>Horizontal</t>
        </is>
      </c>
      <c r="U872" t="n">
        <v>4</v>
      </c>
      <c r="V872" t="b">
        <v>1</v>
      </c>
      <c r="W872" t="inlineStr">
        <is>
          <t>Assumptions Sheet!G65:J65</t>
        </is>
      </c>
      <c r="X872">
        <f>R65C4/4</f>
        <v/>
      </c>
    </row>
    <row r="873">
      <c r="A873" t="inlineStr">
        <is>
          <t>Assumptions Sheet</t>
        </is>
      </c>
      <c r="B873" t="inlineStr">
        <is>
          <t>I65</t>
        </is>
      </c>
      <c r="C873" t="n">
        <v>65</v>
      </c>
      <c r="D873" t="n">
        <v>9</v>
      </c>
      <c r="E873" t="inlineStr">
        <is>
          <t>Output</t>
        </is>
      </c>
      <c r="F873" t="inlineStr">
        <is>
          <t>'=$D$65/4</t>
        </is>
      </c>
      <c r="G873" t="n">
        <v>2995</v>
      </c>
      <c r="H873" t="inlineStr"/>
      <c r="I873" t="inlineStr">
        <is>
          <t>0</t>
        </is>
      </c>
      <c r="J873" t="b">
        <v>0</v>
      </c>
      <c r="K873" t="b">
        <v>0</v>
      </c>
      <c r="L873" t="n">
        <v>11</v>
      </c>
      <c r="M873" t="inlineStr">
        <is>
          <t>Values must be of type &lt;class 'str'&gt;</t>
        </is>
      </c>
      <c r="N873" t="inlineStr">
        <is>
          <t>Values must be of type &lt;class 'str'&gt;</t>
        </is>
      </c>
      <c r="O873" t="inlineStr">
        <is>
          <t>center</t>
        </is>
      </c>
      <c r="P873" t="n">
        <v/>
      </c>
      <c r="R873" t="b">
        <v>1</v>
      </c>
      <c r="S873" t="inlineStr">
        <is>
          <t>G000052</t>
        </is>
      </c>
      <c r="T873" t="inlineStr">
        <is>
          <t>Horizontal</t>
        </is>
      </c>
      <c r="U873" t="n">
        <v>4</v>
      </c>
      <c r="V873" t="b">
        <v>1</v>
      </c>
      <c r="W873" t="inlineStr">
        <is>
          <t>Assumptions Sheet!G65:J65</t>
        </is>
      </c>
      <c r="X873">
        <f>R65C4/4</f>
        <v/>
      </c>
    </row>
    <row r="874">
      <c r="A874" t="inlineStr">
        <is>
          <t>Assumptions Sheet</t>
        </is>
      </c>
      <c r="B874" t="inlineStr">
        <is>
          <t>J65</t>
        </is>
      </c>
      <c r="C874" t="n">
        <v>65</v>
      </c>
      <c r="D874" t="n">
        <v>10</v>
      </c>
      <c r="E874" t="inlineStr">
        <is>
          <t>Output</t>
        </is>
      </c>
      <c r="F874" t="inlineStr">
        <is>
          <t>'=$D$65/4</t>
        </is>
      </c>
      <c r="G874" t="n">
        <v>2995</v>
      </c>
      <c r="H874" t="inlineStr"/>
      <c r="I874" t="inlineStr">
        <is>
          <t>0</t>
        </is>
      </c>
      <c r="J874" t="b">
        <v>0</v>
      </c>
      <c r="K874" t="b">
        <v>0</v>
      </c>
      <c r="L874" t="n">
        <v>11</v>
      </c>
      <c r="M874" t="inlineStr">
        <is>
          <t>Values must be of type &lt;class 'str'&gt;</t>
        </is>
      </c>
      <c r="N874" t="inlineStr">
        <is>
          <t>Values must be of type &lt;class 'str'&gt;</t>
        </is>
      </c>
      <c r="O874" t="inlineStr">
        <is>
          <t>center</t>
        </is>
      </c>
      <c r="P874" t="n">
        <v/>
      </c>
      <c r="R874" t="b">
        <v>1</v>
      </c>
      <c r="S874" t="inlineStr">
        <is>
          <t>G000052</t>
        </is>
      </c>
      <c r="T874" t="inlineStr">
        <is>
          <t>Horizontal</t>
        </is>
      </c>
      <c r="U874" t="n">
        <v>4</v>
      </c>
      <c r="V874" t="b">
        <v>1</v>
      </c>
      <c r="W874" t="inlineStr">
        <is>
          <t>Assumptions Sheet!G65:J65</t>
        </is>
      </c>
      <c r="X874">
        <f>R65C4/4</f>
        <v/>
      </c>
    </row>
    <row r="875">
      <c r="A875" t="inlineStr">
        <is>
          <t>Assumptions Sheet</t>
        </is>
      </c>
      <c r="B875" t="inlineStr">
        <is>
          <t>K65</t>
        </is>
      </c>
      <c r="C875" t="n">
        <v>65</v>
      </c>
      <c r="D875" t="n">
        <v>11</v>
      </c>
      <c r="E875" t="inlineStr">
        <is>
          <t>Output</t>
        </is>
      </c>
      <c r="F875" t="inlineStr">
        <is>
          <t>'=$E$65/5</t>
        </is>
      </c>
      <c r="G875" t="n">
        <v>2267.2</v>
      </c>
      <c r="H875" t="inlineStr"/>
      <c r="I875" t="inlineStr">
        <is>
          <t>0</t>
        </is>
      </c>
      <c r="J875" t="b">
        <v>0</v>
      </c>
      <c r="K875" t="b">
        <v>0</v>
      </c>
      <c r="L875" t="n">
        <v>11</v>
      </c>
      <c r="M875" t="inlineStr">
        <is>
          <t>Values must be of type &lt;class 'str'&gt;</t>
        </is>
      </c>
      <c r="N875" t="inlineStr">
        <is>
          <t>Values must be of type &lt;class 'str'&gt;</t>
        </is>
      </c>
      <c r="O875" t="inlineStr">
        <is>
          <t>center</t>
        </is>
      </c>
      <c r="P875" t="n">
        <v/>
      </c>
      <c r="R875" t="b">
        <v>1</v>
      </c>
      <c r="S875" t="inlineStr">
        <is>
          <t>G000053</t>
        </is>
      </c>
      <c r="T875" t="inlineStr">
        <is>
          <t>Horizontal</t>
        </is>
      </c>
      <c r="U875" t="n">
        <v>5</v>
      </c>
      <c r="V875" t="b">
        <v>1</v>
      </c>
      <c r="W875" t="inlineStr">
        <is>
          <t>Assumptions Sheet!K65:O65</t>
        </is>
      </c>
      <c r="X875">
        <f>R65C5/5</f>
        <v/>
      </c>
    </row>
    <row r="876">
      <c r="A876" t="inlineStr">
        <is>
          <t>Assumptions Sheet</t>
        </is>
      </c>
      <c r="B876" t="inlineStr">
        <is>
          <t>L65</t>
        </is>
      </c>
      <c r="C876" t="n">
        <v>65</v>
      </c>
      <c r="D876" t="n">
        <v>12</v>
      </c>
      <c r="E876" t="inlineStr">
        <is>
          <t>Output</t>
        </is>
      </c>
      <c r="F876" t="inlineStr">
        <is>
          <t>'=$E$65/5</t>
        </is>
      </c>
      <c r="G876" t="n">
        <v>2267.2</v>
      </c>
      <c r="H876" t="inlineStr"/>
      <c r="I876" t="inlineStr">
        <is>
          <t>0</t>
        </is>
      </c>
      <c r="J876" t="b">
        <v>0</v>
      </c>
      <c r="K876" t="b">
        <v>0</v>
      </c>
      <c r="L876" t="n">
        <v>11</v>
      </c>
      <c r="M876" t="inlineStr">
        <is>
          <t>Values must be of type &lt;class 'str'&gt;</t>
        </is>
      </c>
      <c r="N876" t="inlineStr">
        <is>
          <t>Values must be of type &lt;class 'str'&gt;</t>
        </is>
      </c>
      <c r="O876" t="inlineStr">
        <is>
          <t>center</t>
        </is>
      </c>
      <c r="P876" t="n">
        <v/>
      </c>
      <c r="R876" t="b">
        <v>1</v>
      </c>
      <c r="S876" t="inlineStr">
        <is>
          <t>G000053</t>
        </is>
      </c>
      <c r="T876" t="inlineStr">
        <is>
          <t>Horizontal</t>
        </is>
      </c>
      <c r="U876" t="n">
        <v>5</v>
      </c>
      <c r="V876" t="b">
        <v>1</v>
      </c>
      <c r="W876" t="inlineStr">
        <is>
          <t>Assumptions Sheet!K65:O65</t>
        </is>
      </c>
      <c r="X876">
        <f>R65C5/5</f>
        <v/>
      </c>
    </row>
    <row r="877">
      <c r="A877" t="inlineStr">
        <is>
          <t>Assumptions Sheet</t>
        </is>
      </c>
      <c r="B877" t="inlineStr">
        <is>
          <t>M65</t>
        </is>
      </c>
      <c r="C877" t="n">
        <v>65</v>
      </c>
      <c r="D877" t="n">
        <v>13</v>
      </c>
      <c r="E877" t="inlineStr">
        <is>
          <t>Output</t>
        </is>
      </c>
      <c r="F877" t="inlineStr">
        <is>
          <t>'=$E$65/5</t>
        </is>
      </c>
      <c r="G877" t="n">
        <v>2267.2</v>
      </c>
      <c r="H877" t="inlineStr"/>
      <c r="I877" t="inlineStr">
        <is>
          <t>0</t>
        </is>
      </c>
      <c r="J877" t="b">
        <v>0</v>
      </c>
      <c r="K877" t="b">
        <v>0</v>
      </c>
      <c r="L877" t="n">
        <v>11</v>
      </c>
      <c r="M877" t="inlineStr">
        <is>
          <t>Values must be of type &lt;class 'str'&gt;</t>
        </is>
      </c>
      <c r="N877" t="inlineStr">
        <is>
          <t>Values must be of type &lt;class 'str'&gt;</t>
        </is>
      </c>
      <c r="O877" t="inlineStr">
        <is>
          <t>center</t>
        </is>
      </c>
      <c r="P877" t="n">
        <v/>
      </c>
      <c r="R877" t="b">
        <v>1</v>
      </c>
      <c r="S877" t="inlineStr">
        <is>
          <t>G000053</t>
        </is>
      </c>
      <c r="T877" t="inlineStr">
        <is>
          <t>Horizontal</t>
        </is>
      </c>
      <c r="U877" t="n">
        <v>5</v>
      </c>
      <c r="V877" t="b">
        <v>1</v>
      </c>
      <c r="W877" t="inlineStr">
        <is>
          <t>Assumptions Sheet!K65:O65</t>
        </is>
      </c>
      <c r="X877">
        <f>R65C5/5</f>
        <v/>
      </c>
    </row>
    <row r="878">
      <c r="A878" t="inlineStr">
        <is>
          <t>Assumptions Sheet</t>
        </is>
      </c>
      <c r="B878" t="inlineStr">
        <is>
          <t>N65</t>
        </is>
      </c>
      <c r="C878" t="n">
        <v>65</v>
      </c>
      <c r="D878" t="n">
        <v>14</v>
      </c>
      <c r="E878" t="inlineStr">
        <is>
          <t>Output</t>
        </is>
      </c>
      <c r="F878" t="inlineStr">
        <is>
          <t>'=$E$65/5</t>
        </is>
      </c>
      <c r="G878" t="n">
        <v>2267.2</v>
      </c>
      <c r="H878" t="inlineStr"/>
      <c r="I878" t="inlineStr">
        <is>
          <t>0</t>
        </is>
      </c>
      <c r="J878" t="b">
        <v>0</v>
      </c>
      <c r="K878" t="b">
        <v>0</v>
      </c>
      <c r="L878" t="n">
        <v>11</v>
      </c>
      <c r="M878" t="inlineStr">
        <is>
          <t>Values must be of type &lt;class 'str'&gt;</t>
        </is>
      </c>
      <c r="N878" t="inlineStr">
        <is>
          <t>Values must be of type &lt;class 'str'&gt;</t>
        </is>
      </c>
      <c r="O878" t="inlineStr">
        <is>
          <t>center</t>
        </is>
      </c>
      <c r="P878" t="n">
        <v/>
      </c>
      <c r="R878" t="b">
        <v>1</v>
      </c>
      <c r="S878" t="inlineStr">
        <is>
          <t>G000053</t>
        </is>
      </c>
      <c r="T878" t="inlineStr">
        <is>
          <t>Horizontal</t>
        </is>
      </c>
      <c r="U878" t="n">
        <v>5</v>
      </c>
      <c r="V878" t="b">
        <v>1</v>
      </c>
      <c r="W878" t="inlineStr">
        <is>
          <t>Assumptions Sheet!K65:O65</t>
        </is>
      </c>
      <c r="X878">
        <f>R65C5/5</f>
        <v/>
      </c>
    </row>
    <row r="879">
      <c r="A879" t="inlineStr">
        <is>
          <t>Assumptions Sheet</t>
        </is>
      </c>
      <c r="B879" t="inlineStr">
        <is>
          <t>O65</t>
        </is>
      </c>
      <c r="C879" t="n">
        <v>65</v>
      </c>
      <c r="D879" t="n">
        <v>15</v>
      </c>
      <c r="E879" t="inlineStr">
        <is>
          <t>Output</t>
        </is>
      </c>
      <c r="F879" t="inlineStr">
        <is>
          <t>'=$E$65/5</t>
        </is>
      </c>
      <c r="G879" t="n">
        <v>2267.2</v>
      </c>
      <c r="H879" t="inlineStr"/>
      <c r="I879" t="inlineStr">
        <is>
          <t>0</t>
        </is>
      </c>
      <c r="J879" t="b">
        <v>0</v>
      </c>
      <c r="K879" t="b">
        <v>0</v>
      </c>
      <c r="L879" t="n">
        <v>11</v>
      </c>
      <c r="M879" t="inlineStr">
        <is>
          <t>Values must be of type &lt;class 'str'&gt;</t>
        </is>
      </c>
      <c r="N879" t="inlineStr">
        <is>
          <t>Values must be of type &lt;class 'str'&gt;</t>
        </is>
      </c>
      <c r="O879" t="inlineStr">
        <is>
          <t>center</t>
        </is>
      </c>
      <c r="P879" t="n">
        <v/>
      </c>
      <c r="R879" t="b">
        <v>1</v>
      </c>
      <c r="S879" t="inlineStr">
        <is>
          <t>G000053</t>
        </is>
      </c>
      <c r="T879" t="inlineStr">
        <is>
          <t>Horizontal</t>
        </is>
      </c>
      <c r="U879" t="n">
        <v>5</v>
      </c>
      <c r="V879" t="b">
        <v>1</v>
      </c>
      <c r="W879" t="inlineStr">
        <is>
          <t>Assumptions Sheet!K65:O65</t>
        </is>
      </c>
      <c r="X879">
        <f>R65C5/5</f>
        <v/>
      </c>
    </row>
    <row r="880">
      <c r="A880" t="inlineStr">
        <is>
          <t>Assumptions Sheet</t>
        </is>
      </c>
      <c r="B880" t="inlineStr">
        <is>
          <t>P65</t>
        </is>
      </c>
      <c r="C880" t="n">
        <v>65</v>
      </c>
      <c r="D880" t="n">
        <v>16</v>
      </c>
      <c r="E880" t="inlineStr">
        <is>
          <t>Input</t>
        </is>
      </c>
      <c r="F880" t="n">
        <v/>
      </c>
      <c r="G880" t="n">
        <v>0.105</v>
      </c>
      <c r="H880" t="inlineStr"/>
      <c r="I880" t="inlineStr">
        <is>
          <t>0.00%</t>
        </is>
      </c>
      <c r="J880" t="b">
        <v>0</v>
      </c>
      <c r="K880" t="b">
        <v>0</v>
      </c>
      <c r="L880" t="n">
        <v>11</v>
      </c>
      <c r="M880" t="inlineStr">
        <is>
          <t>Values must be of type &lt;class 'str'&gt;</t>
        </is>
      </c>
      <c r="N880" t="inlineStr">
        <is>
          <t>Values must be of type &lt;class 'str'&gt;</t>
        </is>
      </c>
      <c r="O880" t="inlineStr">
        <is>
          <t>center</t>
        </is>
      </c>
      <c r="P880" t="n">
        <v/>
      </c>
      <c r="R880" t="b">
        <v>1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</row>
    <row r="881">
      <c r="A881" t="inlineStr">
        <is>
          <t>Assumptions Sheet</t>
        </is>
      </c>
      <c r="B881" t="inlineStr">
        <is>
          <t>U65</t>
        </is>
      </c>
      <c r="C881" t="n">
        <v>65</v>
      </c>
      <c r="D881" t="n">
        <v>21</v>
      </c>
      <c r="E881" t="inlineStr">
        <is>
          <t>Input</t>
        </is>
      </c>
      <c r="F881" t="n">
        <v/>
      </c>
      <c r="G881" t="inlineStr">
        <is>
          <t>Ancillary
revenue</t>
        </is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11</v>
      </c>
      <c r="M881" t="inlineStr">
        <is>
          <t>Values must be of type &lt;class 'str'&gt;</t>
        </is>
      </c>
      <c r="N881" t="inlineStr">
        <is>
          <t>Values must be of type &lt;class 'str'&gt;</t>
        </is>
      </c>
      <c r="O881" t="inlineStr">
        <is>
          <t>left</t>
        </is>
      </c>
      <c r="P881" t="n">
        <v/>
      </c>
      <c r="R881" t="b">
        <v>1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</row>
    <row r="882">
      <c r="A882" t="inlineStr">
        <is>
          <t>Assumptions Sheet</t>
        </is>
      </c>
      <c r="B882" t="inlineStr">
        <is>
          <t>V65</t>
        </is>
      </c>
      <c r="C882" t="n">
        <v>65</v>
      </c>
      <c r="D882" t="n">
        <v>22</v>
      </c>
      <c r="E882" t="inlineStr">
        <is>
          <t>Input</t>
        </is>
      </c>
      <c r="F882" t="n">
        <v/>
      </c>
      <c r="G882" t="n">
        <v>29312.70849</v>
      </c>
      <c r="H882" t="inlineStr"/>
      <c r="I882" t="inlineStr">
        <is>
          <t>0</t>
        </is>
      </c>
      <c r="J882" t="b">
        <v>0</v>
      </c>
      <c r="K882" t="b">
        <v>0</v>
      </c>
      <c r="L882" t="n">
        <v>11</v>
      </c>
      <c r="M882" t="n">
        <v/>
      </c>
      <c r="N882" t="inlineStr">
        <is>
          <t>Values must be of type &lt;class 'str'&gt;</t>
        </is>
      </c>
      <c r="O882" t="inlineStr">
        <is>
          <t>center</t>
        </is>
      </c>
      <c r="P882" t="n">
        <v/>
      </c>
      <c r="R882" t="b">
        <v>1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</row>
    <row r="883">
      <c r="A883" t="inlineStr">
        <is>
          <t>Assumptions Sheet</t>
        </is>
      </c>
      <c r="B883" t="inlineStr">
        <is>
          <t>W65</t>
        </is>
      </c>
      <c r="C883" t="n">
        <v>65</v>
      </c>
      <c r="D883" t="n">
        <v>23</v>
      </c>
      <c r="E883" t="inlineStr">
        <is>
          <t>Input</t>
        </is>
      </c>
      <c r="F883" t="n">
        <v/>
      </c>
      <c r="G883" t="n">
        <v>35175.250188</v>
      </c>
      <c r="H883" t="inlineStr"/>
      <c r="I883" t="inlineStr">
        <is>
          <t>0</t>
        </is>
      </c>
      <c r="J883" t="b">
        <v>0</v>
      </c>
      <c r="K883" t="b">
        <v>0</v>
      </c>
      <c r="L883" t="n">
        <v>11</v>
      </c>
      <c r="M883" t="n">
        <v/>
      </c>
      <c r="N883" t="inlineStr">
        <is>
          <t>Values must be of type &lt;class 'str'&gt;</t>
        </is>
      </c>
      <c r="O883" t="inlineStr">
        <is>
          <t>center</t>
        </is>
      </c>
      <c r="P883" t="n">
        <v/>
      </c>
      <c r="R883" t="b">
        <v>1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</row>
    <row r="884">
      <c r="A884" t="inlineStr">
        <is>
          <t>Assumptions Sheet</t>
        </is>
      </c>
      <c r="B884" t="inlineStr">
        <is>
          <t>X65</t>
        </is>
      </c>
      <c r="C884" t="n">
        <v>65</v>
      </c>
      <c r="D884" t="n">
        <v>24</v>
      </c>
      <c r="E884" t="inlineStr">
        <is>
          <t>Input</t>
        </is>
      </c>
      <c r="F884" t="n">
        <v/>
      </c>
      <c r="G884" t="n">
        <v>40646.95577279999</v>
      </c>
      <c r="H884" t="inlineStr"/>
      <c r="I884" t="inlineStr">
        <is>
          <t>0</t>
        </is>
      </c>
      <c r="J884" t="b">
        <v>0</v>
      </c>
      <c r="K884" t="b">
        <v>0</v>
      </c>
      <c r="L884" t="n">
        <v>11</v>
      </c>
      <c r="M884" t="n">
        <v/>
      </c>
      <c r="N884" t="inlineStr">
        <is>
          <t>Values must be of type &lt;class 'str'&gt;</t>
        </is>
      </c>
      <c r="O884" t="inlineStr">
        <is>
          <t>center</t>
        </is>
      </c>
      <c r="P884" t="n">
        <v/>
      </c>
      <c r="R884" t="b">
        <v>1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</row>
    <row r="885">
      <c r="A885" t="inlineStr">
        <is>
          <t>Assumptions Sheet</t>
        </is>
      </c>
      <c r="B885" t="inlineStr">
        <is>
          <t>Y65</t>
        </is>
      </c>
      <c r="C885" t="n">
        <v>65</v>
      </c>
      <c r="D885" t="n">
        <v>25</v>
      </c>
      <c r="E885" t="inlineStr">
        <is>
          <t>Input</t>
        </is>
      </c>
      <c r="F885" t="n">
        <v/>
      </c>
      <c r="G885" t="n">
        <v>46900.33358399999</v>
      </c>
      <c r="H885" t="inlineStr"/>
      <c r="I885" t="inlineStr">
        <is>
          <t>0</t>
        </is>
      </c>
      <c r="J885" t="b">
        <v>0</v>
      </c>
      <c r="K885" t="b">
        <v>0</v>
      </c>
      <c r="L885" t="n">
        <v>11</v>
      </c>
      <c r="M885" t="n">
        <v/>
      </c>
      <c r="N885" t="inlineStr">
        <is>
          <t>Values must be of type &lt;class 'str'&gt;</t>
        </is>
      </c>
      <c r="O885" t="inlineStr">
        <is>
          <t>center</t>
        </is>
      </c>
      <c r="P885" t="n">
        <v/>
      </c>
      <c r="R885" t="b">
        <v>1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</row>
    <row r="886">
      <c r="A886" t="inlineStr">
        <is>
          <t>Assumptions Sheet</t>
        </is>
      </c>
      <c r="B886" t="inlineStr">
        <is>
          <t>Z65</t>
        </is>
      </c>
      <c r="C886" t="n">
        <v>65</v>
      </c>
      <c r="D886" t="n">
        <v>26</v>
      </c>
      <c r="E886" t="inlineStr">
        <is>
          <t>Input</t>
        </is>
      </c>
      <c r="F886" t="n">
        <v/>
      </c>
      <c r="G886" t="n">
        <v>56280.40030079999</v>
      </c>
      <c r="H886" t="inlineStr"/>
      <c r="I886" t="inlineStr">
        <is>
          <t>0</t>
        </is>
      </c>
      <c r="J886" t="b">
        <v>0</v>
      </c>
      <c r="K886" t="b">
        <v>0</v>
      </c>
      <c r="L886" t="n">
        <v>11</v>
      </c>
      <c r="M886" t="n">
        <v/>
      </c>
      <c r="N886" t="inlineStr">
        <is>
          <t>Values must be of type &lt;class 'str'&gt;</t>
        </is>
      </c>
      <c r="O886" t="inlineStr">
        <is>
          <t>center</t>
        </is>
      </c>
      <c r="P886" t="n">
        <v/>
      </c>
      <c r="R886" t="b">
        <v>1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</row>
    <row r="887">
      <c r="A887" t="inlineStr">
        <is>
          <t>Assumptions Sheet</t>
        </is>
      </c>
      <c r="B887" t="inlineStr">
        <is>
          <t>F66</t>
        </is>
      </c>
      <c r="C887" t="n">
        <v>66</v>
      </c>
      <c r="D887" t="n">
        <v>6</v>
      </c>
      <c r="E887" t="inlineStr">
        <is>
          <t>Calculation</t>
        </is>
      </c>
      <c r="F887" t="inlineStr">
        <is>
          <t>'=F64*12</t>
        </is>
      </c>
      <c r="G887" t="n">
        <v>12</v>
      </c>
      <c r="H887" t="inlineStr"/>
      <c r="I887" t="inlineStr">
        <is>
          <t>0</t>
        </is>
      </c>
      <c r="J887" t="b">
        <v>0</v>
      </c>
      <c r="K887" t="b">
        <v>0</v>
      </c>
      <c r="L887" t="n">
        <v>11</v>
      </c>
      <c r="M887" t="inlineStr">
        <is>
          <t>Values must be of type &lt;class 'str'&gt;</t>
        </is>
      </c>
      <c r="N887" t="inlineStr">
        <is>
          <t>Values must be of type &lt;class 'str'&gt;</t>
        </is>
      </c>
      <c r="O887" t="inlineStr">
        <is>
          <t>center</t>
        </is>
      </c>
      <c r="P887" t="n">
        <v/>
      </c>
      <c r="R887" t="b">
        <v>1</v>
      </c>
      <c r="S887" t="inlineStr">
        <is>
          <t>G000054</t>
        </is>
      </c>
      <c r="T887" t="inlineStr">
        <is>
          <t>Horizontal</t>
        </is>
      </c>
      <c r="U887" t="n">
        <v>10</v>
      </c>
      <c r="V887" t="b">
        <v>1</v>
      </c>
      <c r="W887" t="inlineStr">
        <is>
          <t>Assumptions Sheet!F66:O66</t>
        </is>
      </c>
      <c r="X887">
        <f>R[-2]C[0]*12</f>
        <v/>
      </c>
    </row>
    <row r="888">
      <c r="A888" t="inlineStr">
        <is>
          <t>Assumptions Sheet</t>
        </is>
      </c>
      <c r="B888" t="inlineStr">
        <is>
          <t>G66</t>
        </is>
      </c>
      <c r="C888" t="n">
        <v>66</v>
      </c>
      <c r="D888" t="n">
        <v>7</v>
      </c>
      <c r="E888" t="inlineStr">
        <is>
          <t>Calculation</t>
        </is>
      </c>
      <c r="F888" t="inlineStr">
        <is>
          <t>'=G64*12</t>
        </is>
      </c>
      <c r="G888" t="n">
        <v>24</v>
      </c>
      <c r="H888" t="inlineStr"/>
      <c r="I888" t="inlineStr">
        <is>
          <t>0</t>
        </is>
      </c>
      <c r="J888" t="b">
        <v>0</v>
      </c>
      <c r="K888" t="b">
        <v>0</v>
      </c>
      <c r="L888" t="n">
        <v>11</v>
      </c>
      <c r="M888" t="inlineStr">
        <is>
          <t>Values must be of type &lt;class 'str'&gt;</t>
        </is>
      </c>
      <c r="N888" t="inlineStr">
        <is>
          <t>Values must be of type &lt;class 'str'&gt;</t>
        </is>
      </c>
      <c r="O888" t="inlineStr">
        <is>
          <t>center</t>
        </is>
      </c>
      <c r="P888" t="n">
        <v/>
      </c>
      <c r="R888" t="b">
        <v>1</v>
      </c>
      <c r="S888" t="inlineStr">
        <is>
          <t>G000054</t>
        </is>
      </c>
      <c r="T888" t="inlineStr">
        <is>
          <t>Horizontal</t>
        </is>
      </c>
      <c r="U888" t="n">
        <v>10</v>
      </c>
      <c r="V888" t="b">
        <v>1</v>
      </c>
      <c r="W888" t="inlineStr">
        <is>
          <t>Assumptions Sheet!F66:O66</t>
        </is>
      </c>
      <c r="X888">
        <f>R[-2]C[0]*12</f>
        <v/>
      </c>
    </row>
    <row r="889">
      <c r="A889" t="inlineStr">
        <is>
          <t>Assumptions Sheet</t>
        </is>
      </c>
      <c r="B889" t="inlineStr">
        <is>
          <t>H66</t>
        </is>
      </c>
      <c r="C889" t="n">
        <v>66</v>
      </c>
      <c r="D889" t="n">
        <v>8</v>
      </c>
      <c r="E889" t="inlineStr">
        <is>
          <t>Calculation</t>
        </is>
      </c>
      <c r="F889" t="inlineStr">
        <is>
          <t>'=H64*12</t>
        </is>
      </c>
      <c r="G889" t="n">
        <v>36</v>
      </c>
      <c r="H889" t="inlineStr"/>
      <c r="I889" t="inlineStr">
        <is>
          <t>0</t>
        </is>
      </c>
      <c r="J889" t="b">
        <v>0</v>
      </c>
      <c r="K889" t="b">
        <v>0</v>
      </c>
      <c r="L889" t="n">
        <v>11</v>
      </c>
      <c r="M889" t="inlineStr">
        <is>
          <t>Values must be of type &lt;class 'str'&gt;</t>
        </is>
      </c>
      <c r="N889" t="inlineStr">
        <is>
          <t>Values must be of type &lt;class 'str'&gt;</t>
        </is>
      </c>
      <c r="O889" t="inlineStr">
        <is>
          <t>center</t>
        </is>
      </c>
      <c r="P889" t="n">
        <v/>
      </c>
      <c r="R889" t="b">
        <v>1</v>
      </c>
      <c r="S889" t="inlineStr">
        <is>
          <t>G000054</t>
        </is>
      </c>
      <c r="T889" t="inlineStr">
        <is>
          <t>Horizontal</t>
        </is>
      </c>
      <c r="U889" t="n">
        <v>10</v>
      </c>
      <c r="V889" t="b">
        <v>1</v>
      </c>
      <c r="W889" t="inlineStr">
        <is>
          <t>Assumptions Sheet!F66:O66</t>
        </is>
      </c>
      <c r="X889">
        <f>R[-2]C[0]*12</f>
        <v/>
      </c>
    </row>
    <row r="890">
      <c r="A890" t="inlineStr">
        <is>
          <t>Assumptions Sheet</t>
        </is>
      </c>
      <c r="B890" t="inlineStr">
        <is>
          <t>I66</t>
        </is>
      </c>
      <c r="C890" t="n">
        <v>66</v>
      </c>
      <c r="D890" t="n">
        <v>9</v>
      </c>
      <c r="E890" t="inlineStr">
        <is>
          <t>Calculation</t>
        </is>
      </c>
      <c r="F890" t="inlineStr">
        <is>
          <t>'=I64*12</t>
        </is>
      </c>
      <c r="G890" t="n">
        <v>48</v>
      </c>
      <c r="H890" t="inlineStr"/>
      <c r="I890" t="inlineStr">
        <is>
          <t>0</t>
        </is>
      </c>
      <c r="J890" t="b">
        <v>0</v>
      </c>
      <c r="K890" t="b">
        <v>0</v>
      </c>
      <c r="L890" t="n">
        <v>11</v>
      </c>
      <c r="M890" t="inlineStr">
        <is>
          <t>Values must be of type &lt;class 'str'&gt;</t>
        </is>
      </c>
      <c r="N890" t="inlineStr">
        <is>
          <t>Values must be of type &lt;class 'str'&gt;</t>
        </is>
      </c>
      <c r="O890" t="inlineStr">
        <is>
          <t>center</t>
        </is>
      </c>
      <c r="P890" t="n">
        <v/>
      </c>
      <c r="R890" t="b">
        <v>1</v>
      </c>
      <c r="S890" t="inlineStr">
        <is>
          <t>G000054</t>
        </is>
      </c>
      <c r="T890" t="inlineStr">
        <is>
          <t>Horizontal</t>
        </is>
      </c>
      <c r="U890" t="n">
        <v>10</v>
      </c>
      <c r="V890" t="b">
        <v>1</v>
      </c>
      <c r="W890" t="inlineStr">
        <is>
          <t>Assumptions Sheet!F66:O66</t>
        </is>
      </c>
      <c r="X890">
        <f>R[-2]C[0]*12</f>
        <v/>
      </c>
    </row>
    <row r="891">
      <c r="A891" t="inlineStr">
        <is>
          <t>Assumptions Sheet</t>
        </is>
      </c>
      <c r="B891" t="inlineStr">
        <is>
          <t>J66</t>
        </is>
      </c>
      <c r="C891" t="n">
        <v>66</v>
      </c>
      <c r="D891" t="n">
        <v>10</v>
      </c>
      <c r="E891" t="inlineStr">
        <is>
          <t>Calculation</t>
        </is>
      </c>
      <c r="F891" t="inlineStr">
        <is>
          <t>'=J64*12</t>
        </is>
      </c>
      <c r="G891" t="n">
        <v>60</v>
      </c>
      <c r="H891" t="inlineStr"/>
      <c r="I891" t="inlineStr">
        <is>
          <t>0</t>
        </is>
      </c>
      <c r="J891" t="b">
        <v>0</v>
      </c>
      <c r="K891" t="b">
        <v>0</v>
      </c>
      <c r="L891" t="n">
        <v>11</v>
      </c>
      <c r="M891" t="inlineStr">
        <is>
          <t>Values must be of type &lt;class 'str'&gt;</t>
        </is>
      </c>
      <c r="N891" t="inlineStr">
        <is>
          <t>Values must be of type &lt;class 'str'&gt;</t>
        </is>
      </c>
      <c r="O891" t="inlineStr">
        <is>
          <t>center</t>
        </is>
      </c>
      <c r="P891" t="n">
        <v/>
      </c>
      <c r="R891" t="b">
        <v>1</v>
      </c>
      <c r="S891" t="inlineStr">
        <is>
          <t>G000054</t>
        </is>
      </c>
      <c r="T891" t="inlineStr">
        <is>
          <t>Horizontal</t>
        </is>
      </c>
      <c r="U891" t="n">
        <v>10</v>
      </c>
      <c r="V891" t="b">
        <v>1</v>
      </c>
      <c r="W891" t="inlineStr">
        <is>
          <t>Assumptions Sheet!F66:O66</t>
        </is>
      </c>
      <c r="X891">
        <f>R[-2]C[0]*12</f>
        <v/>
      </c>
    </row>
    <row r="892">
      <c r="A892" t="inlineStr">
        <is>
          <t>Assumptions Sheet</t>
        </is>
      </c>
      <c r="B892" t="inlineStr">
        <is>
          <t>K66</t>
        </is>
      </c>
      <c r="C892" t="n">
        <v>66</v>
      </c>
      <c r="D892" t="n">
        <v>11</v>
      </c>
      <c r="E892" t="inlineStr">
        <is>
          <t>Calculation</t>
        </is>
      </c>
      <c r="F892" t="inlineStr">
        <is>
          <t>'=K64*12</t>
        </is>
      </c>
      <c r="G892" t="n">
        <v>72</v>
      </c>
      <c r="H892" t="inlineStr"/>
      <c r="I892" t="inlineStr">
        <is>
          <t>0</t>
        </is>
      </c>
      <c r="J892" t="b">
        <v>0</v>
      </c>
      <c r="K892" t="b">
        <v>0</v>
      </c>
      <c r="L892" t="n">
        <v>11</v>
      </c>
      <c r="M892" t="inlineStr">
        <is>
          <t>Values must be of type &lt;class 'str'&gt;</t>
        </is>
      </c>
      <c r="N892" t="inlineStr">
        <is>
          <t>Values must be of type &lt;class 'str'&gt;</t>
        </is>
      </c>
      <c r="O892" t="inlineStr">
        <is>
          <t>center</t>
        </is>
      </c>
      <c r="P892" t="n">
        <v/>
      </c>
      <c r="R892" t="b">
        <v>1</v>
      </c>
      <c r="S892" t="inlineStr">
        <is>
          <t>G000054</t>
        </is>
      </c>
      <c r="T892" t="inlineStr">
        <is>
          <t>Horizontal</t>
        </is>
      </c>
      <c r="U892" t="n">
        <v>10</v>
      </c>
      <c r="V892" t="b">
        <v>1</v>
      </c>
      <c r="W892" t="inlineStr">
        <is>
          <t>Assumptions Sheet!F66:O66</t>
        </is>
      </c>
      <c r="X892">
        <f>R[-2]C[0]*12</f>
        <v/>
      </c>
    </row>
    <row r="893">
      <c r="A893" t="inlineStr">
        <is>
          <t>Assumptions Sheet</t>
        </is>
      </c>
      <c r="B893" t="inlineStr">
        <is>
          <t>L66</t>
        </is>
      </c>
      <c r="C893" t="n">
        <v>66</v>
      </c>
      <c r="D893" t="n">
        <v>12</v>
      </c>
      <c r="E893" t="inlineStr">
        <is>
          <t>Calculation</t>
        </is>
      </c>
      <c r="F893" t="inlineStr">
        <is>
          <t>'=L64*12</t>
        </is>
      </c>
      <c r="G893" t="n">
        <v>84</v>
      </c>
      <c r="H893" t="inlineStr"/>
      <c r="I893" t="inlineStr">
        <is>
          <t>0</t>
        </is>
      </c>
      <c r="J893" t="b">
        <v>0</v>
      </c>
      <c r="K893" t="b">
        <v>0</v>
      </c>
      <c r="L893" t="n">
        <v>11</v>
      </c>
      <c r="M893" t="inlineStr">
        <is>
          <t>Values must be of type &lt;class 'str'&gt;</t>
        </is>
      </c>
      <c r="N893" t="inlineStr">
        <is>
          <t>Values must be of type &lt;class 'str'&gt;</t>
        </is>
      </c>
      <c r="O893" t="inlineStr">
        <is>
          <t>center</t>
        </is>
      </c>
      <c r="P893" t="n">
        <v/>
      </c>
      <c r="R893" t="b">
        <v>1</v>
      </c>
      <c r="S893" t="inlineStr">
        <is>
          <t>G000054</t>
        </is>
      </c>
      <c r="T893" t="inlineStr">
        <is>
          <t>Horizontal</t>
        </is>
      </c>
      <c r="U893" t="n">
        <v>10</v>
      </c>
      <c r="V893" t="b">
        <v>1</v>
      </c>
      <c r="W893" t="inlineStr">
        <is>
          <t>Assumptions Sheet!F66:O66</t>
        </is>
      </c>
      <c r="X893">
        <f>R[-2]C[0]*12</f>
        <v/>
      </c>
    </row>
    <row r="894">
      <c r="A894" t="inlineStr">
        <is>
          <t>Assumptions Sheet</t>
        </is>
      </c>
      <c r="B894" t="inlineStr">
        <is>
          <t>M66</t>
        </is>
      </c>
      <c r="C894" t="n">
        <v>66</v>
      </c>
      <c r="D894" t="n">
        <v>13</v>
      </c>
      <c r="E894" t="inlineStr">
        <is>
          <t>Calculation</t>
        </is>
      </c>
      <c r="F894" t="inlineStr">
        <is>
          <t>'=M64*12</t>
        </is>
      </c>
      <c r="G894" t="n">
        <v>96</v>
      </c>
      <c r="H894" t="inlineStr"/>
      <c r="I894" t="inlineStr">
        <is>
          <t>0</t>
        </is>
      </c>
      <c r="J894" t="b">
        <v>0</v>
      </c>
      <c r="K894" t="b">
        <v>0</v>
      </c>
      <c r="L894" t="n">
        <v>11</v>
      </c>
      <c r="M894" t="inlineStr">
        <is>
          <t>Values must be of type &lt;class 'str'&gt;</t>
        </is>
      </c>
      <c r="N894" t="inlineStr">
        <is>
          <t>Values must be of type &lt;class 'str'&gt;</t>
        </is>
      </c>
      <c r="O894" t="inlineStr">
        <is>
          <t>center</t>
        </is>
      </c>
      <c r="P894" t="n">
        <v/>
      </c>
      <c r="R894" t="b">
        <v>1</v>
      </c>
      <c r="S894" t="inlineStr">
        <is>
          <t>G000054</t>
        </is>
      </c>
      <c r="T894" t="inlineStr">
        <is>
          <t>Horizontal</t>
        </is>
      </c>
      <c r="U894" t="n">
        <v>10</v>
      </c>
      <c r="V894" t="b">
        <v>1</v>
      </c>
      <c r="W894" t="inlineStr">
        <is>
          <t>Assumptions Sheet!F66:O66</t>
        </is>
      </c>
      <c r="X894">
        <f>R[-2]C[0]*12</f>
        <v/>
      </c>
    </row>
    <row r="895">
      <c r="A895" t="inlineStr">
        <is>
          <t>Assumptions Sheet</t>
        </is>
      </c>
      <c r="B895" t="inlineStr">
        <is>
          <t>N66</t>
        </is>
      </c>
      <c r="C895" t="n">
        <v>66</v>
      </c>
      <c r="D895" t="n">
        <v>14</v>
      </c>
      <c r="E895" t="inlineStr">
        <is>
          <t>Calculation</t>
        </is>
      </c>
      <c r="F895" t="inlineStr">
        <is>
          <t>'=N64*12</t>
        </is>
      </c>
      <c r="G895" t="n">
        <v>108</v>
      </c>
      <c r="H895" t="inlineStr"/>
      <c r="I895" t="inlineStr">
        <is>
          <t>0</t>
        </is>
      </c>
      <c r="J895" t="b">
        <v>0</v>
      </c>
      <c r="K895" t="b">
        <v>0</v>
      </c>
      <c r="L895" t="n">
        <v>11</v>
      </c>
      <c r="M895" t="inlineStr">
        <is>
          <t>Values must be of type &lt;class 'str'&gt;</t>
        </is>
      </c>
      <c r="N895" t="inlineStr">
        <is>
          <t>Values must be of type &lt;class 'str'&gt;</t>
        </is>
      </c>
      <c r="O895" t="inlineStr">
        <is>
          <t>center</t>
        </is>
      </c>
      <c r="P895" t="n">
        <v/>
      </c>
      <c r="R895" t="b">
        <v>1</v>
      </c>
      <c r="S895" t="inlineStr">
        <is>
          <t>G000054</t>
        </is>
      </c>
      <c r="T895" t="inlineStr">
        <is>
          <t>Horizontal</t>
        </is>
      </c>
      <c r="U895" t="n">
        <v>10</v>
      </c>
      <c r="V895" t="b">
        <v>1</v>
      </c>
      <c r="W895" t="inlineStr">
        <is>
          <t>Assumptions Sheet!F66:O66</t>
        </is>
      </c>
      <c r="X895">
        <f>R[-2]C[0]*12</f>
        <v/>
      </c>
    </row>
    <row r="896">
      <c r="A896" t="inlineStr">
        <is>
          <t>Assumptions Sheet</t>
        </is>
      </c>
      <c r="B896" t="inlineStr">
        <is>
          <t>O66</t>
        </is>
      </c>
      <c r="C896" t="n">
        <v>66</v>
      </c>
      <c r="D896" t="n">
        <v>15</v>
      </c>
      <c r="E896" t="inlineStr">
        <is>
          <t>Calculation</t>
        </is>
      </c>
      <c r="F896" t="inlineStr">
        <is>
          <t>'=O64*12</t>
        </is>
      </c>
      <c r="G896" t="n">
        <v>120</v>
      </c>
      <c r="H896" t="inlineStr"/>
      <c r="I896" t="inlineStr">
        <is>
          <t>0</t>
        </is>
      </c>
      <c r="J896" t="b">
        <v>0</v>
      </c>
      <c r="K896" t="b">
        <v>0</v>
      </c>
      <c r="L896" t="n">
        <v>11</v>
      </c>
      <c r="M896" t="inlineStr">
        <is>
          <t>Values must be of type &lt;class 'str'&gt;</t>
        </is>
      </c>
      <c r="N896" t="inlineStr">
        <is>
          <t>Values must be of type &lt;class 'str'&gt;</t>
        </is>
      </c>
      <c r="O896" t="inlineStr">
        <is>
          <t>center</t>
        </is>
      </c>
      <c r="P896" t="n">
        <v/>
      </c>
      <c r="R896" t="b">
        <v>1</v>
      </c>
      <c r="S896" t="inlineStr">
        <is>
          <t>G000054</t>
        </is>
      </c>
      <c r="T896" t="inlineStr">
        <is>
          <t>Horizontal</t>
        </is>
      </c>
      <c r="U896" t="n">
        <v>10</v>
      </c>
      <c r="V896" t="b">
        <v>1</v>
      </c>
      <c r="W896" t="inlineStr">
        <is>
          <t>Assumptions Sheet!F66:O66</t>
        </is>
      </c>
      <c r="X896">
        <f>R[-2]C[0]*12</f>
        <v/>
      </c>
    </row>
    <row r="897">
      <c r="A897" t="inlineStr">
        <is>
          <t>Assumptions Sheet</t>
        </is>
      </c>
      <c r="B897" t="inlineStr">
        <is>
          <t>P66</t>
        </is>
      </c>
      <c r="C897" t="n">
        <v>66</v>
      </c>
      <c r="D897" t="n">
        <v>16</v>
      </c>
      <c r="E897" t="inlineStr">
        <is>
          <t>Output</t>
        </is>
      </c>
      <c r="F897" t="inlineStr">
        <is>
          <t>'=SUM(F66:O66)</t>
        </is>
      </c>
      <c r="G897" t="n">
        <v>660</v>
      </c>
      <c r="H897" t="inlineStr"/>
      <c r="I897" t="inlineStr">
        <is>
          <t>0</t>
        </is>
      </c>
      <c r="J897" t="b">
        <v>1</v>
      </c>
      <c r="K897" t="b">
        <v>0</v>
      </c>
      <c r="L897" t="n">
        <v>11</v>
      </c>
      <c r="M897" t="inlineStr">
        <is>
          <t>Values must be of type &lt;class 'str'&gt;</t>
        </is>
      </c>
      <c r="N897" t="inlineStr">
        <is>
          <t>Values must be of type &lt;class 'str'&gt;</t>
        </is>
      </c>
      <c r="O897" t="inlineStr">
        <is>
          <t>center</t>
        </is>
      </c>
      <c r="P897" t="n">
        <v/>
      </c>
      <c r="R897" t="b">
        <v>1</v>
      </c>
      <c r="S897" t="inlineStr">
        <is>
          <t>G000051</t>
        </is>
      </c>
      <c r="T897" t="inlineStr">
        <is>
          <t>Block</t>
        </is>
      </c>
      <c r="U897" t="n">
        <v>2</v>
      </c>
      <c r="V897" t="b">
        <v>1</v>
      </c>
      <c r="W897" t="inlineStr">
        <is>
          <t>Assumptions Sheet!P63:P66</t>
        </is>
      </c>
      <c r="X897">
        <f>SUM(R[0]C[-10]:R[0]C[-1])</f>
        <v/>
      </c>
    </row>
    <row r="898">
      <c r="A898" t="inlineStr">
        <is>
          <t>Assumptions Sheet</t>
        </is>
      </c>
      <c r="B898" t="inlineStr">
        <is>
          <t>U66</t>
        </is>
      </c>
      <c r="C898" t="n">
        <v>66</v>
      </c>
      <c r="D898" t="n">
        <v>21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11</v>
      </c>
      <c r="M898" t="inlineStr">
        <is>
          <t>Values must be of type &lt;class 'str'&gt;</t>
        </is>
      </c>
      <c r="N898" t="inlineStr">
        <is>
          <t>Values must be of type &lt;class 'str'&gt;</t>
        </is>
      </c>
      <c r="O898" t="inlineStr">
        <is>
          <t>left</t>
        </is>
      </c>
      <c r="P898" t="n">
        <v/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</row>
    <row r="899">
      <c r="A899" t="inlineStr">
        <is>
          <t>Assumptions Sheet</t>
        </is>
      </c>
      <c r="B899" t="inlineStr">
        <is>
          <t>V66</t>
        </is>
      </c>
      <c r="C899" t="n">
        <v>66</v>
      </c>
      <c r="D899" t="n">
        <v>22</v>
      </c>
      <c r="E899" t="inlineStr">
        <is>
          <t>Input</t>
        </is>
      </c>
      <c r="F899" t="n">
        <v/>
      </c>
      <c r="G899" t="n">
        <v>0.135</v>
      </c>
      <c r="H899" t="inlineStr"/>
      <c r="I899" t="inlineStr">
        <is>
          <t>0.00%</t>
        </is>
      </c>
      <c r="J899" t="b">
        <v>0</v>
      </c>
      <c r="K899" t="b">
        <v>1</v>
      </c>
      <c r="L899" t="n">
        <v>11</v>
      </c>
      <c r="M899" t="n">
        <v/>
      </c>
      <c r="N899" t="inlineStr">
        <is>
          <t>Values must be of type &lt;class 'str'&gt;</t>
        </is>
      </c>
      <c r="O899" t="inlineStr">
        <is>
          <t>center</t>
        </is>
      </c>
      <c r="P899" t="n">
        <v/>
      </c>
      <c r="R899" t="b">
        <v>1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</row>
    <row r="900">
      <c r="A900" t="inlineStr">
        <is>
          <t>Assumptions Sheet</t>
        </is>
      </c>
      <c r="B900" t="inlineStr">
        <is>
          <t>W66</t>
        </is>
      </c>
      <c r="C900" t="n">
        <v>66</v>
      </c>
      <c r="D900" t="n">
        <v>23</v>
      </c>
      <c r="E900" t="inlineStr">
        <is>
          <t>Input</t>
        </is>
      </c>
      <c r="F900" t="n">
        <v/>
      </c>
      <c r="G900" t="n">
        <v>0.135</v>
      </c>
      <c r="H900" t="inlineStr"/>
      <c r="I900" t="inlineStr">
        <is>
          <t>0.00%</t>
        </is>
      </c>
      <c r="J900" t="b">
        <v>0</v>
      </c>
      <c r="K900" t="b">
        <v>1</v>
      </c>
      <c r="L900" t="n">
        <v>11</v>
      </c>
      <c r="M900" t="n">
        <v/>
      </c>
      <c r="N900" t="inlineStr">
        <is>
          <t>Values must be of type &lt;class 'str'&gt;</t>
        </is>
      </c>
      <c r="O900" t="inlineStr">
        <is>
          <t>center</t>
        </is>
      </c>
      <c r="P900" t="n">
        <v/>
      </c>
      <c r="R900" t="b">
        <v>1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</row>
    <row r="901">
      <c r="A901" t="inlineStr">
        <is>
          <t>Assumptions Sheet</t>
        </is>
      </c>
      <c r="B901" t="inlineStr">
        <is>
          <t>X66</t>
        </is>
      </c>
      <c r="C901" t="n">
        <v>66</v>
      </c>
      <c r="D901" t="n">
        <v>24</v>
      </c>
      <c r="E901" t="inlineStr">
        <is>
          <t>Input</t>
        </is>
      </c>
      <c r="F901" t="n">
        <v/>
      </c>
      <c r="G901" t="n">
        <v>0.13</v>
      </c>
      <c r="H901" t="inlineStr"/>
      <c r="I901" t="inlineStr">
        <is>
          <t>0.00%</t>
        </is>
      </c>
      <c r="J901" t="b">
        <v>0</v>
      </c>
      <c r="K901" t="b">
        <v>1</v>
      </c>
      <c r="L901" t="n">
        <v>11</v>
      </c>
      <c r="M901" t="n">
        <v/>
      </c>
      <c r="N901" t="inlineStr">
        <is>
          <t>Values must be of type &lt;class 'str'&gt;</t>
        </is>
      </c>
      <c r="O901" t="inlineStr">
        <is>
          <t>center</t>
        </is>
      </c>
      <c r="P901" t="n">
        <v/>
      </c>
      <c r="R901" t="b">
        <v>1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</row>
    <row r="902">
      <c r="A902" t="inlineStr">
        <is>
          <t>Assumptions Sheet</t>
        </is>
      </c>
      <c r="B902" t="inlineStr">
        <is>
          <t>Y66</t>
        </is>
      </c>
      <c r="C902" t="n">
        <v>66</v>
      </c>
      <c r="D902" t="n">
        <v>25</v>
      </c>
      <c r="E902" t="inlineStr">
        <is>
          <t>Input</t>
        </is>
      </c>
      <c r="F902" t="n">
        <v/>
      </c>
      <c r="G902" t="n">
        <v>0.125</v>
      </c>
      <c r="H902" t="inlineStr"/>
      <c r="I902" t="inlineStr">
        <is>
          <t>0.00%</t>
        </is>
      </c>
      <c r="J902" t="b">
        <v>0</v>
      </c>
      <c r="K902" t="b">
        <v>1</v>
      </c>
      <c r="L902" t="n">
        <v>11</v>
      </c>
      <c r="M902" t="n">
        <v/>
      </c>
      <c r="N902" t="inlineStr">
        <is>
          <t>Values must be of type &lt;class 'str'&gt;</t>
        </is>
      </c>
      <c r="O902" t="inlineStr">
        <is>
          <t>center</t>
        </is>
      </c>
      <c r="P902" t="n">
        <v/>
      </c>
      <c r="R902" t="b">
        <v>1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</row>
    <row r="903">
      <c r="A903" t="inlineStr">
        <is>
          <t>Assumptions Sheet</t>
        </is>
      </c>
      <c r="B903" t="inlineStr">
        <is>
          <t>Z66</t>
        </is>
      </c>
      <c r="C903" t="n">
        <v>66</v>
      </c>
      <c r="D903" t="n">
        <v>26</v>
      </c>
      <c r="E903" t="inlineStr">
        <is>
          <t>Input</t>
        </is>
      </c>
      <c r="F903" t="n">
        <v/>
      </c>
      <c r="G903" t="n">
        <v>0.125</v>
      </c>
      <c r="H903" t="inlineStr"/>
      <c r="I903" t="inlineStr">
        <is>
          <t>0.00%</t>
        </is>
      </c>
      <c r="J903" t="b">
        <v>0</v>
      </c>
      <c r="K903" t="b">
        <v>1</v>
      </c>
      <c r="L903" t="n">
        <v>11</v>
      </c>
      <c r="M903" t="n">
        <v/>
      </c>
      <c r="N903" t="inlineStr">
        <is>
          <t>Values must be of type &lt;class 'str'&gt;</t>
        </is>
      </c>
      <c r="O903" t="inlineStr">
        <is>
          <t>center</t>
        </is>
      </c>
      <c r="P903" t="n">
        <v/>
      </c>
      <c r="R903" t="b">
        <v>1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</row>
    <row r="904">
      <c r="A904" t="inlineStr">
        <is>
          <t>Assumptions Sheet</t>
        </is>
      </c>
      <c r="B904" t="inlineStr">
        <is>
          <t>F67</t>
        </is>
      </c>
      <c r="C904" t="n">
        <v>67</v>
      </c>
      <c r="D904" t="n">
        <v>6</v>
      </c>
      <c r="E904" t="inlineStr">
        <is>
          <t>Input</t>
        </is>
      </c>
      <c r="F904" t="n">
        <v/>
      </c>
      <c r="H904" t="inlineStr"/>
      <c r="I904" t="inlineStr">
        <is>
          <t>0</t>
        </is>
      </c>
      <c r="J904" t="b">
        <v>0</v>
      </c>
      <c r="K904" t="b">
        <v>0</v>
      </c>
      <c r="L904" t="n">
        <v>11</v>
      </c>
      <c r="M904" t="inlineStr">
        <is>
          <t>Values must be of type &lt;class 'str'&gt;</t>
        </is>
      </c>
      <c r="N904" t="inlineStr">
        <is>
          <t>Values must be of type &lt;class 'str'&gt;</t>
        </is>
      </c>
      <c r="O904" t="inlineStr">
        <is>
          <t>center</t>
        </is>
      </c>
      <c r="P904" t="n">
        <v/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</row>
    <row r="905">
      <c r="A905" t="inlineStr">
        <is>
          <t>Assumptions Sheet</t>
        </is>
      </c>
      <c r="B905" t="inlineStr">
        <is>
          <t>G67</t>
        </is>
      </c>
      <c r="C905" t="n">
        <v>67</v>
      </c>
      <c r="D905" t="n">
        <v>7</v>
      </c>
      <c r="E905" t="inlineStr">
        <is>
          <t>Input</t>
        </is>
      </c>
      <c r="F905" t="n">
        <v/>
      </c>
      <c r="H905" t="inlineStr"/>
      <c r="I905" t="inlineStr">
        <is>
          <t>0</t>
        </is>
      </c>
      <c r="J905" t="b">
        <v>0</v>
      </c>
      <c r="K905" t="b">
        <v>0</v>
      </c>
      <c r="L905" t="n">
        <v>11</v>
      </c>
      <c r="M905" t="inlineStr">
        <is>
          <t>Values must be of type &lt;class 'str'&gt;</t>
        </is>
      </c>
      <c r="N905" t="inlineStr">
        <is>
          <t>Values must be of type &lt;class 'str'&gt;</t>
        </is>
      </c>
      <c r="O905" t="inlineStr">
        <is>
          <t>center</t>
        </is>
      </c>
      <c r="P905" t="n">
        <v/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</row>
    <row r="906">
      <c r="A906" t="inlineStr">
        <is>
          <t>Assumptions Sheet</t>
        </is>
      </c>
      <c r="B906" t="inlineStr">
        <is>
          <t>H67</t>
        </is>
      </c>
      <c r="C906" t="n">
        <v>67</v>
      </c>
      <c r="D906" t="n">
        <v>8</v>
      </c>
      <c r="E906" t="inlineStr">
        <is>
          <t>Input</t>
        </is>
      </c>
      <c r="F906" t="n">
        <v/>
      </c>
      <c r="H906" t="inlineStr"/>
      <c r="I906" t="inlineStr">
        <is>
          <t>0</t>
        </is>
      </c>
      <c r="J906" t="b">
        <v>0</v>
      </c>
      <c r="K906" t="b">
        <v>0</v>
      </c>
      <c r="L906" t="n">
        <v>11</v>
      </c>
      <c r="M906" t="inlineStr">
        <is>
          <t>Values must be of type &lt;class 'str'&gt;</t>
        </is>
      </c>
      <c r="N906" t="inlineStr">
        <is>
          <t>Values must be of type &lt;class 'str'&gt;</t>
        </is>
      </c>
      <c r="O906" t="inlineStr">
        <is>
          <t>center</t>
        </is>
      </c>
      <c r="P906" t="n">
        <v/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</row>
    <row r="907">
      <c r="A907" t="inlineStr">
        <is>
          <t>Assumptions Sheet</t>
        </is>
      </c>
      <c r="B907" t="inlineStr">
        <is>
          <t>I67</t>
        </is>
      </c>
      <c r="C907" t="n">
        <v>67</v>
      </c>
      <c r="D907" t="n">
        <v>9</v>
      </c>
      <c r="E907" t="inlineStr">
        <is>
          <t>Input</t>
        </is>
      </c>
      <c r="F907" t="n">
        <v/>
      </c>
      <c r="H907" t="inlineStr"/>
      <c r="I907" t="inlineStr">
        <is>
          <t>0</t>
        </is>
      </c>
      <c r="J907" t="b">
        <v>0</v>
      </c>
      <c r="K907" t="b">
        <v>0</v>
      </c>
      <c r="L907" t="n">
        <v>11</v>
      </c>
      <c r="M907" t="inlineStr">
        <is>
          <t>Values must be of type &lt;class 'str'&gt;</t>
        </is>
      </c>
      <c r="N907" t="inlineStr">
        <is>
          <t>Values must be of type &lt;class 'str'&gt;</t>
        </is>
      </c>
      <c r="O907" t="inlineStr">
        <is>
          <t>center</t>
        </is>
      </c>
      <c r="P907" t="n">
        <v/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</row>
    <row r="908">
      <c r="A908" t="inlineStr">
        <is>
          <t>Assumptions Sheet</t>
        </is>
      </c>
      <c r="B908" t="inlineStr">
        <is>
          <t>J67</t>
        </is>
      </c>
      <c r="C908" t="n">
        <v>67</v>
      </c>
      <c r="D908" t="n">
        <v>10</v>
      </c>
      <c r="E908" t="inlineStr">
        <is>
          <t>Input</t>
        </is>
      </c>
      <c r="F908" t="n">
        <v/>
      </c>
      <c r="H908" t="inlineStr"/>
      <c r="I908" t="inlineStr">
        <is>
          <t>0</t>
        </is>
      </c>
      <c r="J908" t="b">
        <v>0</v>
      </c>
      <c r="K908" t="b">
        <v>0</v>
      </c>
      <c r="L908" t="n">
        <v>11</v>
      </c>
      <c r="M908" t="inlineStr">
        <is>
          <t>Values must be of type &lt;class 'str'&gt;</t>
        </is>
      </c>
      <c r="N908" t="inlineStr">
        <is>
          <t>Values must be of type &lt;class 'str'&gt;</t>
        </is>
      </c>
      <c r="O908" t="inlineStr">
        <is>
          <t>center</t>
        </is>
      </c>
      <c r="P908" t="n">
        <v/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</row>
    <row r="909">
      <c r="A909" t="inlineStr">
        <is>
          <t>Assumptions Sheet</t>
        </is>
      </c>
      <c r="B909" t="inlineStr">
        <is>
          <t>K67</t>
        </is>
      </c>
      <c r="C909" t="n">
        <v>67</v>
      </c>
      <c r="D909" t="n">
        <v>11</v>
      </c>
      <c r="E909" t="inlineStr">
        <is>
          <t>Input</t>
        </is>
      </c>
      <c r="F909" t="n">
        <v/>
      </c>
      <c r="H909" t="inlineStr"/>
      <c r="I909" t="inlineStr">
        <is>
          <t>0</t>
        </is>
      </c>
      <c r="J909" t="b">
        <v>0</v>
      </c>
      <c r="K909" t="b">
        <v>0</v>
      </c>
      <c r="L909" t="n">
        <v>11</v>
      </c>
      <c r="M909" t="inlineStr">
        <is>
          <t>Values must be of type &lt;class 'str'&gt;</t>
        </is>
      </c>
      <c r="N909" t="inlineStr">
        <is>
          <t>Values must be of type &lt;class 'str'&gt;</t>
        </is>
      </c>
      <c r="O909" t="inlineStr">
        <is>
          <t>center</t>
        </is>
      </c>
      <c r="P909" t="n">
        <v/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</row>
    <row r="910">
      <c r="A910" t="inlineStr">
        <is>
          <t>Assumptions Sheet</t>
        </is>
      </c>
      <c r="B910" t="inlineStr">
        <is>
          <t>L67</t>
        </is>
      </c>
      <c r="C910" t="n">
        <v>67</v>
      </c>
      <c r="D910" t="n">
        <v>12</v>
      </c>
      <c r="E910" t="inlineStr">
        <is>
          <t>Input</t>
        </is>
      </c>
      <c r="F910" t="n">
        <v/>
      </c>
      <c r="H910" t="inlineStr"/>
      <c r="I910" t="inlineStr">
        <is>
          <t>0</t>
        </is>
      </c>
      <c r="J910" t="b">
        <v>0</v>
      </c>
      <c r="K910" t="b">
        <v>0</v>
      </c>
      <c r="L910" t="n">
        <v>11</v>
      </c>
      <c r="M910" t="inlineStr">
        <is>
          <t>Values must be of type &lt;class 'str'&gt;</t>
        </is>
      </c>
      <c r="N910" t="inlineStr">
        <is>
          <t>Values must be of type &lt;class 'str'&gt;</t>
        </is>
      </c>
      <c r="O910" t="inlineStr">
        <is>
          <t>center</t>
        </is>
      </c>
      <c r="P910" t="n">
        <v/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</row>
    <row r="911">
      <c r="A911" t="inlineStr">
        <is>
          <t>Assumptions Sheet</t>
        </is>
      </c>
      <c r="B911" t="inlineStr">
        <is>
          <t>M67</t>
        </is>
      </c>
      <c r="C911" t="n">
        <v>67</v>
      </c>
      <c r="D911" t="n">
        <v>13</v>
      </c>
      <c r="E911" t="inlineStr">
        <is>
          <t>Input</t>
        </is>
      </c>
      <c r="F911" t="n">
        <v/>
      </c>
      <c r="H911" t="inlineStr"/>
      <c r="I911" t="inlineStr">
        <is>
          <t>0</t>
        </is>
      </c>
      <c r="J911" t="b">
        <v>0</v>
      </c>
      <c r="K911" t="b">
        <v>0</v>
      </c>
      <c r="L911" t="n">
        <v>11</v>
      </c>
      <c r="M911" t="inlineStr">
        <is>
          <t>Values must be of type &lt;class 'str'&gt;</t>
        </is>
      </c>
      <c r="N911" t="inlineStr">
        <is>
          <t>Values must be of type &lt;class 'str'&gt;</t>
        </is>
      </c>
      <c r="O911" t="inlineStr">
        <is>
          <t>center</t>
        </is>
      </c>
      <c r="P911" t="n">
        <v/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</row>
    <row r="912">
      <c r="A912" t="inlineStr">
        <is>
          <t>Assumptions Sheet</t>
        </is>
      </c>
      <c r="B912" t="inlineStr">
        <is>
          <t>N67</t>
        </is>
      </c>
      <c r="C912" t="n">
        <v>67</v>
      </c>
      <c r="D912" t="n">
        <v>14</v>
      </c>
      <c r="E912" t="inlineStr">
        <is>
          <t>Input</t>
        </is>
      </c>
      <c r="F912" t="n">
        <v/>
      </c>
      <c r="H912" t="inlineStr"/>
      <c r="I912" t="inlineStr">
        <is>
          <t>0</t>
        </is>
      </c>
      <c r="J912" t="b">
        <v>0</v>
      </c>
      <c r="K912" t="b">
        <v>0</v>
      </c>
      <c r="L912" t="n">
        <v>11</v>
      </c>
      <c r="M912" t="inlineStr">
        <is>
          <t>Values must be of type &lt;class 'str'&gt;</t>
        </is>
      </c>
      <c r="N912" t="inlineStr">
        <is>
          <t>Values must be of type &lt;class 'str'&gt;</t>
        </is>
      </c>
      <c r="O912" t="inlineStr">
        <is>
          <t>center</t>
        </is>
      </c>
      <c r="P912" t="n">
        <v/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</row>
    <row r="913">
      <c r="A913" t="inlineStr">
        <is>
          <t>Assumptions Sheet</t>
        </is>
      </c>
      <c r="B913" t="inlineStr">
        <is>
          <t>O67</t>
        </is>
      </c>
      <c r="C913" t="n">
        <v>67</v>
      </c>
      <c r="D913" t="n">
        <v>15</v>
      </c>
      <c r="E913" t="inlineStr">
        <is>
          <t>Input</t>
        </is>
      </c>
      <c r="F913" t="n">
        <v/>
      </c>
      <c r="H913" t="inlineStr"/>
      <c r="I913" t="inlineStr">
        <is>
          <t>0</t>
        </is>
      </c>
      <c r="J913" t="b">
        <v>0</v>
      </c>
      <c r="K913" t="b">
        <v>0</v>
      </c>
      <c r="L913" t="n">
        <v>11</v>
      </c>
      <c r="M913" t="inlineStr">
        <is>
          <t>Values must be of type &lt;class 'str'&gt;</t>
        </is>
      </c>
      <c r="N913" t="inlineStr">
        <is>
          <t>Values must be of type &lt;class 'str'&gt;</t>
        </is>
      </c>
      <c r="O913" t="inlineStr">
        <is>
          <t>center</t>
        </is>
      </c>
      <c r="P913" t="n">
        <v/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</row>
    <row r="914">
      <c r="A914" t="inlineStr">
        <is>
          <t>Assumptions Sheet</t>
        </is>
      </c>
      <c r="B914" t="inlineStr">
        <is>
          <t>P67</t>
        </is>
      </c>
      <c r="C914" t="n">
        <v>67</v>
      </c>
      <c r="D914" t="n">
        <v>16</v>
      </c>
      <c r="E914" t="inlineStr">
        <is>
          <t>Input</t>
        </is>
      </c>
      <c r="F914" t="n">
        <v/>
      </c>
      <c r="H914" t="inlineStr"/>
      <c r="I914" t="inlineStr">
        <is>
          <t>0</t>
        </is>
      </c>
      <c r="J914" t="b">
        <v>1</v>
      </c>
      <c r="K914" t="b">
        <v>0</v>
      </c>
      <c r="L914" t="n">
        <v>11</v>
      </c>
      <c r="M914" t="inlineStr">
        <is>
          <t>Values must be of type &lt;class 'str'&gt;</t>
        </is>
      </c>
      <c r="N914" t="inlineStr">
        <is>
          <t>Values must be of type &lt;class 'str'&gt;</t>
        </is>
      </c>
      <c r="O914" t="inlineStr">
        <is>
          <t>center</t>
        </is>
      </c>
      <c r="P914" t="n">
        <v/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</row>
    <row r="915">
      <c r="A915" t="inlineStr">
        <is>
          <t>Assumptions Sheet</t>
        </is>
      </c>
      <c r="B915" t="inlineStr">
        <is>
          <t>U67</t>
        </is>
      </c>
      <c r="C915" t="n">
        <v>67</v>
      </c>
      <c r="D915" t="n">
        <v>21</v>
      </c>
      <c r="E915" t="inlineStr">
        <is>
          <t>Input</t>
        </is>
      </c>
      <c r="F915" t="n">
        <v/>
      </c>
      <c r="G915" t="inlineStr">
        <is>
          <t>Other
operating
revenue</t>
        </is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11</v>
      </c>
      <c r="M915" t="inlineStr">
        <is>
          <t>Values must be of type &lt;class 'str'&gt;</t>
        </is>
      </c>
      <c r="N915" t="inlineStr">
        <is>
          <t>Values must be of type &lt;class 'str'&gt;</t>
        </is>
      </c>
      <c r="O915" t="inlineStr">
        <is>
          <t>left</t>
        </is>
      </c>
      <c r="P915" t="n">
        <v/>
      </c>
      <c r="R915" t="b">
        <v>1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</row>
    <row r="916">
      <c r="A916" t="inlineStr">
        <is>
          <t>Assumptions Sheet</t>
        </is>
      </c>
      <c r="B916" t="inlineStr">
        <is>
          <t>V67</t>
        </is>
      </c>
      <c r="C916" t="n">
        <v>67</v>
      </c>
      <c r="D916" t="n">
        <v>22</v>
      </c>
      <c r="E916" t="inlineStr">
        <is>
          <t>Input</t>
        </is>
      </c>
      <c r="F916" t="n">
        <v/>
      </c>
      <c r="G916" t="n">
        <v>1694.710103223194</v>
      </c>
      <c r="H916" t="inlineStr"/>
      <c r="I916" t="inlineStr">
        <is>
          <t>0</t>
        </is>
      </c>
      <c r="J916" t="b">
        <v>0</v>
      </c>
      <c r="K916" t="b">
        <v>0</v>
      </c>
      <c r="L916" t="n">
        <v>11</v>
      </c>
      <c r="M916" t="n">
        <v/>
      </c>
      <c r="N916" t="inlineStr">
        <is>
          <t>Values must be of type &lt;class 'str'&gt;</t>
        </is>
      </c>
      <c r="O916" t="inlineStr">
        <is>
          <t>center</t>
        </is>
      </c>
      <c r="P916" t="n">
        <v/>
      </c>
      <c r="R916" t="b">
        <v>1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</row>
    <row r="917">
      <c r="A917" t="inlineStr">
        <is>
          <t>Assumptions Sheet</t>
        </is>
      </c>
      <c r="B917" t="inlineStr">
        <is>
          <t>W67</t>
        </is>
      </c>
      <c r="C917" t="n">
        <v>67</v>
      </c>
      <c r="D917" t="n">
        <v>23</v>
      </c>
      <c r="E917" t="inlineStr">
        <is>
          <t>Input</t>
        </is>
      </c>
      <c r="F917" t="n">
        <v/>
      </c>
      <c r="G917" t="n">
        <v>2189.986569147833</v>
      </c>
      <c r="H917" t="inlineStr"/>
      <c r="I917" t="inlineStr">
        <is>
          <t>0</t>
        </is>
      </c>
      <c r="J917" t="b">
        <v>0</v>
      </c>
      <c r="K917" t="b">
        <v>0</v>
      </c>
      <c r="L917" t="n">
        <v>11</v>
      </c>
      <c r="M917" t="n">
        <v/>
      </c>
      <c r="N917" t="inlineStr">
        <is>
          <t>Values must be of type &lt;class 'str'&gt;</t>
        </is>
      </c>
      <c r="O917" t="inlineStr">
        <is>
          <t>center</t>
        </is>
      </c>
      <c r="P917" t="n">
        <v/>
      </c>
      <c r="R917" t="b">
        <v>1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</row>
    <row r="918">
      <c r="A918" t="inlineStr">
        <is>
          <t>Assumptions Sheet</t>
        </is>
      </c>
      <c r="B918" t="inlineStr">
        <is>
          <t>X67</t>
        </is>
      </c>
      <c r="C918" t="n">
        <v>67</v>
      </c>
      <c r="D918" t="n">
        <v>24</v>
      </c>
      <c r="E918" t="inlineStr">
        <is>
          <t>Input</t>
        </is>
      </c>
      <c r="F918" t="n">
        <v/>
      </c>
      <c r="G918" t="n">
        <v>2815.585217313399</v>
      </c>
      <c r="H918" t="inlineStr"/>
      <c r="I918" t="inlineStr">
        <is>
          <t>0</t>
        </is>
      </c>
      <c r="J918" t="b">
        <v>0</v>
      </c>
      <c r="K918" t="b">
        <v>0</v>
      </c>
      <c r="L918" t="n">
        <v>11</v>
      </c>
      <c r="M918" t="n">
        <v/>
      </c>
      <c r="N918" t="inlineStr">
        <is>
          <t>Values must be of type &lt;class 'str'&gt;</t>
        </is>
      </c>
      <c r="O918" t="inlineStr">
        <is>
          <t>center</t>
        </is>
      </c>
      <c r="P918" t="n">
        <v/>
      </c>
      <c r="R918" t="b">
        <v>1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</row>
    <row r="919">
      <c r="A919" t="inlineStr">
        <is>
          <t>Assumptions Sheet</t>
        </is>
      </c>
      <c r="B919" t="inlineStr">
        <is>
          <t>Y67</t>
        </is>
      </c>
      <c r="C919" t="n">
        <v>67</v>
      </c>
      <c r="D919" t="n">
        <v>25</v>
      </c>
      <c r="E919" t="inlineStr">
        <is>
          <t>Input</t>
        </is>
      </c>
      <c r="F919" t="n">
        <v/>
      </c>
      <c r="G919" t="n">
        <v>3603.823861979279</v>
      </c>
      <c r="H919" t="inlineStr"/>
      <c r="I919" t="inlineStr">
        <is>
          <t>0</t>
        </is>
      </c>
      <c r="J919" t="b">
        <v>0</v>
      </c>
      <c r="K919" t="b">
        <v>0</v>
      </c>
      <c r="L919" t="n">
        <v>11</v>
      </c>
      <c r="M919" t="n">
        <v/>
      </c>
      <c r="N919" t="inlineStr">
        <is>
          <t>Values must be of type &lt;class 'str'&gt;</t>
        </is>
      </c>
      <c r="O919" t="inlineStr">
        <is>
          <t>center</t>
        </is>
      </c>
      <c r="P919" t="n">
        <v/>
      </c>
      <c r="R919" t="b">
        <v>1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</row>
    <row r="920">
      <c r="A920" t="inlineStr">
        <is>
          <t>Assumptions Sheet</t>
        </is>
      </c>
      <c r="B920" t="inlineStr">
        <is>
          <t>Z67</t>
        </is>
      </c>
      <c r="C920" t="n">
        <v>67</v>
      </c>
      <c r="D920" t="n">
        <v>26</v>
      </c>
      <c r="E920" t="inlineStr">
        <is>
          <t>Input</t>
        </is>
      </c>
      <c r="F920" t="n">
        <v/>
      </c>
      <c r="G920" t="n">
        <v>4594.734555818975</v>
      </c>
      <c r="H920" t="inlineStr"/>
      <c r="I920" t="inlineStr">
        <is>
          <t>0</t>
        </is>
      </c>
      <c r="J920" t="b">
        <v>0</v>
      </c>
      <c r="K920" t="b">
        <v>0</v>
      </c>
      <c r="L920" t="n">
        <v>11</v>
      </c>
      <c r="M920" t="n">
        <v/>
      </c>
      <c r="N920" t="inlineStr">
        <is>
          <t>Values must be of type &lt;class 'str'&gt;</t>
        </is>
      </c>
      <c r="O920" t="inlineStr">
        <is>
          <t>center</t>
        </is>
      </c>
      <c r="P920" t="n">
        <v/>
      </c>
      <c r="R920" t="b">
        <v>1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</row>
    <row r="921">
      <c r="A921" t="inlineStr">
        <is>
          <t>Assumptions Sheet</t>
        </is>
      </c>
      <c r="B921" t="inlineStr">
        <is>
          <t>D68</t>
        </is>
      </c>
      <c r="C921" t="n">
        <v>68</v>
      </c>
      <c r="D921" t="n">
        <v>4</v>
      </c>
      <c r="E921" t="inlineStr">
        <is>
          <t>Input</t>
        </is>
      </c>
      <c r="F921" t="n">
        <v/>
      </c>
      <c r="G921" t="n">
        <v>2011</v>
      </c>
      <c r="H921" t="inlineStr"/>
      <c r="I921" t="inlineStr">
        <is>
          <t>General</t>
        </is>
      </c>
      <c r="J921" t="b">
        <v>1</v>
      </c>
      <c r="K921" t="b">
        <v>0</v>
      </c>
      <c r="L921" t="n">
        <v>11</v>
      </c>
      <c r="M921" t="inlineStr">
        <is>
          <t>Values must be of type &lt;class 'str'&gt;</t>
        </is>
      </c>
      <c r="N921" t="inlineStr">
        <is>
          <t>Values must be of type &lt;class 'str'&gt;</t>
        </is>
      </c>
      <c r="O921" t="inlineStr">
        <is>
          <t>center</t>
        </is>
      </c>
      <c r="P921" t="n">
        <v/>
      </c>
      <c r="R921" t="b">
        <v>1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</row>
    <row r="922">
      <c r="A922" t="inlineStr">
        <is>
          <t>Assumptions Sheet</t>
        </is>
      </c>
      <c r="B922" t="inlineStr">
        <is>
          <t>E68</t>
        </is>
      </c>
      <c r="C922" t="n">
        <v>68</v>
      </c>
      <c r="D922" t="n">
        <v>5</v>
      </c>
      <c r="E922" t="inlineStr">
        <is>
          <t>Input</t>
        </is>
      </c>
      <c r="F922" t="n">
        <v/>
      </c>
      <c r="G922" t="n">
        <v>2012</v>
      </c>
      <c r="H922" t="inlineStr"/>
      <c r="I922" t="inlineStr">
        <is>
          <t>General</t>
        </is>
      </c>
      <c r="J922" t="b">
        <v>1</v>
      </c>
      <c r="K922" t="b">
        <v>0</v>
      </c>
      <c r="L922" t="n">
        <v>11</v>
      </c>
      <c r="M922" t="inlineStr">
        <is>
          <t>Values must be of type &lt;class 'str'&gt;</t>
        </is>
      </c>
      <c r="N922" t="inlineStr">
        <is>
          <t>Values must be of type &lt;class 'str'&gt;</t>
        </is>
      </c>
      <c r="O922" t="inlineStr">
        <is>
          <t>center</t>
        </is>
      </c>
      <c r="P922" t="n">
        <v/>
      </c>
      <c r="R922" t="b">
        <v>1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</row>
    <row r="923">
      <c r="A923" t="inlineStr">
        <is>
          <t>Assumptions Sheet</t>
        </is>
      </c>
      <c r="B923" t="inlineStr">
        <is>
          <t>F68</t>
        </is>
      </c>
      <c r="C923" t="n">
        <v>68</v>
      </c>
      <c r="D923" t="n">
        <v>6</v>
      </c>
      <c r="E923" t="inlineStr">
        <is>
          <t>Input</t>
        </is>
      </c>
      <c r="F923" t="n">
        <v/>
      </c>
      <c r="G923" t="n">
        <v>2013</v>
      </c>
      <c r="H923" t="inlineStr"/>
      <c r="I923" t="inlineStr">
        <is>
          <t>General</t>
        </is>
      </c>
      <c r="J923" t="b">
        <v>1</v>
      </c>
      <c r="K923" t="b">
        <v>0</v>
      </c>
      <c r="L923" t="n">
        <v>11</v>
      </c>
      <c r="M923" t="inlineStr">
        <is>
          <t>Values must be of type &lt;class 'str'&gt;</t>
        </is>
      </c>
      <c r="N923" t="inlineStr">
        <is>
          <t>Values must be of type &lt;class 'str'&gt;</t>
        </is>
      </c>
      <c r="O923" t="inlineStr">
        <is>
          <t>center</t>
        </is>
      </c>
      <c r="P923" t="n">
        <v/>
      </c>
      <c r="R923" t="b">
        <v>1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</row>
    <row r="924">
      <c r="A924" t="inlineStr">
        <is>
          <t>Assumptions Sheet</t>
        </is>
      </c>
      <c r="B924" t="inlineStr">
        <is>
          <t>G68</t>
        </is>
      </c>
      <c r="C924" t="n">
        <v>68</v>
      </c>
      <c r="D924" t="n">
        <v>7</v>
      </c>
      <c r="E924" t="inlineStr">
        <is>
          <t>Input</t>
        </is>
      </c>
      <c r="F924" t="n">
        <v/>
      </c>
      <c r="G924" t="n">
        <v>2014</v>
      </c>
      <c r="H924" t="inlineStr"/>
      <c r="I924" t="inlineStr">
        <is>
          <t>General</t>
        </is>
      </c>
      <c r="J924" t="b">
        <v>1</v>
      </c>
      <c r="K924" t="b">
        <v>0</v>
      </c>
      <c r="L924" t="n">
        <v>11</v>
      </c>
      <c r="M924" t="inlineStr">
        <is>
          <t>Values must be of type &lt;class 'str'&gt;</t>
        </is>
      </c>
      <c r="N924" t="inlineStr">
        <is>
          <t>Values must be of type &lt;class 'str'&gt;</t>
        </is>
      </c>
      <c r="O924" t="inlineStr">
        <is>
          <t>center</t>
        </is>
      </c>
      <c r="P924" t="n">
        <v/>
      </c>
      <c r="R924" t="b">
        <v>1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</row>
    <row r="925">
      <c r="A925" t="inlineStr">
        <is>
          <t>Assumptions Sheet</t>
        </is>
      </c>
      <c r="B925" t="inlineStr">
        <is>
          <t>U68</t>
        </is>
      </c>
      <c r="C925" t="n">
        <v>68</v>
      </c>
      <c r="D925" t="n">
        <v>21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11</v>
      </c>
      <c r="M925" t="inlineStr">
        <is>
          <t>Values must be of type &lt;class 'str'&gt;</t>
        </is>
      </c>
      <c r="N925" t="inlineStr">
        <is>
          <t>Values must be of type &lt;class 'str'&gt;</t>
        </is>
      </c>
      <c r="O925" t="inlineStr">
        <is>
          <t>left</t>
        </is>
      </c>
      <c r="P925" t="n">
        <v/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</row>
    <row r="926">
      <c r="A926" t="inlineStr">
        <is>
          <t>Assumptions Sheet</t>
        </is>
      </c>
      <c r="B926" t="inlineStr">
        <is>
          <t>V68</t>
        </is>
      </c>
      <c r="C926" t="n">
        <v>68</v>
      </c>
      <c r="D926" t="n">
        <v>22</v>
      </c>
      <c r="E926" t="inlineStr">
        <is>
          <t>Input</t>
        </is>
      </c>
      <c r="F926" t="n">
        <v/>
      </c>
      <c r="G926" t="n">
        <v>0.007805005941814668</v>
      </c>
      <c r="H926" t="inlineStr"/>
      <c r="I926" t="inlineStr">
        <is>
          <t>0.00%</t>
        </is>
      </c>
      <c r="J926" t="b">
        <v>0</v>
      </c>
      <c r="K926" t="b">
        <v>1</v>
      </c>
      <c r="L926" t="n">
        <v>11</v>
      </c>
      <c r="M926" t="n">
        <v/>
      </c>
      <c r="N926" t="inlineStr">
        <is>
          <t>Values must be of type &lt;class 'str'&gt;</t>
        </is>
      </c>
      <c r="O926" t="inlineStr">
        <is>
          <t>center</t>
        </is>
      </c>
      <c r="P926" t="n">
        <v/>
      </c>
      <c r="R926" t="b">
        <v>1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</row>
    <row r="927">
      <c r="A927" t="inlineStr">
        <is>
          <t>Assumptions Sheet</t>
        </is>
      </c>
      <c r="B927" t="inlineStr">
        <is>
          <t>W68</t>
        </is>
      </c>
      <c r="C927" t="n">
        <v>68</v>
      </c>
      <c r="D927" t="n">
        <v>23</v>
      </c>
      <c r="E927" t="inlineStr">
        <is>
          <t>Input</t>
        </is>
      </c>
      <c r="F927" t="n">
        <v/>
      </c>
      <c r="G927" t="n">
        <v>0.008405005941814668</v>
      </c>
      <c r="H927" t="inlineStr"/>
      <c r="I927" t="inlineStr">
        <is>
          <t>0.00%</t>
        </is>
      </c>
      <c r="J927" t="b">
        <v>0</v>
      </c>
      <c r="K927" t="b">
        <v>1</v>
      </c>
      <c r="L927" t="n">
        <v>11</v>
      </c>
      <c r="M927" t="n">
        <v/>
      </c>
      <c r="N927" t="inlineStr">
        <is>
          <t>Values must be of type &lt;class 'str'&gt;</t>
        </is>
      </c>
      <c r="O927" t="inlineStr">
        <is>
          <t>center</t>
        </is>
      </c>
      <c r="P927" t="n">
        <v/>
      </c>
      <c r="R927" t="b">
        <v>1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</row>
    <row r="928">
      <c r="A928" t="inlineStr">
        <is>
          <t>Assumptions Sheet</t>
        </is>
      </c>
      <c r="B928" t="inlineStr">
        <is>
          <t>X68</t>
        </is>
      </c>
      <c r="C928" t="n">
        <v>68</v>
      </c>
      <c r="D928" t="n">
        <v>24</v>
      </c>
      <c r="E928" t="inlineStr">
        <is>
          <t>Input</t>
        </is>
      </c>
      <c r="F928" t="n">
        <v/>
      </c>
      <c r="G928" t="n">
        <v>0.009005005941814668</v>
      </c>
      <c r="H928" t="inlineStr"/>
      <c r="I928" t="inlineStr">
        <is>
          <t>0.00%</t>
        </is>
      </c>
      <c r="J928" t="b">
        <v>0</v>
      </c>
      <c r="K928" t="b">
        <v>1</v>
      </c>
      <c r="L928" t="n">
        <v>11</v>
      </c>
      <c r="M928" t="n">
        <v/>
      </c>
      <c r="N928" t="inlineStr">
        <is>
          <t>Values must be of type &lt;class 'str'&gt;</t>
        </is>
      </c>
      <c r="O928" t="inlineStr">
        <is>
          <t>center</t>
        </is>
      </c>
      <c r="P928" t="n">
        <v/>
      </c>
      <c r="R928" t="b">
        <v>1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</row>
    <row r="929">
      <c r="A929" t="inlineStr">
        <is>
          <t>Assumptions Sheet</t>
        </is>
      </c>
      <c r="B929" t="inlineStr">
        <is>
          <t>Y68</t>
        </is>
      </c>
      <c r="C929" t="n">
        <v>68</v>
      </c>
      <c r="D929" t="n">
        <v>25</v>
      </c>
      <c r="E929" t="inlineStr">
        <is>
          <t>Input</t>
        </is>
      </c>
      <c r="F929" t="n">
        <v/>
      </c>
      <c r="G929" t="n">
        <v>0.009605005941814668</v>
      </c>
      <c r="H929" t="inlineStr"/>
      <c r="I929" t="inlineStr">
        <is>
          <t>0.00%</t>
        </is>
      </c>
      <c r="J929" t="b">
        <v>0</v>
      </c>
      <c r="K929" t="b">
        <v>1</v>
      </c>
      <c r="L929" t="n">
        <v>11</v>
      </c>
      <c r="M929" t="n">
        <v/>
      </c>
      <c r="N929" t="inlineStr">
        <is>
          <t>Values must be of type &lt;class 'str'&gt;</t>
        </is>
      </c>
      <c r="O929" t="inlineStr">
        <is>
          <t>center</t>
        </is>
      </c>
      <c r="P929" t="n">
        <v/>
      </c>
      <c r="R929" t="b">
        <v>1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</row>
    <row r="930">
      <c r="A930" t="inlineStr">
        <is>
          <t>Assumptions Sheet</t>
        </is>
      </c>
      <c r="B930" t="inlineStr">
        <is>
          <t>Z68</t>
        </is>
      </c>
      <c r="C930" t="n">
        <v>68</v>
      </c>
      <c r="D930" t="n">
        <v>26</v>
      </c>
      <c r="E930" t="inlineStr">
        <is>
          <t>Input</t>
        </is>
      </c>
      <c r="F930" t="n">
        <v/>
      </c>
      <c r="G930" t="n">
        <v>0.01020500594181467</v>
      </c>
      <c r="H930" t="inlineStr"/>
      <c r="I930" t="inlineStr">
        <is>
          <t>0.00%</t>
        </is>
      </c>
      <c r="J930" t="b">
        <v>0</v>
      </c>
      <c r="K930" t="b">
        <v>1</v>
      </c>
      <c r="L930" t="n">
        <v>11</v>
      </c>
      <c r="M930" t="n">
        <v/>
      </c>
      <c r="N930" t="inlineStr">
        <is>
          <t>Values must be of type &lt;class 'str'&gt;</t>
        </is>
      </c>
      <c r="O930" t="inlineStr">
        <is>
          <t>center</t>
        </is>
      </c>
      <c r="P930" t="n">
        <v/>
      </c>
      <c r="R930" t="b">
        <v>1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</row>
    <row r="931">
      <c r="A931" t="inlineStr">
        <is>
          <t>Assumptions Sheet</t>
        </is>
      </c>
      <c r="B931" t="inlineStr">
        <is>
          <t>B69</t>
        </is>
      </c>
      <c r="C931" t="n">
        <v>69</v>
      </c>
      <c r="D931" t="n">
        <v>2</v>
      </c>
      <c r="E931" t="inlineStr">
        <is>
          <t>Input</t>
        </is>
      </c>
      <c r="F931" t="n">
        <v/>
      </c>
      <c r="G931" t="inlineStr">
        <is>
          <t>Landing fee and en-route
charges</t>
        </is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11</v>
      </c>
      <c r="M931" t="inlineStr">
        <is>
          <t>Values must be of type &lt;class 'str'&gt;</t>
        </is>
      </c>
      <c r="N931" t="inlineStr">
        <is>
          <t>00000000</t>
        </is>
      </c>
      <c r="O931" t="n">
        <v/>
      </c>
      <c r="P931" t="n">
        <v/>
      </c>
      <c r="R931" t="b">
        <v>1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</row>
    <row r="932">
      <c r="A932" t="inlineStr">
        <is>
          <t>Assumptions Sheet</t>
        </is>
      </c>
      <c r="B932" t="inlineStr">
        <is>
          <t>C69</t>
        </is>
      </c>
      <c r="C932" t="n">
        <v>69</v>
      </c>
      <c r="D932" t="n">
        <v>3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11</v>
      </c>
      <c r="M932" t="inlineStr">
        <is>
          <t>Values must be of type &lt;class 'str'&gt;</t>
        </is>
      </c>
      <c r="N932" t="inlineStr">
        <is>
          <t>00000000</t>
        </is>
      </c>
      <c r="O932" t="n">
        <v/>
      </c>
      <c r="P932" t="n">
        <v/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</row>
    <row r="933">
      <c r="A933" t="inlineStr">
        <is>
          <t>Assumptions Sheet</t>
        </is>
      </c>
      <c r="B933" t="inlineStr">
        <is>
          <t>D69</t>
        </is>
      </c>
      <c r="C933" t="n">
        <v>69</v>
      </c>
      <c r="D933" t="n">
        <v>4</v>
      </c>
      <c r="E933" t="inlineStr">
        <is>
          <t>Input</t>
        </is>
      </c>
      <c r="F933" t="n">
        <v/>
      </c>
      <c r="G933" t="n">
        <v>2725.81</v>
      </c>
      <c r="H933" t="inlineStr"/>
      <c r="I933" t="inlineStr">
        <is>
          <t>#,##0.00</t>
        </is>
      </c>
      <c r="J933" t="b">
        <v>0</v>
      </c>
      <c r="K933" t="b">
        <v>0</v>
      </c>
      <c r="L933" t="n">
        <v>11</v>
      </c>
      <c r="M933" t="inlineStr">
        <is>
          <t>Values must be of type &lt;class 'str'&gt;</t>
        </is>
      </c>
      <c r="N933" t="inlineStr">
        <is>
          <t>00000000</t>
        </is>
      </c>
      <c r="O933" t="inlineStr">
        <is>
          <t>center</t>
        </is>
      </c>
      <c r="P933" t="n">
        <v/>
      </c>
      <c r="R933" t="b">
        <v>1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</row>
    <row r="934">
      <c r="A934" t="inlineStr">
        <is>
          <t>Assumptions Sheet</t>
        </is>
      </c>
      <c r="B934" t="inlineStr">
        <is>
          <t>E69</t>
        </is>
      </c>
      <c r="C934" t="n">
        <v>69</v>
      </c>
      <c r="D934" t="n">
        <v>5</v>
      </c>
      <c r="E934" t="inlineStr">
        <is>
          <t>Input</t>
        </is>
      </c>
      <c r="F934" t="n">
        <v/>
      </c>
      <c r="G934" t="n">
        <v>4066.52</v>
      </c>
      <c r="H934" t="inlineStr"/>
      <c r="I934" t="inlineStr">
        <is>
          <t>#,##0.00</t>
        </is>
      </c>
      <c r="J934" t="b">
        <v>0</v>
      </c>
      <c r="K934" t="b">
        <v>0</v>
      </c>
      <c r="L934" t="n">
        <v>11</v>
      </c>
      <c r="M934" t="inlineStr">
        <is>
          <t>Values must be of type &lt;class 'str'&gt;</t>
        </is>
      </c>
      <c r="N934" t="inlineStr">
        <is>
          <t>00000000</t>
        </is>
      </c>
      <c r="O934" t="inlineStr">
        <is>
          <t>center</t>
        </is>
      </c>
      <c r="P934" t="n">
        <v/>
      </c>
      <c r="R934" t="b">
        <v>1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</row>
    <row r="935">
      <c r="A935" t="inlineStr">
        <is>
          <t>Assumptions Sheet</t>
        </is>
      </c>
      <c r="B935" t="inlineStr">
        <is>
          <t>F69</t>
        </is>
      </c>
      <c r="C935" t="n">
        <v>69</v>
      </c>
      <c r="D935" t="n">
        <v>6</v>
      </c>
      <c r="E935" t="inlineStr">
        <is>
          <t>Input</t>
        </is>
      </c>
      <c r="F935" t="n">
        <v/>
      </c>
      <c r="G935" t="n">
        <v>6418.78</v>
      </c>
      <c r="H935" t="inlineStr"/>
      <c r="I935" t="inlineStr">
        <is>
          <t>#,##0.00</t>
        </is>
      </c>
      <c r="J935" t="b">
        <v>0</v>
      </c>
      <c r="K935" t="b">
        <v>0</v>
      </c>
      <c r="L935" t="n">
        <v>11</v>
      </c>
      <c r="M935" t="inlineStr">
        <is>
          <t>Values must be of type &lt;class 'str'&gt;</t>
        </is>
      </c>
      <c r="N935" t="inlineStr">
        <is>
          <t>00000000</t>
        </is>
      </c>
      <c r="O935" t="inlineStr">
        <is>
          <t>center</t>
        </is>
      </c>
      <c r="P935" t="n">
        <v/>
      </c>
      <c r="R935" t="b">
        <v>1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</row>
    <row r="936">
      <c r="A936" t="inlineStr">
        <is>
          <t>Assumptions Sheet</t>
        </is>
      </c>
      <c r="B936" t="inlineStr">
        <is>
          <t>G69</t>
        </is>
      </c>
      <c r="C936" t="n">
        <v>69</v>
      </c>
      <c r="D936" t="n">
        <v>7</v>
      </c>
      <c r="E936" t="inlineStr">
        <is>
          <t>Input</t>
        </is>
      </c>
      <c r="F936" t="n">
        <v/>
      </c>
      <c r="G936" t="n">
        <v>8794.309999999999</v>
      </c>
      <c r="H936" t="inlineStr"/>
      <c r="I936" t="inlineStr">
        <is>
          <t>#,##0.00</t>
        </is>
      </c>
      <c r="J936" t="b">
        <v>0</v>
      </c>
      <c r="K936" t="b">
        <v>0</v>
      </c>
      <c r="L936" t="n">
        <v>11</v>
      </c>
      <c r="M936" t="inlineStr">
        <is>
          <t>Values must be of type &lt;class 'str'&gt;</t>
        </is>
      </c>
      <c r="N936" t="inlineStr">
        <is>
          <t>00000000</t>
        </is>
      </c>
      <c r="O936" t="inlineStr">
        <is>
          <t>center</t>
        </is>
      </c>
      <c r="P936" t="n">
        <v/>
      </c>
      <c r="R936" t="b">
        <v>1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</row>
    <row r="937">
      <c r="A937" t="inlineStr">
        <is>
          <t>Assumptions Sheet</t>
        </is>
      </c>
      <c r="B937" t="inlineStr">
        <is>
          <t>I69</t>
        </is>
      </c>
      <c r="C937" t="n">
        <v>69</v>
      </c>
      <c r="D937" t="n">
        <v>9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11</v>
      </c>
      <c r="M937" t="inlineStr">
        <is>
          <t>Values must be of type &lt;class 'str'&gt;</t>
        </is>
      </c>
      <c r="N937" t="inlineStr">
        <is>
          <t>Values must be of type &lt;class 'str'&gt;</t>
        </is>
      </c>
      <c r="O937" t="inlineStr">
        <is>
          <t>center</t>
        </is>
      </c>
      <c r="P937" t="n">
        <v/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</row>
    <row r="938">
      <c r="A938" t="inlineStr">
        <is>
          <t>Assumptions Sheet</t>
        </is>
      </c>
      <c r="B938" t="inlineStr">
        <is>
          <t>J69</t>
        </is>
      </c>
      <c r="C938" t="n">
        <v>69</v>
      </c>
      <c r="D938" t="n">
        <v>10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11</v>
      </c>
      <c r="M938" t="inlineStr">
        <is>
          <t>FFFF0000</t>
        </is>
      </c>
      <c r="N938" t="inlineStr">
        <is>
          <t>Values must be of type &lt;class 'str'&gt;</t>
        </is>
      </c>
      <c r="O938" t="n">
        <v/>
      </c>
      <c r="P938" t="n">
        <v/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</row>
    <row r="939">
      <c r="A939" t="inlineStr">
        <is>
          <t>Assumptions Sheet</t>
        </is>
      </c>
      <c r="B939" t="inlineStr">
        <is>
          <t>P69</t>
        </is>
      </c>
      <c r="C939" t="n">
        <v>69</v>
      </c>
      <c r="D939" t="n">
        <v>16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11</v>
      </c>
      <c r="M939" t="inlineStr">
        <is>
          <t>Values must be of type &lt;class 'str'&gt;</t>
        </is>
      </c>
      <c r="N939" t="inlineStr">
        <is>
          <t>Values must be of type &lt;class 'str'&gt;</t>
        </is>
      </c>
      <c r="O939" t="n">
        <v/>
      </c>
      <c r="P939" t="n">
        <v/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</row>
    <row r="940">
      <c r="A940" t="inlineStr">
        <is>
          <t>Assumptions Sheet</t>
        </is>
      </c>
      <c r="B940" t="inlineStr">
        <is>
          <t>U69</t>
        </is>
      </c>
      <c r="C940" t="n">
        <v>69</v>
      </c>
      <c r="D940" t="n">
        <v>21</v>
      </c>
      <c r="E940" t="inlineStr">
        <is>
          <t>Input</t>
        </is>
      </c>
      <c r="F940" t="n">
        <v/>
      </c>
      <c r="G940" t="inlineStr">
        <is>
          <t>Other Income</t>
        </is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11</v>
      </c>
      <c r="M940" t="inlineStr">
        <is>
          <t>Values must be of type &lt;class 'str'&gt;</t>
        </is>
      </c>
      <c r="N940" t="inlineStr">
        <is>
          <t>Values must be of type &lt;class 'str'&gt;</t>
        </is>
      </c>
      <c r="O940" t="inlineStr">
        <is>
          <t>left</t>
        </is>
      </c>
      <c r="P940" t="n">
        <v/>
      </c>
      <c r="R940" t="b">
        <v>1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</row>
    <row r="941">
      <c r="A941" t="inlineStr">
        <is>
          <t>Assumptions Sheet</t>
        </is>
      </c>
      <c r="B941" t="inlineStr">
        <is>
          <t>V69</t>
        </is>
      </c>
      <c r="C941" t="n">
        <v>69</v>
      </c>
      <c r="D941" t="n">
        <v>22</v>
      </c>
      <c r="E941" t="inlineStr">
        <is>
          <t>Input</t>
        </is>
      </c>
      <c r="F941" t="n">
        <v/>
      </c>
      <c r="G941" t="n">
        <v>6513.935219999998</v>
      </c>
      <c r="H941" t="inlineStr"/>
      <c r="I941" t="inlineStr">
        <is>
          <t>0</t>
        </is>
      </c>
      <c r="J941" t="b">
        <v>0</v>
      </c>
      <c r="K941" t="b">
        <v>0</v>
      </c>
      <c r="L941" t="n">
        <v>11</v>
      </c>
      <c r="M941" t="n">
        <v/>
      </c>
      <c r="N941" t="inlineStr">
        <is>
          <t>Values must be of type &lt;class 'str'&gt;</t>
        </is>
      </c>
      <c r="O941" t="inlineStr">
        <is>
          <t>center</t>
        </is>
      </c>
      <c r="P941" t="n">
        <v/>
      </c>
      <c r="R941" t="b">
        <v>1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</row>
    <row r="942">
      <c r="A942" t="inlineStr">
        <is>
          <t>Assumptions Sheet</t>
        </is>
      </c>
      <c r="B942" t="inlineStr">
        <is>
          <t>W69</t>
        </is>
      </c>
      <c r="C942" t="n">
        <v>69</v>
      </c>
      <c r="D942" t="n">
        <v>23</v>
      </c>
      <c r="E942" t="inlineStr">
        <is>
          <t>Input</t>
        </is>
      </c>
      <c r="F942" t="n">
        <v/>
      </c>
      <c r="G942" t="n">
        <v>7816.722263999998</v>
      </c>
      <c r="H942" t="inlineStr"/>
      <c r="I942" t="inlineStr">
        <is>
          <t>0</t>
        </is>
      </c>
      <c r="J942" t="b">
        <v>0</v>
      </c>
      <c r="K942" t="b">
        <v>0</v>
      </c>
      <c r="L942" t="n">
        <v>11</v>
      </c>
      <c r="M942" t="n">
        <v/>
      </c>
      <c r="N942" t="inlineStr">
        <is>
          <t>Values must be of type &lt;class 'str'&gt;</t>
        </is>
      </c>
      <c r="O942" t="inlineStr">
        <is>
          <t>center</t>
        </is>
      </c>
      <c r="P942" t="n">
        <v/>
      </c>
      <c r="R942" t="b">
        <v>1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</row>
    <row r="943">
      <c r="A943" t="inlineStr">
        <is>
          <t>Assumptions Sheet</t>
        </is>
      </c>
      <c r="B943" t="inlineStr">
        <is>
          <t>X69</t>
        </is>
      </c>
      <c r="C943" t="n">
        <v>69</v>
      </c>
      <c r="D943" t="n">
        <v>24</v>
      </c>
      <c r="E943" t="inlineStr">
        <is>
          <t>Input</t>
        </is>
      </c>
      <c r="F943" t="n">
        <v/>
      </c>
      <c r="G943" t="n">
        <v>9380.066716799996</v>
      </c>
      <c r="H943" t="inlineStr"/>
      <c r="I943" t="inlineStr">
        <is>
          <t>0</t>
        </is>
      </c>
      <c r="J943" t="b">
        <v>0</v>
      </c>
      <c r="K943" t="b">
        <v>0</v>
      </c>
      <c r="L943" t="n">
        <v>11</v>
      </c>
      <c r="M943" t="n">
        <v/>
      </c>
      <c r="N943" t="inlineStr">
        <is>
          <t>Values must be of type &lt;class 'str'&gt;</t>
        </is>
      </c>
      <c r="O943" t="inlineStr">
        <is>
          <t>center</t>
        </is>
      </c>
      <c r="P943" t="n">
        <v/>
      </c>
      <c r="R943" t="b">
        <v>1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</row>
    <row r="944">
      <c r="A944" t="inlineStr">
        <is>
          <t>Assumptions Sheet</t>
        </is>
      </c>
      <c r="B944" t="inlineStr">
        <is>
          <t>Y69</t>
        </is>
      </c>
      <c r="C944" t="n">
        <v>69</v>
      </c>
      <c r="D944" t="n">
        <v>25</v>
      </c>
      <c r="E944" t="inlineStr">
        <is>
          <t>Input</t>
        </is>
      </c>
      <c r="F944" t="n">
        <v/>
      </c>
      <c r="G944" t="n">
        <v>11256.08006016</v>
      </c>
      <c r="H944" t="inlineStr"/>
      <c r="I944" t="inlineStr">
        <is>
          <t>0</t>
        </is>
      </c>
      <c r="J944" t="b">
        <v>0</v>
      </c>
      <c r="K944" t="b">
        <v>0</v>
      </c>
      <c r="L944" t="n">
        <v>11</v>
      </c>
      <c r="M944" t="n">
        <v/>
      </c>
      <c r="N944" t="inlineStr">
        <is>
          <t>Values must be of type &lt;class 'str'&gt;</t>
        </is>
      </c>
      <c r="O944" t="inlineStr">
        <is>
          <t>center</t>
        </is>
      </c>
      <c r="P944" t="n">
        <v/>
      </c>
      <c r="R944" t="b">
        <v>1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</row>
    <row r="945">
      <c r="A945" t="inlineStr">
        <is>
          <t>Assumptions Sheet</t>
        </is>
      </c>
      <c r="B945" t="inlineStr">
        <is>
          <t>Z69</t>
        </is>
      </c>
      <c r="C945" t="n">
        <v>69</v>
      </c>
      <c r="D945" t="n">
        <v>26</v>
      </c>
      <c r="E945" t="inlineStr">
        <is>
          <t>Input</t>
        </is>
      </c>
      <c r="F945" t="n">
        <v/>
      </c>
      <c r="G945" t="n">
        <v>13507.296072192</v>
      </c>
      <c r="H945" t="inlineStr"/>
      <c r="I945" t="inlineStr">
        <is>
          <t>0</t>
        </is>
      </c>
      <c r="J945" t="b">
        <v>0</v>
      </c>
      <c r="K945" t="b">
        <v>0</v>
      </c>
      <c r="L945" t="n">
        <v>11</v>
      </c>
      <c r="M945" t="n">
        <v/>
      </c>
      <c r="N945" t="inlineStr">
        <is>
          <t>Values must be of type &lt;class 'str'&gt;</t>
        </is>
      </c>
      <c r="O945" t="inlineStr">
        <is>
          <t>center</t>
        </is>
      </c>
      <c r="P945" t="n">
        <v/>
      </c>
      <c r="R945" t="b">
        <v>1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</row>
    <row r="946">
      <c r="A946" t="inlineStr">
        <is>
          <t>Assumptions Sheet</t>
        </is>
      </c>
      <c r="B946" t="inlineStr">
        <is>
          <t>B70</t>
        </is>
      </c>
      <c r="C946" t="n">
        <v>70</v>
      </c>
      <c r="D946" t="n">
        <v>2</v>
      </c>
      <c r="E946" t="inlineStr">
        <is>
          <t>Input</t>
        </is>
      </c>
      <c r="F946" t="n">
        <v/>
      </c>
      <c r="G946" t="inlineStr">
        <is>
          <t>Maintenance Cost</t>
        </is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11</v>
      </c>
      <c r="M946" t="inlineStr">
        <is>
          <t>Values must be of type &lt;class 'str'&gt;</t>
        </is>
      </c>
      <c r="N946" t="inlineStr">
        <is>
          <t>00000000</t>
        </is>
      </c>
      <c r="O946" t="n">
        <v/>
      </c>
      <c r="P946" t="n">
        <v/>
      </c>
      <c r="Q946" t="b">
        <v>1</v>
      </c>
      <c r="R946" t="b">
        <v>1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</row>
    <row r="947">
      <c r="A947" t="inlineStr">
        <is>
          <t>Assumptions Sheet</t>
        </is>
      </c>
      <c r="B947" t="inlineStr">
        <is>
          <t>C70</t>
        </is>
      </c>
      <c r="C947" t="n">
        <v>70</v>
      </c>
      <c r="D947" t="n">
        <v>3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11</v>
      </c>
      <c r="M947" t="inlineStr">
        <is>
          <t>Values must be of type &lt;class 'str'&gt;</t>
        </is>
      </c>
      <c r="N947" t="inlineStr">
        <is>
          <t>00000000</t>
        </is>
      </c>
      <c r="O947" t="n">
        <v/>
      </c>
      <c r="P947" t="n">
        <v/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</row>
    <row r="948">
      <c r="A948" t="inlineStr">
        <is>
          <t>Assumptions Sheet</t>
        </is>
      </c>
      <c r="B948" t="inlineStr">
        <is>
          <t>D70</t>
        </is>
      </c>
      <c r="C948" t="n">
        <v>70</v>
      </c>
      <c r="D948" t="n">
        <v>4</v>
      </c>
      <c r="E948" t="inlineStr">
        <is>
          <t>Input</t>
        </is>
      </c>
      <c r="F948" t="n">
        <v/>
      </c>
      <c r="G948" t="n">
        <v>955.0700000000001</v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11</v>
      </c>
      <c r="M948" t="inlineStr">
        <is>
          <t>Values must be of type &lt;class 'str'&gt;</t>
        </is>
      </c>
      <c r="N948" t="inlineStr">
        <is>
          <t>00000000</t>
        </is>
      </c>
      <c r="O948" t="inlineStr">
        <is>
          <t>center</t>
        </is>
      </c>
      <c r="P948" t="n">
        <v/>
      </c>
      <c r="R948" t="b">
        <v>1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</row>
    <row r="949">
      <c r="A949" t="inlineStr">
        <is>
          <t>Assumptions Sheet</t>
        </is>
      </c>
      <c r="B949" t="inlineStr">
        <is>
          <t>E70</t>
        </is>
      </c>
      <c r="C949" t="n">
        <v>70</v>
      </c>
      <c r="D949" t="n">
        <v>5</v>
      </c>
      <c r="E949" t="inlineStr">
        <is>
          <t>Input</t>
        </is>
      </c>
      <c r="F949" t="n">
        <v/>
      </c>
      <c r="G949" t="n">
        <v>1574.29</v>
      </c>
      <c r="H949" t="inlineStr"/>
      <c r="I949" t="inlineStr">
        <is>
          <t>#,##0.00</t>
        </is>
      </c>
      <c r="J949" t="b">
        <v>0</v>
      </c>
      <c r="K949" t="b">
        <v>0</v>
      </c>
      <c r="L949" t="n">
        <v>11</v>
      </c>
      <c r="M949" t="inlineStr">
        <is>
          <t>Values must be of type &lt;class 'str'&gt;</t>
        </is>
      </c>
      <c r="N949" t="inlineStr">
        <is>
          <t>00000000</t>
        </is>
      </c>
      <c r="O949" t="inlineStr">
        <is>
          <t>center</t>
        </is>
      </c>
      <c r="P949" t="n">
        <v/>
      </c>
      <c r="R949" t="b">
        <v>1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</row>
    <row r="950">
      <c r="A950" t="inlineStr">
        <is>
          <t>Assumptions Sheet</t>
        </is>
      </c>
      <c r="B950" t="inlineStr">
        <is>
          <t>F70</t>
        </is>
      </c>
      <c r="C950" t="n">
        <v>70</v>
      </c>
      <c r="D950" t="n">
        <v>6</v>
      </c>
      <c r="E950" t="inlineStr">
        <is>
          <t>Input</t>
        </is>
      </c>
      <c r="F950" t="n">
        <v/>
      </c>
      <c r="G950" t="n">
        <v>2617.47</v>
      </c>
      <c r="H950" t="inlineStr"/>
      <c r="I950" t="inlineStr">
        <is>
          <t>#,##0.00</t>
        </is>
      </c>
      <c r="J950" t="b">
        <v>0</v>
      </c>
      <c r="K950" t="b">
        <v>0</v>
      </c>
      <c r="L950" t="n">
        <v>11</v>
      </c>
      <c r="M950" t="inlineStr">
        <is>
          <t>Values must be of type &lt;class 'str'&gt;</t>
        </is>
      </c>
      <c r="N950" t="inlineStr">
        <is>
          <t>00000000</t>
        </is>
      </c>
      <c r="O950" t="inlineStr">
        <is>
          <t>center</t>
        </is>
      </c>
      <c r="P950" t="n">
        <v/>
      </c>
      <c r="R950" t="b">
        <v>1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</row>
    <row r="951">
      <c r="A951" t="inlineStr">
        <is>
          <t>Assumptions Sheet</t>
        </is>
      </c>
      <c r="B951" t="inlineStr">
        <is>
          <t>G70</t>
        </is>
      </c>
      <c r="C951" t="n">
        <v>70</v>
      </c>
      <c r="D951" t="n">
        <v>7</v>
      </c>
      <c r="E951" t="inlineStr">
        <is>
          <t>Input</t>
        </is>
      </c>
      <c r="F951" t="n">
        <v/>
      </c>
      <c r="G951" t="n">
        <v>3167.07</v>
      </c>
      <c r="H951" t="inlineStr"/>
      <c r="I951" t="inlineStr">
        <is>
          <t>#,##0.00</t>
        </is>
      </c>
      <c r="J951" t="b">
        <v>0</v>
      </c>
      <c r="K951" t="b">
        <v>0</v>
      </c>
      <c r="L951" t="n">
        <v>11</v>
      </c>
      <c r="M951" t="inlineStr">
        <is>
          <t>Values must be of type &lt;class 'str'&gt;</t>
        </is>
      </c>
      <c r="N951" t="inlineStr">
        <is>
          <t>00000000</t>
        </is>
      </c>
      <c r="O951" t="inlineStr">
        <is>
          <t>center</t>
        </is>
      </c>
      <c r="P951" t="n">
        <v/>
      </c>
      <c r="R951" t="b">
        <v>1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</row>
    <row r="952">
      <c r="A952" t="inlineStr">
        <is>
          <t>Assumptions Sheet</t>
        </is>
      </c>
      <c r="B952" t="inlineStr">
        <is>
          <t>I70</t>
        </is>
      </c>
      <c r="C952" t="n">
        <v>70</v>
      </c>
      <c r="D952" t="n">
        <v>9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11</v>
      </c>
      <c r="M952" t="inlineStr">
        <is>
          <t>Values must be of type &lt;class 'str'&gt;</t>
        </is>
      </c>
      <c r="N952" t="inlineStr">
        <is>
          <t>Values must be of type &lt;class 'str'&gt;</t>
        </is>
      </c>
      <c r="O952" t="inlineStr">
        <is>
          <t>center</t>
        </is>
      </c>
      <c r="P952" t="n">
        <v/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</row>
    <row r="953">
      <c r="A953" t="inlineStr">
        <is>
          <t>Assumptions Sheet</t>
        </is>
      </c>
      <c r="B953" t="inlineStr">
        <is>
          <t>J70</t>
        </is>
      </c>
      <c r="C953" t="n">
        <v>70</v>
      </c>
      <c r="D953" t="n">
        <v>10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11</v>
      </c>
      <c r="M953" t="inlineStr">
        <is>
          <t>FFFF0000</t>
        </is>
      </c>
      <c r="N953" t="inlineStr">
        <is>
          <t>Values must be of type &lt;class 'str'&gt;</t>
        </is>
      </c>
      <c r="O953" t="n">
        <v/>
      </c>
      <c r="P953" t="n">
        <v/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</row>
    <row r="954">
      <c r="A954" t="inlineStr">
        <is>
          <t>Assumptions Sheet</t>
        </is>
      </c>
      <c r="B954" t="inlineStr">
        <is>
          <t>P70</t>
        </is>
      </c>
      <c r="C954" t="n">
        <v>70</v>
      </c>
      <c r="D954" t="n">
        <v>16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11</v>
      </c>
      <c r="M954" t="inlineStr">
        <is>
          <t>Values must be of type &lt;class 'str'&gt;</t>
        </is>
      </c>
      <c r="N954" t="inlineStr">
        <is>
          <t>Values must be of type &lt;class 'str'&gt;</t>
        </is>
      </c>
      <c r="O954" t="n">
        <v/>
      </c>
      <c r="P954" t="n">
        <v/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</row>
    <row r="955">
      <c r="A955" t="inlineStr">
        <is>
          <t>Assumptions Sheet</t>
        </is>
      </c>
      <c r="B955" t="inlineStr">
        <is>
          <t>U70</t>
        </is>
      </c>
      <c r="C955" t="n">
        <v>70</v>
      </c>
      <c r="D955" t="n">
        <v>21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11</v>
      </c>
      <c r="M955" t="inlineStr">
        <is>
          <t>Values must be of type &lt;class 'str'&gt;</t>
        </is>
      </c>
      <c r="N955" t="inlineStr">
        <is>
          <t>Values must be of type &lt;class 'str'&gt;</t>
        </is>
      </c>
      <c r="O955" t="inlineStr">
        <is>
          <t>left</t>
        </is>
      </c>
      <c r="P955" t="n">
        <v/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</row>
    <row r="956">
      <c r="A956" t="inlineStr">
        <is>
          <t>Assumptions Sheet</t>
        </is>
      </c>
      <c r="B956" t="inlineStr">
        <is>
          <t>V70</t>
        </is>
      </c>
      <c r="C956" t="n">
        <v>70</v>
      </c>
      <c r="D956" t="n">
        <v>22</v>
      </c>
      <c r="E956" t="inlineStr">
        <is>
          <t>Input</t>
        </is>
      </c>
      <c r="F956" t="n">
        <v/>
      </c>
      <c r="G956" t="n">
        <v>0.03</v>
      </c>
      <c r="H956" t="inlineStr"/>
      <c r="I956" t="inlineStr">
        <is>
          <t>0.00%</t>
        </is>
      </c>
      <c r="J956" t="b">
        <v>0</v>
      </c>
      <c r="K956" t="b">
        <v>1</v>
      </c>
      <c r="L956" t="n">
        <v>11</v>
      </c>
      <c r="M956" t="n">
        <v/>
      </c>
      <c r="N956" t="inlineStr">
        <is>
          <t>Values must be of type &lt;class 'str'&gt;</t>
        </is>
      </c>
      <c r="O956" t="inlineStr">
        <is>
          <t>center</t>
        </is>
      </c>
      <c r="P956" t="n">
        <v/>
      </c>
      <c r="R956" t="b">
        <v>1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</row>
    <row r="957">
      <c r="A957" t="inlineStr">
        <is>
          <t>Assumptions Sheet</t>
        </is>
      </c>
      <c r="B957" t="inlineStr">
        <is>
          <t>W70</t>
        </is>
      </c>
      <c r="C957" t="n">
        <v>70</v>
      </c>
      <c r="D957" t="n">
        <v>23</v>
      </c>
      <c r="E957" t="inlineStr">
        <is>
          <t>Input</t>
        </is>
      </c>
      <c r="F957" t="n">
        <v/>
      </c>
      <c r="G957" t="n">
        <v>0.03</v>
      </c>
      <c r="H957" t="inlineStr"/>
      <c r="I957" t="inlineStr">
        <is>
          <t>0.00%</t>
        </is>
      </c>
      <c r="J957" t="b">
        <v>0</v>
      </c>
      <c r="K957" t="b">
        <v>1</v>
      </c>
      <c r="L957" t="n">
        <v>11</v>
      </c>
      <c r="M957" t="n">
        <v/>
      </c>
      <c r="N957" t="inlineStr">
        <is>
          <t>Values must be of type &lt;class 'str'&gt;</t>
        </is>
      </c>
      <c r="O957" t="inlineStr">
        <is>
          <t>center</t>
        </is>
      </c>
      <c r="P957" t="n">
        <v/>
      </c>
      <c r="R957" t="b">
        <v>1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</row>
    <row r="958">
      <c r="A958" t="inlineStr">
        <is>
          <t>Assumptions Sheet</t>
        </is>
      </c>
      <c r="B958" t="inlineStr">
        <is>
          <t>X70</t>
        </is>
      </c>
      <c r="C958" t="n">
        <v>70</v>
      </c>
      <c r="D958" t="n">
        <v>24</v>
      </c>
      <c r="E958" t="inlineStr">
        <is>
          <t>Input</t>
        </is>
      </c>
      <c r="F958" t="n">
        <v/>
      </c>
      <c r="G958" t="n">
        <v>0.03</v>
      </c>
      <c r="H958" t="inlineStr"/>
      <c r="I958" t="inlineStr">
        <is>
          <t>0.00%</t>
        </is>
      </c>
      <c r="J958" t="b">
        <v>0</v>
      </c>
      <c r="K958" t="b">
        <v>1</v>
      </c>
      <c r="L958" t="n">
        <v>11</v>
      </c>
      <c r="M958" t="n">
        <v/>
      </c>
      <c r="N958" t="inlineStr">
        <is>
          <t>Values must be of type &lt;class 'str'&gt;</t>
        </is>
      </c>
      <c r="O958" t="inlineStr">
        <is>
          <t>center</t>
        </is>
      </c>
      <c r="P958" t="n">
        <v/>
      </c>
      <c r="R958" t="b">
        <v>1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</row>
    <row r="959">
      <c r="A959" t="inlineStr">
        <is>
          <t>Assumptions Sheet</t>
        </is>
      </c>
      <c r="B959" t="inlineStr">
        <is>
          <t>Y70</t>
        </is>
      </c>
      <c r="C959" t="n">
        <v>70</v>
      </c>
      <c r="D959" t="n">
        <v>25</v>
      </c>
      <c r="E959" t="inlineStr">
        <is>
          <t>Input</t>
        </is>
      </c>
      <c r="F959" t="n">
        <v/>
      </c>
      <c r="G959" t="n">
        <v>0.03</v>
      </c>
      <c r="H959" t="inlineStr"/>
      <c r="I959" t="inlineStr">
        <is>
          <t>0.00%</t>
        </is>
      </c>
      <c r="J959" t="b">
        <v>0</v>
      </c>
      <c r="K959" t="b">
        <v>1</v>
      </c>
      <c r="L959" t="n">
        <v>11</v>
      </c>
      <c r="M959" t="n">
        <v/>
      </c>
      <c r="N959" t="inlineStr">
        <is>
          <t>Values must be of type &lt;class 'str'&gt;</t>
        </is>
      </c>
      <c r="O959" t="inlineStr">
        <is>
          <t>center</t>
        </is>
      </c>
      <c r="P959" t="n">
        <v/>
      </c>
      <c r="R959" t="b">
        <v>1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</row>
    <row r="960">
      <c r="A960" t="inlineStr">
        <is>
          <t>Assumptions Sheet</t>
        </is>
      </c>
      <c r="B960" t="inlineStr">
        <is>
          <t>Z70</t>
        </is>
      </c>
      <c r="C960" t="n">
        <v>70</v>
      </c>
      <c r="D960" t="n">
        <v>26</v>
      </c>
      <c r="E960" t="inlineStr">
        <is>
          <t>Input</t>
        </is>
      </c>
      <c r="F960" t="n">
        <v/>
      </c>
      <c r="G960" t="n">
        <v>0.03</v>
      </c>
      <c r="H960" t="inlineStr"/>
      <c r="I960" t="inlineStr">
        <is>
          <t>0.00%</t>
        </is>
      </c>
      <c r="J960" t="b">
        <v>0</v>
      </c>
      <c r="K960" t="b">
        <v>1</v>
      </c>
      <c r="L960" t="n">
        <v>11</v>
      </c>
      <c r="M960" t="n">
        <v/>
      </c>
      <c r="N960" t="inlineStr">
        <is>
          <t>Values must be of type &lt;class 'str'&gt;</t>
        </is>
      </c>
      <c r="O960" t="inlineStr">
        <is>
          <t>center</t>
        </is>
      </c>
      <c r="P960" t="n">
        <v/>
      </c>
      <c r="R960" t="b">
        <v>1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</row>
    <row r="961">
      <c r="A961" t="inlineStr">
        <is>
          <t>Assumptions Sheet</t>
        </is>
      </c>
      <c r="B961" t="inlineStr">
        <is>
          <t>B71</t>
        </is>
      </c>
      <c r="C961" t="n">
        <v>71</v>
      </c>
      <c r="D961" t="n">
        <v>2</v>
      </c>
      <c r="E961" t="inlineStr">
        <is>
          <t>Input</t>
        </is>
      </c>
      <c r="F961" t="n">
        <v/>
      </c>
      <c r="G961" t="inlineStr">
        <is>
          <t>Selling and Distribution
Cost</t>
        </is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11</v>
      </c>
      <c r="M961" t="inlineStr">
        <is>
          <t>Values must be of type &lt;class 'str'&gt;</t>
        </is>
      </c>
      <c r="N961" t="inlineStr">
        <is>
          <t>00000000</t>
        </is>
      </c>
      <c r="O961" t="n">
        <v/>
      </c>
      <c r="P961" t="n">
        <v/>
      </c>
      <c r="R961" t="b">
        <v>1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</row>
    <row r="962">
      <c r="A962" t="inlineStr">
        <is>
          <t>Assumptions Sheet</t>
        </is>
      </c>
      <c r="B962" t="inlineStr">
        <is>
          <t>C71</t>
        </is>
      </c>
      <c r="C962" t="n">
        <v>71</v>
      </c>
      <c r="D962" t="n">
        <v>3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11</v>
      </c>
      <c r="M962" t="inlineStr">
        <is>
          <t>Values must be of type &lt;class 'str'&gt;</t>
        </is>
      </c>
      <c r="N962" t="inlineStr">
        <is>
          <t>00000000</t>
        </is>
      </c>
      <c r="O962" t="n">
        <v/>
      </c>
      <c r="P962" t="n">
        <v/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</row>
    <row r="963">
      <c r="A963" t="inlineStr">
        <is>
          <t>Assumptions Sheet</t>
        </is>
      </c>
      <c r="B963" t="inlineStr">
        <is>
          <t>D71</t>
        </is>
      </c>
      <c r="C963" t="n">
        <v>71</v>
      </c>
      <c r="D963" t="n">
        <v>4</v>
      </c>
      <c r="E963" t="inlineStr">
        <is>
          <t>Input</t>
        </is>
      </c>
      <c r="F963" t="n">
        <v/>
      </c>
      <c r="G963" t="n">
        <v>3119.38</v>
      </c>
      <c r="H963" t="inlineStr"/>
      <c r="I963" t="inlineStr">
        <is>
          <t>#,##0.00</t>
        </is>
      </c>
      <c r="J963" t="b">
        <v>0</v>
      </c>
      <c r="K963" t="b">
        <v>0</v>
      </c>
      <c r="L963" t="n">
        <v>11</v>
      </c>
      <c r="M963" t="inlineStr">
        <is>
          <t>Values must be of type &lt;class 'str'&gt;</t>
        </is>
      </c>
      <c r="N963" t="inlineStr">
        <is>
          <t>00000000</t>
        </is>
      </c>
      <c r="O963" t="inlineStr">
        <is>
          <t>center</t>
        </is>
      </c>
      <c r="P963" t="n">
        <v/>
      </c>
      <c r="R963" t="b">
        <v>1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</row>
    <row r="964">
      <c r="A964" t="inlineStr">
        <is>
          <t>Assumptions Sheet</t>
        </is>
      </c>
      <c r="B964" t="inlineStr">
        <is>
          <t>E71</t>
        </is>
      </c>
      <c r="C964" t="n">
        <v>71</v>
      </c>
      <c r="D964" t="n">
        <v>5</v>
      </c>
      <c r="E964" t="inlineStr">
        <is>
          <t>Input</t>
        </is>
      </c>
      <c r="F964" t="n">
        <v/>
      </c>
      <c r="G964" t="n">
        <v>4195.32</v>
      </c>
      <c r="H964" t="inlineStr"/>
      <c r="I964" t="inlineStr">
        <is>
          <t>#,##0.00</t>
        </is>
      </c>
      <c r="J964" t="b">
        <v>0</v>
      </c>
      <c r="K964" t="b">
        <v>0</v>
      </c>
      <c r="L964" t="n">
        <v>11</v>
      </c>
      <c r="M964" t="inlineStr">
        <is>
          <t>Values must be of type &lt;class 'str'&gt;</t>
        </is>
      </c>
      <c r="N964" t="inlineStr">
        <is>
          <t>00000000</t>
        </is>
      </c>
      <c r="O964" t="inlineStr">
        <is>
          <t>center</t>
        </is>
      </c>
      <c r="P964" t="n">
        <v/>
      </c>
      <c r="R964" t="b">
        <v>1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</row>
    <row r="965">
      <c r="A965" t="inlineStr">
        <is>
          <t>Assumptions Sheet</t>
        </is>
      </c>
      <c r="B965" t="inlineStr">
        <is>
          <t>F71</t>
        </is>
      </c>
      <c r="C965" t="n">
        <v>71</v>
      </c>
      <c r="D965" t="n">
        <v>6</v>
      </c>
      <c r="E965" t="inlineStr">
        <is>
          <t>Input</t>
        </is>
      </c>
      <c r="F965" t="n">
        <v/>
      </c>
      <c r="G965" t="n">
        <v>5564.58</v>
      </c>
      <c r="H965" t="inlineStr"/>
      <c r="I965" t="inlineStr">
        <is>
          <t>#,##0.00</t>
        </is>
      </c>
      <c r="J965" t="b">
        <v>0</v>
      </c>
      <c r="K965" t="b">
        <v>0</v>
      </c>
      <c r="L965" t="n">
        <v>11</v>
      </c>
      <c r="M965" t="inlineStr">
        <is>
          <t>Values must be of type &lt;class 'str'&gt;</t>
        </is>
      </c>
      <c r="N965" t="inlineStr">
        <is>
          <t>00000000</t>
        </is>
      </c>
      <c r="O965" t="inlineStr">
        <is>
          <t>center</t>
        </is>
      </c>
      <c r="P965" t="n">
        <v/>
      </c>
      <c r="R965" t="b">
        <v>1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</row>
    <row r="966">
      <c r="A966" t="inlineStr">
        <is>
          <t>Assumptions Sheet</t>
        </is>
      </c>
      <c r="B966" t="inlineStr">
        <is>
          <t>G71</t>
        </is>
      </c>
      <c r="C966" t="n">
        <v>71</v>
      </c>
      <c r="D966" t="n">
        <v>7</v>
      </c>
      <c r="E966" t="inlineStr">
        <is>
          <t>Input</t>
        </is>
      </c>
      <c r="F966" t="n">
        <v/>
      </c>
      <c r="G966" t="n">
        <v>6945.46</v>
      </c>
      <c r="H966" t="inlineStr"/>
      <c r="I966" t="inlineStr">
        <is>
          <t>#,##0.00</t>
        </is>
      </c>
      <c r="J966" t="b">
        <v>0</v>
      </c>
      <c r="K966" t="b">
        <v>0</v>
      </c>
      <c r="L966" t="n">
        <v>11</v>
      </c>
      <c r="M966" t="inlineStr">
        <is>
          <t>Values must be of type &lt;class 'str'&gt;</t>
        </is>
      </c>
      <c r="N966" t="inlineStr">
        <is>
          <t>00000000</t>
        </is>
      </c>
      <c r="O966" t="inlineStr">
        <is>
          <t>center</t>
        </is>
      </c>
      <c r="P966" t="n">
        <v/>
      </c>
      <c r="R966" t="b">
        <v>1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</row>
    <row r="967">
      <c r="A967" t="inlineStr">
        <is>
          <t>Assumptions Sheet</t>
        </is>
      </c>
      <c r="B967" t="inlineStr">
        <is>
          <t>I71</t>
        </is>
      </c>
      <c r="C967" t="n">
        <v>71</v>
      </c>
      <c r="D967" t="n">
        <v>9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11</v>
      </c>
      <c r="M967" t="inlineStr">
        <is>
          <t>Values must be of type &lt;class 'str'&gt;</t>
        </is>
      </c>
      <c r="N967" t="inlineStr">
        <is>
          <t>Values must be of type &lt;class 'str'&gt;</t>
        </is>
      </c>
      <c r="O967" t="inlineStr">
        <is>
          <t>center</t>
        </is>
      </c>
      <c r="P967" t="n">
        <v/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</row>
    <row r="968">
      <c r="A968" t="inlineStr">
        <is>
          <t>Assumptions Sheet</t>
        </is>
      </c>
      <c r="B968" t="inlineStr">
        <is>
          <t>J71</t>
        </is>
      </c>
      <c r="C968" t="n">
        <v>71</v>
      </c>
      <c r="D968" t="n">
        <v>10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11</v>
      </c>
      <c r="M968" t="inlineStr">
        <is>
          <t>FFFF0000</t>
        </is>
      </c>
      <c r="N968" t="inlineStr">
        <is>
          <t>Values must be of type &lt;class 'str'&gt;</t>
        </is>
      </c>
      <c r="O968" t="n">
        <v/>
      </c>
      <c r="P968" t="n">
        <v/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</row>
    <row r="969">
      <c r="A969" t="inlineStr">
        <is>
          <t>Assumptions Sheet</t>
        </is>
      </c>
      <c r="B969" t="inlineStr">
        <is>
          <t>P71</t>
        </is>
      </c>
      <c r="C969" t="n">
        <v>71</v>
      </c>
      <c r="D969" t="n">
        <v>16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11</v>
      </c>
      <c r="M969" t="inlineStr">
        <is>
          <t>Values must be of type &lt;class 'str'&gt;</t>
        </is>
      </c>
      <c r="N969" t="inlineStr">
        <is>
          <t>Values must be of type &lt;class 'str'&gt;</t>
        </is>
      </c>
      <c r="O969" t="n">
        <v/>
      </c>
      <c r="P969" t="n">
        <v/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</row>
    <row r="970">
      <c r="A970" t="inlineStr">
        <is>
          <t>Assumptions Sheet</t>
        </is>
      </c>
      <c r="B970" t="inlineStr">
        <is>
          <t>B72</t>
        </is>
      </c>
      <c r="C970" t="n">
        <v>72</v>
      </c>
      <c r="D970" t="n">
        <v>2</v>
      </c>
      <c r="E970" t="inlineStr">
        <is>
          <t>Input</t>
        </is>
      </c>
      <c r="F970" t="n">
        <v/>
      </c>
      <c r="G970" t="inlineStr">
        <is>
          <t>Other Operating Expenses</t>
        </is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11</v>
      </c>
      <c r="M970" t="inlineStr">
        <is>
          <t>Values must be of type &lt;class 'str'&gt;</t>
        </is>
      </c>
      <c r="N970" t="inlineStr">
        <is>
          <t>00000000</t>
        </is>
      </c>
      <c r="O970" t="n">
        <v/>
      </c>
      <c r="P970" t="n">
        <v/>
      </c>
      <c r="R970" t="b">
        <v>1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</row>
    <row r="971">
      <c r="A971" t="inlineStr">
        <is>
          <t>Assumptions Sheet</t>
        </is>
      </c>
      <c r="B971" t="inlineStr">
        <is>
          <t>C72</t>
        </is>
      </c>
      <c r="C971" t="n">
        <v>72</v>
      </c>
      <c r="D971" t="n">
        <v>3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11</v>
      </c>
      <c r="M971" t="inlineStr">
        <is>
          <t>Values must be of type &lt;class 'str'&gt;</t>
        </is>
      </c>
      <c r="N971" t="inlineStr">
        <is>
          <t>00000000</t>
        </is>
      </c>
      <c r="O971" t="n">
        <v/>
      </c>
      <c r="P971" t="n">
        <v/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</row>
    <row r="972">
      <c r="A972" t="inlineStr">
        <is>
          <t>Assumptions Sheet</t>
        </is>
      </c>
      <c r="B972" t="inlineStr">
        <is>
          <t>D72</t>
        </is>
      </c>
      <c r="C972" t="n">
        <v>72</v>
      </c>
      <c r="D972" t="n">
        <v>4</v>
      </c>
      <c r="E972" t="inlineStr">
        <is>
          <t>Input</t>
        </is>
      </c>
      <c r="F972" t="n">
        <v/>
      </c>
      <c r="G972" t="n">
        <v>1983.46</v>
      </c>
      <c r="H972" t="inlineStr"/>
      <c r="I972" t="inlineStr">
        <is>
          <t>#,##0.00</t>
        </is>
      </c>
      <c r="J972" t="b">
        <v>0</v>
      </c>
      <c r="K972" t="b">
        <v>0</v>
      </c>
      <c r="L972" t="n">
        <v>11</v>
      </c>
      <c r="M972" t="inlineStr">
        <is>
          <t>Values must be of type &lt;class 'str'&gt;</t>
        </is>
      </c>
      <c r="N972" t="inlineStr">
        <is>
          <t>00000000</t>
        </is>
      </c>
      <c r="O972" t="inlineStr">
        <is>
          <t>center</t>
        </is>
      </c>
      <c r="P972" t="n">
        <v/>
      </c>
      <c r="R972" t="b">
        <v>1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</row>
    <row r="973">
      <c r="A973" t="inlineStr">
        <is>
          <t>Assumptions Sheet</t>
        </is>
      </c>
      <c r="B973" t="inlineStr">
        <is>
          <t>E72</t>
        </is>
      </c>
      <c r="C973" t="n">
        <v>72</v>
      </c>
      <c r="D973" t="n">
        <v>5</v>
      </c>
      <c r="E973" t="inlineStr">
        <is>
          <t>Input</t>
        </is>
      </c>
      <c r="F973" t="n">
        <v/>
      </c>
      <c r="G973" t="n">
        <v>3124.91</v>
      </c>
      <c r="H973" t="inlineStr"/>
      <c r="I973" t="inlineStr">
        <is>
          <t>#,##0.00</t>
        </is>
      </c>
      <c r="J973" t="b">
        <v>0</v>
      </c>
      <c r="K973" t="b">
        <v>0</v>
      </c>
      <c r="L973" t="n">
        <v>11</v>
      </c>
      <c r="M973" t="inlineStr">
        <is>
          <t>Values must be of type &lt;class 'str'&gt;</t>
        </is>
      </c>
      <c r="N973" t="inlineStr">
        <is>
          <t>00000000</t>
        </is>
      </c>
      <c r="O973" t="inlineStr">
        <is>
          <t>center</t>
        </is>
      </c>
      <c r="P973" t="n">
        <v/>
      </c>
      <c r="R973" t="b">
        <v>1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</row>
    <row r="974">
      <c r="A974" t="inlineStr">
        <is>
          <t>Assumptions Sheet</t>
        </is>
      </c>
      <c r="B974" t="inlineStr">
        <is>
          <t>F72</t>
        </is>
      </c>
      <c r="C974" t="n">
        <v>72</v>
      </c>
      <c r="D974" t="n">
        <v>6</v>
      </c>
      <c r="E974" t="inlineStr">
        <is>
          <t>Input</t>
        </is>
      </c>
      <c r="F974" t="n">
        <v/>
      </c>
      <c r="G974" t="n">
        <v>4360.57</v>
      </c>
      <c r="H974" t="inlineStr"/>
      <c r="I974" t="inlineStr">
        <is>
          <t>#,##0.00</t>
        </is>
      </c>
      <c r="J974" t="b">
        <v>0</v>
      </c>
      <c r="K974" t="b">
        <v>0</v>
      </c>
      <c r="L974" t="n">
        <v>11</v>
      </c>
      <c r="M974" t="inlineStr">
        <is>
          <t>Values must be of type &lt;class 'str'&gt;</t>
        </is>
      </c>
      <c r="N974" t="inlineStr">
        <is>
          <t>00000000</t>
        </is>
      </c>
      <c r="O974" t="inlineStr">
        <is>
          <t>center</t>
        </is>
      </c>
      <c r="P974" t="n">
        <v/>
      </c>
      <c r="R974" t="b">
        <v>1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</row>
    <row r="975">
      <c r="A975" t="inlineStr">
        <is>
          <t>Assumptions Sheet</t>
        </is>
      </c>
      <c r="B975" t="inlineStr">
        <is>
          <t>G72</t>
        </is>
      </c>
      <c r="C975" t="n">
        <v>72</v>
      </c>
      <c r="D975" t="n">
        <v>7</v>
      </c>
      <c r="E975" t="inlineStr">
        <is>
          <t>Input</t>
        </is>
      </c>
      <c r="F975" t="n">
        <v/>
      </c>
      <c r="G975" t="n">
        <v>5565.11</v>
      </c>
      <c r="H975" t="inlineStr"/>
      <c r="I975" t="inlineStr">
        <is>
          <t>#,##0.00</t>
        </is>
      </c>
      <c r="J975" t="b">
        <v>0</v>
      </c>
      <c r="K975" t="b">
        <v>0</v>
      </c>
      <c r="L975" t="n">
        <v>11</v>
      </c>
      <c r="M975" t="inlineStr">
        <is>
          <t>Values must be of type &lt;class 'str'&gt;</t>
        </is>
      </c>
      <c r="N975" t="inlineStr">
        <is>
          <t>00000000</t>
        </is>
      </c>
      <c r="O975" t="inlineStr">
        <is>
          <t>center</t>
        </is>
      </c>
      <c r="P975" t="n">
        <v/>
      </c>
      <c r="R975" t="b">
        <v>1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</row>
    <row r="976">
      <c r="A976" t="inlineStr">
        <is>
          <t>Assumptions Sheet</t>
        </is>
      </c>
      <c r="B976" t="inlineStr">
        <is>
          <t>I72</t>
        </is>
      </c>
      <c r="C976" t="n">
        <v>72</v>
      </c>
      <c r="D976" t="n">
        <v>9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11</v>
      </c>
      <c r="M976" t="inlineStr">
        <is>
          <t>Values must be of type &lt;class 'str'&gt;</t>
        </is>
      </c>
      <c r="N976" t="inlineStr">
        <is>
          <t>Values must be of type &lt;class 'str'&gt;</t>
        </is>
      </c>
      <c r="O976" t="inlineStr">
        <is>
          <t>center</t>
        </is>
      </c>
      <c r="P976" t="n">
        <v/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</row>
    <row r="977">
      <c r="A977" t="inlineStr">
        <is>
          <t>Assumptions Sheet</t>
        </is>
      </c>
      <c r="B977" t="inlineStr">
        <is>
          <t>J72</t>
        </is>
      </c>
      <c r="C977" t="n">
        <v>72</v>
      </c>
      <c r="D977" t="n">
        <v>10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11</v>
      </c>
      <c r="M977" t="inlineStr">
        <is>
          <t>FFFF0000</t>
        </is>
      </c>
      <c r="N977" t="inlineStr">
        <is>
          <t>Values must be of type &lt;class 'str'&gt;</t>
        </is>
      </c>
      <c r="O977" t="n">
        <v/>
      </c>
      <c r="P977" t="n">
        <v/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</row>
    <row r="978">
      <c r="A978" t="inlineStr">
        <is>
          <t>Assumptions Sheet</t>
        </is>
      </c>
      <c r="B978" t="inlineStr">
        <is>
          <t>P72</t>
        </is>
      </c>
      <c r="C978" t="n">
        <v>72</v>
      </c>
      <c r="D978" t="n">
        <v>16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11</v>
      </c>
      <c r="M978" t="inlineStr">
        <is>
          <t>Values must be of type &lt;class 'str'&gt;</t>
        </is>
      </c>
      <c r="N978" t="inlineStr">
        <is>
          <t>Values must be of type &lt;class 'str'&gt;</t>
        </is>
      </c>
      <c r="O978" t="n">
        <v/>
      </c>
      <c r="P978" t="n">
        <v/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</row>
    <row r="979">
      <c r="A979" t="inlineStr">
        <is>
          <t>Assumptions Sheet</t>
        </is>
      </c>
      <c r="B979" t="inlineStr">
        <is>
          <t>B73</t>
        </is>
      </c>
      <c r="C979" t="n">
        <v>73</v>
      </c>
      <c r="D979" t="n">
        <v>2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11</v>
      </c>
      <c r="M979" t="inlineStr">
        <is>
          <t>Values must be of type &lt;class 'str'&gt;</t>
        </is>
      </c>
      <c r="N979" t="inlineStr">
        <is>
          <t>Values must be of type &lt;class 'str'&gt;</t>
        </is>
      </c>
      <c r="O979" t="inlineStr">
        <is>
          <t>left</t>
        </is>
      </c>
      <c r="P979" t="n">
        <v/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</row>
    <row r="980">
      <c r="A980" t="inlineStr">
        <is>
          <t>Assumptions Sheet</t>
        </is>
      </c>
      <c r="B980" t="inlineStr">
        <is>
          <t>C73</t>
        </is>
      </c>
      <c r="C980" t="n">
        <v>73</v>
      </c>
      <c r="D980" t="n">
        <v>3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11</v>
      </c>
      <c r="M980" t="inlineStr">
        <is>
          <t>Values must be of type &lt;class 'str'&gt;</t>
        </is>
      </c>
      <c r="N980" t="inlineStr">
        <is>
          <t>Values must be of type &lt;class 'str'&gt;</t>
        </is>
      </c>
      <c r="O980" t="inlineStr">
        <is>
          <t>center</t>
        </is>
      </c>
      <c r="P980" t="n">
        <v/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</row>
    <row r="981">
      <c r="A981" t="inlineStr">
        <is>
          <t>Assumptions Sheet</t>
        </is>
      </c>
      <c r="B981" t="inlineStr">
        <is>
          <t>D73</t>
        </is>
      </c>
      <c r="C981" t="n">
        <v>73</v>
      </c>
      <c r="D981" t="n">
        <v>4</v>
      </c>
      <c r="E981" t="inlineStr">
        <is>
          <t>Calculation</t>
        </is>
      </c>
      <c r="F981" t="inlineStr">
        <is>
          <t>'=SUM(D69:D72)</t>
        </is>
      </c>
      <c r="G981" t="n">
        <v>8783.720000000001</v>
      </c>
      <c r="H981" t="inlineStr"/>
      <c r="I981" t="inlineStr">
        <is>
          <t>#,##0.00</t>
        </is>
      </c>
      <c r="J981" t="b">
        <v>0</v>
      </c>
      <c r="K981" t="b">
        <v>0</v>
      </c>
      <c r="L981" t="n">
        <v>11</v>
      </c>
      <c r="M981" t="inlineStr">
        <is>
          <t>Values must be of type &lt;class 'str'&gt;</t>
        </is>
      </c>
      <c r="N981" t="inlineStr">
        <is>
          <t>Values must be of type &lt;class 'str'&gt;</t>
        </is>
      </c>
      <c r="O981" t="inlineStr">
        <is>
          <t>center</t>
        </is>
      </c>
      <c r="P981" t="n">
        <v/>
      </c>
      <c r="R981" t="b">
        <v>1</v>
      </c>
      <c r="S981" t="inlineStr">
        <is>
          <t>G000055</t>
        </is>
      </c>
      <c r="T981" t="inlineStr">
        <is>
          <t>Horizontal</t>
        </is>
      </c>
      <c r="U981" t="n">
        <v>4</v>
      </c>
      <c r="V981" t="b">
        <v>1</v>
      </c>
      <c r="W981" t="inlineStr">
        <is>
          <t>Assumptions Sheet!D73:G73</t>
        </is>
      </c>
      <c r="X981">
        <f>SUM(R[-4]C[0]:R[-1]C[0])</f>
        <v/>
      </c>
    </row>
    <row r="982">
      <c r="A982" t="inlineStr">
        <is>
          <t>Assumptions Sheet</t>
        </is>
      </c>
      <c r="B982" t="inlineStr">
        <is>
          <t>E73</t>
        </is>
      </c>
      <c r="C982" t="n">
        <v>73</v>
      </c>
      <c r="D982" t="n">
        <v>5</v>
      </c>
      <c r="E982" t="inlineStr">
        <is>
          <t>Calculation</t>
        </is>
      </c>
      <c r="F982" t="inlineStr">
        <is>
          <t>'=SUM(E69:E72)</t>
        </is>
      </c>
      <c r="G982" t="n">
        <v>12961.04</v>
      </c>
      <c r="H982" t="inlineStr"/>
      <c r="I982" t="inlineStr">
        <is>
          <t>#,##0.00</t>
        </is>
      </c>
      <c r="J982" t="b">
        <v>0</v>
      </c>
      <c r="K982" t="b">
        <v>0</v>
      </c>
      <c r="L982" t="n">
        <v>11</v>
      </c>
      <c r="M982" t="inlineStr">
        <is>
          <t>Values must be of type &lt;class 'str'&gt;</t>
        </is>
      </c>
      <c r="N982" t="inlineStr">
        <is>
          <t>Values must be of type &lt;class 'str'&gt;</t>
        </is>
      </c>
      <c r="O982" t="inlineStr">
        <is>
          <t>center</t>
        </is>
      </c>
      <c r="P982" t="n">
        <v/>
      </c>
      <c r="R982" t="b">
        <v>1</v>
      </c>
      <c r="S982" t="inlineStr">
        <is>
          <t>G000055</t>
        </is>
      </c>
      <c r="T982" t="inlineStr">
        <is>
          <t>Horizontal</t>
        </is>
      </c>
      <c r="U982" t="n">
        <v>4</v>
      </c>
      <c r="V982" t="b">
        <v>1</v>
      </c>
      <c r="W982" t="inlineStr">
        <is>
          <t>Assumptions Sheet!D73:G73</t>
        </is>
      </c>
      <c r="X982">
        <f>SUM(R[-4]C[0]:R[-1]C[0])</f>
        <v/>
      </c>
    </row>
    <row r="983">
      <c r="A983" t="inlineStr">
        <is>
          <t>Assumptions Sheet</t>
        </is>
      </c>
      <c r="B983" t="inlineStr">
        <is>
          <t>F73</t>
        </is>
      </c>
      <c r="C983" t="n">
        <v>73</v>
      </c>
      <c r="D983" t="n">
        <v>6</v>
      </c>
      <c r="E983" t="inlineStr">
        <is>
          <t>Calculation</t>
        </is>
      </c>
      <c r="F983" t="inlineStr">
        <is>
          <t>'=SUM(F69:F72)</t>
        </is>
      </c>
      <c r="G983" t="n">
        <v>18961.4</v>
      </c>
      <c r="H983" t="inlineStr"/>
      <c r="I983" t="inlineStr">
        <is>
          <t>#,##0.00</t>
        </is>
      </c>
      <c r="J983" t="b">
        <v>0</v>
      </c>
      <c r="K983" t="b">
        <v>0</v>
      </c>
      <c r="L983" t="n">
        <v>11</v>
      </c>
      <c r="M983" t="inlineStr">
        <is>
          <t>Values must be of type &lt;class 'str'&gt;</t>
        </is>
      </c>
      <c r="N983" t="inlineStr">
        <is>
          <t>Values must be of type &lt;class 'str'&gt;</t>
        </is>
      </c>
      <c r="O983" t="inlineStr">
        <is>
          <t>center</t>
        </is>
      </c>
      <c r="P983" t="n">
        <v/>
      </c>
      <c r="R983" t="b">
        <v>1</v>
      </c>
      <c r="S983" t="inlineStr">
        <is>
          <t>G000055</t>
        </is>
      </c>
      <c r="T983" t="inlineStr">
        <is>
          <t>Horizontal</t>
        </is>
      </c>
      <c r="U983" t="n">
        <v>4</v>
      </c>
      <c r="V983" t="b">
        <v>1</v>
      </c>
      <c r="W983" t="inlineStr">
        <is>
          <t>Assumptions Sheet!D73:G73</t>
        </is>
      </c>
      <c r="X983">
        <f>SUM(R[-4]C[0]:R[-1]C[0])</f>
        <v/>
      </c>
    </row>
    <row r="984">
      <c r="A984" t="inlineStr">
        <is>
          <t>Assumptions Sheet</t>
        </is>
      </c>
      <c r="B984" t="inlineStr">
        <is>
          <t>G73</t>
        </is>
      </c>
      <c r="C984" t="n">
        <v>73</v>
      </c>
      <c r="D984" t="n">
        <v>7</v>
      </c>
      <c r="E984" t="inlineStr">
        <is>
          <t>Calculation</t>
        </is>
      </c>
      <c r="F984" t="inlineStr">
        <is>
          <t>'=SUM(G69:G72)</t>
        </is>
      </c>
      <c r="G984" t="n">
        <v>24471.95</v>
      </c>
      <c r="H984" t="inlineStr"/>
      <c r="I984" t="inlineStr">
        <is>
          <t>#,##0.00</t>
        </is>
      </c>
      <c r="J984" t="b">
        <v>0</v>
      </c>
      <c r="K984" t="b">
        <v>0</v>
      </c>
      <c r="L984" t="n">
        <v>11</v>
      </c>
      <c r="M984" t="inlineStr">
        <is>
          <t>Values must be of type &lt;class 'str'&gt;</t>
        </is>
      </c>
      <c r="N984" t="inlineStr">
        <is>
          <t>Values must be of type &lt;class 'str'&gt;</t>
        </is>
      </c>
      <c r="O984" t="inlineStr">
        <is>
          <t>center</t>
        </is>
      </c>
      <c r="P984" t="n">
        <v/>
      </c>
      <c r="R984" t="b">
        <v>1</v>
      </c>
      <c r="S984" t="inlineStr">
        <is>
          <t>G000055</t>
        </is>
      </c>
      <c r="T984" t="inlineStr">
        <is>
          <t>Horizontal</t>
        </is>
      </c>
      <c r="U984" t="n">
        <v>4</v>
      </c>
      <c r="V984" t="b">
        <v>1</v>
      </c>
      <c r="W984" t="inlineStr">
        <is>
          <t>Assumptions Sheet!D73:G73</t>
        </is>
      </c>
      <c r="X984">
        <f>SUM(R[-4]C[0]:R[-1]C[0])</f>
        <v/>
      </c>
    </row>
    <row r="985">
      <c r="A985" t="inlineStr">
        <is>
          <t>Assumptions Sheet</t>
        </is>
      </c>
      <c r="B985" t="inlineStr">
        <is>
          <t>H73</t>
        </is>
      </c>
      <c r="C985" t="n">
        <v>73</v>
      </c>
      <c r="D985" t="n">
        <v>8</v>
      </c>
      <c r="E985" t="inlineStr">
        <is>
          <t>Input</t>
        </is>
      </c>
      <c r="F985" t="n">
        <v/>
      </c>
      <c r="G985" t="n">
        <v>30876.97</v>
      </c>
      <c r="H985" t="inlineStr"/>
      <c r="I985" t="inlineStr">
        <is>
          <t>#,##0.00</t>
        </is>
      </c>
      <c r="J985" t="b">
        <v>0</v>
      </c>
      <c r="K985" t="b">
        <v>0</v>
      </c>
      <c r="L985" t="n">
        <v>11</v>
      </c>
      <c r="M985" t="inlineStr">
        <is>
          <t>Values must be of type &lt;class 'str'&gt;</t>
        </is>
      </c>
      <c r="N985" t="inlineStr">
        <is>
          <t>Values must be of type &lt;class 'str'&gt;</t>
        </is>
      </c>
      <c r="O985" t="inlineStr">
        <is>
          <t>center</t>
        </is>
      </c>
      <c r="P985" t="n">
        <v/>
      </c>
      <c r="R985" t="b">
        <v>1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</row>
    <row r="986">
      <c r="A986" t="inlineStr">
        <is>
          <t>Assumptions Sheet</t>
        </is>
      </c>
      <c r="B986" t="inlineStr">
        <is>
          <t>I73</t>
        </is>
      </c>
      <c r="C986" t="n">
        <v>73</v>
      </c>
      <c r="D986" t="n">
        <v>9</v>
      </c>
      <c r="E986" t="inlineStr">
        <is>
          <t>Input</t>
        </is>
      </c>
      <c r="F986" t="n">
        <v/>
      </c>
      <c r="G986" t="n">
        <v>38393.71</v>
      </c>
      <c r="H986" t="inlineStr"/>
      <c r="I986" t="inlineStr">
        <is>
          <t>#,##0.00</t>
        </is>
      </c>
      <c r="J986" t="b">
        <v>0</v>
      </c>
      <c r="K986" t="b">
        <v>0</v>
      </c>
      <c r="L986" t="n">
        <v>11</v>
      </c>
      <c r="M986" t="inlineStr">
        <is>
          <t>Values must be of type &lt;class 'str'&gt;</t>
        </is>
      </c>
      <c r="N986" t="inlineStr">
        <is>
          <t>Values must be of type &lt;class 'str'&gt;</t>
        </is>
      </c>
      <c r="O986" t="inlineStr">
        <is>
          <t>center</t>
        </is>
      </c>
      <c r="P986" t="n">
        <v/>
      </c>
      <c r="R986" t="b">
        <v>1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</row>
    <row r="987">
      <c r="A987" t="inlineStr">
        <is>
          <t>Assumptions Sheet</t>
        </is>
      </c>
      <c r="B987" t="inlineStr">
        <is>
          <t>J73</t>
        </is>
      </c>
      <c r="C987" t="n">
        <v>73</v>
      </c>
      <c r="D987" t="n">
        <v>10</v>
      </c>
      <c r="E987" t="inlineStr">
        <is>
          <t>Input</t>
        </is>
      </c>
      <c r="F987" t="n">
        <v/>
      </c>
      <c r="G987" t="n">
        <v>47985.83</v>
      </c>
      <c r="H987" t="inlineStr"/>
      <c r="I987" t="inlineStr">
        <is>
          <t>#,##0.00</t>
        </is>
      </c>
      <c r="J987" t="b">
        <v>0</v>
      </c>
      <c r="K987" t="b">
        <v>0</v>
      </c>
      <c r="L987" t="n">
        <v>11</v>
      </c>
      <c r="M987" t="inlineStr">
        <is>
          <t>Values must be of type &lt;class 'str'&gt;</t>
        </is>
      </c>
      <c r="N987" t="inlineStr">
        <is>
          <t>Values must be of type &lt;class 'str'&gt;</t>
        </is>
      </c>
      <c r="O987" t="inlineStr">
        <is>
          <t>center</t>
        </is>
      </c>
      <c r="P987" t="n">
        <v/>
      </c>
      <c r="R987" t="b">
        <v>1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Income statement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Income statement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Income statement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Income statement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Income statement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Income statement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Income statement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Income statement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Income statement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Income statement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Income statement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Income statement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Income statement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Income statement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Income statement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Income statement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Income statement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Income statement</t>
        </is>
      </c>
      <c r="B19" t="inlineStr">
        <is>
          <t>C4</t>
        </is>
      </c>
      <c r="C19" t="n">
        <v>4</v>
      </c>
      <c r="D19" t="n">
        <v>3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Income statement</t>
        </is>
      </c>
      <c r="B20" t="inlineStr">
        <is>
          <t>E4</t>
        </is>
      </c>
      <c r="C20" t="n">
        <v>4</v>
      </c>
      <c r="D20" t="n">
        <v>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Income statement</t>
        </is>
      </c>
      <c r="B21" t="inlineStr">
        <is>
          <t>F4</t>
        </is>
      </c>
      <c r="C21" t="n">
        <v>4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Income statement</t>
        </is>
      </c>
      <c r="B22" t="inlineStr">
        <is>
          <t>G4</t>
        </is>
      </c>
      <c r="C22" t="n">
        <v>4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Income statement</t>
        </is>
      </c>
      <c r="B23" t="inlineStr">
        <is>
          <t>K4</t>
        </is>
      </c>
      <c r="C23" t="n">
        <v>4</v>
      </c>
      <c r="D23" t="n">
        <v>11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Income statement</t>
        </is>
      </c>
      <c r="B24" t="inlineStr">
        <is>
          <t>L4</t>
        </is>
      </c>
      <c r="C24" t="n">
        <v>4</v>
      </c>
      <c r="D24" t="n">
        <v>12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Income statement</t>
        </is>
      </c>
      <c r="B25" t="inlineStr">
        <is>
          <t>M4</t>
        </is>
      </c>
      <c r="C25" t="n">
        <v>4</v>
      </c>
      <c r="D25" t="n">
        <v>13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Income statement</t>
        </is>
      </c>
      <c r="B26" t="inlineStr">
        <is>
          <t>N4</t>
        </is>
      </c>
      <c r="C26" t="n">
        <v>4</v>
      </c>
      <c r="D26" t="n">
        <v>14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Income statement</t>
        </is>
      </c>
      <c r="B27" t="inlineStr">
        <is>
          <t>A5</t>
        </is>
      </c>
      <c r="C27" t="n">
        <v>5</v>
      </c>
      <c r="D27" t="n">
        <v>1</v>
      </c>
      <c r="E27" t="inlineStr">
        <is>
          <t>Input</t>
        </is>
      </c>
      <c r="F27" t="n">
        <v/>
      </c>
      <c r="G27" t="inlineStr">
        <is>
          <t>Date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Income statement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FF0B0280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Income statement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G000056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Income statement!E5:O5</t>
        </is>
      </c>
      <c r="X29">
        <f>EOMONTH(R[0]C[-1],12)</f>
        <v/>
      </c>
    </row>
    <row r="30">
      <c r="A30" t="inlineStr">
        <is>
          <t>Income statement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G000056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Income statement!E5:O5</t>
        </is>
      </c>
      <c r="X30">
        <f>EOMONTH(R[0]C[-1],12)</f>
        <v/>
      </c>
    </row>
    <row r="31">
      <c r="A31" t="inlineStr">
        <is>
          <t>Income statement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G000056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Income statement!E5:O5</t>
        </is>
      </c>
      <c r="X31">
        <f>EOMONTH(R[0]C[-1],12)</f>
        <v/>
      </c>
    </row>
    <row r="32">
      <c r="A32" t="inlineStr">
        <is>
          <t>Income statement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G000056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Income statement!E5:O5</t>
        </is>
      </c>
      <c r="X32">
        <f>EOMONTH(R[0]C[-1],12)</f>
        <v/>
      </c>
    </row>
    <row r="33">
      <c r="A33" t="inlineStr">
        <is>
          <t>Income statement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G000056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Income statement!E5:O5</t>
        </is>
      </c>
      <c r="X33">
        <f>EOMONTH(R[0]C[-1],12)</f>
        <v/>
      </c>
    </row>
    <row r="34">
      <c r="A34" t="inlineStr">
        <is>
          <t>Income statement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G000056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Income statement!E5:O5</t>
        </is>
      </c>
      <c r="X34">
        <f>EOMONTH(R[0]C[-1],12)</f>
        <v/>
      </c>
    </row>
    <row r="35">
      <c r="A35" t="inlineStr">
        <is>
          <t>Income statement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G000056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Income statement!E5:O5</t>
        </is>
      </c>
      <c r="X35">
        <f>EOMONTH(R[0]C[-1],12)</f>
        <v/>
      </c>
    </row>
    <row r="36">
      <c r="A36" t="inlineStr">
        <is>
          <t>Income statement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G000056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Income statement!E5:O5</t>
        </is>
      </c>
      <c r="X36">
        <f>EOMONTH(R[0]C[-1],12)</f>
        <v/>
      </c>
    </row>
    <row r="37">
      <c r="A37" t="inlineStr">
        <is>
          <t>Income statement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G000056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Income statement!E5:O5</t>
        </is>
      </c>
      <c r="X37">
        <f>EOMONTH(R[0]C[-1],12)</f>
        <v/>
      </c>
    </row>
    <row r="38">
      <c r="A38" t="inlineStr">
        <is>
          <t>Income statement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G000056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Income statement!E5:O5</t>
        </is>
      </c>
      <c r="X38">
        <f>EOMONTH(R[0]C[-1],12)</f>
        <v/>
      </c>
    </row>
    <row r="39">
      <c r="A39" t="inlineStr">
        <is>
          <t>Income statement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G000056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Income statement!E5:O5</t>
        </is>
      </c>
      <c r="X39">
        <f>EOMONTH(R[0]C[-1],12)</f>
        <v/>
      </c>
    </row>
    <row r="40">
      <c r="A40" t="inlineStr">
        <is>
          <t>Income statement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Income statement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Income statement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G000057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Income statement!D6:O6</t>
        </is>
      </c>
      <c r="X42">
        <f>YEAR(R[-1]C[0])</f>
        <v/>
      </c>
    </row>
    <row r="43">
      <c r="A43" t="inlineStr">
        <is>
          <t>Income statement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G000057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Income statement!D6:O6</t>
        </is>
      </c>
      <c r="X43">
        <f>YEAR(R[-1]C[0])</f>
        <v/>
      </c>
    </row>
    <row r="44">
      <c r="A44" t="inlineStr">
        <is>
          <t>Income statement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G000057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Income statement!D6:O6</t>
        </is>
      </c>
      <c r="X44">
        <f>YEAR(R[-1]C[0])</f>
        <v/>
      </c>
    </row>
    <row r="45">
      <c r="A45" t="inlineStr">
        <is>
          <t>Income statement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G000057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Income statement!D6:O6</t>
        </is>
      </c>
      <c r="X45">
        <f>YEAR(R[-1]C[0])</f>
        <v/>
      </c>
    </row>
    <row r="46">
      <c r="A46" t="inlineStr">
        <is>
          <t>Income statement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G000057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Income statement!D6:O6</t>
        </is>
      </c>
      <c r="X46">
        <f>YEAR(R[-1]C[0])</f>
        <v/>
      </c>
    </row>
    <row r="47">
      <c r="A47" t="inlineStr">
        <is>
          <t>Income statement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G000057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Income statement!D6:O6</t>
        </is>
      </c>
      <c r="X47">
        <f>YEAR(R[-1]C[0])</f>
        <v/>
      </c>
    </row>
    <row r="48">
      <c r="A48" t="inlineStr">
        <is>
          <t>Income statement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G000057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Income statement!D6:O6</t>
        </is>
      </c>
      <c r="X48">
        <f>YEAR(R[-1]C[0])</f>
        <v/>
      </c>
    </row>
    <row r="49">
      <c r="A49" t="inlineStr">
        <is>
          <t>Income statement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G000057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Income statement!D6:O6</t>
        </is>
      </c>
      <c r="X49">
        <f>YEAR(R[-1]C[0])</f>
        <v/>
      </c>
    </row>
    <row r="50">
      <c r="A50" t="inlineStr">
        <is>
          <t>Income statement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G000057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Income statement!D6:O6</t>
        </is>
      </c>
      <c r="X50">
        <f>YEAR(R[-1]C[0])</f>
        <v/>
      </c>
    </row>
    <row r="51">
      <c r="A51" t="inlineStr">
        <is>
          <t>Income statement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G000057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Income statement!D6:O6</t>
        </is>
      </c>
      <c r="X51">
        <f>YEAR(R[-1]C[0])</f>
        <v/>
      </c>
    </row>
    <row r="52">
      <c r="A52" t="inlineStr">
        <is>
          <t>Income statement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G000057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Income statement!D6:O6</t>
        </is>
      </c>
      <c r="X52">
        <f>YEAR(R[-1]C[0])</f>
        <v/>
      </c>
    </row>
    <row r="53">
      <c r="A53" t="inlineStr">
        <is>
          <t>Income statement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G000057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Income statement!D6:O6</t>
        </is>
      </c>
      <c r="X53">
        <f>YEAR(R[-1]C[0])</f>
        <v/>
      </c>
    </row>
    <row r="54">
      <c r="A54" t="inlineStr">
        <is>
          <t>Income statement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Revenue from operations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Income statement</t>
        </is>
      </c>
      <c r="B55" t="inlineStr">
        <is>
          <t>D7</t>
        </is>
      </c>
      <c r="C55" t="n">
        <v>7</v>
      </c>
      <c r="D55" t="n">
        <v>4</v>
      </c>
      <c r="E55" t="inlineStr">
        <is>
          <t>Input</t>
        </is>
      </c>
      <c r="F55" t="n">
        <v/>
      </c>
      <c r="G55" t="n">
        <v>38334.2</v>
      </c>
      <c r="H55" t="inlineStr"/>
      <c r="I55" t="inlineStr">
        <is>
          <t>#,##0</t>
        </is>
      </c>
      <c r="J55" t="b">
        <v>0</v>
      </c>
      <c r="K55" t="b">
        <v>0</v>
      </c>
      <c r="L55" t="n">
        <v>11</v>
      </c>
      <c r="M55" t="inlineStr">
        <is>
          <t>FF0B0280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Income statement</t>
        </is>
      </c>
      <c r="B56" t="inlineStr">
        <is>
          <t>E7</t>
        </is>
      </c>
      <c r="C56" t="n">
        <v>7</v>
      </c>
      <c r="D56" t="n">
        <v>5</v>
      </c>
      <c r="E56" t="inlineStr">
        <is>
          <t>Input</t>
        </is>
      </c>
      <c r="F56" t="n">
        <v/>
      </c>
      <c r="G56" t="n">
        <v>55646.6</v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FF0B0280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Income statement</t>
        </is>
      </c>
      <c r="B57" t="inlineStr">
        <is>
          <t>F7</t>
        </is>
      </c>
      <c r="C57" t="n">
        <v>7</v>
      </c>
      <c r="D57" t="n">
        <v>6</v>
      </c>
      <c r="E57" t="inlineStr">
        <is>
          <t>Input</t>
        </is>
      </c>
      <c r="F57" t="n">
        <v/>
      </c>
      <c r="G57" t="n">
        <v>92031.3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FF0B0280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Income statement</t>
        </is>
      </c>
      <c r="B58" t="inlineStr">
        <is>
          <t>G7</t>
        </is>
      </c>
      <c r="C58" t="n">
        <v>7</v>
      </c>
      <c r="D58" t="n">
        <v>7</v>
      </c>
      <c r="E58" t="inlineStr">
        <is>
          <t>Input</t>
        </is>
      </c>
      <c r="F58" t="n">
        <v/>
      </c>
      <c r="G58" t="n">
        <v>111165.84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FF0B0280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Income statement</t>
        </is>
      </c>
      <c r="B59" t="inlineStr">
        <is>
          <t>H7</t>
        </is>
      </c>
      <c r="C59" t="n">
        <v>7</v>
      </c>
      <c r="D59" t="n">
        <v>8</v>
      </c>
      <c r="E59" t="inlineStr">
        <is>
          <t>Input</t>
        </is>
      </c>
      <c r="F59" t="n">
        <v/>
      </c>
      <c r="G59" t="n">
        <v>139253.36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FF0B0280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Income statement</t>
        </is>
      </c>
      <c r="B60" t="inlineStr">
        <is>
          <t>I7</t>
        </is>
      </c>
      <c r="C60" t="n">
        <v>7</v>
      </c>
      <c r="D60" t="n">
        <v>9</v>
      </c>
      <c r="E60" t="inlineStr">
        <is>
          <t>Input</t>
        </is>
      </c>
      <c r="F60" t="n">
        <v/>
      </c>
      <c r="G60" t="n">
        <v>161399.09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Income statement</t>
        </is>
      </c>
      <c r="B61" t="inlineStr">
        <is>
          <t>J7</t>
        </is>
      </c>
      <c r="C61" t="n">
        <v>7</v>
      </c>
      <c r="D61" t="n">
        <v>10</v>
      </c>
      <c r="E61" t="inlineStr">
        <is>
          <t>Input</t>
        </is>
      </c>
      <c r="F61" t="n">
        <v/>
      </c>
      <c r="G61" t="n">
        <v>185805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Income statement</t>
        </is>
      </c>
      <c r="B62" t="inlineStr">
        <is>
          <t>K7</t>
        </is>
      </c>
      <c r="C62" t="n">
        <v>7</v>
      </c>
      <c r="D62" t="n">
        <v>11</v>
      </c>
      <c r="E62" t="inlineStr">
        <is>
          <t>Calculation</t>
        </is>
      </c>
      <c r="F62" t="inlineStr">
        <is>
          <t>'=SUM('Assumptions Sheet'!K24,'Assumptions Sheet'!K26,'Assumptions Sheet'!K28)</t>
        </is>
      </c>
      <c r="G62" t="n">
        <v>248138.5925932231</v>
      </c>
      <c r="H62" t="inlineStr"/>
      <c r="I62" t="inlineStr">
        <is>
          <t>0</t>
        </is>
      </c>
      <c r="J62" t="b">
        <v>0</v>
      </c>
      <c r="K62" t="b">
        <v>0</v>
      </c>
      <c r="L62" t="n">
        <v>11</v>
      </c>
      <c r="M62" t="n">
        <v/>
      </c>
      <c r="N62" t="inlineStr">
        <is>
          <t>00000000</t>
        </is>
      </c>
      <c r="O62" t="n">
        <v/>
      </c>
      <c r="R62" t="b">
        <v>1</v>
      </c>
      <c r="S62" t="inlineStr">
        <is>
          <t>G000058</t>
        </is>
      </c>
      <c r="T62" t="inlineStr">
        <is>
          <t>Horizontal</t>
        </is>
      </c>
      <c r="U62" t="n">
        <v>5</v>
      </c>
      <c r="V62" t="b">
        <v>1</v>
      </c>
      <c r="W62" t="inlineStr">
        <is>
          <t>Income statement!K7:O7</t>
        </is>
      </c>
      <c r="X62">
        <f>SUM('Assumptions Sheet'!R[17]C[0],'Assumptions Sheet'!R[19]C[0],'Assumptions Sheet'!R[21]C[0])</f>
        <v/>
      </c>
    </row>
    <row r="63">
      <c r="A63" t="inlineStr">
        <is>
          <t>Income statement</t>
        </is>
      </c>
      <c r="B63" t="inlineStr">
        <is>
          <t>L7</t>
        </is>
      </c>
      <c r="C63" t="n">
        <v>7</v>
      </c>
      <c r="D63" t="n">
        <v>12</v>
      </c>
      <c r="E63" t="inlineStr">
        <is>
          <t>Calculation</t>
        </is>
      </c>
      <c r="F63" t="inlineStr">
        <is>
          <t>'=SUM('Assumptions Sheet'!L24,'Assumptions Sheet'!L26,'Assumptions Sheet'!L28)</t>
        </is>
      </c>
      <c r="G63" t="n">
        <v>297922.6455571478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n">
        <v/>
      </c>
      <c r="N63" t="inlineStr">
        <is>
          <t>00000000</t>
        </is>
      </c>
      <c r="O63" t="n">
        <v/>
      </c>
      <c r="R63" t="b">
        <v>1</v>
      </c>
      <c r="S63" t="inlineStr">
        <is>
          <t>G000058</t>
        </is>
      </c>
      <c r="T63" t="inlineStr">
        <is>
          <t>Horizontal</t>
        </is>
      </c>
      <c r="U63" t="n">
        <v>5</v>
      </c>
      <c r="V63" t="b">
        <v>1</v>
      </c>
      <c r="W63" t="inlineStr">
        <is>
          <t>Income statement!K7:O7</t>
        </is>
      </c>
      <c r="X63">
        <f>SUM('Assumptions Sheet'!R[17]C[0],'Assumptions Sheet'!R[19]C[0],'Assumptions Sheet'!R[21]C[0])</f>
        <v/>
      </c>
    </row>
    <row r="64">
      <c r="A64" t="inlineStr">
        <is>
          <t>Income statement</t>
        </is>
      </c>
      <c r="B64" t="inlineStr">
        <is>
          <t>M7</t>
        </is>
      </c>
      <c r="C64" t="n">
        <v>7</v>
      </c>
      <c r="D64" t="n">
        <v>13</v>
      </c>
      <c r="E64" t="inlineStr">
        <is>
          <t>Calculation</t>
        </is>
      </c>
      <c r="F64" t="inlineStr">
        <is>
          <t>'=SUM('Assumptions Sheet'!M24,'Assumptions Sheet'!M26,'Assumptions Sheet'!M28)</t>
        </is>
      </c>
      <c r="G64" t="n">
        <v>356131.4315501133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n">
        <v/>
      </c>
      <c r="N64" t="inlineStr">
        <is>
          <t>00000000</t>
        </is>
      </c>
      <c r="O64" t="n">
        <v/>
      </c>
      <c r="R64" t="b">
        <v>1</v>
      </c>
      <c r="S64" t="inlineStr">
        <is>
          <t>G000058</t>
        </is>
      </c>
      <c r="T64" t="inlineStr">
        <is>
          <t>Horizontal</t>
        </is>
      </c>
      <c r="U64" t="n">
        <v>5</v>
      </c>
      <c r="V64" t="b">
        <v>1</v>
      </c>
      <c r="W64" t="inlineStr">
        <is>
          <t>Income statement!K7:O7</t>
        </is>
      </c>
      <c r="X64">
        <f>SUM('Assumptions Sheet'!R[17]C[0],'Assumptions Sheet'!R[19]C[0],'Assumptions Sheet'!R[21]C[0])</f>
        <v/>
      </c>
    </row>
    <row r="65">
      <c r="A65" t="inlineStr">
        <is>
          <t>Income statement</t>
        </is>
      </c>
      <c r="B65" t="inlineStr">
        <is>
          <t>N7</t>
        </is>
      </c>
      <c r="C65" t="n">
        <v>7</v>
      </c>
      <c r="D65" t="n">
        <v>14</v>
      </c>
      <c r="E65" t="inlineStr">
        <is>
          <t>Calculation</t>
        </is>
      </c>
      <c r="F65" t="inlineStr">
        <is>
          <t>'=SUM('Assumptions Sheet'!N24,'Assumptions Sheet'!N26,'Assumptions Sheet'!N28)</t>
        </is>
      </c>
      <c r="G65" t="n">
        <v>425706.8261179792</v>
      </c>
      <c r="H65" t="inlineStr"/>
      <c r="I65" t="inlineStr">
        <is>
          <t>0</t>
        </is>
      </c>
      <c r="J65" t="b">
        <v>0</v>
      </c>
      <c r="K65" t="b">
        <v>0</v>
      </c>
      <c r="L65" t="n">
        <v>11</v>
      </c>
      <c r="M65" t="n">
        <v/>
      </c>
      <c r="N65" t="inlineStr">
        <is>
          <t>00000000</t>
        </is>
      </c>
      <c r="O65" t="n">
        <v/>
      </c>
      <c r="R65" t="b">
        <v>1</v>
      </c>
      <c r="S65" t="inlineStr">
        <is>
          <t>G000058</t>
        </is>
      </c>
      <c r="T65" t="inlineStr">
        <is>
          <t>Horizontal</t>
        </is>
      </c>
      <c r="U65" t="n">
        <v>5</v>
      </c>
      <c r="V65" t="b">
        <v>1</v>
      </c>
      <c r="W65" t="inlineStr">
        <is>
          <t>Income statement!K7:O7</t>
        </is>
      </c>
      <c r="X65">
        <f>SUM('Assumptions Sheet'!R[17]C[0],'Assumptions Sheet'!R[19]C[0],'Assumptions Sheet'!R[21]C[0])</f>
        <v/>
      </c>
    </row>
    <row r="66">
      <c r="A66" t="inlineStr">
        <is>
          <t>Income statement</t>
        </is>
      </c>
      <c r="B66" t="inlineStr">
        <is>
          <t>O7</t>
        </is>
      </c>
      <c r="C66" t="n">
        <v>7</v>
      </c>
      <c r="D66" t="n">
        <v>15</v>
      </c>
      <c r="E66" t="inlineStr">
        <is>
          <t>Calculation</t>
        </is>
      </c>
      <c r="F66" t="inlineStr">
        <is>
          <t>'=SUM('Assumptions Sheet'!O24,'Assumptions Sheet'!O26,'Assumptions Sheet'!O28)</t>
        </is>
      </c>
      <c r="G66" t="n">
        <v>511118.3372630189</v>
      </c>
      <c r="H66" t="inlineStr"/>
      <c r="I66" t="inlineStr">
        <is>
          <t>0</t>
        </is>
      </c>
      <c r="J66" t="b">
        <v>0</v>
      </c>
      <c r="K66" t="b">
        <v>0</v>
      </c>
      <c r="L66" t="n">
        <v>11</v>
      </c>
      <c r="M66" t="n">
        <v/>
      </c>
      <c r="N66" t="inlineStr">
        <is>
          <t>00000000</t>
        </is>
      </c>
      <c r="O66" t="n">
        <v/>
      </c>
      <c r="R66" t="b">
        <v>1</v>
      </c>
      <c r="S66" t="inlineStr">
        <is>
          <t>G000058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Income statement!K7:O7</t>
        </is>
      </c>
      <c r="X66">
        <f>SUM('Assumptions Sheet'!R[17]C[0],'Assumptions Sheet'!R[19]C[0],'Assumptions Sheet'!R[21]C[0])</f>
        <v/>
      </c>
    </row>
    <row r="67">
      <c r="A67" t="inlineStr">
        <is>
          <t>Income statement</t>
        </is>
      </c>
      <c r="B67" t="inlineStr">
        <is>
          <t>P7</t>
        </is>
      </c>
      <c r="C67" t="n">
        <v>7</v>
      </c>
      <c r="D67" t="n">
        <v>16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n">
        <v/>
      </c>
      <c r="N67" t="inlineStr">
        <is>
          <t>00000000</t>
        </is>
      </c>
      <c r="O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Income statement</t>
        </is>
      </c>
      <c r="B68" t="inlineStr">
        <is>
          <t>A8</t>
        </is>
      </c>
      <c r="C68" t="n">
        <v>8</v>
      </c>
      <c r="D68" t="n">
        <v>1</v>
      </c>
      <c r="E68" t="inlineStr">
        <is>
          <t>Input</t>
        </is>
      </c>
      <c r="F68" t="n">
        <v/>
      </c>
      <c r="G68" t="inlineStr">
        <is>
          <t>Other Income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Income statement</t>
        </is>
      </c>
      <c r="B69" t="inlineStr">
        <is>
          <t>C8</t>
        </is>
      </c>
      <c r="C69" t="n">
        <v>8</v>
      </c>
      <c r="D69" t="n">
        <v>3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Income statement</t>
        </is>
      </c>
      <c r="B70" t="inlineStr">
        <is>
          <t>D8</t>
        </is>
      </c>
      <c r="C70" t="n">
        <v>8</v>
      </c>
      <c r="D70" t="n">
        <v>4</v>
      </c>
      <c r="E70" t="inlineStr">
        <is>
          <t>Input</t>
        </is>
      </c>
      <c r="F70" t="n">
        <v/>
      </c>
      <c r="G70" t="n">
        <v>1107.37</v>
      </c>
      <c r="H70" t="inlineStr"/>
      <c r="I70" t="inlineStr">
        <is>
          <t>#,##0.00</t>
        </is>
      </c>
      <c r="J70" t="b">
        <v>0</v>
      </c>
      <c r="K70" t="b">
        <v>0</v>
      </c>
      <c r="L70" t="n">
        <v>11</v>
      </c>
      <c r="M70" t="inlineStr">
        <is>
          <t>FF0B0280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Income statement</t>
        </is>
      </c>
      <c r="B71" t="inlineStr">
        <is>
          <t>E8</t>
        </is>
      </c>
      <c r="C71" t="n">
        <v>8</v>
      </c>
      <c r="D71" t="n">
        <v>5</v>
      </c>
      <c r="E71" t="inlineStr">
        <is>
          <t>Input</t>
        </is>
      </c>
      <c r="F71" t="n">
        <v/>
      </c>
      <c r="G71" t="n">
        <v>1439.6</v>
      </c>
      <c r="H71" t="inlineStr"/>
      <c r="I71" t="inlineStr">
        <is>
          <t>#,##0.00</t>
        </is>
      </c>
      <c r="J71" t="b">
        <v>0</v>
      </c>
      <c r="K71" t="b">
        <v>0</v>
      </c>
      <c r="L71" t="n">
        <v>11</v>
      </c>
      <c r="M71" t="inlineStr">
        <is>
          <t>FF0B0280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Income statement</t>
        </is>
      </c>
      <c r="B72" t="inlineStr">
        <is>
          <t>F8</t>
        </is>
      </c>
      <c r="C72" t="n">
        <v>8</v>
      </c>
      <c r="D72" t="n">
        <v>6</v>
      </c>
      <c r="E72" t="inlineStr">
        <is>
          <t>Input</t>
        </is>
      </c>
      <c r="F72" t="n">
        <v/>
      </c>
      <c r="G72" t="n">
        <v>2371.04</v>
      </c>
      <c r="H72" t="inlineStr"/>
      <c r="I72" t="inlineStr">
        <is>
          <t>#,##0.00</t>
        </is>
      </c>
      <c r="J72" t="b">
        <v>0</v>
      </c>
      <c r="K72" t="b">
        <v>0</v>
      </c>
      <c r="L72" t="n">
        <v>11</v>
      </c>
      <c r="M72" t="inlineStr">
        <is>
          <t>FF0B0280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Income statement</t>
        </is>
      </c>
      <c r="B73" t="inlineStr">
        <is>
          <t>G8</t>
        </is>
      </c>
      <c r="C73" t="n">
        <v>8</v>
      </c>
      <c r="D73" t="n">
        <v>7</v>
      </c>
      <c r="E73" t="inlineStr">
        <is>
          <t>Input</t>
        </is>
      </c>
      <c r="F73" t="n">
        <v/>
      </c>
      <c r="G73" t="n">
        <v>3155.34</v>
      </c>
      <c r="H73" t="inlineStr"/>
      <c r="I73" t="inlineStr">
        <is>
          <t>#,##0.00</t>
        </is>
      </c>
      <c r="J73" t="b">
        <v>0</v>
      </c>
      <c r="K73" t="b">
        <v>0</v>
      </c>
      <c r="L73" t="n">
        <v>11</v>
      </c>
      <c r="M73" t="inlineStr">
        <is>
          <t>FF0B0280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Income statement</t>
        </is>
      </c>
      <c r="B74" t="inlineStr">
        <is>
          <t>H8</t>
        </is>
      </c>
      <c r="C74" t="n">
        <v>8</v>
      </c>
      <c r="D74" t="n">
        <v>8</v>
      </c>
      <c r="E74" t="inlineStr">
        <is>
          <t>Input</t>
        </is>
      </c>
      <c r="F74" t="n">
        <v/>
      </c>
      <c r="G74" t="n">
        <v>3945.83</v>
      </c>
      <c r="H74" t="inlineStr"/>
      <c r="I74" t="inlineStr">
        <is>
          <t>#,##0.00</t>
        </is>
      </c>
      <c r="J74" t="b">
        <v>0</v>
      </c>
      <c r="K74" t="b">
        <v>0</v>
      </c>
      <c r="L74" t="n">
        <v>11</v>
      </c>
      <c r="M74" t="inlineStr">
        <is>
          <t>FF0B0280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Income statement</t>
        </is>
      </c>
      <c r="B75" t="inlineStr">
        <is>
          <t>I8</t>
        </is>
      </c>
      <c r="C75" t="n">
        <v>8</v>
      </c>
      <c r="D75" t="n">
        <v>9</v>
      </c>
      <c r="E75" t="inlineStr">
        <is>
          <t>Input</t>
        </is>
      </c>
      <c r="F75" t="n">
        <v/>
      </c>
      <c r="G75" t="n">
        <v>4613.93</v>
      </c>
      <c r="H75" t="inlineStr"/>
      <c r="I75" t="inlineStr">
        <is>
          <t>#,##0.00</t>
        </is>
      </c>
      <c r="J75" t="b">
        <v>0</v>
      </c>
      <c r="K75" t="b">
        <v>0</v>
      </c>
      <c r="L75" t="n">
        <v>11</v>
      </c>
      <c r="M75" t="inlineStr">
        <is>
          <t>FF0B0280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Income statement</t>
        </is>
      </c>
      <c r="B76" t="inlineStr">
        <is>
          <t>J8</t>
        </is>
      </c>
      <c r="C76" t="n">
        <v>8</v>
      </c>
      <c r="D76" t="n">
        <v>10</v>
      </c>
      <c r="E76" t="inlineStr">
        <is>
          <t>Input</t>
        </is>
      </c>
      <c r="F76" t="n">
        <v/>
      </c>
      <c r="G76" t="n">
        <v>7890.7</v>
      </c>
      <c r="H76" t="inlineStr"/>
      <c r="I76" t="inlineStr">
        <is>
          <t>#,##0.00</t>
        </is>
      </c>
      <c r="J76" t="b">
        <v>0</v>
      </c>
      <c r="K76" t="b">
        <v>0</v>
      </c>
      <c r="L76" t="n">
        <v>11</v>
      </c>
      <c r="M76" t="inlineStr">
        <is>
          <t>FF0B0280</t>
        </is>
      </c>
      <c r="N76" t="inlineStr">
        <is>
          <t>00000000</t>
        </is>
      </c>
      <c r="O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Income statement</t>
        </is>
      </c>
      <c r="B77" t="inlineStr">
        <is>
          <t>K8</t>
        </is>
      </c>
      <c r="C77" t="n">
        <v>8</v>
      </c>
      <c r="D77" t="n">
        <v>11</v>
      </c>
      <c r="E77" t="inlineStr">
        <is>
          <t>Calculation</t>
        </is>
      </c>
      <c r="F77" t="inlineStr">
        <is>
          <t>'='Assumptions Sheet'!K30</t>
        </is>
      </c>
      <c r="G77" t="n">
        <v>6513.935219999998</v>
      </c>
      <c r="H77" t="inlineStr"/>
      <c r="I77" t="inlineStr">
        <is>
          <t>0</t>
        </is>
      </c>
      <c r="J77" t="b">
        <v>0</v>
      </c>
      <c r="K77" t="b">
        <v>0</v>
      </c>
      <c r="L77" t="n">
        <v>11</v>
      </c>
      <c r="M77" t="n">
        <v/>
      </c>
      <c r="N77" t="inlineStr">
        <is>
          <t>00000000</t>
        </is>
      </c>
      <c r="O77" t="n">
        <v/>
      </c>
      <c r="R77" t="b">
        <v>1</v>
      </c>
      <c r="S77" t="inlineStr">
        <is>
          <t>G000059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Income statement!K8:O8</t>
        </is>
      </c>
      <c r="X77">
        <f>'Assumptions Sheet'!R[22]C[0]</f>
        <v/>
      </c>
    </row>
    <row r="78">
      <c r="A78" t="inlineStr">
        <is>
          <t>Income statement</t>
        </is>
      </c>
      <c r="B78" t="inlineStr">
        <is>
          <t>L8</t>
        </is>
      </c>
      <c r="C78" t="n">
        <v>8</v>
      </c>
      <c r="D78" t="n">
        <v>12</v>
      </c>
      <c r="E78" t="inlineStr">
        <is>
          <t>Calculation</t>
        </is>
      </c>
      <c r="F78" t="inlineStr">
        <is>
          <t>'='Assumptions Sheet'!L30</t>
        </is>
      </c>
      <c r="G78" t="n">
        <v>7816.722263999998</v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n">
        <v/>
      </c>
      <c r="N78" t="inlineStr">
        <is>
          <t>00000000</t>
        </is>
      </c>
      <c r="O78" t="n">
        <v/>
      </c>
      <c r="R78" t="b">
        <v>1</v>
      </c>
      <c r="S78" t="inlineStr">
        <is>
          <t>G000059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Income statement!K8:O8</t>
        </is>
      </c>
      <c r="X78">
        <f>'Assumptions Sheet'!R[22]C[0]</f>
        <v/>
      </c>
    </row>
    <row r="79">
      <c r="A79" t="inlineStr">
        <is>
          <t>Income statement</t>
        </is>
      </c>
      <c r="B79" t="inlineStr">
        <is>
          <t>M8</t>
        </is>
      </c>
      <c r="C79" t="n">
        <v>8</v>
      </c>
      <c r="D79" t="n">
        <v>13</v>
      </c>
      <c r="E79" t="inlineStr">
        <is>
          <t>Calculation</t>
        </is>
      </c>
      <c r="F79" t="inlineStr">
        <is>
          <t>'='Assumptions Sheet'!M30</t>
        </is>
      </c>
      <c r="G79" t="n">
        <v>9380.066716799996</v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n">
        <v/>
      </c>
      <c r="N79" t="inlineStr">
        <is>
          <t>00000000</t>
        </is>
      </c>
      <c r="O79" t="n">
        <v/>
      </c>
      <c r="R79" t="b">
        <v>1</v>
      </c>
      <c r="S79" t="inlineStr">
        <is>
          <t>G000059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Income statement!K8:O8</t>
        </is>
      </c>
      <c r="X79">
        <f>'Assumptions Sheet'!R[22]C[0]</f>
        <v/>
      </c>
    </row>
    <row r="80">
      <c r="A80" t="inlineStr">
        <is>
          <t>Income statement</t>
        </is>
      </c>
      <c r="B80" t="inlineStr">
        <is>
          <t>N8</t>
        </is>
      </c>
      <c r="C80" t="n">
        <v>8</v>
      </c>
      <c r="D80" t="n">
        <v>14</v>
      </c>
      <c r="E80" t="inlineStr">
        <is>
          <t>Calculation</t>
        </is>
      </c>
      <c r="F80" t="inlineStr">
        <is>
          <t>'='Assumptions Sheet'!N30</t>
        </is>
      </c>
      <c r="G80" t="n">
        <v>11256.08006016</v>
      </c>
      <c r="H80" t="inlineStr"/>
      <c r="I80" t="inlineStr">
        <is>
          <t>0</t>
        </is>
      </c>
      <c r="J80" t="b">
        <v>0</v>
      </c>
      <c r="K80" t="b">
        <v>0</v>
      </c>
      <c r="L80" t="n">
        <v>11</v>
      </c>
      <c r="M80" t="n">
        <v/>
      </c>
      <c r="N80" t="inlineStr">
        <is>
          <t>00000000</t>
        </is>
      </c>
      <c r="O80" t="n">
        <v/>
      </c>
      <c r="R80" t="b">
        <v>1</v>
      </c>
      <c r="S80" t="inlineStr">
        <is>
          <t>G000059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Income statement!K8:O8</t>
        </is>
      </c>
      <c r="X80">
        <f>'Assumptions Sheet'!R[22]C[0]</f>
        <v/>
      </c>
    </row>
    <row r="81">
      <c r="A81" t="inlineStr">
        <is>
          <t>Income statement</t>
        </is>
      </c>
      <c r="B81" t="inlineStr">
        <is>
          <t>O8</t>
        </is>
      </c>
      <c r="C81" t="n">
        <v>8</v>
      </c>
      <c r="D81" t="n">
        <v>15</v>
      </c>
      <c r="E81" t="inlineStr">
        <is>
          <t>Calculation</t>
        </is>
      </c>
      <c r="F81" t="inlineStr">
        <is>
          <t>'='Assumptions Sheet'!O30</t>
        </is>
      </c>
      <c r="G81" t="n">
        <v>13507.296072192</v>
      </c>
      <c r="H81" t="inlineStr"/>
      <c r="I81" t="inlineStr">
        <is>
          <t>0</t>
        </is>
      </c>
      <c r="J81" t="b">
        <v>0</v>
      </c>
      <c r="K81" t="b">
        <v>0</v>
      </c>
      <c r="L81" t="n">
        <v>11</v>
      </c>
      <c r="M81" t="n">
        <v/>
      </c>
      <c r="N81" t="inlineStr">
        <is>
          <t>00000000</t>
        </is>
      </c>
      <c r="O81" t="n">
        <v/>
      </c>
      <c r="R81" t="b">
        <v>1</v>
      </c>
      <c r="S81" t="inlineStr">
        <is>
          <t>G000059</t>
        </is>
      </c>
      <c r="T81" t="inlineStr">
        <is>
          <t>Horizontal</t>
        </is>
      </c>
      <c r="U81" t="n">
        <v>5</v>
      </c>
      <c r="V81" t="b">
        <v>1</v>
      </c>
      <c r="W81" t="inlineStr">
        <is>
          <t>Income statement!K8:O8</t>
        </is>
      </c>
      <c r="X81">
        <f>'Assumptions Sheet'!R[22]C[0]</f>
        <v/>
      </c>
    </row>
    <row r="82">
      <c r="A82" t="inlineStr">
        <is>
          <t>Income statement</t>
        </is>
      </c>
      <c r="B82" t="inlineStr">
        <is>
          <t>P8</t>
        </is>
      </c>
      <c r="C82" t="n">
        <v>8</v>
      </c>
      <c r="D82" t="n">
        <v>16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n">
        <v/>
      </c>
      <c r="N82" t="inlineStr">
        <is>
          <t>00000000</t>
        </is>
      </c>
      <c r="O82" t="n">
        <v/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Income statement</t>
        </is>
      </c>
      <c r="B83" t="inlineStr">
        <is>
          <t>A9</t>
        </is>
      </c>
      <c r="C83" t="n">
        <v>9</v>
      </c>
      <c r="D83" t="n">
        <v>1</v>
      </c>
      <c r="E83" t="inlineStr">
        <is>
          <t>Input</t>
        </is>
      </c>
      <c r="F83" t="n">
        <v/>
      </c>
      <c r="G83" t="inlineStr">
        <is>
          <t>Total Revenue</t>
        </is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Income statement</t>
        </is>
      </c>
      <c r="B84" t="inlineStr">
        <is>
          <t>D9</t>
        </is>
      </c>
      <c r="C84" t="n">
        <v>9</v>
      </c>
      <c r="D84" t="n">
        <v>4</v>
      </c>
      <c r="E84" t="inlineStr">
        <is>
          <t>Calculation</t>
        </is>
      </c>
      <c r="F84" t="inlineStr">
        <is>
          <t>'=SUM(D7:D8)</t>
        </is>
      </c>
      <c r="G84" t="n">
        <v>39441.57</v>
      </c>
      <c r="H84" t="inlineStr"/>
      <c r="I84" t="inlineStr">
        <is>
          <t>#,##0</t>
        </is>
      </c>
      <c r="J84" t="b">
        <v>1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1</v>
      </c>
      <c r="S84" t="inlineStr">
        <is>
          <t>G000060</t>
        </is>
      </c>
      <c r="T84" t="inlineStr">
        <is>
          <t>Horizontal</t>
        </is>
      </c>
      <c r="U84" t="n">
        <v>12</v>
      </c>
      <c r="V84" t="b">
        <v>1</v>
      </c>
      <c r="W84" t="inlineStr">
        <is>
          <t>Income statement!D9:O9</t>
        </is>
      </c>
      <c r="X84">
        <f>SUM(R[-2]C[0]:R[-1]C[0])</f>
        <v/>
      </c>
    </row>
    <row r="85">
      <c r="A85" t="inlineStr">
        <is>
          <t>Income statement</t>
        </is>
      </c>
      <c r="B85" t="inlineStr">
        <is>
          <t>E9</t>
        </is>
      </c>
      <c r="C85" t="n">
        <v>9</v>
      </c>
      <c r="D85" t="n">
        <v>5</v>
      </c>
      <c r="E85" t="inlineStr">
        <is>
          <t>Calculation</t>
        </is>
      </c>
      <c r="F85" t="inlineStr">
        <is>
          <t>'=SUM(E7:E8)</t>
        </is>
      </c>
      <c r="G85" t="n">
        <v>57086.2</v>
      </c>
      <c r="H85" t="inlineStr"/>
      <c r="I85" t="inlineStr">
        <is>
          <t>#,##0</t>
        </is>
      </c>
      <c r="J85" t="b">
        <v>1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inlineStr">
        <is>
          <t>G000060</t>
        </is>
      </c>
      <c r="T85" t="inlineStr">
        <is>
          <t>Horizontal</t>
        </is>
      </c>
      <c r="U85" t="n">
        <v>12</v>
      </c>
      <c r="V85" t="b">
        <v>1</v>
      </c>
      <c r="W85" t="inlineStr">
        <is>
          <t>Income statement!D9:O9</t>
        </is>
      </c>
      <c r="X85">
        <f>SUM(R[-2]C[0]:R[-1]C[0])</f>
        <v/>
      </c>
    </row>
    <row r="86">
      <c r="A86" t="inlineStr">
        <is>
          <t>Income statement</t>
        </is>
      </c>
      <c r="B86" t="inlineStr">
        <is>
          <t>F9</t>
        </is>
      </c>
      <c r="C86" t="n">
        <v>9</v>
      </c>
      <c r="D86" t="n">
        <v>6</v>
      </c>
      <c r="E86" t="inlineStr">
        <is>
          <t>Calculation</t>
        </is>
      </c>
      <c r="F86" t="inlineStr">
        <is>
          <t>'=SUM(F7:F8)</t>
        </is>
      </c>
      <c r="G86" t="n">
        <v>94402.34</v>
      </c>
      <c r="H86" t="inlineStr"/>
      <c r="I86" t="inlineStr">
        <is>
          <t>#,##0</t>
        </is>
      </c>
      <c r="J86" t="b">
        <v>1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inlineStr">
        <is>
          <t>G000060</t>
        </is>
      </c>
      <c r="T86" t="inlineStr">
        <is>
          <t>Horizontal</t>
        </is>
      </c>
      <c r="U86" t="n">
        <v>12</v>
      </c>
      <c r="V86" t="b">
        <v>1</v>
      </c>
      <c r="W86" t="inlineStr">
        <is>
          <t>Income statement!D9:O9</t>
        </is>
      </c>
      <c r="X86">
        <f>SUM(R[-2]C[0]:R[-1]C[0])</f>
        <v/>
      </c>
    </row>
    <row r="87">
      <c r="A87" t="inlineStr">
        <is>
          <t>Income statement</t>
        </is>
      </c>
      <c r="B87" t="inlineStr">
        <is>
          <t>G9</t>
        </is>
      </c>
      <c r="C87" t="n">
        <v>9</v>
      </c>
      <c r="D87" t="n">
        <v>7</v>
      </c>
      <c r="E87" t="inlineStr">
        <is>
          <t>Calculation</t>
        </is>
      </c>
      <c r="F87" t="inlineStr">
        <is>
          <t>'=SUM(G7:G8)</t>
        </is>
      </c>
      <c r="G87" t="n">
        <v>114321.18</v>
      </c>
      <c r="H87" t="inlineStr"/>
      <c r="I87" t="inlineStr">
        <is>
          <t>#,##0</t>
        </is>
      </c>
      <c r="J87" t="b">
        <v>1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G000060</t>
        </is>
      </c>
      <c r="T87" t="inlineStr">
        <is>
          <t>Horizontal</t>
        </is>
      </c>
      <c r="U87" t="n">
        <v>12</v>
      </c>
      <c r="V87" t="b">
        <v>1</v>
      </c>
      <c r="W87" t="inlineStr">
        <is>
          <t>Income statement!D9:O9</t>
        </is>
      </c>
      <c r="X87">
        <f>SUM(R[-2]C[0]:R[-1]C[0])</f>
        <v/>
      </c>
    </row>
    <row r="88">
      <c r="A88" t="inlineStr">
        <is>
          <t>Income statement</t>
        </is>
      </c>
      <c r="B88" t="inlineStr">
        <is>
          <t>H9</t>
        </is>
      </c>
      <c r="C88" t="n">
        <v>9</v>
      </c>
      <c r="D88" t="n">
        <v>8</v>
      </c>
      <c r="E88" t="inlineStr">
        <is>
          <t>Calculation</t>
        </is>
      </c>
      <c r="F88" t="inlineStr">
        <is>
          <t>'=SUM(H7:H8)</t>
        </is>
      </c>
      <c r="G88" t="n">
        <v>143199.19</v>
      </c>
      <c r="H88" t="inlineStr"/>
      <c r="I88" t="inlineStr">
        <is>
          <t>#,##0</t>
        </is>
      </c>
      <c r="J88" t="b">
        <v>1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G000060</t>
        </is>
      </c>
      <c r="T88" t="inlineStr">
        <is>
          <t>Horizontal</t>
        </is>
      </c>
      <c r="U88" t="n">
        <v>12</v>
      </c>
      <c r="V88" t="b">
        <v>1</v>
      </c>
      <c r="W88" t="inlineStr">
        <is>
          <t>Income statement!D9:O9</t>
        </is>
      </c>
      <c r="X88">
        <f>SUM(R[-2]C[0]:R[-1]C[0])</f>
        <v/>
      </c>
    </row>
    <row r="89">
      <c r="A89" t="inlineStr">
        <is>
          <t>Income statement</t>
        </is>
      </c>
      <c r="B89" t="inlineStr">
        <is>
          <t>I9</t>
        </is>
      </c>
      <c r="C89" t="n">
        <v>9</v>
      </c>
      <c r="D89" t="n">
        <v>9</v>
      </c>
      <c r="E89" t="inlineStr">
        <is>
          <t>Calculation</t>
        </is>
      </c>
      <c r="F89" t="inlineStr">
        <is>
          <t>'=SUM(I7:I8)</t>
        </is>
      </c>
      <c r="G89" t="n">
        <v>166013.02</v>
      </c>
      <c r="H89" t="inlineStr"/>
      <c r="I89" t="inlineStr">
        <is>
          <t>#,##0</t>
        </is>
      </c>
      <c r="J89" t="b">
        <v>1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G000060</t>
        </is>
      </c>
      <c r="T89" t="inlineStr">
        <is>
          <t>Horizontal</t>
        </is>
      </c>
      <c r="U89" t="n">
        <v>12</v>
      </c>
      <c r="V89" t="b">
        <v>1</v>
      </c>
      <c r="W89" t="inlineStr">
        <is>
          <t>Income statement!D9:O9</t>
        </is>
      </c>
      <c r="X89">
        <f>SUM(R[-2]C[0]:R[-1]C[0])</f>
        <v/>
      </c>
    </row>
    <row r="90">
      <c r="A90" t="inlineStr">
        <is>
          <t>Income statement</t>
        </is>
      </c>
      <c r="B90" t="inlineStr">
        <is>
          <t>J9</t>
        </is>
      </c>
      <c r="C90" t="n">
        <v>9</v>
      </c>
      <c r="D90" t="n">
        <v>10</v>
      </c>
      <c r="E90" t="inlineStr">
        <is>
          <t>Calculation</t>
        </is>
      </c>
      <c r="F90" t="inlineStr">
        <is>
          <t>'=SUM(J7:J8)</t>
        </is>
      </c>
      <c r="G90" t="n">
        <v>193695.7</v>
      </c>
      <c r="H90" t="inlineStr"/>
      <c r="I90" t="inlineStr">
        <is>
          <t>#,##0</t>
        </is>
      </c>
      <c r="J90" t="b">
        <v>1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G000060</t>
        </is>
      </c>
      <c r="T90" t="inlineStr">
        <is>
          <t>Horizontal</t>
        </is>
      </c>
      <c r="U90" t="n">
        <v>12</v>
      </c>
      <c r="V90" t="b">
        <v>1</v>
      </c>
      <c r="W90" t="inlineStr">
        <is>
          <t>Income statement!D9:O9</t>
        </is>
      </c>
      <c r="X90">
        <f>SUM(R[-2]C[0]:R[-1]C[0])</f>
        <v/>
      </c>
    </row>
    <row r="91">
      <c r="A91" t="inlineStr">
        <is>
          <t>Income statement</t>
        </is>
      </c>
      <c r="B91" t="inlineStr">
        <is>
          <t>K9</t>
        </is>
      </c>
      <c r="C91" t="n">
        <v>9</v>
      </c>
      <c r="D91" t="n">
        <v>11</v>
      </c>
      <c r="E91" t="inlineStr">
        <is>
          <t>Calculation</t>
        </is>
      </c>
      <c r="F91" t="inlineStr">
        <is>
          <t>'=SUM(K7:K8)</t>
        </is>
      </c>
      <c r="G91" t="n">
        <v>254652.5278132231</v>
      </c>
      <c r="H91" t="inlineStr"/>
      <c r="I91" t="inlineStr">
        <is>
          <t>#,##0</t>
        </is>
      </c>
      <c r="J91" t="b">
        <v>1</v>
      </c>
      <c r="K91" t="b">
        <v>0</v>
      </c>
      <c r="L91" t="n">
        <v>11</v>
      </c>
      <c r="M91" t="n">
        <v/>
      </c>
      <c r="N91" t="inlineStr">
        <is>
          <t>00000000</t>
        </is>
      </c>
      <c r="O91" t="n">
        <v/>
      </c>
      <c r="R91" t="b">
        <v>1</v>
      </c>
      <c r="S91" t="inlineStr">
        <is>
          <t>G000060</t>
        </is>
      </c>
      <c r="T91" t="inlineStr">
        <is>
          <t>Horizontal</t>
        </is>
      </c>
      <c r="U91" t="n">
        <v>12</v>
      </c>
      <c r="V91" t="b">
        <v>1</v>
      </c>
      <c r="W91" t="inlineStr">
        <is>
          <t>Income statement!D9:O9</t>
        </is>
      </c>
      <c r="X91">
        <f>SUM(R[-2]C[0]:R[-1]C[0])</f>
        <v/>
      </c>
    </row>
    <row r="92">
      <c r="A92" t="inlineStr">
        <is>
          <t>Income statement</t>
        </is>
      </c>
      <c r="B92" t="inlineStr">
        <is>
          <t>L9</t>
        </is>
      </c>
      <c r="C92" t="n">
        <v>9</v>
      </c>
      <c r="D92" t="n">
        <v>12</v>
      </c>
      <c r="E92" t="inlineStr">
        <is>
          <t>Calculation</t>
        </is>
      </c>
      <c r="F92" t="inlineStr">
        <is>
          <t>'=SUM(L7:L8)</t>
        </is>
      </c>
      <c r="G92" t="n">
        <v>305739.3678211478</v>
      </c>
      <c r="H92" t="inlineStr"/>
      <c r="I92" t="inlineStr">
        <is>
          <t>#,##0</t>
        </is>
      </c>
      <c r="J92" t="b">
        <v>1</v>
      </c>
      <c r="K92" t="b">
        <v>0</v>
      </c>
      <c r="L92" t="n">
        <v>11</v>
      </c>
      <c r="M92" t="n">
        <v/>
      </c>
      <c r="N92" t="inlineStr">
        <is>
          <t>00000000</t>
        </is>
      </c>
      <c r="O92" t="n">
        <v/>
      </c>
      <c r="R92" t="b">
        <v>1</v>
      </c>
      <c r="S92" t="inlineStr">
        <is>
          <t>G000060</t>
        </is>
      </c>
      <c r="T92" t="inlineStr">
        <is>
          <t>Horizontal</t>
        </is>
      </c>
      <c r="U92" t="n">
        <v>12</v>
      </c>
      <c r="V92" t="b">
        <v>1</v>
      </c>
      <c r="W92" t="inlineStr">
        <is>
          <t>Income statement!D9:O9</t>
        </is>
      </c>
      <c r="X92">
        <f>SUM(R[-2]C[0]:R[-1]C[0])</f>
        <v/>
      </c>
    </row>
    <row r="93">
      <c r="A93" t="inlineStr">
        <is>
          <t>Income statement</t>
        </is>
      </c>
      <c r="B93" t="inlineStr">
        <is>
          <t>M9</t>
        </is>
      </c>
      <c r="C93" t="n">
        <v>9</v>
      </c>
      <c r="D93" t="n">
        <v>13</v>
      </c>
      <c r="E93" t="inlineStr">
        <is>
          <t>Calculation</t>
        </is>
      </c>
      <c r="F93" t="inlineStr">
        <is>
          <t>'=SUM(M7:M8)</t>
        </is>
      </c>
      <c r="G93" t="n">
        <v>365511.4982669132</v>
      </c>
      <c r="H93" t="inlineStr"/>
      <c r="I93" t="inlineStr">
        <is>
          <t>#,##0</t>
        </is>
      </c>
      <c r="J93" t="b">
        <v>1</v>
      </c>
      <c r="K93" t="b">
        <v>0</v>
      </c>
      <c r="L93" t="n">
        <v>11</v>
      </c>
      <c r="M93" t="n">
        <v/>
      </c>
      <c r="N93" t="inlineStr">
        <is>
          <t>00000000</t>
        </is>
      </c>
      <c r="O93" t="n">
        <v/>
      </c>
      <c r="R93" t="b">
        <v>1</v>
      </c>
      <c r="S93" t="inlineStr">
        <is>
          <t>G000060</t>
        </is>
      </c>
      <c r="T93" t="inlineStr">
        <is>
          <t>Horizontal</t>
        </is>
      </c>
      <c r="U93" t="n">
        <v>12</v>
      </c>
      <c r="V93" t="b">
        <v>1</v>
      </c>
      <c r="W93" t="inlineStr">
        <is>
          <t>Income statement!D9:O9</t>
        </is>
      </c>
      <c r="X93">
        <f>SUM(R[-2]C[0]:R[-1]C[0])</f>
        <v/>
      </c>
    </row>
    <row r="94">
      <c r="A94" t="inlineStr">
        <is>
          <t>Income statement</t>
        </is>
      </c>
      <c r="B94" t="inlineStr">
        <is>
          <t>N9</t>
        </is>
      </c>
      <c r="C94" t="n">
        <v>9</v>
      </c>
      <c r="D94" t="n">
        <v>14</v>
      </c>
      <c r="E94" t="inlineStr">
        <is>
          <t>Calculation</t>
        </is>
      </c>
      <c r="F94" t="inlineStr">
        <is>
          <t>'=SUM(N7:N8)</t>
        </is>
      </c>
      <c r="G94" t="n">
        <v>436962.9061781392</v>
      </c>
      <c r="H94" t="inlineStr"/>
      <c r="I94" t="inlineStr">
        <is>
          <t>#,##0</t>
        </is>
      </c>
      <c r="J94" t="b">
        <v>1</v>
      </c>
      <c r="K94" t="b">
        <v>0</v>
      </c>
      <c r="L94" t="n">
        <v>11</v>
      </c>
      <c r="M94" t="n">
        <v/>
      </c>
      <c r="N94" t="inlineStr">
        <is>
          <t>00000000</t>
        </is>
      </c>
      <c r="O94" t="n">
        <v/>
      </c>
      <c r="R94" t="b">
        <v>1</v>
      </c>
      <c r="S94" t="inlineStr">
        <is>
          <t>G000060</t>
        </is>
      </c>
      <c r="T94" t="inlineStr">
        <is>
          <t>Horizontal</t>
        </is>
      </c>
      <c r="U94" t="n">
        <v>12</v>
      </c>
      <c r="V94" t="b">
        <v>1</v>
      </c>
      <c r="W94" t="inlineStr">
        <is>
          <t>Income statement!D9:O9</t>
        </is>
      </c>
      <c r="X94">
        <f>SUM(R[-2]C[0]:R[-1]C[0])</f>
        <v/>
      </c>
    </row>
    <row r="95">
      <c r="A95" t="inlineStr">
        <is>
          <t>Income statement</t>
        </is>
      </c>
      <c r="B95" t="inlineStr">
        <is>
          <t>O9</t>
        </is>
      </c>
      <c r="C95" t="n">
        <v>9</v>
      </c>
      <c r="D95" t="n">
        <v>15</v>
      </c>
      <c r="E95" t="inlineStr">
        <is>
          <t>Calculation</t>
        </is>
      </c>
      <c r="F95" t="inlineStr">
        <is>
          <t>'=SUM(O7:O8)</t>
        </is>
      </c>
      <c r="G95" t="n">
        <v>524625.6333352108</v>
      </c>
      <c r="H95" t="inlineStr"/>
      <c r="I95" t="inlineStr">
        <is>
          <t>#,##0</t>
        </is>
      </c>
      <c r="J95" t="b">
        <v>1</v>
      </c>
      <c r="K95" t="b">
        <v>0</v>
      </c>
      <c r="L95" t="n">
        <v>11</v>
      </c>
      <c r="M95" t="n">
        <v/>
      </c>
      <c r="N95" t="inlineStr">
        <is>
          <t>00000000</t>
        </is>
      </c>
      <c r="O95" t="n">
        <v/>
      </c>
      <c r="R95" t="b">
        <v>1</v>
      </c>
      <c r="S95" t="inlineStr">
        <is>
          <t>G000060</t>
        </is>
      </c>
      <c r="T95" t="inlineStr">
        <is>
          <t>Horizontal</t>
        </is>
      </c>
      <c r="U95" t="n">
        <v>12</v>
      </c>
      <c r="V95" t="b">
        <v>1</v>
      </c>
      <c r="W95" t="inlineStr">
        <is>
          <t>Income statement!D9:O9</t>
        </is>
      </c>
      <c r="X95">
        <f>SUM(R[-2]C[0]:R[-1]C[0])</f>
        <v/>
      </c>
    </row>
    <row r="96">
      <c r="A96" t="inlineStr">
        <is>
          <t>Income statement</t>
        </is>
      </c>
      <c r="B96" t="inlineStr">
        <is>
          <t>P9</t>
        </is>
      </c>
      <c r="C96" t="n">
        <v>9</v>
      </c>
      <c r="D96" t="n">
        <v>16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n">
        <v/>
      </c>
      <c r="N96" t="inlineStr">
        <is>
          <t>00000000</t>
        </is>
      </c>
      <c r="O96" t="n">
        <v/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Income statement</t>
        </is>
      </c>
      <c r="B97" t="inlineStr">
        <is>
          <t>A10</t>
        </is>
      </c>
      <c r="C97" t="n">
        <v>10</v>
      </c>
      <c r="D97" t="n">
        <v>1</v>
      </c>
      <c r="E97" t="inlineStr">
        <is>
          <t>Input</t>
        </is>
      </c>
      <c r="F97" t="n">
        <v/>
      </c>
      <c r="G97" t="inlineStr">
        <is>
          <t>Purchase of stock in trade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Income statement</t>
        </is>
      </c>
      <c r="B98" t="inlineStr">
        <is>
          <t>D10</t>
        </is>
      </c>
      <c r="C98" t="n">
        <v>10</v>
      </c>
      <c r="D98" t="n">
        <v>4</v>
      </c>
      <c r="E98" t="inlineStr">
        <is>
          <t>Input</t>
        </is>
      </c>
      <c r="F98" t="n">
        <v/>
      </c>
      <c r="G98" t="n">
        <v>190.93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FF0B0280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Income statement</t>
        </is>
      </c>
      <c r="B99" t="inlineStr">
        <is>
          <t>E10</t>
        </is>
      </c>
      <c r="C99" t="n">
        <v>10</v>
      </c>
      <c r="D99" t="n">
        <v>5</v>
      </c>
      <c r="E99" t="inlineStr">
        <is>
          <t>Input</t>
        </is>
      </c>
      <c r="F99" t="n">
        <v/>
      </c>
      <c r="G99" t="n">
        <v>341.79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FF0B0280</t>
        </is>
      </c>
      <c r="N99" t="inlineStr">
        <is>
          <t>00000000</t>
        </is>
      </c>
      <c r="O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Income statement</t>
        </is>
      </c>
      <c r="B100" t="inlineStr">
        <is>
          <t>F10</t>
        </is>
      </c>
      <c r="C100" t="n">
        <v>10</v>
      </c>
      <c r="D100" t="n">
        <v>6</v>
      </c>
      <c r="E100" t="inlineStr">
        <is>
          <t>Input</t>
        </is>
      </c>
      <c r="F100" t="n">
        <v/>
      </c>
      <c r="G100" t="n">
        <v>559.9400000000001</v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FF0B0280</t>
        </is>
      </c>
      <c r="N100" t="inlineStr">
        <is>
          <t>00000000</t>
        </is>
      </c>
      <c r="O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Income statement</t>
        </is>
      </c>
      <c r="B101" t="inlineStr">
        <is>
          <t>G10</t>
        </is>
      </c>
      <c r="C101" t="n">
        <v>10</v>
      </c>
      <c r="D101" t="n">
        <v>7</v>
      </c>
      <c r="E101" t="inlineStr">
        <is>
          <t>Input</t>
        </is>
      </c>
      <c r="F101" t="n">
        <v/>
      </c>
      <c r="G101" t="n">
        <v>589.63</v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FF0B0280</t>
        </is>
      </c>
      <c r="N101" t="inlineStr">
        <is>
          <t>00000000</t>
        </is>
      </c>
      <c r="O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Income statement</t>
        </is>
      </c>
      <c r="B102" t="inlineStr">
        <is>
          <t>H10</t>
        </is>
      </c>
      <c r="C102" t="n">
        <v>10</v>
      </c>
      <c r="D102" t="n">
        <v>8</v>
      </c>
      <c r="E102" t="inlineStr">
        <is>
          <t>Input</t>
        </is>
      </c>
      <c r="F102" t="n">
        <v/>
      </c>
      <c r="G102" t="n">
        <v>817.1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FF0B0280</t>
        </is>
      </c>
      <c r="N102" t="inlineStr">
        <is>
          <t>00000000</t>
        </is>
      </c>
      <c r="O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Income statement</t>
        </is>
      </c>
      <c r="B103" t="inlineStr">
        <is>
          <t>I10</t>
        </is>
      </c>
      <c r="C103" t="n">
        <v>10</v>
      </c>
      <c r="D103" t="n">
        <v>9</v>
      </c>
      <c r="E103" t="inlineStr">
        <is>
          <t>Input</t>
        </is>
      </c>
      <c r="F103" t="n">
        <v/>
      </c>
      <c r="G103" t="n">
        <v>1147.82</v>
      </c>
      <c r="H103" t="inlineStr"/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FF0B0280</t>
        </is>
      </c>
      <c r="N103" t="inlineStr">
        <is>
          <t>00000000</t>
        </is>
      </c>
      <c r="O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Income statement</t>
        </is>
      </c>
      <c r="B104" t="inlineStr">
        <is>
          <t>J10</t>
        </is>
      </c>
      <c r="C104" t="n">
        <v>10</v>
      </c>
      <c r="D104" t="n">
        <v>10</v>
      </c>
      <c r="E104" t="inlineStr">
        <is>
          <t>Input</t>
        </is>
      </c>
      <c r="F104" t="n">
        <v/>
      </c>
      <c r="G104" t="n">
        <v>1238.32</v>
      </c>
      <c r="H104" t="inlineStr"/>
      <c r="I104" t="inlineStr">
        <is>
          <t>0</t>
        </is>
      </c>
      <c r="J104" t="b">
        <v>0</v>
      </c>
      <c r="K104" t="b">
        <v>0</v>
      </c>
      <c r="L104" t="n">
        <v>11</v>
      </c>
      <c r="M104" t="inlineStr">
        <is>
          <t>FF0B0280</t>
        </is>
      </c>
      <c r="N104" t="inlineStr">
        <is>
          <t>00000000</t>
        </is>
      </c>
      <c r="O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Income statement</t>
        </is>
      </c>
      <c r="B105" t="inlineStr">
        <is>
          <t>K10</t>
        </is>
      </c>
      <c r="C105" t="n">
        <v>10</v>
      </c>
      <c r="D105" t="n">
        <v>11</v>
      </c>
      <c r="E105" t="inlineStr">
        <is>
          <t>Calculation</t>
        </is>
      </c>
      <c r="F105" t="inlineStr">
        <is>
          <t>'='Cost Matrix'!K32</t>
        </is>
      </c>
      <c r="G105" t="n">
        <v>1393.479524967766</v>
      </c>
      <c r="H105" t="inlineStr"/>
      <c r="I105" t="inlineStr">
        <is>
          <t>#,##0</t>
        </is>
      </c>
      <c r="J105" t="b">
        <v>0</v>
      </c>
      <c r="K105" t="b">
        <v>0</v>
      </c>
      <c r="L105" t="n">
        <v>11</v>
      </c>
      <c r="M105" t="n">
        <v/>
      </c>
      <c r="N105" t="inlineStr">
        <is>
          <t>00000000</t>
        </is>
      </c>
      <c r="O105" t="n">
        <v/>
      </c>
      <c r="R105" t="b">
        <v>1</v>
      </c>
      <c r="S105" t="inlineStr">
        <is>
          <t>G000061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Income statement!K10:O10</t>
        </is>
      </c>
      <c r="X105">
        <f>'Cost Matrix'!R[22]C[0]</f>
        <v/>
      </c>
    </row>
    <row r="106">
      <c r="A106" t="inlineStr">
        <is>
          <t>Income statement</t>
        </is>
      </c>
      <c r="B106" t="inlineStr">
        <is>
          <t>L10</t>
        </is>
      </c>
      <c r="C106" t="n">
        <v>10</v>
      </c>
      <c r="D106" t="n">
        <v>12</v>
      </c>
      <c r="E106" t="inlineStr">
        <is>
          <t>Calculation</t>
        </is>
      </c>
      <c r="F106" t="inlineStr">
        <is>
          <t>'='Cost Matrix'!L32</t>
        </is>
      </c>
      <c r="G106" t="n">
        <v>1699.043791220932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n">
        <v/>
      </c>
      <c r="N106" t="inlineStr">
        <is>
          <t>00000000</t>
        </is>
      </c>
      <c r="O106" t="n">
        <v/>
      </c>
      <c r="R106" t="b">
        <v>1</v>
      </c>
      <c r="S106" t="inlineStr">
        <is>
          <t>G000061</t>
        </is>
      </c>
      <c r="T106" t="inlineStr">
        <is>
          <t>Horizontal</t>
        </is>
      </c>
      <c r="U106" t="n">
        <v>5</v>
      </c>
      <c r="V106" t="b">
        <v>1</v>
      </c>
      <c r="W106" t="inlineStr">
        <is>
          <t>Income statement!K10:O10</t>
        </is>
      </c>
      <c r="X106">
        <f>'Cost Matrix'!R[22]C[0]</f>
        <v/>
      </c>
    </row>
    <row r="107">
      <c r="A107" t="inlineStr">
        <is>
          <t>Income statement</t>
        </is>
      </c>
      <c r="B107" t="inlineStr">
        <is>
          <t>M10</t>
        </is>
      </c>
      <c r="C107" t="n">
        <v>10</v>
      </c>
      <c r="D107" t="n">
        <v>13</v>
      </c>
      <c r="E107" t="inlineStr">
        <is>
          <t>Calculation</t>
        </is>
      </c>
      <c r="F107" t="inlineStr">
        <is>
          <t>'='Cost Matrix'!M32</t>
        </is>
      </c>
      <c r="G107" t="n">
        <v>2060.982620223484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n">
        <v/>
      </c>
      <c r="N107" t="inlineStr">
        <is>
          <t>00000000</t>
        </is>
      </c>
      <c r="O107" t="n">
        <v/>
      </c>
      <c r="R107" t="b">
        <v>1</v>
      </c>
      <c r="S107" t="inlineStr">
        <is>
          <t>G000061</t>
        </is>
      </c>
      <c r="T107" t="inlineStr">
        <is>
          <t>Horizontal</t>
        </is>
      </c>
      <c r="U107" t="n">
        <v>5</v>
      </c>
      <c r="V107" t="b">
        <v>1</v>
      </c>
      <c r="W107" t="inlineStr">
        <is>
          <t>Income statement!K10:O10</t>
        </is>
      </c>
      <c r="X107">
        <f>'Cost Matrix'!R[22]C[0]</f>
        <v/>
      </c>
    </row>
    <row r="108">
      <c r="A108" t="inlineStr">
        <is>
          <t>Income statement</t>
        </is>
      </c>
      <c r="B108" t="inlineStr">
        <is>
          <t>N10</t>
        </is>
      </c>
      <c r="C108" t="n">
        <v>10</v>
      </c>
      <c r="D108" t="n">
        <v>14</v>
      </c>
      <c r="E108" t="inlineStr">
        <is>
          <t>Calculation</t>
        </is>
      </c>
      <c r="F108" t="inlineStr">
        <is>
          <t>'='Cost Matrix'!N32</t>
        </is>
      </c>
      <c r="G108" t="n">
        <v>2497.884536306623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n">
        <v/>
      </c>
      <c r="N108" t="inlineStr">
        <is>
          <t>00000000</t>
        </is>
      </c>
      <c r="O108" t="n">
        <v/>
      </c>
      <c r="R108" t="b">
        <v>1</v>
      </c>
      <c r="S108" t="inlineStr">
        <is>
          <t>G000061</t>
        </is>
      </c>
      <c r="T108" t="inlineStr">
        <is>
          <t>Horizontal</t>
        </is>
      </c>
      <c r="U108" t="n">
        <v>5</v>
      </c>
      <c r="V108" t="b">
        <v>1</v>
      </c>
      <c r="W108" t="inlineStr">
        <is>
          <t>Income statement!K10:O10</t>
        </is>
      </c>
      <c r="X108">
        <f>'Cost Matrix'!R[22]C[0]</f>
        <v/>
      </c>
    </row>
    <row r="109">
      <c r="A109" t="inlineStr">
        <is>
          <t>Income statement</t>
        </is>
      </c>
      <c r="B109" t="inlineStr">
        <is>
          <t>O10</t>
        </is>
      </c>
      <c r="C109" t="n">
        <v>10</v>
      </c>
      <c r="D109" t="n">
        <v>15</v>
      </c>
      <c r="E109" t="inlineStr">
        <is>
          <t>Calculation</t>
        </is>
      </c>
      <c r="F109" t="inlineStr">
        <is>
          <t>'='Cost Matrix'!O32</t>
        </is>
      </c>
      <c r="G109" t="n">
        <v>3037.944708253128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n">
        <v/>
      </c>
      <c r="N109" t="inlineStr">
        <is>
          <t>00000000</t>
        </is>
      </c>
      <c r="O109" t="n">
        <v/>
      </c>
      <c r="R109" t="b">
        <v>1</v>
      </c>
      <c r="S109" t="inlineStr">
        <is>
          <t>G000061</t>
        </is>
      </c>
      <c r="T109" t="inlineStr">
        <is>
          <t>Horizontal</t>
        </is>
      </c>
      <c r="U109" t="n">
        <v>5</v>
      </c>
      <c r="V109" t="b">
        <v>1</v>
      </c>
      <c r="W109" t="inlineStr">
        <is>
          <t>Income statement!K10:O10</t>
        </is>
      </c>
      <c r="X109">
        <f>'Cost Matrix'!R[22]C[0]</f>
        <v/>
      </c>
    </row>
    <row r="110">
      <c r="A110" t="inlineStr">
        <is>
          <t>Income statement</t>
        </is>
      </c>
      <c r="B110" t="inlineStr">
        <is>
          <t>P10</t>
        </is>
      </c>
      <c r="C110" t="n">
        <v>10</v>
      </c>
      <c r="D110" t="n">
        <v>16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n">
        <v/>
      </c>
      <c r="N110" t="inlineStr">
        <is>
          <t>00000000</t>
        </is>
      </c>
      <c r="O110" t="n">
        <v/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Income statement</t>
        </is>
      </c>
      <c r="B111" t="inlineStr">
        <is>
          <t>A11</t>
        </is>
      </c>
      <c r="C111" t="n">
        <v>11</v>
      </c>
      <c r="D111" t="n">
        <v>1</v>
      </c>
      <c r="E111" t="inlineStr">
        <is>
          <t>Input</t>
        </is>
      </c>
      <c r="F111" t="n">
        <v/>
      </c>
      <c r="G111" t="inlineStr">
        <is>
          <t>Changes in inventories of stock in trade</t>
        </is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Income statement</t>
        </is>
      </c>
      <c r="B112" t="inlineStr">
        <is>
          <t>D11</t>
        </is>
      </c>
      <c r="C112" t="n">
        <v>11</v>
      </c>
      <c r="D112" t="n">
        <v>4</v>
      </c>
      <c r="E112" t="inlineStr">
        <is>
          <t>Input</t>
        </is>
      </c>
      <c r="F112" t="n">
        <v/>
      </c>
      <c r="G112" t="n">
        <v>-1.1</v>
      </c>
      <c r="H112" t="inlineStr"/>
      <c r="I112" t="inlineStr">
        <is>
          <t>0</t>
        </is>
      </c>
      <c r="J112" t="b">
        <v>0</v>
      </c>
      <c r="K112" t="b">
        <v>0</v>
      </c>
      <c r="L112" t="n">
        <v>11</v>
      </c>
      <c r="M112" t="inlineStr">
        <is>
          <t>FF0B0280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Income statement</t>
        </is>
      </c>
      <c r="B113" t="inlineStr">
        <is>
          <t>E11</t>
        </is>
      </c>
      <c r="C113" t="n">
        <v>11</v>
      </c>
      <c r="D113" t="n">
        <v>5</v>
      </c>
      <c r="E113" t="inlineStr">
        <is>
          <t>Input</t>
        </is>
      </c>
      <c r="F113" t="n">
        <v/>
      </c>
      <c r="G113" t="n">
        <v>-6.83</v>
      </c>
      <c r="H113" t="inlineStr"/>
      <c r="I113" t="inlineStr">
        <is>
          <t>0</t>
        </is>
      </c>
      <c r="J113" t="b">
        <v>0</v>
      </c>
      <c r="K113" t="b">
        <v>0</v>
      </c>
      <c r="L113" t="n">
        <v>11</v>
      </c>
      <c r="M113" t="inlineStr">
        <is>
          <t>FF0B0280</t>
        </is>
      </c>
      <c r="N113" t="inlineStr">
        <is>
          <t>00000000</t>
        </is>
      </c>
      <c r="O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Income statement</t>
        </is>
      </c>
      <c r="B114" t="inlineStr">
        <is>
          <t>F11</t>
        </is>
      </c>
      <c r="C114" t="n">
        <v>11</v>
      </c>
      <c r="D114" t="n">
        <v>6</v>
      </c>
      <c r="E114" t="inlineStr">
        <is>
          <t>Input</t>
        </is>
      </c>
      <c r="F114" t="n">
        <v/>
      </c>
      <c r="G114" t="n">
        <v>-18.65</v>
      </c>
      <c r="H114" t="inlineStr"/>
      <c r="I114" t="inlineStr">
        <is>
          <t>0</t>
        </is>
      </c>
      <c r="J114" t="b">
        <v>0</v>
      </c>
      <c r="K114" t="b">
        <v>0</v>
      </c>
      <c r="L114" t="n">
        <v>11</v>
      </c>
      <c r="M114" t="inlineStr">
        <is>
          <t>FF0B0280</t>
        </is>
      </c>
      <c r="N114" t="inlineStr">
        <is>
          <t>00000000</t>
        </is>
      </c>
      <c r="O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Income statement</t>
        </is>
      </c>
      <c r="B115" t="inlineStr">
        <is>
          <t>G11</t>
        </is>
      </c>
      <c r="C115" t="n">
        <v>11</v>
      </c>
      <c r="D115" t="n">
        <v>7</v>
      </c>
      <c r="E115" t="inlineStr">
        <is>
          <t>Input</t>
        </is>
      </c>
      <c r="F115" t="n">
        <v/>
      </c>
      <c r="G115" t="n">
        <v>7.06</v>
      </c>
      <c r="H115" t="inlineStr"/>
      <c r="I115" t="inlineStr">
        <is>
          <t>0</t>
        </is>
      </c>
      <c r="J115" t="b">
        <v>0</v>
      </c>
      <c r="K115" t="b">
        <v>0</v>
      </c>
      <c r="L115" t="n">
        <v>11</v>
      </c>
      <c r="M115" t="inlineStr">
        <is>
          <t>FF0B0280</t>
        </is>
      </c>
      <c r="N115" t="inlineStr">
        <is>
          <t>00000000</t>
        </is>
      </c>
      <c r="O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Income statement</t>
        </is>
      </c>
      <c r="B116" t="inlineStr">
        <is>
          <t>H11</t>
        </is>
      </c>
      <c r="C116" t="n">
        <v>11</v>
      </c>
      <c r="D116" t="n">
        <v>8</v>
      </c>
      <c r="E116" t="inlineStr">
        <is>
          <t>Input</t>
        </is>
      </c>
      <c r="F116" t="n">
        <v/>
      </c>
      <c r="G116" t="n">
        <v>-31.72</v>
      </c>
      <c r="H116" t="inlineStr"/>
      <c r="I116" t="inlineStr">
        <is>
          <t>0</t>
        </is>
      </c>
      <c r="J116" t="b">
        <v>0</v>
      </c>
      <c r="K116" t="b">
        <v>0</v>
      </c>
      <c r="L116" t="n">
        <v>11</v>
      </c>
      <c r="M116" t="inlineStr">
        <is>
          <t>FF0B0280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Income statement</t>
        </is>
      </c>
      <c r="B117" t="inlineStr">
        <is>
          <t>I11</t>
        </is>
      </c>
      <c r="C117" t="n">
        <v>11</v>
      </c>
      <c r="D117" t="n">
        <v>9</v>
      </c>
      <c r="E117" t="inlineStr">
        <is>
          <t>Input</t>
        </is>
      </c>
      <c r="F117" t="n">
        <v/>
      </c>
      <c r="G117" t="n">
        <v>-11.32</v>
      </c>
      <c r="H117" t="inlineStr"/>
      <c r="I117" t="inlineStr">
        <is>
          <t>0</t>
        </is>
      </c>
      <c r="J117" t="b">
        <v>0</v>
      </c>
      <c r="K117" t="b">
        <v>0</v>
      </c>
      <c r="L117" t="n">
        <v>11</v>
      </c>
      <c r="M117" t="inlineStr">
        <is>
          <t>FF0B0280</t>
        </is>
      </c>
      <c r="N117" t="inlineStr">
        <is>
          <t>00000000</t>
        </is>
      </c>
      <c r="O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Income statement</t>
        </is>
      </c>
      <c r="B118" t="inlineStr">
        <is>
          <t>J11</t>
        </is>
      </c>
      <c r="C118" t="n">
        <v>11</v>
      </c>
      <c r="D118" t="n">
        <v>10</v>
      </c>
      <c r="E118" t="inlineStr">
        <is>
          <t>Input</t>
        </is>
      </c>
      <c r="F118" t="n">
        <v/>
      </c>
      <c r="G118" t="n">
        <v>-2.94</v>
      </c>
      <c r="H118" t="inlineStr"/>
      <c r="I118" t="inlineStr">
        <is>
          <t>0</t>
        </is>
      </c>
      <c r="J118" t="b">
        <v>0</v>
      </c>
      <c r="K118" t="b">
        <v>0</v>
      </c>
      <c r="L118" t="n">
        <v>11</v>
      </c>
      <c r="M118" t="inlineStr">
        <is>
          <t>FF0B0280</t>
        </is>
      </c>
      <c r="N118" t="inlineStr">
        <is>
          <t>00000000</t>
        </is>
      </c>
      <c r="O118" t="n">
        <v/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Income statement</t>
        </is>
      </c>
      <c r="B119" t="inlineStr">
        <is>
          <t>K11</t>
        </is>
      </c>
      <c r="C119" t="n">
        <v>11</v>
      </c>
      <c r="D119" t="n">
        <v>11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n">
        <v/>
      </c>
      <c r="N119" t="inlineStr">
        <is>
          <t>00000000</t>
        </is>
      </c>
      <c r="O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Income statement</t>
        </is>
      </c>
      <c r="B120" t="inlineStr">
        <is>
          <t>L11</t>
        </is>
      </c>
      <c r="C120" t="n">
        <v>11</v>
      </c>
      <c r="D120" t="n">
        <v>12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n">
        <v/>
      </c>
      <c r="N120" t="inlineStr">
        <is>
          <t>00000000</t>
        </is>
      </c>
      <c r="O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Income statement</t>
        </is>
      </c>
      <c r="B121" t="inlineStr">
        <is>
          <t>M11</t>
        </is>
      </c>
      <c r="C121" t="n">
        <v>11</v>
      </c>
      <c r="D121" t="n">
        <v>13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n">
        <v/>
      </c>
      <c r="N121" t="inlineStr">
        <is>
          <t>00000000</t>
        </is>
      </c>
      <c r="O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Income statement</t>
        </is>
      </c>
      <c r="B122" t="inlineStr">
        <is>
          <t>N11</t>
        </is>
      </c>
      <c r="C122" t="n">
        <v>11</v>
      </c>
      <c r="D122" t="n">
        <v>14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n">
        <v/>
      </c>
      <c r="N122" t="inlineStr">
        <is>
          <t>00000000</t>
        </is>
      </c>
      <c r="O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Income statement</t>
        </is>
      </c>
      <c r="B123" t="inlineStr">
        <is>
          <t>O11</t>
        </is>
      </c>
      <c r="C123" t="n">
        <v>11</v>
      </c>
      <c r="D123" t="n">
        <v>15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n">
        <v/>
      </c>
      <c r="N123" t="inlineStr">
        <is>
          <t>00000000</t>
        </is>
      </c>
      <c r="O123" t="n">
        <v/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Income statement</t>
        </is>
      </c>
      <c r="B124" t="inlineStr">
        <is>
          <t>P11</t>
        </is>
      </c>
      <c r="C124" t="n">
        <v>11</v>
      </c>
      <c r="D124" t="n">
        <v>16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n">
        <v/>
      </c>
      <c r="N124" t="inlineStr">
        <is>
          <t>00000000</t>
        </is>
      </c>
      <c r="O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Income statement</t>
        </is>
      </c>
      <c r="B125" t="inlineStr">
        <is>
          <t>A12</t>
        </is>
      </c>
      <c r="C125" t="n">
        <v>12</v>
      </c>
      <c r="D125" t="n">
        <v>1</v>
      </c>
      <c r="E125" t="inlineStr">
        <is>
          <t>Input</t>
        </is>
      </c>
      <c r="F125" t="n">
        <v/>
      </c>
      <c r="G125" t="inlineStr">
        <is>
          <t>Employee benefits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Income statement</t>
        </is>
      </c>
      <c r="B126" t="inlineStr">
        <is>
          <t>D12</t>
        </is>
      </c>
      <c r="C126" t="n">
        <v>12</v>
      </c>
      <c r="D126" t="n">
        <v>4</v>
      </c>
      <c r="E126" t="inlineStr">
        <is>
          <t>Input</t>
        </is>
      </c>
      <c r="F126" t="n">
        <v/>
      </c>
      <c r="G126" t="n">
        <v>2930.16</v>
      </c>
      <c r="H126" t="inlineStr"/>
      <c r="I126" t="inlineStr">
        <is>
          <t>#,##0</t>
        </is>
      </c>
      <c r="J126" t="b">
        <v>0</v>
      </c>
      <c r="K126" t="b">
        <v>0</v>
      </c>
      <c r="L126" t="n">
        <v>11</v>
      </c>
      <c r="M126" t="inlineStr">
        <is>
          <t>FF0B0280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Income statement</t>
        </is>
      </c>
      <c r="B127" t="inlineStr">
        <is>
          <t>E12</t>
        </is>
      </c>
      <c r="C127" t="n">
        <v>12</v>
      </c>
      <c r="D127" t="n">
        <v>5</v>
      </c>
      <c r="E127" t="inlineStr">
        <is>
          <t>Input</t>
        </is>
      </c>
      <c r="F127" t="n">
        <v/>
      </c>
      <c r="G127" t="n">
        <v>5118.6</v>
      </c>
      <c r="H127" t="inlineStr"/>
      <c r="I127" t="inlineStr">
        <is>
          <t>#,##0</t>
        </is>
      </c>
      <c r="J127" t="b">
        <v>0</v>
      </c>
      <c r="K127" t="b">
        <v>0</v>
      </c>
      <c r="L127" t="n">
        <v>11</v>
      </c>
      <c r="M127" t="inlineStr">
        <is>
          <t>FF0B0280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Income statement</t>
        </is>
      </c>
      <c r="B128" t="inlineStr">
        <is>
          <t>F12</t>
        </is>
      </c>
      <c r="C128" t="n">
        <v>12</v>
      </c>
      <c r="D128" t="n">
        <v>6</v>
      </c>
      <c r="E128" t="inlineStr">
        <is>
          <t>Input</t>
        </is>
      </c>
      <c r="F128" t="n">
        <v/>
      </c>
      <c r="G128" t="n">
        <v>6904.52</v>
      </c>
      <c r="H128" t="inlineStr"/>
      <c r="I128" t="inlineStr">
        <is>
          <t>#,##0</t>
        </is>
      </c>
      <c r="J128" t="b">
        <v>0</v>
      </c>
      <c r="K128" t="b">
        <v>0</v>
      </c>
      <c r="L128" t="n">
        <v>11</v>
      </c>
      <c r="M128" t="inlineStr">
        <is>
          <t>FF0B0280</t>
        </is>
      </c>
      <c r="N128" t="inlineStr">
        <is>
          <t>00000000</t>
        </is>
      </c>
      <c r="O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Income statement</t>
        </is>
      </c>
      <c r="B129" t="inlineStr">
        <is>
          <t>G12</t>
        </is>
      </c>
      <c r="C129" t="n">
        <v>12</v>
      </c>
      <c r="D129" t="n">
        <v>7</v>
      </c>
      <c r="E129" t="inlineStr">
        <is>
          <t>Input</t>
        </is>
      </c>
      <c r="F129" t="n">
        <v/>
      </c>
      <c r="G129" t="n">
        <v>9211.08</v>
      </c>
      <c r="H129" t="inlineStr"/>
      <c r="I129" t="inlineStr">
        <is>
          <t>#,##0</t>
        </is>
      </c>
      <c r="J129" t="b">
        <v>0</v>
      </c>
      <c r="K129" t="b">
        <v>0</v>
      </c>
      <c r="L129" t="n">
        <v>11</v>
      </c>
      <c r="M129" t="inlineStr">
        <is>
          <t>FF0B0280</t>
        </is>
      </c>
      <c r="N129" t="inlineStr">
        <is>
          <t>00000000</t>
        </is>
      </c>
      <c r="O129" t="n">
        <v/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Income statement</t>
        </is>
      </c>
      <c r="B130" t="inlineStr">
        <is>
          <t>H12</t>
        </is>
      </c>
      <c r="C130" t="n">
        <v>12</v>
      </c>
      <c r="D130" t="n">
        <v>8</v>
      </c>
      <c r="E130" t="inlineStr">
        <is>
          <t>Input</t>
        </is>
      </c>
      <c r="F130" t="n">
        <v/>
      </c>
      <c r="G130" t="n">
        <v>11886.91</v>
      </c>
      <c r="H130" t="inlineStr"/>
      <c r="I130" t="inlineStr">
        <is>
          <t>#,##0</t>
        </is>
      </c>
      <c r="J130" t="b">
        <v>0</v>
      </c>
      <c r="K130" t="b">
        <v>0</v>
      </c>
      <c r="L130" t="n">
        <v>11</v>
      </c>
      <c r="M130" t="inlineStr">
        <is>
          <t>FF0B0280</t>
        </is>
      </c>
      <c r="N130" t="inlineStr">
        <is>
          <t>00000000</t>
        </is>
      </c>
      <c r="O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Income statement</t>
        </is>
      </c>
      <c r="B131" t="inlineStr">
        <is>
          <t>I12</t>
        </is>
      </c>
      <c r="C131" t="n">
        <v>12</v>
      </c>
      <c r="D131" t="n">
        <v>9</v>
      </c>
      <c r="E131" t="inlineStr">
        <is>
          <t>Input</t>
        </is>
      </c>
      <c r="F131" t="n">
        <v/>
      </c>
      <c r="G131" t="n">
        <v>17899.23</v>
      </c>
      <c r="H131" t="inlineStr"/>
      <c r="I131" t="inlineStr">
        <is>
          <t>#,##0</t>
        </is>
      </c>
      <c r="J131" t="b">
        <v>0</v>
      </c>
      <c r="K131" t="b">
        <v>0</v>
      </c>
      <c r="L131" t="n">
        <v>11</v>
      </c>
      <c r="M131" t="inlineStr">
        <is>
          <t>FF0B0280</t>
        </is>
      </c>
      <c r="N131" t="inlineStr">
        <is>
          <t>00000000</t>
        </is>
      </c>
      <c r="O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Income statement</t>
        </is>
      </c>
      <c r="B132" t="inlineStr">
        <is>
          <t>J12</t>
        </is>
      </c>
      <c r="C132" t="n">
        <v>12</v>
      </c>
      <c r="D132" t="n">
        <v>10</v>
      </c>
      <c r="E132" t="inlineStr">
        <is>
          <t>Input</t>
        </is>
      </c>
      <c r="F132" t="n">
        <v/>
      </c>
      <c r="G132" t="n">
        <v>20481.9</v>
      </c>
      <c r="H132" t="inlineStr"/>
      <c r="I132" t="inlineStr">
        <is>
          <t>#,##0</t>
        </is>
      </c>
      <c r="J132" t="b">
        <v>0</v>
      </c>
      <c r="K132" t="b">
        <v>0</v>
      </c>
      <c r="L132" t="n">
        <v>11</v>
      </c>
      <c r="M132" t="inlineStr">
        <is>
          <t>FF0B0280</t>
        </is>
      </c>
      <c r="N132" t="inlineStr">
        <is>
          <t>00000000</t>
        </is>
      </c>
      <c r="O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Income statement</t>
        </is>
      </c>
      <c r="B133" t="inlineStr">
        <is>
          <t>K12</t>
        </is>
      </c>
      <c r="C133" t="n">
        <v>12</v>
      </c>
      <c r="D133" t="n">
        <v>11</v>
      </c>
      <c r="E133" t="inlineStr">
        <is>
          <t>Calculation</t>
        </is>
      </c>
      <c r="F133" t="inlineStr">
        <is>
          <t>'='Cost Matrix'!K35</t>
        </is>
      </c>
      <c r="G133" t="n">
        <v>24385.8916869359</v>
      </c>
      <c r="H133" t="inlineStr"/>
      <c r="I133" t="inlineStr">
        <is>
          <t>#,##0</t>
        </is>
      </c>
      <c r="J133" t="b">
        <v>0</v>
      </c>
      <c r="K133" t="b">
        <v>0</v>
      </c>
      <c r="L133" t="n">
        <v>11</v>
      </c>
      <c r="M133" t="n">
        <v/>
      </c>
      <c r="N133" t="inlineStr">
        <is>
          <t>00000000</t>
        </is>
      </c>
      <c r="O133" t="n">
        <v/>
      </c>
      <c r="R133" t="b">
        <v>1</v>
      </c>
      <c r="S133" t="inlineStr">
        <is>
          <t>G000062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Income statement!K12:O12</t>
        </is>
      </c>
      <c r="X133">
        <f>'Cost Matrix'!R[23]C[0]</f>
        <v/>
      </c>
    </row>
    <row r="134">
      <c r="A134" t="inlineStr">
        <is>
          <t>Income statement</t>
        </is>
      </c>
      <c r="B134" t="inlineStr">
        <is>
          <t>L12</t>
        </is>
      </c>
      <c r="C134" t="n">
        <v>12</v>
      </c>
      <c r="D134" t="n">
        <v>12</v>
      </c>
      <c r="E134" t="inlineStr">
        <is>
          <t>Calculation</t>
        </is>
      </c>
      <c r="F134" t="inlineStr">
        <is>
          <t>'='Cost Matrix'!L35</t>
        </is>
      </c>
      <c r="G134" t="n">
        <v>29733.26634636631</v>
      </c>
      <c r="H134" t="inlineStr"/>
      <c r="I134" t="inlineStr">
        <is>
          <t>#,##0</t>
        </is>
      </c>
      <c r="J134" t="b">
        <v>0</v>
      </c>
      <c r="K134" t="b">
        <v>0</v>
      </c>
      <c r="L134" t="n">
        <v>11</v>
      </c>
      <c r="M134" t="n">
        <v/>
      </c>
      <c r="N134" t="inlineStr">
        <is>
          <t>00000000</t>
        </is>
      </c>
      <c r="O134" t="n">
        <v/>
      </c>
      <c r="R134" t="b">
        <v>1</v>
      </c>
      <c r="S134" t="inlineStr">
        <is>
          <t>G000062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Income statement!K12:O12</t>
        </is>
      </c>
      <c r="X134">
        <f>'Cost Matrix'!R[23]C[0]</f>
        <v/>
      </c>
    </row>
    <row r="135">
      <c r="A135" t="inlineStr">
        <is>
          <t>Income statement</t>
        </is>
      </c>
      <c r="B135" t="inlineStr">
        <is>
          <t>M12</t>
        </is>
      </c>
      <c r="C135" t="n">
        <v>12</v>
      </c>
      <c r="D135" t="n">
        <v>13</v>
      </c>
      <c r="E135" t="inlineStr">
        <is>
          <t>Calculation</t>
        </is>
      </c>
      <c r="F135" t="inlineStr">
        <is>
          <t>'='Cost Matrix'!M35</t>
        </is>
      </c>
      <c r="G135" t="n">
        <v>36067.19585391097</v>
      </c>
      <c r="H135" t="inlineStr"/>
      <c r="I135" t="inlineStr">
        <is>
          <t>#,##0</t>
        </is>
      </c>
      <c r="J135" t="b">
        <v>0</v>
      </c>
      <c r="K135" t="b">
        <v>0</v>
      </c>
      <c r="L135" t="n">
        <v>11</v>
      </c>
      <c r="M135" t="n">
        <v/>
      </c>
      <c r="N135" t="inlineStr">
        <is>
          <t>00000000</t>
        </is>
      </c>
      <c r="O135" t="n">
        <v/>
      </c>
      <c r="R135" t="b">
        <v>1</v>
      </c>
      <c r="S135" t="inlineStr">
        <is>
          <t>G000062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Income statement!K12:O12</t>
        </is>
      </c>
      <c r="X135">
        <f>'Cost Matrix'!R[23]C[0]</f>
        <v/>
      </c>
    </row>
    <row r="136">
      <c r="A136" t="inlineStr">
        <is>
          <t>Income statement</t>
        </is>
      </c>
      <c r="B136" t="inlineStr">
        <is>
          <t>N12</t>
        </is>
      </c>
      <c r="C136" t="n">
        <v>12</v>
      </c>
      <c r="D136" t="n">
        <v>14</v>
      </c>
      <c r="E136" t="inlineStr">
        <is>
          <t>Calculation</t>
        </is>
      </c>
      <c r="F136" t="inlineStr">
        <is>
          <t>'='Cost Matrix'!N35</t>
        </is>
      </c>
      <c r="G136" t="n">
        <v>43712.97938536589</v>
      </c>
      <c r="H136" t="inlineStr"/>
      <c r="I136" t="inlineStr">
        <is>
          <t>#,##0</t>
        </is>
      </c>
      <c r="J136" t="b">
        <v>0</v>
      </c>
      <c r="K136" t="b">
        <v>0</v>
      </c>
      <c r="L136" t="n">
        <v>11</v>
      </c>
      <c r="M136" t="n">
        <v/>
      </c>
      <c r="N136" t="inlineStr">
        <is>
          <t>00000000</t>
        </is>
      </c>
      <c r="O136" t="n">
        <v/>
      </c>
      <c r="R136" t="b">
        <v>1</v>
      </c>
      <c r="S136" t="inlineStr">
        <is>
          <t>G000062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Income statement!K12:O12</t>
        </is>
      </c>
      <c r="X136">
        <f>'Cost Matrix'!R[23]C[0]</f>
        <v/>
      </c>
    </row>
    <row r="137">
      <c r="A137" t="inlineStr">
        <is>
          <t>Income statement</t>
        </is>
      </c>
      <c r="B137" t="inlineStr">
        <is>
          <t>O12</t>
        </is>
      </c>
      <c r="C137" t="n">
        <v>12</v>
      </c>
      <c r="D137" t="n">
        <v>15</v>
      </c>
      <c r="E137" t="inlineStr">
        <is>
          <t>Calculation</t>
        </is>
      </c>
      <c r="F137" t="inlineStr">
        <is>
          <t>'='Cost Matrix'!O35</t>
        </is>
      </c>
      <c r="G137" t="n">
        <v>53164.03239442973</v>
      </c>
      <c r="H137" t="inlineStr"/>
      <c r="I137" t="inlineStr">
        <is>
          <t>#,##0</t>
        </is>
      </c>
      <c r="J137" t="b">
        <v>0</v>
      </c>
      <c r="K137" t="b">
        <v>0</v>
      </c>
      <c r="L137" t="n">
        <v>11</v>
      </c>
      <c r="M137" t="n">
        <v/>
      </c>
      <c r="N137" t="inlineStr">
        <is>
          <t>00000000</t>
        </is>
      </c>
      <c r="O137" t="n">
        <v/>
      </c>
      <c r="R137" t="b">
        <v>1</v>
      </c>
      <c r="S137" t="inlineStr">
        <is>
          <t>G000062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Income statement!K12:O12</t>
        </is>
      </c>
      <c r="X137">
        <f>'Cost Matrix'!R[23]C[0]</f>
        <v/>
      </c>
    </row>
    <row r="138">
      <c r="A138" t="inlineStr">
        <is>
          <t>Income statement</t>
        </is>
      </c>
      <c r="B138" t="inlineStr">
        <is>
          <t>P12</t>
        </is>
      </c>
      <c r="C138" t="n">
        <v>12</v>
      </c>
      <c r="D138" t="n">
        <v>16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n">
        <v/>
      </c>
      <c r="N138" t="inlineStr">
        <is>
          <t>00000000</t>
        </is>
      </c>
      <c r="O138" t="n">
        <v/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Income statement</t>
        </is>
      </c>
      <c r="B139" t="inlineStr">
        <is>
          <t>A13</t>
        </is>
      </c>
      <c r="C139" t="n">
        <v>13</v>
      </c>
      <c r="D139" t="n">
        <v>1</v>
      </c>
      <c r="E139" t="inlineStr">
        <is>
          <t>Input</t>
        </is>
      </c>
      <c r="F139" t="n">
        <v/>
      </c>
      <c r="G139" t="inlineStr">
        <is>
          <t>Other expenses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Income statement</t>
        </is>
      </c>
      <c r="B140" t="inlineStr">
        <is>
          <t>D13</t>
        </is>
      </c>
      <c r="C140" t="n">
        <v>13</v>
      </c>
      <c r="D140" t="n">
        <v>4</v>
      </c>
      <c r="E140" t="inlineStr">
        <is>
          <t>Input</t>
        </is>
      </c>
      <c r="F140" t="n">
        <v/>
      </c>
      <c r="G140" t="n">
        <v>8783.719999999999</v>
      </c>
      <c r="H140" t="inlineStr"/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FF0B0280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Income statement</t>
        </is>
      </c>
      <c r="B141" t="inlineStr">
        <is>
          <t>E13</t>
        </is>
      </c>
      <c r="C141" t="n">
        <v>13</v>
      </c>
      <c r="D141" t="n">
        <v>5</v>
      </c>
      <c r="E141" t="inlineStr">
        <is>
          <t>Input</t>
        </is>
      </c>
      <c r="F141" t="n">
        <v/>
      </c>
      <c r="G141" t="n">
        <v>12961.04</v>
      </c>
      <c r="H141" t="inlineStr"/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FF0B0280</t>
        </is>
      </c>
      <c r="N141" t="inlineStr">
        <is>
          <t>00000000</t>
        </is>
      </c>
      <c r="O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Income statement</t>
        </is>
      </c>
      <c r="B142" t="inlineStr">
        <is>
          <t>F13</t>
        </is>
      </c>
      <c r="C142" t="n">
        <v>13</v>
      </c>
      <c r="D142" t="n">
        <v>6</v>
      </c>
      <c r="E142" t="inlineStr">
        <is>
          <t>Input</t>
        </is>
      </c>
      <c r="F142" t="n">
        <v/>
      </c>
      <c r="G142" t="n">
        <v>18961.4</v>
      </c>
      <c r="H142" t="inlineStr"/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FF0B0280</t>
        </is>
      </c>
      <c r="N142" t="inlineStr">
        <is>
          <t>00000000</t>
        </is>
      </c>
      <c r="O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Income statement</t>
        </is>
      </c>
      <c r="B143" t="inlineStr">
        <is>
          <t>G13</t>
        </is>
      </c>
      <c r="C143" t="n">
        <v>13</v>
      </c>
      <c r="D143" t="n">
        <v>7</v>
      </c>
      <c r="E143" t="inlineStr">
        <is>
          <t>Input</t>
        </is>
      </c>
      <c r="F143" t="n">
        <v/>
      </c>
      <c r="G143" t="n">
        <v>24471.95</v>
      </c>
      <c r="H143" t="inlineStr"/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FF0B0280</t>
        </is>
      </c>
      <c r="N143" t="inlineStr">
        <is>
          <t>00000000</t>
        </is>
      </c>
      <c r="O143" t="n">
        <v/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Income statement</t>
        </is>
      </c>
      <c r="B144" t="inlineStr">
        <is>
          <t>H13</t>
        </is>
      </c>
      <c r="C144" t="n">
        <v>13</v>
      </c>
      <c r="D144" t="n">
        <v>8</v>
      </c>
      <c r="E144" t="inlineStr">
        <is>
          <t>Input</t>
        </is>
      </c>
      <c r="F144" t="n">
        <v/>
      </c>
      <c r="G144" t="n">
        <v>30876.97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FF0B0280</t>
        </is>
      </c>
      <c r="N144" t="inlineStr">
        <is>
          <t>00000000</t>
        </is>
      </c>
      <c r="O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Income statement</t>
        </is>
      </c>
      <c r="B145" t="inlineStr">
        <is>
          <t>I13</t>
        </is>
      </c>
      <c r="C145" t="n">
        <v>13</v>
      </c>
      <c r="D145" t="n">
        <v>9</v>
      </c>
      <c r="E145" t="inlineStr">
        <is>
          <t>Input</t>
        </is>
      </c>
      <c r="F145" t="n">
        <v/>
      </c>
      <c r="G145" t="n">
        <v>38393.71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FF0B0280</t>
        </is>
      </c>
      <c r="N145" t="inlineStr">
        <is>
          <t>00000000</t>
        </is>
      </c>
      <c r="O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Income statement</t>
        </is>
      </c>
      <c r="B146" t="inlineStr">
        <is>
          <t>J13</t>
        </is>
      </c>
      <c r="C146" t="n">
        <v>13</v>
      </c>
      <c r="D146" t="n">
        <v>10</v>
      </c>
      <c r="E146" t="inlineStr">
        <is>
          <t>Input</t>
        </is>
      </c>
      <c r="F146" t="n">
        <v/>
      </c>
      <c r="G146" t="n">
        <v>47986.24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FF0B0280</t>
        </is>
      </c>
      <c r="N146" t="inlineStr">
        <is>
          <t>00000000</t>
        </is>
      </c>
      <c r="O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Income statement</t>
        </is>
      </c>
      <c r="B147" t="inlineStr">
        <is>
          <t>K13</t>
        </is>
      </c>
      <c r="C147" t="n">
        <v>13</v>
      </c>
      <c r="D147" t="n">
        <v>11</v>
      </c>
      <c r="E147" t="inlineStr">
        <is>
          <t>Calculation</t>
        </is>
      </c>
      <c r="F147" t="inlineStr">
        <is>
          <t>'='Cost Matrix'!K41</t>
        </is>
      </c>
      <c r="G147" t="n">
        <v>51094.24924881808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n">
        <v/>
      </c>
      <c r="N147" t="inlineStr">
        <is>
          <t>00000000</t>
        </is>
      </c>
      <c r="O147" t="n">
        <v/>
      </c>
      <c r="R147" t="b">
        <v>1</v>
      </c>
      <c r="S147" t="inlineStr">
        <is>
          <t>G000063</t>
        </is>
      </c>
      <c r="T147" t="inlineStr">
        <is>
          <t>Horizontal</t>
        </is>
      </c>
      <c r="U147" t="n">
        <v>5</v>
      </c>
      <c r="V147" t="b">
        <v>1</v>
      </c>
      <c r="W147" t="inlineStr">
        <is>
          <t>Income statement!K13:O13</t>
        </is>
      </c>
      <c r="X147">
        <f>'Cost Matrix'!R[28]C[0]</f>
        <v/>
      </c>
    </row>
    <row r="148">
      <c r="A148" t="inlineStr">
        <is>
          <t>Income statement</t>
        </is>
      </c>
      <c r="B148" t="inlineStr">
        <is>
          <t>L13</t>
        </is>
      </c>
      <c r="C148" t="n">
        <v>13</v>
      </c>
      <c r="D148" t="n">
        <v>12</v>
      </c>
      <c r="E148" t="inlineStr">
        <is>
          <t>Calculation</t>
        </is>
      </c>
      <c r="F148" t="inlineStr">
        <is>
          <t>'='Cost Matrix'!L41</t>
        </is>
      </c>
      <c r="G148" t="n">
        <v>62298.2723447675</v>
      </c>
      <c r="H148" t="inlineStr"/>
      <c r="I148" t="inlineStr">
        <is>
          <t>#,##0</t>
        </is>
      </c>
      <c r="J148" t="b">
        <v>0</v>
      </c>
      <c r="K148" t="b">
        <v>0</v>
      </c>
      <c r="L148" t="n">
        <v>11</v>
      </c>
      <c r="M148" t="n">
        <v/>
      </c>
      <c r="N148" t="inlineStr">
        <is>
          <t>00000000</t>
        </is>
      </c>
      <c r="O148" t="n">
        <v/>
      </c>
      <c r="R148" t="b">
        <v>1</v>
      </c>
      <c r="S148" t="inlineStr">
        <is>
          <t>G000063</t>
        </is>
      </c>
      <c r="T148" t="inlineStr">
        <is>
          <t>Horizontal</t>
        </is>
      </c>
      <c r="U148" t="n">
        <v>5</v>
      </c>
      <c r="V148" t="b">
        <v>1</v>
      </c>
      <c r="W148" t="inlineStr">
        <is>
          <t>Income statement!K13:O13</t>
        </is>
      </c>
      <c r="X148">
        <f>'Cost Matrix'!R[28]C[0]</f>
        <v/>
      </c>
    </row>
    <row r="149">
      <c r="A149" t="inlineStr">
        <is>
          <t>Income statement</t>
        </is>
      </c>
      <c r="B149" t="inlineStr">
        <is>
          <t>M13</t>
        </is>
      </c>
      <c r="C149" t="n">
        <v>13</v>
      </c>
      <c r="D149" t="n">
        <v>13</v>
      </c>
      <c r="E149" t="inlineStr">
        <is>
          <t>Calculation</t>
        </is>
      </c>
      <c r="F149" t="inlineStr">
        <is>
          <t>'='Cost Matrix'!M41</t>
        </is>
      </c>
      <c r="G149" t="n">
        <v>75569.36274152774</v>
      </c>
      <c r="H149" t="inlineStr"/>
      <c r="I149" t="inlineStr">
        <is>
          <t>#,##0</t>
        </is>
      </c>
      <c r="J149" t="b">
        <v>0</v>
      </c>
      <c r="K149" t="b">
        <v>0</v>
      </c>
      <c r="L149" t="n">
        <v>11</v>
      </c>
      <c r="M149" t="n">
        <v/>
      </c>
      <c r="N149" t="inlineStr">
        <is>
          <t>00000000</t>
        </is>
      </c>
      <c r="O149" t="n">
        <v/>
      </c>
      <c r="R149" t="b">
        <v>1</v>
      </c>
      <c r="S149" t="inlineStr">
        <is>
          <t>G000063</t>
        </is>
      </c>
      <c r="T149" t="inlineStr">
        <is>
          <t>Horizontal</t>
        </is>
      </c>
      <c r="U149" t="n">
        <v>5</v>
      </c>
      <c r="V149" t="b">
        <v>1</v>
      </c>
      <c r="W149" t="inlineStr">
        <is>
          <t>Income statement!K13:O13</t>
        </is>
      </c>
      <c r="X149">
        <f>'Cost Matrix'!R[28]C[0]</f>
        <v/>
      </c>
    </row>
    <row r="150">
      <c r="A150" t="inlineStr">
        <is>
          <t>Income statement</t>
        </is>
      </c>
      <c r="B150" t="inlineStr">
        <is>
          <t>N13</t>
        </is>
      </c>
      <c r="C150" t="n">
        <v>13</v>
      </c>
      <c r="D150" t="n">
        <v>14</v>
      </c>
      <c r="E150" t="inlineStr">
        <is>
          <t>Calculation</t>
        </is>
      </c>
      <c r="F150" t="inlineStr">
        <is>
          <t>'='Cost Matrix'!N41</t>
        </is>
      </c>
      <c r="G150" t="n">
        <v>91589.09966457616</v>
      </c>
      <c r="H150" t="inlineStr"/>
      <c r="I150" t="inlineStr">
        <is>
          <t>#,##0</t>
        </is>
      </c>
      <c r="J150" t="b">
        <v>0</v>
      </c>
      <c r="K150" t="b">
        <v>0</v>
      </c>
      <c r="L150" t="n">
        <v>11</v>
      </c>
      <c r="M150" t="n">
        <v/>
      </c>
      <c r="N150" t="inlineStr">
        <is>
          <t>00000000</t>
        </is>
      </c>
      <c r="O150" t="n">
        <v/>
      </c>
      <c r="R150" t="b">
        <v>1</v>
      </c>
      <c r="S150" t="inlineStr">
        <is>
          <t>G000063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Income statement!K13:O13</t>
        </is>
      </c>
      <c r="X150">
        <f>'Cost Matrix'!R[28]C[0]</f>
        <v/>
      </c>
    </row>
    <row r="151">
      <c r="A151" t="inlineStr">
        <is>
          <t>Income statement</t>
        </is>
      </c>
      <c r="B151" t="inlineStr">
        <is>
          <t>O13</t>
        </is>
      </c>
      <c r="C151" t="n">
        <v>13</v>
      </c>
      <c r="D151" t="n">
        <v>15</v>
      </c>
      <c r="E151" t="inlineStr">
        <is>
          <t>Calculation</t>
        </is>
      </c>
      <c r="F151" t="inlineStr">
        <is>
          <t>'='Cost Matrix'!O41</t>
        </is>
      </c>
      <c r="G151" t="n">
        <v>111391.3059692813</v>
      </c>
      <c r="H151" t="inlineStr"/>
      <c r="I151" t="inlineStr">
        <is>
          <t>#,##0</t>
        </is>
      </c>
      <c r="J151" t="b">
        <v>0</v>
      </c>
      <c r="K151" t="b">
        <v>0</v>
      </c>
      <c r="L151" t="n">
        <v>11</v>
      </c>
      <c r="M151" t="n">
        <v/>
      </c>
      <c r="N151" t="inlineStr">
        <is>
          <t>00000000</t>
        </is>
      </c>
      <c r="O151" t="n">
        <v/>
      </c>
      <c r="R151" t="b">
        <v>1</v>
      </c>
      <c r="S151" t="inlineStr">
        <is>
          <t>G000063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Income statement!K13:O13</t>
        </is>
      </c>
      <c r="X151">
        <f>'Cost Matrix'!R[28]C[0]</f>
        <v/>
      </c>
    </row>
    <row r="152">
      <c r="A152" t="inlineStr">
        <is>
          <t>Income statement</t>
        </is>
      </c>
      <c r="B152" t="inlineStr">
        <is>
          <t>P13</t>
        </is>
      </c>
      <c r="C152" t="n">
        <v>13</v>
      </c>
      <c r="D152" t="n">
        <v>16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n">
        <v/>
      </c>
      <c r="N152" t="inlineStr">
        <is>
          <t>00000000</t>
        </is>
      </c>
      <c r="O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Income statement</t>
        </is>
      </c>
      <c r="B153" t="inlineStr">
        <is>
          <t>A14</t>
        </is>
      </c>
      <c r="C153" t="n">
        <v>14</v>
      </c>
      <c r="D153" t="n">
        <v>1</v>
      </c>
      <c r="E153" t="inlineStr">
        <is>
          <t>Input</t>
        </is>
      </c>
      <c r="F153" t="n">
        <v/>
      </c>
      <c r="G153" t="inlineStr">
        <is>
          <t>Operating Expenses(Excluding fuel)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Income statement</t>
        </is>
      </c>
      <c r="B154" t="inlineStr">
        <is>
          <t>D14</t>
        </is>
      </c>
      <c r="C154" t="n">
        <v>14</v>
      </c>
      <c r="D154" t="n">
        <v>4</v>
      </c>
      <c r="E154" t="inlineStr">
        <is>
          <t>Calculation</t>
        </is>
      </c>
      <c r="F154" t="inlineStr">
        <is>
          <t>'=SUM(D10:D13)</t>
        </is>
      </c>
      <c r="G154" t="n">
        <v>11903.71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1</v>
      </c>
      <c r="S154" t="inlineStr">
        <is>
          <t>G000064</t>
        </is>
      </c>
      <c r="T154" t="inlineStr">
        <is>
          <t>Horizontal</t>
        </is>
      </c>
      <c r="U154" t="n">
        <v>12</v>
      </c>
      <c r="V154" t="b">
        <v>1</v>
      </c>
      <c r="W154" t="inlineStr">
        <is>
          <t>Income statement!D14:O14</t>
        </is>
      </c>
      <c r="X154">
        <f>SUM(R[-4]C[0]:R[-1]C[0])</f>
        <v/>
      </c>
    </row>
    <row r="155">
      <c r="A155" t="inlineStr">
        <is>
          <t>Income statement</t>
        </is>
      </c>
      <c r="B155" t="inlineStr">
        <is>
          <t>E14</t>
        </is>
      </c>
      <c r="C155" t="n">
        <v>14</v>
      </c>
      <c r="D155" t="n">
        <v>5</v>
      </c>
      <c r="E155" t="inlineStr">
        <is>
          <t>Calculation</t>
        </is>
      </c>
      <c r="F155" t="inlineStr">
        <is>
          <t>'=SUM(E10:E13)</t>
        </is>
      </c>
      <c r="G155" t="n">
        <v>18414.6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G000064</t>
        </is>
      </c>
      <c r="T155" t="inlineStr">
        <is>
          <t>Horizontal</t>
        </is>
      </c>
      <c r="U155" t="n">
        <v>12</v>
      </c>
      <c r="V155" t="b">
        <v>1</v>
      </c>
      <c r="W155" t="inlineStr">
        <is>
          <t>Income statement!D14:O14</t>
        </is>
      </c>
      <c r="X155">
        <f>SUM(R[-4]C[0]:R[-1]C[0])</f>
        <v/>
      </c>
    </row>
    <row r="156">
      <c r="A156" t="inlineStr">
        <is>
          <t>Income statement</t>
        </is>
      </c>
      <c r="B156" t="inlineStr">
        <is>
          <t>F14</t>
        </is>
      </c>
      <c r="C156" t="n">
        <v>14</v>
      </c>
      <c r="D156" t="n">
        <v>6</v>
      </c>
      <c r="E156" t="inlineStr">
        <is>
          <t>Calculation</t>
        </is>
      </c>
      <c r="F156" t="inlineStr">
        <is>
          <t>'=SUM(F10:F13)</t>
        </is>
      </c>
      <c r="G156" t="n">
        <v>26407.21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G000064</t>
        </is>
      </c>
      <c r="T156" t="inlineStr">
        <is>
          <t>Horizontal</t>
        </is>
      </c>
      <c r="U156" t="n">
        <v>12</v>
      </c>
      <c r="V156" t="b">
        <v>1</v>
      </c>
      <c r="W156" t="inlineStr">
        <is>
          <t>Income statement!D14:O14</t>
        </is>
      </c>
      <c r="X156">
        <f>SUM(R[-4]C[0]:R[-1]C[0])</f>
        <v/>
      </c>
    </row>
    <row r="157">
      <c r="A157" t="inlineStr">
        <is>
          <t>Income statement</t>
        </is>
      </c>
      <c r="B157" t="inlineStr">
        <is>
          <t>G14</t>
        </is>
      </c>
      <c r="C157" t="n">
        <v>14</v>
      </c>
      <c r="D157" t="n">
        <v>7</v>
      </c>
      <c r="E157" t="inlineStr">
        <is>
          <t>Calculation</t>
        </is>
      </c>
      <c r="F157" t="inlineStr">
        <is>
          <t>'=SUM(G10:G13)</t>
        </is>
      </c>
      <c r="G157" t="n">
        <v>34279.72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G000064</t>
        </is>
      </c>
      <c r="T157" t="inlineStr">
        <is>
          <t>Horizontal</t>
        </is>
      </c>
      <c r="U157" t="n">
        <v>12</v>
      </c>
      <c r="V157" t="b">
        <v>1</v>
      </c>
      <c r="W157" t="inlineStr">
        <is>
          <t>Income statement!D14:O14</t>
        </is>
      </c>
      <c r="X157">
        <f>SUM(R[-4]C[0]:R[-1]C[0])</f>
        <v/>
      </c>
    </row>
    <row r="158">
      <c r="A158" t="inlineStr">
        <is>
          <t>Income statement</t>
        </is>
      </c>
      <c r="B158" t="inlineStr">
        <is>
          <t>H14</t>
        </is>
      </c>
      <c r="C158" t="n">
        <v>14</v>
      </c>
      <c r="D158" t="n">
        <v>8</v>
      </c>
      <c r="E158" t="inlineStr">
        <is>
          <t>Calculation</t>
        </is>
      </c>
      <c r="F158" t="inlineStr">
        <is>
          <t>'=SUM(H10:H13)</t>
        </is>
      </c>
      <c r="G158" t="n">
        <v>43549.26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G000064</t>
        </is>
      </c>
      <c r="T158" t="inlineStr">
        <is>
          <t>Horizontal</t>
        </is>
      </c>
      <c r="U158" t="n">
        <v>12</v>
      </c>
      <c r="V158" t="b">
        <v>1</v>
      </c>
      <c r="W158" t="inlineStr">
        <is>
          <t>Income statement!D14:O14</t>
        </is>
      </c>
      <c r="X158">
        <f>SUM(R[-4]C[0]:R[-1]C[0])</f>
        <v/>
      </c>
    </row>
    <row r="159">
      <c r="A159" t="inlineStr">
        <is>
          <t>Income statement</t>
        </is>
      </c>
      <c r="B159" t="inlineStr">
        <is>
          <t>I14</t>
        </is>
      </c>
      <c r="C159" t="n">
        <v>14</v>
      </c>
      <c r="D159" t="n">
        <v>9</v>
      </c>
      <c r="E159" t="inlineStr">
        <is>
          <t>Calculation</t>
        </is>
      </c>
      <c r="F159" t="inlineStr">
        <is>
          <t>'=SUM(I10:I13)</t>
        </is>
      </c>
      <c r="G159" t="n">
        <v>57429.44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G000064</t>
        </is>
      </c>
      <c r="T159" t="inlineStr">
        <is>
          <t>Horizontal</t>
        </is>
      </c>
      <c r="U159" t="n">
        <v>12</v>
      </c>
      <c r="V159" t="b">
        <v>1</v>
      </c>
      <c r="W159" t="inlineStr">
        <is>
          <t>Income statement!D14:O14</t>
        </is>
      </c>
      <c r="X159">
        <f>SUM(R[-4]C[0]:R[-1]C[0])</f>
        <v/>
      </c>
    </row>
    <row r="160">
      <c r="A160" t="inlineStr">
        <is>
          <t>Income statement</t>
        </is>
      </c>
      <c r="B160" t="inlineStr">
        <is>
          <t>J14</t>
        </is>
      </c>
      <c r="C160" t="n">
        <v>14</v>
      </c>
      <c r="D160" t="n">
        <v>10</v>
      </c>
      <c r="E160" t="inlineStr">
        <is>
          <t>Calculation</t>
        </is>
      </c>
      <c r="F160" t="inlineStr">
        <is>
          <t>'=SUM(J10:J13)</t>
        </is>
      </c>
      <c r="G160" t="n">
        <v>69703.52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G000064</t>
        </is>
      </c>
      <c r="T160" t="inlineStr">
        <is>
          <t>Horizontal</t>
        </is>
      </c>
      <c r="U160" t="n">
        <v>12</v>
      </c>
      <c r="V160" t="b">
        <v>1</v>
      </c>
      <c r="W160" t="inlineStr">
        <is>
          <t>Income statement!D14:O14</t>
        </is>
      </c>
      <c r="X160">
        <f>SUM(R[-4]C[0]:R[-1]C[0])</f>
        <v/>
      </c>
    </row>
    <row r="161">
      <c r="A161" t="inlineStr">
        <is>
          <t>Income statement</t>
        </is>
      </c>
      <c r="B161" t="inlineStr">
        <is>
          <t>K14</t>
        </is>
      </c>
      <c r="C161" t="n">
        <v>14</v>
      </c>
      <c r="D161" t="n">
        <v>11</v>
      </c>
      <c r="E161" t="inlineStr">
        <is>
          <t>Calculation</t>
        </is>
      </c>
      <c r="F161" t="inlineStr">
        <is>
          <t>'=SUM(K10:K13)</t>
        </is>
      </c>
      <c r="G161" t="n">
        <v>76873.62046072175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n">
        <v/>
      </c>
      <c r="N161" t="inlineStr">
        <is>
          <t>00000000</t>
        </is>
      </c>
      <c r="O161" t="n">
        <v/>
      </c>
      <c r="R161" t="b">
        <v>1</v>
      </c>
      <c r="S161" t="inlineStr">
        <is>
          <t>G000064</t>
        </is>
      </c>
      <c r="T161" t="inlineStr">
        <is>
          <t>Horizontal</t>
        </is>
      </c>
      <c r="U161" t="n">
        <v>12</v>
      </c>
      <c r="V161" t="b">
        <v>1</v>
      </c>
      <c r="W161" t="inlineStr">
        <is>
          <t>Income statement!D14:O14</t>
        </is>
      </c>
      <c r="X161">
        <f>SUM(R[-4]C[0]:R[-1]C[0])</f>
        <v/>
      </c>
    </row>
    <row r="162">
      <c r="A162" t="inlineStr">
        <is>
          <t>Income statement</t>
        </is>
      </c>
      <c r="B162" t="inlineStr">
        <is>
          <t>L14</t>
        </is>
      </c>
      <c r="C162" t="n">
        <v>14</v>
      </c>
      <c r="D162" t="n">
        <v>12</v>
      </c>
      <c r="E162" t="inlineStr">
        <is>
          <t>Calculation</t>
        </is>
      </c>
      <c r="F162" t="inlineStr">
        <is>
          <t>'=SUM(L10:L13)</t>
        </is>
      </c>
      <c r="G162" t="n">
        <v>93730.58248235474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n">
        <v/>
      </c>
      <c r="N162" t="inlineStr">
        <is>
          <t>00000000</t>
        </is>
      </c>
      <c r="O162" t="n">
        <v/>
      </c>
      <c r="R162" t="b">
        <v>1</v>
      </c>
      <c r="S162" t="inlineStr">
        <is>
          <t>G000064</t>
        </is>
      </c>
      <c r="T162" t="inlineStr">
        <is>
          <t>Horizontal</t>
        </is>
      </c>
      <c r="U162" t="n">
        <v>12</v>
      </c>
      <c r="V162" t="b">
        <v>1</v>
      </c>
      <c r="W162" t="inlineStr">
        <is>
          <t>Income statement!D14:O14</t>
        </is>
      </c>
      <c r="X162">
        <f>SUM(R[-4]C[0]:R[-1]C[0])</f>
        <v/>
      </c>
    </row>
    <row r="163">
      <c r="A163" t="inlineStr">
        <is>
          <t>Income statement</t>
        </is>
      </c>
      <c r="B163" t="inlineStr">
        <is>
          <t>M14</t>
        </is>
      </c>
      <c r="C163" t="n">
        <v>14</v>
      </c>
      <c r="D163" t="n">
        <v>13</v>
      </c>
      <c r="E163" t="inlineStr">
        <is>
          <t>Calculation</t>
        </is>
      </c>
      <c r="F163" t="inlineStr">
        <is>
          <t>'=SUM(M10:M13)</t>
        </is>
      </c>
      <c r="G163" t="n">
        <v>113697.5412156622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n">
        <v/>
      </c>
      <c r="N163" t="inlineStr">
        <is>
          <t>00000000</t>
        </is>
      </c>
      <c r="O163" t="n">
        <v/>
      </c>
      <c r="R163" t="b">
        <v>1</v>
      </c>
      <c r="S163" t="inlineStr">
        <is>
          <t>G000064</t>
        </is>
      </c>
      <c r="T163" t="inlineStr">
        <is>
          <t>Horizontal</t>
        </is>
      </c>
      <c r="U163" t="n">
        <v>12</v>
      </c>
      <c r="V163" t="b">
        <v>1</v>
      </c>
      <c r="W163" t="inlineStr">
        <is>
          <t>Income statement!D14:O14</t>
        </is>
      </c>
      <c r="X163">
        <f>SUM(R[-4]C[0]:R[-1]C[0])</f>
        <v/>
      </c>
    </row>
    <row r="164">
      <c r="A164" t="inlineStr">
        <is>
          <t>Income statement</t>
        </is>
      </c>
      <c r="B164" t="inlineStr">
        <is>
          <t>N14</t>
        </is>
      </c>
      <c r="C164" t="n">
        <v>14</v>
      </c>
      <c r="D164" t="n">
        <v>14</v>
      </c>
      <c r="E164" t="inlineStr">
        <is>
          <t>Calculation</t>
        </is>
      </c>
      <c r="F164" t="inlineStr">
        <is>
          <t>'=SUM(N10:N13)</t>
        </is>
      </c>
      <c r="G164" t="n">
        <v>137799.9635862487</v>
      </c>
      <c r="H164" t="inlineStr"/>
      <c r="I164" t="inlineStr">
        <is>
          <t>0</t>
        </is>
      </c>
      <c r="J164" t="b">
        <v>0</v>
      </c>
      <c r="K164" t="b">
        <v>0</v>
      </c>
      <c r="L164" t="n">
        <v>11</v>
      </c>
      <c r="M164" t="n">
        <v/>
      </c>
      <c r="N164" t="inlineStr">
        <is>
          <t>00000000</t>
        </is>
      </c>
      <c r="O164" t="n">
        <v/>
      </c>
      <c r="R164" t="b">
        <v>1</v>
      </c>
      <c r="S164" t="inlineStr">
        <is>
          <t>G000064</t>
        </is>
      </c>
      <c r="T164" t="inlineStr">
        <is>
          <t>Horizontal</t>
        </is>
      </c>
      <c r="U164" t="n">
        <v>12</v>
      </c>
      <c r="V164" t="b">
        <v>1</v>
      </c>
      <c r="W164" t="inlineStr">
        <is>
          <t>Income statement!D14:O14</t>
        </is>
      </c>
      <c r="X164">
        <f>SUM(R[-4]C[0]:R[-1]C[0])</f>
        <v/>
      </c>
    </row>
    <row r="165">
      <c r="A165" t="inlineStr">
        <is>
          <t>Income statement</t>
        </is>
      </c>
      <c r="B165" t="inlineStr">
        <is>
          <t>O14</t>
        </is>
      </c>
      <c r="C165" t="n">
        <v>14</v>
      </c>
      <c r="D165" t="n">
        <v>15</v>
      </c>
      <c r="E165" t="inlineStr">
        <is>
          <t>Calculation</t>
        </is>
      </c>
      <c r="F165" t="inlineStr">
        <is>
          <t>'=SUM(O10:O13)</t>
        </is>
      </c>
      <c r="G165" t="n">
        <v>167593.2830719642</v>
      </c>
      <c r="H165" t="inlineStr"/>
      <c r="I165" t="inlineStr">
        <is>
          <t>0</t>
        </is>
      </c>
      <c r="J165" t="b">
        <v>0</v>
      </c>
      <c r="K165" t="b">
        <v>0</v>
      </c>
      <c r="L165" t="n">
        <v>11</v>
      </c>
      <c r="M165" t="n">
        <v/>
      </c>
      <c r="N165" t="inlineStr">
        <is>
          <t>00000000</t>
        </is>
      </c>
      <c r="O165" t="n">
        <v/>
      </c>
      <c r="R165" t="b">
        <v>1</v>
      </c>
      <c r="S165" t="inlineStr">
        <is>
          <t>G000064</t>
        </is>
      </c>
      <c r="T165" t="inlineStr">
        <is>
          <t>Horizontal</t>
        </is>
      </c>
      <c r="U165" t="n">
        <v>12</v>
      </c>
      <c r="V165" t="b">
        <v>1</v>
      </c>
      <c r="W165" t="inlineStr">
        <is>
          <t>Income statement!D14:O14</t>
        </is>
      </c>
      <c r="X165">
        <f>SUM(R[-4]C[0]:R[-1]C[0])</f>
        <v/>
      </c>
    </row>
    <row r="166">
      <c r="A166" t="inlineStr">
        <is>
          <t>Income statement</t>
        </is>
      </c>
      <c r="B166" t="inlineStr">
        <is>
          <t>P14</t>
        </is>
      </c>
      <c r="C166" t="n">
        <v>14</v>
      </c>
      <c r="D166" t="n">
        <v>16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11</v>
      </c>
      <c r="M166" t="n">
        <v/>
      </c>
      <c r="N166" t="inlineStr">
        <is>
          <t>00000000</t>
        </is>
      </c>
      <c r="O166" t="n">
        <v/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Income statement</t>
        </is>
      </c>
      <c r="B167" t="inlineStr">
        <is>
          <t>A15</t>
        </is>
      </c>
      <c r="C167" t="n">
        <v>15</v>
      </c>
      <c r="D167" t="n">
        <v>1</v>
      </c>
      <c r="E167" t="inlineStr">
        <is>
          <t>Input</t>
        </is>
      </c>
      <c r="F167" t="n">
        <v/>
      </c>
      <c r="G167" t="inlineStr">
        <is>
          <t>EBITDAR(fuel)</t>
        </is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Income statement</t>
        </is>
      </c>
      <c r="B168" t="inlineStr">
        <is>
          <t>D15</t>
        </is>
      </c>
      <c r="C168" t="n">
        <v>15</v>
      </c>
      <c r="D168" t="n">
        <v>4</v>
      </c>
      <c r="E168" t="inlineStr">
        <is>
          <t>Calculation</t>
        </is>
      </c>
      <c r="F168" t="inlineStr">
        <is>
          <t>'=D9-D14</t>
        </is>
      </c>
      <c r="G168" t="n">
        <v>27537.86</v>
      </c>
      <c r="H168" t="inlineStr"/>
      <c r="I168" t="inlineStr">
        <is>
          <t>#,##0</t>
        </is>
      </c>
      <c r="J168" t="b">
        <v>1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n">
        <v/>
      </c>
      <c r="R168" t="b">
        <v>1</v>
      </c>
      <c r="S168" t="inlineStr">
        <is>
          <t>G000065</t>
        </is>
      </c>
      <c r="T168" t="inlineStr">
        <is>
          <t>Horizontal</t>
        </is>
      </c>
      <c r="U168" t="n">
        <v>12</v>
      </c>
      <c r="V168" t="b">
        <v>1</v>
      </c>
      <c r="W168" t="inlineStr">
        <is>
          <t>Income statement!D15:O15</t>
        </is>
      </c>
      <c r="X168">
        <f>R[-6]C[0]-R[-1]C[0]</f>
        <v/>
      </c>
    </row>
    <row r="169">
      <c r="A169" t="inlineStr">
        <is>
          <t>Income statement</t>
        </is>
      </c>
      <c r="B169" t="inlineStr">
        <is>
          <t>E15</t>
        </is>
      </c>
      <c r="C169" t="n">
        <v>15</v>
      </c>
      <c r="D169" t="n">
        <v>5</v>
      </c>
      <c r="E169" t="inlineStr">
        <is>
          <t>Calculation</t>
        </is>
      </c>
      <c r="F169" t="inlineStr">
        <is>
          <t>'=E9-E14</t>
        </is>
      </c>
      <c r="G169" t="n">
        <v>38671.59999999999</v>
      </c>
      <c r="H169" t="inlineStr"/>
      <c r="I169" t="inlineStr">
        <is>
          <t>#,##0</t>
        </is>
      </c>
      <c r="J169" t="b">
        <v>1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G000065</t>
        </is>
      </c>
      <c r="T169" t="inlineStr">
        <is>
          <t>Horizontal</t>
        </is>
      </c>
      <c r="U169" t="n">
        <v>12</v>
      </c>
      <c r="V169" t="b">
        <v>1</v>
      </c>
      <c r="W169" t="inlineStr">
        <is>
          <t>Income statement!D15:O15</t>
        </is>
      </c>
      <c r="X169">
        <f>R[-6]C[0]-R[-1]C[0]</f>
        <v/>
      </c>
    </row>
    <row r="170">
      <c r="A170" t="inlineStr">
        <is>
          <t>Income statement</t>
        </is>
      </c>
      <c r="B170" t="inlineStr">
        <is>
          <t>F15</t>
        </is>
      </c>
      <c r="C170" t="n">
        <v>15</v>
      </c>
      <c r="D170" t="n">
        <v>6</v>
      </c>
      <c r="E170" t="inlineStr">
        <is>
          <t>Calculation</t>
        </is>
      </c>
      <c r="F170" t="inlineStr">
        <is>
          <t>'=F9-F14</t>
        </is>
      </c>
      <c r="G170" t="n">
        <v>67995.12999999999</v>
      </c>
      <c r="H170" t="inlineStr"/>
      <c r="I170" t="inlineStr">
        <is>
          <t>#,##0</t>
        </is>
      </c>
      <c r="J170" t="b">
        <v>1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G000065</t>
        </is>
      </c>
      <c r="T170" t="inlineStr">
        <is>
          <t>Horizontal</t>
        </is>
      </c>
      <c r="U170" t="n">
        <v>12</v>
      </c>
      <c r="V170" t="b">
        <v>1</v>
      </c>
      <c r="W170" t="inlineStr">
        <is>
          <t>Income statement!D15:O15</t>
        </is>
      </c>
      <c r="X170">
        <f>R[-6]C[0]-R[-1]C[0]</f>
        <v/>
      </c>
    </row>
    <row r="171">
      <c r="A171" t="inlineStr">
        <is>
          <t>Income statement</t>
        </is>
      </c>
      <c r="B171" t="inlineStr">
        <is>
          <t>G15</t>
        </is>
      </c>
      <c r="C171" t="n">
        <v>15</v>
      </c>
      <c r="D171" t="n">
        <v>7</v>
      </c>
      <c r="E171" t="inlineStr">
        <is>
          <t>Calculation</t>
        </is>
      </c>
      <c r="F171" t="inlineStr">
        <is>
          <t>'=G9-G14</t>
        </is>
      </c>
      <c r="G171" t="n">
        <v>80041.45999999999</v>
      </c>
      <c r="H171" t="inlineStr"/>
      <c r="I171" t="inlineStr">
        <is>
          <t>#,##0</t>
        </is>
      </c>
      <c r="J171" t="b">
        <v>1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R171" t="b">
        <v>1</v>
      </c>
      <c r="S171" t="inlineStr">
        <is>
          <t>G000065</t>
        </is>
      </c>
      <c r="T171" t="inlineStr">
        <is>
          <t>Horizontal</t>
        </is>
      </c>
      <c r="U171" t="n">
        <v>12</v>
      </c>
      <c r="V171" t="b">
        <v>1</v>
      </c>
      <c r="W171" t="inlineStr">
        <is>
          <t>Income statement!D15:O15</t>
        </is>
      </c>
      <c r="X171">
        <f>R[-6]C[0]-R[-1]C[0]</f>
        <v/>
      </c>
    </row>
    <row r="172">
      <c r="A172" t="inlineStr">
        <is>
          <t>Income statement</t>
        </is>
      </c>
      <c r="B172" t="inlineStr">
        <is>
          <t>H15</t>
        </is>
      </c>
      <c r="C172" t="n">
        <v>15</v>
      </c>
      <c r="D172" t="n">
        <v>8</v>
      </c>
      <c r="E172" t="inlineStr">
        <is>
          <t>Calculation</t>
        </is>
      </c>
      <c r="F172" t="inlineStr">
        <is>
          <t>'=H9-H14</t>
        </is>
      </c>
      <c r="G172" t="n">
        <v>99649.92999999996</v>
      </c>
      <c r="H172" t="inlineStr"/>
      <c r="I172" t="inlineStr">
        <is>
          <t>#,##0</t>
        </is>
      </c>
      <c r="J172" t="b">
        <v>1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n">
        <v/>
      </c>
      <c r="R172" t="b">
        <v>1</v>
      </c>
      <c r="S172" t="inlineStr">
        <is>
          <t>G000065</t>
        </is>
      </c>
      <c r="T172" t="inlineStr">
        <is>
          <t>Horizontal</t>
        </is>
      </c>
      <c r="U172" t="n">
        <v>12</v>
      </c>
      <c r="V172" t="b">
        <v>1</v>
      </c>
      <c r="W172" t="inlineStr">
        <is>
          <t>Income statement!D15:O15</t>
        </is>
      </c>
      <c r="X172">
        <f>R[-6]C[0]-R[-1]C[0]</f>
        <v/>
      </c>
    </row>
    <row r="173">
      <c r="A173" t="inlineStr">
        <is>
          <t>Income statement</t>
        </is>
      </c>
      <c r="B173" t="inlineStr">
        <is>
          <t>I15</t>
        </is>
      </c>
      <c r="C173" t="n">
        <v>15</v>
      </c>
      <c r="D173" t="n">
        <v>9</v>
      </c>
      <c r="E173" t="inlineStr">
        <is>
          <t>Calculation</t>
        </is>
      </c>
      <c r="F173" t="inlineStr">
        <is>
          <t>'=I9-I14</t>
        </is>
      </c>
      <c r="G173" t="n">
        <v>108583.58</v>
      </c>
      <c r="H173" t="inlineStr"/>
      <c r="I173" t="inlineStr">
        <is>
          <t>#,##0</t>
        </is>
      </c>
      <c r="J173" t="b">
        <v>1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n">
        <v/>
      </c>
      <c r="R173" t="b">
        <v>1</v>
      </c>
      <c r="S173" t="inlineStr">
        <is>
          <t>G000065</t>
        </is>
      </c>
      <c r="T173" t="inlineStr">
        <is>
          <t>Horizontal</t>
        </is>
      </c>
      <c r="U173" t="n">
        <v>12</v>
      </c>
      <c r="V173" t="b">
        <v>1</v>
      </c>
      <c r="W173" t="inlineStr">
        <is>
          <t>Income statement!D15:O15</t>
        </is>
      </c>
      <c r="X173">
        <f>R[-6]C[0]-R[-1]C[0]</f>
        <v/>
      </c>
    </row>
    <row r="174">
      <c r="A174" t="inlineStr">
        <is>
          <t>Income statement</t>
        </is>
      </c>
      <c r="B174" t="inlineStr">
        <is>
          <t>J15</t>
        </is>
      </c>
      <c r="C174" t="n">
        <v>15</v>
      </c>
      <c r="D174" t="n">
        <v>10</v>
      </c>
      <c r="E174" t="inlineStr">
        <is>
          <t>Calculation</t>
        </is>
      </c>
      <c r="F174" t="inlineStr">
        <is>
          <t>'=J9-J14</t>
        </is>
      </c>
      <c r="G174" t="n">
        <v>123992.18</v>
      </c>
      <c r="H174" t="inlineStr"/>
      <c r="I174" t="inlineStr">
        <is>
          <t>#,##0</t>
        </is>
      </c>
      <c r="J174" t="b">
        <v>1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R174" t="b">
        <v>1</v>
      </c>
      <c r="S174" t="inlineStr">
        <is>
          <t>G000065</t>
        </is>
      </c>
      <c r="T174" t="inlineStr">
        <is>
          <t>Horizontal</t>
        </is>
      </c>
      <c r="U174" t="n">
        <v>12</v>
      </c>
      <c r="V174" t="b">
        <v>1</v>
      </c>
      <c r="W174" t="inlineStr">
        <is>
          <t>Income statement!D15:O15</t>
        </is>
      </c>
      <c r="X174">
        <f>R[-6]C[0]-R[-1]C[0]</f>
        <v/>
      </c>
    </row>
    <row r="175">
      <c r="A175" t="inlineStr">
        <is>
          <t>Income statement</t>
        </is>
      </c>
      <c r="B175" t="inlineStr">
        <is>
          <t>K15</t>
        </is>
      </c>
      <c r="C175" t="n">
        <v>15</v>
      </c>
      <c r="D175" t="n">
        <v>11</v>
      </c>
      <c r="E175" t="inlineStr">
        <is>
          <t>Calculation</t>
        </is>
      </c>
      <c r="F175" t="inlineStr">
        <is>
          <t>'=K9-K14</t>
        </is>
      </c>
      <c r="G175" t="n">
        <v>177778.9073525014</v>
      </c>
      <c r="H175" t="inlineStr"/>
      <c r="I175" t="inlineStr">
        <is>
          <t>#,##0</t>
        </is>
      </c>
      <c r="J175" t="b">
        <v>1</v>
      </c>
      <c r="K175" t="b">
        <v>0</v>
      </c>
      <c r="L175" t="n">
        <v>11</v>
      </c>
      <c r="M175" t="n">
        <v/>
      </c>
      <c r="N175" t="inlineStr">
        <is>
          <t>00000000</t>
        </is>
      </c>
      <c r="O175" t="n">
        <v/>
      </c>
      <c r="R175" t="b">
        <v>1</v>
      </c>
      <c r="S175" t="inlineStr">
        <is>
          <t>G000065</t>
        </is>
      </c>
      <c r="T175" t="inlineStr">
        <is>
          <t>Horizontal</t>
        </is>
      </c>
      <c r="U175" t="n">
        <v>12</v>
      </c>
      <c r="V175" t="b">
        <v>1</v>
      </c>
      <c r="W175" t="inlineStr">
        <is>
          <t>Income statement!D15:O15</t>
        </is>
      </c>
      <c r="X175">
        <f>R[-6]C[0]-R[-1]C[0]</f>
        <v/>
      </c>
    </row>
    <row r="176">
      <c r="A176" t="inlineStr">
        <is>
          <t>Income statement</t>
        </is>
      </c>
      <c r="B176" t="inlineStr">
        <is>
          <t>L15</t>
        </is>
      </c>
      <c r="C176" t="n">
        <v>15</v>
      </c>
      <c r="D176" t="n">
        <v>12</v>
      </c>
      <c r="E176" t="inlineStr">
        <is>
          <t>Calculation</t>
        </is>
      </c>
      <c r="F176" t="inlineStr">
        <is>
          <t>'=L9-L14</t>
        </is>
      </c>
      <c r="G176" t="n">
        <v>212008.785338793</v>
      </c>
      <c r="H176" t="inlineStr"/>
      <c r="I176" t="inlineStr">
        <is>
          <t>#,##0</t>
        </is>
      </c>
      <c r="J176" t="b">
        <v>1</v>
      </c>
      <c r="K176" t="b">
        <v>0</v>
      </c>
      <c r="L176" t="n">
        <v>11</v>
      </c>
      <c r="M176" t="n">
        <v/>
      </c>
      <c r="N176" t="inlineStr">
        <is>
          <t>00000000</t>
        </is>
      </c>
      <c r="O176" t="n">
        <v/>
      </c>
      <c r="R176" t="b">
        <v>1</v>
      </c>
      <c r="S176" t="inlineStr">
        <is>
          <t>G000065</t>
        </is>
      </c>
      <c r="T176" t="inlineStr">
        <is>
          <t>Horizontal</t>
        </is>
      </c>
      <c r="U176" t="n">
        <v>12</v>
      </c>
      <c r="V176" t="b">
        <v>1</v>
      </c>
      <c r="W176" t="inlineStr">
        <is>
          <t>Income statement!D15:O15</t>
        </is>
      </c>
      <c r="X176">
        <f>R[-6]C[0]-R[-1]C[0]</f>
        <v/>
      </c>
    </row>
    <row r="177">
      <c r="A177" t="inlineStr">
        <is>
          <t>Income statement</t>
        </is>
      </c>
      <c r="B177" t="inlineStr">
        <is>
          <t>M15</t>
        </is>
      </c>
      <c r="C177" t="n">
        <v>15</v>
      </c>
      <c r="D177" t="n">
        <v>13</v>
      </c>
      <c r="E177" t="inlineStr">
        <is>
          <t>Calculation</t>
        </is>
      </c>
      <c r="F177" t="inlineStr">
        <is>
          <t>'=M9-M14</t>
        </is>
      </c>
      <c r="G177" t="n">
        <v>251813.957051251</v>
      </c>
      <c r="H177" t="inlineStr"/>
      <c r="I177" t="inlineStr">
        <is>
          <t>#,##0</t>
        </is>
      </c>
      <c r="J177" t="b">
        <v>1</v>
      </c>
      <c r="K177" t="b">
        <v>0</v>
      </c>
      <c r="L177" t="n">
        <v>11</v>
      </c>
      <c r="M177" t="n">
        <v/>
      </c>
      <c r="N177" t="inlineStr">
        <is>
          <t>00000000</t>
        </is>
      </c>
      <c r="O177" t="n">
        <v/>
      </c>
      <c r="R177" t="b">
        <v>1</v>
      </c>
      <c r="S177" t="inlineStr">
        <is>
          <t>G000065</t>
        </is>
      </c>
      <c r="T177" t="inlineStr">
        <is>
          <t>Horizontal</t>
        </is>
      </c>
      <c r="U177" t="n">
        <v>12</v>
      </c>
      <c r="V177" t="b">
        <v>1</v>
      </c>
      <c r="W177" t="inlineStr">
        <is>
          <t>Income statement!D15:O15</t>
        </is>
      </c>
      <c r="X177">
        <f>R[-6]C[0]-R[-1]C[0]</f>
        <v/>
      </c>
    </row>
    <row r="178">
      <c r="A178" t="inlineStr">
        <is>
          <t>Income statement</t>
        </is>
      </c>
      <c r="B178" t="inlineStr">
        <is>
          <t>N15</t>
        </is>
      </c>
      <c r="C178" t="n">
        <v>15</v>
      </c>
      <c r="D178" t="n">
        <v>14</v>
      </c>
      <c r="E178" t="inlineStr">
        <is>
          <t>Calculation</t>
        </is>
      </c>
      <c r="F178" t="inlineStr">
        <is>
          <t>'=N9-N14</t>
        </is>
      </c>
      <c r="G178" t="n">
        <v>299162.9425918905</v>
      </c>
      <c r="H178" t="inlineStr"/>
      <c r="I178" t="inlineStr">
        <is>
          <t>#,##0</t>
        </is>
      </c>
      <c r="J178" t="b">
        <v>1</v>
      </c>
      <c r="K178" t="b">
        <v>0</v>
      </c>
      <c r="L178" t="n">
        <v>11</v>
      </c>
      <c r="M178" t="n">
        <v/>
      </c>
      <c r="N178" t="inlineStr">
        <is>
          <t>00000000</t>
        </is>
      </c>
      <c r="O178" t="n">
        <v/>
      </c>
      <c r="R178" t="b">
        <v>1</v>
      </c>
      <c r="S178" t="inlineStr">
        <is>
          <t>G000065</t>
        </is>
      </c>
      <c r="T178" t="inlineStr">
        <is>
          <t>Horizontal</t>
        </is>
      </c>
      <c r="U178" t="n">
        <v>12</v>
      </c>
      <c r="V178" t="b">
        <v>1</v>
      </c>
      <c r="W178" t="inlineStr">
        <is>
          <t>Income statement!D15:O15</t>
        </is>
      </c>
      <c r="X178">
        <f>R[-6]C[0]-R[-1]C[0]</f>
        <v/>
      </c>
    </row>
    <row r="179">
      <c r="A179" t="inlineStr">
        <is>
          <t>Income statement</t>
        </is>
      </c>
      <c r="B179" t="inlineStr">
        <is>
          <t>O15</t>
        </is>
      </c>
      <c r="C179" t="n">
        <v>15</v>
      </c>
      <c r="D179" t="n">
        <v>15</v>
      </c>
      <c r="E179" t="inlineStr">
        <is>
          <t>Calculation</t>
        </is>
      </c>
      <c r="F179" t="inlineStr">
        <is>
          <t>'=O9-O14</t>
        </is>
      </c>
      <c r="G179" t="n">
        <v>357032.3502632467</v>
      </c>
      <c r="H179" t="inlineStr"/>
      <c r="I179" t="inlineStr">
        <is>
          <t>#,##0</t>
        </is>
      </c>
      <c r="J179" t="b">
        <v>1</v>
      </c>
      <c r="K179" t="b">
        <v>0</v>
      </c>
      <c r="L179" t="n">
        <v>11</v>
      </c>
      <c r="M179" t="n">
        <v/>
      </c>
      <c r="N179" t="inlineStr">
        <is>
          <t>00000000</t>
        </is>
      </c>
      <c r="O179" t="n">
        <v/>
      </c>
      <c r="R179" t="b">
        <v>1</v>
      </c>
      <c r="S179" t="inlineStr">
        <is>
          <t>G000065</t>
        </is>
      </c>
      <c r="T179" t="inlineStr">
        <is>
          <t>Horizontal</t>
        </is>
      </c>
      <c r="U179" t="n">
        <v>12</v>
      </c>
      <c r="V179" t="b">
        <v>1</v>
      </c>
      <c r="W179" t="inlineStr">
        <is>
          <t>Income statement!D15:O15</t>
        </is>
      </c>
      <c r="X179">
        <f>R[-6]C[0]-R[-1]C[0]</f>
        <v/>
      </c>
    </row>
    <row r="180">
      <c r="A180" t="inlineStr">
        <is>
          <t>Income statement</t>
        </is>
      </c>
      <c r="B180" t="inlineStr">
        <is>
          <t>P15</t>
        </is>
      </c>
      <c r="C180" t="n">
        <v>15</v>
      </c>
      <c r="D180" t="n">
        <v>16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11</v>
      </c>
      <c r="M180" t="n">
        <v/>
      </c>
      <c r="N180" t="inlineStr">
        <is>
          <t>00000000</t>
        </is>
      </c>
      <c r="O180" t="n">
        <v/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Income statement</t>
        </is>
      </c>
      <c r="B181" t="inlineStr">
        <is>
          <t>A16</t>
        </is>
      </c>
      <c r="C181" t="n">
        <v>16</v>
      </c>
      <c r="D181" t="n">
        <v>1</v>
      </c>
      <c r="E181" t="inlineStr">
        <is>
          <t>Input</t>
        </is>
      </c>
      <c r="F181" t="n">
        <v/>
      </c>
      <c r="G181" t="inlineStr">
        <is>
          <t>Aircraft fuel expenses</t>
        </is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Income statement</t>
        </is>
      </c>
      <c r="B182" t="inlineStr">
        <is>
          <t>D16</t>
        </is>
      </c>
      <c r="C182" t="n">
        <v>16</v>
      </c>
      <c r="D182" t="n">
        <v>4</v>
      </c>
      <c r="E182" t="inlineStr">
        <is>
          <t>Input</t>
        </is>
      </c>
      <c r="F182" t="n">
        <v/>
      </c>
      <c r="G182" t="n">
        <v>15213.26</v>
      </c>
      <c r="H182" t="inlineStr"/>
      <c r="I182" t="inlineStr">
        <is>
          <t>#,##0</t>
        </is>
      </c>
      <c r="J182" t="b">
        <v>0</v>
      </c>
      <c r="K182" t="b">
        <v>0</v>
      </c>
      <c r="L182" t="n">
        <v>11</v>
      </c>
      <c r="M182" t="inlineStr">
        <is>
          <t>FF0B0280</t>
        </is>
      </c>
      <c r="N182" t="inlineStr">
        <is>
          <t>00000000</t>
        </is>
      </c>
      <c r="O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Income statement</t>
        </is>
      </c>
      <c r="B183" t="inlineStr">
        <is>
          <t>E16</t>
        </is>
      </c>
      <c r="C183" t="n">
        <v>16</v>
      </c>
      <c r="D183" t="n">
        <v>5</v>
      </c>
      <c r="E183" t="inlineStr">
        <is>
          <t>Input</t>
        </is>
      </c>
      <c r="F183" t="n">
        <v/>
      </c>
      <c r="G183" t="n">
        <v>28735.91</v>
      </c>
      <c r="H183" t="inlineStr"/>
      <c r="I183" t="inlineStr">
        <is>
          <t>#,##0</t>
        </is>
      </c>
      <c r="J183" t="b">
        <v>0</v>
      </c>
      <c r="K183" t="b">
        <v>0</v>
      </c>
      <c r="L183" t="n">
        <v>11</v>
      </c>
      <c r="M183" t="inlineStr">
        <is>
          <t>FF0B0280</t>
        </is>
      </c>
      <c r="N183" t="inlineStr">
        <is>
          <t>00000000</t>
        </is>
      </c>
      <c r="O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Income statement</t>
        </is>
      </c>
      <c r="B184" t="inlineStr">
        <is>
          <t>F16</t>
        </is>
      </c>
      <c r="C184" t="n">
        <v>16</v>
      </c>
      <c r="D184" t="n">
        <v>6</v>
      </c>
      <c r="E184" t="inlineStr">
        <is>
          <t>Input</t>
        </is>
      </c>
      <c r="F184" t="n">
        <v/>
      </c>
      <c r="G184" t="n">
        <v>43126.26</v>
      </c>
      <c r="H184" t="inlineStr"/>
      <c r="I184" t="inlineStr">
        <is>
          <t>#,##0</t>
        </is>
      </c>
      <c r="J184" t="b">
        <v>0</v>
      </c>
      <c r="K184" t="b">
        <v>0</v>
      </c>
      <c r="L184" t="n">
        <v>11</v>
      </c>
      <c r="M184" t="inlineStr">
        <is>
          <t>FF0B0280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Income statement</t>
        </is>
      </c>
      <c r="B185" t="inlineStr">
        <is>
          <t>G16</t>
        </is>
      </c>
      <c r="C185" t="n">
        <v>16</v>
      </c>
      <c r="D185" t="n">
        <v>7</v>
      </c>
      <c r="E185" t="inlineStr">
        <is>
          <t>Input</t>
        </is>
      </c>
      <c r="F185" t="n">
        <v/>
      </c>
      <c r="G185" t="n">
        <v>55133.5</v>
      </c>
      <c r="H185" t="inlineStr"/>
      <c r="I185" t="inlineStr">
        <is>
          <t>#,##0</t>
        </is>
      </c>
      <c r="J185" t="b">
        <v>0</v>
      </c>
      <c r="K185" t="b">
        <v>0</v>
      </c>
      <c r="L185" t="n">
        <v>11</v>
      </c>
      <c r="M185" t="inlineStr">
        <is>
          <t>FF0B0280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Income statement</t>
        </is>
      </c>
      <c r="B186" t="inlineStr">
        <is>
          <t>H16</t>
        </is>
      </c>
      <c r="C186" t="n">
        <v>16</v>
      </c>
      <c r="D186" t="n">
        <v>8</v>
      </c>
      <c r="E186" t="inlineStr">
        <is>
          <t>Input</t>
        </is>
      </c>
      <c r="F186" t="n">
        <v/>
      </c>
      <c r="G186" t="n">
        <v>57484.86</v>
      </c>
      <c r="H186" t="inlineStr"/>
      <c r="I186" t="inlineStr">
        <is>
          <t>#,##0</t>
        </is>
      </c>
      <c r="J186" t="b">
        <v>0</v>
      </c>
      <c r="K186" t="b">
        <v>0</v>
      </c>
      <c r="L186" t="n">
        <v>11</v>
      </c>
      <c r="M186" t="inlineStr">
        <is>
          <t>FF0B0280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Income statement</t>
        </is>
      </c>
      <c r="B187" t="inlineStr">
        <is>
          <t>I16</t>
        </is>
      </c>
      <c r="C187" t="n">
        <v>16</v>
      </c>
      <c r="D187" t="n">
        <v>9</v>
      </c>
      <c r="E187" t="inlineStr">
        <is>
          <t>Input</t>
        </is>
      </c>
      <c r="F187" t="n">
        <v/>
      </c>
      <c r="G187" t="n">
        <v>47793.24</v>
      </c>
      <c r="H187" t="inlineStr"/>
      <c r="I187" t="inlineStr">
        <is>
          <t>#,##0</t>
        </is>
      </c>
      <c r="J187" t="b">
        <v>0</v>
      </c>
      <c r="K187" t="b">
        <v>0</v>
      </c>
      <c r="L187" t="n">
        <v>11</v>
      </c>
      <c r="M187" t="inlineStr">
        <is>
          <t>FF0B0280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Income statement</t>
        </is>
      </c>
      <c r="B188" t="inlineStr">
        <is>
          <t>J16</t>
        </is>
      </c>
      <c r="C188" t="n">
        <v>16</v>
      </c>
      <c r="D188" t="n">
        <v>10</v>
      </c>
      <c r="E188" t="inlineStr">
        <is>
          <t>Input</t>
        </is>
      </c>
      <c r="F188" t="n">
        <v/>
      </c>
      <c r="G188" t="n">
        <v>63415.13</v>
      </c>
      <c r="H188" t="inlineStr"/>
      <c r="I188" t="inlineStr">
        <is>
          <t>#,##0</t>
        </is>
      </c>
      <c r="J188" t="b">
        <v>0</v>
      </c>
      <c r="K188" t="b">
        <v>0</v>
      </c>
      <c r="L188" t="n">
        <v>11</v>
      </c>
      <c r="M188" t="inlineStr">
        <is>
          <t>FF0B0280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Income statement</t>
        </is>
      </c>
      <c r="B189" t="inlineStr">
        <is>
          <t>K16</t>
        </is>
      </c>
      <c r="C189" t="n">
        <v>16</v>
      </c>
      <c r="D189" t="n">
        <v>11</v>
      </c>
      <c r="E189" t="inlineStr">
        <is>
          <t>Calculation</t>
        </is>
      </c>
      <c r="F189" t="inlineStr">
        <is>
          <t>'='Cost Matrix'!K26</t>
        </is>
      </c>
      <c r="G189" t="n">
        <v>88047.36997955674</v>
      </c>
      <c r="H189" t="inlineStr"/>
      <c r="I189" t="inlineStr">
        <is>
          <t>#,##0</t>
        </is>
      </c>
      <c r="J189" t="b">
        <v>0</v>
      </c>
      <c r="K189" t="b">
        <v>0</v>
      </c>
      <c r="L189" t="n">
        <v>11</v>
      </c>
      <c r="M189" t="n">
        <v/>
      </c>
      <c r="N189" t="inlineStr">
        <is>
          <t>00000000</t>
        </is>
      </c>
      <c r="O189" t="n">
        <v/>
      </c>
      <c r="R189" t="b">
        <v>1</v>
      </c>
      <c r="S189" t="inlineStr">
        <is>
          <t>G000066</t>
        </is>
      </c>
      <c r="T189" t="inlineStr">
        <is>
          <t>Horizontal</t>
        </is>
      </c>
      <c r="U189" t="n">
        <v>5</v>
      </c>
      <c r="V189" t="b">
        <v>1</v>
      </c>
      <c r="W189" t="inlineStr">
        <is>
          <t>Income statement!K16:O16</t>
        </is>
      </c>
      <c r="X189">
        <f>'Cost Matrix'!R[10]C[0]</f>
        <v/>
      </c>
    </row>
    <row r="190">
      <c r="A190" t="inlineStr">
        <is>
          <t>Income statement</t>
        </is>
      </c>
      <c r="B190" t="inlineStr">
        <is>
          <t>L16</t>
        </is>
      </c>
      <c r="C190" t="n">
        <v>16</v>
      </c>
      <c r="D190" t="n">
        <v>12</v>
      </c>
      <c r="E190" t="inlineStr">
        <is>
          <t>Calculation</t>
        </is>
      </c>
      <c r="F190" t="inlineStr">
        <is>
          <t>'='Cost Matrix'!L26</t>
        </is>
      </c>
      <c r="G190" t="n">
        <v>109130.0249099642</v>
      </c>
      <c r="H190" t="inlineStr"/>
      <c r="I190" t="inlineStr">
        <is>
          <t>#,##0</t>
        </is>
      </c>
      <c r="J190" t="b">
        <v>0</v>
      </c>
      <c r="K190" t="b">
        <v>0</v>
      </c>
      <c r="L190" t="n">
        <v>11</v>
      </c>
      <c r="M190" t="n">
        <v/>
      </c>
      <c r="N190" t="inlineStr">
        <is>
          <t>00000000</t>
        </is>
      </c>
      <c r="O190" t="n">
        <v/>
      </c>
      <c r="R190" t="b">
        <v>1</v>
      </c>
      <c r="S190" t="inlineStr">
        <is>
          <t>G000066</t>
        </is>
      </c>
      <c r="T190" t="inlineStr">
        <is>
          <t>Horizontal</t>
        </is>
      </c>
      <c r="U190" t="n">
        <v>5</v>
      </c>
      <c r="V190" t="b">
        <v>1</v>
      </c>
      <c r="W190" t="inlineStr">
        <is>
          <t>Income statement!K16:O16</t>
        </is>
      </c>
      <c r="X190">
        <f>'Cost Matrix'!R[10]C[0]</f>
        <v/>
      </c>
    </row>
    <row r="191">
      <c r="A191" t="inlineStr">
        <is>
          <t>Income statement</t>
        </is>
      </c>
      <c r="B191" t="inlineStr">
        <is>
          <t>M16</t>
        </is>
      </c>
      <c r="C191" t="n">
        <v>16</v>
      </c>
      <c r="D191" t="n">
        <v>13</v>
      </c>
      <c r="E191" t="inlineStr">
        <is>
          <t>Calculation</t>
        </is>
      </c>
      <c r="F191" t="inlineStr">
        <is>
          <t>'='Cost Matrix'!M26</t>
        </is>
      </c>
      <c r="G191" t="n">
        <v>123622.9735557516</v>
      </c>
      <c r="H191" t="inlineStr"/>
      <c r="I191" t="inlineStr">
        <is>
          <t>#,##0</t>
        </is>
      </c>
      <c r="J191" t="b">
        <v>0</v>
      </c>
      <c r="K191" t="b">
        <v>0</v>
      </c>
      <c r="L191" t="n">
        <v>11</v>
      </c>
      <c r="M191" t="n">
        <v/>
      </c>
      <c r="N191" t="inlineStr">
        <is>
          <t>00000000</t>
        </is>
      </c>
      <c r="O191" t="n">
        <v/>
      </c>
      <c r="R191" t="b">
        <v>1</v>
      </c>
      <c r="S191" t="inlineStr">
        <is>
          <t>G000066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Income statement!K16:O16</t>
        </is>
      </c>
      <c r="X191">
        <f>'Cost Matrix'!R[10]C[0]</f>
        <v/>
      </c>
    </row>
    <row r="192">
      <c r="A192" t="inlineStr">
        <is>
          <t>Income statement</t>
        </is>
      </c>
      <c r="B192" t="inlineStr">
        <is>
          <t>N16</t>
        </is>
      </c>
      <c r="C192" t="n">
        <v>16</v>
      </c>
      <c r="D192" t="n">
        <v>14</v>
      </c>
      <c r="E192" t="inlineStr">
        <is>
          <t>Calculation</t>
        </is>
      </c>
      <c r="F192" t="inlineStr">
        <is>
          <t>'='Cost Matrix'!N26</t>
        </is>
      </c>
      <c r="G192" t="n">
        <v>148476.9839638679</v>
      </c>
      <c r="H192" t="inlineStr"/>
      <c r="I192" t="inlineStr">
        <is>
          <t>#,##0</t>
        </is>
      </c>
      <c r="J192" t="b">
        <v>0</v>
      </c>
      <c r="K192" t="b">
        <v>0</v>
      </c>
      <c r="L192" t="n">
        <v>11</v>
      </c>
      <c r="M192" t="n">
        <v/>
      </c>
      <c r="N192" t="inlineStr">
        <is>
          <t>00000000</t>
        </is>
      </c>
      <c r="O192" t="n">
        <v/>
      </c>
      <c r="R192" t="b">
        <v>1</v>
      </c>
      <c r="S192" t="inlineStr">
        <is>
          <t>G000066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Income statement!K16:O16</t>
        </is>
      </c>
      <c r="X192">
        <f>'Cost Matrix'!R[10]C[0]</f>
        <v/>
      </c>
    </row>
    <row r="193">
      <c r="A193" t="inlineStr">
        <is>
          <t>Income statement</t>
        </is>
      </c>
      <c r="B193" t="inlineStr">
        <is>
          <t>O16</t>
        </is>
      </c>
      <c r="C193" t="n">
        <v>16</v>
      </c>
      <c r="D193" t="n">
        <v>15</v>
      </c>
      <c r="E193" t="inlineStr">
        <is>
          <t>Calculation</t>
        </is>
      </c>
      <c r="F193" t="inlineStr">
        <is>
          <t>'='Cost Matrix'!O26</t>
        </is>
      </c>
      <c r="G193" t="n">
        <v>178058.9890867712</v>
      </c>
      <c r="H193" t="inlineStr"/>
      <c r="I193" t="inlineStr">
        <is>
          <t>#,##0</t>
        </is>
      </c>
      <c r="J193" t="b">
        <v>0</v>
      </c>
      <c r="K193" t="b">
        <v>0</v>
      </c>
      <c r="L193" t="n">
        <v>11</v>
      </c>
      <c r="M193" t="n">
        <v/>
      </c>
      <c r="N193" t="inlineStr">
        <is>
          <t>00000000</t>
        </is>
      </c>
      <c r="O193" t="n">
        <v/>
      </c>
      <c r="R193" t="b">
        <v>1</v>
      </c>
      <c r="S193" t="inlineStr">
        <is>
          <t>G000066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Income statement!K16:O16</t>
        </is>
      </c>
      <c r="X193">
        <f>'Cost Matrix'!R[10]C[0]</f>
        <v/>
      </c>
    </row>
    <row r="194">
      <c r="A194" t="inlineStr">
        <is>
          <t>Income statement</t>
        </is>
      </c>
      <c r="B194" t="inlineStr">
        <is>
          <t>P16</t>
        </is>
      </c>
      <c r="C194" t="n">
        <v>16</v>
      </c>
      <c r="D194" t="n">
        <v>16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n">
        <v/>
      </c>
      <c r="N194" t="inlineStr">
        <is>
          <t>00000000</t>
        </is>
      </c>
      <c r="O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Income statement</t>
        </is>
      </c>
      <c r="B195" t="inlineStr">
        <is>
          <t>A17</t>
        </is>
      </c>
      <c r="C195" t="n">
        <v>17</v>
      </c>
      <c r="D195" t="n">
        <v>1</v>
      </c>
      <c r="E195" t="inlineStr">
        <is>
          <t>Input</t>
        </is>
      </c>
      <c r="F195" t="n">
        <v/>
      </c>
      <c r="G195" t="inlineStr">
        <is>
          <t>EBITDAR</t>
        </is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Income statement</t>
        </is>
      </c>
      <c r="B196" t="inlineStr">
        <is>
          <t>B17</t>
        </is>
      </c>
      <c r="C196" t="n">
        <v>17</v>
      </c>
      <c r="D196" t="n">
        <v>2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Income statement</t>
        </is>
      </c>
      <c r="B197" t="inlineStr">
        <is>
          <t>C17</t>
        </is>
      </c>
      <c r="C197" t="n">
        <v>17</v>
      </c>
      <c r="D197" t="n">
        <v>3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Income statement</t>
        </is>
      </c>
      <c r="B198" t="inlineStr">
        <is>
          <t>D17</t>
        </is>
      </c>
      <c r="C198" t="n">
        <v>17</v>
      </c>
      <c r="D198" t="n">
        <v>4</v>
      </c>
      <c r="E198" t="inlineStr">
        <is>
          <t>Calculation</t>
        </is>
      </c>
      <c r="F198" t="inlineStr">
        <is>
          <t>'=D15-D16</t>
        </is>
      </c>
      <c r="G198" t="n">
        <v>12324.6</v>
      </c>
      <c r="H198" t="inlineStr"/>
      <c r="I198" t="inlineStr">
        <is>
          <t>#,##0</t>
        </is>
      </c>
      <c r="J198" t="b">
        <v>1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inlineStr">
        <is>
          <t>G000068</t>
        </is>
      </c>
      <c r="T198" t="inlineStr">
        <is>
          <t>Horizontal</t>
        </is>
      </c>
      <c r="U198" t="n">
        <v>12</v>
      </c>
      <c r="V198" t="b">
        <v>1</v>
      </c>
      <c r="W198" t="inlineStr">
        <is>
          <t>Income statement!D17:O17</t>
        </is>
      </c>
      <c r="X198">
        <f>R[-2]C[0]-R[-1]C[0]</f>
        <v/>
      </c>
    </row>
    <row r="199">
      <c r="A199" t="inlineStr">
        <is>
          <t>Income statement</t>
        </is>
      </c>
      <c r="B199" t="inlineStr">
        <is>
          <t>E17</t>
        </is>
      </c>
      <c r="C199" t="n">
        <v>17</v>
      </c>
      <c r="D199" t="n">
        <v>5</v>
      </c>
      <c r="E199" t="inlineStr">
        <is>
          <t>Calculation</t>
        </is>
      </c>
      <c r="F199" t="inlineStr">
        <is>
          <t>'=E15-E16</t>
        </is>
      </c>
      <c r="G199" t="n">
        <v>9935.689999999991</v>
      </c>
      <c r="H199" t="inlineStr"/>
      <c r="I199" t="inlineStr">
        <is>
          <t>#,##0</t>
        </is>
      </c>
      <c r="J199" t="b">
        <v>1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inlineStr">
        <is>
          <t>G000068</t>
        </is>
      </c>
      <c r="T199" t="inlineStr">
        <is>
          <t>Horizontal</t>
        </is>
      </c>
      <c r="U199" t="n">
        <v>12</v>
      </c>
      <c r="V199" t="b">
        <v>1</v>
      </c>
      <c r="W199" t="inlineStr">
        <is>
          <t>Income statement!D17:O17</t>
        </is>
      </c>
      <c r="X199">
        <f>R[-2]C[0]-R[-1]C[0]</f>
        <v/>
      </c>
    </row>
    <row r="200">
      <c r="A200" t="inlineStr">
        <is>
          <t>Income statement</t>
        </is>
      </c>
      <c r="B200" t="inlineStr">
        <is>
          <t>F17</t>
        </is>
      </c>
      <c r="C200" t="n">
        <v>17</v>
      </c>
      <c r="D200" t="n">
        <v>6</v>
      </c>
      <c r="E200" t="inlineStr">
        <is>
          <t>Calculation</t>
        </is>
      </c>
      <c r="F200" t="inlineStr">
        <is>
          <t>'=F15-F16</t>
        </is>
      </c>
      <c r="G200" t="n">
        <v>24868.86999999999</v>
      </c>
      <c r="H200" t="inlineStr"/>
      <c r="I200" t="inlineStr">
        <is>
          <t>#,##0</t>
        </is>
      </c>
      <c r="J200" t="b">
        <v>1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R200" t="b">
        <v>1</v>
      </c>
      <c r="S200" t="inlineStr">
        <is>
          <t>G000068</t>
        </is>
      </c>
      <c r="T200" t="inlineStr">
        <is>
          <t>Horizontal</t>
        </is>
      </c>
      <c r="U200" t="n">
        <v>12</v>
      </c>
      <c r="V200" t="b">
        <v>1</v>
      </c>
      <c r="W200" t="inlineStr">
        <is>
          <t>Income statement!D17:O17</t>
        </is>
      </c>
      <c r="X200">
        <f>R[-2]C[0]-R[-1]C[0]</f>
        <v/>
      </c>
    </row>
    <row r="201">
      <c r="A201" t="inlineStr">
        <is>
          <t>Income statement</t>
        </is>
      </c>
      <c r="B201" t="inlineStr">
        <is>
          <t>G17</t>
        </is>
      </c>
      <c r="C201" t="n">
        <v>17</v>
      </c>
      <c r="D201" t="n">
        <v>7</v>
      </c>
      <c r="E201" t="inlineStr">
        <is>
          <t>Calculation</t>
        </is>
      </c>
      <c r="F201" t="inlineStr">
        <is>
          <t>'=G15-G16</t>
        </is>
      </c>
      <c r="G201" t="n">
        <v>24907.95999999999</v>
      </c>
      <c r="H201" t="inlineStr"/>
      <c r="I201" t="inlineStr">
        <is>
          <t>#,##0</t>
        </is>
      </c>
      <c r="J201" t="b">
        <v>1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R201" t="b">
        <v>1</v>
      </c>
      <c r="S201" t="inlineStr">
        <is>
          <t>G000068</t>
        </is>
      </c>
      <c r="T201" t="inlineStr">
        <is>
          <t>Horizontal</t>
        </is>
      </c>
      <c r="U201" t="n">
        <v>12</v>
      </c>
      <c r="V201" t="b">
        <v>1</v>
      </c>
      <c r="W201" t="inlineStr">
        <is>
          <t>Income statement!D17:O17</t>
        </is>
      </c>
      <c r="X201">
        <f>R[-2]C[0]-R[-1]C[0]</f>
        <v/>
      </c>
    </row>
    <row r="202">
      <c r="A202" t="inlineStr">
        <is>
          <t>Income statement</t>
        </is>
      </c>
      <c r="B202" t="inlineStr">
        <is>
          <t>H17</t>
        </is>
      </c>
      <c r="C202" t="n">
        <v>17</v>
      </c>
      <c r="D202" t="n">
        <v>8</v>
      </c>
      <c r="E202" t="inlineStr">
        <is>
          <t>Calculation</t>
        </is>
      </c>
      <c r="F202" t="inlineStr">
        <is>
          <t>'=H15-H16</t>
        </is>
      </c>
      <c r="G202" t="n">
        <v>42165.06999999996</v>
      </c>
      <c r="H202" t="inlineStr"/>
      <c r="I202" t="inlineStr">
        <is>
          <t>#,##0</t>
        </is>
      </c>
      <c r="J202" t="b">
        <v>1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00000000</t>
        </is>
      </c>
      <c r="O202" t="n">
        <v/>
      </c>
      <c r="R202" t="b">
        <v>1</v>
      </c>
      <c r="S202" t="inlineStr">
        <is>
          <t>G000068</t>
        </is>
      </c>
      <c r="T202" t="inlineStr">
        <is>
          <t>Horizontal</t>
        </is>
      </c>
      <c r="U202" t="n">
        <v>12</v>
      </c>
      <c r="V202" t="b">
        <v>1</v>
      </c>
      <c r="W202" t="inlineStr">
        <is>
          <t>Income statement!D17:O17</t>
        </is>
      </c>
      <c r="X202">
        <f>R[-2]C[0]-R[-1]C[0]</f>
        <v/>
      </c>
    </row>
    <row r="203">
      <c r="A203" t="inlineStr">
        <is>
          <t>Income statement</t>
        </is>
      </c>
      <c r="B203" t="inlineStr">
        <is>
          <t>I17</t>
        </is>
      </c>
      <c r="C203" t="n">
        <v>17</v>
      </c>
      <c r="D203" t="n">
        <v>9</v>
      </c>
      <c r="E203" t="inlineStr">
        <is>
          <t>Calculation</t>
        </is>
      </c>
      <c r="F203" t="inlineStr">
        <is>
          <t>'=I15-I16</t>
        </is>
      </c>
      <c r="G203" t="n">
        <v>60790.33999999999</v>
      </c>
      <c r="H203" t="inlineStr"/>
      <c r="I203" t="inlineStr">
        <is>
          <t>#,##0</t>
        </is>
      </c>
      <c r="J203" t="b">
        <v>1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n">
        <v/>
      </c>
      <c r="R203" t="b">
        <v>1</v>
      </c>
      <c r="S203" t="inlineStr">
        <is>
          <t>G000068</t>
        </is>
      </c>
      <c r="T203" t="inlineStr">
        <is>
          <t>Horizontal</t>
        </is>
      </c>
      <c r="U203" t="n">
        <v>12</v>
      </c>
      <c r="V203" t="b">
        <v>1</v>
      </c>
      <c r="W203" t="inlineStr">
        <is>
          <t>Income statement!D17:O17</t>
        </is>
      </c>
      <c r="X203">
        <f>R[-2]C[0]-R[-1]C[0]</f>
        <v/>
      </c>
    </row>
    <row r="204">
      <c r="A204" t="inlineStr">
        <is>
          <t>Income statement</t>
        </is>
      </c>
      <c r="B204" t="inlineStr">
        <is>
          <t>J17</t>
        </is>
      </c>
      <c r="C204" t="n">
        <v>17</v>
      </c>
      <c r="D204" t="n">
        <v>10</v>
      </c>
      <c r="E204" t="inlineStr">
        <is>
          <t>Calculation</t>
        </is>
      </c>
      <c r="F204" t="inlineStr">
        <is>
          <t>'=J15-J16</t>
        </is>
      </c>
      <c r="G204" t="n">
        <v>60577.05000000001</v>
      </c>
      <c r="H204" t="inlineStr"/>
      <c r="I204" t="inlineStr">
        <is>
          <t>#,##0</t>
        </is>
      </c>
      <c r="J204" t="b">
        <v>1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R204" t="b">
        <v>1</v>
      </c>
      <c r="S204" t="inlineStr">
        <is>
          <t>G000068</t>
        </is>
      </c>
      <c r="T204" t="inlineStr">
        <is>
          <t>Horizontal</t>
        </is>
      </c>
      <c r="U204" t="n">
        <v>12</v>
      </c>
      <c r="V204" t="b">
        <v>1</v>
      </c>
      <c r="W204" t="inlineStr">
        <is>
          <t>Income statement!D17:O17</t>
        </is>
      </c>
      <c r="X204">
        <f>R[-2]C[0]-R[-1]C[0]</f>
        <v/>
      </c>
    </row>
    <row r="205">
      <c r="A205" t="inlineStr">
        <is>
          <t>Income statement</t>
        </is>
      </c>
      <c r="B205" t="inlineStr">
        <is>
          <t>K17</t>
        </is>
      </c>
      <c r="C205" t="n">
        <v>17</v>
      </c>
      <c r="D205" t="n">
        <v>11</v>
      </c>
      <c r="E205" t="inlineStr">
        <is>
          <t>Calculation</t>
        </is>
      </c>
      <c r="F205" t="inlineStr">
        <is>
          <t>'=K15-K16</t>
        </is>
      </c>
      <c r="G205" t="n">
        <v>89731.53737294464</v>
      </c>
      <c r="H205" t="inlineStr"/>
      <c r="I205" t="inlineStr">
        <is>
          <t>#,##0</t>
        </is>
      </c>
      <c r="J205" t="b">
        <v>1</v>
      </c>
      <c r="K205" t="b">
        <v>0</v>
      </c>
      <c r="L205" t="n">
        <v>11</v>
      </c>
      <c r="M205" t="n">
        <v/>
      </c>
      <c r="N205" t="inlineStr">
        <is>
          <t>00000000</t>
        </is>
      </c>
      <c r="O205" t="n">
        <v/>
      </c>
      <c r="R205" t="b">
        <v>1</v>
      </c>
      <c r="S205" t="inlineStr">
        <is>
          <t>G000068</t>
        </is>
      </c>
      <c r="T205" t="inlineStr">
        <is>
          <t>Horizontal</t>
        </is>
      </c>
      <c r="U205" t="n">
        <v>12</v>
      </c>
      <c r="V205" t="b">
        <v>1</v>
      </c>
      <c r="W205" t="inlineStr">
        <is>
          <t>Income statement!D17:O17</t>
        </is>
      </c>
      <c r="X205">
        <f>R[-2]C[0]-R[-1]C[0]</f>
        <v/>
      </c>
    </row>
    <row r="206">
      <c r="A206" t="inlineStr">
        <is>
          <t>Income statement</t>
        </is>
      </c>
      <c r="B206" t="inlineStr">
        <is>
          <t>L17</t>
        </is>
      </c>
      <c r="C206" t="n">
        <v>17</v>
      </c>
      <c r="D206" t="n">
        <v>12</v>
      </c>
      <c r="E206" t="inlineStr">
        <is>
          <t>Calculation</t>
        </is>
      </c>
      <c r="F206" t="inlineStr">
        <is>
          <t>'=L15-L16</t>
        </is>
      </c>
      <c r="G206" t="n">
        <v>102878.7604288288</v>
      </c>
      <c r="H206" t="inlineStr"/>
      <c r="I206" t="inlineStr">
        <is>
          <t>#,##0</t>
        </is>
      </c>
      <c r="J206" t="b">
        <v>1</v>
      </c>
      <c r="K206" t="b">
        <v>0</v>
      </c>
      <c r="L206" t="n">
        <v>11</v>
      </c>
      <c r="M206" t="n">
        <v/>
      </c>
      <c r="N206" t="inlineStr">
        <is>
          <t>00000000</t>
        </is>
      </c>
      <c r="O206" t="n">
        <v/>
      </c>
      <c r="R206" t="b">
        <v>1</v>
      </c>
      <c r="S206" t="inlineStr">
        <is>
          <t>G000068</t>
        </is>
      </c>
      <c r="T206" t="inlineStr">
        <is>
          <t>Horizontal</t>
        </is>
      </c>
      <c r="U206" t="n">
        <v>12</v>
      </c>
      <c r="V206" t="b">
        <v>1</v>
      </c>
      <c r="W206" t="inlineStr">
        <is>
          <t>Income statement!D17:O17</t>
        </is>
      </c>
      <c r="X206">
        <f>R[-2]C[0]-R[-1]C[0]</f>
        <v/>
      </c>
    </row>
    <row r="207">
      <c r="A207" t="inlineStr">
        <is>
          <t>Income statement</t>
        </is>
      </c>
      <c r="B207" t="inlineStr">
        <is>
          <t>M17</t>
        </is>
      </c>
      <c r="C207" t="n">
        <v>17</v>
      </c>
      <c r="D207" t="n">
        <v>13</v>
      </c>
      <c r="E207" t="inlineStr">
        <is>
          <t>Calculation</t>
        </is>
      </c>
      <c r="F207" t="inlineStr">
        <is>
          <t>'=M15-M16</t>
        </is>
      </c>
      <c r="G207" t="n">
        <v>128190.9834954994</v>
      </c>
      <c r="H207" t="inlineStr"/>
      <c r="I207" t="inlineStr">
        <is>
          <t>#,##0</t>
        </is>
      </c>
      <c r="J207" t="b">
        <v>1</v>
      </c>
      <c r="K207" t="b">
        <v>0</v>
      </c>
      <c r="L207" t="n">
        <v>11</v>
      </c>
      <c r="M207" t="n">
        <v/>
      </c>
      <c r="N207" t="inlineStr">
        <is>
          <t>00000000</t>
        </is>
      </c>
      <c r="O207" t="n">
        <v/>
      </c>
      <c r="R207" t="b">
        <v>1</v>
      </c>
      <c r="S207" t="inlineStr">
        <is>
          <t>G000068</t>
        </is>
      </c>
      <c r="T207" t="inlineStr">
        <is>
          <t>Horizontal</t>
        </is>
      </c>
      <c r="U207" t="n">
        <v>12</v>
      </c>
      <c r="V207" t="b">
        <v>1</v>
      </c>
      <c r="W207" t="inlineStr">
        <is>
          <t>Income statement!D17:O17</t>
        </is>
      </c>
      <c r="X207">
        <f>R[-2]C[0]-R[-1]C[0]</f>
        <v/>
      </c>
    </row>
    <row r="208">
      <c r="A208" t="inlineStr">
        <is>
          <t>Income statement</t>
        </is>
      </c>
      <c r="B208" t="inlineStr">
        <is>
          <t>N17</t>
        </is>
      </c>
      <c r="C208" t="n">
        <v>17</v>
      </c>
      <c r="D208" t="n">
        <v>14</v>
      </c>
      <c r="E208" t="inlineStr">
        <is>
          <t>Calculation</t>
        </is>
      </c>
      <c r="F208" t="inlineStr">
        <is>
          <t>'=N15-N16</t>
        </is>
      </c>
      <c r="G208" t="n">
        <v>150685.9586280226</v>
      </c>
      <c r="H208" t="inlineStr"/>
      <c r="I208" t="inlineStr">
        <is>
          <t>#,##0</t>
        </is>
      </c>
      <c r="J208" t="b">
        <v>1</v>
      </c>
      <c r="K208" t="b">
        <v>0</v>
      </c>
      <c r="L208" t="n">
        <v>11</v>
      </c>
      <c r="M208" t="n">
        <v/>
      </c>
      <c r="N208" t="inlineStr">
        <is>
          <t>00000000</t>
        </is>
      </c>
      <c r="O208" t="n">
        <v/>
      </c>
      <c r="R208" t="b">
        <v>1</v>
      </c>
      <c r="S208" t="inlineStr">
        <is>
          <t>G000068</t>
        </is>
      </c>
      <c r="T208" t="inlineStr">
        <is>
          <t>Horizontal</t>
        </is>
      </c>
      <c r="U208" t="n">
        <v>12</v>
      </c>
      <c r="V208" t="b">
        <v>1</v>
      </c>
      <c r="W208" t="inlineStr">
        <is>
          <t>Income statement!D17:O17</t>
        </is>
      </c>
      <c r="X208">
        <f>R[-2]C[0]-R[-1]C[0]</f>
        <v/>
      </c>
    </row>
    <row r="209">
      <c r="A209" t="inlineStr">
        <is>
          <t>Income statement</t>
        </is>
      </c>
      <c r="B209" t="inlineStr">
        <is>
          <t>O17</t>
        </is>
      </c>
      <c r="C209" t="n">
        <v>17</v>
      </c>
      <c r="D209" t="n">
        <v>15</v>
      </c>
      <c r="E209" t="inlineStr">
        <is>
          <t>Calculation</t>
        </is>
      </c>
      <c r="F209" t="inlineStr">
        <is>
          <t>'=O15-O16</t>
        </is>
      </c>
      <c r="G209" t="n">
        <v>178973.3611764755</v>
      </c>
      <c r="H209" t="inlineStr"/>
      <c r="I209" t="inlineStr">
        <is>
          <t>#,##0</t>
        </is>
      </c>
      <c r="J209" t="b">
        <v>1</v>
      </c>
      <c r="K209" t="b">
        <v>0</v>
      </c>
      <c r="L209" t="n">
        <v>11</v>
      </c>
      <c r="M209" t="n">
        <v/>
      </c>
      <c r="N209" t="inlineStr">
        <is>
          <t>00000000</t>
        </is>
      </c>
      <c r="O209" t="n">
        <v/>
      </c>
      <c r="R209" t="b">
        <v>1</v>
      </c>
      <c r="S209" t="inlineStr">
        <is>
          <t>G000068</t>
        </is>
      </c>
      <c r="T209" t="inlineStr">
        <is>
          <t>Horizontal</t>
        </is>
      </c>
      <c r="U209" t="n">
        <v>12</v>
      </c>
      <c r="V209" t="b">
        <v>1</v>
      </c>
      <c r="W209" t="inlineStr">
        <is>
          <t>Income statement!D17:O17</t>
        </is>
      </c>
      <c r="X209">
        <f>R[-2]C[0]-R[-1]C[0]</f>
        <v/>
      </c>
    </row>
    <row r="210">
      <c r="A210" t="inlineStr">
        <is>
          <t>Income statement</t>
        </is>
      </c>
      <c r="B210" t="inlineStr">
        <is>
          <t>P17</t>
        </is>
      </c>
      <c r="C210" t="n">
        <v>17</v>
      </c>
      <c r="D210" t="n">
        <v>16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11</v>
      </c>
      <c r="M210" t="n">
        <v/>
      </c>
      <c r="N210" t="inlineStr">
        <is>
          <t>00000000</t>
        </is>
      </c>
      <c r="O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Income statement</t>
        </is>
      </c>
      <c r="B211" t="inlineStr">
        <is>
          <t>A18</t>
        </is>
      </c>
      <c r="C211" t="n">
        <v>18</v>
      </c>
      <c r="D211" t="n">
        <v>1</v>
      </c>
      <c r="E211" t="inlineStr">
        <is>
          <t>Input</t>
        </is>
      </c>
      <c r="F211" t="n">
        <v/>
      </c>
      <c r="G211" t="inlineStr">
        <is>
          <t>Aircraft and engine rentals</t>
        </is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00000000</t>
        </is>
      </c>
      <c r="O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Income statement</t>
        </is>
      </c>
      <c r="B212" t="inlineStr">
        <is>
          <t>D18</t>
        </is>
      </c>
      <c r="C212" t="n">
        <v>18</v>
      </c>
      <c r="D212" t="n">
        <v>4</v>
      </c>
      <c r="E212" t="inlineStr">
        <is>
          <t>Input</t>
        </is>
      </c>
      <c r="F212" t="n">
        <v/>
      </c>
      <c r="G212" t="n">
        <v>6372.43</v>
      </c>
      <c r="H212" t="inlineStr"/>
      <c r="I212" t="inlineStr">
        <is>
          <t>#,##0</t>
        </is>
      </c>
      <c r="J212" t="b">
        <v>0</v>
      </c>
      <c r="K212" t="b">
        <v>0</v>
      </c>
      <c r="L212" t="n">
        <v>11</v>
      </c>
      <c r="M212" t="inlineStr">
        <is>
          <t>FF0B0280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Income statement</t>
        </is>
      </c>
      <c r="B213" t="inlineStr">
        <is>
          <t>E18</t>
        </is>
      </c>
      <c r="C213" t="n">
        <v>18</v>
      </c>
      <c r="D213" t="n">
        <v>5</v>
      </c>
      <c r="E213" t="inlineStr">
        <is>
          <t>Input</t>
        </is>
      </c>
      <c r="F213" t="n">
        <v/>
      </c>
      <c r="G213" t="n">
        <v>10634.4</v>
      </c>
      <c r="H213" t="inlineStr"/>
      <c r="I213" t="inlineStr">
        <is>
          <t>#,##0</t>
        </is>
      </c>
      <c r="J213" t="b">
        <v>0</v>
      </c>
      <c r="K213" t="b">
        <v>0</v>
      </c>
      <c r="L213" t="n">
        <v>11</v>
      </c>
      <c r="M213" t="inlineStr">
        <is>
          <t>FF0B0280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Income statement</t>
        </is>
      </c>
      <c r="B214" t="inlineStr">
        <is>
          <t>F18</t>
        </is>
      </c>
      <c r="C214" t="n">
        <v>18</v>
      </c>
      <c r="D214" t="n">
        <v>6</v>
      </c>
      <c r="E214" t="inlineStr">
        <is>
          <t>Input</t>
        </is>
      </c>
      <c r="F214" t="n">
        <v/>
      </c>
      <c r="G214" t="n">
        <v>17149.51</v>
      </c>
      <c r="H214" t="inlineStr"/>
      <c r="I214" t="inlineStr">
        <is>
          <t>#,##0</t>
        </is>
      </c>
      <c r="J214" t="b">
        <v>0</v>
      </c>
      <c r="K214" t="b">
        <v>0</v>
      </c>
      <c r="L214" t="n">
        <v>11</v>
      </c>
      <c r="M214" t="inlineStr">
        <is>
          <t>FF0B0280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Income statement</t>
        </is>
      </c>
      <c r="B215" t="inlineStr">
        <is>
          <t>G18</t>
        </is>
      </c>
      <c r="C215" t="n">
        <v>18</v>
      </c>
      <c r="D215" t="n">
        <v>7</v>
      </c>
      <c r="E215" t="inlineStr">
        <is>
          <t>Input</t>
        </is>
      </c>
      <c r="F215" t="n">
        <v/>
      </c>
      <c r="G215" t="n">
        <v>20310.31</v>
      </c>
      <c r="H215" t="inlineStr"/>
      <c r="I215" t="inlineStr">
        <is>
          <t>#,##0</t>
        </is>
      </c>
      <c r="J215" t="b">
        <v>0</v>
      </c>
      <c r="K215" t="b">
        <v>0</v>
      </c>
      <c r="L215" t="n">
        <v>11</v>
      </c>
      <c r="M215" t="inlineStr">
        <is>
          <t>FF0B0280</t>
        </is>
      </c>
      <c r="N215" t="inlineStr">
        <is>
          <t>00000000</t>
        </is>
      </c>
      <c r="O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Income statement</t>
        </is>
      </c>
      <c r="B216" t="inlineStr">
        <is>
          <t>H18</t>
        </is>
      </c>
      <c r="C216" t="n">
        <v>18</v>
      </c>
      <c r="D216" t="n">
        <v>8</v>
      </c>
      <c r="E216" t="inlineStr">
        <is>
          <t>Calculation</t>
        </is>
      </c>
      <c r="F216" t="inlineStr">
        <is>
          <t>'=H20-H19</t>
        </is>
      </c>
      <c r="G216" t="n">
        <v>23075.5</v>
      </c>
      <c r="H216" t="inlineStr"/>
      <c r="I216" t="inlineStr">
        <is>
          <t>#,##0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G000071</t>
        </is>
      </c>
      <c r="T216" t="inlineStr">
        <is>
          <t>Horizontal</t>
        </is>
      </c>
      <c r="U216" t="n">
        <v>3</v>
      </c>
      <c r="V216" t="b">
        <v>1</v>
      </c>
      <c r="W216" t="inlineStr">
        <is>
          <t>Income statement!H18:J18</t>
        </is>
      </c>
      <c r="X216">
        <f>R[2]C[0]-R[1]C[0]</f>
        <v/>
      </c>
    </row>
    <row r="217">
      <c r="A217" t="inlineStr">
        <is>
          <t>Income statement</t>
        </is>
      </c>
      <c r="B217" t="inlineStr">
        <is>
          <t>I18</t>
        </is>
      </c>
      <c r="C217" t="n">
        <v>18</v>
      </c>
      <c r="D217" t="n">
        <v>9</v>
      </c>
      <c r="E217" t="inlineStr">
        <is>
          <t>Calculation</t>
        </is>
      </c>
      <c r="F217" t="inlineStr">
        <is>
          <t>'=I20-I19</t>
        </is>
      </c>
      <c r="G217" t="n">
        <v>29687.48</v>
      </c>
      <c r="H217" t="inlineStr"/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G000071</t>
        </is>
      </c>
      <c r="T217" t="inlineStr">
        <is>
          <t>Horizontal</t>
        </is>
      </c>
      <c r="U217" t="n">
        <v>3</v>
      </c>
      <c r="V217" t="b">
        <v>1</v>
      </c>
      <c r="W217" t="inlineStr">
        <is>
          <t>Income statement!H18:J18</t>
        </is>
      </c>
      <c r="X217">
        <f>R[2]C[0]-R[1]C[0]</f>
        <v/>
      </c>
    </row>
    <row r="218">
      <c r="A218" t="inlineStr">
        <is>
          <t>Income statement</t>
        </is>
      </c>
      <c r="B218" t="inlineStr">
        <is>
          <t>J18</t>
        </is>
      </c>
      <c r="C218" t="n">
        <v>18</v>
      </c>
      <c r="D218" t="n">
        <v>10</v>
      </c>
      <c r="E218" t="inlineStr">
        <is>
          <t>Calculation</t>
        </is>
      </c>
      <c r="F218" t="inlineStr">
        <is>
          <t>'=J20-J19</t>
        </is>
      </c>
      <c r="G218" t="n">
        <v>36585.79</v>
      </c>
      <c r="H218" t="inlineStr"/>
      <c r="I218" t="inlineStr">
        <is>
          <t>#,##0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R218" t="b">
        <v>1</v>
      </c>
      <c r="S218" t="inlineStr">
        <is>
          <t>G000071</t>
        </is>
      </c>
      <c r="T218" t="inlineStr">
        <is>
          <t>Horizontal</t>
        </is>
      </c>
      <c r="U218" t="n">
        <v>3</v>
      </c>
      <c r="V218" t="b">
        <v>1</v>
      </c>
      <c r="W218" t="inlineStr">
        <is>
          <t>Income statement!H18:J18</t>
        </is>
      </c>
      <c r="X218">
        <f>R[2]C[0]-R[1]C[0]</f>
        <v/>
      </c>
    </row>
    <row r="219">
      <c r="A219" t="inlineStr">
        <is>
          <t>Income statement</t>
        </is>
      </c>
      <c r="B219" t="inlineStr">
        <is>
          <t>K18</t>
        </is>
      </c>
      <c r="C219" t="n">
        <v>18</v>
      </c>
      <c r="D219" t="n">
        <v>11</v>
      </c>
      <c r="E219" t="inlineStr">
        <is>
          <t>Calculation</t>
        </is>
      </c>
      <c r="F219" t="inlineStr">
        <is>
          <t>'='Cost Matrix'!K28</t>
        </is>
      </c>
      <c r="G219" t="n">
        <v>41804.38574903298</v>
      </c>
      <c r="H219" t="inlineStr"/>
      <c r="I219" t="inlineStr">
        <is>
          <t>0</t>
        </is>
      </c>
      <c r="J219" t="b">
        <v>1</v>
      </c>
      <c r="K219" t="b">
        <v>0</v>
      </c>
      <c r="L219" t="n">
        <v>11</v>
      </c>
      <c r="M219" t="n">
        <v/>
      </c>
      <c r="N219" t="inlineStr">
        <is>
          <t>00000000</t>
        </is>
      </c>
      <c r="O219" t="n">
        <v/>
      </c>
      <c r="R219" t="b">
        <v>1</v>
      </c>
      <c r="S219" t="inlineStr">
        <is>
          <t>G000067</t>
        </is>
      </c>
      <c r="T219" t="inlineStr">
        <is>
          <t>Horizontal</t>
        </is>
      </c>
      <c r="U219" t="n">
        <v>5</v>
      </c>
      <c r="V219" t="b">
        <v>1</v>
      </c>
      <c r="W219" t="inlineStr">
        <is>
          <t>Income statement!K18:O18</t>
        </is>
      </c>
      <c r="X219">
        <f>'Cost Matrix'!R[10]C[0]</f>
        <v/>
      </c>
    </row>
    <row r="220">
      <c r="A220" t="inlineStr">
        <is>
          <t>Income statement</t>
        </is>
      </c>
      <c r="B220" t="inlineStr">
        <is>
          <t>L18</t>
        </is>
      </c>
      <c r="C220" t="n">
        <v>18</v>
      </c>
      <c r="D220" t="n">
        <v>12</v>
      </c>
      <c r="E220" t="inlineStr">
        <is>
          <t>Calculation</t>
        </is>
      </c>
      <c r="F220" t="inlineStr">
        <is>
          <t>'='Cost Matrix'!L28</t>
        </is>
      </c>
      <c r="G220" t="n">
        <v>50121.79184101749</v>
      </c>
      <c r="H220" t="inlineStr"/>
      <c r="I220" t="inlineStr">
        <is>
          <t>0</t>
        </is>
      </c>
      <c r="J220" t="b">
        <v>1</v>
      </c>
      <c r="K220" t="b">
        <v>0</v>
      </c>
      <c r="L220" t="n">
        <v>11</v>
      </c>
      <c r="M220" t="n">
        <v/>
      </c>
      <c r="N220" t="inlineStr">
        <is>
          <t>00000000</t>
        </is>
      </c>
      <c r="O220" t="n">
        <v/>
      </c>
      <c r="R220" t="b">
        <v>1</v>
      </c>
      <c r="S220" t="inlineStr">
        <is>
          <t>G000067</t>
        </is>
      </c>
      <c r="T220" t="inlineStr">
        <is>
          <t>Horizontal</t>
        </is>
      </c>
      <c r="U220" t="n">
        <v>5</v>
      </c>
      <c r="V220" t="b">
        <v>1</v>
      </c>
      <c r="W220" t="inlineStr">
        <is>
          <t>Income statement!K18:O18</t>
        </is>
      </c>
      <c r="X220">
        <f>'Cost Matrix'!R[10]C[0]</f>
        <v/>
      </c>
    </row>
    <row r="221">
      <c r="A221" t="inlineStr">
        <is>
          <t>Income statement</t>
        </is>
      </c>
      <c r="B221" t="inlineStr">
        <is>
          <t>M18</t>
        </is>
      </c>
      <c r="C221" t="n">
        <v>18</v>
      </c>
      <c r="D221" t="n">
        <v>13</v>
      </c>
      <c r="E221" t="inlineStr">
        <is>
          <t>Calculation</t>
        </is>
      </c>
      <c r="F221" t="inlineStr">
        <is>
          <t>'='Cost Matrix'!M28</t>
        </is>
      </c>
      <c r="G221" t="n">
        <v>59768.49598648103</v>
      </c>
      <c r="H221" t="inlineStr"/>
      <c r="I221" t="inlineStr">
        <is>
          <t>0</t>
        </is>
      </c>
      <c r="J221" t="b">
        <v>1</v>
      </c>
      <c r="K221" t="b">
        <v>0</v>
      </c>
      <c r="L221" t="n">
        <v>11</v>
      </c>
      <c r="M221" t="n">
        <v/>
      </c>
      <c r="N221" t="inlineStr">
        <is>
          <t>00000000</t>
        </is>
      </c>
      <c r="O221" t="n">
        <v/>
      </c>
      <c r="R221" t="b">
        <v>1</v>
      </c>
      <c r="S221" t="inlineStr">
        <is>
          <t>G000067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Income statement!K18:O18</t>
        </is>
      </c>
      <c r="X221">
        <f>'Cost Matrix'!R[10]C[0]</f>
        <v/>
      </c>
    </row>
    <row r="222">
      <c r="A222" t="inlineStr">
        <is>
          <t>Income statement</t>
        </is>
      </c>
      <c r="B222" t="inlineStr">
        <is>
          <t>N18</t>
        </is>
      </c>
      <c r="C222" t="n">
        <v>18</v>
      </c>
      <c r="D222" t="n">
        <v>14</v>
      </c>
      <c r="E222" t="inlineStr">
        <is>
          <t>Calculation</t>
        </is>
      </c>
      <c r="F222" t="inlineStr">
        <is>
          <t>'='Cost Matrix'!N28</t>
        </is>
      </c>
      <c r="G222" t="n">
        <v>71189.70928473874</v>
      </c>
      <c r="H222" t="inlineStr"/>
      <c r="I222" t="inlineStr">
        <is>
          <t>0</t>
        </is>
      </c>
      <c r="J222" t="b">
        <v>1</v>
      </c>
      <c r="K222" t="b">
        <v>0</v>
      </c>
      <c r="L222" t="n">
        <v>11</v>
      </c>
      <c r="M222" t="n">
        <v/>
      </c>
      <c r="N222" t="inlineStr">
        <is>
          <t>00000000</t>
        </is>
      </c>
      <c r="O222" t="n">
        <v/>
      </c>
      <c r="R222" t="b">
        <v>1</v>
      </c>
      <c r="S222" t="inlineStr">
        <is>
          <t>G000067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Income statement!K18:O18</t>
        </is>
      </c>
      <c r="X222">
        <f>'Cost Matrix'!R[10]C[0]</f>
        <v/>
      </c>
    </row>
    <row r="223">
      <c r="A223" t="inlineStr">
        <is>
          <t>Income statement</t>
        </is>
      </c>
      <c r="B223" t="inlineStr">
        <is>
          <t>O18</t>
        </is>
      </c>
      <c r="C223" t="n">
        <v>18</v>
      </c>
      <c r="D223" t="n">
        <v>15</v>
      </c>
      <c r="E223" t="inlineStr">
        <is>
          <t>Calculation</t>
        </is>
      </c>
      <c r="F223" t="inlineStr">
        <is>
          <t>'='Cost Matrix'!O28</t>
        </is>
      </c>
      <c r="G223" t="n">
        <v>85062.45183108757</v>
      </c>
      <c r="H223" t="inlineStr"/>
      <c r="I223" t="inlineStr">
        <is>
          <t>0</t>
        </is>
      </c>
      <c r="J223" t="b">
        <v>1</v>
      </c>
      <c r="K223" t="b">
        <v>0</v>
      </c>
      <c r="L223" t="n">
        <v>11</v>
      </c>
      <c r="M223" t="n">
        <v/>
      </c>
      <c r="N223" t="inlineStr">
        <is>
          <t>00000000</t>
        </is>
      </c>
      <c r="O223" t="n">
        <v/>
      </c>
      <c r="R223" t="b">
        <v>1</v>
      </c>
      <c r="S223" t="inlineStr">
        <is>
          <t>G000067</t>
        </is>
      </c>
      <c r="T223" t="inlineStr">
        <is>
          <t>Horizontal</t>
        </is>
      </c>
      <c r="U223" t="n">
        <v>5</v>
      </c>
      <c r="V223" t="b">
        <v>1</v>
      </c>
      <c r="W223" t="inlineStr">
        <is>
          <t>Income statement!K18:O18</t>
        </is>
      </c>
      <c r="X223">
        <f>'Cost Matrix'!R[10]C[0]</f>
        <v/>
      </c>
    </row>
    <row r="224">
      <c r="A224" t="inlineStr">
        <is>
          <t>Income statement</t>
        </is>
      </c>
      <c r="B224" t="inlineStr">
        <is>
          <t>P18</t>
        </is>
      </c>
      <c r="C224" t="n">
        <v>18</v>
      </c>
      <c r="D224" t="n">
        <v>16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n">
        <v/>
      </c>
      <c r="N224" t="inlineStr">
        <is>
          <t>00000000</t>
        </is>
      </c>
      <c r="O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Income statement</t>
        </is>
      </c>
      <c r="B225" t="inlineStr">
        <is>
          <t>A19</t>
        </is>
      </c>
      <c r="C225" t="n">
        <v>19</v>
      </c>
      <c r="D225" t="n">
        <v>1</v>
      </c>
      <c r="E225" t="inlineStr">
        <is>
          <t>Input</t>
        </is>
      </c>
      <c r="F225" t="n">
        <v/>
      </c>
      <c r="G225" t="inlineStr">
        <is>
          <t>Less: Cash and non-cash incentives</t>
        </is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n">
        <v/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Income statement</t>
        </is>
      </c>
      <c r="B226" t="inlineStr">
        <is>
          <t>D19</t>
        </is>
      </c>
      <c r="C226" t="n">
        <v>19</v>
      </c>
      <c r="D226" t="n">
        <v>4</v>
      </c>
      <c r="E226" t="inlineStr">
        <is>
          <t>Input</t>
        </is>
      </c>
      <c r="F226" t="n">
        <v/>
      </c>
      <c r="G226" t="n">
        <v>-2273.94</v>
      </c>
      <c r="H226" t="inlineStr"/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FF0B0280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Income statement</t>
        </is>
      </c>
      <c r="B227" t="inlineStr">
        <is>
          <t>E19</t>
        </is>
      </c>
      <c r="C227" t="n">
        <v>19</v>
      </c>
      <c r="D227" t="n">
        <v>5</v>
      </c>
      <c r="E227" t="inlineStr">
        <is>
          <t>Input</t>
        </is>
      </c>
      <c r="F227" t="n">
        <v/>
      </c>
      <c r="G227" t="n">
        <v>-2627.25</v>
      </c>
      <c r="H227" t="inlineStr"/>
      <c r="I227" t="inlineStr">
        <is>
          <t>#,##0</t>
        </is>
      </c>
      <c r="J227" t="b">
        <v>0</v>
      </c>
      <c r="K227" t="b">
        <v>0</v>
      </c>
      <c r="L227" t="n">
        <v>11</v>
      </c>
      <c r="M227" t="inlineStr">
        <is>
          <t>FF0B0280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Income statement</t>
        </is>
      </c>
      <c r="B228" t="inlineStr">
        <is>
          <t>F19</t>
        </is>
      </c>
      <c r="C228" t="n">
        <v>19</v>
      </c>
      <c r="D228" t="n">
        <v>6</v>
      </c>
      <c r="E228" t="inlineStr">
        <is>
          <t>Input</t>
        </is>
      </c>
      <c r="F228" t="n">
        <v/>
      </c>
      <c r="G228" t="n">
        <v>-3588.03</v>
      </c>
      <c r="H228" t="inlineStr"/>
      <c r="I228" t="inlineStr">
        <is>
          <t>#,##0</t>
        </is>
      </c>
      <c r="J228" t="b">
        <v>0</v>
      </c>
      <c r="K228" t="b">
        <v>0</v>
      </c>
      <c r="L228" t="n">
        <v>11</v>
      </c>
      <c r="M228" t="inlineStr">
        <is>
          <t>FF0B0280</t>
        </is>
      </c>
      <c r="N228" t="inlineStr">
        <is>
          <t>00000000</t>
        </is>
      </c>
      <c r="O228" t="n">
        <v/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Income statement</t>
        </is>
      </c>
      <c r="B229" t="inlineStr">
        <is>
          <t>G19</t>
        </is>
      </c>
      <c r="C229" t="n">
        <v>19</v>
      </c>
      <c r="D229" t="n">
        <v>7</v>
      </c>
      <c r="E229" t="inlineStr">
        <is>
          <t>Input</t>
        </is>
      </c>
      <c r="F229" t="n">
        <v/>
      </c>
      <c r="G229" t="n">
        <v>-3607.17</v>
      </c>
      <c r="H229" t="inlineStr"/>
      <c r="I229" t="inlineStr">
        <is>
          <t>#,##0</t>
        </is>
      </c>
      <c r="J229" t="b">
        <v>0</v>
      </c>
      <c r="K229" t="b">
        <v>0</v>
      </c>
      <c r="L229" t="n">
        <v>11</v>
      </c>
      <c r="M229" t="inlineStr">
        <is>
          <t>FF0B0280</t>
        </is>
      </c>
      <c r="N229" t="inlineStr">
        <is>
          <t>00000000</t>
        </is>
      </c>
      <c r="O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Income statement</t>
        </is>
      </c>
      <c r="B230" t="inlineStr">
        <is>
          <t>H19</t>
        </is>
      </c>
      <c r="C230" t="n">
        <v>19</v>
      </c>
      <c r="D230" t="n">
        <v>8</v>
      </c>
      <c r="E230" t="inlineStr">
        <is>
          <t>Input</t>
        </is>
      </c>
      <c r="F230" t="n">
        <v/>
      </c>
      <c r="G230" t="n">
        <v>-3553.12</v>
      </c>
      <c r="H230" t="inlineStr"/>
      <c r="I230" t="inlineStr">
        <is>
          <t>#,##0</t>
        </is>
      </c>
      <c r="J230" t="b">
        <v>0</v>
      </c>
      <c r="K230" t="b">
        <v>0</v>
      </c>
      <c r="L230" t="n">
        <v>11</v>
      </c>
      <c r="M230" t="inlineStr">
        <is>
          <t>FF0B0280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Income statement</t>
        </is>
      </c>
      <c r="B231" t="inlineStr">
        <is>
          <t>I19</t>
        </is>
      </c>
      <c r="C231" t="n">
        <v>19</v>
      </c>
      <c r="D231" t="n">
        <v>9</v>
      </c>
      <c r="E231" t="inlineStr">
        <is>
          <t>Input</t>
        </is>
      </c>
      <c r="F231" t="n">
        <v/>
      </c>
      <c r="G231" t="n">
        <v>-3565.96</v>
      </c>
      <c r="H231" t="inlineStr"/>
      <c r="I231" t="inlineStr">
        <is>
          <t>#,##0</t>
        </is>
      </c>
      <c r="J231" t="b">
        <v>0</v>
      </c>
      <c r="K231" t="b">
        <v>0</v>
      </c>
      <c r="L231" t="n">
        <v>11</v>
      </c>
      <c r="M231" t="inlineStr">
        <is>
          <t>FF0B0280</t>
        </is>
      </c>
      <c r="N231" t="inlineStr">
        <is>
          <t>00000000</t>
        </is>
      </c>
      <c r="O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Income statement</t>
        </is>
      </c>
      <c r="B232" t="inlineStr">
        <is>
          <t>J19</t>
        </is>
      </c>
      <c r="C232" t="n">
        <v>19</v>
      </c>
      <c r="D232" t="n">
        <v>10</v>
      </c>
      <c r="E232" t="inlineStr">
        <is>
          <t>Input</t>
        </is>
      </c>
      <c r="F232" t="n">
        <v/>
      </c>
      <c r="G232" t="n">
        <v>-5332.06</v>
      </c>
      <c r="H232" t="inlineStr"/>
      <c r="I232" t="inlineStr">
        <is>
          <t>#,##0</t>
        </is>
      </c>
      <c r="J232" t="b">
        <v>0</v>
      </c>
      <c r="K232" t="b">
        <v>0</v>
      </c>
      <c r="L232" t="n">
        <v>11</v>
      </c>
      <c r="M232" t="inlineStr">
        <is>
          <t>FF0B0280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Income statement</t>
        </is>
      </c>
      <c r="B233" t="inlineStr">
        <is>
          <t>K19</t>
        </is>
      </c>
      <c r="C233" t="n">
        <v>19</v>
      </c>
      <c r="D233" t="n">
        <v>11</v>
      </c>
      <c r="E233" t="inlineStr">
        <is>
          <t>Calculation</t>
        </is>
      </c>
      <c r="F233" t="inlineStr">
        <is>
          <t>'=-Incentive!K8</t>
        </is>
      </c>
      <c r="G233" t="n">
        <v>-7097.958000000001</v>
      </c>
      <c r="H233" t="inlineStr"/>
      <c r="I233" t="inlineStr">
        <is>
          <t>#,##0</t>
        </is>
      </c>
      <c r="J233" t="b">
        <v>0</v>
      </c>
      <c r="K233" t="b">
        <v>0</v>
      </c>
      <c r="L233" t="n">
        <v>11</v>
      </c>
      <c r="M233" t="n">
        <v/>
      </c>
      <c r="N233" t="inlineStr">
        <is>
          <t>00000000</t>
        </is>
      </c>
      <c r="O233" t="n">
        <v/>
      </c>
      <c r="R233" t="b">
        <v>1</v>
      </c>
      <c r="S233" t="inlineStr">
        <is>
          <t>G000072</t>
        </is>
      </c>
      <c r="T233" t="inlineStr">
        <is>
          <t>Horizontal</t>
        </is>
      </c>
      <c r="U233" t="n">
        <v>5</v>
      </c>
      <c r="V233" t="b">
        <v>1</v>
      </c>
      <c r="W233" t="inlineStr">
        <is>
          <t>Income statement!K19:O19</t>
        </is>
      </c>
      <c r="X233">
        <f>-'Incentive'!R[-11]C[0]</f>
        <v/>
      </c>
    </row>
    <row r="234">
      <c r="A234" t="inlineStr">
        <is>
          <t>Income statement</t>
        </is>
      </c>
      <c r="B234" t="inlineStr">
        <is>
          <t>L19</t>
        </is>
      </c>
      <c r="C234" t="n">
        <v>19</v>
      </c>
      <c r="D234" t="n">
        <v>12</v>
      </c>
      <c r="E234" t="inlineStr">
        <is>
          <t>Calculation</t>
        </is>
      </c>
      <c r="F234" t="inlineStr">
        <is>
          <t>'=-Incentive!L8</t>
        </is>
      </c>
      <c r="G234" t="n">
        <v>-9354.21564</v>
      </c>
      <c r="H234" t="inlineStr"/>
      <c r="I234" t="inlineStr">
        <is>
          <t>#,##0</t>
        </is>
      </c>
      <c r="J234" t="b">
        <v>0</v>
      </c>
      <c r="K234" t="b">
        <v>0</v>
      </c>
      <c r="L234" t="n">
        <v>11</v>
      </c>
      <c r="M234" t="n">
        <v/>
      </c>
      <c r="N234" t="inlineStr">
        <is>
          <t>00000000</t>
        </is>
      </c>
      <c r="O234" t="n">
        <v/>
      </c>
      <c r="R234" t="b">
        <v>1</v>
      </c>
      <c r="S234" t="inlineStr">
        <is>
          <t>G000072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Income statement!K19:O19</t>
        </is>
      </c>
      <c r="X234">
        <f>-'Incentive'!R[-11]C[0]</f>
        <v/>
      </c>
    </row>
    <row r="235">
      <c r="A235" t="inlineStr">
        <is>
          <t>Income statement</t>
        </is>
      </c>
      <c r="B235" t="inlineStr">
        <is>
          <t>M19</t>
        </is>
      </c>
      <c r="C235" t="n">
        <v>19</v>
      </c>
      <c r="D235" t="n">
        <v>13</v>
      </c>
      <c r="E235" t="inlineStr">
        <is>
          <t>Calculation</t>
        </is>
      </c>
      <c r="F235" t="inlineStr">
        <is>
          <t>'=-Incentive!M8</t>
        </is>
      </c>
      <c r="G235" t="n">
        <v>-7388.300097286952</v>
      </c>
      <c r="H235" t="inlineStr"/>
      <c r="I235" t="inlineStr">
        <is>
          <t>#,##0</t>
        </is>
      </c>
      <c r="J235" t="b">
        <v>0</v>
      </c>
      <c r="K235" t="b">
        <v>0</v>
      </c>
      <c r="L235" t="n">
        <v>11</v>
      </c>
      <c r="M235" t="n">
        <v/>
      </c>
      <c r="N235" t="inlineStr">
        <is>
          <t>00000000</t>
        </is>
      </c>
      <c r="O235" t="n">
        <v/>
      </c>
      <c r="R235" t="b">
        <v>1</v>
      </c>
      <c r="S235" t="inlineStr">
        <is>
          <t>G000072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Income statement!K19:O19</t>
        </is>
      </c>
      <c r="X235">
        <f>-'Incentive'!R[-11]C[0]</f>
        <v/>
      </c>
    </row>
    <row r="236">
      <c r="A236" t="inlineStr">
        <is>
          <t>Income statement</t>
        </is>
      </c>
      <c r="B236" t="inlineStr">
        <is>
          <t>N19</t>
        </is>
      </c>
      <c r="C236" t="n">
        <v>19</v>
      </c>
      <c r="D236" t="n">
        <v>14</v>
      </c>
      <c r="E236" t="inlineStr">
        <is>
          <t>Calculation</t>
        </is>
      </c>
      <c r="F236" t="inlineStr">
        <is>
          <t>'=-Incentive!N8</t>
        </is>
      </c>
      <c r="G236" t="n">
        <v>-10456.98506164382</v>
      </c>
      <c r="H236" t="inlineStr"/>
      <c r="I236" t="inlineStr">
        <is>
          <t>#,##0</t>
        </is>
      </c>
      <c r="J236" t="b">
        <v>0</v>
      </c>
      <c r="K236" t="b">
        <v>0</v>
      </c>
      <c r="L236" t="n">
        <v>11</v>
      </c>
      <c r="M236" t="n">
        <v/>
      </c>
      <c r="N236" t="inlineStr">
        <is>
          <t>00000000</t>
        </is>
      </c>
      <c r="O236" t="n">
        <v/>
      </c>
      <c r="R236" t="b">
        <v>1</v>
      </c>
      <c r="S236" t="inlineStr">
        <is>
          <t>G000072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Income statement!K19:O19</t>
        </is>
      </c>
      <c r="X236">
        <f>-'Incentive'!R[-11]C[0]</f>
        <v/>
      </c>
    </row>
    <row r="237">
      <c r="A237" t="inlineStr">
        <is>
          <t>Income statement</t>
        </is>
      </c>
      <c r="B237" t="inlineStr">
        <is>
          <t>O19</t>
        </is>
      </c>
      <c r="C237" t="n">
        <v>19</v>
      </c>
      <c r="D237" t="n">
        <v>15</v>
      </c>
      <c r="E237" t="inlineStr">
        <is>
          <t>Calculation</t>
        </is>
      </c>
      <c r="F237" t="inlineStr">
        <is>
          <t>'=-Incentive!O8</t>
        </is>
      </c>
      <c r="G237" t="n">
        <v>-13471.17654201428</v>
      </c>
      <c r="H237" t="inlineStr"/>
      <c r="I237" t="inlineStr">
        <is>
          <t>#,##0</t>
        </is>
      </c>
      <c r="J237" t="b">
        <v>0</v>
      </c>
      <c r="K237" t="b">
        <v>0</v>
      </c>
      <c r="L237" t="n">
        <v>11</v>
      </c>
      <c r="M237" t="n">
        <v/>
      </c>
      <c r="N237" t="inlineStr">
        <is>
          <t>00000000</t>
        </is>
      </c>
      <c r="O237" t="n">
        <v/>
      </c>
      <c r="R237" t="b">
        <v>1</v>
      </c>
      <c r="S237" t="inlineStr">
        <is>
          <t>G000072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Income statement!K19:O19</t>
        </is>
      </c>
      <c r="X237">
        <f>-'Incentive'!R[-11]C[0]</f>
        <v/>
      </c>
    </row>
    <row r="238">
      <c r="A238" t="inlineStr">
        <is>
          <t>Income statement</t>
        </is>
      </c>
      <c r="B238" t="inlineStr">
        <is>
          <t>P19</t>
        </is>
      </c>
      <c r="C238" t="n">
        <v>19</v>
      </c>
      <c r="D238" t="n">
        <v>16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n">
        <v/>
      </c>
      <c r="N238" t="inlineStr">
        <is>
          <t>00000000</t>
        </is>
      </c>
      <c r="O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Income statement</t>
        </is>
      </c>
      <c r="B239" t="inlineStr">
        <is>
          <t>A20</t>
        </is>
      </c>
      <c r="C239" t="n">
        <v>20</v>
      </c>
      <c r="D239" t="n">
        <v>1</v>
      </c>
      <c r="E239" t="inlineStr">
        <is>
          <t>Input</t>
        </is>
      </c>
      <c r="F239" t="n">
        <v/>
      </c>
      <c r="G239" t="inlineStr">
        <is>
          <t>Aircraft and engine rentals (net)</t>
        </is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Income statement</t>
        </is>
      </c>
      <c r="B240" t="inlineStr">
        <is>
          <t>D20</t>
        </is>
      </c>
      <c r="C240" t="n">
        <v>20</v>
      </c>
      <c r="D240" t="n">
        <v>4</v>
      </c>
      <c r="E240" t="inlineStr">
        <is>
          <t>Calculation</t>
        </is>
      </c>
      <c r="F240" t="inlineStr">
        <is>
          <t>'=D18+D19</t>
        </is>
      </c>
      <c r="G240" t="n">
        <v>4098.49</v>
      </c>
      <c r="H240" t="inlineStr"/>
      <c r="I240" t="inlineStr">
        <is>
          <t>#,##0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n">
        <v/>
      </c>
      <c r="R240" t="b">
        <v>1</v>
      </c>
      <c r="S240" t="inlineStr">
        <is>
          <t>G000073</t>
        </is>
      </c>
      <c r="T240" t="inlineStr">
        <is>
          <t>Horizontal</t>
        </is>
      </c>
      <c r="U240" t="n">
        <v>4</v>
      </c>
      <c r="V240" t="b">
        <v>1</v>
      </c>
      <c r="W240" t="inlineStr">
        <is>
          <t>Income statement!D20:G20</t>
        </is>
      </c>
      <c r="X240">
        <f>R[-2]C[0]+R[-1]C[0]</f>
        <v/>
      </c>
    </row>
    <row r="241">
      <c r="A241" t="inlineStr">
        <is>
          <t>Income statement</t>
        </is>
      </c>
      <c r="B241" t="inlineStr">
        <is>
          <t>E20</t>
        </is>
      </c>
      <c r="C241" t="n">
        <v>20</v>
      </c>
      <c r="D241" t="n">
        <v>5</v>
      </c>
      <c r="E241" t="inlineStr">
        <is>
          <t>Calculation</t>
        </is>
      </c>
      <c r="F241" t="inlineStr">
        <is>
          <t>'=E18+E19</t>
        </is>
      </c>
      <c r="G241" t="n">
        <v>8007.15</v>
      </c>
      <c r="H241" t="inlineStr"/>
      <c r="I241" t="inlineStr">
        <is>
          <t>#,##0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n">
        <v/>
      </c>
      <c r="R241" t="b">
        <v>1</v>
      </c>
      <c r="S241" t="inlineStr">
        <is>
          <t>G000073</t>
        </is>
      </c>
      <c r="T241" t="inlineStr">
        <is>
          <t>Horizontal</t>
        </is>
      </c>
      <c r="U241" t="n">
        <v>4</v>
      </c>
      <c r="V241" t="b">
        <v>1</v>
      </c>
      <c r="W241" t="inlineStr">
        <is>
          <t>Income statement!D20:G20</t>
        </is>
      </c>
      <c r="X241">
        <f>R[-2]C[0]+R[-1]C[0]</f>
        <v/>
      </c>
    </row>
    <row r="242">
      <c r="A242" t="inlineStr">
        <is>
          <t>Income statement</t>
        </is>
      </c>
      <c r="B242" t="inlineStr">
        <is>
          <t>F20</t>
        </is>
      </c>
      <c r="C242" t="n">
        <v>20</v>
      </c>
      <c r="D242" t="n">
        <v>6</v>
      </c>
      <c r="E242" t="inlineStr">
        <is>
          <t>Calculation</t>
        </is>
      </c>
      <c r="F242" t="inlineStr">
        <is>
          <t>'=F18+F19</t>
        </is>
      </c>
      <c r="G242" t="n">
        <v>13561.48</v>
      </c>
      <c r="H242" t="inlineStr"/>
      <c r="I242" t="inlineStr">
        <is>
          <t>#,##0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n">
        <v/>
      </c>
      <c r="R242" t="b">
        <v>1</v>
      </c>
      <c r="S242" t="inlineStr">
        <is>
          <t>G000073</t>
        </is>
      </c>
      <c r="T242" t="inlineStr">
        <is>
          <t>Horizontal</t>
        </is>
      </c>
      <c r="U242" t="n">
        <v>4</v>
      </c>
      <c r="V242" t="b">
        <v>1</v>
      </c>
      <c r="W242" t="inlineStr">
        <is>
          <t>Income statement!D20:G20</t>
        </is>
      </c>
      <c r="X242">
        <f>R[-2]C[0]+R[-1]C[0]</f>
        <v/>
      </c>
    </row>
    <row r="243">
      <c r="A243" t="inlineStr">
        <is>
          <t>Income statement</t>
        </is>
      </c>
      <c r="B243" t="inlineStr">
        <is>
          <t>G20</t>
        </is>
      </c>
      <c r="C243" t="n">
        <v>20</v>
      </c>
      <c r="D243" t="n">
        <v>7</v>
      </c>
      <c r="E243" t="inlineStr">
        <is>
          <t>Calculation</t>
        </is>
      </c>
      <c r="F243" t="inlineStr">
        <is>
          <t>'=G18+G19</t>
        </is>
      </c>
      <c r="G243" t="n">
        <v>16703.14</v>
      </c>
      <c r="H243" t="inlineStr"/>
      <c r="I243" t="inlineStr">
        <is>
          <t>#,##0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n">
        <v/>
      </c>
      <c r="R243" t="b">
        <v>1</v>
      </c>
      <c r="S243" t="inlineStr">
        <is>
          <t>G000073</t>
        </is>
      </c>
      <c r="T243" t="inlineStr">
        <is>
          <t>Horizontal</t>
        </is>
      </c>
      <c r="U243" t="n">
        <v>4</v>
      </c>
      <c r="V243" t="b">
        <v>1</v>
      </c>
      <c r="W243" t="inlineStr">
        <is>
          <t>Income statement!D20:G20</t>
        </is>
      </c>
      <c r="X243">
        <f>R[-2]C[0]+R[-1]C[0]</f>
        <v/>
      </c>
    </row>
    <row r="244">
      <c r="A244" t="inlineStr">
        <is>
          <t>Income statement</t>
        </is>
      </c>
      <c r="B244" t="inlineStr">
        <is>
          <t>H20</t>
        </is>
      </c>
      <c r="C244" t="n">
        <v>20</v>
      </c>
      <c r="D244" t="n">
        <v>8</v>
      </c>
      <c r="E244" t="inlineStr">
        <is>
          <t>Input</t>
        </is>
      </c>
      <c r="F244" t="n">
        <v/>
      </c>
      <c r="G244" t="n">
        <v>19522.38</v>
      </c>
      <c r="H244" t="inlineStr"/>
      <c r="I244" t="inlineStr">
        <is>
          <t>#,##0</t>
        </is>
      </c>
      <c r="J244" t="b">
        <v>0</v>
      </c>
      <c r="K244" t="b">
        <v>0</v>
      </c>
      <c r="L244" t="n">
        <v>11</v>
      </c>
      <c r="M244" t="inlineStr">
        <is>
          <t>FF0B0280</t>
        </is>
      </c>
      <c r="N244" t="inlineStr">
        <is>
          <t>00000000</t>
        </is>
      </c>
      <c r="O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Income statement</t>
        </is>
      </c>
      <c r="B245" t="inlineStr">
        <is>
          <t>I20</t>
        </is>
      </c>
      <c r="C245" t="n">
        <v>20</v>
      </c>
      <c r="D245" t="n">
        <v>9</v>
      </c>
      <c r="E245" t="inlineStr">
        <is>
          <t>Input</t>
        </is>
      </c>
      <c r="F245" t="n">
        <v/>
      </c>
      <c r="G245" t="n">
        <v>26121.52</v>
      </c>
      <c r="H245" t="inlineStr"/>
      <c r="I245" t="inlineStr">
        <is>
          <t>#,##0</t>
        </is>
      </c>
      <c r="J245" t="b">
        <v>0</v>
      </c>
      <c r="K245" t="b">
        <v>0</v>
      </c>
      <c r="L245" t="n">
        <v>11</v>
      </c>
      <c r="M245" t="inlineStr">
        <is>
          <t>FF0B0280</t>
        </is>
      </c>
      <c r="N245" t="inlineStr">
        <is>
          <t>00000000</t>
        </is>
      </c>
      <c r="O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Income statement</t>
        </is>
      </c>
      <c r="B246" t="inlineStr">
        <is>
          <t>J20</t>
        </is>
      </c>
      <c r="C246" t="n">
        <v>20</v>
      </c>
      <c r="D246" t="n">
        <v>10</v>
      </c>
      <c r="E246" t="inlineStr">
        <is>
          <t>Input</t>
        </is>
      </c>
      <c r="F246" t="n">
        <v/>
      </c>
      <c r="G246" t="n">
        <v>31253.73</v>
      </c>
      <c r="H246" t="inlineStr"/>
      <c r="I246" t="inlineStr">
        <is>
          <t>#,##0</t>
        </is>
      </c>
      <c r="J246" t="b">
        <v>0</v>
      </c>
      <c r="K246" t="b">
        <v>0</v>
      </c>
      <c r="L246" t="n">
        <v>11</v>
      </c>
      <c r="M246" t="inlineStr">
        <is>
          <t>FF0B0280</t>
        </is>
      </c>
      <c r="N246" t="inlineStr">
        <is>
          <t>00000000</t>
        </is>
      </c>
      <c r="O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Income statement</t>
        </is>
      </c>
      <c r="B247" t="inlineStr">
        <is>
          <t>K20</t>
        </is>
      </c>
      <c r="C247" t="n">
        <v>20</v>
      </c>
      <c r="D247" t="n">
        <v>11</v>
      </c>
      <c r="E247" t="inlineStr">
        <is>
          <t>Calculation</t>
        </is>
      </c>
      <c r="F247" t="inlineStr">
        <is>
          <t>'=K18+K19</t>
        </is>
      </c>
      <c r="G247" t="n">
        <v>34706.42774903298</v>
      </c>
      <c r="H247" t="inlineStr"/>
      <c r="I247" t="inlineStr">
        <is>
          <t>0</t>
        </is>
      </c>
      <c r="J247" t="b">
        <v>0</v>
      </c>
      <c r="K247" t="b">
        <v>0</v>
      </c>
      <c r="L247" t="n">
        <v>11</v>
      </c>
      <c r="M247" t="n">
        <v/>
      </c>
      <c r="N247" t="inlineStr">
        <is>
          <t>00000000</t>
        </is>
      </c>
      <c r="O247" t="n">
        <v/>
      </c>
      <c r="R247" t="b">
        <v>1</v>
      </c>
      <c r="S247" t="inlineStr">
        <is>
          <t>G000074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Income statement!K20:O20</t>
        </is>
      </c>
      <c r="X247">
        <f>R[-2]C[0]+R[-1]C[0]</f>
        <v/>
      </c>
    </row>
    <row r="248">
      <c r="A248" t="inlineStr">
        <is>
          <t>Income statement</t>
        </is>
      </c>
      <c r="B248" t="inlineStr">
        <is>
          <t>L20</t>
        </is>
      </c>
      <c r="C248" t="n">
        <v>20</v>
      </c>
      <c r="D248" t="n">
        <v>12</v>
      </c>
      <c r="E248" t="inlineStr">
        <is>
          <t>Calculation</t>
        </is>
      </c>
      <c r="F248" t="inlineStr">
        <is>
          <t>'=L18+L19</t>
        </is>
      </c>
      <c r="G248" t="n">
        <v>40767.57620101749</v>
      </c>
      <c r="H248" t="inlineStr"/>
      <c r="I248" t="inlineStr">
        <is>
          <t>0</t>
        </is>
      </c>
      <c r="J248" t="b">
        <v>0</v>
      </c>
      <c r="K248" t="b">
        <v>0</v>
      </c>
      <c r="L248" t="n">
        <v>11</v>
      </c>
      <c r="M248" t="n">
        <v/>
      </c>
      <c r="N248" t="inlineStr">
        <is>
          <t>00000000</t>
        </is>
      </c>
      <c r="O248" t="n">
        <v/>
      </c>
      <c r="R248" t="b">
        <v>1</v>
      </c>
      <c r="S248" t="inlineStr">
        <is>
          <t>G000074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Income statement!K20:O20</t>
        </is>
      </c>
      <c r="X248">
        <f>R[-2]C[0]+R[-1]C[0]</f>
        <v/>
      </c>
    </row>
    <row r="249">
      <c r="A249" t="inlineStr">
        <is>
          <t>Income statement</t>
        </is>
      </c>
      <c r="B249" t="inlineStr">
        <is>
          <t>M20</t>
        </is>
      </c>
      <c r="C249" t="n">
        <v>20</v>
      </c>
      <c r="D249" t="n">
        <v>13</v>
      </c>
      <c r="E249" t="inlineStr">
        <is>
          <t>Calculation</t>
        </is>
      </c>
      <c r="F249" t="inlineStr">
        <is>
          <t>'=M18+M19</t>
        </is>
      </c>
      <c r="G249" t="n">
        <v>52380.19588919407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n">
        <v/>
      </c>
      <c r="N249" t="inlineStr">
        <is>
          <t>00000000</t>
        </is>
      </c>
      <c r="O249" t="n">
        <v/>
      </c>
      <c r="R249" t="b">
        <v>1</v>
      </c>
      <c r="S249" t="inlineStr">
        <is>
          <t>G000074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Income statement!K20:O20</t>
        </is>
      </c>
      <c r="X249">
        <f>R[-2]C[0]+R[-1]C[0]</f>
        <v/>
      </c>
    </row>
    <row r="250">
      <c r="A250" t="inlineStr">
        <is>
          <t>Income statement</t>
        </is>
      </c>
      <c r="B250" t="inlineStr">
        <is>
          <t>N20</t>
        </is>
      </c>
      <c r="C250" t="n">
        <v>20</v>
      </c>
      <c r="D250" t="n">
        <v>14</v>
      </c>
      <c r="E250" t="inlineStr">
        <is>
          <t>Calculation</t>
        </is>
      </c>
      <c r="F250" t="inlineStr">
        <is>
          <t>'=N18+N19</t>
        </is>
      </c>
      <c r="G250" t="n">
        <v>60732.72422309492</v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n">
        <v/>
      </c>
      <c r="N250" t="inlineStr">
        <is>
          <t>00000000</t>
        </is>
      </c>
      <c r="O250" t="n">
        <v/>
      </c>
      <c r="R250" t="b">
        <v>1</v>
      </c>
      <c r="S250" t="inlineStr">
        <is>
          <t>G000074</t>
        </is>
      </c>
      <c r="T250" t="inlineStr">
        <is>
          <t>Horizontal</t>
        </is>
      </c>
      <c r="U250" t="n">
        <v>5</v>
      </c>
      <c r="V250" t="b">
        <v>1</v>
      </c>
      <c r="W250" t="inlineStr">
        <is>
          <t>Income statement!K20:O20</t>
        </is>
      </c>
      <c r="X250">
        <f>R[-2]C[0]+R[-1]C[0]</f>
        <v/>
      </c>
    </row>
    <row r="251">
      <c r="A251" t="inlineStr">
        <is>
          <t>Income statement</t>
        </is>
      </c>
      <c r="B251" t="inlineStr">
        <is>
          <t>O20</t>
        </is>
      </c>
      <c r="C251" t="n">
        <v>20</v>
      </c>
      <c r="D251" t="n">
        <v>15</v>
      </c>
      <c r="E251" t="inlineStr">
        <is>
          <t>Calculation</t>
        </is>
      </c>
      <c r="F251" t="inlineStr">
        <is>
          <t>'=O18+O19</t>
        </is>
      </c>
      <c r="G251" t="n">
        <v>71591.2752890733</v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n">
        <v/>
      </c>
      <c r="N251" t="inlineStr">
        <is>
          <t>00000000</t>
        </is>
      </c>
      <c r="O251" t="n">
        <v/>
      </c>
      <c r="R251" t="b">
        <v>1</v>
      </c>
      <c r="S251" t="inlineStr">
        <is>
          <t>G000074</t>
        </is>
      </c>
      <c r="T251" t="inlineStr">
        <is>
          <t>Horizontal</t>
        </is>
      </c>
      <c r="U251" t="n">
        <v>5</v>
      </c>
      <c r="V251" t="b">
        <v>1</v>
      </c>
      <c r="W251" t="inlineStr">
        <is>
          <t>Income statement!K20:O20</t>
        </is>
      </c>
      <c r="X251">
        <f>R[-2]C[0]+R[-1]C[0]</f>
        <v/>
      </c>
    </row>
    <row r="252">
      <c r="A252" t="inlineStr">
        <is>
          <t>Income statement</t>
        </is>
      </c>
      <c r="B252" t="inlineStr">
        <is>
          <t>P20</t>
        </is>
      </c>
      <c r="C252" t="n">
        <v>20</v>
      </c>
      <c r="D252" t="n">
        <v>16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n">
        <v/>
      </c>
      <c r="N252" t="inlineStr">
        <is>
          <t>00000000</t>
        </is>
      </c>
      <c r="O252" t="n">
        <v/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Income statement</t>
        </is>
      </c>
      <c r="B253" t="inlineStr">
        <is>
          <t>A21</t>
        </is>
      </c>
      <c r="C253" t="n">
        <v>21</v>
      </c>
      <c r="D253" t="n">
        <v>1</v>
      </c>
      <c r="E253" t="inlineStr">
        <is>
          <t>Input</t>
        </is>
      </c>
      <c r="F253" t="n">
        <v/>
      </c>
      <c r="G253" t="inlineStr">
        <is>
          <t>EBITDA</t>
        </is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00000000</t>
        </is>
      </c>
      <c r="O253" t="n">
        <v/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Income statement</t>
        </is>
      </c>
      <c r="B254" t="inlineStr">
        <is>
          <t>D21</t>
        </is>
      </c>
      <c r="C254" t="n">
        <v>21</v>
      </c>
      <c r="D254" t="n">
        <v>4</v>
      </c>
      <c r="E254" t="inlineStr">
        <is>
          <t>Calculation</t>
        </is>
      </c>
      <c r="F254" t="inlineStr">
        <is>
          <t>'=D17-D20</t>
        </is>
      </c>
      <c r="G254" t="n">
        <v>8226.110000000001</v>
      </c>
      <c r="H254" t="inlineStr"/>
      <c r="I254" t="inlineStr">
        <is>
          <t>#,##0</t>
        </is>
      </c>
      <c r="J254" t="b">
        <v>1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00000000</t>
        </is>
      </c>
      <c r="O254" t="n">
        <v/>
      </c>
      <c r="R254" t="b">
        <v>1</v>
      </c>
      <c r="S254" t="inlineStr">
        <is>
          <t>G000075</t>
        </is>
      </c>
      <c r="T254" t="inlineStr">
        <is>
          <t>Horizontal</t>
        </is>
      </c>
      <c r="U254" t="n">
        <v>12</v>
      </c>
      <c r="V254" t="b">
        <v>1</v>
      </c>
      <c r="W254" t="inlineStr">
        <is>
          <t>Income statement!D21:O21</t>
        </is>
      </c>
      <c r="X254">
        <f>R[-4]C[0]-R[-1]C[0]</f>
        <v/>
      </c>
    </row>
    <row r="255">
      <c r="A255" t="inlineStr">
        <is>
          <t>Income statement</t>
        </is>
      </c>
      <c r="B255" t="inlineStr">
        <is>
          <t>E21</t>
        </is>
      </c>
      <c r="C255" t="n">
        <v>21</v>
      </c>
      <c r="D255" t="n">
        <v>5</v>
      </c>
      <c r="E255" t="inlineStr">
        <is>
          <t>Calculation</t>
        </is>
      </c>
      <c r="F255" t="inlineStr">
        <is>
          <t>'=E17-E20</t>
        </is>
      </c>
      <c r="G255" t="n">
        <v>1928.539999999992</v>
      </c>
      <c r="H255" t="inlineStr"/>
      <c r="I255" t="inlineStr">
        <is>
          <t>#,##0</t>
        </is>
      </c>
      <c r="J255" t="b">
        <v>1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00000000</t>
        </is>
      </c>
      <c r="O255" t="n">
        <v/>
      </c>
      <c r="R255" t="b">
        <v>1</v>
      </c>
      <c r="S255" t="inlineStr">
        <is>
          <t>G000075</t>
        </is>
      </c>
      <c r="T255" t="inlineStr">
        <is>
          <t>Horizontal</t>
        </is>
      </c>
      <c r="U255" t="n">
        <v>12</v>
      </c>
      <c r="V255" t="b">
        <v>1</v>
      </c>
      <c r="W255" t="inlineStr">
        <is>
          <t>Income statement!D21:O21</t>
        </is>
      </c>
      <c r="X255">
        <f>R[-4]C[0]-R[-1]C[0]</f>
        <v/>
      </c>
    </row>
    <row r="256">
      <c r="A256" t="inlineStr">
        <is>
          <t>Income statement</t>
        </is>
      </c>
      <c r="B256" t="inlineStr">
        <is>
          <t>F21</t>
        </is>
      </c>
      <c r="C256" t="n">
        <v>21</v>
      </c>
      <c r="D256" t="n">
        <v>6</v>
      </c>
      <c r="E256" t="inlineStr">
        <is>
          <t>Calculation</t>
        </is>
      </c>
      <c r="F256" t="inlineStr">
        <is>
          <t>'=F17-F20</t>
        </is>
      </c>
      <c r="G256" t="n">
        <v>11307.38999999999</v>
      </c>
      <c r="H256" t="inlineStr"/>
      <c r="I256" t="inlineStr">
        <is>
          <t>#,##0</t>
        </is>
      </c>
      <c r="J256" t="b">
        <v>1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00000000</t>
        </is>
      </c>
      <c r="O256" t="n">
        <v/>
      </c>
      <c r="R256" t="b">
        <v>1</v>
      </c>
      <c r="S256" t="inlineStr">
        <is>
          <t>G000075</t>
        </is>
      </c>
      <c r="T256" t="inlineStr">
        <is>
          <t>Horizontal</t>
        </is>
      </c>
      <c r="U256" t="n">
        <v>12</v>
      </c>
      <c r="V256" t="b">
        <v>1</v>
      </c>
      <c r="W256" t="inlineStr">
        <is>
          <t>Income statement!D21:O21</t>
        </is>
      </c>
      <c r="X256">
        <f>R[-4]C[0]-R[-1]C[0]</f>
        <v/>
      </c>
    </row>
    <row r="257">
      <c r="A257" t="inlineStr">
        <is>
          <t>Income statement</t>
        </is>
      </c>
      <c r="B257" t="inlineStr">
        <is>
          <t>G21</t>
        </is>
      </c>
      <c r="C257" t="n">
        <v>21</v>
      </c>
      <c r="D257" t="n">
        <v>7</v>
      </c>
      <c r="E257" t="inlineStr">
        <is>
          <t>Calculation</t>
        </is>
      </c>
      <c r="F257" t="inlineStr">
        <is>
          <t>'=G17-G20</t>
        </is>
      </c>
      <c r="G257" t="n">
        <v>8204.819999999992</v>
      </c>
      <c r="H257" t="inlineStr"/>
      <c r="I257" t="inlineStr">
        <is>
          <t>#,##0</t>
        </is>
      </c>
      <c r="J257" t="b">
        <v>1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n">
        <v/>
      </c>
      <c r="R257" t="b">
        <v>1</v>
      </c>
      <c r="S257" t="inlineStr">
        <is>
          <t>G000075</t>
        </is>
      </c>
      <c r="T257" t="inlineStr">
        <is>
          <t>Horizontal</t>
        </is>
      </c>
      <c r="U257" t="n">
        <v>12</v>
      </c>
      <c r="V257" t="b">
        <v>1</v>
      </c>
      <c r="W257" t="inlineStr">
        <is>
          <t>Income statement!D21:O21</t>
        </is>
      </c>
      <c r="X257">
        <f>R[-4]C[0]-R[-1]C[0]</f>
        <v/>
      </c>
    </row>
    <row r="258">
      <c r="A258" t="inlineStr">
        <is>
          <t>Income statement</t>
        </is>
      </c>
      <c r="B258" t="inlineStr">
        <is>
          <t>H21</t>
        </is>
      </c>
      <c r="C258" t="n">
        <v>21</v>
      </c>
      <c r="D258" t="n">
        <v>8</v>
      </c>
      <c r="E258" t="inlineStr">
        <is>
          <t>Calculation</t>
        </is>
      </c>
      <c r="F258" t="inlineStr">
        <is>
          <t>'=H17-H20</t>
        </is>
      </c>
      <c r="G258" t="n">
        <v>22642.68999999996</v>
      </c>
      <c r="H258" t="inlineStr"/>
      <c r="I258" t="inlineStr">
        <is>
          <t>#,##0</t>
        </is>
      </c>
      <c r="J258" t="b">
        <v>1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R258" t="b">
        <v>1</v>
      </c>
      <c r="S258" t="inlineStr">
        <is>
          <t>G000075</t>
        </is>
      </c>
      <c r="T258" t="inlineStr">
        <is>
          <t>Horizontal</t>
        </is>
      </c>
      <c r="U258" t="n">
        <v>12</v>
      </c>
      <c r="V258" t="b">
        <v>1</v>
      </c>
      <c r="W258" t="inlineStr">
        <is>
          <t>Income statement!D21:O21</t>
        </is>
      </c>
      <c r="X258">
        <f>R[-4]C[0]-R[-1]C[0]</f>
        <v/>
      </c>
    </row>
    <row r="259">
      <c r="A259" t="inlineStr">
        <is>
          <t>Income statement</t>
        </is>
      </c>
      <c r="B259" t="inlineStr">
        <is>
          <t>I21</t>
        </is>
      </c>
      <c r="C259" t="n">
        <v>21</v>
      </c>
      <c r="D259" t="n">
        <v>9</v>
      </c>
      <c r="E259" t="inlineStr">
        <is>
          <t>Calculation</t>
        </is>
      </c>
      <c r="F259" t="inlineStr">
        <is>
          <t>'=I17-I20</t>
        </is>
      </c>
      <c r="G259" t="n">
        <v>34668.81999999999</v>
      </c>
      <c r="H259" t="inlineStr"/>
      <c r="I259" t="inlineStr">
        <is>
          <t>#,##0</t>
        </is>
      </c>
      <c r="J259" t="b">
        <v>1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R259" t="b">
        <v>1</v>
      </c>
      <c r="S259" t="inlineStr">
        <is>
          <t>G000075</t>
        </is>
      </c>
      <c r="T259" t="inlineStr">
        <is>
          <t>Horizontal</t>
        </is>
      </c>
      <c r="U259" t="n">
        <v>12</v>
      </c>
      <c r="V259" t="b">
        <v>1</v>
      </c>
      <c r="W259" t="inlineStr">
        <is>
          <t>Income statement!D21:O21</t>
        </is>
      </c>
      <c r="X259">
        <f>R[-4]C[0]-R[-1]C[0]</f>
        <v/>
      </c>
    </row>
    <row r="260">
      <c r="A260" t="inlineStr">
        <is>
          <t>Income statement</t>
        </is>
      </c>
      <c r="B260" t="inlineStr">
        <is>
          <t>J21</t>
        </is>
      </c>
      <c r="C260" t="n">
        <v>21</v>
      </c>
      <c r="D260" t="n">
        <v>10</v>
      </c>
      <c r="E260" t="inlineStr">
        <is>
          <t>Calculation</t>
        </is>
      </c>
      <c r="F260" t="inlineStr">
        <is>
          <t>'=J17-J20</t>
        </is>
      </c>
      <c r="G260" t="n">
        <v>29323.32000000001</v>
      </c>
      <c r="H260" t="inlineStr"/>
      <c r="I260" t="inlineStr">
        <is>
          <t>#,##0</t>
        </is>
      </c>
      <c r="J260" t="b">
        <v>1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R260" t="b">
        <v>1</v>
      </c>
      <c r="S260" t="inlineStr">
        <is>
          <t>G000075</t>
        </is>
      </c>
      <c r="T260" t="inlineStr">
        <is>
          <t>Horizontal</t>
        </is>
      </c>
      <c r="U260" t="n">
        <v>12</v>
      </c>
      <c r="V260" t="b">
        <v>1</v>
      </c>
      <c r="W260" t="inlineStr">
        <is>
          <t>Income statement!D21:O21</t>
        </is>
      </c>
      <c r="X260">
        <f>R[-4]C[0]-R[-1]C[0]</f>
        <v/>
      </c>
    </row>
    <row r="261">
      <c r="A261" t="inlineStr">
        <is>
          <t>Income statement</t>
        </is>
      </c>
      <c r="B261" t="inlineStr">
        <is>
          <t>K21</t>
        </is>
      </c>
      <c r="C261" t="n">
        <v>21</v>
      </c>
      <c r="D261" t="n">
        <v>11</v>
      </c>
      <c r="E261" t="inlineStr">
        <is>
          <t>Calculation</t>
        </is>
      </c>
      <c r="F261" t="inlineStr">
        <is>
          <t>'=K17-K20</t>
        </is>
      </c>
      <c r="G261" t="n">
        <v>55025.10962391167</v>
      </c>
      <c r="H261" t="inlineStr"/>
      <c r="I261" t="inlineStr">
        <is>
          <t>#,##0</t>
        </is>
      </c>
      <c r="J261" t="b">
        <v>1</v>
      </c>
      <c r="K261" t="b">
        <v>0</v>
      </c>
      <c r="L261" t="n">
        <v>11</v>
      </c>
      <c r="M261" t="n">
        <v/>
      </c>
      <c r="N261" t="inlineStr">
        <is>
          <t>00000000</t>
        </is>
      </c>
      <c r="O261" t="n">
        <v/>
      </c>
      <c r="R261" t="b">
        <v>1</v>
      </c>
      <c r="S261" t="inlineStr">
        <is>
          <t>G000075</t>
        </is>
      </c>
      <c r="T261" t="inlineStr">
        <is>
          <t>Horizontal</t>
        </is>
      </c>
      <c r="U261" t="n">
        <v>12</v>
      </c>
      <c r="V261" t="b">
        <v>1</v>
      </c>
      <c r="W261" t="inlineStr">
        <is>
          <t>Income statement!D21:O21</t>
        </is>
      </c>
      <c r="X261">
        <f>R[-4]C[0]-R[-1]C[0]</f>
        <v/>
      </c>
    </row>
    <row r="262">
      <c r="A262" t="inlineStr">
        <is>
          <t>Income statement</t>
        </is>
      </c>
      <c r="B262" t="inlineStr">
        <is>
          <t>L21</t>
        </is>
      </c>
      <c r="C262" t="n">
        <v>21</v>
      </c>
      <c r="D262" t="n">
        <v>12</v>
      </c>
      <c r="E262" t="inlineStr">
        <is>
          <t>Calculation</t>
        </is>
      </c>
      <c r="F262" t="inlineStr">
        <is>
          <t>'=L17-L20</t>
        </is>
      </c>
      <c r="G262" t="n">
        <v>62111.18422781133</v>
      </c>
      <c r="H262" t="inlineStr"/>
      <c r="I262" t="inlineStr">
        <is>
          <t>#,##0</t>
        </is>
      </c>
      <c r="J262" t="b">
        <v>1</v>
      </c>
      <c r="K262" t="b">
        <v>0</v>
      </c>
      <c r="L262" t="n">
        <v>11</v>
      </c>
      <c r="M262" t="n">
        <v/>
      </c>
      <c r="N262" t="inlineStr">
        <is>
          <t>00000000</t>
        </is>
      </c>
      <c r="O262" t="n">
        <v/>
      </c>
      <c r="R262" t="b">
        <v>1</v>
      </c>
      <c r="S262" t="inlineStr">
        <is>
          <t>G000075</t>
        </is>
      </c>
      <c r="T262" t="inlineStr">
        <is>
          <t>Horizontal</t>
        </is>
      </c>
      <c r="U262" t="n">
        <v>12</v>
      </c>
      <c r="V262" t="b">
        <v>1</v>
      </c>
      <c r="W262" t="inlineStr">
        <is>
          <t>Income statement!D21:O21</t>
        </is>
      </c>
      <c r="X262">
        <f>R[-4]C[0]-R[-1]C[0]</f>
        <v/>
      </c>
    </row>
    <row r="263">
      <c r="A263" t="inlineStr">
        <is>
          <t>Income statement</t>
        </is>
      </c>
      <c r="B263" t="inlineStr">
        <is>
          <t>M21</t>
        </is>
      </c>
      <c r="C263" t="n">
        <v>21</v>
      </c>
      <c r="D263" t="n">
        <v>13</v>
      </c>
      <c r="E263" t="inlineStr">
        <is>
          <t>Calculation</t>
        </is>
      </c>
      <c r="F263" t="inlineStr">
        <is>
          <t>'=M17-M20</t>
        </is>
      </c>
      <c r="G263" t="n">
        <v>75810.78760630531</v>
      </c>
      <c r="H263" t="inlineStr"/>
      <c r="I263" t="inlineStr">
        <is>
          <t>#,##0</t>
        </is>
      </c>
      <c r="J263" t="b">
        <v>1</v>
      </c>
      <c r="K263" t="b">
        <v>0</v>
      </c>
      <c r="L263" t="n">
        <v>11</v>
      </c>
      <c r="M263" t="n">
        <v/>
      </c>
      <c r="N263" t="inlineStr">
        <is>
          <t>00000000</t>
        </is>
      </c>
      <c r="O263" t="n">
        <v/>
      </c>
      <c r="R263" t="b">
        <v>1</v>
      </c>
      <c r="S263" t="inlineStr">
        <is>
          <t>G000075</t>
        </is>
      </c>
      <c r="T263" t="inlineStr">
        <is>
          <t>Horizontal</t>
        </is>
      </c>
      <c r="U263" t="n">
        <v>12</v>
      </c>
      <c r="V263" t="b">
        <v>1</v>
      </c>
      <c r="W263" t="inlineStr">
        <is>
          <t>Income statement!D21:O21</t>
        </is>
      </c>
      <c r="X263">
        <f>R[-4]C[0]-R[-1]C[0]</f>
        <v/>
      </c>
    </row>
    <row r="264">
      <c r="A264" t="inlineStr">
        <is>
          <t>Income statement</t>
        </is>
      </c>
      <c r="B264" t="inlineStr">
        <is>
          <t>N21</t>
        </is>
      </c>
      <c r="C264" t="n">
        <v>21</v>
      </c>
      <c r="D264" t="n">
        <v>14</v>
      </c>
      <c r="E264" t="inlineStr">
        <is>
          <t>Calculation</t>
        </is>
      </c>
      <c r="F264" t="inlineStr">
        <is>
          <t>'=N17-N20</t>
        </is>
      </c>
      <c r="G264" t="n">
        <v>89953.23440492769</v>
      </c>
      <c r="H264" t="inlineStr"/>
      <c r="I264" t="inlineStr">
        <is>
          <t>#,##0</t>
        </is>
      </c>
      <c r="J264" t="b">
        <v>1</v>
      </c>
      <c r="K264" t="b">
        <v>0</v>
      </c>
      <c r="L264" t="n">
        <v>11</v>
      </c>
      <c r="M264" t="n">
        <v/>
      </c>
      <c r="N264" t="inlineStr">
        <is>
          <t>00000000</t>
        </is>
      </c>
      <c r="O264" t="n">
        <v/>
      </c>
      <c r="R264" t="b">
        <v>1</v>
      </c>
      <c r="S264" t="inlineStr">
        <is>
          <t>G000075</t>
        </is>
      </c>
      <c r="T264" t="inlineStr">
        <is>
          <t>Horizontal</t>
        </is>
      </c>
      <c r="U264" t="n">
        <v>12</v>
      </c>
      <c r="V264" t="b">
        <v>1</v>
      </c>
      <c r="W264" t="inlineStr">
        <is>
          <t>Income statement!D21:O21</t>
        </is>
      </c>
      <c r="X264">
        <f>R[-4]C[0]-R[-1]C[0]</f>
        <v/>
      </c>
    </row>
    <row r="265">
      <c r="A265" t="inlineStr">
        <is>
          <t>Income statement</t>
        </is>
      </c>
      <c r="B265" t="inlineStr">
        <is>
          <t>O21</t>
        </is>
      </c>
      <c r="C265" t="n">
        <v>21</v>
      </c>
      <c r="D265" t="n">
        <v>15</v>
      </c>
      <c r="E265" t="inlineStr">
        <is>
          <t>Calculation</t>
        </is>
      </c>
      <c r="F265" t="inlineStr">
        <is>
          <t>'=O17-O20</t>
        </is>
      </c>
      <c r="G265" t="n">
        <v>107382.0858874022</v>
      </c>
      <c r="H265" t="inlineStr"/>
      <c r="I265" t="inlineStr">
        <is>
          <t>#,##0</t>
        </is>
      </c>
      <c r="J265" t="b">
        <v>1</v>
      </c>
      <c r="K265" t="b">
        <v>0</v>
      </c>
      <c r="L265" t="n">
        <v>11</v>
      </c>
      <c r="M265" t="n">
        <v/>
      </c>
      <c r="N265" t="inlineStr">
        <is>
          <t>00000000</t>
        </is>
      </c>
      <c r="O265" t="n">
        <v/>
      </c>
      <c r="R265" t="b">
        <v>1</v>
      </c>
      <c r="S265" t="inlineStr">
        <is>
          <t>G000075</t>
        </is>
      </c>
      <c r="T265" t="inlineStr">
        <is>
          <t>Horizontal</t>
        </is>
      </c>
      <c r="U265" t="n">
        <v>12</v>
      </c>
      <c r="V265" t="b">
        <v>1</v>
      </c>
      <c r="W265" t="inlineStr">
        <is>
          <t>Income statement!D21:O21</t>
        </is>
      </c>
      <c r="X265">
        <f>R[-4]C[0]-R[-1]C[0]</f>
        <v/>
      </c>
    </row>
    <row r="266">
      <c r="A266" t="inlineStr">
        <is>
          <t>Income statement</t>
        </is>
      </c>
      <c r="B266" t="inlineStr">
        <is>
          <t>P21</t>
        </is>
      </c>
      <c r="C266" t="n">
        <v>21</v>
      </c>
      <c r="D266" t="n">
        <v>16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11</v>
      </c>
      <c r="M266" t="n">
        <v/>
      </c>
      <c r="N266" t="inlineStr">
        <is>
          <t>00000000</t>
        </is>
      </c>
      <c r="O266" t="n">
        <v/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Income statement</t>
        </is>
      </c>
      <c r="B267" t="inlineStr">
        <is>
          <t>A22</t>
        </is>
      </c>
      <c r="C267" t="n">
        <v>22</v>
      </c>
      <c r="D267" t="n">
        <v>1</v>
      </c>
      <c r="E267" t="inlineStr">
        <is>
          <t>Input</t>
        </is>
      </c>
      <c r="F267" t="n">
        <v/>
      </c>
      <c r="G267" t="inlineStr">
        <is>
          <t>Depreciation and amortisation</t>
        </is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n">
        <v/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Income statement</t>
        </is>
      </c>
      <c r="B268" t="inlineStr">
        <is>
          <t>D22</t>
        </is>
      </c>
      <c r="C268" t="n">
        <v>22</v>
      </c>
      <c r="D268" t="n">
        <v>4</v>
      </c>
      <c r="E268" t="inlineStr">
        <is>
          <t>Input</t>
        </is>
      </c>
      <c r="F268" t="n">
        <v/>
      </c>
      <c r="G268" t="n">
        <v>628.7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FF0B0280</t>
        </is>
      </c>
      <c r="N268" t="inlineStr">
        <is>
          <t>00000000</t>
        </is>
      </c>
      <c r="O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Income statement</t>
        </is>
      </c>
      <c r="B269" t="inlineStr">
        <is>
          <t>E22</t>
        </is>
      </c>
      <c r="C269" t="n">
        <v>22</v>
      </c>
      <c r="D269" t="n">
        <v>5</v>
      </c>
      <c r="E269" t="inlineStr">
        <is>
          <t>Input</t>
        </is>
      </c>
      <c r="F269" t="n">
        <v/>
      </c>
      <c r="G269" t="n">
        <v>665.23</v>
      </c>
      <c r="H269" t="inlineStr"/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FF0B0280</t>
        </is>
      </c>
      <c r="N269" t="inlineStr">
        <is>
          <t>00000000</t>
        </is>
      </c>
      <c r="O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Income statement</t>
        </is>
      </c>
      <c r="B270" t="inlineStr">
        <is>
          <t>F22</t>
        </is>
      </c>
      <c r="C270" t="n">
        <v>22</v>
      </c>
      <c r="D270" t="n">
        <v>6</v>
      </c>
      <c r="E270" t="inlineStr">
        <is>
          <t>Input</t>
        </is>
      </c>
      <c r="F270" t="n">
        <v/>
      </c>
      <c r="G270" t="n">
        <v>856.2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FF0B0280</t>
        </is>
      </c>
      <c r="N270" t="inlineStr">
        <is>
          <t>00000000</t>
        </is>
      </c>
      <c r="O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Income statement</t>
        </is>
      </c>
      <c r="B271" t="inlineStr">
        <is>
          <t>G22</t>
        </is>
      </c>
      <c r="C271" t="n">
        <v>22</v>
      </c>
      <c r="D271" t="n">
        <v>7</v>
      </c>
      <c r="E271" t="inlineStr">
        <is>
          <t>Input</t>
        </is>
      </c>
      <c r="F271" t="n">
        <v/>
      </c>
      <c r="G271" t="n">
        <v>2260.08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FF0B0280</t>
        </is>
      </c>
      <c r="N271" t="inlineStr">
        <is>
          <t>00000000</t>
        </is>
      </c>
      <c r="O271" t="n">
        <v/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Income statement</t>
        </is>
      </c>
      <c r="B272" t="inlineStr">
        <is>
          <t>H22</t>
        </is>
      </c>
      <c r="C272" t="n">
        <v>22</v>
      </c>
      <c r="D272" t="n">
        <v>8</v>
      </c>
      <c r="E272" t="inlineStr">
        <is>
          <t>Input</t>
        </is>
      </c>
      <c r="F272" t="n">
        <v/>
      </c>
      <c r="G272" t="n">
        <v>3022.14</v>
      </c>
      <c r="H272" t="inlineStr"/>
      <c r="I272" t="inlineStr">
        <is>
          <t>0</t>
        </is>
      </c>
      <c r="J272" t="b">
        <v>0</v>
      </c>
      <c r="K272" t="b">
        <v>0</v>
      </c>
      <c r="L272" t="n">
        <v>11</v>
      </c>
      <c r="M272" t="inlineStr">
        <is>
          <t>FF0B0280</t>
        </is>
      </c>
      <c r="N272" t="inlineStr">
        <is>
          <t>00000000</t>
        </is>
      </c>
      <c r="O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Income statement</t>
        </is>
      </c>
      <c r="B273" t="inlineStr">
        <is>
          <t>I22</t>
        </is>
      </c>
      <c r="C273" t="n">
        <v>22</v>
      </c>
      <c r="D273" t="n">
        <v>9</v>
      </c>
      <c r="E273" t="inlineStr">
        <is>
          <t>Input</t>
        </is>
      </c>
      <c r="F273" t="n">
        <v/>
      </c>
      <c r="G273" t="n">
        <v>5030.79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FF0B0280</t>
        </is>
      </c>
      <c r="N273" t="inlineStr">
        <is>
          <t>00000000</t>
        </is>
      </c>
      <c r="O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Income statement</t>
        </is>
      </c>
      <c r="B274" t="inlineStr">
        <is>
          <t>J22</t>
        </is>
      </c>
      <c r="C274" t="n">
        <v>22</v>
      </c>
      <c r="D274" t="n">
        <v>10</v>
      </c>
      <c r="E274" t="inlineStr">
        <is>
          <t>Input</t>
        </is>
      </c>
      <c r="F274" t="n">
        <v/>
      </c>
      <c r="G274" t="n">
        <v>4572.53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FF0B0280</t>
        </is>
      </c>
      <c r="N274" t="inlineStr">
        <is>
          <t>00000000</t>
        </is>
      </c>
      <c r="O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Income statement</t>
        </is>
      </c>
      <c r="B275" t="inlineStr">
        <is>
          <t>K22</t>
        </is>
      </c>
      <c r="C275" t="n">
        <v>22</v>
      </c>
      <c r="D275" t="n">
        <v>11</v>
      </c>
      <c r="E275" t="inlineStr">
        <is>
          <t>Calculation</t>
        </is>
      </c>
      <c r="F275" t="inlineStr">
        <is>
          <t>'=-('Asset Schedule '!K10+'Asset Schedule '!K23)</t>
        </is>
      </c>
      <c r="G275" t="n">
        <v>4186.49204</v>
      </c>
      <c r="H275" t="inlineStr"/>
      <c r="I275" t="inlineStr">
        <is>
          <t>#,##0</t>
        </is>
      </c>
      <c r="J275" t="b">
        <v>0</v>
      </c>
      <c r="K275" t="b">
        <v>0</v>
      </c>
      <c r="L275" t="n">
        <v>11</v>
      </c>
      <c r="M275" t="n">
        <v/>
      </c>
      <c r="N275" t="inlineStr">
        <is>
          <t>00000000</t>
        </is>
      </c>
      <c r="O275" t="n">
        <v/>
      </c>
      <c r="R275" t="b">
        <v>1</v>
      </c>
      <c r="S275" t="inlineStr">
        <is>
          <t>G000076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Income statement!K22:O22</t>
        </is>
      </c>
      <c r="X275">
        <f>-('Asset Schedule '!R[-12]C[0]+'Asset Schedule '!R[1]C[0])</f>
        <v/>
      </c>
    </row>
    <row r="276">
      <c r="A276" t="inlineStr">
        <is>
          <t>Income statement</t>
        </is>
      </c>
      <c r="B276" t="inlineStr">
        <is>
          <t>L22</t>
        </is>
      </c>
      <c r="C276" t="n">
        <v>22</v>
      </c>
      <c r="D276" t="n">
        <v>12</v>
      </c>
      <c r="E276" t="inlineStr">
        <is>
          <t>Calculation</t>
        </is>
      </c>
      <c r="F276" t="inlineStr">
        <is>
          <t>'=-('Asset Schedule '!L10+'Asset Schedule '!L23)</t>
        </is>
      </c>
      <c r="G276" t="n">
        <v>4809.77539792</v>
      </c>
      <c r="H276" t="inlineStr"/>
      <c r="I276" t="inlineStr">
        <is>
          <t>#,##0</t>
        </is>
      </c>
      <c r="J276" t="b">
        <v>0</v>
      </c>
      <c r="K276" t="b">
        <v>0</v>
      </c>
      <c r="L276" t="n">
        <v>11</v>
      </c>
      <c r="M276" t="n">
        <v/>
      </c>
      <c r="N276" t="inlineStr">
        <is>
          <t>00000000</t>
        </is>
      </c>
      <c r="O276" t="n">
        <v/>
      </c>
      <c r="R276" t="b">
        <v>1</v>
      </c>
      <c r="S276" t="inlineStr">
        <is>
          <t>G000076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Income statement!K22:O22</t>
        </is>
      </c>
      <c r="X276">
        <f>-('Asset Schedule '!R[-12]C[0]+'Asset Schedule '!R[1]C[0])</f>
        <v/>
      </c>
    </row>
    <row r="277">
      <c r="A277" t="inlineStr">
        <is>
          <t>Income statement</t>
        </is>
      </c>
      <c r="B277" t="inlineStr">
        <is>
          <t>M22</t>
        </is>
      </c>
      <c r="C277" t="n">
        <v>22</v>
      </c>
      <c r="D277" t="n">
        <v>13</v>
      </c>
      <c r="E277" t="inlineStr">
        <is>
          <t>Calculation</t>
        </is>
      </c>
      <c r="F277" t="inlineStr">
        <is>
          <t>'=-('Asset Schedule '!M10+'Asset Schedule '!M23)</t>
        </is>
      </c>
      <c r="G277" t="n">
        <v>5383.58170415936</v>
      </c>
      <c r="H277" t="inlineStr"/>
      <c r="I277" t="inlineStr">
        <is>
          <t>#,##0</t>
        </is>
      </c>
      <c r="J277" t="b">
        <v>0</v>
      </c>
      <c r="K277" t="b">
        <v>0</v>
      </c>
      <c r="L277" t="n">
        <v>11</v>
      </c>
      <c r="M277" t="n">
        <v/>
      </c>
      <c r="N277" t="inlineStr">
        <is>
          <t>00000000</t>
        </is>
      </c>
      <c r="O277" t="n">
        <v/>
      </c>
      <c r="R277" t="b">
        <v>1</v>
      </c>
      <c r="S277" t="inlineStr">
        <is>
          <t>G000076</t>
        </is>
      </c>
      <c r="T277" t="inlineStr">
        <is>
          <t>Horizontal</t>
        </is>
      </c>
      <c r="U277" t="n">
        <v>5</v>
      </c>
      <c r="V277" t="b">
        <v>1</v>
      </c>
      <c r="W277" t="inlineStr">
        <is>
          <t>Income statement!K22:O22</t>
        </is>
      </c>
      <c r="X277">
        <f>-('Asset Schedule '!R[-12]C[0]+'Asset Schedule '!R[1]C[0])</f>
        <v/>
      </c>
    </row>
    <row r="278">
      <c r="A278" t="inlineStr">
        <is>
          <t>Income statement</t>
        </is>
      </c>
      <c r="B278" t="inlineStr">
        <is>
          <t>N22</t>
        </is>
      </c>
      <c r="C278" t="n">
        <v>22</v>
      </c>
      <c r="D278" t="n">
        <v>14</v>
      </c>
      <c r="E278" t="inlineStr">
        <is>
          <t>Calculation</t>
        </is>
      </c>
      <c r="F278" t="inlineStr">
        <is>
          <t>'=-('Asset Schedule '!N10+'Asset Schedule '!N23)</t>
        </is>
      </c>
      <c r="G278" t="n">
        <v>5921.215220228539</v>
      </c>
      <c r="H278" t="inlineStr"/>
      <c r="I278" t="inlineStr">
        <is>
          <t>#,##0</t>
        </is>
      </c>
      <c r="J278" t="b">
        <v>0</v>
      </c>
      <c r="K278" t="b">
        <v>0</v>
      </c>
      <c r="L278" t="n">
        <v>11</v>
      </c>
      <c r="M278" t="n">
        <v/>
      </c>
      <c r="N278" t="inlineStr">
        <is>
          <t>00000000</t>
        </is>
      </c>
      <c r="O278" t="n">
        <v/>
      </c>
      <c r="R278" t="b">
        <v>1</v>
      </c>
      <c r="S278" t="inlineStr">
        <is>
          <t>G000076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Income statement!K22:O22</t>
        </is>
      </c>
      <c r="X278">
        <f>-('Asset Schedule '!R[-12]C[0]+'Asset Schedule '!R[1]C[0])</f>
        <v/>
      </c>
    </row>
    <row r="279">
      <c r="A279" t="inlineStr">
        <is>
          <t>Income statement</t>
        </is>
      </c>
      <c r="B279" t="inlineStr">
        <is>
          <t>O22</t>
        </is>
      </c>
      <c r="C279" t="n">
        <v>22</v>
      </c>
      <c r="D279" t="n">
        <v>15</v>
      </c>
      <c r="E279" t="inlineStr">
        <is>
          <t>Calculation</t>
        </is>
      </c>
      <c r="F279" t="inlineStr">
        <is>
          <t>'=-('Asset Schedule '!O10+'Asset Schedule '!O23)</t>
        </is>
      </c>
      <c r="G279" t="n">
        <v>6431.080219021581</v>
      </c>
      <c r="H279" t="inlineStr"/>
      <c r="I279" t="inlineStr">
        <is>
          <t>#,##0</t>
        </is>
      </c>
      <c r="J279" t="b">
        <v>0</v>
      </c>
      <c r="K279" t="b">
        <v>0</v>
      </c>
      <c r="L279" t="n">
        <v>11</v>
      </c>
      <c r="M279" t="n">
        <v/>
      </c>
      <c r="N279" t="inlineStr">
        <is>
          <t>00000000</t>
        </is>
      </c>
      <c r="O279" t="n">
        <v/>
      </c>
      <c r="R279" t="b">
        <v>1</v>
      </c>
      <c r="S279" t="inlineStr">
        <is>
          <t>G000076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Income statement!K22:O22</t>
        </is>
      </c>
      <c r="X279">
        <f>-('Asset Schedule '!R[-12]C[0]+'Asset Schedule '!R[1]C[0])</f>
        <v/>
      </c>
    </row>
    <row r="280">
      <c r="A280" t="inlineStr">
        <is>
          <t>Income statement</t>
        </is>
      </c>
      <c r="B280" t="inlineStr">
        <is>
          <t>P22</t>
        </is>
      </c>
      <c r="C280" t="n">
        <v>22</v>
      </c>
      <c r="D280" t="n">
        <v>16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11</v>
      </c>
      <c r="M280" t="n">
        <v/>
      </c>
      <c r="N280" t="inlineStr">
        <is>
          <t>00000000</t>
        </is>
      </c>
      <c r="O280" t="n">
        <v/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Income statement</t>
        </is>
      </c>
      <c r="B281" t="inlineStr">
        <is>
          <t>A23</t>
        </is>
      </c>
      <c r="C281" t="n">
        <v>23</v>
      </c>
      <c r="D281" t="n">
        <v>1</v>
      </c>
      <c r="E281" t="inlineStr">
        <is>
          <t>Input</t>
        </is>
      </c>
      <c r="F281" t="n">
        <v/>
      </c>
      <c r="G281" t="inlineStr">
        <is>
          <t>EBIT</t>
        </is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00000000</t>
        </is>
      </c>
      <c r="O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Income statement</t>
        </is>
      </c>
      <c r="B282" t="inlineStr">
        <is>
          <t>B23</t>
        </is>
      </c>
      <c r="C282" t="n">
        <v>23</v>
      </c>
      <c r="D282" t="n">
        <v>2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00000000</t>
        </is>
      </c>
      <c r="O282" t="n">
        <v/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Income statement</t>
        </is>
      </c>
      <c r="B283" t="inlineStr">
        <is>
          <t>C23</t>
        </is>
      </c>
      <c r="C283" t="n">
        <v>23</v>
      </c>
      <c r="D283" t="n">
        <v>3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00000000</t>
        </is>
      </c>
      <c r="O283" t="n">
        <v/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Income statement</t>
        </is>
      </c>
      <c r="B284" t="inlineStr">
        <is>
          <t>D23</t>
        </is>
      </c>
      <c r="C284" t="n">
        <v>23</v>
      </c>
      <c r="D284" t="n">
        <v>4</v>
      </c>
      <c r="E284" t="inlineStr">
        <is>
          <t>Calculation</t>
        </is>
      </c>
      <c r="F284" t="inlineStr">
        <is>
          <t>'=D21-D22</t>
        </is>
      </c>
      <c r="G284" t="n">
        <v>7597.410000000001</v>
      </c>
      <c r="H284" t="inlineStr"/>
      <c r="I284" t="inlineStr">
        <is>
          <t>#,##0</t>
        </is>
      </c>
      <c r="J284" t="b">
        <v>1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00000000</t>
        </is>
      </c>
      <c r="O284" t="n">
        <v/>
      </c>
      <c r="R284" t="b">
        <v>1</v>
      </c>
      <c r="S284" t="inlineStr">
        <is>
          <t>G000069</t>
        </is>
      </c>
      <c r="T284" t="inlineStr">
        <is>
          <t>Horizontal</t>
        </is>
      </c>
      <c r="U284" t="n">
        <v>12</v>
      </c>
      <c r="V284" t="b">
        <v>1</v>
      </c>
      <c r="W284" t="inlineStr">
        <is>
          <t>Income statement!D23:O23</t>
        </is>
      </c>
      <c r="X284">
        <f>R[-2]C[0]-R[-1]C[0]</f>
        <v/>
      </c>
    </row>
    <row r="285">
      <c r="A285" t="inlineStr">
        <is>
          <t>Income statement</t>
        </is>
      </c>
      <c r="B285" t="inlineStr">
        <is>
          <t>E23</t>
        </is>
      </c>
      <c r="C285" t="n">
        <v>23</v>
      </c>
      <c r="D285" t="n">
        <v>5</v>
      </c>
      <c r="E285" t="inlineStr">
        <is>
          <t>Calculation</t>
        </is>
      </c>
      <c r="F285" t="inlineStr">
        <is>
          <t>'=E21-E22</t>
        </is>
      </c>
      <c r="G285" t="n">
        <v>1263.309999999992</v>
      </c>
      <c r="H285" t="inlineStr"/>
      <c r="I285" t="inlineStr">
        <is>
          <t>#,##0</t>
        </is>
      </c>
      <c r="J285" t="b">
        <v>1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n">
        <v/>
      </c>
      <c r="R285" t="b">
        <v>1</v>
      </c>
      <c r="S285" t="inlineStr">
        <is>
          <t>G000069</t>
        </is>
      </c>
      <c r="T285" t="inlineStr">
        <is>
          <t>Horizontal</t>
        </is>
      </c>
      <c r="U285" t="n">
        <v>12</v>
      </c>
      <c r="V285" t="b">
        <v>1</v>
      </c>
      <c r="W285" t="inlineStr">
        <is>
          <t>Income statement!D23:O23</t>
        </is>
      </c>
      <c r="X285">
        <f>R[-2]C[0]-R[-1]C[0]</f>
        <v/>
      </c>
    </row>
    <row r="286">
      <c r="A286" t="inlineStr">
        <is>
          <t>Income statement</t>
        </is>
      </c>
      <c r="B286" t="inlineStr">
        <is>
          <t>F23</t>
        </is>
      </c>
      <c r="C286" t="n">
        <v>23</v>
      </c>
      <c r="D286" t="n">
        <v>6</v>
      </c>
      <c r="E286" t="inlineStr">
        <is>
          <t>Calculation</t>
        </is>
      </c>
      <c r="F286" t="inlineStr">
        <is>
          <t>'=F21-F22</t>
        </is>
      </c>
      <c r="G286" t="n">
        <v>10451.18999999999</v>
      </c>
      <c r="H286" t="inlineStr"/>
      <c r="I286" t="inlineStr">
        <is>
          <t>#,##0</t>
        </is>
      </c>
      <c r="J286" t="b">
        <v>1</v>
      </c>
      <c r="K286" t="b">
        <v>0</v>
      </c>
      <c r="L286" t="n">
        <v>11</v>
      </c>
      <c r="M286" t="inlineStr">
        <is>
          <t>Values must be of type &lt;class 'str'&gt;</t>
        </is>
      </c>
      <c r="N286" t="inlineStr">
        <is>
          <t>00000000</t>
        </is>
      </c>
      <c r="O286" t="n">
        <v/>
      </c>
      <c r="R286" t="b">
        <v>1</v>
      </c>
      <c r="S286" t="inlineStr">
        <is>
          <t>G000069</t>
        </is>
      </c>
      <c r="T286" t="inlineStr">
        <is>
          <t>Horizontal</t>
        </is>
      </c>
      <c r="U286" t="n">
        <v>12</v>
      </c>
      <c r="V286" t="b">
        <v>1</v>
      </c>
      <c r="W286" t="inlineStr">
        <is>
          <t>Income statement!D23:O23</t>
        </is>
      </c>
      <c r="X286">
        <f>R[-2]C[0]-R[-1]C[0]</f>
        <v/>
      </c>
    </row>
    <row r="287">
      <c r="A287" t="inlineStr">
        <is>
          <t>Income statement</t>
        </is>
      </c>
      <c r="B287" t="inlineStr">
        <is>
          <t>G23</t>
        </is>
      </c>
      <c r="C287" t="n">
        <v>23</v>
      </c>
      <c r="D287" t="n">
        <v>7</v>
      </c>
      <c r="E287" t="inlineStr">
        <is>
          <t>Calculation</t>
        </is>
      </c>
      <c r="F287" t="inlineStr">
        <is>
          <t>'=G21-G22</t>
        </is>
      </c>
      <c r="G287" t="n">
        <v>5944.739999999993</v>
      </c>
      <c r="H287" t="inlineStr"/>
      <c r="I287" t="inlineStr">
        <is>
          <t>#,##0</t>
        </is>
      </c>
      <c r="J287" t="b">
        <v>1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n">
        <v/>
      </c>
      <c r="R287" t="b">
        <v>1</v>
      </c>
      <c r="S287" t="inlineStr">
        <is>
          <t>G000069</t>
        </is>
      </c>
      <c r="T287" t="inlineStr">
        <is>
          <t>Horizontal</t>
        </is>
      </c>
      <c r="U287" t="n">
        <v>12</v>
      </c>
      <c r="V287" t="b">
        <v>1</v>
      </c>
      <c r="W287" t="inlineStr">
        <is>
          <t>Income statement!D23:O23</t>
        </is>
      </c>
      <c r="X287">
        <f>R[-2]C[0]-R[-1]C[0]</f>
        <v/>
      </c>
    </row>
    <row r="288">
      <c r="A288" t="inlineStr">
        <is>
          <t>Income statement</t>
        </is>
      </c>
      <c r="B288" t="inlineStr">
        <is>
          <t>H23</t>
        </is>
      </c>
      <c r="C288" t="n">
        <v>23</v>
      </c>
      <c r="D288" t="n">
        <v>8</v>
      </c>
      <c r="E288" t="inlineStr">
        <is>
          <t>Calculation</t>
        </is>
      </c>
      <c r="F288" t="inlineStr">
        <is>
          <t>'=H21-H22</t>
        </is>
      </c>
      <c r="G288" t="n">
        <v>19620.54999999996</v>
      </c>
      <c r="H288" t="inlineStr"/>
      <c r="I288" t="inlineStr">
        <is>
          <t>#,##0</t>
        </is>
      </c>
      <c r="J288" t="b">
        <v>1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R288" t="b">
        <v>1</v>
      </c>
      <c r="S288" t="inlineStr">
        <is>
          <t>G000069</t>
        </is>
      </c>
      <c r="T288" t="inlineStr">
        <is>
          <t>Horizontal</t>
        </is>
      </c>
      <c r="U288" t="n">
        <v>12</v>
      </c>
      <c r="V288" t="b">
        <v>1</v>
      </c>
      <c r="W288" t="inlineStr">
        <is>
          <t>Income statement!D23:O23</t>
        </is>
      </c>
      <c r="X288">
        <f>R[-2]C[0]-R[-1]C[0]</f>
        <v/>
      </c>
    </row>
    <row r="289">
      <c r="A289" t="inlineStr">
        <is>
          <t>Income statement</t>
        </is>
      </c>
      <c r="B289" t="inlineStr">
        <is>
          <t>I23</t>
        </is>
      </c>
      <c r="C289" t="n">
        <v>23</v>
      </c>
      <c r="D289" t="n">
        <v>9</v>
      </c>
      <c r="E289" t="inlineStr">
        <is>
          <t>Calculation</t>
        </is>
      </c>
      <c r="F289" t="inlineStr">
        <is>
          <t>'=I21-I22</t>
        </is>
      </c>
      <c r="G289" t="n">
        <v>29638.02999999999</v>
      </c>
      <c r="H289" t="inlineStr"/>
      <c r="I289" t="inlineStr">
        <is>
          <t>#,##0</t>
        </is>
      </c>
      <c r="J289" t="b">
        <v>1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n">
        <v/>
      </c>
      <c r="R289" t="b">
        <v>1</v>
      </c>
      <c r="S289" t="inlineStr">
        <is>
          <t>G000069</t>
        </is>
      </c>
      <c r="T289" t="inlineStr">
        <is>
          <t>Horizontal</t>
        </is>
      </c>
      <c r="U289" t="n">
        <v>12</v>
      </c>
      <c r="V289" t="b">
        <v>1</v>
      </c>
      <c r="W289" t="inlineStr">
        <is>
          <t>Income statement!D23:O23</t>
        </is>
      </c>
      <c r="X289">
        <f>R[-2]C[0]-R[-1]C[0]</f>
        <v/>
      </c>
    </row>
    <row r="290">
      <c r="A290" t="inlineStr">
        <is>
          <t>Income statement</t>
        </is>
      </c>
      <c r="B290" t="inlineStr">
        <is>
          <t>J23</t>
        </is>
      </c>
      <c r="C290" t="n">
        <v>23</v>
      </c>
      <c r="D290" t="n">
        <v>10</v>
      </c>
      <c r="E290" t="inlineStr">
        <is>
          <t>Calculation</t>
        </is>
      </c>
      <c r="F290" t="inlineStr">
        <is>
          <t>'=J21-J22</t>
        </is>
      </c>
      <c r="G290" t="n">
        <v>24750.79000000001</v>
      </c>
      <c r="H290" t="inlineStr"/>
      <c r="I290" t="inlineStr">
        <is>
          <t>#,##0</t>
        </is>
      </c>
      <c r="J290" t="b">
        <v>1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n">
        <v/>
      </c>
      <c r="R290" t="b">
        <v>1</v>
      </c>
      <c r="S290" t="inlineStr">
        <is>
          <t>G000069</t>
        </is>
      </c>
      <c r="T290" t="inlineStr">
        <is>
          <t>Horizontal</t>
        </is>
      </c>
      <c r="U290" t="n">
        <v>12</v>
      </c>
      <c r="V290" t="b">
        <v>1</v>
      </c>
      <c r="W290" t="inlineStr">
        <is>
          <t>Income statement!D23:O23</t>
        </is>
      </c>
      <c r="X290">
        <f>R[-2]C[0]-R[-1]C[0]</f>
        <v/>
      </c>
    </row>
    <row r="291">
      <c r="A291" t="inlineStr">
        <is>
          <t>Income statement</t>
        </is>
      </c>
      <c r="B291" t="inlineStr">
        <is>
          <t>K23</t>
        </is>
      </c>
      <c r="C291" t="n">
        <v>23</v>
      </c>
      <c r="D291" t="n">
        <v>11</v>
      </c>
      <c r="E291" t="inlineStr">
        <is>
          <t>Calculation</t>
        </is>
      </c>
      <c r="F291" t="inlineStr">
        <is>
          <t>'=K21-K22</t>
        </is>
      </c>
      <c r="G291" t="n">
        <v>50838.61758391167</v>
      </c>
      <c r="H291" t="inlineStr"/>
      <c r="I291" t="inlineStr">
        <is>
          <t>#,##0</t>
        </is>
      </c>
      <c r="J291" t="b">
        <v>1</v>
      </c>
      <c r="K291" t="b">
        <v>0</v>
      </c>
      <c r="L291" t="n">
        <v>11</v>
      </c>
      <c r="M291" t="n">
        <v/>
      </c>
      <c r="N291" t="inlineStr">
        <is>
          <t>00000000</t>
        </is>
      </c>
      <c r="O291" t="n">
        <v/>
      </c>
      <c r="R291" t="b">
        <v>1</v>
      </c>
      <c r="S291" t="inlineStr">
        <is>
          <t>G000069</t>
        </is>
      </c>
      <c r="T291" t="inlineStr">
        <is>
          <t>Horizontal</t>
        </is>
      </c>
      <c r="U291" t="n">
        <v>12</v>
      </c>
      <c r="V291" t="b">
        <v>1</v>
      </c>
      <c r="W291" t="inlineStr">
        <is>
          <t>Income statement!D23:O23</t>
        </is>
      </c>
      <c r="X291">
        <f>R[-2]C[0]-R[-1]C[0]</f>
        <v/>
      </c>
    </row>
    <row r="292">
      <c r="A292" t="inlineStr">
        <is>
          <t>Income statement</t>
        </is>
      </c>
      <c r="B292" t="inlineStr">
        <is>
          <t>L23</t>
        </is>
      </c>
      <c r="C292" t="n">
        <v>23</v>
      </c>
      <c r="D292" t="n">
        <v>12</v>
      </c>
      <c r="E292" t="inlineStr">
        <is>
          <t>Calculation</t>
        </is>
      </c>
      <c r="F292" t="inlineStr">
        <is>
          <t>'=L21-L22</t>
        </is>
      </c>
      <c r="G292" t="n">
        <v>57301.40882989133</v>
      </c>
      <c r="H292" t="inlineStr"/>
      <c r="I292" t="inlineStr">
        <is>
          <t>#,##0</t>
        </is>
      </c>
      <c r="J292" t="b">
        <v>1</v>
      </c>
      <c r="K292" t="b">
        <v>0</v>
      </c>
      <c r="L292" t="n">
        <v>11</v>
      </c>
      <c r="M292" t="n">
        <v/>
      </c>
      <c r="N292" t="inlineStr">
        <is>
          <t>00000000</t>
        </is>
      </c>
      <c r="O292" t="n">
        <v/>
      </c>
      <c r="R292" t="b">
        <v>1</v>
      </c>
      <c r="S292" t="inlineStr">
        <is>
          <t>G000069</t>
        </is>
      </c>
      <c r="T292" t="inlineStr">
        <is>
          <t>Horizontal</t>
        </is>
      </c>
      <c r="U292" t="n">
        <v>12</v>
      </c>
      <c r="V292" t="b">
        <v>1</v>
      </c>
      <c r="W292" t="inlineStr">
        <is>
          <t>Income statement!D23:O23</t>
        </is>
      </c>
      <c r="X292">
        <f>R[-2]C[0]-R[-1]C[0]</f>
        <v/>
      </c>
    </row>
    <row r="293">
      <c r="A293" t="inlineStr">
        <is>
          <t>Income statement</t>
        </is>
      </c>
      <c r="B293" t="inlineStr">
        <is>
          <t>M23</t>
        </is>
      </c>
      <c r="C293" t="n">
        <v>23</v>
      </c>
      <c r="D293" t="n">
        <v>13</v>
      </c>
      <c r="E293" t="inlineStr">
        <is>
          <t>Calculation</t>
        </is>
      </c>
      <c r="F293" t="inlineStr">
        <is>
          <t>'=M21-M22</t>
        </is>
      </c>
      <c r="G293" t="n">
        <v>70427.20590214596</v>
      </c>
      <c r="H293" t="inlineStr"/>
      <c r="I293" t="inlineStr">
        <is>
          <t>#,##0</t>
        </is>
      </c>
      <c r="J293" t="b">
        <v>1</v>
      </c>
      <c r="K293" t="b">
        <v>0</v>
      </c>
      <c r="L293" t="n">
        <v>11</v>
      </c>
      <c r="M293" t="n">
        <v/>
      </c>
      <c r="N293" t="inlineStr">
        <is>
          <t>00000000</t>
        </is>
      </c>
      <c r="O293" t="n">
        <v/>
      </c>
      <c r="R293" t="b">
        <v>1</v>
      </c>
      <c r="S293" t="inlineStr">
        <is>
          <t>G000069</t>
        </is>
      </c>
      <c r="T293" t="inlineStr">
        <is>
          <t>Horizontal</t>
        </is>
      </c>
      <c r="U293" t="n">
        <v>12</v>
      </c>
      <c r="V293" t="b">
        <v>1</v>
      </c>
      <c r="W293" t="inlineStr">
        <is>
          <t>Income statement!D23:O23</t>
        </is>
      </c>
      <c r="X293">
        <f>R[-2]C[0]-R[-1]C[0]</f>
        <v/>
      </c>
    </row>
    <row r="294">
      <c r="A294" t="inlineStr">
        <is>
          <t>Income statement</t>
        </is>
      </c>
      <c r="B294" t="inlineStr">
        <is>
          <t>N23</t>
        </is>
      </c>
      <c r="C294" t="n">
        <v>23</v>
      </c>
      <c r="D294" t="n">
        <v>14</v>
      </c>
      <c r="E294" t="inlineStr">
        <is>
          <t>Calculation</t>
        </is>
      </c>
      <c r="F294" t="inlineStr">
        <is>
          <t>'=N21-N22</t>
        </is>
      </c>
      <c r="G294" t="n">
        <v>84032.01918469915</v>
      </c>
      <c r="H294" t="inlineStr"/>
      <c r="I294" t="inlineStr">
        <is>
          <t>#,##0</t>
        </is>
      </c>
      <c r="J294" t="b">
        <v>1</v>
      </c>
      <c r="K294" t="b">
        <v>0</v>
      </c>
      <c r="L294" t="n">
        <v>11</v>
      </c>
      <c r="M294" t="n">
        <v/>
      </c>
      <c r="N294" t="inlineStr">
        <is>
          <t>00000000</t>
        </is>
      </c>
      <c r="O294" t="n">
        <v/>
      </c>
      <c r="R294" t="b">
        <v>1</v>
      </c>
      <c r="S294" t="inlineStr">
        <is>
          <t>G000069</t>
        </is>
      </c>
      <c r="T294" t="inlineStr">
        <is>
          <t>Horizontal</t>
        </is>
      </c>
      <c r="U294" t="n">
        <v>12</v>
      </c>
      <c r="V294" t="b">
        <v>1</v>
      </c>
      <c r="W294" t="inlineStr">
        <is>
          <t>Income statement!D23:O23</t>
        </is>
      </c>
      <c r="X294">
        <f>R[-2]C[0]-R[-1]C[0]</f>
        <v/>
      </c>
    </row>
    <row r="295">
      <c r="A295" t="inlineStr">
        <is>
          <t>Income statement</t>
        </is>
      </c>
      <c r="B295" t="inlineStr">
        <is>
          <t>O23</t>
        </is>
      </c>
      <c r="C295" t="n">
        <v>23</v>
      </c>
      <c r="D295" t="n">
        <v>15</v>
      </c>
      <c r="E295" t="inlineStr">
        <is>
          <t>Calculation</t>
        </is>
      </c>
      <c r="F295" t="inlineStr">
        <is>
          <t>'=O21-O22</t>
        </is>
      </c>
      <c r="G295" t="n">
        <v>100951.0056683806</v>
      </c>
      <c r="H295" t="inlineStr"/>
      <c r="I295" t="inlineStr">
        <is>
          <t>#,##0</t>
        </is>
      </c>
      <c r="J295" t="b">
        <v>1</v>
      </c>
      <c r="K295" t="b">
        <v>0</v>
      </c>
      <c r="L295" t="n">
        <v>11</v>
      </c>
      <c r="M295" t="n">
        <v/>
      </c>
      <c r="N295" t="inlineStr">
        <is>
          <t>00000000</t>
        </is>
      </c>
      <c r="O295" t="n">
        <v/>
      </c>
      <c r="R295" t="b">
        <v>1</v>
      </c>
      <c r="S295" t="inlineStr">
        <is>
          <t>G000069</t>
        </is>
      </c>
      <c r="T295" t="inlineStr">
        <is>
          <t>Horizontal</t>
        </is>
      </c>
      <c r="U295" t="n">
        <v>12</v>
      </c>
      <c r="V295" t="b">
        <v>1</v>
      </c>
      <c r="W295" t="inlineStr">
        <is>
          <t>Income statement!D23:O23</t>
        </is>
      </c>
      <c r="X295">
        <f>R[-2]C[0]-R[-1]C[0]</f>
        <v/>
      </c>
    </row>
    <row r="296">
      <c r="A296" t="inlineStr">
        <is>
          <t>Income statement</t>
        </is>
      </c>
      <c r="B296" t="inlineStr">
        <is>
          <t>P23</t>
        </is>
      </c>
      <c r="C296" t="n">
        <v>23</v>
      </c>
      <c r="D296" t="n">
        <v>16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n">
        <v/>
      </c>
      <c r="N296" t="inlineStr">
        <is>
          <t>00000000</t>
        </is>
      </c>
      <c r="O296" t="n">
        <v/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Income statement</t>
        </is>
      </c>
      <c r="B297" t="inlineStr">
        <is>
          <t>A24</t>
        </is>
      </c>
      <c r="C297" t="n">
        <v>24</v>
      </c>
      <c r="D297" t="n">
        <v>1</v>
      </c>
      <c r="E297" t="inlineStr">
        <is>
          <t>Input</t>
        </is>
      </c>
      <c r="F297" t="n">
        <v/>
      </c>
      <c r="G297" t="inlineStr">
        <is>
          <t>Finance costs</t>
        </is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00000000</t>
        </is>
      </c>
      <c r="O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Income statement</t>
        </is>
      </c>
      <c r="B298" t="inlineStr">
        <is>
          <t>D24</t>
        </is>
      </c>
      <c r="C298" t="n">
        <v>24</v>
      </c>
      <c r="D298" t="n">
        <v>4</v>
      </c>
      <c r="E298" t="inlineStr">
        <is>
          <t>Input</t>
        </is>
      </c>
      <c r="F298" t="n">
        <v/>
      </c>
      <c r="G298" t="n">
        <v>449.91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FF0B0280</t>
        </is>
      </c>
      <c r="N298" t="inlineStr">
        <is>
          <t>00000000</t>
        </is>
      </c>
      <c r="O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Income statement</t>
        </is>
      </c>
      <c r="B299" t="inlineStr">
        <is>
          <t>E24</t>
        </is>
      </c>
      <c r="C299" t="n">
        <v>24</v>
      </c>
      <c r="D299" t="n">
        <v>5</v>
      </c>
      <c r="E299" t="inlineStr">
        <is>
          <t>Input</t>
        </is>
      </c>
      <c r="F299" t="n">
        <v/>
      </c>
      <c r="G299" t="n">
        <v>514.27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FF0B0280</t>
        </is>
      </c>
      <c r="N299" t="inlineStr">
        <is>
          <t>00000000</t>
        </is>
      </c>
      <c r="O299" t="n">
        <v/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Income statement</t>
        </is>
      </c>
      <c r="B300" t="inlineStr">
        <is>
          <t>F24</t>
        </is>
      </c>
      <c r="C300" t="n">
        <v>24</v>
      </c>
      <c r="D300" t="n">
        <v>6</v>
      </c>
      <c r="E300" t="inlineStr">
        <is>
          <t>Input</t>
        </is>
      </c>
      <c r="F300" t="n">
        <v/>
      </c>
      <c r="G300" t="n">
        <v>578.01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FF0B0280</t>
        </is>
      </c>
      <c r="N300" t="inlineStr">
        <is>
          <t>00000000</t>
        </is>
      </c>
      <c r="O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Income statement</t>
        </is>
      </c>
      <c r="B301" t="inlineStr">
        <is>
          <t>G24</t>
        </is>
      </c>
      <c r="C301" t="n">
        <v>24</v>
      </c>
      <c r="D301" t="n">
        <v>7</v>
      </c>
      <c r="E301" t="inlineStr">
        <is>
          <t>Input</t>
        </is>
      </c>
      <c r="F301" t="n">
        <v/>
      </c>
      <c r="G301" t="n">
        <v>1225.77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FF0B0280</t>
        </is>
      </c>
      <c r="N301" t="inlineStr">
        <is>
          <t>00000000</t>
        </is>
      </c>
      <c r="O301" t="n">
        <v/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Income statement</t>
        </is>
      </c>
      <c r="B302" t="inlineStr">
        <is>
          <t>H24</t>
        </is>
      </c>
      <c r="C302" t="n">
        <v>24</v>
      </c>
      <c r="D302" t="n">
        <v>8</v>
      </c>
      <c r="E302" t="inlineStr">
        <is>
          <t>Input</t>
        </is>
      </c>
      <c r="F302" t="n">
        <v/>
      </c>
      <c r="G302" t="n">
        <v>1155.32</v>
      </c>
      <c r="H302" t="inlineStr"/>
      <c r="I302" t="inlineStr">
        <is>
          <t>0</t>
        </is>
      </c>
      <c r="J302" t="b">
        <v>0</v>
      </c>
      <c r="K302" t="b">
        <v>0</v>
      </c>
      <c r="L302" t="n">
        <v>11</v>
      </c>
      <c r="M302" t="inlineStr">
        <is>
          <t>FF0B0280</t>
        </is>
      </c>
      <c r="N302" t="inlineStr">
        <is>
          <t>00000000</t>
        </is>
      </c>
      <c r="O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Income statement</t>
        </is>
      </c>
      <c r="B303" t="inlineStr">
        <is>
          <t>I24</t>
        </is>
      </c>
      <c r="C303" t="n">
        <v>24</v>
      </c>
      <c r="D303" t="n">
        <v>9</v>
      </c>
      <c r="E303" t="inlineStr">
        <is>
          <t>Input</t>
        </is>
      </c>
      <c r="F303" t="n">
        <v/>
      </c>
      <c r="G303" t="n">
        <v>1348.53</v>
      </c>
      <c r="H303" t="inlineStr"/>
      <c r="I303" t="inlineStr">
        <is>
          <t>0</t>
        </is>
      </c>
      <c r="J303" t="b">
        <v>0</v>
      </c>
      <c r="K303" t="b">
        <v>0</v>
      </c>
      <c r="L303" t="n">
        <v>11</v>
      </c>
      <c r="M303" t="inlineStr">
        <is>
          <t>FF0B0280</t>
        </is>
      </c>
      <c r="N303" t="inlineStr">
        <is>
          <t>00000000</t>
        </is>
      </c>
      <c r="O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Income statement</t>
        </is>
      </c>
      <c r="B304" t="inlineStr">
        <is>
          <t>J24</t>
        </is>
      </c>
      <c r="C304" t="n">
        <v>24</v>
      </c>
      <c r="D304" t="n">
        <v>10</v>
      </c>
      <c r="E304" t="inlineStr">
        <is>
          <t>Input</t>
        </is>
      </c>
      <c r="F304" t="n">
        <v/>
      </c>
      <c r="G304" t="n">
        <v>3307.8</v>
      </c>
      <c r="H304" t="inlineStr"/>
      <c r="I304" t="inlineStr">
        <is>
          <t>0</t>
        </is>
      </c>
      <c r="J304" t="b">
        <v>0</v>
      </c>
      <c r="K304" t="b">
        <v>0</v>
      </c>
      <c r="L304" t="n">
        <v>11</v>
      </c>
      <c r="M304" t="inlineStr">
        <is>
          <t>FF0B0280</t>
        </is>
      </c>
      <c r="N304" t="inlineStr">
        <is>
          <t>00000000</t>
        </is>
      </c>
      <c r="O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Income statement</t>
        </is>
      </c>
      <c r="B305" t="inlineStr">
        <is>
          <t>K24</t>
        </is>
      </c>
      <c r="C305" t="n">
        <v>24</v>
      </c>
      <c r="D305" t="n">
        <v>11</v>
      </c>
      <c r="E305" t="inlineStr">
        <is>
          <t>Calculation</t>
        </is>
      </c>
      <c r="F305" t="inlineStr">
        <is>
          <t>'='Debt schedule'!K12</t>
        </is>
      </c>
      <c r="G305" t="n">
        <v>1527.28125</v>
      </c>
      <c r="H305" t="inlineStr"/>
      <c r="I305" t="inlineStr">
        <is>
          <t>#,##0</t>
        </is>
      </c>
      <c r="J305" t="b">
        <v>0</v>
      </c>
      <c r="K305" t="b">
        <v>0</v>
      </c>
      <c r="L305" t="n">
        <v>11</v>
      </c>
      <c r="M305" t="n">
        <v/>
      </c>
      <c r="N305" t="inlineStr">
        <is>
          <t>00000000</t>
        </is>
      </c>
      <c r="O305" t="n">
        <v/>
      </c>
      <c r="R305" t="b">
        <v>1</v>
      </c>
      <c r="S305" t="inlineStr">
        <is>
          <t>G000077</t>
        </is>
      </c>
      <c r="T305" t="inlineStr">
        <is>
          <t>Horizontal</t>
        </is>
      </c>
      <c r="U305" t="n">
        <v>5</v>
      </c>
      <c r="V305" t="b">
        <v>1</v>
      </c>
      <c r="W305" t="inlineStr">
        <is>
          <t>Income statement!K24:O24</t>
        </is>
      </c>
      <c r="X305">
        <f>'Debt schedule'!R[-12]C[0]</f>
        <v/>
      </c>
    </row>
    <row r="306">
      <c r="A306" t="inlineStr">
        <is>
          <t>Income statement</t>
        </is>
      </c>
      <c r="B306" t="inlineStr">
        <is>
          <t>L24</t>
        </is>
      </c>
      <c r="C306" t="n">
        <v>24</v>
      </c>
      <c r="D306" t="n">
        <v>12</v>
      </c>
      <c r="E306" t="inlineStr">
        <is>
          <t>Calculation</t>
        </is>
      </c>
      <c r="F306" t="inlineStr">
        <is>
          <t>'='Debt schedule'!L12</t>
        </is>
      </c>
      <c r="G306" t="n">
        <v>2111.610075</v>
      </c>
      <c r="H306" t="inlineStr"/>
      <c r="I306" t="inlineStr">
        <is>
          <t>#,##0</t>
        </is>
      </c>
      <c r="J306" t="b">
        <v>0</v>
      </c>
      <c r="K306" t="b">
        <v>0</v>
      </c>
      <c r="L306" t="n">
        <v>11</v>
      </c>
      <c r="M306" t="n">
        <v/>
      </c>
      <c r="N306" t="inlineStr">
        <is>
          <t>00000000</t>
        </is>
      </c>
      <c r="O306" t="n">
        <v/>
      </c>
      <c r="R306" t="b">
        <v>1</v>
      </c>
      <c r="S306" t="inlineStr">
        <is>
          <t>G000077</t>
        </is>
      </c>
      <c r="T306" t="inlineStr">
        <is>
          <t>Horizontal</t>
        </is>
      </c>
      <c r="U306" t="n">
        <v>5</v>
      </c>
      <c r="V306" t="b">
        <v>1</v>
      </c>
      <c r="W306" t="inlineStr">
        <is>
          <t>Income statement!K24:O24</t>
        </is>
      </c>
      <c r="X306">
        <f>'Debt schedule'!R[-12]C[0]</f>
        <v/>
      </c>
    </row>
    <row r="307">
      <c r="A307" t="inlineStr">
        <is>
          <t>Income statement</t>
        </is>
      </c>
      <c r="B307" t="inlineStr">
        <is>
          <t>M24</t>
        </is>
      </c>
      <c r="C307" t="n">
        <v>24</v>
      </c>
      <c r="D307" t="n">
        <v>13</v>
      </c>
      <c r="E307" t="inlineStr">
        <is>
          <t>Calculation</t>
        </is>
      </c>
      <c r="F307" t="inlineStr">
        <is>
          <t>'='Debt schedule'!M12</t>
        </is>
      </c>
      <c r="G307" t="n">
        <v>2541.039824999999</v>
      </c>
      <c r="H307" t="inlineStr"/>
      <c r="I307" t="inlineStr">
        <is>
          <t>#,##0</t>
        </is>
      </c>
      <c r="J307" t="b">
        <v>0</v>
      </c>
      <c r="K307" t="b">
        <v>0</v>
      </c>
      <c r="L307" t="n">
        <v>11</v>
      </c>
      <c r="M307" t="n">
        <v/>
      </c>
      <c r="N307" t="inlineStr">
        <is>
          <t>00000000</t>
        </is>
      </c>
      <c r="O307" t="n">
        <v/>
      </c>
      <c r="R307" t="b">
        <v>1</v>
      </c>
      <c r="S307" t="inlineStr">
        <is>
          <t>G000077</t>
        </is>
      </c>
      <c r="T307" t="inlineStr">
        <is>
          <t>Horizontal</t>
        </is>
      </c>
      <c r="U307" t="n">
        <v>5</v>
      </c>
      <c r="V307" t="b">
        <v>1</v>
      </c>
      <c r="W307" t="inlineStr">
        <is>
          <t>Income statement!K24:O24</t>
        </is>
      </c>
      <c r="X307">
        <f>'Debt schedule'!R[-12]C[0]</f>
        <v/>
      </c>
    </row>
    <row r="308">
      <c r="A308" t="inlineStr">
        <is>
          <t>Income statement</t>
        </is>
      </c>
      <c r="B308" t="inlineStr">
        <is>
          <t>N24</t>
        </is>
      </c>
      <c r="C308" t="n">
        <v>24</v>
      </c>
      <c r="D308" t="n">
        <v>14</v>
      </c>
      <c r="E308" t="inlineStr">
        <is>
          <t>Calculation</t>
        </is>
      </c>
      <c r="F308" t="inlineStr">
        <is>
          <t>'='Debt schedule'!N12</t>
        </is>
      </c>
      <c r="G308" t="n">
        <v>2962.189575</v>
      </c>
      <c r="H308" t="inlineStr"/>
      <c r="I308" t="inlineStr">
        <is>
          <t>#,##0</t>
        </is>
      </c>
      <c r="J308" t="b">
        <v>0</v>
      </c>
      <c r="K308" t="b">
        <v>0</v>
      </c>
      <c r="L308" t="n">
        <v>11</v>
      </c>
      <c r="M308" t="n">
        <v/>
      </c>
      <c r="N308" t="inlineStr">
        <is>
          <t>00000000</t>
        </is>
      </c>
      <c r="O308" t="n">
        <v/>
      </c>
      <c r="R308" t="b">
        <v>1</v>
      </c>
      <c r="S308" t="inlineStr">
        <is>
          <t>G000077</t>
        </is>
      </c>
      <c r="T308" t="inlineStr">
        <is>
          <t>Horizontal</t>
        </is>
      </c>
      <c r="U308" t="n">
        <v>5</v>
      </c>
      <c r="V308" t="b">
        <v>1</v>
      </c>
      <c r="W308" t="inlineStr">
        <is>
          <t>Income statement!K24:O24</t>
        </is>
      </c>
      <c r="X308">
        <f>'Debt schedule'!R[-12]C[0]</f>
        <v/>
      </c>
    </row>
    <row r="309">
      <c r="A309" t="inlineStr">
        <is>
          <t>Income statement</t>
        </is>
      </c>
      <c r="B309" t="inlineStr">
        <is>
          <t>O24</t>
        </is>
      </c>
      <c r="C309" t="n">
        <v>24</v>
      </c>
      <c r="D309" t="n">
        <v>15</v>
      </c>
      <c r="E309" t="inlineStr">
        <is>
          <t>Calculation</t>
        </is>
      </c>
      <c r="F309" t="inlineStr">
        <is>
          <t>'='Debt schedule'!O12</t>
        </is>
      </c>
      <c r="G309" t="n">
        <v>3375.059324999999</v>
      </c>
      <c r="H309" t="inlineStr"/>
      <c r="I309" t="inlineStr">
        <is>
          <t>#,##0</t>
        </is>
      </c>
      <c r="J309" t="b">
        <v>0</v>
      </c>
      <c r="K309" t="b">
        <v>0</v>
      </c>
      <c r="L309" t="n">
        <v>11</v>
      </c>
      <c r="M309" t="n">
        <v/>
      </c>
      <c r="N309" t="inlineStr">
        <is>
          <t>00000000</t>
        </is>
      </c>
      <c r="O309" t="n">
        <v/>
      </c>
      <c r="R309" t="b">
        <v>1</v>
      </c>
      <c r="S309" t="inlineStr">
        <is>
          <t>G000077</t>
        </is>
      </c>
      <c r="T309" t="inlineStr">
        <is>
          <t>Horizontal</t>
        </is>
      </c>
      <c r="U309" t="n">
        <v>5</v>
      </c>
      <c r="V309" t="b">
        <v>1</v>
      </c>
      <c r="W309" t="inlineStr">
        <is>
          <t>Income statement!K24:O24</t>
        </is>
      </c>
      <c r="X309">
        <f>'Debt schedule'!R[-12]C[0]</f>
        <v/>
      </c>
    </row>
    <row r="310">
      <c r="A310" t="inlineStr">
        <is>
          <t>Income statement</t>
        </is>
      </c>
      <c r="B310" t="inlineStr">
        <is>
          <t>P24</t>
        </is>
      </c>
      <c r="C310" t="n">
        <v>24</v>
      </c>
      <c r="D310" t="n">
        <v>16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n">
        <v/>
      </c>
      <c r="N310" t="inlineStr">
        <is>
          <t>00000000</t>
        </is>
      </c>
      <c r="O310" t="n">
        <v/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Income statement</t>
        </is>
      </c>
      <c r="B311" t="inlineStr">
        <is>
          <t>A25</t>
        </is>
      </c>
      <c r="C311" t="n">
        <v>25</v>
      </c>
      <c r="D311" t="n">
        <v>1</v>
      </c>
      <c r="E311" t="inlineStr">
        <is>
          <t>Input</t>
        </is>
      </c>
      <c r="F311" t="n">
        <v/>
      </c>
      <c r="G311" t="inlineStr">
        <is>
          <t>EBT</t>
        </is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00000000</t>
        </is>
      </c>
      <c r="O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Income statement</t>
        </is>
      </c>
      <c r="B312" t="inlineStr">
        <is>
          <t>D25</t>
        </is>
      </c>
      <c r="C312" t="n">
        <v>25</v>
      </c>
      <c r="D312" t="n">
        <v>4</v>
      </c>
      <c r="E312" t="inlineStr">
        <is>
          <t>Calculation</t>
        </is>
      </c>
      <c r="F312" t="inlineStr">
        <is>
          <t>'=D23-D24</t>
        </is>
      </c>
      <c r="G312" t="n">
        <v>7147.500000000001</v>
      </c>
      <c r="H312" t="inlineStr"/>
      <c r="I312" t="inlineStr">
        <is>
          <t>0</t>
        </is>
      </c>
      <c r="J312" t="b">
        <v>1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00000000</t>
        </is>
      </c>
      <c r="O312" t="n">
        <v/>
      </c>
      <c r="R312" t="b">
        <v>1</v>
      </c>
      <c r="S312" t="inlineStr">
        <is>
          <t>G000070</t>
        </is>
      </c>
      <c r="T312" t="inlineStr">
        <is>
          <t>Horizontal</t>
        </is>
      </c>
      <c r="U312" t="n">
        <v>12</v>
      </c>
      <c r="V312" t="b">
        <v>1</v>
      </c>
      <c r="W312" t="inlineStr">
        <is>
          <t>Income statement!D25:O25</t>
        </is>
      </c>
      <c r="X312">
        <f>R[-2]C[0]-R[-1]C[0]</f>
        <v/>
      </c>
    </row>
    <row r="313">
      <c r="A313" t="inlineStr">
        <is>
          <t>Income statement</t>
        </is>
      </c>
      <c r="B313" t="inlineStr">
        <is>
          <t>E25</t>
        </is>
      </c>
      <c r="C313" t="n">
        <v>25</v>
      </c>
      <c r="D313" t="n">
        <v>5</v>
      </c>
      <c r="E313" t="inlineStr">
        <is>
          <t>Calculation</t>
        </is>
      </c>
      <c r="F313" t="inlineStr">
        <is>
          <t>'=E23-E24</t>
        </is>
      </c>
      <c r="G313" t="n">
        <v>749.0399999999918</v>
      </c>
      <c r="H313" t="inlineStr"/>
      <c r="I313" t="inlineStr">
        <is>
          <t>0</t>
        </is>
      </c>
      <c r="J313" t="b">
        <v>1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n">
        <v/>
      </c>
      <c r="R313" t="b">
        <v>1</v>
      </c>
      <c r="S313" t="inlineStr">
        <is>
          <t>G000070</t>
        </is>
      </c>
      <c r="T313" t="inlineStr">
        <is>
          <t>Horizontal</t>
        </is>
      </c>
      <c r="U313" t="n">
        <v>12</v>
      </c>
      <c r="V313" t="b">
        <v>1</v>
      </c>
      <c r="W313" t="inlineStr">
        <is>
          <t>Income statement!D25:O25</t>
        </is>
      </c>
      <c r="X313">
        <f>R[-2]C[0]-R[-1]C[0]</f>
        <v/>
      </c>
    </row>
    <row r="314">
      <c r="A314" t="inlineStr">
        <is>
          <t>Income statement</t>
        </is>
      </c>
      <c r="B314" t="inlineStr">
        <is>
          <t>F25</t>
        </is>
      </c>
      <c r="C314" t="n">
        <v>25</v>
      </c>
      <c r="D314" t="n">
        <v>6</v>
      </c>
      <c r="E314" t="inlineStr">
        <is>
          <t>Calculation</t>
        </is>
      </c>
      <c r="F314" t="inlineStr">
        <is>
          <t>'=F23-F24</t>
        </is>
      </c>
      <c r="G314" t="n">
        <v>9873.179999999989</v>
      </c>
      <c r="H314" t="inlineStr"/>
      <c r="I314" t="inlineStr">
        <is>
          <t>0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00000000</t>
        </is>
      </c>
      <c r="O314" t="n">
        <v/>
      </c>
      <c r="R314" t="b">
        <v>1</v>
      </c>
      <c r="S314" t="inlineStr">
        <is>
          <t>G000070</t>
        </is>
      </c>
      <c r="T314" t="inlineStr">
        <is>
          <t>Horizontal</t>
        </is>
      </c>
      <c r="U314" t="n">
        <v>12</v>
      </c>
      <c r="V314" t="b">
        <v>1</v>
      </c>
      <c r="W314" t="inlineStr">
        <is>
          <t>Income statement!D25:O25</t>
        </is>
      </c>
      <c r="X314">
        <f>R[-2]C[0]-R[-1]C[0]</f>
        <v/>
      </c>
    </row>
    <row r="315">
      <c r="A315" t="inlineStr">
        <is>
          <t>Income statement</t>
        </is>
      </c>
      <c r="B315" t="inlineStr">
        <is>
          <t>G25</t>
        </is>
      </c>
      <c r="C315" t="n">
        <v>25</v>
      </c>
      <c r="D315" t="n">
        <v>7</v>
      </c>
      <c r="E315" t="inlineStr">
        <is>
          <t>Calculation</t>
        </is>
      </c>
      <c r="F315" t="inlineStr">
        <is>
          <t>'=G23-G24</t>
        </is>
      </c>
      <c r="G315" t="n">
        <v>4718.969999999992</v>
      </c>
      <c r="H315" t="inlineStr"/>
      <c r="I315" t="inlineStr">
        <is>
          <t>0</t>
        </is>
      </c>
      <c r="J315" t="b">
        <v>1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R315" t="b">
        <v>1</v>
      </c>
      <c r="S315" t="inlineStr">
        <is>
          <t>G000070</t>
        </is>
      </c>
      <c r="T315" t="inlineStr">
        <is>
          <t>Horizontal</t>
        </is>
      </c>
      <c r="U315" t="n">
        <v>12</v>
      </c>
      <c r="V315" t="b">
        <v>1</v>
      </c>
      <c r="W315" t="inlineStr">
        <is>
          <t>Income statement!D25:O25</t>
        </is>
      </c>
      <c r="X315">
        <f>R[-2]C[0]-R[-1]C[0]</f>
        <v/>
      </c>
    </row>
    <row r="316">
      <c r="A316" t="inlineStr">
        <is>
          <t>Income statement</t>
        </is>
      </c>
      <c r="B316" t="inlineStr">
        <is>
          <t>H25</t>
        </is>
      </c>
      <c r="C316" t="n">
        <v>25</v>
      </c>
      <c r="D316" t="n">
        <v>8</v>
      </c>
      <c r="E316" t="inlineStr">
        <is>
          <t>Calculation</t>
        </is>
      </c>
      <c r="F316" t="inlineStr">
        <is>
          <t>'=H23-H24</t>
        </is>
      </c>
      <c r="G316" t="n">
        <v>18465.22999999996</v>
      </c>
      <c r="H316" t="inlineStr"/>
      <c r="I316" t="inlineStr">
        <is>
          <t>0</t>
        </is>
      </c>
      <c r="J316" t="b">
        <v>1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R316" t="b">
        <v>1</v>
      </c>
      <c r="S316" t="inlineStr">
        <is>
          <t>G000070</t>
        </is>
      </c>
      <c r="T316" t="inlineStr">
        <is>
          <t>Horizontal</t>
        </is>
      </c>
      <c r="U316" t="n">
        <v>12</v>
      </c>
      <c r="V316" t="b">
        <v>1</v>
      </c>
      <c r="W316" t="inlineStr">
        <is>
          <t>Income statement!D25:O25</t>
        </is>
      </c>
      <c r="X316">
        <f>R[-2]C[0]-R[-1]C[0]</f>
        <v/>
      </c>
    </row>
    <row r="317">
      <c r="A317" t="inlineStr">
        <is>
          <t>Income statement</t>
        </is>
      </c>
      <c r="B317" t="inlineStr">
        <is>
          <t>I25</t>
        </is>
      </c>
      <c r="C317" t="n">
        <v>25</v>
      </c>
      <c r="D317" t="n">
        <v>9</v>
      </c>
      <c r="E317" t="inlineStr">
        <is>
          <t>Calculation</t>
        </is>
      </c>
      <c r="F317" t="inlineStr">
        <is>
          <t>'=I23-I24</t>
        </is>
      </c>
      <c r="G317" t="n">
        <v>28289.49999999999</v>
      </c>
      <c r="H317" t="inlineStr"/>
      <c r="I317" t="inlineStr">
        <is>
          <t>0</t>
        </is>
      </c>
      <c r="J317" t="b">
        <v>1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R317" t="b">
        <v>1</v>
      </c>
      <c r="S317" t="inlineStr">
        <is>
          <t>G000070</t>
        </is>
      </c>
      <c r="T317" t="inlineStr">
        <is>
          <t>Horizontal</t>
        </is>
      </c>
      <c r="U317" t="n">
        <v>12</v>
      </c>
      <c r="V317" t="b">
        <v>1</v>
      </c>
      <c r="W317" t="inlineStr">
        <is>
          <t>Income statement!D25:O25</t>
        </is>
      </c>
      <c r="X317">
        <f>R[-2]C[0]-R[-1]C[0]</f>
        <v/>
      </c>
    </row>
    <row r="318">
      <c r="A318" t="inlineStr">
        <is>
          <t>Income statement</t>
        </is>
      </c>
      <c r="B318" t="inlineStr">
        <is>
          <t>J25</t>
        </is>
      </c>
      <c r="C318" t="n">
        <v>25</v>
      </c>
      <c r="D318" t="n">
        <v>10</v>
      </c>
      <c r="E318" t="inlineStr">
        <is>
          <t>Calculation</t>
        </is>
      </c>
      <c r="F318" t="inlineStr">
        <is>
          <t>'=J23-J24</t>
        </is>
      </c>
      <c r="G318" t="n">
        <v>21442.99000000001</v>
      </c>
      <c r="H318" t="inlineStr"/>
      <c r="I318" t="inlineStr">
        <is>
          <t>0</t>
        </is>
      </c>
      <c r="J318" t="b">
        <v>1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R318" t="b">
        <v>1</v>
      </c>
      <c r="S318" t="inlineStr">
        <is>
          <t>G000070</t>
        </is>
      </c>
      <c r="T318" t="inlineStr">
        <is>
          <t>Horizontal</t>
        </is>
      </c>
      <c r="U318" t="n">
        <v>12</v>
      </c>
      <c r="V318" t="b">
        <v>1</v>
      </c>
      <c r="W318" t="inlineStr">
        <is>
          <t>Income statement!D25:O25</t>
        </is>
      </c>
      <c r="X318">
        <f>R[-2]C[0]-R[-1]C[0]</f>
        <v/>
      </c>
    </row>
    <row r="319">
      <c r="A319" t="inlineStr">
        <is>
          <t>Income statement</t>
        </is>
      </c>
      <c r="B319" t="inlineStr">
        <is>
          <t>K25</t>
        </is>
      </c>
      <c r="C319" t="n">
        <v>25</v>
      </c>
      <c r="D319" t="n">
        <v>11</v>
      </c>
      <c r="E319" t="inlineStr">
        <is>
          <t>Calculation</t>
        </is>
      </c>
      <c r="F319" t="inlineStr">
        <is>
          <t>'=K23-K24</t>
        </is>
      </c>
      <c r="G319" t="n">
        <v>49311.33633391167</v>
      </c>
      <c r="H319" t="inlineStr"/>
      <c r="I319" t="inlineStr">
        <is>
          <t>0</t>
        </is>
      </c>
      <c r="J319" t="b">
        <v>1</v>
      </c>
      <c r="K319" t="b">
        <v>0</v>
      </c>
      <c r="L319" t="n">
        <v>11</v>
      </c>
      <c r="M319" t="n">
        <v/>
      </c>
      <c r="N319" t="inlineStr">
        <is>
          <t>00000000</t>
        </is>
      </c>
      <c r="O319" t="n">
        <v/>
      </c>
      <c r="R319" t="b">
        <v>1</v>
      </c>
      <c r="S319" t="inlineStr">
        <is>
          <t>G000070</t>
        </is>
      </c>
      <c r="T319" t="inlineStr">
        <is>
          <t>Horizontal</t>
        </is>
      </c>
      <c r="U319" t="n">
        <v>12</v>
      </c>
      <c r="V319" t="b">
        <v>1</v>
      </c>
      <c r="W319" t="inlineStr">
        <is>
          <t>Income statement!D25:O25</t>
        </is>
      </c>
      <c r="X319">
        <f>R[-2]C[0]-R[-1]C[0]</f>
        <v/>
      </c>
    </row>
    <row r="320">
      <c r="A320" t="inlineStr">
        <is>
          <t>Income statement</t>
        </is>
      </c>
      <c r="B320" t="inlineStr">
        <is>
          <t>L25</t>
        </is>
      </c>
      <c r="C320" t="n">
        <v>25</v>
      </c>
      <c r="D320" t="n">
        <v>12</v>
      </c>
      <c r="E320" t="inlineStr">
        <is>
          <t>Calculation</t>
        </is>
      </c>
      <c r="F320" t="inlineStr">
        <is>
          <t>'=L23-L24</t>
        </is>
      </c>
      <c r="G320" t="n">
        <v>55189.79875489133</v>
      </c>
      <c r="H320" t="inlineStr"/>
      <c r="I320" t="inlineStr">
        <is>
          <t>0</t>
        </is>
      </c>
      <c r="J320" t="b">
        <v>1</v>
      </c>
      <c r="K320" t="b">
        <v>0</v>
      </c>
      <c r="L320" t="n">
        <v>11</v>
      </c>
      <c r="M320" t="n">
        <v/>
      </c>
      <c r="N320" t="inlineStr">
        <is>
          <t>00000000</t>
        </is>
      </c>
      <c r="O320" t="n">
        <v/>
      </c>
      <c r="R320" t="b">
        <v>1</v>
      </c>
      <c r="S320" t="inlineStr">
        <is>
          <t>G000070</t>
        </is>
      </c>
      <c r="T320" t="inlineStr">
        <is>
          <t>Horizontal</t>
        </is>
      </c>
      <c r="U320" t="n">
        <v>12</v>
      </c>
      <c r="V320" t="b">
        <v>1</v>
      </c>
      <c r="W320" t="inlineStr">
        <is>
          <t>Income statement!D25:O25</t>
        </is>
      </c>
      <c r="X320">
        <f>R[-2]C[0]-R[-1]C[0]</f>
        <v/>
      </c>
    </row>
    <row r="321">
      <c r="A321" t="inlineStr">
        <is>
          <t>Income statement</t>
        </is>
      </c>
      <c r="B321" t="inlineStr">
        <is>
          <t>M25</t>
        </is>
      </c>
      <c r="C321" t="n">
        <v>25</v>
      </c>
      <c r="D321" t="n">
        <v>13</v>
      </c>
      <c r="E321" t="inlineStr">
        <is>
          <t>Calculation</t>
        </is>
      </c>
      <c r="F321" t="inlineStr">
        <is>
          <t>'=M23-M24</t>
        </is>
      </c>
      <c r="G321" t="n">
        <v>67886.16607714596</v>
      </c>
      <c r="H321" t="inlineStr"/>
      <c r="I321" t="inlineStr">
        <is>
          <t>0</t>
        </is>
      </c>
      <c r="J321" t="b">
        <v>1</v>
      </c>
      <c r="K321" t="b">
        <v>0</v>
      </c>
      <c r="L321" t="n">
        <v>11</v>
      </c>
      <c r="M321" t="n">
        <v/>
      </c>
      <c r="N321" t="inlineStr">
        <is>
          <t>00000000</t>
        </is>
      </c>
      <c r="O321" t="n">
        <v/>
      </c>
      <c r="R321" t="b">
        <v>1</v>
      </c>
      <c r="S321" t="inlineStr">
        <is>
          <t>G000070</t>
        </is>
      </c>
      <c r="T321" t="inlineStr">
        <is>
          <t>Horizontal</t>
        </is>
      </c>
      <c r="U321" t="n">
        <v>12</v>
      </c>
      <c r="V321" t="b">
        <v>1</v>
      </c>
      <c r="W321" t="inlineStr">
        <is>
          <t>Income statement!D25:O25</t>
        </is>
      </c>
      <c r="X321">
        <f>R[-2]C[0]-R[-1]C[0]</f>
        <v/>
      </c>
    </row>
    <row r="322">
      <c r="A322" t="inlineStr">
        <is>
          <t>Income statement</t>
        </is>
      </c>
      <c r="B322" t="inlineStr">
        <is>
          <t>N25</t>
        </is>
      </c>
      <c r="C322" t="n">
        <v>25</v>
      </c>
      <c r="D322" t="n">
        <v>14</v>
      </c>
      <c r="E322" t="inlineStr">
        <is>
          <t>Calculation</t>
        </is>
      </c>
      <c r="F322" t="inlineStr">
        <is>
          <t>'=N23-N24</t>
        </is>
      </c>
      <c r="G322" t="n">
        <v>81069.82960969915</v>
      </c>
      <c r="H322" t="inlineStr"/>
      <c r="I322" t="inlineStr">
        <is>
          <t>0</t>
        </is>
      </c>
      <c r="J322" t="b">
        <v>1</v>
      </c>
      <c r="K322" t="b">
        <v>0</v>
      </c>
      <c r="L322" t="n">
        <v>11</v>
      </c>
      <c r="M322" t="n">
        <v/>
      </c>
      <c r="N322" t="inlineStr">
        <is>
          <t>00000000</t>
        </is>
      </c>
      <c r="O322" t="n">
        <v/>
      </c>
      <c r="R322" t="b">
        <v>1</v>
      </c>
      <c r="S322" t="inlineStr">
        <is>
          <t>G000070</t>
        </is>
      </c>
      <c r="T322" t="inlineStr">
        <is>
          <t>Horizontal</t>
        </is>
      </c>
      <c r="U322" t="n">
        <v>12</v>
      </c>
      <c r="V322" t="b">
        <v>1</v>
      </c>
      <c r="W322" t="inlineStr">
        <is>
          <t>Income statement!D25:O25</t>
        </is>
      </c>
      <c r="X322">
        <f>R[-2]C[0]-R[-1]C[0]</f>
        <v/>
      </c>
    </row>
    <row r="323">
      <c r="A323" t="inlineStr">
        <is>
          <t>Income statement</t>
        </is>
      </c>
      <c r="B323" t="inlineStr">
        <is>
          <t>O25</t>
        </is>
      </c>
      <c r="C323" t="n">
        <v>25</v>
      </c>
      <c r="D323" t="n">
        <v>15</v>
      </c>
      <c r="E323" t="inlineStr">
        <is>
          <t>Calculation</t>
        </is>
      </c>
      <c r="F323" t="inlineStr">
        <is>
          <t>'=O23-O24</t>
        </is>
      </c>
      <c r="G323" t="n">
        <v>97575.94634338061</v>
      </c>
      <c r="H323" t="inlineStr"/>
      <c r="I323" t="inlineStr">
        <is>
          <t>0</t>
        </is>
      </c>
      <c r="J323" t="b">
        <v>1</v>
      </c>
      <c r="K323" t="b">
        <v>0</v>
      </c>
      <c r="L323" t="n">
        <v>11</v>
      </c>
      <c r="M323" t="n">
        <v/>
      </c>
      <c r="N323" t="inlineStr">
        <is>
          <t>00000000</t>
        </is>
      </c>
      <c r="O323" t="n">
        <v/>
      </c>
      <c r="R323" t="b">
        <v>1</v>
      </c>
      <c r="S323" t="inlineStr">
        <is>
          <t>G000070</t>
        </is>
      </c>
      <c r="T323" t="inlineStr">
        <is>
          <t>Horizontal</t>
        </is>
      </c>
      <c r="U323" t="n">
        <v>12</v>
      </c>
      <c r="V323" t="b">
        <v>1</v>
      </c>
      <c r="W323" t="inlineStr">
        <is>
          <t>Income statement!D25:O25</t>
        </is>
      </c>
      <c r="X323">
        <f>R[-2]C[0]-R[-1]C[0]</f>
        <v/>
      </c>
    </row>
    <row r="324">
      <c r="A324" t="inlineStr">
        <is>
          <t>Income statement</t>
        </is>
      </c>
      <c r="B324" t="inlineStr">
        <is>
          <t>P25</t>
        </is>
      </c>
      <c r="C324" t="n">
        <v>25</v>
      </c>
      <c r="D324" t="n">
        <v>16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11</v>
      </c>
      <c r="M324" t="n">
        <v/>
      </c>
      <c r="N324" t="inlineStr">
        <is>
          <t>00000000</t>
        </is>
      </c>
      <c r="O324" t="n">
        <v/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Income statement</t>
        </is>
      </c>
      <c r="B325" t="inlineStr">
        <is>
          <t>A26</t>
        </is>
      </c>
      <c r="C325" t="n">
        <v>26</v>
      </c>
      <c r="D325" t="n">
        <v>1</v>
      </c>
      <c r="E325" t="inlineStr">
        <is>
          <t>Input</t>
        </is>
      </c>
      <c r="F325" t="n">
        <v/>
      </c>
      <c r="G325" t="inlineStr">
        <is>
          <t>Tax</t>
        </is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n">
        <v/>
      </c>
      <c r="R325" t="b">
        <v>1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Income statement</t>
        </is>
      </c>
      <c r="B326" t="inlineStr">
        <is>
          <t>D26</t>
        </is>
      </c>
      <c r="C326" t="n">
        <v>26</v>
      </c>
      <c r="D326" t="n">
        <v>4</v>
      </c>
      <c r="E326" t="inlineStr">
        <is>
          <t>Calculation</t>
        </is>
      </c>
      <c r="F326" t="inlineStr">
        <is>
          <t>'=SUM(D28:D30)</t>
        </is>
      </c>
      <c r="G326" t="n">
        <v>-1352.85</v>
      </c>
      <c r="H326" t="inlineStr"/>
      <c r="I326" t="inlineStr">
        <is>
          <t>#,##0</t>
        </is>
      </c>
      <c r="J326" t="b">
        <v>0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00000000</t>
        </is>
      </c>
      <c r="O326" t="n">
        <v/>
      </c>
      <c r="R326" t="b">
        <v>1</v>
      </c>
      <c r="S326" t="inlineStr">
        <is>
          <t>G000078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Income statement!D26:H26</t>
        </is>
      </c>
      <c r="X326">
        <f>SUM(R[2]C[0]:R[4]C[0])</f>
        <v/>
      </c>
    </row>
    <row r="327">
      <c r="A327" t="inlineStr">
        <is>
          <t>Income statement</t>
        </is>
      </c>
      <c r="B327" t="inlineStr">
        <is>
          <t>E26</t>
        </is>
      </c>
      <c r="C327" t="n">
        <v>26</v>
      </c>
      <c r="D327" t="n">
        <v>5</v>
      </c>
      <c r="E327" t="inlineStr">
        <is>
          <t>Calculation</t>
        </is>
      </c>
      <c r="F327" t="inlineStr">
        <is>
          <t>'=SUM(E28:E30)</t>
        </is>
      </c>
      <c r="G327" t="n">
        <v>656.9</v>
      </c>
      <c r="H327" t="inlineStr"/>
      <c r="I327" t="inlineStr">
        <is>
          <t>#,##0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n">
        <v/>
      </c>
      <c r="R327" t="b">
        <v>1</v>
      </c>
      <c r="S327" t="inlineStr">
        <is>
          <t>G000078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Income statement!D26:H26</t>
        </is>
      </c>
      <c r="X327">
        <f>SUM(R[2]C[0]:R[4]C[0])</f>
        <v/>
      </c>
    </row>
    <row r="328">
      <c r="A328" t="inlineStr">
        <is>
          <t>Income statement</t>
        </is>
      </c>
      <c r="B328" t="inlineStr">
        <is>
          <t>F26</t>
        </is>
      </c>
      <c r="C328" t="n">
        <v>26</v>
      </c>
      <c r="D328" t="n">
        <v>6</v>
      </c>
      <c r="E328" t="inlineStr">
        <is>
          <t>Calculation</t>
        </is>
      </c>
      <c r="F328" t="inlineStr">
        <is>
          <t>'=SUM(F28:F30)</t>
        </is>
      </c>
      <c r="G328" t="n">
        <v>-2039.61</v>
      </c>
      <c r="H328" t="inlineStr"/>
      <c r="I328" t="inlineStr">
        <is>
          <t>#,##0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n">
        <v/>
      </c>
      <c r="R328" t="b">
        <v>1</v>
      </c>
      <c r="S328" t="inlineStr">
        <is>
          <t>G000078</t>
        </is>
      </c>
      <c r="T328" t="inlineStr">
        <is>
          <t>Horizontal</t>
        </is>
      </c>
      <c r="U328" t="n">
        <v>5</v>
      </c>
      <c r="V328" t="b">
        <v>1</v>
      </c>
      <c r="W328" t="inlineStr">
        <is>
          <t>Income statement!D26:H26</t>
        </is>
      </c>
      <c r="X328">
        <f>SUM(R[2]C[0]:R[4]C[0])</f>
        <v/>
      </c>
    </row>
    <row r="329">
      <c r="A329" t="inlineStr">
        <is>
          <t>Income statement</t>
        </is>
      </c>
      <c r="B329" t="inlineStr">
        <is>
          <t>G26</t>
        </is>
      </c>
      <c r="C329" t="n">
        <v>26</v>
      </c>
      <c r="D329" t="n">
        <v>7</v>
      </c>
      <c r="E329" t="inlineStr">
        <is>
          <t>Calculation</t>
        </is>
      </c>
      <c r="F329" t="inlineStr">
        <is>
          <t>'=SUM(G28:G30)</t>
        </is>
      </c>
      <c r="G329" t="n">
        <v>14.3</v>
      </c>
      <c r="H329" t="inlineStr"/>
      <c r="I329" t="inlineStr">
        <is>
          <t>#,##0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R329" t="b">
        <v>1</v>
      </c>
      <c r="S329" t="inlineStr">
        <is>
          <t>G000078</t>
        </is>
      </c>
      <c r="T329" t="inlineStr">
        <is>
          <t>Horizontal</t>
        </is>
      </c>
      <c r="U329" t="n">
        <v>5</v>
      </c>
      <c r="V329" t="b">
        <v>1</v>
      </c>
      <c r="W329" t="inlineStr">
        <is>
          <t>Income statement!D26:H26</t>
        </is>
      </c>
      <c r="X329">
        <f>SUM(R[2]C[0]:R[4]C[0])</f>
        <v/>
      </c>
    </row>
    <row r="330">
      <c r="A330" t="inlineStr">
        <is>
          <t>Income statement</t>
        </is>
      </c>
      <c r="B330" t="inlineStr">
        <is>
          <t>H26</t>
        </is>
      </c>
      <c r="C330" t="n">
        <v>26</v>
      </c>
      <c r="D330" t="n">
        <v>8</v>
      </c>
      <c r="E330" t="inlineStr">
        <is>
          <t>Calculation</t>
        </is>
      </c>
      <c r="F330" t="inlineStr">
        <is>
          <t>'=SUM(H28:H30)</t>
        </is>
      </c>
      <c r="G330" t="n">
        <v>-5423.51</v>
      </c>
      <c r="H330" t="inlineStr"/>
      <c r="I330" t="inlineStr">
        <is>
          <t>#,##0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n">
        <v/>
      </c>
      <c r="R330" t="b">
        <v>1</v>
      </c>
      <c r="S330" t="inlineStr">
        <is>
          <t>G000078</t>
        </is>
      </c>
      <c r="T330" t="inlineStr">
        <is>
          <t>Horizontal</t>
        </is>
      </c>
      <c r="U330" t="n">
        <v>5</v>
      </c>
      <c r="V330" t="b">
        <v>1</v>
      </c>
      <c r="W330" t="inlineStr">
        <is>
          <t>Income statement!D26:H26</t>
        </is>
      </c>
      <c r="X330">
        <f>SUM(R[2]C[0]:R[4]C[0])</f>
        <v/>
      </c>
    </row>
    <row r="331">
      <c r="A331" t="inlineStr">
        <is>
          <t>Income statement</t>
        </is>
      </c>
      <c r="B331" t="inlineStr">
        <is>
          <t>I26</t>
        </is>
      </c>
      <c r="C331" t="n">
        <v>26</v>
      </c>
      <c r="D331" t="n">
        <v>9</v>
      </c>
      <c r="E331" t="inlineStr">
        <is>
          <t>Calculation</t>
        </is>
      </c>
      <c r="F331" t="inlineStr">
        <is>
          <t>'=I28-I30</t>
        </is>
      </c>
      <c r="G331" t="n">
        <v>-6215.56</v>
      </c>
      <c r="H331" t="inlineStr"/>
      <c r="I331" t="inlineStr">
        <is>
          <t>#,##0</t>
        </is>
      </c>
      <c r="J331" t="b">
        <v>0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00000000</t>
        </is>
      </c>
      <c r="O331" t="n">
        <v/>
      </c>
      <c r="R331" t="b">
        <v>1</v>
      </c>
      <c r="S331" t="inlineStr">
        <is>
          <t>G000079</t>
        </is>
      </c>
      <c r="T331" t="inlineStr">
        <is>
          <t>Horizontal</t>
        </is>
      </c>
      <c r="U331" t="n">
        <v>2</v>
      </c>
      <c r="V331" t="b">
        <v>1</v>
      </c>
      <c r="W331" t="inlineStr">
        <is>
          <t>Income statement!I26:J26</t>
        </is>
      </c>
      <c r="X331">
        <f>R[2]C[0]-R[4]C[0]</f>
        <v/>
      </c>
    </row>
    <row r="332">
      <c r="A332" t="inlineStr">
        <is>
          <t>Income statement</t>
        </is>
      </c>
      <c r="B332" t="inlineStr">
        <is>
          <t>J26</t>
        </is>
      </c>
      <c r="C332" t="n">
        <v>26</v>
      </c>
      <c r="D332" t="n">
        <v>10</v>
      </c>
      <c r="E332" t="inlineStr">
        <is>
          <t>Calculation</t>
        </is>
      </c>
      <c r="F332" t="inlineStr">
        <is>
          <t>'=J28-J30</t>
        </is>
      </c>
      <c r="G332" t="n">
        <v>-4851.52</v>
      </c>
      <c r="H332" t="inlineStr"/>
      <c r="I332" t="inlineStr">
        <is>
          <t>#,##0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n">
        <v/>
      </c>
      <c r="R332" t="b">
        <v>1</v>
      </c>
      <c r="S332" t="inlineStr">
        <is>
          <t>G000079</t>
        </is>
      </c>
      <c r="T332" t="inlineStr">
        <is>
          <t>Horizontal</t>
        </is>
      </c>
      <c r="U332" t="n">
        <v>2</v>
      </c>
      <c r="V332" t="b">
        <v>1</v>
      </c>
      <c r="W332" t="inlineStr">
        <is>
          <t>Income statement!I26:J26</t>
        </is>
      </c>
      <c r="X332">
        <f>R[2]C[0]-R[4]C[0]</f>
        <v/>
      </c>
    </row>
    <row r="333">
      <c r="A333" t="inlineStr">
        <is>
          <t>Income statement</t>
        </is>
      </c>
      <c r="B333" t="inlineStr">
        <is>
          <t>K26</t>
        </is>
      </c>
      <c r="C333" t="n">
        <v>26</v>
      </c>
      <c r="D333" t="n">
        <v>11</v>
      </c>
      <c r="E333" t="inlineStr">
        <is>
          <t>Calculation</t>
        </is>
      </c>
      <c r="F333" t="inlineStr">
        <is>
          <t>'=IF(K25&gt;0,-K25*K27,0)</t>
        </is>
      </c>
      <c r="G333" t="n">
        <v>-10601.93731179101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n">
        <v/>
      </c>
      <c r="N333" t="inlineStr">
        <is>
          <t>00000000</t>
        </is>
      </c>
      <c r="O333" t="n">
        <v/>
      </c>
      <c r="R333" t="b">
        <v>1</v>
      </c>
      <c r="S333" t="inlineStr">
        <is>
          <t>G000080</t>
        </is>
      </c>
      <c r="T333" t="inlineStr">
        <is>
          <t>Horizontal</t>
        </is>
      </c>
      <c r="U333" t="n">
        <v>5</v>
      </c>
      <c r="V333" t="b">
        <v>1</v>
      </c>
      <c r="W333" t="inlineStr">
        <is>
          <t>Income statement!K26:O26</t>
        </is>
      </c>
      <c r="X333">
        <f>IF(R[-1]C[0]&gt;0,-R[-1]C[0]*R[1]C[0],0)</f>
        <v/>
      </c>
    </row>
    <row r="334">
      <c r="A334" t="inlineStr">
        <is>
          <t>Income statement</t>
        </is>
      </c>
      <c r="B334" t="inlineStr">
        <is>
          <t>L26</t>
        </is>
      </c>
      <c r="C334" t="n">
        <v>26</v>
      </c>
      <c r="D334" t="n">
        <v>12</v>
      </c>
      <c r="E334" t="inlineStr">
        <is>
          <t>Calculation</t>
        </is>
      </c>
      <c r="F334" t="inlineStr">
        <is>
          <t>'=IF(L25&gt;0,-L25*L27,0)</t>
        </is>
      </c>
      <c r="G334" t="n">
        <v>-11865.80673230163</v>
      </c>
      <c r="H334" t="inlineStr"/>
      <c r="I334" t="inlineStr">
        <is>
          <t>0</t>
        </is>
      </c>
      <c r="J334" t="b">
        <v>0</v>
      </c>
      <c r="K334" t="b">
        <v>0</v>
      </c>
      <c r="L334" t="n">
        <v>11</v>
      </c>
      <c r="M334" t="n">
        <v/>
      </c>
      <c r="N334" t="inlineStr">
        <is>
          <t>00000000</t>
        </is>
      </c>
      <c r="O334" t="n">
        <v/>
      </c>
      <c r="R334" t="b">
        <v>1</v>
      </c>
      <c r="S334" t="inlineStr">
        <is>
          <t>G000080</t>
        </is>
      </c>
      <c r="T334" t="inlineStr">
        <is>
          <t>Horizontal</t>
        </is>
      </c>
      <c r="U334" t="n">
        <v>5</v>
      </c>
      <c r="V334" t="b">
        <v>1</v>
      </c>
      <c r="W334" t="inlineStr">
        <is>
          <t>Income statement!K26:O26</t>
        </is>
      </c>
      <c r="X334">
        <f>IF(R[-1]C[0]&gt;0,-R[-1]C[0]*R[1]C[0],0)</f>
        <v/>
      </c>
    </row>
    <row r="335">
      <c r="A335" t="inlineStr">
        <is>
          <t>Income statement</t>
        </is>
      </c>
      <c r="B335" t="inlineStr">
        <is>
          <t>M26</t>
        </is>
      </c>
      <c r="C335" t="n">
        <v>26</v>
      </c>
      <c r="D335" t="n">
        <v>13</v>
      </c>
      <c r="E335" t="inlineStr">
        <is>
          <t>Calculation</t>
        </is>
      </c>
      <c r="F335" t="inlineStr">
        <is>
          <t>'=IF(M25&gt;0,-M25*M27,0)</t>
        </is>
      </c>
      <c r="G335" t="n">
        <v>-14595.52570658638</v>
      </c>
      <c r="H335" t="inlineStr"/>
      <c r="I335" t="inlineStr">
        <is>
          <t>0</t>
        </is>
      </c>
      <c r="J335" t="b">
        <v>0</v>
      </c>
      <c r="K335" t="b">
        <v>0</v>
      </c>
      <c r="L335" t="n">
        <v>11</v>
      </c>
      <c r="M335" t="n">
        <v/>
      </c>
      <c r="N335" t="inlineStr">
        <is>
          <t>00000000</t>
        </is>
      </c>
      <c r="O335" t="n">
        <v/>
      </c>
      <c r="R335" t="b">
        <v>1</v>
      </c>
      <c r="S335" t="inlineStr">
        <is>
          <t>G000080</t>
        </is>
      </c>
      <c r="T335" t="inlineStr">
        <is>
          <t>Horizontal</t>
        </is>
      </c>
      <c r="U335" t="n">
        <v>5</v>
      </c>
      <c r="V335" t="b">
        <v>1</v>
      </c>
      <c r="W335" t="inlineStr">
        <is>
          <t>Income statement!K26:O26</t>
        </is>
      </c>
      <c r="X335">
        <f>IF(R[-1]C[0]&gt;0,-R[-1]C[0]*R[1]C[0],0)</f>
        <v/>
      </c>
    </row>
    <row r="336">
      <c r="A336" t="inlineStr">
        <is>
          <t>Income statement</t>
        </is>
      </c>
      <c r="B336" t="inlineStr">
        <is>
          <t>N26</t>
        </is>
      </c>
      <c r="C336" t="n">
        <v>26</v>
      </c>
      <c r="D336" t="n">
        <v>14</v>
      </c>
      <c r="E336" t="inlineStr">
        <is>
          <t>Calculation</t>
        </is>
      </c>
      <c r="F336" t="inlineStr">
        <is>
          <t>'=IF(N25&gt;0,-N25*N27,0)</t>
        </is>
      </c>
      <c r="G336" t="n">
        <v>-17430.01336608532</v>
      </c>
      <c r="H336" t="inlineStr"/>
      <c r="I336" t="inlineStr">
        <is>
          <t>0</t>
        </is>
      </c>
      <c r="J336" t="b">
        <v>0</v>
      </c>
      <c r="K336" t="b">
        <v>0</v>
      </c>
      <c r="L336" t="n">
        <v>11</v>
      </c>
      <c r="M336" t="n">
        <v/>
      </c>
      <c r="N336" t="inlineStr">
        <is>
          <t>00000000</t>
        </is>
      </c>
      <c r="O336" t="n">
        <v/>
      </c>
      <c r="R336" t="b">
        <v>1</v>
      </c>
      <c r="S336" t="inlineStr">
        <is>
          <t>G000080</t>
        </is>
      </c>
      <c r="T336" t="inlineStr">
        <is>
          <t>Horizontal</t>
        </is>
      </c>
      <c r="U336" t="n">
        <v>5</v>
      </c>
      <c r="V336" t="b">
        <v>1</v>
      </c>
      <c r="W336" t="inlineStr">
        <is>
          <t>Income statement!K26:O26</t>
        </is>
      </c>
      <c r="X336">
        <f>IF(R[-1]C[0]&gt;0,-R[-1]C[0]*R[1]C[0],0)</f>
        <v/>
      </c>
    </row>
    <row r="337">
      <c r="A337" t="inlineStr">
        <is>
          <t>Income statement</t>
        </is>
      </c>
      <c r="B337" t="inlineStr">
        <is>
          <t>O26</t>
        </is>
      </c>
      <c r="C337" t="n">
        <v>26</v>
      </c>
      <c r="D337" t="n">
        <v>15</v>
      </c>
      <c r="E337" t="inlineStr">
        <is>
          <t>Calculation</t>
        </is>
      </c>
      <c r="F337" t="inlineStr">
        <is>
          <t>'=IF(O25&gt;0,-O25*O27,0)</t>
        </is>
      </c>
      <c r="G337" t="n">
        <v>-20978.82846382683</v>
      </c>
      <c r="H337" t="inlineStr"/>
      <c r="I337" t="inlineStr">
        <is>
          <t>0</t>
        </is>
      </c>
      <c r="J337" t="b">
        <v>0</v>
      </c>
      <c r="K337" t="b">
        <v>0</v>
      </c>
      <c r="L337" t="n">
        <v>11</v>
      </c>
      <c r="M337" t="n">
        <v/>
      </c>
      <c r="N337" t="inlineStr">
        <is>
          <t>00000000</t>
        </is>
      </c>
      <c r="O337" t="n">
        <v/>
      </c>
      <c r="R337" t="b">
        <v>1</v>
      </c>
      <c r="S337" t="inlineStr">
        <is>
          <t>G000080</t>
        </is>
      </c>
      <c r="T337" t="inlineStr">
        <is>
          <t>Horizontal</t>
        </is>
      </c>
      <c r="U337" t="n">
        <v>5</v>
      </c>
      <c r="V337" t="b">
        <v>1</v>
      </c>
      <c r="W337" t="inlineStr">
        <is>
          <t>Income statement!K26:O26</t>
        </is>
      </c>
      <c r="X337">
        <f>IF(R[-1]C[0]&gt;0,-R[-1]C[0]*R[1]C[0],0)</f>
        <v/>
      </c>
    </row>
    <row r="338">
      <c r="A338" t="inlineStr">
        <is>
          <t>Income statement</t>
        </is>
      </c>
      <c r="B338" t="inlineStr">
        <is>
          <t>P26</t>
        </is>
      </c>
      <c r="C338" t="n">
        <v>26</v>
      </c>
      <c r="D338" t="n">
        <v>16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n">
        <v/>
      </c>
      <c r="N338" t="inlineStr">
        <is>
          <t>00000000</t>
        </is>
      </c>
      <c r="O338" t="n">
        <v/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Income statement</t>
        </is>
      </c>
      <c r="B339" t="inlineStr">
        <is>
          <t>A27</t>
        </is>
      </c>
      <c r="C339" t="n">
        <v>27</v>
      </c>
      <c r="D339" t="n">
        <v>1</v>
      </c>
      <c r="E339" t="inlineStr">
        <is>
          <t>Input</t>
        </is>
      </c>
      <c r="F339" t="n">
        <v/>
      </c>
      <c r="G339" t="inlineStr">
        <is>
          <t>Effective Tax rate</t>
        </is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Income statement</t>
        </is>
      </c>
      <c r="B340" t="inlineStr">
        <is>
          <t>B27</t>
        </is>
      </c>
      <c r="C340" t="n">
        <v>27</v>
      </c>
      <c r="D340" t="n">
        <v>2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n">
        <v/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Income statement</t>
        </is>
      </c>
      <c r="B341" t="inlineStr">
        <is>
          <t>C27</t>
        </is>
      </c>
      <c r="C341" t="n">
        <v>27</v>
      </c>
      <c r="D341" t="n">
        <v>3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n">
        <v/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Income statement</t>
        </is>
      </c>
      <c r="B342" t="inlineStr">
        <is>
          <t>D27</t>
        </is>
      </c>
      <c r="C342" t="n">
        <v>27</v>
      </c>
      <c r="D342" t="n">
        <v>4</v>
      </c>
      <c r="E342" t="inlineStr">
        <is>
          <t>Output</t>
        </is>
      </c>
      <c r="F342" t="inlineStr">
        <is>
          <t>'=-D26/D25</t>
        </is>
      </c>
      <c r="G342" t="n">
        <v>0.1892759706190975</v>
      </c>
      <c r="H342" t="inlineStr"/>
      <c r="I342" t="inlineStr">
        <is>
          <t>0%</t>
        </is>
      </c>
      <c r="J342" t="b">
        <v>0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n">
        <v/>
      </c>
      <c r="R342" t="b">
        <v>1</v>
      </c>
      <c r="S342" t="inlineStr">
        <is>
          <t>G000081</t>
        </is>
      </c>
      <c r="T342" t="inlineStr">
        <is>
          <t>Horizontal</t>
        </is>
      </c>
      <c r="U342" t="n">
        <v>7</v>
      </c>
      <c r="V342" t="b">
        <v>1</v>
      </c>
      <c r="W342" t="inlineStr">
        <is>
          <t>Income statement!D27:J27</t>
        </is>
      </c>
      <c r="X342">
        <f>-R[-1]C[0]/R[-2]C[0]</f>
        <v/>
      </c>
    </row>
    <row r="343">
      <c r="A343" t="inlineStr">
        <is>
          <t>Income statement</t>
        </is>
      </c>
      <c r="B343" t="inlineStr">
        <is>
          <t>E27</t>
        </is>
      </c>
      <c r="C343" t="n">
        <v>27</v>
      </c>
      <c r="D343" t="n">
        <v>5</v>
      </c>
      <c r="E343" t="inlineStr">
        <is>
          <t>Output</t>
        </is>
      </c>
      <c r="F343" t="inlineStr">
        <is>
          <t>'=-E26/E25</t>
        </is>
      </c>
      <c r="G343" t="n">
        <v>-0.8769892128591359</v>
      </c>
      <c r="H343" t="inlineStr"/>
      <c r="I343" t="inlineStr">
        <is>
          <t>0%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n">
        <v/>
      </c>
      <c r="R343" t="b">
        <v>1</v>
      </c>
      <c r="S343" t="inlineStr">
        <is>
          <t>G000081</t>
        </is>
      </c>
      <c r="T343" t="inlineStr">
        <is>
          <t>Horizontal</t>
        </is>
      </c>
      <c r="U343" t="n">
        <v>7</v>
      </c>
      <c r="V343" t="b">
        <v>1</v>
      </c>
      <c r="W343" t="inlineStr">
        <is>
          <t>Income statement!D27:J27</t>
        </is>
      </c>
      <c r="X343">
        <f>-R[-1]C[0]/R[-2]C[0]</f>
        <v/>
      </c>
    </row>
    <row r="344">
      <c r="A344" t="inlineStr">
        <is>
          <t>Income statement</t>
        </is>
      </c>
      <c r="B344" t="inlineStr">
        <is>
          <t>F27</t>
        </is>
      </c>
      <c r="C344" t="n">
        <v>27</v>
      </c>
      <c r="D344" t="n">
        <v>6</v>
      </c>
      <c r="E344" t="inlineStr">
        <is>
          <t>Output</t>
        </is>
      </c>
      <c r="F344" t="inlineStr">
        <is>
          <t>'=-F26/F25</t>
        </is>
      </c>
      <c r="G344" t="n">
        <v>0.2065808584468228</v>
      </c>
      <c r="H344" t="inlineStr"/>
      <c r="I344" t="inlineStr">
        <is>
          <t>0%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n">
        <v/>
      </c>
      <c r="R344" t="b">
        <v>1</v>
      </c>
      <c r="S344" t="inlineStr">
        <is>
          <t>G000081</t>
        </is>
      </c>
      <c r="T344" t="inlineStr">
        <is>
          <t>Horizontal</t>
        </is>
      </c>
      <c r="U344" t="n">
        <v>7</v>
      </c>
      <c r="V344" t="b">
        <v>1</v>
      </c>
      <c r="W344" t="inlineStr">
        <is>
          <t>Income statement!D27:J27</t>
        </is>
      </c>
      <c r="X344">
        <f>-R[-1]C[0]/R[-2]C[0]</f>
        <v/>
      </c>
    </row>
    <row r="345">
      <c r="A345" t="inlineStr">
        <is>
          <t>Income statement</t>
        </is>
      </c>
      <c r="B345" t="inlineStr">
        <is>
          <t>G27</t>
        </is>
      </c>
      <c r="C345" t="n">
        <v>27</v>
      </c>
      <c r="D345" t="n">
        <v>7</v>
      </c>
      <c r="E345" t="inlineStr">
        <is>
          <t>Output</t>
        </is>
      </c>
      <c r="F345" t="inlineStr">
        <is>
          <t>'=-G26/G25</t>
        </is>
      </c>
      <c r="G345" t="n">
        <v>-0.00303032229490758</v>
      </c>
      <c r="H345" t="inlineStr"/>
      <c r="I345" t="inlineStr">
        <is>
          <t>0%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R345" t="b">
        <v>1</v>
      </c>
      <c r="S345" t="inlineStr">
        <is>
          <t>G000081</t>
        </is>
      </c>
      <c r="T345" t="inlineStr">
        <is>
          <t>Horizontal</t>
        </is>
      </c>
      <c r="U345" t="n">
        <v>7</v>
      </c>
      <c r="V345" t="b">
        <v>1</v>
      </c>
      <c r="W345" t="inlineStr">
        <is>
          <t>Income statement!D27:J27</t>
        </is>
      </c>
      <c r="X345">
        <f>-R[-1]C[0]/R[-2]C[0]</f>
        <v/>
      </c>
    </row>
    <row r="346">
      <c r="A346" t="inlineStr">
        <is>
          <t>Income statement</t>
        </is>
      </c>
      <c r="B346" t="inlineStr">
        <is>
          <t>H27</t>
        </is>
      </c>
      <c r="C346" t="n">
        <v>27</v>
      </c>
      <c r="D346" t="n">
        <v>8</v>
      </c>
      <c r="E346" t="inlineStr">
        <is>
          <t>Output</t>
        </is>
      </c>
      <c r="F346" t="inlineStr">
        <is>
          <t>'=-H26/H25</t>
        </is>
      </c>
      <c r="G346" t="n">
        <v>0.2937147276259224</v>
      </c>
      <c r="H346" t="inlineStr"/>
      <c r="I346" t="inlineStr">
        <is>
          <t>0%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n">
        <v/>
      </c>
      <c r="R346" t="b">
        <v>1</v>
      </c>
      <c r="S346" t="inlineStr">
        <is>
          <t>G000081</t>
        </is>
      </c>
      <c r="T346" t="inlineStr">
        <is>
          <t>Horizontal</t>
        </is>
      </c>
      <c r="U346" t="n">
        <v>7</v>
      </c>
      <c r="V346" t="b">
        <v>1</v>
      </c>
      <c r="W346" t="inlineStr">
        <is>
          <t>Income statement!D27:J27</t>
        </is>
      </c>
      <c r="X346">
        <f>-R[-1]C[0]/R[-2]C[0]</f>
        <v/>
      </c>
    </row>
    <row r="347">
      <c r="A347" t="inlineStr">
        <is>
          <t>Income statement</t>
        </is>
      </c>
      <c r="B347" t="inlineStr">
        <is>
          <t>I27</t>
        </is>
      </c>
      <c r="C347" t="n">
        <v>27</v>
      </c>
      <c r="D347" t="n">
        <v>9</v>
      </c>
      <c r="E347" t="inlineStr">
        <is>
          <t>Output</t>
        </is>
      </c>
      <c r="F347" t="inlineStr">
        <is>
          <t>'=-I26/I25</t>
        </is>
      </c>
      <c r="G347" t="n">
        <v>0.2197126142208241</v>
      </c>
      <c r="H347" t="inlineStr"/>
      <c r="I347" t="inlineStr">
        <is>
          <t>0%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R347" t="b">
        <v>1</v>
      </c>
      <c r="S347" t="inlineStr">
        <is>
          <t>G000081</t>
        </is>
      </c>
      <c r="T347" t="inlineStr">
        <is>
          <t>Horizontal</t>
        </is>
      </c>
      <c r="U347" t="n">
        <v>7</v>
      </c>
      <c r="V347" t="b">
        <v>1</v>
      </c>
      <c r="W347" t="inlineStr">
        <is>
          <t>Income statement!D27:J27</t>
        </is>
      </c>
      <c r="X347">
        <f>-R[-1]C[0]/R[-2]C[0]</f>
        <v/>
      </c>
    </row>
    <row r="348">
      <c r="A348" t="inlineStr">
        <is>
          <t>Income statement</t>
        </is>
      </c>
      <c r="B348" t="inlineStr">
        <is>
          <t>J27</t>
        </is>
      </c>
      <c r="C348" t="n">
        <v>27</v>
      </c>
      <c r="D348" t="n">
        <v>10</v>
      </c>
      <c r="E348" t="inlineStr">
        <is>
          <t>Output</t>
        </is>
      </c>
      <c r="F348" t="inlineStr">
        <is>
          <t>'=-J26/J25</t>
        </is>
      </c>
      <c r="G348" t="n">
        <v>0.2262520292179401</v>
      </c>
      <c r="H348" t="inlineStr"/>
      <c r="I348" t="inlineStr">
        <is>
          <t>0%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n">
        <v/>
      </c>
      <c r="R348" t="b">
        <v>1</v>
      </c>
      <c r="S348" t="inlineStr">
        <is>
          <t>G000081</t>
        </is>
      </c>
      <c r="T348" t="inlineStr">
        <is>
          <t>Horizontal</t>
        </is>
      </c>
      <c r="U348" t="n">
        <v>7</v>
      </c>
      <c r="V348" t="b">
        <v>1</v>
      </c>
      <c r="W348" t="inlineStr">
        <is>
          <t>Income statement!D27:J27</t>
        </is>
      </c>
      <c r="X348">
        <f>-R[-1]C[0]/R[-2]C[0]</f>
        <v/>
      </c>
    </row>
    <row r="349">
      <c r="A349" t="inlineStr">
        <is>
          <t>Income statement</t>
        </is>
      </c>
      <c r="B349" t="inlineStr">
        <is>
          <t>K27</t>
        </is>
      </c>
      <c r="C349" t="n">
        <v>27</v>
      </c>
      <c r="D349" t="n">
        <v>11</v>
      </c>
      <c r="E349" t="inlineStr">
        <is>
          <t>Input</t>
        </is>
      </c>
      <c r="F349" t="n">
        <v/>
      </c>
      <c r="G349" t="n">
        <v>0.215</v>
      </c>
      <c r="H349" t="inlineStr"/>
      <c r="I349" t="inlineStr">
        <is>
          <t>0.00%</t>
        </is>
      </c>
      <c r="J349" t="b">
        <v>0</v>
      </c>
      <c r="K349" t="b">
        <v>0</v>
      </c>
      <c r="L349" t="n">
        <v>11</v>
      </c>
      <c r="M349" t="inlineStr">
        <is>
          <t>FFFF0000</t>
        </is>
      </c>
      <c r="N349" t="inlineStr">
        <is>
          <t>00000000</t>
        </is>
      </c>
      <c r="O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Income statement</t>
        </is>
      </c>
      <c r="B350" t="inlineStr">
        <is>
          <t>L27</t>
        </is>
      </c>
      <c r="C350" t="n">
        <v>27</v>
      </c>
      <c r="D350" t="n">
        <v>12</v>
      </c>
      <c r="E350" t="inlineStr">
        <is>
          <t>Input</t>
        </is>
      </c>
      <c r="F350" t="n">
        <v/>
      </c>
      <c r="G350" t="n">
        <v>0.215</v>
      </c>
      <c r="H350" t="inlineStr"/>
      <c r="I350" t="inlineStr">
        <is>
          <t>0.00%</t>
        </is>
      </c>
      <c r="J350" t="b">
        <v>0</v>
      </c>
      <c r="K350" t="b">
        <v>0</v>
      </c>
      <c r="L350" t="n">
        <v>11</v>
      </c>
      <c r="M350" t="inlineStr">
        <is>
          <t>FFFF0000</t>
        </is>
      </c>
      <c r="N350" t="inlineStr">
        <is>
          <t>00000000</t>
        </is>
      </c>
      <c r="O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Income statement</t>
        </is>
      </c>
      <c r="B351" t="inlineStr">
        <is>
          <t>M27</t>
        </is>
      </c>
      <c r="C351" t="n">
        <v>27</v>
      </c>
      <c r="D351" t="n">
        <v>13</v>
      </c>
      <c r="E351" t="inlineStr">
        <is>
          <t>Input</t>
        </is>
      </c>
      <c r="F351" t="n">
        <v/>
      </c>
      <c r="G351" t="n">
        <v>0.215</v>
      </c>
      <c r="H351" t="inlineStr"/>
      <c r="I351" t="inlineStr">
        <is>
          <t>0.00%</t>
        </is>
      </c>
      <c r="J351" t="b">
        <v>0</v>
      </c>
      <c r="K351" t="b">
        <v>0</v>
      </c>
      <c r="L351" t="n">
        <v>11</v>
      </c>
      <c r="M351" t="inlineStr">
        <is>
          <t>FFFF0000</t>
        </is>
      </c>
      <c r="N351" t="inlineStr">
        <is>
          <t>00000000</t>
        </is>
      </c>
      <c r="O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Income statement</t>
        </is>
      </c>
      <c r="B352" t="inlineStr">
        <is>
          <t>N27</t>
        </is>
      </c>
      <c r="C352" t="n">
        <v>27</v>
      </c>
      <c r="D352" t="n">
        <v>14</v>
      </c>
      <c r="E352" t="inlineStr">
        <is>
          <t>Input</t>
        </is>
      </c>
      <c r="F352" t="n">
        <v/>
      </c>
      <c r="G352" t="n">
        <v>0.215</v>
      </c>
      <c r="H352" t="inlineStr"/>
      <c r="I352" t="inlineStr">
        <is>
          <t>0.00%</t>
        </is>
      </c>
      <c r="J352" t="b">
        <v>0</v>
      </c>
      <c r="K352" t="b">
        <v>0</v>
      </c>
      <c r="L352" t="n">
        <v>11</v>
      </c>
      <c r="M352" t="inlineStr">
        <is>
          <t>FFFF0000</t>
        </is>
      </c>
      <c r="N352" t="inlineStr">
        <is>
          <t>00000000</t>
        </is>
      </c>
      <c r="O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Income statement</t>
        </is>
      </c>
      <c r="B353" t="inlineStr">
        <is>
          <t>O27</t>
        </is>
      </c>
      <c r="C353" t="n">
        <v>27</v>
      </c>
      <c r="D353" t="n">
        <v>15</v>
      </c>
      <c r="E353" t="inlineStr">
        <is>
          <t>Input</t>
        </is>
      </c>
      <c r="F353" t="n">
        <v/>
      </c>
      <c r="G353" t="n">
        <v>0.215</v>
      </c>
      <c r="H353" t="inlineStr"/>
      <c r="I353" t="inlineStr">
        <is>
          <t>0.00%</t>
        </is>
      </c>
      <c r="J353" t="b">
        <v>0</v>
      </c>
      <c r="K353" t="b">
        <v>0</v>
      </c>
      <c r="L353" t="n">
        <v>11</v>
      </c>
      <c r="M353" t="inlineStr">
        <is>
          <t>FFFF0000</t>
        </is>
      </c>
      <c r="N353" t="inlineStr">
        <is>
          <t>00000000</t>
        </is>
      </c>
      <c r="O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Income statement</t>
        </is>
      </c>
      <c r="B354" t="inlineStr">
        <is>
          <t>P27</t>
        </is>
      </c>
      <c r="C354" t="n">
        <v>27</v>
      </c>
      <c r="D354" t="n">
        <v>16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11</v>
      </c>
      <c r="M354" t="n">
        <v/>
      </c>
      <c r="N354" t="inlineStr">
        <is>
          <t>00000000</t>
        </is>
      </c>
      <c r="O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Income statement</t>
        </is>
      </c>
      <c r="B355" t="inlineStr">
        <is>
          <t>A28</t>
        </is>
      </c>
      <c r="C355" t="n">
        <v>28</v>
      </c>
      <c r="D355" t="n">
        <v>1</v>
      </c>
      <c r="E355" t="inlineStr">
        <is>
          <t>Input</t>
        </is>
      </c>
      <c r="F355" t="n">
        <v/>
      </c>
      <c r="G355" t="inlineStr">
        <is>
          <t>Current period</t>
        </is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00000000</t>
        </is>
      </c>
      <c r="O355" t="n">
        <v/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Income statement</t>
        </is>
      </c>
      <c r="B356" t="inlineStr">
        <is>
          <t>D28</t>
        </is>
      </c>
      <c r="C356" t="n">
        <v>28</v>
      </c>
      <c r="D356" t="n">
        <v>4</v>
      </c>
      <c r="E356" t="inlineStr">
        <is>
          <t>Input</t>
        </is>
      </c>
      <c r="F356" t="n">
        <v/>
      </c>
      <c r="G356" t="n">
        <v>-1356.05</v>
      </c>
      <c r="H356" t="inlineStr"/>
      <c r="I356" t="inlineStr">
        <is>
          <t>#,##0</t>
        </is>
      </c>
      <c r="J356" t="b">
        <v>0</v>
      </c>
      <c r="K356" t="b">
        <v>0</v>
      </c>
      <c r="L356" t="n">
        <v>11</v>
      </c>
      <c r="M356" t="inlineStr">
        <is>
          <t>FF0B0280</t>
        </is>
      </c>
      <c r="N356" t="inlineStr">
        <is>
          <t>00000000</t>
        </is>
      </c>
      <c r="O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Income statement</t>
        </is>
      </c>
      <c r="B357" t="inlineStr">
        <is>
          <t>E28</t>
        </is>
      </c>
      <c r="C357" t="n">
        <v>28</v>
      </c>
      <c r="D357" t="n">
        <v>5</v>
      </c>
      <c r="E357" t="inlineStr">
        <is>
          <t>Input</t>
        </is>
      </c>
      <c r="F357" t="n">
        <v/>
      </c>
      <c r="G357" t="n">
        <v>-77.90000000000001</v>
      </c>
      <c r="H357" t="inlineStr"/>
      <c r="I357" t="inlineStr">
        <is>
          <t>#,##0</t>
        </is>
      </c>
      <c r="J357" t="b">
        <v>0</v>
      </c>
      <c r="K357" t="b">
        <v>0</v>
      </c>
      <c r="L357" t="n">
        <v>11</v>
      </c>
      <c r="M357" t="inlineStr">
        <is>
          <t>FF0B0280</t>
        </is>
      </c>
      <c r="N357" t="inlineStr">
        <is>
          <t>00000000</t>
        </is>
      </c>
      <c r="O357" t="n">
        <v/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Income statement</t>
        </is>
      </c>
      <c r="B358" t="inlineStr">
        <is>
          <t>F28</t>
        </is>
      </c>
      <c r="C358" t="n">
        <v>28</v>
      </c>
      <c r="D358" t="n">
        <v>6</v>
      </c>
      <c r="E358" t="inlineStr">
        <is>
          <t>Input</t>
        </is>
      </c>
      <c r="F358" t="n">
        <v/>
      </c>
      <c r="G358" t="n">
        <v>-1924.25</v>
      </c>
      <c r="H358" t="inlineStr"/>
      <c r="I358" t="inlineStr">
        <is>
          <t>#,##0</t>
        </is>
      </c>
      <c r="J358" t="b">
        <v>0</v>
      </c>
      <c r="K358" t="b">
        <v>0</v>
      </c>
      <c r="L358" t="n">
        <v>11</v>
      </c>
      <c r="M358" t="inlineStr">
        <is>
          <t>FF0B0280</t>
        </is>
      </c>
      <c r="N358" t="inlineStr">
        <is>
          <t>00000000</t>
        </is>
      </c>
      <c r="O358" t="n">
        <v/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Income statement</t>
        </is>
      </c>
      <c r="B359" t="inlineStr">
        <is>
          <t>G28</t>
        </is>
      </c>
      <c r="C359" t="n">
        <v>28</v>
      </c>
      <c r="D359" t="n">
        <v>7</v>
      </c>
      <c r="E359" t="inlineStr">
        <is>
          <t>Input</t>
        </is>
      </c>
      <c r="F359" t="n">
        <v/>
      </c>
      <c r="G359" t="n">
        <v>-926.35</v>
      </c>
      <c r="H359" t="inlineStr"/>
      <c r="I359" t="inlineStr">
        <is>
          <t>#,##0</t>
        </is>
      </c>
      <c r="J359" t="b">
        <v>0</v>
      </c>
      <c r="K359" t="b">
        <v>0</v>
      </c>
      <c r="L359" t="n">
        <v>11</v>
      </c>
      <c r="M359" t="inlineStr">
        <is>
          <t>FF0B0280</t>
        </is>
      </c>
      <c r="N359" t="inlineStr">
        <is>
          <t>00000000</t>
        </is>
      </c>
      <c r="O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Income statement</t>
        </is>
      </c>
      <c r="B360" t="inlineStr">
        <is>
          <t>H28</t>
        </is>
      </c>
      <c r="C360" t="n">
        <v>28</v>
      </c>
      <c r="D360" t="n">
        <v>8</v>
      </c>
      <c r="E360" t="inlineStr">
        <is>
          <t>Input</t>
        </is>
      </c>
      <c r="F360" t="n">
        <v/>
      </c>
      <c r="G360" t="n">
        <v>-3889.77</v>
      </c>
      <c r="H360" t="inlineStr"/>
      <c r="I360" t="inlineStr">
        <is>
          <t>#,##0</t>
        </is>
      </c>
      <c r="J360" t="b">
        <v>0</v>
      </c>
      <c r="K360" t="b">
        <v>0</v>
      </c>
      <c r="L360" t="n">
        <v>11</v>
      </c>
      <c r="M360" t="inlineStr">
        <is>
          <t>FF0B0280</t>
        </is>
      </c>
      <c r="N360" t="inlineStr">
        <is>
          <t>00000000</t>
        </is>
      </c>
      <c r="O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Income statement</t>
        </is>
      </c>
      <c r="B361" t="inlineStr">
        <is>
          <t>I28</t>
        </is>
      </c>
      <c r="C361" t="n">
        <v>28</v>
      </c>
      <c r="D361" t="n">
        <v>9</v>
      </c>
      <c r="E361" t="inlineStr">
        <is>
          <t>Input</t>
        </is>
      </c>
      <c r="F361" t="n">
        <v/>
      </c>
      <c r="G361" t="n">
        <v>-7303.93</v>
      </c>
      <c r="H361" t="inlineStr"/>
      <c r="I361" t="inlineStr">
        <is>
          <t>#,##0</t>
        </is>
      </c>
      <c r="J361" t="b">
        <v>0</v>
      </c>
      <c r="K361" t="b">
        <v>0</v>
      </c>
      <c r="L361" t="n">
        <v>11</v>
      </c>
      <c r="M361" t="inlineStr">
        <is>
          <t>FF0B0280</t>
        </is>
      </c>
      <c r="N361" t="inlineStr">
        <is>
          <t>00000000</t>
        </is>
      </c>
      <c r="O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Income statement</t>
        </is>
      </c>
      <c r="B362" t="inlineStr">
        <is>
          <t>J28</t>
        </is>
      </c>
      <c r="C362" t="n">
        <v>28</v>
      </c>
      <c r="D362" t="n">
        <v>10</v>
      </c>
      <c r="E362" t="inlineStr">
        <is>
          <t>Input</t>
        </is>
      </c>
      <c r="F362" t="n">
        <v/>
      </c>
      <c r="G362" t="n">
        <v>-4911.51</v>
      </c>
      <c r="H362" t="inlineStr"/>
      <c r="I362" t="inlineStr">
        <is>
          <t>#,##0</t>
        </is>
      </c>
      <c r="J362" t="b">
        <v>0</v>
      </c>
      <c r="K362" t="b">
        <v>0</v>
      </c>
      <c r="L362" t="n">
        <v>11</v>
      </c>
      <c r="M362" t="inlineStr">
        <is>
          <t>FF0B0280</t>
        </is>
      </c>
      <c r="N362" t="inlineStr">
        <is>
          <t>00000000</t>
        </is>
      </c>
      <c r="O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Income statement</t>
        </is>
      </c>
      <c r="B363" t="inlineStr">
        <is>
          <t>K28</t>
        </is>
      </c>
      <c r="C363" t="n">
        <v>28</v>
      </c>
      <c r="D363" t="n">
        <v>11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n">
        <v/>
      </c>
      <c r="N363" t="inlineStr">
        <is>
          <t>00000000</t>
        </is>
      </c>
      <c r="O363" t="n">
        <v/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Income statement</t>
        </is>
      </c>
      <c r="B364" t="inlineStr">
        <is>
          <t>L28</t>
        </is>
      </c>
      <c r="C364" t="n">
        <v>28</v>
      </c>
      <c r="D364" t="n">
        <v>12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n">
        <v/>
      </c>
      <c r="N364" t="inlineStr">
        <is>
          <t>00000000</t>
        </is>
      </c>
      <c r="O364" t="n">
        <v/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Income statement</t>
        </is>
      </c>
      <c r="B365" t="inlineStr">
        <is>
          <t>M28</t>
        </is>
      </c>
      <c r="C365" t="n">
        <v>28</v>
      </c>
      <c r="D365" t="n">
        <v>13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11</v>
      </c>
      <c r="M365" t="n">
        <v/>
      </c>
      <c r="N365" t="inlineStr">
        <is>
          <t>00000000</t>
        </is>
      </c>
      <c r="O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Income statement</t>
        </is>
      </c>
      <c r="B366" t="inlineStr">
        <is>
          <t>N28</t>
        </is>
      </c>
      <c r="C366" t="n">
        <v>28</v>
      </c>
      <c r="D366" t="n">
        <v>14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11</v>
      </c>
      <c r="M366" t="n">
        <v/>
      </c>
      <c r="N366" t="inlineStr">
        <is>
          <t>00000000</t>
        </is>
      </c>
      <c r="O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Income statement</t>
        </is>
      </c>
      <c r="B367" t="inlineStr">
        <is>
          <t>O28</t>
        </is>
      </c>
      <c r="C367" t="n">
        <v>28</v>
      </c>
      <c r="D367" t="n">
        <v>15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n">
        <v/>
      </c>
      <c r="N367" t="inlineStr">
        <is>
          <t>00000000</t>
        </is>
      </c>
      <c r="O367" t="n">
        <v/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Income statement</t>
        </is>
      </c>
      <c r="B368" t="inlineStr">
        <is>
          <t>P28</t>
        </is>
      </c>
      <c r="C368" t="n">
        <v>28</v>
      </c>
      <c r="D368" t="n">
        <v>16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n">
        <v/>
      </c>
      <c r="N368" t="inlineStr">
        <is>
          <t>00000000</t>
        </is>
      </c>
      <c r="O368" t="n">
        <v/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Income statement</t>
        </is>
      </c>
      <c r="B369" t="inlineStr">
        <is>
          <t>A29</t>
        </is>
      </c>
      <c r="C369" t="n">
        <v>29</v>
      </c>
      <c r="D369" t="n">
        <v>1</v>
      </c>
      <c r="E369" t="inlineStr">
        <is>
          <t>Input</t>
        </is>
      </c>
      <c r="F369" t="n">
        <v/>
      </c>
      <c r="G369" t="inlineStr">
        <is>
          <t>Less: MAT credit entitlement</t>
        </is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Income statement</t>
        </is>
      </c>
      <c r="B370" t="inlineStr">
        <is>
          <t>D29</t>
        </is>
      </c>
      <c r="C370" t="n">
        <v>29</v>
      </c>
      <c r="D370" t="n">
        <v>4</v>
      </c>
      <c r="E370" t="inlineStr">
        <is>
          <t>Input</t>
        </is>
      </c>
      <c r="F370" t="n">
        <v/>
      </c>
      <c r="G370" t="n">
        <v>611.65</v>
      </c>
      <c r="H370" t="inlineStr"/>
      <c r="I370" t="inlineStr">
        <is>
          <t>#,##0</t>
        </is>
      </c>
      <c r="J370" t="b">
        <v>0</v>
      </c>
      <c r="K370" t="b">
        <v>0</v>
      </c>
      <c r="L370" t="n">
        <v>11</v>
      </c>
      <c r="M370" t="inlineStr">
        <is>
          <t>FF0B0280</t>
        </is>
      </c>
      <c r="N370" t="inlineStr">
        <is>
          <t>00000000</t>
        </is>
      </c>
      <c r="O370" t="n">
        <v/>
      </c>
      <c r="R370" t="b">
        <v>1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Income statement</t>
        </is>
      </c>
      <c r="B371" t="inlineStr">
        <is>
          <t>E29</t>
        </is>
      </c>
      <c r="C371" t="n">
        <v>29</v>
      </c>
      <c r="D371" t="n">
        <v>5</v>
      </c>
      <c r="E371" t="inlineStr">
        <is>
          <t>Input</t>
        </is>
      </c>
      <c r="F371" t="n">
        <v/>
      </c>
      <c r="G371" t="n">
        <v>77.90000000000001</v>
      </c>
      <c r="H371" t="inlineStr"/>
      <c r="I371" t="inlineStr">
        <is>
          <t>#,##0</t>
        </is>
      </c>
      <c r="J371" t="b">
        <v>0</v>
      </c>
      <c r="K371" t="b">
        <v>0</v>
      </c>
      <c r="L371" t="n">
        <v>11</v>
      </c>
      <c r="M371" t="inlineStr">
        <is>
          <t>FF0B0280</t>
        </is>
      </c>
      <c r="N371" t="inlineStr">
        <is>
          <t>00000000</t>
        </is>
      </c>
      <c r="O371" t="n">
        <v/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Income statement</t>
        </is>
      </c>
      <c r="B372" t="inlineStr">
        <is>
          <t>F29</t>
        </is>
      </c>
      <c r="C372" t="n">
        <v>29</v>
      </c>
      <c r="D372" t="n">
        <v>6</v>
      </c>
      <c r="E372" t="inlineStr">
        <is>
          <t>Input</t>
        </is>
      </c>
      <c r="F372" t="n">
        <v/>
      </c>
      <c r="G372" t="n">
        <v>1086.89</v>
      </c>
      <c r="H372" t="inlineStr"/>
      <c r="I372" t="inlineStr">
        <is>
          <t>#,##0</t>
        </is>
      </c>
      <c r="J372" t="b">
        <v>0</v>
      </c>
      <c r="K372" t="b">
        <v>0</v>
      </c>
      <c r="L372" t="n">
        <v>11</v>
      </c>
      <c r="M372" t="inlineStr">
        <is>
          <t>FF0B0280</t>
        </is>
      </c>
      <c r="N372" t="inlineStr">
        <is>
          <t>00000000</t>
        </is>
      </c>
      <c r="O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Income statement</t>
        </is>
      </c>
      <c r="B373" t="inlineStr">
        <is>
          <t>G29</t>
        </is>
      </c>
      <c r="C373" t="n">
        <v>29</v>
      </c>
      <c r="D373" t="n">
        <v>7</v>
      </c>
      <c r="E373" t="inlineStr">
        <is>
          <t>Input</t>
        </is>
      </c>
      <c r="F373" t="n">
        <v/>
      </c>
      <c r="G373" t="n">
        <v>926.35</v>
      </c>
      <c r="H373" t="inlineStr"/>
      <c r="I373" t="inlineStr">
        <is>
          <t>#,##0</t>
        </is>
      </c>
      <c r="J373" t="b">
        <v>0</v>
      </c>
      <c r="K373" t="b">
        <v>0</v>
      </c>
      <c r="L373" t="n">
        <v>11</v>
      </c>
      <c r="M373" t="inlineStr">
        <is>
          <t>FF0B0280</t>
        </is>
      </c>
      <c r="N373" t="inlineStr">
        <is>
          <t>00000000</t>
        </is>
      </c>
      <c r="O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Income statement</t>
        </is>
      </c>
      <c r="B374" t="inlineStr">
        <is>
          <t>H29</t>
        </is>
      </c>
      <c r="C374" t="n">
        <v>29</v>
      </c>
      <c r="D374" t="n">
        <v>8</v>
      </c>
      <c r="E374" t="inlineStr">
        <is>
          <t>Input</t>
        </is>
      </c>
      <c r="F374" t="n">
        <v/>
      </c>
      <c r="G374" t="n">
        <v>2014.85</v>
      </c>
      <c r="H374" t="inlineStr"/>
      <c r="I374" t="inlineStr">
        <is>
          <t>#,##0</t>
        </is>
      </c>
      <c r="J374" t="b">
        <v>0</v>
      </c>
      <c r="K374" t="b">
        <v>0</v>
      </c>
      <c r="L374" t="n">
        <v>11</v>
      </c>
      <c r="M374" t="inlineStr">
        <is>
          <t>FF0B0280</t>
        </is>
      </c>
      <c r="N374" t="inlineStr">
        <is>
          <t>00000000</t>
        </is>
      </c>
      <c r="O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Income statement</t>
        </is>
      </c>
      <c r="B375" t="inlineStr">
        <is>
          <t>I29</t>
        </is>
      </c>
      <c r="C375" t="n">
        <v>29</v>
      </c>
      <c r="D375" t="n">
        <v>9</v>
      </c>
      <c r="E375" t="inlineStr">
        <is>
          <t>Input</t>
        </is>
      </c>
      <c r="F375" t="n">
        <v/>
      </c>
      <c r="G375" t="n">
        <v>0</v>
      </c>
      <c r="H375" t="inlineStr"/>
      <c r="I375" t="inlineStr">
        <is>
          <t>#,##0</t>
        </is>
      </c>
      <c r="J375" t="b">
        <v>0</v>
      </c>
      <c r="K375" t="b">
        <v>0</v>
      </c>
      <c r="L375" t="n">
        <v>11</v>
      </c>
      <c r="M375" t="inlineStr">
        <is>
          <t>FF0B0280</t>
        </is>
      </c>
      <c r="N375" t="inlineStr">
        <is>
          <t>00000000</t>
        </is>
      </c>
      <c r="O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Income statement</t>
        </is>
      </c>
      <c r="B376" t="inlineStr">
        <is>
          <t>J29</t>
        </is>
      </c>
      <c r="C376" t="n">
        <v>29</v>
      </c>
      <c r="D376" t="n">
        <v>10</v>
      </c>
      <c r="E376" t="inlineStr">
        <is>
          <t>Input</t>
        </is>
      </c>
      <c r="F376" t="n">
        <v/>
      </c>
      <c r="G376" t="n">
        <v>0</v>
      </c>
      <c r="H376" t="inlineStr"/>
      <c r="I376" t="inlineStr">
        <is>
          <t>#,##0</t>
        </is>
      </c>
      <c r="J376" t="b">
        <v>0</v>
      </c>
      <c r="K376" t="b">
        <v>0</v>
      </c>
      <c r="L376" t="n">
        <v>11</v>
      </c>
      <c r="M376" t="inlineStr">
        <is>
          <t>FF0B0280</t>
        </is>
      </c>
      <c r="N376" t="inlineStr">
        <is>
          <t>00000000</t>
        </is>
      </c>
      <c r="O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Income statement</t>
        </is>
      </c>
      <c r="B377" t="inlineStr">
        <is>
          <t>K29</t>
        </is>
      </c>
      <c r="C377" t="n">
        <v>29</v>
      </c>
      <c r="D377" t="n">
        <v>11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n">
        <v/>
      </c>
      <c r="N377" t="inlineStr">
        <is>
          <t>00000000</t>
        </is>
      </c>
      <c r="O377" t="n">
        <v/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Income statement</t>
        </is>
      </c>
      <c r="B378" t="inlineStr">
        <is>
          <t>L29</t>
        </is>
      </c>
      <c r="C378" t="n">
        <v>29</v>
      </c>
      <c r="D378" t="n">
        <v>12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n">
        <v/>
      </c>
      <c r="N378" t="inlineStr">
        <is>
          <t>00000000</t>
        </is>
      </c>
      <c r="O378" t="n">
        <v/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Income statement</t>
        </is>
      </c>
      <c r="B379" t="inlineStr">
        <is>
          <t>M29</t>
        </is>
      </c>
      <c r="C379" t="n">
        <v>29</v>
      </c>
      <c r="D379" t="n">
        <v>13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n">
        <v/>
      </c>
      <c r="N379" t="inlineStr">
        <is>
          <t>00000000</t>
        </is>
      </c>
      <c r="O379" t="n">
        <v/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Income statement</t>
        </is>
      </c>
      <c r="B380" t="inlineStr">
        <is>
          <t>N29</t>
        </is>
      </c>
      <c r="C380" t="n">
        <v>29</v>
      </c>
      <c r="D380" t="n">
        <v>14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n">
        <v/>
      </c>
      <c r="N380" t="inlineStr">
        <is>
          <t>00000000</t>
        </is>
      </c>
      <c r="O380" t="n">
        <v/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Income statement</t>
        </is>
      </c>
      <c r="B381" t="inlineStr">
        <is>
          <t>O29</t>
        </is>
      </c>
      <c r="C381" t="n">
        <v>29</v>
      </c>
      <c r="D381" t="n">
        <v>15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n">
        <v/>
      </c>
      <c r="N381" t="inlineStr">
        <is>
          <t>00000000</t>
        </is>
      </c>
      <c r="O381" t="n">
        <v/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Income statement</t>
        </is>
      </c>
      <c r="B382" t="inlineStr">
        <is>
          <t>P29</t>
        </is>
      </c>
      <c r="C382" t="n">
        <v>29</v>
      </c>
      <c r="D382" t="n">
        <v>16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11</v>
      </c>
      <c r="M382" t="n">
        <v/>
      </c>
      <c r="N382" t="inlineStr">
        <is>
          <t>00000000</t>
        </is>
      </c>
      <c r="O382" t="n">
        <v/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Income statement</t>
        </is>
      </c>
      <c r="B383" t="inlineStr">
        <is>
          <t>A30</t>
        </is>
      </c>
      <c r="C383" t="n">
        <v>30</v>
      </c>
      <c r="D383" t="n">
        <v>1</v>
      </c>
      <c r="E383" t="inlineStr">
        <is>
          <t>Input</t>
        </is>
      </c>
      <c r="F383" t="n">
        <v/>
      </c>
      <c r="G383" t="inlineStr">
        <is>
          <t>Deferred tax credit / (charge)</t>
        </is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00000000</t>
        </is>
      </c>
      <c r="O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Income statement</t>
        </is>
      </c>
      <c r="B384" t="inlineStr">
        <is>
          <t>D30</t>
        </is>
      </c>
      <c r="C384" t="n">
        <v>30</v>
      </c>
      <c r="D384" t="n">
        <v>4</v>
      </c>
      <c r="E384" t="inlineStr">
        <is>
          <t>Input</t>
        </is>
      </c>
      <c r="F384" t="n">
        <v/>
      </c>
      <c r="G384" t="n">
        <v>-608.45</v>
      </c>
      <c r="H384" t="inlineStr"/>
      <c r="I384" t="inlineStr">
        <is>
          <t>#,##0</t>
        </is>
      </c>
      <c r="J384" t="b">
        <v>0</v>
      </c>
      <c r="K384" t="b">
        <v>0</v>
      </c>
      <c r="L384" t="n">
        <v>11</v>
      </c>
      <c r="M384" t="inlineStr">
        <is>
          <t>FF0B0280</t>
        </is>
      </c>
      <c r="N384" t="inlineStr">
        <is>
          <t>00000000</t>
        </is>
      </c>
      <c r="O384" t="n">
        <v/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Income statement</t>
        </is>
      </c>
      <c r="B385" t="inlineStr">
        <is>
          <t>E30</t>
        </is>
      </c>
      <c r="C385" t="n">
        <v>30</v>
      </c>
      <c r="D385" t="n">
        <v>5</v>
      </c>
      <c r="E385" t="inlineStr">
        <is>
          <t>Input</t>
        </is>
      </c>
      <c r="F385" t="n">
        <v/>
      </c>
      <c r="G385" t="n">
        <v>656.9</v>
      </c>
      <c r="H385" t="inlineStr"/>
      <c r="I385" t="inlineStr">
        <is>
          <t>#,##0</t>
        </is>
      </c>
      <c r="J385" t="b">
        <v>0</v>
      </c>
      <c r="K385" t="b">
        <v>0</v>
      </c>
      <c r="L385" t="n">
        <v>11</v>
      </c>
      <c r="M385" t="inlineStr">
        <is>
          <t>FF0B0280</t>
        </is>
      </c>
      <c r="N385" t="inlineStr">
        <is>
          <t>00000000</t>
        </is>
      </c>
      <c r="O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Income statement</t>
        </is>
      </c>
      <c r="B386" t="inlineStr">
        <is>
          <t>F30</t>
        </is>
      </c>
      <c r="C386" t="n">
        <v>30</v>
      </c>
      <c r="D386" t="n">
        <v>6</v>
      </c>
      <c r="E386" t="inlineStr">
        <is>
          <t>Input</t>
        </is>
      </c>
      <c r="F386" t="n">
        <v/>
      </c>
      <c r="G386" t="n">
        <v>-1202.25</v>
      </c>
      <c r="H386" t="inlineStr"/>
      <c r="I386" t="inlineStr">
        <is>
          <t>#,##0</t>
        </is>
      </c>
      <c r="J386" t="b">
        <v>0</v>
      </c>
      <c r="K386" t="b">
        <v>0</v>
      </c>
      <c r="L386" t="n">
        <v>11</v>
      </c>
      <c r="M386" t="inlineStr">
        <is>
          <t>FF0B0280</t>
        </is>
      </c>
      <c r="N386" t="inlineStr">
        <is>
          <t>00000000</t>
        </is>
      </c>
      <c r="O386" t="n">
        <v/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Income statement</t>
        </is>
      </c>
      <c r="B387" t="inlineStr">
        <is>
          <t>G30</t>
        </is>
      </c>
      <c r="C387" t="n">
        <v>30</v>
      </c>
      <c r="D387" t="n">
        <v>7</v>
      </c>
      <c r="E387" t="inlineStr">
        <is>
          <t>Input</t>
        </is>
      </c>
      <c r="F387" t="n">
        <v/>
      </c>
      <c r="G387" t="n">
        <v>14.3</v>
      </c>
      <c r="H387" t="inlineStr"/>
      <c r="I387" t="inlineStr">
        <is>
          <t>#,##0</t>
        </is>
      </c>
      <c r="J387" t="b">
        <v>0</v>
      </c>
      <c r="K387" t="b">
        <v>0</v>
      </c>
      <c r="L387" t="n">
        <v>11</v>
      </c>
      <c r="M387" t="inlineStr">
        <is>
          <t>FF0B0280</t>
        </is>
      </c>
      <c r="N387" t="inlineStr">
        <is>
          <t>00000000</t>
        </is>
      </c>
      <c r="O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Income statement</t>
        </is>
      </c>
      <c r="B388" t="inlineStr">
        <is>
          <t>H30</t>
        </is>
      </c>
      <c r="C388" t="n">
        <v>30</v>
      </c>
      <c r="D388" t="n">
        <v>8</v>
      </c>
      <c r="E388" t="inlineStr">
        <is>
          <t>Input</t>
        </is>
      </c>
      <c r="F388" t="n">
        <v/>
      </c>
      <c r="G388" t="n">
        <v>-3548.59</v>
      </c>
      <c r="H388" t="inlineStr"/>
      <c r="I388" t="inlineStr">
        <is>
          <t>#,##0</t>
        </is>
      </c>
      <c r="J388" t="b">
        <v>0</v>
      </c>
      <c r="K388" t="b">
        <v>0</v>
      </c>
      <c r="L388" t="n">
        <v>11</v>
      </c>
      <c r="M388" t="inlineStr">
        <is>
          <t>FF0B0280</t>
        </is>
      </c>
      <c r="N388" t="inlineStr">
        <is>
          <t>00000000</t>
        </is>
      </c>
      <c r="O388" t="n">
        <v/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Income statement</t>
        </is>
      </c>
      <c r="B389" t="inlineStr">
        <is>
          <t>I30</t>
        </is>
      </c>
      <c r="C389" t="n">
        <v>30</v>
      </c>
      <c r="D389" t="n">
        <v>9</v>
      </c>
      <c r="E389" t="inlineStr">
        <is>
          <t>Input</t>
        </is>
      </c>
      <c r="F389" t="n">
        <v/>
      </c>
      <c r="G389" t="n">
        <v>-1088.37</v>
      </c>
      <c r="H389" t="inlineStr"/>
      <c r="I389" t="inlineStr">
        <is>
          <t>#,##0</t>
        </is>
      </c>
      <c r="J389" t="b">
        <v>0</v>
      </c>
      <c r="K389" t="b">
        <v>0</v>
      </c>
      <c r="L389" t="n">
        <v>11</v>
      </c>
      <c r="M389" t="inlineStr">
        <is>
          <t>FF0B0280</t>
        </is>
      </c>
      <c r="N389" t="inlineStr">
        <is>
          <t>00000000</t>
        </is>
      </c>
      <c r="O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Income statement</t>
        </is>
      </c>
      <c r="B390" t="inlineStr">
        <is>
          <t>J30</t>
        </is>
      </c>
      <c r="C390" t="n">
        <v>30</v>
      </c>
      <c r="D390" t="n">
        <v>10</v>
      </c>
      <c r="E390" t="inlineStr">
        <is>
          <t>Input</t>
        </is>
      </c>
      <c r="F390" t="n">
        <v/>
      </c>
      <c r="G390" t="n">
        <v>-59.99</v>
      </c>
      <c r="H390" t="inlineStr"/>
      <c r="I390" t="inlineStr">
        <is>
          <t>#,##0</t>
        </is>
      </c>
      <c r="J390" t="b">
        <v>0</v>
      </c>
      <c r="K390" t="b">
        <v>0</v>
      </c>
      <c r="L390" t="n">
        <v>11</v>
      </c>
      <c r="M390" t="inlineStr">
        <is>
          <t>FF0B0280</t>
        </is>
      </c>
      <c r="N390" t="inlineStr">
        <is>
          <t>00000000</t>
        </is>
      </c>
      <c r="O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Income statement</t>
        </is>
      </c>
      <c r="B391" t="inlineStr">
        <is>
          <t>K30</t>
        </is>
      </c>
      <c r="C391" t="n">
        <v>30</v>
      </c>
      <c r="D391" t="n">
        <v>11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11</v>
      </c>
      <c r="M391" t="n">
        <v/>
      </c>
      <c r="N391" t="inlineStr">
        <is>
          <t>00000000</t>
        </is>
      </c>
      <c r="O391" t="n">
        <v/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Income statement</t>
        </is>
      </c>
      <c r="B392" t="inlineStr">
        <is>
          <t>L30</t>
        </is>
      </c>
      <c r="C392" t="n">
        <v>30</v>
      </c>
      <c r="D392" t="n">
        <v>12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11</v>
      </c>
      <c r="M392" t="n">
        <v/>
      </c>
      <c r="N392" t="inlineStr">
        <is>
          <t>00000000</t>
        </is>
      </c>
      <c r="O392" t="n">
        <v/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Income statement</t>
        </is>
      </c>
      <c r="B393" t="inlineStr">
        <is>
          <t>M30</t>
        </is>
      </c>
      <c r="C393" t="n">
        <v>30</v>
      </c>
      <c r="D393" t="n">
        <v>13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11</v>
      </c>
      <c r="M393" t="n">
        <v/>
      </c>
      <c r="N393" t="inlineStr">
        <is>
          <t>00000000</t>
        </is>
      </c>
      <c r="O393" t="n">
        <v/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Income statement</t>
        </is>
      </c>
      <c r="B394" t="inlineStr">
        <is>
          <t>N30</t>
        </is>
      </c>
      <c r="C394" t="n">
        <v>30</v>
      </c>
      <c r="D394" t="n">
        <v>14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11</v>
      </c>
      <c r="M394" t="n">
        <v/>
      </c>
      <c r="N394" t="inlineStr">
        <is>
          <t>00000000</t>
        </is>
      </c>
      <c r="O394" t="n">
        <v/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Income statement</t>
        </is>
      </c>
      <c r="B395" t="inlineStr">
        <is>
          <t>O30</t>
        </is>
      </c>
      <c r="C395" t="n">
        <v>30</v>
      </c>
      <c r="D395" t="n">
        <v>15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11</v>
      </c>
      <c r="M395" t="n">
        <v/>
      </c>
      <c r="N395" t="inlineStr">
        <is>
          <t>00000000</t>
        </is>
      </c>
      <c r="O395" t="n">
        <v/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Income statement</t>
        </is>
      </c>
      <c r="B396" t="inlineStr">
        <is>
          <t>P30</t>
        </is>
      </c>
      <c r="C396" t="n">
        <v>30</v>
      </c>
      <c r="D396" t="n">
        <v>16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n">
        <v/>
      </c>
      <c r="N396" t="inlineStr">
        <is>
          <t>00000000</t>
        </is>
      </c>
      <c r="O396" t="n">
        <v/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Income statement</t>
        </is>
      </c>
      <c r="B397" t="inlineStr">
        <is>
          <t>A31</t>
        </is>
      </c>
      <c r="C397" t="n">
        <v>31</v>
      </c>
      <c r="D397" t="n">
        <v>1</v>
      </c>
      <c r="E397" t="inlineStr">
        <is>
          <t>Input</t>
        </is>
      </c>
      <c r="F397" t="n">
        <v/>
      </c>
      <c r="G397" t="inlineStr">
        <is>
          <t>EAT</t>
        </is>
      </c>
      <c r="H397" t="inlineStr"/>
      <c r="I397" t="inlineStr">
        <is>
          <t>General</t>
        </is>
      </c>
      <c r="J397" t="b">
        <v>1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00000000</t>
        </is>
      </c>
      <c r="O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Income statement</t>
        </is>
      </c>
      <c r="B398" t="inlineStr">
        <is>
          <t>B31</t>
        </is>
      </c>
      <c r="C398" t="n">
        <v>31</v>
      </c>
      <c r="D398" t="n">
        <v>2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00000000</t>
        </is>
      </c>
      <c r="O398" t="n">
        <v/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Income statement</t>
        </is>
      </c>
      <c r="B399" t="inlineStr">
        <is>
          <t>C31</t>
        </is>
      </c>
      <c r="C399" t="n">
        <v>31</v>
      </c>
      <c r="D399" t="n">
        <v>3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00000000</t>
        </is>
      </c>
      <c r="O399" t="n">
        <v/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Income statement</t>
        </is>
      </c>
      <c r="B400" t="inlineStr">
        <is>
          <t>D31</t>
        </is>
      </c>
      <c r="C400" t="n">
        <v>31</v>
      </c>
      <c r="D400" t="n">
        <v>4</v>
      </c>
      <c r="E400" t="inlineStr">
        <is>
          <t>Calculation</t>
        </is>
      </c>
      <c r="F400" t="inlineStr">
        <is>
          <t>'=D25+D26</t>
        </is>
      </c>
      <c r="G400" t="n">
        <v>5794.650000000001</v>
      </c>
      <c r="H400" t="inlineStr"/>
      <c r="I400" t="inlineStr">
        <is>
          <t>0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00000000</t>
        </is>
      </c>
      <c r="O400" t="n">
        <v/>
      </c>
      <c r="R400" t="b">
        <v>1</v>
      </c>
      <c r="S400" t="inlineStr">
        <is>
          <t>G000082</t>
        </is>
      </c>
      <c r="T400" t="inlineStr">
        <is>
          <t>Horizontal</t>
        </is>
      </c>
      <c r="U400" t="n">
        <v>12</v>
      </c>
      <c r="V400" t="b">
        <v>1</v>
      </c>
      <c r="W400" t="inlineStr">
        <is>
          <t>Income statement!D31:O31</t>
        </is>
      </c>
      <c r="X400">
        <f>R[-6]C[0]+R[-5]C[0]</f>
        <v/>
      </c>
    </row>
    <row r="401">
      <c r="A401" t="inlineStr">
        <is>
          <t>Income statement</t>
        </is>
      </c>
      <c r="B401" t="inlineStr">
        <is>
          <t>E31</t>
        </is>
      </c>
      <c r="C401" t="n">
        <v>31</v>
      </c>
      <c r="D401" t="n">
        <v>5</v>
      </c>
      <c r="E401" t="inlineStr">
        <is>
          <t>Calculation</t>
        </is>
      </c>
      <c r="F401" t="inlineStr">
        <is>
          <t>'=E25+E26</t>
        </is>
      </c>
      <c r="G401" t="n">
        <v>1405.939999999992</v>
      </c>
      <c r="H401" t="inlineStr"/>
      <c r="I401" t="inlineStr">
        <is>
          <t>0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n">
        <v/>
      </c>
      <c r="R401" t="b">
        <v>1</v>
      </c>
      <c r="S401" t="inlineStr">
        <is>
          <t>G000082</t>
        </is>
      </c>
      <c r="T401" t="inlineStr">
        <is>
          <t>Horizontal</t>
        </is>
      </c>
      <c r="U401" t="n">
        <v>12</v>
      </c>
      <c r="V401" t="b">
        <v>1</v>
      </c>
      <c r="W401" t="inlineStr">
        <is>
          <t>Income statement!D31:O31</t>
        </is>
      </c>
      <c r="X401">
        <f>R[-6]C[0]+R[-5]C[0]</f>
        <v/>
      </c>
    </row>
    <row r="402">
      <c r="A402" t="inlineStr">
        <is>
          <t>Income statement</t>
        </is>
      </c>
      <c r="B402" t="inlineStr">
        <is>
          <t>F31</t>
        </is>
      </c>
      <c r="C402" t="n">
        <v>31</v>
      </c>
      <c r="D402" t="n">
        <v>6</v>
      </c>
      <c r="E402" t="inlineStr">
        <is>
          <t>Calculation</t>
        </is>
      </c>
      <c r="F402" t="inlineStr">
        <is>
          <t>'=F25+F26</t>
        </is>
      </c>
      <c r="G402" t="n">
        <v>7833.56999999999</v>
      </c>
      <c r="H402" t="inlineStr"/>
      <c r="I402" t="inlineStr">
        <is>
          <t>0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R402" t="b">
        <v>1</v>
      </c>
      <c r="S402" t="inlineStr">
        <is>
          <t>G000082</t>
        </is>
      </c>
      <c r="T402" t="inlineStr">
        <is>
          <t>Horizontal</t>
        </is>
      </c>
      <c r="U402" t="n">
        <v>12</v>
      </c>
      <c r="V402" t="b">
        <v>1</v>
      </c>
      <c r="W402" t="inlineStr">
        <is>
          <t>Income statement!D31:O31</t>
        </is>
      </c>
      <c r="X402">
        <f>R[-6]C[0]+R[-5]C[0]</f>
        <v/>
      </c>
    </row>
    <row r="403">
      <c r="A403" t="inlineStr">
        <is>
          <t>Income statement</t>
        </is>
      </c>
      <c r="B403" t="inlineStr">
        <is>
          <t>G31</t>
        </is>
      </c>
      <c r="C403" t="n">
        <v>31</v>
      </c>
      <c r="D403" t="n">
        <v>7</v>
      </c>
      <c r="E403" t="inlineStr">
        <is>
          <t>Calculation</t>
        </is>
      </c>
      <c r="F403" t="inlineStr">
        <is>
          <t>'=G25+G26</t>
        </is>
      </c>
      <c r="G403" t="n">
        <v>4733.269999999992</v>
      </c>
      <c r="H403" t="inlineStr"/>
      <c r="I403" t="inlineStr">
        <is>
          <t>0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R403" t="b">
        <v>1</v>
      </c>
      <c r="S403" t="inlineStr">
        <is>
          <t>G000082</t>
        </is>
      </c>
      <c r="T403" t="inlineStr">
        <is>
          <t>Horizontal</t>
        </is>
      </c>
      <c r="U403" t="n">
        <v>12</v>
      </c>
      <c r="V403" t="b">
        <v>1</v>
      </c>
      <c r="W403" t="inlineStr">
        <is>
          <t>Income statement!D31:O31</t>
        </is>
      </c>
      <c r="X403">
        <f>R[-6]C[0]+R[-5]C[0]</f>
        <v/>
      </c>
    </row>
    <row r="404">
      <c r="A404" t="inlineStr">
        <is>
          <t>Income statement</t>
        </is>
      </c>
      <c r="B404" t="inlineStr">
        <is>
          <t>H31</t>
        </is>
      </c>
      <c r="C404" t="n">
        <v>31</v>
      </c>
      <c r="D404" t="n">
        <v>8</v>
      </c>
      <c r="E404" t="inlineStr">
        <is>
          <t>Calculation</t>
        </is>
      </c>
      <c r="F404" t="inlineStr">
        <is>
          <t>'=H25+H26</t>
        </is>
      </c>
      <c r="G404" t="n">
        <v>13041.71999999996</v>
      </c>
      <c r="H404" t="inlineStr"/>
      <c r="I404" t="inlineStr">
        <is>
          <t>0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R404" t="b">
        <v>1</v>
      </c>
      <c r="S404" t="inlineStr">
        <is>
          <t>G000082</t>
        </is>
      </c>
      <c r="T404" t="inlineStr">
        <is>
          <t>Horizontal</t>
        </is>
      </c>
      <c r="U404" t="n">
        <v>12</v>
      </c>
      <c r="V404" t="b">
        <v>1</v>
      </c>
      <c r="W404" t="inlineStr">
        <is>
          <t>Income statement!D31:O31</t>
        </is>
      </c>
      <c r="X404">
        <f>R[-6]C[0]+R[-5]C[0]</f>
        <v/>
      </c>
    </row>
    <row r="405">
      <c r="A405" t="inlineStr">
        <is>
          <t>Income statement</t>
        </is>
      </c>
      <c r="B405" t="inlineStr">
        <is>
          <t>I31</t>
        </is>
      </c>
      <c r="C405" t="n">
        <v>31</v>
      </c>
      <c r="D405" t="n">
        <v>9</v>
      </c>
      <c r="E405" t="inlineStr">
        <is>
          <t>Calculation</t>
        </is>
      </c>
      <c r="F405" t="inlineStr">
        <is>
          <t>'=I25+I26</t>
        </is>
      </c>
      <c r="G405" t="n">
        <v>22073.93999999999</v>
      </c>
      <c r="H405" t="inlineStr"/>
      <c r="I405" t="inlineStr">
        <is>
          <t>0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n">
        <v/>
      </c>
      <c r="R405" t="b">
        <v>1</v>
      </c>
      <c r="S405" t="inlineStr">
        <is>
          <t>G000082</t>
        </is>
      </c>
      <c r="T405" t="inlineStr">
        <is>
          <t>Horizontal</t>
        </is>
      </c>
      <c r="U405" t="n">
        <v>12</v>
      </c>
      <c r="V405" t="b">
        <v>1</v>
      </c>
      <c r="W405" t="inlineStr">
        <is>
          <t>Income statement!D31:O31</t>
        </is>
      </c>
      <c r="X405">
        <f>R[-6]C[0]+R[-5]C[0]</f>
        <v/>
      </c>
    </row>
    <row r="406">
      <c r="A406" t="inlineStr">
        <is>
          <t>Income statement</t>
        </is>
      </c>
      <c r="B406" t="inlineStr">
        <is>
          <t>J31</t>
        </is>
      </c>
      <c r="C406" t="n">
        <v>31</v>
      </c>
      <c r="D406" t="n">
        <v>10</v>
      </c>
      <c r="E406" t="inlineStr">
        <is>
          <t>Calculation</t>
        </is>
      </c>
      <c r="F406" t="inlineStr">
        <is>
          <t>'=J25+J26</t>
        </is>
      </c>
      <c r="G406" t="n">
        <v>16591.47000000001</v>
      </c>
      <c r="H406" t="inlineStr"/>
      <c r="I406" t="inlineStr">
        <is>
          <t>0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n">
        <v/>
      </c>
      <c r="R406" t="b">
        <v>1</v>
      </c>
      <c r="S406" t="inlineStr">
        <is>
          <t>G000082</t>
        </is>
      </c>
      <c r="T406" t="inlineStr">
        <is>
          <t>Horizontal</t>
        </is>
      </c>
      <c r="U406" t="n">
        <v>12</v>
      </c>
      <c r="V406" t="b">
        <v>1</v>
      </c>
      <c r="W406" t="inlineStr">
        <is>
          <t>Income statement!D31:O31</t>
        </is>
      </c>
      <c r="X406">
        <f>R[-6]C[0]+R[-5]C[0]</f>
        <v/>
      </c>
    </row>
    <row r="407">
      <c r="A407" t="inlineStr">
        <is>
          <t>Income statement</t>
        </is>
      </c>
      <c r="B407" t="inlineStr">
        <is>
          <t>K31</t>
        </is>
      </c>
      <c r="C407" t="n">
        <v>31</v>
      </c>
      <c r="D407" t="n">
        <v>11</v>
      </c>
      <c r="E407" t="inlineStr">
        <is>
          <t>Calculation</t>
        </is>
      </c>
      <c r="F407" t="inlineStr">
        <is>
          <t>'=K25+K26</t>
        </is>
      </c>
      <c r="G407" t="n">
        <v>38709.39902212066</v>
      </c>
      <c r="H407" t="inlineStr"/>
      <c r="I407" t="inlineStr">
        <is>
          <t>0</t>
        </is>
      </c>
      <c r="J407" t="b">
        <v>1</v>
      </c>
      <c r="K407" t="b">
        <v>0</v>
      </c>
      <c r="L407" t="n">
        <v>11</v>
      </c>
      <c r="M407" t="n">
        <v/>
      </c>
      <c r="N407" t="inlineStr">
        <is>
          <t>00000000</t>
        </is>
      </c>
      <c r="O407" t="n">
        <v/>
      </c>
      <c r="R407" t="b">
        <v>1</v>
      </c>
      <c r="S407" t="inlineStr">
        <is>
          <t>G000082</t>
        </is>
      </c>
      <c r="T407" t="inlineStr">
        <is>
          <t>Horizontal</t>
        </is>
      </c>
      <c r="U407" t="n">
        <v>12</v>
      </c>
      <c r="V407" t="b">
        <v>1</v>
      </c>
      <c r="W407" t="inlineStr">
        <is>
          <t>Income statement!D31:O31</t>
        </is>
      </c>
      <c r="X407">
        <f>R[-6]C[0]+R[-5]C[0]</f>
        <v/>
      </c>
    </row>
    <row r="408">
      <c r="A408" t="inlineStr">
        <is>
          <t>Income statement</t>
        </is>
      </c>
      <c r="B408" t="inlineStr">
        <is>
          <t>L31</t>
        </is>
      </c>
      <c r="C408" t="n">
        <v>31</v>
      </c>
      <c r="D408" t="n">
        <v>12</v>
      </c>
      <c r="E408" t="inlineStr">
        <is>
          <t>Calculation</t>
        </is>
      </c>
      <c r="F408" t="inlineStr">
        <is>
          <t>'=L25+L26</t>
        </is>
      </c>
      <c r="G408" t="n">
        <v>43323.99202258969</v>
      </c>
      <c r="H408" t="inlineStr"/>
      <c r="I408" t="inlineStr">
        <is>
          <t>0</t>
        </is>
      </c>
      <c r="J408" t="b">
        <v>1</v>
      </c>
      <c r="K408" t="b">
        <v>0</v>
      </c>
      <c r="L408" t="n">
        <v>11</v>
      </c>
      <c r="M408" t="n">
        <v/>
      </c>
      <c r="N408" t="inlineStr">
        <is>
          <t>00000000</t>
        </is>
      </c>
      <c r="O408" t="n">
        <v/>
      </c>
      <c r="R408" t="b">
        <v>1</v>
      </c>
      <c r="S408" t="inlineStr">
        <is>
          <t>G000082</t>
        </is>
      </c>
      <c r="T408" t="inlineStr">
        <is>
          <t>Horizontal</t>
        </is>
      </c>
      <c r="U408" t="n">
        <v>12</v>
      </c>
      <c r="V408" t="b">
        <v>1</v>
      </c>
      <c r="W408" t="inlineStr">
        <is>
          <t>Income statement!D31:O31</t>
        </is>
      </c>
      <c r="X408">
        <f>R[-6]C[0]+R[-5]C[0]</f>
        <v/>
      </c>
    </row>
    <row r="409">
      <c r="A409" t="inlineStr">
        <is>
          <t>Income statement</t>
        </is>
      </c>
      <c r="B409" t="inlineStr">
        <is>
          <t>M31</t>
        </is>
      </c>
      <c r="C409" t="n">
        <v>31</v>
      </c>
      <c r="D409" t="n">
        <v>13</v>
      </c>
      <c r="E409" t="inlineStr">
        <is>
          <t>Calculation</t>
        </is>
      </c>
      <c r="F409" t="inlineStr">
        <is>
          <t>'=M25+M26</t>
        </is>
      </c>
      <c r="G409" t="n">
        <v>53290.64037055957</v>
      </c>
      <c r="H409" t="inlineStr"/>
      <c r="I409" t="inlineStr">
        <is>
          <t>0</t>
        </is>
      </c>
      <c r="J409" t="b">
        <v>1</v>
      </c>
      <c r="K409" t="b">
        <v>0</v>
      </c>
      <c r="L409" t="n">
        <v>11</v>
      </c>
      <c r="M409" t="n">
        <v/>
      </c>
      <c r="N409" t="inlineStr">
        <is>
          <t>00000000</t>
        </is>
      </c>
      <c r="O409" t="n">
        <v/>
      </c>
      <c r="R409" t="b">
        <v>1</v>
      </c>
      <c r="S409" t="inlineStr">
        <is>
          <t>G000082</t>
        </is>
      </c>
      <c r="T409" t="inlineStr">
        <is>
          <t>Horizontal</t>
        </is>
      </c>
      <c r="U409" t="n">
        <v>12</v>
      </c>
      <c r="V409" t="b">
        <v>1</v>
      </c>
      <c r="W409" t="inlineStr">
        <is>
          <t>Income statement!D31:O31</t>
        </is>
      </c>
      <c r="X409">
        <f>R[-6]C[0]+R[-5]C[0]</f>
        <v/>
      </c>
    </row>
    <row r="410">
      <c r="A410" t="inlineStr">
        <is>
          <t>Income statement</t>
        </is>
      </c>
      <c r="B410" t="inlineStr">
        <is>
          <t>N31</t>
        </is>
      </c>
      <c r="C410" t="n">
        <v>31</v>
      </c>
      <c r="D410" t="n">
        <v>14</v>
      </c>
      <c r="E410" t="inlineStr">
        <is>
          <t>Calculation</t>
        </is>
      </c>
      <c r="F410" t="inlineStr">
        <is>
          <t>'=N25+N26</t>
        </is>
      </c>
      <c r="G410" t="n">
        <v>63639.81624361384</v>
      </c>
      <c r="H410" t="inlineStr"/>
      <c r="I410" t="inlineStr">
        <is>
          <t>0</t>
        </is>
      </c>
      <c r="J410" t="b">
        <v>1</v>
      </c>
      <c r="K410" t="b">
        <v>0</v>
      </c>
      <c r="L410" t="n">
        <v>11</v>
      </c>
      <c r="M410" t="n">
        <v/>
      </c>
      <c r="N410" t="inlineStr">
        <is>
          <t>00000000</t>
        </is>
      </c>
      <c r="O410" t="n">
        <v/>
      </c>
      <c r="R410" t="b">
        <v>1</v>
      </c>
      <c r="S410" t="inlineStr">
        <is>
          <t>G000082</t>
        </is>
      </c>
      <c r="T410" t="inlineStr">
        <is>
          <t>Horizontal</t>
        </is>
      </c>
      <c r="U410" t="n">
        <v>12</v>
      </c>
      <c r="V410" t="b">
        <v>1</v>
      </c>
      <c r="W410" t="inlineStr">
        <is>
          <t>Income statement!D31:O31</t>
        </is>
      </c>
      <c r="X410">
        <f>R[-6]C[0]+R[-5]C[0]</f>
        <v/>
      </c>
    </row>
    <row r="411">
      <c r="A411" t="inlineStr">
        <is>
          <t>Income statement</t>
        </is>
      </c>
      <c r="B411" t="inlineStr">
        <is>
          <t>O31</t>
        </is>
      </c>
      <c r="C411" t="n">
        <v>31</v>
      </c>
      <c r="D411" t="n">
        <v>15</v>
      </c>
      <c r="E411" t="inlineStr">
        <is>
          <t>Calculation</t>
        </is>
      </c>
      <c r="F411" t="inlineStr">
        <is>
          <t>'=O25+O26</t>
        </is>
      </c>
      <c r="G411" t="n">
        <v>76597.11787955379</v>
      </c>
      <c r="H411" t="inlineStr"/>
      <c r="I411" t="inlineStr">
        <is>
          <t>0</t>
        </is>
      </c>
      <c r="J411" t="b">
        <v>1</v>
      </c>
      <c r="K411" t="b">
        <v>0</v>
      </c>
      <c r="L411" t="n">
        <v>11</v>
      </c>
      <c r="M411" t="n">
        <v/>
      </c>
      <c r="N411" t="inlineStr">
        <is>
          <t>00000000</t>
        </is>
      </c>
      <c r="O411" t="n">
        <v/>
      </c>
      <c r="R411" t="b">
        <v>1</v>
      </c>
      <c r="S411" t="inlineStr">
        <is>
          <t>G000082</t>
        </is>
      </c>
      <c r="T411" t="inlineStr">
        <is>
          <t>Horizontal</t>
        </is>
      </c>
      <c r="U411" t="n">
        <v>12</v>
      </c>
      <c r="V411" t="b">
        <v>1</v>
      </c>
      <c r="W411" t="inlineStr">
        <is>
          <t>Income statement!D31:O31</t>
        </is>
      </c>
      <c r="X411">
        <f>R[-6]C[0]+R[-5]C[0]</f>
        <v/>
      </c>
    </row>
    <row r="412">
      <c r="A412" t="inlineStr">
        <is>
          <t>Income statement</t>
        </is>
      </c>
      <c r="B412" t="inlineStr">
        <is>
          <t>P31</t>
        </is>
      </c>
      <c r="C412" t="n">
        <v>31</v>
      </c>
      <c r="D412" t="n">
        <v>16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n">
        <v/>
      </c>
      <c r="N412" t="inlineStr">
        <is>
          <t>00000000</t>
        </is>
      </c>
      <c r="O412" t="n">
        <v/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Income statement</t>
        </is>
      </c>
      <c r="B413" t="inlineStr">
        <is>
          <t>D32</t>
        </is>
      </c>
      <c r="C413" t="n">
        <v>32</v>
      </c>
      <c r="D413" t="n">
        <v>4</v>
      </c>
      <c r="E413" t="inlineStr">
        <is>
          <t>Output</t>
        </is>
      </c>
      <c r="F413" t="inlineStr">
        <is>
          <t>'=D28/D25</t>
        </is>
      </c>
      <c r="G413" t="n">
        <v>-0.1897236796082546</v>
      </c>
      <c r="H413" t="inlineStr"/>
      <c r="I413" t="inlineStr">
        <is>
          <t>0%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00000000</t>
        </is>
      </c>
      <c r="O413" t="n">
        <v/>
      </c>
      <c r="R413" t="b">
        <v>1</v>
      </c>
      <c r="S413" t="inlineStr">
        <is>
          <t>G000083</t>
        </is>
      </c>
      <c r="T413" t="inlineStr">
        <is>
          <t>Horizontal</t>
        </is>
      </c>
      <c r="U413" t="n">
        <v>7</v>
      </c>
      <c r="V413" t="b">
        <v>1</v>
      </c>
      <c r="W413" t="inlineStr">
        <is>
          <t>Income statement!D32:J32</t>
        </is>
      </c>
      <c r="X413">
        <f>R[-4]C[0]/R[-7]C[0]</f>
        <v/>
      </c>
    </row>
    <row r="414">
      <c r="A414" t="inlineStr">
        <is>
          <t>Income statement</t>
        </is>
      </c>
      <c r="B414" t="inlineStr">
        <is>
          <t>E32</t>
        </is>
      </c>
      <c r="C414" t="n">
        <v>32</v>
      </c>
      <c r="D414" t="n">
        <v>5</v>
      </c>
      <c r="E414" t="inlineStr">
        <is>
          <t>Output</t>
        </is>
      </c>
      <c r="F414" t="inlineStr">
        <is>
          <t>'=E28/E25</t>
        </is>
      </c>
      <c r="G414" t="n">
        <v>-0.1039997863932512</v>
      </c>
      <c r="H414" t="inlineStr"/>
      <c r="I414" t="inlineStr">
        <is>
          <t>0%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00000000</t>
        </is>
      </c>
      <c r="O414" t="n">
        <v/>
      </c>
      <c r="R414" t="b">
        <v>1</v>
      </c>
      <c r="S414" t="inlineStr">
        <is>
          <t>G000083</t>
        </is>
      </c>
      <c r="T414" t="inlineStr">
        <is>
          <t>Horizontal</t>
        </is>
      </c>
      <c r="U414" t="n">
        <v>7</v>
      </c>
      <c r="V414" t="b">
        <v>1</v>
      </c>
      <c r="W414" t="inlineStr">
        <is>
          <t>Income statement!D32:J32</t>
        </is>
      </c>
      <c r="X414">
        <f>R[-4]C[0]/R[-7]C[0]</f>
        <v/>
      </c>
    </row>
    <row r="415">
      <c r="A415" t="inlineStr">
        <is>
          <t>Income statement</t>
        </is>
      </c>
      <c r="B415" t="inlineStr">
        <is>
          <t>F32</t>
        </is>
      </c>
      <c r="C415" t="n">
        <v>32</v>
      </c>
      <c r="D415" t="n">
        <v>6</v>
      </c>
      <c r="E415" t="inlineStr">
        <is>
          <t>Output</t>
        </is>
      </c>
      <c r="F415" t="inlineStr">
        <is>
          <t>'=F28/F25</t>
        </is>
      </c>
      <c r="G415" t="n">
        <v>-0.1948966796918523</v>
      </c>
      <c r="H415" t="inlineStr"/>
      <c r="I415" t="inlineStr">
        <is>
          <t>0%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00000000</t>
        </is>
      </c>
      <c r="O415" t="n">
        <v/>
      </c>
      <c r="R415" t="b">
        <v>1</v>
      </c>
      <c r="S415" t="inlineStr">
        <is>
          <t>G000083</t>
        </is>
      </c>
      <c r="T415" t="inlineStr">
        <is>
          <t>Horizontal</t>
        </is>
      </c>
      <c r="U415" t="n">
        <v>7</v>
      </c>
      <c r="V415" t="b">
        <v>1</v>
      </c>
      <c r="W415" t="inlineStr">
        <is>
          <t>Income statement!D32:J32</t>
        </is>
      </c>
      <c r="X415">
        <f>R[-4]C[0]/R[-7]C[0]</f>
        <v/>
      </c>
    </row>
    <row r="416">
      <c r="A416" t="inlineStr">
        <is>
          <t>Income statement</t>
        </is>
      </c>
      <c r="B416" t="inlineStr">
        <is>
          <t>G32</t>
        </is>
      </c>
      <c r="C416" t="n">
        <v>32</v>
      </c>
      <c r="D416" t="n">
        <v>7</v>
      </c>
      <c r="E416" t="inlineStr">
        <is>
          <t>Output</t>
        </is>
      </c>
      <c r="F416" t="inlineStr">
        <is>
          <t>'=G28/G25</t>
        </is>
      </c>
      <c r="G416" t="n">
        <v>-0.1963034306215131</v>
      </c>
      <c r="H416" t="inlineStr"/>
      <c r="I416" t="inlineStr">
        <is>
          <t>0%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00000000</t>
        </is>
      </c>
      <c r="O416" t="n">
        <v/>
      </c>
      <c r="R416" t="b">
        <v>1</v>
      </c>
      <c r="S416" t="inlineStr">
        <is>
          <t>G000083</t>
        </is>
      </c>
      <c r="T416" t="inlineStr">
        <is>
          <t>Horizontal</t>
        </is>
      </c>
      <c r="U416" t="n">
        <v>7</v>
      </c>
      <c r="V416" t="b">
        <v>1</v>
      </c>
      <c r="W416" t="inlineStr">
        <is>
          <t>Income statement!D32:J32</t>
        </is>
      </c>
      <c r="X416">
        <f>R[-4]C[0]/R[-7]C[0]</f>
        <v/>
      </c>
    </row>
    <row r="417">
      <c r="A417" t="inlineStr">
        <is>
          <t>Income statement</t>
        </is>
      </c>
      <c r="B417" t="inlineStr">
        <is>
          <t>H32</t>
        </is>
      </c>
      <c r="C417" t="n">
        <v>32</v>
      </c>
      <c r="D417" t="n">
        <v>8</v>
      </c>
      <c r="E417" t="inlineStr">
        <is>
          <t>Output</t>
        </is>
      </c>
      <c r="F417" t="inlineStr">
        <is>
          <t>'=H28/H25</t>
        </is>
      </c>
      <c r="G417" t="n">
        <v>-0.2106537530266348</v>
      </c>
      <c r="H417" t="inlineStr"/>
      <c r="I417" t="inlineStr">
        <is>
          <t>0%</t>
        </is>
      </c>
      <c r="J417" t="b">
        <v>0</v>
      </c>
      <c r="K417" t="b">
        <v>0</v>
      </c>
      <c r="L417" t="n">
        <v>11</v>
      </c>
      <c r="M417" t="inlineStr">
        <is>
          <t>Values must be of type &lt;class 'str'&gt;</t>
        </is>
      </c>
      <c r="N417" t="inlineStr">
        <is>
          <t>00000000</t>
        </is>
      </c>
      <c r="O417" t="n">
        <v/>
      </c>
      <c r="R417" t="b">
        <v>1</v>
      </c>
      <c r="S417" t="inlineStr">
        <is>
          <t>G000083</t>
        </is>
      </c>
      <c r="T417" t="inlineStr">
        <is>
          <t>Horizontal</t>
        </is>
      </c>
      <c r="U417" t="n">
        <v>7</v>
      </c>
      <c r="V417" t="b">
        <v>1</v>
      </c>
      <c r="W417" t="inlineStr">
        <is>
          <t>Income statement!D32:J32</t>
        </is>
      </c>
      <c r="X417">
        <f>R[-4]C[0]/R[-7]C[0]</f>
        <v/>
      </c>
    </row>
    <row r="418">
      <c r="A418" t="inlineStr">
        <is>
          <t>Income statement</t>
        </is>
      </c>
      <c r="B418" t="inlineStr">
        <is>
          <t>I32</t>
        </is>
      </c>
      <c r="C418" t="n">
        <v>32</v>
      </c>
      <c r="D418" t="n">
        <v>9</v>
      </c>
      <c r="E418" t="inlineStr">
        <is>
          <t>Output</t>
        </is>
      </c>
      <c r="F418" t="inlineStr">
        <is>
          <t>'=I28/I25</t>
        </is>
      </c>
      <c r="G418" t="n">
        <v>-0.2581851923858676</v>
      </c>
      <c r="H418" t="inlineStr"/>
      <c r="I418" t="inlineStr">
        <is>
          <t>0%</t>
        </is>
      </c>
      <c r="J418" t="b">
        <v>0</v>
      </c>
      <c r="K418" t="b">
        <v>0</v>
      </c>
      <c r="L418" t="n">
        <v>11</v>
      </c>
      <c r="M418" t="inlineStr">
        <is>
          <t>Values must be of type &lt;class 'str'&gt;</t>
        </is>
      </c>
      <c r="N418" t="inlineStr">
        <is>
          <t>00000000</t>
        </is>
      </c>
      <c r="O418" t="n">
        <v/>
      </c>
      <c r="R418" t="b">
        <v>1</v>
      </c>
      <c r="S418" t="inlineStr">
        <is>
          <t>G000083</t>
        </is>
      </c>
      <c r="T418" t="inlineStr">
        <is>
          <t>Horizontal</t>
        </is>
      </c>
      <c r="U418" t="n">
        <v>7</v>
      </c>
      <c r="V418" t="b">
        <v>1</v>
      </c>
      <c r="W418" t="inlineStr">
        <is>
          <t>Income statement!D32:J32</t>
        </is>
      </c>
      <c r="X418">
        <f>R[-4]C[0]/R[-7]C[0]</f>
        <v/>
      </c>
    </row>
    <row r="419">
      <c r="A419" t="inlineStr">
        <is>
          <t>Income statement</t>
        </is>
      </c>
      <c r="B419" t="inlineStr">
        <is>
          <t>J32</t>
        </is>
      </c>
      <c r="C419" t="n">
        <v>32</v>
      </c>
      <c r="D419" t="n">
        <v>10</v>
      </c>
      <c r="E419" t="inlineStr">
        <is>
          <t>Output</t>
        </is>
      </c>
      <c r="F419" t="inlineStr">
        <is>
          <t>'=J28/J25</t>
        </is>
      </c>
      <c r="G419" t="n">
        <v>-0.2290496801052464</v>
      </c>
      <c r="H419" t="inlineStr"/>
      <c r="I419" t="inlineStr">
        <is>
          <t>0%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00000000</t>
        </is>
      </c>
      <c r="O419" t="n">
        <v/>
      </c>
      <c r="R419" t="b">
        <v>1</v>
      </c>
      <c r="S419" t="inlineStr">
        <is>
          <t>G000083</t>
        </is>
      </c>
      <c r="T419" t="inlineStr">
        <is>
          <t>Horizontal</t>
        </is>
      </c>
      <c r="U419" t="n">
        <v>7</v>
      </c>
      <c r="V419" t="b">
        <v>1</v>
      </c>
      <c r="W419" t="inlineStr">
        <is>
          <t>Income statement!D32:J32</t>
        </is>
      </c>
      <c r="X419">
        <f>R[-4]C[0]/R[-7]C[0]</f>
        <v/>
      </c>
    </row>
    <row r="420">
      <c r="A420" t="inlineStr">
        <is>
          <t>Income statement</t>
        </is>
      </c>
      <c r="B420" t="inlineStr">
        <is>
          <t>K32</t>
        </is>
      </c>
      <c r="C420" t="n">
        <v>32</v>
      </c>
      <c r="D420" t="n">
        <v>11</v>
      </c>
      <c r="E420" t="inlineStr">
        <is>
          <t>Input</t>
        </is>
      </c>
      <c r="F420" t="n">
        <v/>
      </c>
      <c r="H420" t="inlineStr"/>
      <c r="I420" t="inlineStr">
        <is>
          <t>0%</t>
        </is>
      </c>
      <c r="J420" t="b">
        <v>0</v>
      </c>
      <c r="K420" t="b">
        <v>0</v>
      </c>
      <c r="L420" t="n">
        <v>11</v>
      </c>
      <c r="M420" t="n">
        <v/>
      </c>
      <c r="N420" t="inlineStr">
        <is>
          <t>00000000</t>
        </is>
      </c>
      <c r="O420" t="n">
        <v/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Income statement</t>
        </is>
      </c>
      <c r="B421" t="inlineStr">
        <is>
          <t>L32</t>
        </is>
      </c>
      <c r="C421" t="n">
        <v>32</v>
      </c>
      <c r="D421" t="n">
        <v>12</v>
      </c>
      <c r="E421" t="inlineStr">
        <is>
          <t>Input</t>
        </is>
      </c>
      <c r="F421" t="n">
        <v/>
      </c>
      <c r="H421" t="inlineStr"/>
      <c r="I421" t="inlineStr">
        <is>
          <t>0%</t>
        </is>
      </c>
      <c r="J421" t="b">
        <v>0</v>
      </c>
      <c r="K421" t="b">
        <v>0</v>
      </c>
      <c r="L421" t="n">
        <v>11</v>
      </c>
      <c r="M421" t="n">
        <v/>
      </c>
      <c r="N421" t="inlineStr">
        <is>
          <t>00000000</t>
        </is>
      </c>
      <c r="O421" t="n">
        <v/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</row>
    <row r="422">
      <c r="A422" t="inlineStr">
        <is>
          <t>Income statement</t>
        </is>
      </c>
      <c r="B422" t="inlineStr">
        <is>
          <t>M32</t>
        </is>
      </c>
      <c r="C422" t="n">
        <v>32</v>
      </c>
      <c r="D422" t="n">
        <v>13</v>
      </c>
      <c r="E422" t="inlineStr">
        <is>
          <t>Input</t>
        </is>
      </c>
      <c r="F422" t="n">
        <v/>
      </c>
      <c r="H422" t="inlineStr"/>
      <c r="I422" t="inlineStr">
        <is>
          <t>0%</t>
        </is>
      </c>
      <c r="J422" t="b">
        <v>0</v>
      </c>
      <c r="K422" t="b">
        <v>0</v>
      </c>
      <c r="L422" t="n">
        <v>11</v>
      </c>
      <c r="M422" t="n">
        <v/>
      </c>
      <c r="N422" t="inlineStr">
        <is>
          <t>00000000</t>
        </is>
      </c>
      <c r="O422" t="n">
        <v/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</row>
    <row r="423">
      <c r="A423" t="inlineStr">
        <is>
          <t>Income statement</t>
        </is>
      </c>
      <c r="B423" t="inlineStr">
        <is>
          <t>N32</t>
        </is>
      </c>
      <c r="C423" t="n">
        <v>32</v>
      </c>
      <c r="D423" t="n">
        <v>14</v>
      </c>
      <c r="E423" t="inlineStr">
        <is>
          <t>Input</t>
        </is>
      </c>
      <c r="F423" t="n">
        <v/>
      </c>
      <c r="H423" t="inlineStr"/>
      <c r="I423" t="inlineStr">
        <is>
          <t>0%</t>
        </is>
      </c>
      <c r="J423" t="b">
        <v>0</v>
      </c>
      <c r="K423" t="b">
        <v>0</v>
      </c>
      <c r="L423" t="n">
        <v>11</v>
      </c>
      <c r="M423" t="n">
        <v/>
      </c>
      <c r="N423" t="inlineStr">
        <is>
          <t>00000000</t>
        </is>
      </c>
      <c r="O423" t="n">
        <v/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</row>
    <row r="424">
      <c r="A424" t="inlineStr">
        <is>
          <t>Income statement</t>
        </is>
      </c>
      <c r="B424" t="inlineStr">
        <is>
          <t>O32</t>
        </is>
      </c>
      <c r="C424" t="n">
        <v>32</v>
      </c>
      <c r="D424" t="n">
        <v>15</v>
      </c>
      <c r="E424" t="inlineStr">
        <is>
          <t>Input</t>
        </is>
      </c>
      <c r="F424" t="n">
        <v/>
      </c>
      <c r="H424" t="inlineStr"/>
      <c r="I424" t="inlineStr">
        <is>
          <t>0%</t>
        </is>
      </c>
      <c r="J424" t="b">
        <v>0</v>
      </c>
      <c r="K424" t="b">
        <v>0</v>
      </c>
      <c r="L424" t="n">
        <v>11</v>
      </c>
      <c r="M424" t="n">
        <v/>
      </c>
      <c r="N424" t="inlineStr">
        <is>
          <t>00000000</t>
        </is>
      </c>
      <c r="O424" t="n">
        <v/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</row>
    <row r="425">
      <c r="A425" t="inlineStr">
        <is>
          <t>Income statement</t>
        </is>
      </c>
      <c r="B425" t="inlineStr">
        <is>
          <t>P32</t>
        </is>
      </c>
      <c r="C425" t="n">
        <v>32</v>
      </c>
      <c r="D425" t="n">
        <v>16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n">
        <v/>
      </c>
      <c r="N425" t="inlineStr">
        <is>
          <t>00000000</t>
        </is>
      </c>
      <c r="O425" t="n">
        <v/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</row>
    <row r="426">
      <c r="A426" t="inlineStr">
        <is>
          <t>Income statement</t>
        </is>
      </c>
      <c r="B426" t="inlineStr">
        <is>
          <t>A33</t>
        </is>
      </c>
      <c r="C426" t="n">
        <v>33</v>
      </c>
      <c r="D426" t="n">
        <v>1</v>
      </c>
      <c r="E426" t="inlineStr">
        <is>
          <t>Input</t>
        </is>
      </c>
      <c r="F426" t="n">
        <v/>
      </c>
      <c r="G426" t="inlineStr">
        <is>
          <t>Earnings per equity share of face value of Rs. 1000 each</t>
        </is>
      </c>
      <c r="H426" t="inlineStr"/>
      <c r="I426" t="inlineStr">
        <is>
          <t>General</t>
        </is>
      </c>
      <c r="J426" t="b">
        <v>1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n">
        <v/>
      </c>
      <c r="Q426" t="b">
        <v>1</v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</row>
    <row r="427">
      <c r="A427" t="inlineStr">
        <is>
          <t>Income statement</t>
        </is>
      </c>
      <c r="B427" t="inlineStr">
        <is>
          <t>D33</t>
        </is>
      </c>
      <c r="C427" t="n">
        <v>33</v>
      </c>
      <c r="D427" t="n">
        <v>4</v>
      </c>
      <c r="E427" t="inlineStr">
        <is>
          <t>Input</t>
        </is>
      </c>
      <c r="F427" t="n">
        <v/>
      </c>
      <c r="H427" t="inlineStr"/>
      <c r="I427" t="inlineStr">
        <is>
          <t>0.00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n">
        <v/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</row>
    <row r="428">
      <c r="A428" t="inlineStr">
        <is>
          <t>Income statement</t>
        </is>
      </c>
      <c r="B428" t="inlineStr">
        <is>
          <t>E33</t>
        </is>
      </c>
      <c r="C428" t="n">
        <v>33</v>
      </c>
      <c r="D428" t="n">
        <v>5</v>
      </c>
      <c r="E428" t="inlineStr">
        <is>
          <t>Input</t>
        </is>
      </c>
      <c r="F428" t="n">
        <v/>
      </c>
      <c r="H428" t="inlineStr"/>
      <c r="I428" t="inlineStr">
        <is>
          <t>0.00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n">
        <v/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</row>
    <row r="429">
      <c r="A429" t="inlineStr">
        <is>
          <t>Income statement</t>
        </is>
      </c>
      <c r="B429" t="inlineStr">
        <is>
          <t>F33</t>
        </is>
      </c>
      <c r="C429" t="n">
        <v>33</v>
      </c>
      <c r="D429" t="n">
        <v>6</v>
      </c>
      <c r="E429" t="inlineStr">
        <is>
          <t>Input</t>
        </is>
      </c>
      <c r="F429" t="n">
        <v/>
      </c>
      <c r="H429" t="inlineStr"/>
      <c r="I429" t="inlineStr">
        <is>
          <t>0.00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00000000</t>
        </is>
      </c>
      <c r="O429" t="n">
        <v/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Income statement</t>
        </is>
      </c>
      <c r="B430" t="inlineStr">
        <is>
          <t>G33</t>
        </is>
      </c>
      <c r="C430" t="n">
        <v>33</v>
      </c>
      <c r="D430" t="n">
        <v>7</v>
      </c>
      <c r="E430" t="inlineStr">
        <is>
          <t>Input</t>
        </is>
      </c>
      <c r="F430" t="n">
        <v/>
      </c>
      <c r="H430" t="inlineStr"/>
      <c r="I430" t="inlineStr">
        <is>
          <t>0.00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00000000</t>
        </is>
      </c>
      <c r="O430" t="n">
        <v/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Income statement</t>
        </is>
      </c>
      <c r="B431" t="inlineStr">
        <is>
          <t>H33</t>
        </is>
      </c>
      <c r="C431" t="n">
        <v>33</v>
      </c>
      <c r="D431" t="n">
        <v>8</v>
      </c>
      <c r="E431" t="inlineStr">
        <is>
          <t>Input</t>
        </is>
      </c>
      <c r="F431" t="n">
        <v/>
      </c>
      <c r="H431" t="inlineStr"/>
      <c r="I431" t="inlineStr">
        <is>
          <t>0.00</t>
        </is>
      </c>
      <c r="J431" t="b">
        <v>0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00000000</t>
        </is>
      </c>
      <c r="O431" t="n">
        <v/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Income statement</t>
        </is>
      </c>
      <c r="B432" t="inlineStr">
        <is>
          <t>I33</t>
        </is>
      </c>
      <c r="C432" t="n">
        <v>33</v>
      </c>
      <c r="D432" t="n">
        <v>9</v>
      </c>
      <c r="E432" t="inlineStr">
        <is>
          <t>Input</t>
        </is>
      </c>
      <c r="F432" t="n">
        <v/>
      </c>
      <c r="H432" t="inlineStr"/>
      <c r="I432" t="inlineStr">
        <is>
          <t>0.00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n">
        <v/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Income statement</t>
        </is>
      </c>
      <c r="B433" t="inlineStr">
        <is>
          <t>J33</t>
        </is>
      </c>
      <c r="C433" t="n">
        <v>33</v>
      </c>
      <c r="D433" t="n">
        <v>10</v>
      </c>
      <c r="E433" t="inlineStr">
        <is>
          <t>Input</t>
        </is>
      </c>
      <c r="F433" t="n">
        <v/>
      </c>
      <c r="H433" t="inlineStr"/>
      <c r="I433" t="inlineStr">
        <is>
          <t>0.00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00000000</t>
        </is>
      </c>
      <c r="O433" t="n">
        <v/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Income statement</t>
        </is>
      </c>
      <c r="B434" t="inlineStr">
        <is>
          <t>A34</t>
        </is>
      </c>
      <c r="C434" t="n">
        <v>34</v>
      </c>
      <c r="D434" t="n">
        <v>1</v>
      </c>
      <c r="E434" t="inlineStr">
        <is>
          <t>Input</t>
        </is>
      </c>
      <c r="F434" t="n">
        <v/>
      </c>
      <c r="G434" t="inlineStr">
        <is>
          <t>Basic (Rs.)</t>
        </is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n">
        <v/>
      </c>
      <c r="R434" t="b">
        <v>1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</row>
    <row r="435">
      <c r="A435" t="inlineStr">
        <is>
          <t>Income statement</t>
        </is>
      </c>
      <c r="B435" t="inlineStr">
        <is>
          <t>D34</t>
        </is>
      </c>
      <c r="C435" t="n">
        <v>34</v>
      </c>
      <c r="D435" t="n">
        <v>4</v>
      </c>
      <c r="E435" t="inlineStr">
        <is>
          <t>Input</t>
        </is>
      </c>
      <c r="F435" t="n">
        <v/>
      </c>
      <c r="G435" t="n">
        <v>18875</v>
      </c>
      <c r="H435" t="inlineStr"/>
      <c r="I435" t="inlineStr">
        <is>
          <t>#,##0</t>
        </is>
      </c>
      <c r="J435" t="b">
        <v>0</v>
      </c>
      <c r="K435" t="b">
        <v>0</v>
      </c>
      <c r="L435" t="n">
        <v>11</v>
      </c>
      <c r="M435" t="inlineStr">
        <is>
          <t>FF0B0280</t>
        </is>
      </c>
      <c r="N435" t="inlineStr">
        <is>
          <t>00000000</t>
        </is>
      </c>
      <c r="O435" t="n">
        <v/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</row>
    <row r="436">
      <c r="A436" t="inlineStr">
        <is>
          <t>Income statement</t>
        </is>
      </c>
      <c r="B436" t="inlineStr">
        <is>
          <t>E34</t>
        </is>
      </c>
      <c r="C436" t="n">
        <v>34</v>
      </c>
      <c r="D436" t="n">
        <v>5</v>
      </c>
      <c r="E436" t="inlineStr">
        <is>
          <t>Input</t>
        </is>
      </c>
      <c r="F436" t="n">
        <v/>
      </c>
      <c r="G436" t="n">
        <v>4580</v>
      </c>
      <c r="H436" t="inlineStr"/>
      <c r="I436" t="inlineStr">
        <is>
          <t>#,##0</t>
        </is>
      </c>
      <c r="J436" t="b">
        <v>0</v>
      </c>
      <c r="K436" t="b">
        <v>0</v>
      </c>
      <c r="L436" t="n">
        <v>11</v>
      </c>
      <c r="M436" t="inlineStr">
        <is>
          <t>FF0B0280</t>
        </is>
      </c>
      <c r="N436" t="inlineStr">
        <is>
          <t>00000000</t>
        </is>
      </c>
      <c r="O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</row>
    <row r="437">
      <c r="A437" t="inlineStr">
        <is>
          <t>Income statement</t>
        </is>
      </c>
      <c r="B437" t="inlineStr">
        <is>
          <t>F34</t>
        </is>
      </c>
      <c r="C437" t="n">
        <v>34</v>
      </c>
      <c r="D437" t="n">
        <v>6</v>
      </c>
      <c r="E437" t="inlineStr">
        <is>
          <t>Input</t>
        </is>
      </c>
      <c r="F437" t="n">
        <v/>
      </c>
      <c r="G437" t="n">
        <v>25517</v>
      </c>
      <c r="H437" t="inlineStr"/>
      <c r="I437" t="inlineStr">
        <is>
          <t>#,##0</t>
        </is>
      </c>
      <c r="J437" t="b">
        <v>0</v>
      </c>
      <c r="K437" t="b">
        <v>0</v>
      </c>
      <c r="L437" t="n">
        <v>11</v>
      </c>
      <c r="M437" t="inlineStr">
        <is>
          <t>FF0B0280</t>
        </is>
      </c>
      <c r="N437" t="inlineStr">
        <is>
          <t>00000000</t>
        </is>
      </c>
      <c r="O437" t="n">
        <v/>
      </c>
      <c r="R437" t="b">
        <v>1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</row>
    <row r="438">
      <c r="A438" t="inlineStr">
        <is>
          <t>Income statement</t>
        </is>
      </c>
      <c r="B438" t="inlineStr">
        <is>
          <t>G34</t>
        </is>
      </c>
      <c r="C438" t="n">
        <v>34</v>
      </c>
      <c r="D438" t="n">
        <v>7</v>
      </c>
      <c r="E438" t="inlineStr">
        <is>
          <t>Input</t>
        </is>
      </c>
      <c r="F438" t="n">
        <v/>
      </c>
      <c r="G438" t="n">
        <v>15418</v>
      </c>
      <c r="H438" t="inlineStr"/>
      <c r="I438" t="inlineStr">
        <is>
          <t>#,##0</t>
        </is>
      </c>
      <c r="J438" t="b">
        <v>0</v>
      </c>
      <c r="K438" t="b">
        <v>0</v>
      </c>
      <c r="L438" t="n">
        <v>11</v>
      </c>
      <c r="M438" t="inlineStr">
        <is>
          <t>FF0B0280</t>
        </is>
      </c>
      <c r="N438" t="inlineStr">
        <is>
          <t>00000000</t>
        </is>
      </c>
      <c r="O438" t="n">
        <v/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Income statement</t>
        </is>
      </c>
      <c r="B439" t="inlineStr">
        <is>
          <t>H34</t>
        </is>
      </c>
      <c r="C439" t="n">
        <v>34</v>
      </c>
      <c r="D439" t="n">
        <v>8</v>
      </c>
      <c r="E439" t="inlineStr">
        <is>
          <t>Input</t>
        </is>
      </c>
      <c r="F439" t="n">
        <v/>
      </c>
      <c r="G439" t="n">
        <v>42.48</v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11</v>
      </c>
      <c r="M439" t="inlineStr">
        <is>
          <t>FF0B0280</t>
        </is>
      </c>
      <c r="N439" t="inlineStr">
        <is>
          <t>00000000</t>
        </is>
      </c>
      <c r="O439" t="n">
        <v/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</row>
    <row r="440">
      <c r="A440" t="inlineStr">
        <is>
          <t>Income statement</t>
        </is>
      </c>
      <c r="B440" t="inlineStr">
        <is>
          <t>I34</t>
        </is>
      </c>
      <c r="C440" t="n">
        <v>34</v>
      </c>
      <c r="D440" t="n">
        <v>9</v>
      </c>
      <c r="E440" t="inlineStr">
        <is>
          <t>Input</t>
        </is>
      </c>
      <c r="F440" t="n">
        <v/>
      </c>
      <c r="G440" t="n">
        <v>58.17</v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11</v>
      </c>
      <c r="M440" t="inlineStr">
        <is>
          <t>FF0B0280</t>
        </is>
      </c>
      <c r="N440" t="inlineStr">
        <is>
          <t>00000000</t>
        </is>
      </c>
      <c r="O440" t="n">
        <v/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Income statement</t>
        </is>
      </c>
      <c r="B441" t="inlineStr">
        <is>
          <t>J34</t>
        </is>
      </c>
      <c r="C441" t="n">
        <v>34</v>
      </c>
      <c r="D441" t="n">
        <v>10</v>
      </c>
      <c r="E441" t="inlineStr">
        <is>
          <t>Input</t>
        </is>
      </c>
      <c r="F441" t="n">
        <v/>
      </c>
      <c r="G441" t="n">
        <v>45.94</v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11</v>
      </c>
      <c r="M441" t="inlineStr">
        <is>
          <t>FF0B0280</t>
        </is>
      </c>
      <c r="N441" t="inlineStr">
        <is>
          <t>00000000</t>
        </is>
      </c>
      <c r="O441" t="n">
        <v/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Income statement</t>
        </is>
      </c>
      <c r="B442" t="inlineStr">
        <is>
          <t>A35</t>
        </is>
      </c>
      <c r="C442" t="n">
        <v>35</v>
      </c>
      <c r="D442" t="n">
        <v>1</v>
      </c>
      <c r="E442" t="inlineStr">
        <is>
          <t>Input</t>
        </is>
      </c>
      <c r="F442" t="n">
        <v/>
      </c>
      <c r="G442" t="inlineStr">
        <is>
          <t>Diluted (Rs.)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00000000</t>
        </is>
      </c>
      <c r="O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Income statement</t>
        </is>
      </c>
      <c r="B443" t="inlineStr">
        <is>
          <t>D35</t>
        </is>
      </c>
      <c r="C443" t="n">
        <v>35</v>
      </c>
      <c r="D443" t="n">
        <v>4</v>
      </c>
      <c r="E443" t="inlineStr">
        <is>
          <t>Input</t>
        </is>
      </c>
      <c r="F443" t="n">
        <v/>
      </c>
      <c r="G443" t="n">
        <v>16859</v>
      </c>
      <c r="H443" t="inlineStr"/>
      <c r="I443" t="inlineStr">
        <is>
          <t>#,##0</t>
        </is>
      </c>
      <c r="J443" t="b">
        <v>0</v>
      </c>
      <c r="K443" t="b">
        <v>0</v>
      </c>
      <c r="L443" t="n">
        <v>11</v>
      </c>
      <c r="M443" t="inlineStr">
        <is>
          <t>FF0B0280</t>
        </is>
      </c>
      <c r="N443" t="inlineStr">
        <is>
          <t>00000000</t>
        </is>
      </c>
      <c r="O443" t="n">
        <v/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</row>
    <row r="444">
      <c r="A444" t="inlineStr">
        <is>
          <t>Income statement</t>
        </is>
      </c>
      <c r="B444" t="inlineStr">
        <is>
          <t>E35</t>
        </is>
      </c>
      <c r="C444" t="n">
        <v>35</v>
      </c>
      <c r="D444" t="n">
        <v>5</v>
      </c>
      <c r="E444" t="inlineStr">
        <is>
          <t>Input</t>
        </is>
      </c>
      <c r="F444" t="n">
        <v/>
      </c>
      <c r="G444" t="n">
        <v>4090</v>
      </c>
      <c r="H444" t="inlineStr"/>
      <c r="I444" t="inlineStr">
        <is>
          <t>#,##0</t>
        </is>
      </c>
      <c r="J444" t="b">
        <v>0</v>
      </c>
      <c r="K444" t="b">
        <v>0</v>
      </c>
      <c r="L444" t="n">
        <v>11</v>
      </c>
      <c r="M444" t="inlineStr">
        <is>
          <t>FF0B0280</t>
        </is>
      </c>
      <c r="N444" t="inlineStr">
        <is>
          <t>00000000</t>
        </is>
      </c>
      <c r="O444" t="n">
        <v/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Income statement</t>
        </is>
      </c>
      <c r="B445" t="inlineStr">
        <is>
          <t>F35</t>
        </is>
      </c>
      <c r="C445" t="n">
        <v>35</v>
      </c>
      <c r="D445" t="n">
        <v>6</v>
      </c>
      <c r="E445" t="inlineStr">
        <is>
          <t>Input</t>
        </is>
      </c>
      <c r="F445" t="n">
        <v/>
      </c>
      <c r="G445" t="n">
        <v>22791</v>
      </c>
      <c r="H445" t="inlineStr"/>
      <c r="I445" t="inlineStr">
        <is>
          <t>#,##0</t>
        </is>
      </c>
      <c r="J445" t="b">
        <v>0</v>
      </c>
      <c r="K445" t="b">
        <v>0</v>
      </c>
      <c r="L445" t="n">
        <v>11</v>
      </c>
      <c r="M445" t="inlineStr">
        <is>
          <t>FF0B0280</t>
        </is>
      </c>
      <c r="N445" t="inlineStr">
        <is>
          <t>00000000</t>
        </is>
      </c>
      <c r="O445" t="n">
        <v/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</row>
    <row r="446">
      <c r="A446" t="inlineStr">
        <is>
          <t>Income statement</t>
        </is>
      </c>
      <c r="B446" t="inlineStr">
        <is>
          <t>G35</t>
        </is>
      </c>
      <c r="C446" t="n">
        <v>35</v>
      </c>
      <c r="D446" t="n">
        <v>7</v>
      </c>
      <c r="E446" t="inlineStr">
        <is>
          <t>Input</t>
        </is>
      </c>
      <c r="F446" t="n">
        <v/>
      </c>
      <c r="G446" t="n">
        <v>13771</v>
      </c>
      <c r="H446" t="inlineStr"/>
      <c r="I446" t="inlineStr">
        <is>
          <t>#,##0</t>
        </is>
      </c>
      <c r="J446" t="b">
        <v>0</v>
      </c>
      <c r="K446" t="b">
        <v>0</v>
      </c>
      <c r="L446" t="n">
        <v>11</v>
      </c>
      <c r="M446" t="inlineStr">
        <is>
          <t>FF0B0280</t>
        </is>
      </c>
      <c r="N446" t="inlineStr">
        <is>
          <t>00000000</t>
        </is>
      </c>
      <c r="O446" t="n">
        <v/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</row>
    <row r="447">
      <c r="A447" t="inlineStr">
        <is>
          <t>Income statement</t>
        </is>
      </c>
      <c r="B447" t="inlineStr">
        <is>
          <t>H35</t>
        </is>
      </c>
      <c r="C447" t="n">
        <v>35</v>
      </c>
      <c r="D447" t="n">
        <v>8</v>
      </c>
      <c r="E447" t="inlineStr">
        <is>
          <t>Input</t>
        </is>
      </c>
      <c r="F447" t="n">
        <v/>
      </c>
      <c r="G447" t="n">
        <v>37.94</v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11</v>
      </c>
      <c r="M447" t="inlineStr">
        <is>
          <t>FF0B0280</t>
        </is>
      </c>
      <c r="N447" t="inlineStr">
        <is>
          <t>00000000</t>
        </is>
      </c>
      <c r="O447" t="n">
        <v/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</row>
    <row r="448">
      <c r="A448" t="inlineStr">
        <is>
          <t>Income statement</t>
        </is>
      </c>
      <c r="B448" t="inlineStr">
        <is>
          <t>I35</t>
        </is>
      </c>
      <c r="C448" t="n">
        <v>35</v>
      </c>
      <c r="D448" t="n">
        <v>9</v>
      </c>
      <c r="E448" t="inlineStr">
        <is>
          <t>Input</t>
        </is>
      </c>
      <c r="F448" t="n">
        <v/>
      </c>
      <c r="G448" t="n">
        <v>56.49</v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11</v>
      </c>
      <c r="M448" t="inlineStr">
        <is>
          <t>FF0B0280</t>
        </is>
      </c>
      <c r="N448" t="inlineStr">
        <is>
          <t>00000000</t>
        </is>
      </c>
      <c r="O448" t="n">
        <v/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</row>
    <row r="449">
      <c r="A449" t="inlineStr">
        <is>
          <t>Income statement</t>
        </is>
      </c>
      <c r="B449" t="inlineStr">
        <is>
          <t>J35</t>
        </is>
      </c>
      <c r="C449" t="n">
        <v>35</v>
      </c>
      <c r="D449" t="n">
        <v>10</v>
      </c>
      <c r="E449" t="inlineStr">
        <is>
          <t>Input</t>
        </is>
      </c>
      <c r="F449" t="n">
        <v/>
      </c>
      <c r="G449" t="n">
        <v>45.85</v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11</v>
      </c>
      <c r="M449" t="inlineStr">
        <is>
          <t>FF0B0280</t>
        </is>
      </c>
      <c r="N449" t="inlineStr">
        <is>
          <t>00000000</t>
        </is>
      </c>
      <c r="O449" t="n">
        <v/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Income statement</t>
        </is>
      </c>
      <c r="B450" t="inlineStr">
        <is>
          <t>D37</t>
        </is>
      </c>
      <c r="C450" t="n">
        <v>37</v>
      </c>
      <c r="D450" t="n">
        <v>4</v>
      </c>
      <c r="E450" t="inlineStr">
        <is>
          <t>Input</t>
        </is>
      </c>
      <c r="F450" t="n">
        <v/>
      </c>
      <c r="H450" t="inlineStr"/>
      <c r="I450" t="inlineStr">
        <is>
          <t>0.00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n">
        <v/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Income statement</t>
        </is>
      </c>
      <c r="B451" t="inlineStr">
        <is>
          <t>E37</t>
        </is>
      </c>
      <c r="C451" t="n">
        <v>37</v>
      </c>
      <c r="D451" t="n">
        <v>5</v>
      </c>
      <c r="E451" t="inlineStr">
        <is>
          <t>Input</t>
        </is>
      </c>
      <c r="F451" t="n">
        <v/>
      </c>
      <c r="H451" t="inlineStr"/>
      <c r="I451" t="inlineStr">
        <is>
          <t>0.00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00000000</t>
        </is>
      </c>
      <c r="O451" t="n">
        <v/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Income statement</t>
        </is>
      </c>
      <c r="B452" t="inlineStr">
        <is>
          <t>F37</t>
        </is>
      </c>
      <c r="C452" t="n">
        <v>37</v>
      </c>
      <c r="D452" t="n">
        <v>6</v>
      </c>
      <c r="E452" t="inlineStr">
        <is>
          <t>Input</t>
        </is>
      </c>
      <c r="F452" t="n">
        <v/>
      </c>
      <c r="H452" t="inlineStr"/>
      <c r="I452" t="inlineStr">
        <is>
          <t>0.00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00000000</t>
        </is>
      </c>
      <c r="O452" t="n">
        <v/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Income statement</t>
        </is>
      </c>
      <c r="B453" t="inlineStr">
        <is>
          <t>G37</t>
        </is>
      </c>
      <c r="C453" t="n">
        <v>37</v>
      </c>
      <c r="D453" t="n">
        <v>7</v>
      </c>
      <c r="E453" t="inlineStr">
        <is>
          <t>Input</t>
        </is>
      </c>
      <c r="F453" t="n">
        <v/>
      </c>
      <c r="H453" t="inlineStr"/>
      <c r="I453" t="inlineStr">
        <is>
          <t>0.00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n">
        <v/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Income statement</t>
        </is>
      </c>
      <c r="B454" t="inlineStr">
        <is>
          <t>H37</t>
        </is>
      </c>
      <c r="C454" t="n">
        <v>37</v>
      </c>
      <c r="D454" t="n">
        <v>8</v>
      </c>
      <c r="E454" t="inlineStr">
        <is>
          <t>Input</t>
        </is>
      </c>
      <c r="F454" t="n">
        <v/>
      </c>
      <c r="H454" t="inlineStr"/>
      <c r="I454" t="inlineStr">
        <is>
          <t>0.00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n">
        <v/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Income statement</t>
        </is>
      </c>
      <c r="B455" t="inlineStr">
        <is>
          <t>I37</t>
        </is>
      </c>
      <c r="C455" t="n">
        <v>37</v>
      </c>
      <c r="D455" t="n">
        <v>9</v>
      </c>
      <c r="E455" t="inlineStr">
        <is>
          <t>Input</t>
        </is>
      </c>
      <c r="F455" t="n">
        <v/>
      </c>
      <c r="H455" t="inlineStr"/>
      <c r="I455" t="inlineStr">
        <is>
          <t>0.00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n">
        <v/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Income statement</t>
        </is>
      </c>
      <c r="B456" t="inlineStr">
        <is>
          <t>J37</t>
        </is>
      </c>
      <c r="C456" t="n">
        <v>37</v>
      </c>
      <c r="D456" t="n">
        <v>10</v>
      </c>
      <c r="E456" t="inlineStr">
        <is>
          <t>Input</t>
        </is>
      </c>
      <c r="F456" t="n">
        <v/>
      </c>
      <c r="H456" t="inlineStr"/>
      <c r="I456" t="inlineStr">
        <is>
          <t>0.00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n">
        <v/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Income statement</t>
        </is>
      </c>
      <c r="B457" t="inlineStr">
        <is>
          <t>D38</t>
        </is>
      </c>
      <c r="C457" t="n">
        <v>38</v>
      </c>
      <c r="D457" t="n">
        <v>4</v>
      </c>
      <c r="E457" t="inlineStr">
        <is>
          <t>Input</t>
        </is>
      </c>
      <c r="F457" t="n">
        <v/>
      </c>
      <c r="H457" t="inlineStr"/>
      <c r="I457" t="inlineStr">
        <is>
          <t>#,##0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Income statement</t>
        </is>
      </c>
      <c r="B458" t="inlineStr">
        <is>
          <t>E38</t>
        </is>
      </c>
      <c r="C458" t="n">
        <v>38</v>
      </c>
      <c r="D458" t="n">
        <v>5</v>
      </c>
      <c r="E458" t="inlineStr">
        <is>
          <t>Input</t>
        </is>
      </c>
      <c r="F458" t="n">
        <v/>
      </c>
      <c r="H458" t="inlineStr"/>
      <c r="I458" t="inlineStr">
        <is>
          <t>#,##0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</row>
    <row r="459">
      <c r="A459" t="inlineStr">
        <is>
          <t>Income statement</t>
        </is>
      </c>
      <c r="B459" t="inlineStr">
        <is>
          <t>F38</t>
        </is>
      </c>
      <c r="C459" t="n">
        <v>38</v>
      </c>
      <c r="D459" t="n">
        <v>6</v>
      </c>
      <c r="E459" t="inlineStr">
        <is>
          <t>Input</t>
        </is>
      </c>
      <c r="F459" t="n">
        <v/>
      </c>
      <c r="H459" t="inlineStr"/>
      <c r="I459" t="inlineStr">
        <is>
          <t>#,##0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n">
        <v/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Income statement</t>
        </is>
      </c>
      <c r="B460" t="inlineStr">
        <is>
          <t>G38</t>
        </is>
      </c>
      <c r="C460" t="n">
        <v>38</v>
      </c>
      <c r="D460" t="n">
        <v>7</v>
      </c>
      <c r="E460" t="inlineStr">
        <is>
          <t>Input</t>
        </is>
      </c>
      <c r="F460" t="n">
        <v/>
      </c>
      <c r="H460" t="inlineStr"/>
      <c r="I460" t="inlineStr">
        <is>
          <t>#,##0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n">
        <v/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Income statement</t>
        </is>
      </c>
      <c r="B461" t="inlineStr">
        <is>
          <t>H38</t>
        </is>
      </c>
      <c r="C461" t="n">
        <v>38</v>
      </c>
      <c r="D461" t="n">
        <v>8</v>
      </c>
      <c r="E461" t="inlineStr">
        <is>
          <t>Input</t>
        </is>
      </c>
      <c r="F461" t="n">
        <v/>
      </c>
      <c r="H461" t="inlineStr"/>
      <c r="I461" t="inlineStr">
        <is>
          <t>#,##0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n">
        <v/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Income statement</t>
        </is>
      </c>
      <c r="B462" t="inlineStr">
        <is>
          <t>I38</t>
        </is>
      </c>
      <c r="C462" t="n">
        <v>38</v>
      </c>
      <c r="D462" t="n">
        <v>9</v>
      </c>
      <c r="E462" t="inlineStr">
        <is>
          <t>Input</t>
        </is>
      </c>
      <c r="F462" t="n">
        <v/>
      </c>
      <c r="H462" t="inlineStr"/>
      <c r="I462" t="inlineStr">
        <is>
          <t>#,##0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00000000</t>
        </is>
      </c>
      <c r="O462" t="n">
        <v/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Income statement</t>
        </is>
      </c>
      <c r="B463" t="inlineStr">
        <is>
          <t>J38</t>
        </is>
      </c>
      <c r="C463" t="n">
        <v>38</v>
      </c>
      <c r="D463" t="n">
        <v>10</v>
      </c>
      <c r="E463" t="inlineStr">
        <is>
          <t>Input</t>
        </is>
      </c>
      <c r="F463" t="n">
        <v/>
      </c>
      <c r="H463" t="inlineStr"/>
      <c r="I463" t="inlineStr">
        <is>
          <t>#,##0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00000000</t>
        </is>
      </c>
      <c r="O463" t="n">
        <v/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Income statement</t>
        </is>
      </c>
      <c r="B464" t="inlineStr">
        <is>
          <t>D39</t>
        </is>
      </c>
      <c r="C464" t="n">
        <v>39</v>
      </c>
      <c r="D464" t="n">
        <v>4</v>
      </c>
      <c r="E464" t="inlineStr">
        <is>
          <t>Input</t>
        </is>
      </c>
      <c r="F464" t="n">
        <v/>
      </c>
      <c r="H464" t="inlineStr"/>
      <c r="I464" t="inlineStr">
        <is>
          <t>0.00</t>
        </is>
      </c>
      <c r="J464" t="b">
        <v>0</v>
      </c>
      <c r="K464" t="b">
        <v>0</v>
      </c>
      <c r="L464" t="n">
        <v>11</v>
      </c>
      <c r="M464" t="inlineStr">
        <is>
          <t>Values must be of type &lt;class 'str'&gt;</t>
        </is>
      </c>
      <c r="N464" t="inlineStr">
        <is>
          <t>00000000</t>
        </is>
      </c>
      <c r="O464" t="n">
        <v/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Income statement</t>
        </is>
      </c>
      <c r="B465" t="inlineStr">
        <is>
          <t>E39</t>
        </is>
      </c>
      <c r="C465" t="n">
        <v>39</v>
      </c>
      <c r="D465" t="n">
        <v>5</v>
      </c>
      <c r="E465" t="inlineStr">
        <is>
          <t>Input</t>
        </is>
      </c>
      <c r="F465" t="n">
        <v/>
      </c>
      <c r="H465" t="inlineStr"/>
      <c r="I465" t="inlineStr">
        <is>
          <t>0.00</t>
        </is>
      </c>
      <c r="J465" t="b">
        <v>0</v>
      </c>
      <c r="K465" t="b">
        <v>0</v>
      </c>
      <c r="L465" t="n">
        <v>11</v>
      </c>
      <c r="M465" t="inlineStr">
        <is>
          <t>Values must be of type &lt;class 'str'&gt;</t>
        </is>
      </c>
      <c r="N465" t="inlineStr">
        <is>
          <t>00000000</t>
        </is>
      </c>
      <c r="O465" t="n">
        <v/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Income statement</t>
        </is>
      </c>
      <c r="B466" t="inlineStr">
        <is>
          <t>F39</t>
        </is>
      </c>
      <c r="C466" t="n">
        <v>39</v>
      </c>
      <c r="D466" t="n">
        <v>6</v>
      </c>
      <c r="E466" t="inlineStr">
        <is>
          <t>Input</t>
        </is>
      </c>
      <c r="F466" t="n">
        <v/>
      </c>
      <c r="H466" t="inlineStr"/>
      <c r="I466" t="inlineStr">
        <is>
          <t>0.00</t>
        </is>
      </c>
      <c r="J466" t="b">
        <v>0</v>
      </c>
      <c r="K466" t="b">
        <v>0</v>
      </c>
      <c r="L466" t="n">
        <v>11</v>
      </c>
      <c r="M466" t="inlineStr">
        <is>
          <t>Values must be of type &lt;class 'str'&gt;</t>
        </is>
      </c>
      <c r="N466" t="inlineStr">
        <is>
          <t>00000000</t>
        </is>
      </c>
      <c r="O466" t="n">
        <v/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Income statement</t>
        </is>
      </c>
      <c r="B467" t="inlineStr">
        <is>
          <t>G39</t>
        </is>
      </c>
      <c r="C467" t="n">
        <v>39</v>
      </c>
      <c r="D467" t="n">
        <v>7</v>
      </c>
      <c r="E467" t="inlineStr">
        <is>
          <t>Input</t>
        </is>
      </c>
      <c r="F467" t="n">
        <v/>
      </c>
      <c r="H467" t="inlineStr"/>
      <c r="I467" t="inlineStr">
        <is>
          <t>0.00</t>
        </is>
      </c>
      <c r="J467" t="b">
        <v>0</v>
      </c>
      <c r="K467" t="b">
        <v>0</v>
      </c>
      <c r="L467" t="n">
        <v>11</v>
      </c>
      <c r="M467" t="inlineStr">
        <is>
          <t>Values must be of type &lt;class 'str'&gt;</t>
        </is>
      </c>
      <c r="N467" t="inlineStr">
        <is>
          <t>00000000</t>
        </is>
      </c>
      <c r="O467" t="n">
        <v/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</row>
    <row r="468">
      <c r="A468" t="inlineStr">
        <is>
          <t>Income statement</t>
        </is>
      </c>
      <c r="B468" t="inlineStr">
        <is>
          <t>H39</t>
        </is>
      </c>
      <c r="C468" t="n">
        <v>39</v>
      </c>
      <c r="D468" t="n">
        <v>8</v>
      </c>
      <c r="E468" t="inlineStr">
        <is>
          <t>Input</t>
        </is>
      </c>
      <c r="F468" t="n">
        <v/>
      </c>
      <c r="H468" t="inlineStr"/>
      <c r="I468" t="inlineStr">
        <is>
          <t>0.00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00000000</t>
        </is>
      </c>
      <c r="O468" t="n">
        <v/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Income statement</t>
        </is>
      </c>
      <c r="B469" t="inlineStr">
        <is>
          <t>I39</t>
        </is>
      </c>
      <c r="C469" t="n">
        <v>39</v>
      </c>
      <c r="D469" t="n">
        <v>9</v>
      </c>
      <c r="E469" t="inlineStr">
        <is>
          <t>Input</t>
        </is>
      </c>
      <c r="F469" t="n">
        <v/>
      </c>
      <c r="H469" t="inlineStr"/>
      <c r="I469" t="inlineStr">
        <is>
          <t>0.00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00000000</t>
        </is>
      </c>
      <c r="O469" t="n">
        <v/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Income statement</t>
        </is>
      </c>
      <c r="B470" t="inlineStr">
        <is>
          <t>J39</t>
        </is>
      </c>
      <c r="C470" t="n">
        <v>39</v>
      </c>
      <c r="D470" t="n">
        <v>10</v>
      </c>
      <c r="E470" t="inlineStr">
        <is>
          <t>Input</t>
        </is>
      </c>
      <c r="F470" t="n">
        <v/>
      </c>
      <c r="H470" t="inlineStr"/>
      <c r="I470" t="inlineStr">
        <is>
          <t>0.00</t>
        </is>
      </c>
      <c r="J470" t="b">
        <v>0</v>
      </c>
      <c r="K470" t="b">
        <v>0</v>
      </c>
      <c r="L470" t="n">
        <v>11</v>
      </c>
      <c r="M470" t="inlineStr">
        <is>
          <t>Values must be of type &lt;class 'str'&gt;</t>
        </is>
      </c>
      <c r="N470" t="inlineStr">
        <is>
          <t>00000000</t>
        </is>
      </c>
      <c r="O470" t="n">
        <v/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Income statement</t>
        </is>
      </c>
      <c r="B471" t="inlineStr">
        <is>
          <t>K39</t>
        </is>
      </c>
      <c r="C471" t="n">
        <v>39</v>
      </c>
      <c r="D471" t="n">
        <v>11</v>
      </c>
      <c r="E471" t="inlineStr">
        <is>
          <t>Input</t>
        </is>
      </c>
      <c r="F471" t="n">
        <v/>
      </c>
      <c r="H471" t="inlineStr"/>
      <c r="I471" t="inlineStr">
        <is>
          <t>0.00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</row>
    <row r="472">
      <c r="A472" t="inlineStr">
        <is>
          <t>Income statement</t>
        </is>
      </c>
      <c r="B472" t="inlineStr">
        <is>
          <t>D40</t>
        </is>
      </c>
      <c r="C472" t="n">
        <v>40</v>
      </c>
      <c r="D472" t="n">
        <v>4</v>
      </c>
      <c r="E472" t="inlineStr">
        <is>
          <t>Input</t>
        </is>
      </c>
      <c r="F472" t="n">
        <v/>
      </c>
      <c r="H472" t="inlineStr"/>
      <c r="I472" t="inlineStr">
        <is>
          <t>0.00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n">
        <v/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</row>
    <row r="473">
      <c r="A473" t="inlineStr">
        <is>
          <t>Income statement</t>
        </is>
      </c>
      <c r="B473" t="inlineStr">
        <is>
          <t>E40</t>
        </is>
      </c>
      <c r="C473" t="n">
        <v>40</v>
      </c>
      <c r="D473" t="n">
        <v>5</v>
      </c>
      <c r="E473" t="inlineStr">
        <is>
          <t>Input</t>
        </is>
      </c>
      <c r="F473" t="n">
        <v/>
      </c>
      <c r="H473" t="inlineStr"/>
      <c r="I473" t="inlineStr">
        <is>
          <t>0.00</t>
        </is>
      </c>
      <c r="J473" t="b">
        <v>0</v>
      </c>
      <c r="K473" t="b">
        <v>0</v>
      </c>
      <c r="L473" t="n">
        <v>11</v>
      </c>
      <c r="M473" t="inlineStr">
        <is>
          <t>Values must be of type &lt;class 'str'&gt;</t>
        </is>
      </c>
      <c r="N473" t="inlineStr">
        <is>
          <t>00000000</t>
        </is>
      </c>
      <c r="O473" t="n">
        <v/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</row>
    <row r="474">
      <c r="A474" t="inlineStr">
        <is>
          <t>Income statement</t>
        </is>
      </c>
      <c r="B474" t="inlineStr">
        <is>
          <t>F40</t>
        </is>
      </c>
      <c r="C474" t="n">
        <v>40</v>
      </c>
      <c r="D474" t="n">
        <v>6</v>
      </c>
      <c r="E474" t="inlineStr">
        <is>
          <t>Input</t>
        </is>
      </c>
      <c r="F474" t="n">
        <v/>
      </c>
      <c r="H474" t="inlineStr"/>
      <c r="I474" t="inlineStr">
        <is>
          <t>0.00</t>
        </is>
      </c>
      <c r="J474" t="b">
        <v>0</v>
      </c>
      <c r="K474" t="b">
        <v>0</v>
      </c>
      <c r="L474" t="n">
        <v>11</v>
      </c>
      <c r="M474" t="inlineStr">
        <is>
          <t>Values must be of type &lt;class 'str'&gt;</t>
        </is>
      </c>
      <c r="N474" t="inlineStr">
        <is>
          <t>00000000</t>
        </is>
      </c>
      <c r="O474" t="n">
        <v/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</row>
    <row r="475">
      <c r="A475" t="inlineStr">
        <is>
          <t>Income statement</t>
        </is>
      </c>
      <c r="B475" t="inlineStr">
        <is>
          <t>G40</t>
        </is>
      </c>
      <c r="C475" t="n">
        <v>40</v>
      </c>
      <c r="D475" t="n">
        <v>7</v>
      </c>
      <c r="E475" t="inlineStr">
        <is>
          <t>Input</t>
        </is>
      </c>
      <c r="F475" t="n">
        <v/>
      </c>
      <c r="H475" t="inlineStr"/>
      <c r="I475" t="inlineStr">
        <is>
          <t>0.00</t>
        </is>
      </c>
      <c r="J475" t="b">
        <v>0</v>
      </c>
      <c r="K475" t="b">
        <v>0</v>
      </c>
      <c r="L475" t="n">
        <v>11</v>
      </c>
      <c r="M475" t="inlineStr">
        <is>
          <t>Values must be of type &lt;class 'str'&gt;</t>
        </is>
      </c>
      <c r="N475" t="inlineStr">
        <is>
          <t>00000000</t>
        </is>
      </c>
      <c r="O475" t="n">
        <v/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</row>
    <row r="476">
      <c r="A476" t="inlineStr">
        <is>
          <t>Income statement</t>
        </is>
      </c>
      <c r="B476" t="inlineStr">
        <is>
          <t>H40</t>
        </is>
      </c>
      <c r="C476" t="n">
        <v>40</v>
      </c>
      <c r="D476" t="n">
        <v>8</v>
      </c>
      <c r="E476" t="inlineStr">
        <is>
          <t>Input</t>
        </is>
      </c>
      <c r="F476" t="n">
        <v/>
      </c>
      <c r="H476" t="inlineStr"/>
      <c r="I476" t="inlineStr">
        <is>
          <t>0.00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00000000</t>
        </is>
      </c>
      <c r="O476" t="n">
        <v/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Income statement</t>
        </is>
      </c>
      <c r="B477" t="inlineStr">
        <is>
          <t>I40</t>
        </is>
      </c>
      <c r="C477" t="n">
        <v>40</v>
      </c>
      <c r="D477" t="n">
        <v>9</v>
      </c>
      <c r="E477" t="inlineStr">
        <is>
          <t>Input</t>
        </is>
      </c>
      <c r="F477" t="n">
        <v/>
      </c>
      <c r="H477" t="inlineStr"/>
      <c r="I477" t="inlineStr">
        <is>
          <t>0.00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00000000</t>
        </is>
      </c>
      <c r="O477" t="n">
        <v/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Income statement</t>
        </is>
      </c>
      <c r="B478" t="inlineStr">
        <is>
          <t>J40</t>
        </is>
      </c>
      <c r="C478" t="n">
        <v>40</v>
      </c>
      <c r="D478" t="n">
        <v>10</v>
      </c>
      <c r="E478" t="inlineStr">
        <is>
          <t>Input</t>
        </is>
      </c>
      <c r="F478" t="n">
        <v/>
      </c>
      <c r="H478" t="inlineStr"/>
      <c r="I478" t="inlineStr">
        <is>
          <t>0.00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00000000</t>
        </is>
      </c>
      <c r="O478" t="n">
        <v/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 xml:space="preserve">Asset Schedule 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 xml:space="preserve">Asset Schedule 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 xml:space="preserve">Asset Schedule 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 xml:space="preserve">Asset Schedule 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 xml:space="preserve">Asset Schedule 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 xml:space="preserve">Asset Schedule 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 xml:space="preserve">Asset Schedule 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 xml:space="preserve">Asset Schedule 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 xml:space="preserve">Asset Schedule 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 xml:space="preserve">Asset Schedule 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 xml:space="preserve">Asset Schedule 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 xml:space="preserve">Asset Schedule 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 xml:space="preserve">Asset Schedule 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 xml:space="preserve">Asset Schedule 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 xml:space="preserve">Asset Schedule 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 xml:space="preserve">Asset Schedule 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 xml:space="preserve">Asset Schedule 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 xml:space="preserve">Asset Schedule 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 xml:space="preserve">Asset Schedule 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 xml:space="preserve">Asset Schedule 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 xml:space="preserve">Asset Schedule 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 xml:space="preserve">Asset Schedule 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 xml:space="preserve">Asset Schedule 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 xml:space="preserve">Asset Schedule 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 xml:space="preserve">Asset Schedule 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 xml:space="preserve">Asset Schedule 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 xml:space="preserve">Asset Schedule 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FF0B0280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 xml:space="preserve">Asset Schedule 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G000084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Asset Schedule !E5:O5</t>
        </is>
      </c>
      <c r="X29">
        <f>EOMONTH(R[0]C[-1],12)</f>
        <v/>
      </c>
    </row>
    <row r="30">
      <c r="A30" t="inlineStr">
        <is>
          <t xml:space="preserve">Asset Schedule 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G000084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Asset Schedule !E5:O5</t>
        </is>
      </c>
      <c r="X30">
        <f>EOMONTH(R[0]C[-1],12)</f>
        <v/>
      </c>
    </row>
    <row r="31">
      <c r="A31" t="inlineStr">
        <is>
          <t xml:space="preserve">Asset Schedule 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G000084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Asset Schedule !E5:O5</t>
        </is>
      </c>
      <c r="X31">
        <f>EOMONTH(R[0]C[-1],12)</f>
        <v/>
      </c>
    </row>
    <row r="32">
      <c r="A32" t="inlineStr">
        <is>
          <t xml:space="preserve">Asset Schedule 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G000084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Asset Schedule !E5:O5</t>
        </is>
      </c>
      <c r="X32">
        <f>EOMONTH(R[0]C[-1],12)</f>
        <v/>
      </c>
    </row>
    <row r="33">
      <c r="A33" t="inlineStr">
        <is>
          <t xml:space="preserve">Asset Schedule 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G000084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Asset Schedule !E5:O5</t>
        </is>
      </c>
      <c r="X33">
        <f>EOMONTH(R[0]C[-1],12)</f>
        <v/>
      </c>
    </row>
    <row r="34">
      <c r="A34" t="inlineStr">
        <is>
          <t xml:space="preserve">Asset Schedule 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G000084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Asset Schedule !E5:O5</t>
        </is>
      </c>
      <c r="X34">
        <f>EOMONTH(R[0]C[-1],12)</f>
        <v/>
      </c>
    </row>
    <row r="35">
      <c r="A35" t="inlineStr">
        <is>
          <t xml:space="preserve">Asset Schedule 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G000084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Asset Schedule !E5:O5</t>
        </is>
      </c>
      <c r="X35">
        <f>EOMONTH(R[0]C[-1],12)</f>
        <v/>
      </c>
    </row>
    <row r="36">
      <c r="A36" t="inlineStr">
        <is>
          <t xml:space="preserve">Asset Schedule 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G000084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Asset Schedule !E5:O5</t>
        </is>
      </c>
      <c r="X36">
        <f>EOMONTH(R[0]C[-1],12)</f>
        <v/>
      </c>
    </row>
    <row r="37">
      <c r="A37" t="inlineStr">
        <is>
          <t xml:space="preserve">Asset Schedule 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G000084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Asset Schedule !E5:O5</t>
        </is>
      </c>
      <c r="X37">
        <f>EOMONTH(R[0]C[-1],12)</f>
        <v/>
      </c>
    </row>
    <row r="38">
      <c r="A38" t="inlineStr">
        <is>
          <t xml:space="preserve">Asset Schedule 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G000084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Asset Schedule !E5:O5</t>
        </is>
      </c>
      <c r="X38">
        <f>EOMONTH(R[0]C[-1],12)</f>
        <v/>
      </c>
    </row>
    <row r="39">
      <c r="A39" t="inlineStr">
        <is>
          <t xml:space="preserve">Asset Schedule 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G000084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Asset Schedule !E5:O5</t>
        </is>
      </c>
      <c r="X39">
        <f>EOMONTH(R[0]C[-1],12)</f>
        <v/>
      </c>
    </row>
    <row r="40">
      <c r="A40" t="inlineStr">
        <is>
          <t xml:space="preserve">Asset Schedule 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 xml:space="preserve">Asset Schedule 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 xml:space="preserve">Asset Schedule 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G000085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Asset Schedule !D6:O6</t>
        </is>
      </c>
      <c r="X42">
        <f>YEAR(R[-1]C[0])</f>
        <v/>
      </c>
    </row>
    <row r="43">
      <c r="A43" t="inlineStr">
        <is>
          <t xml:space="preserve">Asset Schedule 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G000085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Asset Schedule !D6:O6</t>
        </is>
      </c>
      <c r="X43">
        <f>YEAR(R[-1]C[0])</f>
        <v/>
      </c>
    </row>
    <row r="44">
      <c r="A44" t="inlineStr">
        <is>
          <t xml:space="preserve">Asset Schedule 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G000085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Asset Schedule !D6:O6</t>
        </is>
      </c>
      <c r="X44">
        <f>YEAR(R[-1]C[0])</f>
        <v/>
      </c>
    </row>
    <row r="45">
      <c r="A45" t="inlineStr">
        <is>
          <t xml:space="preserve">Asset Schedule 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G000085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Asset Schedule !D6:O6</t>
        </is>
      </c>
      <c r="X45">
        <f>YEAR(R[-1]C[0])</f>
        <v/>
      </c>
    </row>
    <row r="46">
      <c r="A46" t="inlineStr">
        <is>
          <t xml:space="preserve">Asset Schedule 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G000085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Asset Schedule !D6:O6</t>
        </is>
      </c>
      <c r="X46">
        <f>YEAR(R[-1]C[0])</f>
        <v/>
      </c>
    </row>
    <row r="47">
      <c r="A47" t="inlineStr">
        <is>
          <t xml:space="preserve">Asset Schedule 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G000085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Asset Schedule !D6:O6</t>
        </is>
      </c>
      <c r="X47">
        <f>YEAR(R[-1]C[0])</f>
        <v/>
      </c>
    </row>
    <row r="48">
      <c r="A48" t="inlineStr">
        <is>
          <t xml:space="preserve">Asset Schedule 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G000085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Asset Schedule !D6:O6</t>
        </is>
      </c>
      <c r="X48">
        <f>YEAR(R[-1]C[0])</f>
        <v/>
      </c>
    </row>
    <row r="49">
      <c r="A49" t="inlineStr">
        <is>
          <t xml:space="preserve">Asset Schedule 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G000085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Asset Schedule !D6:O6</t>
        </is>
      </c>
      <c r="X49">
        <f>YEAR(R[-1]C[0])</f>
        <v/>
      </c>
    </row>
    <row r="50">
      <c r="A50" t="inlineStr">
        <is>
          <t xml:space="preserve">Asset Schedule 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G000085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Asset Schedule !D6:O6</t>
        </is>
      </c>
      <c r="X50">
        <f>YEAR(R[-1]C[0])</f>
        <v/>
      </c>
    </row>
    <row r="51">
      <c r="A51" t="inlineStr">
        <is>
          <t xml:space="preserve">Asset Schedule 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G000085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Asset Schedule !D6:O6</t>
        </is>
      </c>
      <c r="X51">
        <f>YEAR(R[-1]C[0])</f>
        <v/>
      </c>
    </row>
    <row r="52">
      <c r="A52" t="inlineStr">
        <is>
          <t xml:space="preserve">Asset Schedule 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G000085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Asset Schedule !D6:O6</t>
        </is>
      </c>
      <c r="X52">
        <f>YEAR(R[-1]C[0])</f>
        <v/>
      </c>
    </row>
    <row r="53">
      <c r="A53" t="inlineStr">
        <is>
          <t xml:space="preserve">Asset Schedule 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G000085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Asset Schedule !D6:O6</t>
        </is>
      </c>
      <c r="X53">
        <f>YEAR(R[-1]C[0])</f>
        <v/>
      </c>
    </row>
    <row r="54">
      <c r="A54" t="inlineStr">
        <is>
          <t xml:space="preserve">Asset Schedule 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Tangible assets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 xml:space="preserve">Asset Schedule 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G55" t="inlineStr">
        <is>
          <t>Opening Balance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 xml:space="preserve">Asset Schedule </t>
        </is>
      </c>
      <c r="B56" t="inlineStr">
        <is>
          <t>D8</t>
        </is>
      </c>
      <c r="C56" t="n">
        <v>8</v>
      </c>
      <c r="D56" t="n">
        <v>4</v>
      </c>
      <c r="E56" t="inlineStr">
        <is>
          <t>Input</t>
        </is>
      </c>
      <c r="F56" t="n">
        <v/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 xml:space="preserve">Asset Schedule </t>
        </is>
      </c>
      <c r="B57" t="inlineStr">
        <is>
          <t>E8</t>
        </is>
      </c>
      <c r="C57" t="n">
        <v>8</v>
      </c>
      <c r="D57" t="n">
        <v>5</v>
      </c>
      <c r="E57" t="inlineStr">
        <is>
          <t>Input</t>
        </is>
      </c>
      <c r="F57" t="n">
        <v/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 xml:space="preserve">Asset Schedule </t>
        </is>
      </c>
      <c r="B58" t="inlineStr">
        <is>
          <t>F8</t>
        </is>
      </c>
      <c r="C58" t="n">
        <v>8</v>
      </c>
      <c r="D58" t="n">
        <v>6</v>
      </c>
      <c r="E58" t="inlineStr">
        <is>
          <t>Input</t>
        </is>
      </c>
      <c r="F58" t="n">
        <v/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 xml:space="preserve">Asset Schedule </t>
        </is>
      </c>
      <c r="B59" t="inlineStr">
        <is>
          <t>G8</t>
        </is>
      </c>
      <c r="C59" t="n">
        <v>8</v>
      </c>
      <c r="D59" t="n">
        <v>7</v>
      </c>
      <c r="E59" t="inlineStr">
        <is>
          <t>Input</t>
        </is>
      </c>
      <c r="F59" t="n">
        <v/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 xml:space="preserve">Asset Schedule </t>
        </is>
      </c>
      <c r="B60" t="inlineStr">
        <is>
          <t>H8</t>
        </is>
      </c>
      <c r="C60" t="n">
        <v>8</v>
      </c>
      <c r="D60" t="n">
        <v>8</v>
      </c>
      <c r="E60" t="inlineStr">
        <is>
          <t>Calculation</t>
        </is>
      </c>
      <c r="F60" t="inlineStr">
        <is>
          <t>'=44154.12-4746.92</t>
        </is>
      </c>
      <c r="G60" t="n">
        <v>39407.2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>
        <f>44154.12-4746.92</f>
        <v/>
      </c>
    </row>
    <row r="61">
      <c r="A61" t="inlineStr">
        <is>
          <t xml:space="preserve">Asset Schedule </t>
        </is>
      </c>
      <c r="B61" t="inlineStr">
        <is>
          <t>I8</t>
        </is>
      </c>
      <c r="C61" t="n">
        <v>8</v>
      </c>
      <c r="D61" t="n">
        <v>9</v>
      </c>
      <c r="E61" t="inlineStr">
        <is>
          <t>Calculation</t>
        </is>
      </c>
      <c r="F61" t="inlineStr">
        <is>
          <t>'=H12</t>
        </is>
      </c>
      <c r="G61" t="n">
        <v>48664.02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inlineStr">
        <is>
          <t>G000086</t>
        </is>
      </c>
      <c r="T61" t="inlineStr">
        <is>
          <t>Horizontal</t>
        </is>
      </c>
      <c r="U61" t="n">
        <v>7</v>
      </c>
      <c r="V61" t="b">
        <v>1</v>
      </c>
      <c r="W61" t="inlineStr">
        <is>
          <t>Asset Schedule !I8:O8</t>
        </is>
      </c>
      <c r="X61">
        <f>R[4]C[-1]</f>
        <v/>
      </c>
    </row>
    <row r="62">
      <c r="A62" t="inlineStr">
        <is>
          <t xml:space="preserve">Asset Schedule </t>
        </is>
      </c>
      <c r="B62" t="inlineStr">
        <is>
          <t>J8</t>
        </is>
      </c>
      <c r="C62" t="n">
        <v>8</v>
      </c>
      <c r="D62" t="n">
        <v>10</v>
      </c>
      <c r="E62" t="inlineStr">
        <is>
          <t>Calculation</t>
        </is>
      </c>
      <c r="F62" t="inlineStr">
        <is>
          <t>'=I12</t>
        </is>
      </c>
      <c r="G62" t="n">
        <v>46755.15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FF0B0280</t>
        </is>
      </c>
      <c r="N62" t="inlineStr">
        <is>
          <t>00000000</t>
        </is>
      </c>
      <c r="O62" t="n">
        <v/>
      </c>
      <c r="R62" t="b">
        <v>1</v>
      </c>
      <c r="S62" t="inlineStr">
        <is>
          <t>G000086</t>
        </is>
      </c>
      <c r="T62" t="inlineStr">
        <is>
          <t>Horizontal</t>
        </is>
      </c>
      <c r="U62" t="n">
        <v>7</v>
      </c>
      <c r="V62" t="b">
        <v>1</v>
      </c>
      <c r="W62" t="inlineStr">
        <is>
          <t>Asset Schedule !I8:O8</t>
        </is>
      </c>
      <c r="X62">
        <f>R[4]C[-1]</f>
        <v/>
      </c>
    </row>
    <row r="63">
      <c r="A63" t="inlineStr">
        <is>
          <t xml:space="preserve">Asset Schedule </t>
        </is>
      </c>
      <c r="B63" t="inlineStr">
        <is>
          <t>K8</t>
        </is>
      </c>
      <c r="C63" t="n">
        <v>8</v>
      </c>
      <c r="D63" t="n">
        <v>11</v>
      </c>
      <c r="E63" t="inlineStr">
        <is>
          <t>Calculation</t>
        </is>
      </c>
      <c r="F63" t="inlineStr">
        <is>
          <t>'=J12</t>
        </is>
      </c>
      <c r="G63" t="n">
        <v>37474.72</v>
      </c>
      <c r="H63" t="inlineStr"/>
      <c r="I63" t="inlineStr">
        <is>
          <t>#,##0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G000086</t>
        </is>
      </c>
      <c r="T63" t="inlineStr">
        <is>
          <t>Horizontal</t>
        </is>
      </c>
      <c r="U63" t="n">
        <v>7</v>
      </c>
      <c r="V63" t="b">
        <v>1</v>
      </c>
      <c r="W63" t="inlineStr">
        <is>
          <t>Asset Schedule !I8:O8</t>
        </is>
      </c>
      <c r="X63">
        <f>R[4]C[-1]</f>
        <v/>
      </c>
    </row>
    <row r="64">
      <c r="A64" t="inlineStr">
        <is>
          <t xml:space="preserve">Asset Schedule </t>
        </is>
      </c>
      <c r="B64" t="inlineStr">
        <is>
          <t>L8</t>
        </is>
      </c>
      <c r="C64" t="n">
        <v>8</v>
      </c>
      <c r="D64" t="n">
        <v>12</v>
      </c>
      <c r="E64" t="inlineStr">
        <is>
          <t>Calculation</t>
        </is>
      </c>
      <c r="F64" t="inlineStr">
        <is>
          <t>'=K12</t>
        </is>
      </c>
      <c r="G64" t="n">
        <v>43402.95776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G000086</t>
        </is>
      </c>
      <c r="T64" t="inlineStr">
        <is>
          <t>Horizontal</t>
        </is>
      </c>
      <c r="U64" t="n">
        <v>7</v>
      </c>
      <c r="V64" t="b">
        <v>1</v>
      </c>
      <c r="W64" t="inlineStr">
        <is>
          <t>Asset Schedule !I8:O8</t>
        </is>
      </c>
      <c r="X64">
        <f>R[4]C[-1]</f>
        <v/>
      </c>
    </row>
    <row r="65">
      <c r="A65" t="inlineStr">
        <is>
          <t xml:space="preserve">Asset Schedule </t>
        </is>
      </c>
      <c r="B65" t="inlineStr">
        <is>
          <t>M8</t>
        </is>
      </c>
      <c r="C65" t="n">
        <v>8</v>
      </c>
      <c r="D65" t="n">
        <v>13</v>
      </c>
      <c r="E65" t="inlineStr">
        <is>
          <t>Calculation</t>
        </is>
      </c>
      <c r="F65" t="inlineStr">
        <is>
          <t>'=L12</t>
        </is>
      </c>
      <c r="G65" t="n">
        <v>49083.44564608001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G000086</t>
        </is>
      </c>
      <c r="T65" t="inlineStr">
        <is>
          <t>Horizontal</t>
        </is>
      </c>
      <c r="U65" t="n">
        <v>7</v>
      </c>
      <c r="V65" t="b">
        <v>1</v>
      </c>
      <c r="W65" t="inlineStr">
        <is>
          <t>Asset Schedule !I8:O8</t>
        </is>
      </c>
      <c r="X65">
        <f>R[4]C[-1]</f>
        <v/>
      </c>
    </row>
    <row r="66">
      <c r="A66" t="inlineStr">
        <is>
          <t xml:space="preserve">Asset Schedule </t>
        </is>
      </c>
      <c r="B66" t="inlineStr">
        <is>
          <t>N8</t>
        </is>
      </c>
      <c r="C66" t="n">
        <v>8</v>
      </c>
      <c r="D66" t="n">
        <v>14</v>
      </c>
      <c r="E66" t="inlineStr">
        <is>
          <t>Calculation</t>
        </is>
      </c>
      <c r="F66" t="inlineStr">
        <is>
          <t>'=M12</t>
        </is>
      </c>
      <c r="G66" t="n">
        <v>54538.97664664064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G000086</t>
        </is>
      </c>
      <c r="T66" t="inlineStr">
        <is>
          <t>Horizontal</t>
        </is>
      </c>
      <c r="U66" t="n">
        <v>7</v>
      </c>
      <c r="V66" t="b">
        <v>1</v>
      </c>
      <c r="W66" t="inlineStr">
        <is>
          <t>Asset Schedule !I8:O8</t>
        </is>
      </c>
      <c r="X66">
        <f>R[4]C[-1]</f>
        <v/>
      </c>
    </row>
    <row r="67">
      <c r="A67" t="inlineStr">
        <is>
          <t xml:space="preserve">Asset Schedule </t>
        </is>
      </c>
      <c r="B67" t="inlineStr">
        <is>
          <t>O8</t>
        </is>
      </c>
      <c r="C67" t="n">
        <v>8</v>
      </c>
      <c r="D67" t="n">
        <v>15</v>
      </c>
      <c r="E67" t="inlineStr">
        <is>
          <t>Calculation</t>
        </is>
      </c>
      <c r="F67" t="inlineStr">
        <is>
          <t>'=N12</t>
        </is>
      </c>
      <c r="G67" t="n">
        <v>59790.2467951497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G000086</t>
        </is>
      </c>
      <c r="T67" t="inlineStr">
        <is>
          <t>Horizontal</t>
        </is>
      </c>
      <c r="U67" t="n">
        <v>7</v>
      </c>
      <c r="V67" t="b">
        <v>1</v>
      </c>
      <c r="W67" t="inlineStr">
        <is>
          <t>Asset Schedule !I8:O8</t>
        </is>
      </c>
      <c r="X67">
        <f>R[4]C[-1]</f>
        <v/>
      </c>
    </row>
    <row r="68">
      <c r="A68" t="inlineStr">
        <is>
          <t xml:space="preserve">Asset Schedule 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F68" t="n">
        <v/>
      </c>
      <c r="G68" t="inlineStr">
        <is>
          <t>Addition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 xml:space="preserve">Asset Schedule </t>
        </is>
      </c>
      <c r="B69" t="inlineStr">
        <is>
          <t>H9</t>
        </is>
      </c>
      <c r="C69" t="n">
        <v>9</v>
      </c>
      <c r="D69" t="n">
        <v>8</v>
      </c>
      <c r="E69" t="inlineStr">
        <is>
          <t>Input</t>
        </is>
      </c>
      <c r="F69" t="n">
        <v/>
      </c>
      <c r="G69" t="n">
        <v>10776.51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FF0B0280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 xml:space="preserve">Asset Schedule </t>
        </is>
      </c>
      <c r="B70" t="inlineStr">
        <is>
          <t>I9</t>
        </is>
      </c>
      <c r="C70" t="n">
        <v>9</v>
      </c>
      <c r="D70" t="n">
        <v>9</v>
      </c>
      <c r="E70" t="inlineStr">
        <is>
          <t>Input</t>
        </is>
      </c>
      <c r="F70" t="n">
        <v/>
      </c>
      <c r="G70" t="n">
        <v>1944.73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FF0B0280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 xml:space="preserve">Asset Schedule </t>
        </is>
      </c>
      <c r="B71" t="inlineStr">
        <is>
          <t>J9</t>
        </is>
      </c>
      <c r="C71" t="n">
        <v>9</v>
      </c>
      <c r="D71" t="n">
        <v>10</v>
      </c>
      <c r="E71" t="inlineStr">
        <is>
          <t>Input</t>
        </is>
      </c>
      <c r="F71" t="n">
        <v/>
      </c>
      <c r="G71" t="n">
        <v>2017.57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FF0B0280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 xml:space="preserve">Asset Schedule </t>
        </is>
      </c>
      <c r="B72" t="inlineStr">
        <is>
          <t>K9</t>
        </is>
      </c>
      <c r="C72" t="n">
        <v>9</v>
      </c>
      <c r="D72" t="n">
        <v>11</v>
      </c>
      <c r="E72" t="inlineStr">
        <is>
          <t>Calculation</t>
        </is>
      </c>
      <c r="F72" t="inlineStr">
        <is>
          <t>'=K15</t>
        </is>
      </c>
      <c r="G72" t="n">
        <v>9828</v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1</v>
      </c>
      <c r="S72" t="inlineStr">
        <is>
          <t>G000088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Asset Schedule !K9:O9</t>
        </is>
      </c>
      <c r="X72">
        <f>R[6]C[0]</f>
        <v/>
      </c>
    </row>
    <row r="73">
      <c r="A73" t="inlineStr">
        <is>
          <t xml:space="preserve">Asset Schedule </t>
        </is>
      </c>
      <c r="B73" t="inlineStr">
        <is>
          <t>L9</t>
        </is>
      </c>
      <c r="C73" t="n">
        <v>9</v>
      </c>
      <c r="D73" t="n">
        <v>12</v>
      </c>
      <c r="E73" t="inlineStr">
        <is>
          <t>Calculation</t>
        </is>
      </c>
      <c r="F73" t="inlineStr">
        <is>
          <t>'=L15</t>
        </is>
      </c>
      <c r="G73" t="n">
        <v>10140</v>
      </c>
      <c r="H73" t="inlineStr"/>
      <c r="I73" t="inlineStr">
        <is>
          <t>#,##0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1</v>
      </c>
      <c r="S73" t="inlineStr">
        <is>
          <t>G000088</t>
        </is>
      </c>
      <c r="T73" t="inlineStr">
        <is>
          <t>Horizontal</t>
        </is>
      </c>
      <c r="U73" t="n">
        <v>5</v>
      </c>
      <c r="V73" t="b">
        <v>1</v>
      </c>
      <c r="W73" t="inlineStr">
        <is>
          <t>Asset Schedule !K9:O9</t>
        </is>
      </c>
      <c r="X73">
        <f>R[6]C[0]</f>
        <v/>
      </c>
    </row>
    <row r="74">
      <c r="A74" t="inlineStr">
        <is>
          <t xml:space="preserve">Asset Schedule </t>
        </is>
      </c>
      <c r="B74" t="inlineStr">
        <is>
          <t>M9</t>
        </is>
      </c>
      <c r="C74" t="n">
        <v>9</v>
      </c>
      <c r="D74" t="n">
        <v>13</v>
      </c>
      <c r="E74" t="inlineStr">
        <is>
          <t>Calculation</t>
        </is>
      </c>
      <c r="F74" t="inlineStr">
        <is>
          <t>'=M15</t>
        </is>
      </c>
      <c r="G74" t="n">
        <v>10452</v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1</v>
      </c>
      <c r="S74" t="inlineStr">
        <is>
          <t>G000088</t>
        </is>
      </c>
      <c r="T74" t="inlineStr">
        <is>
          <t>Horizontal</t>
        </is>
      </c>
      <c r="U74" t="n">
        <v>5</v>
      </c>
      <c r="V74" t="b">
        <v>1</v>
      </c>
      <c r="W74" t="inlineStr">
        <is>
          <t>Asset Schedule !K9:O9</t>
        </is>
      </c>
      <c r="X74">
        <f>R[6]C[0]</f>
        <v/>
      </c>
    </row>
    <row r="75">
      <c r="A75" t="inlineStr">
        <is>
          <t xml:space="preserve">Asset Schedule </t>
        </is>
      </c>
      <c r="B75" t="inlineStr">
        <is>
          <t>N9</t>
        </is>
      </c>
      <c r="C75" t="n">
        <v>9</v>
      </c>
      <c r="D75" t="n">
        <v>14</v>
      </c>
      <c r="E75" t="inlineStr">
        <is>
          <t>Calculation</t>
        </is>
      </c>
      <c r="F75" t="inlineStr">
        <is>
          <t>'=N15</t>
        </is>
      </c>
      <c r="G75" t="n">
        <v>10764</v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1</v>
      </c>
      <c r="S75" t="inlineStr">
        <is>
          <t>G000088</t>
        </is>
      </c>
      <c r="T75" t="inlineStr">
        <is>
          <t>Horizontal</t>
        </is>
      </c>
      <c r="U75" t="n">
        <v>5</v>
      </c>
      <c r="V75" t="b">
        <v>1</v>
      </c>
      <c r="W75" t="inlineStr">
        <is>
          <t>Asset Schedule !K9:O9</t>
        </is>
      </c>
      <c r="X75">
        <f>R[6]C[0]</f>
        <v/>
      </c>
    </row>
    <row r="76">
      <c r="A76" t="inlineStr">
        <is>
          <t xml:space="preserve">Asset Schedule </t>
        </is>
      </c>
      <c r="B76" t="inlineStr">
        <is>
          <t>O9</t>
        </is>
      </c>
      <c r="C76" t="n">
        <v>9</v>
      </c>
      <c r="D76" t="n">
        <v>15</v>
      </c>
      <c r="E76" t="inlineStr">
        <is>
          <t>Calculation</t>
        </is>
      </c>
      <c r="F76" t="inlineStr">
        <is>
          <t>'=O15</t>
        </is>
      </c>
      <c r="G76" t="n">
        <v>11076</v>
      </c>
      <c r="H76" t="inlineStr"/>
      <c r="I76" t="inlineStr">
        <is>
          <t>#,##0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G000088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Asset Schedule !K9:O9</t>
        </is>
      </c>
      <c r="X76">
        <f>R[6]C[0]</f>
        <v/>
      </c>
    </row>
    <row r="77">
      <c r="A77" t="inlineStr">
        <is>
          <t xml:space="preserve">Asset Schedule </t>
        </is>
      </c>
      <c r="B77" t="inlineStr">
        <is>
          <t>A10</t>
        </is>
      </c>
      <c r="C77" t="n">
        <v>10</v>
      </c>
      <c r="D77" t="n">
        <v>1</v>
      </c>
      <c r="E77" t="inlineStr">
        <is>
          <t>Input</t>
        </is>
      </c>
      <c r="F77" t="n">
        <v/>
      </c>
      <c r="G77" t="inlineStr">
        <is>
          <t>Depreciation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 xml:space="preserve">Asset Schedule </t>
        </is>
      </c>
      <c r="B78" t="inlineStr">
        <is>
          <t>D10</t>
        </is>
      </c>
      <c r="C78" t="n">
        <v>10</v>
      </c>
      <c r="D78" t="n">
        <v>4</v>
      </c>
      <c r="E78" t="inlineStr">
        <is>
          <t>Input</t>
        </is>
      </c>
      <c r="F78" t="n">
        <v/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 xml:space="preserve">Asset Schedule </t>
        </is>
      </c>
      <c r="B79" t="inlineStr">
        <is>
          <t>E10</t>
        </is>
      </c>
      <c r="C79" t="n">
        <v>10</v>
      </c>
      <c r="D79" t="n">
        <v>5</v>
      </c>
      <c r="E79" t="inlineStr">
        <is>
          <t>Input</t>
        </is>
      </c>
      <c r="F79" t="n">
        <v/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 xml:space="preserve">Asset Schedule </t>
        </is>
      </c>
      <c r="B80" t="inlineStr">
        <is>
          <t>F10</t>
        </is>
      </c>
      <c r="C80" t="n">
        <v>10</v>
      </c>
      <c r="D80" t="n">
        <v>6</v>
      </c>
      <c r="E80" t="inlineStr">
        <is>
          <t>Input</t>
        </is>
      </c>
      <c r="F80" t="n">
        <v/>
      </c>
      <c r="H80" t="inlineStr"/>
      <c r="I80" t="inlineStr">
        <is>
          <t>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 xml:space="preserve">Asset Schedule </t>
        </is>
      </c>
      <c r="B81" t="inlineStr">
        <is>
          <t>G10</t>
        </is>
      </c>
      <c r="C81" t="n">
        <v>10</v>
      </c>
      <c r="D81" t="n">
        <v>7</v>
      </c>
      <c r="E81" t="inlineStr">
        <is>
          <t>Input</t>
        </is>
      </c>
      <c r="F81" t="n">
        <v/>
      </c>
      <c r="H81" t="inlineStr"/>
      <c r="I81" t="inlineStr">
        <is>
          <t>0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 xml:space="preserve">Asset Schedule </t>
        </is>
      </c>
      <c r="B82" t="inlineStr">
        <is>
          <t>H10</t>
        </is>
      </c>
      <c r="C82" t="n">
        <v>10</v>
      </c>
      <c r="D82" t="n">
        <v>8</v>
      </c>
      <c r="E82" t="inlineStr">
        <is>
          <t>Input</t>
        </is>
      </c>
      <c r="F82" t="n">
        <v/>
      </c>
      <c r="G82" t="n">
        <v>-2941.52</v>
      </c>
      <c r="H82" t="inlineStr"/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FF0B0280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 xml:space="preserve">Asset Schedule </t>
        </is>
      </c>
      <c r="B83" t="inlineStr">
        <is>
          <t>I10</t>
        </is>
      </c>
      <c r="C83" t="n">
        <v>10</v>
      </c>
      <c r="D83" t="n">
        <v>9</v>
      </c>
      <c r="E83" t="inlineStr">
        <is>
          <t>Input</t>
        </is>
      </c>
      <c r="F83" t="n">
        <v/>
      </c>
      <c r="G83" t="n">
        <v>-4913.81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FF0B0280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 xml:space="preserve">Asset Schedule </t>
        </is>
      </c>
      <c r="B84" t="inlineStr">
        <is>
          <t>J10</t>
        </is>
      </c>
      <c r="C84" t="n">
        <v>10</v>
      </c>
      <c r="D84" t="n">
        <v>10</v>
      </c>
      <c r="E84" t="inlineStr">
        <is>
          <t>Input</t>
        </is>
      </c>
      <c r="F84" t="n">
        <v/>
      </c>
      <c r="G84" t="n">
        <v>-4398.09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FF0B0280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 xml:space="preserve">Asset Schedule </t>
        </is>
      </c>
      <c r="B85" t="inlineStr">
        <is>
          <t>K10</t>
        </is>
      </c>
      <c r="C85" t="n">
        <v>10</v>
      </c>
      <c r="D85" t="n">
        <v>11</v>
      </c>
      <c r="E85" t="inlineStr">
        <is>
          <t>Calculation</t>
        </is>
      </c>
      <c r="F85" t="inlineStr">
        <is>
          <t>'=(K8+K9/2)*K18</t>
        </is>
      </c>
      <c r="G85" t="n">
        <v>-3899.76224</v>
      </c>
      <c r="H85" t="inlineStr"/>
      <c r="I85" t="inlineStr">
        <is>
          <t>0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inlineStr">
        <is>
          <t>G000089</t>
        </is>
      </c>
      <c r="T85" t="inlineStr">
        <is>
          <t>Horizontal</t>
        </is>
      </c>
      <c r="U85" t="n">
        <v>5</v>
      </c>
      <c r="V85" t="b">
        <v>1</v>
      </c>
      <c r="W85" t="inlineStr">
        <is>
          <t>Asset Schedule !K10:O10</t>
        </is>
      </c>
      <c r="X85">
        <f>(R[-2]C[0]+R[-1]C[0]/2)*R[8]C[0]</f>
        <v/>
      </c>
    </row>
    <row r="86">
      <c r="A86" t="inlineStr">
        <is>
          <t xml:space="preserve">Asset Schedule </t>
        </is>
      </c>
      <c r="B86" t="inlineStr">
        <is>
          <t>L10</t>
        </is>
      </c>
      <c r="C86" t="n">
        <v>10</v>
      </c>
      <c r="D86" t="n">
        <v>12</v>
      </c>
      <c r="E86" t="inlineStr">
        <is>
          <t>Calculation</t>
        </is>
      </c>
      <c r="F86" t="inlineStr">
        <is>
          <t>'=(L8+L9/2)*L18</t>
        </is>
      </c>
      <c r="G86" t="n">
        <v>-4459.51211392</v>
      </c>
      <c r="H86" t="inlineStr"/>
      <c r="I86" t="inlineStr">
        <is>
          <t>0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inlineStr">
        <is>
          <t>G000089</t>
        </is>
      </c>
      <c r="T86" t="inlineStr">
        <is>
          <t>Horizontal</t>
        </is>
      </c>
      <c r="U86" t="n">
        <v>5</v>
      </c>
      <c r="V86" t="b">
        <v>1</v>
      </c>
      <c r="W86" t="inlineStr">
        <is>
          <t>Asset Schedule !K10:O10</t>
        </is>
      </c>
      <c r="X86">
        <f>(R[-2]C[0]+R[-1]C[0]/2)*R[8]C[0]</f>
        <v/>
      </c>
    </row>
    <row r="87">
      <c r="A87" t="inlineStr">
        <is>
          <t xml:space="preserve">Asset Schedule </t>
        </is>
      </c>
      <c r="B87" t="inlineStr">
        <is>
          <t>M10</t>
        </is>
      </c>
      <c r="C87" t="n">
        <v>10</v>
      </c>
      <c r="D87" t="n">
        <v>13</v>
      </c>
      <c r="E87" t="inlineStr">
        <is>
          <t>Calculation</t>
        </is>
      </c>
      <c r="F87" t="inlineStr">
        <is>
          <t>'=(M8+M9/2)*M18</t>
        </is>
      </c>
      <c r="G87" t="n">
        <v>-4996.46899943936</v>
      </c>
      <c r="H87" t="inlineStr"/>
      <c r="I87" t="inlineStr">
        <is>
          <t>0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G000089</t>
        </is>
      </c>
      <c r="T87" t="inlineStr">
        <is>
          <t>Horizontal</t>
        </is>
      </c>
      <c r="U87" t="n">
        <v>5</v>
      </c>
      <c r="V87" t="b">
        <v>1</v>
      </c>
      <c r="W87" t="inlineStr">
        <is>
          <t>Asset Schedule !K10:O10</t>
        </is>
      </c>
      <c r="X87">
        <f>(R[-2]C[0]+R[-1]C[0]/2)*R[8]C[0]</f>
        <v/>
      </c>
    </row>
    <row r="88">
      <c r="A88" t="inlineStr">
        <is>
          <t xml:space="preserve">Asset Schedule </t>
        </is>
      </c>
      <c r="B88" t="inlineStr">
        <is>
          <t>N10</t>
        </is>
      </c>
      <c r="C88" t="n">
        <v>10</v>
      </c>
      <c r="D88" t="n">
        <v>14</v>
      </c>
      <c r="E88" t="inlineStr">
        <is>
          <t>Calculation</t>
        </is>
      </c>
      <c r="F88" t="inlineStr">
        <is>
          <t>'=(N8+N9/2)*N18</t>
        </is>
      </c>
      <c r="G88" t="n">
        <v>-5512.729851490939</v>
      </c>
      <c r="H88" t="inlineStr"/>
      <c r="I88" t="inlineStr">
        <is>
          <t>0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G000089</t>
        </is>
      </c>
      <c r="T88" t="inlineStr">
        <is>
          <t>Horizontal</t>
        </is>
      </c>
      <c r="U88" t="n">
        <v>5</v>
      </c>
      <c r="V88" t="b">
        <v>1</v>
      </c>
      <c r="W88" t="inlineStr">
        <is>
          <t>Asset Schedule !K10:O10</t>
        </is>
      </c>
      <c r="X88">
        <f>(R[-2]C[0]+R[-1]C[0]/2)*R[8]C[0]</f>
        <v/>
      </c>
    </row>
    <row r="89">
      <c r="A89" t="inlineStr">
        <is>
          <t xml:space="preserve">Asset Schedule </t>
        </is>
      </c>
      <c r="B89" t="inlineStr">
        <is>
          <t>O10</t>
        </is>
      </c>
      <c r="C89" t="n">
        <v>10</v>
      </c>
      <c r="D89" t="n">
        <v>15</v>
      </c>
      <c r="E89" t="inlineStr">
        <is>
          <t>Calculation</t>
        </is>
      </c>
      <c r="F89" t="inlineStr">
        <is>
          <t>'=(O8+O9/2)*O18</t>
        </is>
      </c>
      <c r="G89" t="n">
        <v>-6010.198705153773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G000089</t>
        </is>
      </c>
      <c r="T89" t="inlineStr">
        <is>
          <t>Horizontal</t>
        </is>
      </c>
      <c r="U89" t="n">
        <v>5</v>
      </c>
      <c r="V89" t="b">
        <v>1</v>
      </c>
      <c r="W89" t="inlineStr">
        <is>
          <t>Asset Schedule !K10:O10</t>
        </is>
      </c>
      <c r="X89">
        <f>(R[-2]C[0]+R[-1]C[0]/2)*R[8]C[0]</f>
        <v/>
      </c>
    </row>
    <row r="90">
      <c r="A90" t="inlineStr">
        <is>
          <t xml:space="preserve">Asset Schedule </t>
        </is>
      </c>
      <c r="B90" t="inlineStr">
        <is>
          <t>A11</t>
        </is>
      </c>
      <c r="C90" t="n">
        <v>11</v>
      </c>
      <c r="D90" t="n">
        <v>1</v>
      </c>
      <c r="E90" t="inlineStr">
        <is>
          <t>Input</t>
        </is>
      </c>
      <c r="F90" t="n">
        <v/>
      </c>
      <c r="G90" t="inlineStr">
        <is>
          <t>Adjustments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 xml:space="preserve">Asset Schedule </t>
        </is>
      </c>
      <c r="B91" t="inlineStr">
        <is>
          <t>E11</t>
        </is>
      </c>
      <c r="C91" t="n">
        <v>11</v>
      </c>
      <c r="D91" t="n">
        <v>5</v>
      </c>
      <c r="E91" t="inlineStr">
        <is>
          <t>Input</t>
        </is>
      </c>
      <c r="F91" t="n">
        <v/>
      </c>
      <c r="H91" t="inlineStr"/>
      <c r="I91" t="inlineStr">
        <is>
          <t>0%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 xml:space="preserve">Asset Schedule </t>
        </is>
      </c>
      <c r="B92" t="inlineStr">
        <is>
          <t>F11</t>
        </is>
      </c>
      <c r="C92" t="n">
        <v>11</v>
      </c>
      <c r="D92" t="n">
        <v>6</v>
      </c>
      <c r="E92" t="inlineStr">
        <is>
          <t>Input</t>
        </is>
      </c>
      <c r="F92" t="n">
        <v/>
      </c>
      <c r="H92" t="inlineStr"/>
      <c r="I92" t="inlineStr">
        <is>
          <t>0%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 xml:space="preserve">Asset Schedule </t>
        </is>
      </c>
      <c r="B93" t="inlineStr">
        <is>
          <t>G11</t>
        </is>
      </c>
      <c r="C93" t="n">
        <v>11</v>
      </c>
      <c r="D93" t="n">
        <v>7</v>
      </c>
      <c r="E93" t="inlineStr">
        <is>
          <t>Input</t>
        </is>
      </c>
      <c r="F93" t="n">
        <v/>
      </c>
      <c r="H93" t="inlineStr"/>
      <c r="I93" t="inlineStr">
        <is>
          <t>0%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 xml:space="preserve">Asset Schedule </t>
        </is>
      </c>
      <c r="B94" t="inlineStr">
        <is>
          <t>H11</t>
        </is>
      </c>
      <c r="C94" t="n">
        <v>11</v>
      </c>
      <c r="D94" t="n">
        <v>8</v>
      </c>
      <c r="E94" t="inlineStr">
        <is>
          <t>Output</t>
        </is>
      </c>
      <c r="F94" t="inlineStr">
        <is>
          <t>'=H12-SUM(H8:H10)</t>
        </is>
      </c>
      <c r="G94" t="n">
        <v>1421.829999999987</v>
      </c>
      <c r="H94" t="inlineStr"/>
      <c r="I94" t="inlineStr">
        <is>
          <t>#,##0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1</v>
      </c>
      <c r="S94" t="inlineStr">
        <is>
          <t>G000090</t>
        </is>
      </c>
      <c r="T94" t="inlineStr">
        <is>
          <t>Horizontal</t>
        </is>
      </c>
      <c r="U94" t="n">
        <v>2</v>
      </c>
      <c r="V94" t="b">
        <v>1</v>
      </c>
      <c r="W94" t="inlineStr">
        <is>
          <t>Asset Schedule !H11:I11</t>
        </is>
      </c>
      <c r="X94">
        <f>R[1]C[0]-SUM(R[-3]C[0]:R[-1]C[0])</f>
        <v/>
      </c>
    </row>
    <row r="95">
      <c r="A95" t="inlineStr">
        <is>
          <t xml:space="preserve">Asset Schedule </t>
        </is>
      </c>
      <c r="B95" t="inlineStr">
        <is>
          <t>I11</t>
        </is>
      </c>
      <c r="C95" t="n">
        <v>11</v>
      </c>
      <c r="D95" t="n">
        <v>9</v>
      </c>
      <c r="E95" t="inlineStr">
        <is>
          <t>Output</t>
        </is>
      </c>
      <c r="F95" t="inlineStr">
        <is>
          <t>'=I12-SUM(I8:I10)</t>
        </is>
      </c>
      <c r="G95" t="n">
        <v>1060.209999999999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1</v>
      </c>
      <c r="S95" t="inlineStr">
        <is>
          <t>G000090</t>
        </is>
      </c>
      <c r="T95" t="inlineStr">
        <is>
          <t>Horizontal</t>
        </is>
      </c>
      <c r="U95" t="n">
        <v>2</v>
      </c>
      <c r="V95" t="b">
        <v>1</v>
      </c>
      <c r="W95" t="inlineStr">
        <is>
          <t>Asset Schedule !H11:I11</t>
        </is>
      </c>
      <c r="X95">
        <f>R[1]C[0]-SUM(R[-3]C[0]:R[-1]C[0])</f>
        <v/>
      </c>
    </row>
    <row r="96">
      <c r="A96" t="inlineStr">
        <is>
          <t xml:space="preserve">Asset Schedule </t>
        </is>
      </c>
      <c r="B96" t="inlineStr">
        <is>
          <t>J11</t>
        </is>
      </c>
      <c r="C96" t="n">
        <v>11</v>
      </c>
      <c r="D96" t="n">
        <v>10</v>
      </c>
      <c r="E96" t="inlineStr">
        <is>
          <t>Input</t>
        </is>
      </c>
      <c r="F96" t="n">
        <v/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 xml:space="preserve">Asset Schedule </t>
        </is>
      </c>
      <c r="B97" t="inlineStr">
        <is>
          <t>K11</t>
        </is>
      </c>
      <c r="C97" t="n">
        <v>11</v>
      </c>
      <c r="D97" t="n">
        <v>11</v>
      </c>
      <c r="E97" t="inlineStr">
        <is>
          <t>Input</t>
        </is>
      </c>
      <c r="F97" t="n">
        <v/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n">
        <v/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 xml:space="preserve">Asset Schedule </t>
        </is>
      </c>
      <c r="B98" t="inlineStr">
        <is>
          <t>L11</t>
        </is>
      </c>
      <c r="C98" t="n">
        <v>11</v>
      </c>
      <c r="D98" t="n">
        <v>12</v>
      </c>
      <c r="E98" t="inlineStr">
        <is>
          <t>Input</t>
        </is>
      </c>
      <c r="F98" t="n">
        <v/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 xml:space="preserve">Asset Schedule </t>
        </is>
      </c>
      <c r="B99" t="inlineStr">
        <is>
          <t>M11</t>
        </is>
      </c>
      <c r="C99" t="n">
        <v>11</v>
      </c>
      <c r="D99" t="n">
        <v>13</v>
      </c>
      <c r="E99" t="inlineStr">
        <is>
          <t>Input</t>
        </is>
      </c>
      <c r="F99" t="n">
        <v/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 xml:space="preserve">Asset Schedule </t>
        </is>
      </c>
      <c r="B100" t="inlineStr">
        <is>
          <t>N11</t>
        </is>
      </c>
      <c r="C100" t="n">
        <v>11</v>
      </c>
      <c r="D100" t="n">
        <v>14</v>
      </c>
      <c r="E100" t="inlineStr">
        <is>
          <t>Input</t>
        </is>
      </c>
      <c r="F100" t="n">
        <v/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 xml:space="preserve">Asset Schedule </t>
        </is>
      </c>
      <c r="B101" t="inlineStr">
        <is>
          <t>O11</t>
        </is>
      </c>
      <c r="C101" t="n">
        <v>11</v>
      </c>
      <c r="D101" t="n">
        <v>15</v>
      </c>
      <c r="E101" t="inlineStr">
        <is>
          <t>Input</t>
        </is>
      </c>
      <c r="F101" t="n">
        <v/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 xml:space="preserve">Asset Schedule </t>
        </is>
      </c>
      <c r="B102" t="inlineStr">
        <is>
          <t>A12</t>
        </is>
      </c>
      <c r="C102" t="n">
        <v>12</v>
      </c>
      <c r="D102" t="n">
        <v>1</v>
      </c>
      <c r="E102" t="inlineStr">
        <is>
          <t>Input</t>
        </is>
      </c>
      <c r="F102" t="n">
        <v/>
      </c>
      <c r="G102" t="inlineStr">
        <is>
          <t>Closing Balance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 xml:space="preserve">Asset Schedule </t>
        </is>
      </c>
      <c r="B103" t="inlineStr">
        <is>
          <t>H12</t>
        </is>
      </c>
      <c r="C103" t="n">
        <v>12</v>
      </c>
      <c r="D103" t="n">
        <v>8</v>
      </c>
      <c r="E103" t="inlineStr">
        <is>
          <t>Input</t>
        </is>
      </c>
      <c r="F103" t="n">
        <v/>
      </c>
      <c r="G103" t="n">
        <v>48664.02</v>
      </c>
      <c r="H103" t="inlineStr"/>
      <c r="I103" t="inlineStr">
        <is>
          <t>#,##0</t>
        </is>
      </c>
      <c r="J103" t="b">
        <v>0</v>
      </c>
      <c r="K103" t="b">
        <v>0</v>
      </c>
      <c r="L103" t="n">
        <v>11</v>
      </c>
      <c r="M103" t="inlineStr">
        <is>
          <t>FF0B0280</t>
        </is>
      </c>
      <c r="N103" t="inlineStr">
        <is>
          <t>00000000</t>
        </is>
      </c>
      <c r="O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 xml:space="preserve">Asset Schedule </t>
        </is>
      </c>
      <c r="B104" t="inlineStr">
        <is>
          <t>I12</t>
        </is>
      </c>
      <c r="C104" t="n">
        <v>12</v>
      </c>
      <c r="D104" t="n">
        <v>9</v>
      </c>
      <c r="E104" t="inlineStr">
        <is>
          <t>Input</t>
        </is>
      </c>
      <c r="F104" t="n">
        <v/>
      </c>
      <c r="G104" t="n">
        <v>46755.15</v>
      </c>
      <c r="H104" t="inlineStr"/>
      <c r="I104" t="inlineStr">
        <is>
          <t>#,##0</t>
        </is>
      </c>
      <c r="J104" t="b">
        <v>0</v>
      </c>
      <c r="K104" t="b">
        <v>0</v>
      </c>
      <c r="L104" t="n">
        <v>11</v>
      </c>
      <c r="M104" t="inlineStr">
        <is>
          <t>FF0B0280</t>
        </is>
      </c>
      <c r="N104" t="inlineStr">
        <is>
          <t>00000000</t>
        </is>
      </c>
      <c r="O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 xml:space="preserve">Asset Schedule </t>
        </is>
      </c>
      <c r="B105" t="inlineStr">
        <is>
          <t>J12</t>
        </is>
      </c>
      <c r="C105" t="n">
        <v>12</v>
      </c>
      <c r="D105" t="n">
        <v>10</v>
      </c>
      <c r="E105" t="inlineStr">
        <is>
          <t>Input</t>
        </is>
      </c>
      <c r="F105" t="n">
        <v/>
      </c>
      <c r="G105" t="n">
        <v>37474.72</v>
      </c>
      <c r="H105" t="inlineStr"/>
      <c r="I105" t="inlineStr">
        <is>
          <t>#,##0</t>
        </is>
      </c>
      <c r="J105" t="b">
        <v>0</v>
      </c>
      <c r="K105" t="b">
        <v>0</v>
      </c>
      <c r="L105" t="n">
        <v>11</v>
      </c>
      <c r="M105" t="inlineStr">
        <is>
          <t>FF0B0280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 xml:space="preserve">Asset Schedule </t>
        </is>
      </c>
      <c r="B106" t="inlineStr">
        <is>
          <t>K12</t>
        </is>
      </c>
      <c r="C106" t="n">
        <v>12</v>
      </c>
      <c r="D106" t="n">
        <v>11</v>
      </c>
      <c r="E106" t="inlineStr">
        <is>
          <t>Calculation</t>
        </is>
      </c>
      <c r="F106" t="inlineStr">
        <is>
          <t>'=SUM(K8:K11)</t>
        </is>
      </c>
      <c r="G106" t="n">
        <v>43402.95776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G000092</t>
        </is>
      </c>
      <c r="T106" t="inlineStr">
        <is>
          <t>Horizontal</t>
        </is>
      </c>
      <c r="U106" t="n">
        <v>5</v>
      </c>
      <c r="V106" t="b">
        <v>1</v>
      </c>
      <c r="W106" t="inlineStr">
        <is>
          <t>Asset Schedule !K12:O12</t>
        </is>
      </c>
      <c r="X106">
        <f>SUM(R[-4]C[0]:R[-1]C[0])</f>
        <v/>
      </c>
    </row>
    <row r="107">
      <c r="A107" t="inlineStr">
        <is>
          <t xml:space="preserve">Asset Schedule </t>
        </is>
      </c>
      <c r="B107" t="inlineStr">
        <is>
          <t>L12</t>
        </is>
      </c>
      <c r="C107" t="n">
        <v>12</v>
      </c>
      <c r="D107" t="n">
        <v>12</v>
      </c>
      <c r="E107" t="inlineStr">
        <is>
          <t>Calculation</t>
        </is>
      </c>
      <c r="F107" t="inlineStr">
        <is>
          <t>'=SUM(L8:L11)</t>
        </is>
      </c>
      <c r="G107" t="n">
        <v>49083.44564608001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1</v>
      </c>
      <c r="S107" t="inlineStr">
        <is>
          <t>G000092</t>
        </is>
      </c>
      <c r="T107" t="inlineStr">
        <is>
          <t>Horizontal</t>
        </is>
      </c>
      <c r="U107" t="n">
        <v>5</v>
      </c>
      <c r="V107" t="b">
        <v>1</v>
      </c>
      <c r="W107" t="inlineStr">
        <is>
          <t>Asset Schedule !K12:O12</t>
        </is>
      </c>
      <c r="X107">
        <f>SUM(R[-4]C[0]:R[-1]C[0])</f>
        <v/>
      </c>
    </row>
    <row r="108">
      <c r="A108" t="inlineStr">
        <is>
          <t xml:space="preserve">Asset Schedule </t>
        </is>
      </c>
      <c r="B108" t="inlineStr">
        <is>
          <t>M12</t>
        </is>
      </c>
      <c r="C108" t="n">
        <v>12</v>
      </c>
      <c r="D108" t="n">
        <v>13</v>
      </c>
      <c r="E108" t="inlineStr">
        <is>
          <t>Calculation</t>
        </is>
      </c>
      <c r="F108" t="inlineStr">
        <is>
          <t>'=SUM(M8:M11)</t>
        </is>
      </c>
      <c r="G108" t="n">
        <v>54538.97664664064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G000092</t>
        </is>
      </c>
      <c r="T108" t="inlineStr">
        <is>
          <t>Horizontal</t>
        </is>
      </c>
      <c r="U108" t="n">
        <v>5</v>
      </c>
      <c r="V108" t="b">
        <v>1</v>
      </c>
      <c r="W108" t="inlineStr">
        <is>
          <t>Asset Schedule !K12:O12</t>
        </is>
      </c>
      <c r="X108">
        <f>SUM(R[-4]C[0]:R[-1]C[0])</f>
        <v/>
      </c>
    </row>
    <row r="109">
      <c r="A109" t="inlineStr">
        <is>
          <t xml:space="preserve">Asset Schedule </t>
        </is>
      </c>
      <c r="B109" t="inlineStr">
        <is>
          <t>N12</t>
        </is>
      </c>
      <c r="C109" t="n">
        <v>12</v>
      </c>
      <c r="D109" t="n">
        <v>14</v>
      </c>
      <c r="E109" t="inlineStr">
        <is>
          <t>Calculation</t>
        </is>
      </c>
      <c r="F109" t="inlineStr">
        <is>
          <t>'=SUM(N8:N11)</t>
        </is>
      </c>
      <c r="G109" t="n">
        <v>59790.2467951497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1</v>
      </c>
      <c r="S109" t="inlineStr">
        <is>
          <t>G000092</t>
        </is>
      </c>
      <c r="T109" t="inlineStr">
        <is>
          <t>Horizontal</t>
        </is>
      </c>
      <c r="U109" t="n">
        <v>5</v>
      </c>
      <c r="V109" t="b">
        <v>1</v>
      </c>
      <c r="W109" t="inlineStr">
        <is>
          <t>Asset Schedule !K12:O12</t>
        </is>
      </c>
      <c r="X109">
        <f>SUM(R[-4]C[0]:R[-1]C[0])</f>
        <v/>
      </c>
    </row>
    <row r="110">
      <c r="A110" t="inlineStr">
        <is>
          <t xml:space="preserve">Asset Schedule </t>
        </is>
      </c>
      <c r="B110" t="inlineStr">
        <is>
          <t>O12</t>
        </is>
      </c>
      <c r="C110" t="n">
        <v>12</v>
      </c>
      <c r="D110" t="n">
        <v>15</v>
      </c>
      <c r="E110" t="inlineStr">
        <is>
          <t>Calculation</t>
        </is>
      </c>
      <c r="F110" t="inlineStr">
        <is>
          <t>'=SUM(O8:O11)</t>
        </is>
      </c>
      <c r="G110" t="n">
        <v>64856.04808999592</v>
      </c>
      <c r="H110" t="inlineStr"/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G000092</t>
        </is>
      </c>
      <c r="T110" t="inlineStr">
        <is>
          <t>Horizontal</t>
        </is>
      </c>
      <c r="U110" t="n">
        <v>5</v>
      </c>
      <c r="V110" t="b">
        <v>1</v>
      </c>
      <c r="W110" t="inlineStr">
        <is>
          <t>Asset Schedule !K12:O12</t>
        </is>
      </c>
      <c r="X110">
        <f>SUM(R[-4]C[0]:R[-1]C[0])</f>
        <v/>
      </c>
    </row>
    <row r="111">
      <c r="A111" t="inlineStr">
        <is>
          <t xml:space="preserve">Asset Schedule </t>
        </is>
      </c>
      <c r="B111" t="inlineStr">
        <is>
          <t>R12</t>
        </is>
      </c>
      <c r="C111" t="n">
        <v>12</v>
      </c>
      <c r="D111" t="n">
        <v>18</v>
      </c>
      <c r="E111" t="inlineStr">
        <is>
          <t>Input</t>
        </is>
      </c>
      <c r="F111" t="n">
        <v/>
      </c>
      <c r="G111" t="n">
        <v>26</v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 xml:space="preserve">Asset Schedule </t>
        </is>
      </c>
      <c r="B112" t="inlineStr">
        <is>
          <t>D13</t>
        </is>
      </c>
      <c r="C112" t="n">
        <v>13</v>
      </c>
      <c r="D112" t="n">
        <v>4</v>
      </c>
      <c r="E112" t="inlineStr">
        <is>
          <t>Input</t>
        </is>
      </c>
      <c r="F112" t="n">
        <v/>
      </c>
      <c r="H112" t="inlineStr"/>
      <c r="I112" t="inlineStr">
        <is>
          <t>0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 xml:space="preserve">Asset Schedule </t>
        </is>
      </c>
      <c r="B113" t="inlineStr">
        <is>
          <t>E13</t>
        </is>
      </c>
      <c r="C113" t="n">
        <v>13</v>
      </c>
      <c r="D113" t="n">
        <v>5</v>
      </c>
      <c r="E113" t="inlineStr">
        <is>
          <t>Input</t>
        </is>
      </c>
      <c r="F113" t="n">
        <v/>
      </c>
      <c r="H113" t="inlineStr"/>
      <c r="I113" t="inlineStr">
        <is>
          <t>0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 xml:space="preserve">Asset Schedule </t>
        </is>
      </c>
      <c r="B114" t="inlineStr">
        <is>
          <t>F13</t>
        </is>
      </c>
      <c r="C114" t="n">
        <v>13</v>
      </c>
      <c r="D114" t="n">
        <v>6</v>
      </c>
      <c r="E114" t="inlineStr">
        <is>
          <t>Input</t>
        </is>
      </c>
      <c r="F114" t="n">
        <v/>
      </c>
      <c r="H114" t="inlineStr"/>
      <c r="I114" t="inlineStr">
        <is>
          <t>0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 xml:space="preserve">Asset Schedule </t>
        </is>
      </c>
      <c r="B115" t="inlineStr">
        <is>
          <t>G13</t>
        </is>
      </c>
      <c r="C115" t="n">
        <v>13</v>
      </c>
      <c r="D115" t="n">
        <v>7</v>
      </c>
      <c r="E115" t="inlineStr">
        <is>
          <t>Input</t>
        </is>
      </c>
      <c r="F115" t="n">
        <v/>
      </c>
      <c r="H115" t="inlineStr"/>
      <c r="I115" t="inlineStr">
        <is>
          <t>0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 xml:space="preserve">Asset Schedule </t>
        </is>
      </c>
      <c r="B116" t="inlineStr">
        <is>
          <t>H13</t>
        </is>
      </c>
      <c r="C116" t="n">
        <v>13</v>
      </c>
      <c r="D116" t="n">
        <v>8</v>
      </c>
      <c r="E116" t="inlineStr">
        <is>
          <t>Input</t>
        </is>
      </c>
      <c r="F116" t="n">
        <v/>
      </c>
      <c r="H116" t="inlineStr"/>
      <c r="I116" t="inlineStr">
        <is>
          <t>0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 xml:space="preserve">Asset Schedule </t>
        </is>
      </c>
      <c r="B117" t="inlineStr">
        <is>
          <t>I13</t>
        </is>
      </c>
      <c r="C117" t="n">
        <v>13</v>
      </c>
      <c r="D117" t="n">
        <v>9</v>
      </c>
      <c r="E117" t="inlineStr">
        <is>
          <t>Input</t>
        </is>
      </c>
      <c r="F117" t="n">
        <v/>
      </c>
      <c r="H117" t="inlineStr"/>
      <c r="I117" t="inlineStr">
        <is>
          <t>0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 xml:space="preserve">Asset Schedule </t>
        </is>
      </c>
      <c r="B118" t="inlineStr">
        <is>
          <t>J13</t>
        </is>
      </c>
      <c r="C118" t="n">
        <v>13</v>
      </c>
      <c r="D118" t="n">
        <v>10</v>
      </c>
      <c r="E118" t="inlineStr">
        <is>
          <t>Input</t>
        </is>
      </c>
      <c r="F118" t="n">
        <v/>
      </c>
      <c r="H118" t="inlineStr"/>
      <c r="I118" t="inlineStr">
        <is>
          <t>0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 xml:space="preserve">Asset Schedule </t>
        </is>
      </c>
      <c r="B119" t="inlineStr">
        <is>
          <t>K13</t>
        </is>
      </c>
      <c r="C119" t="n">
        <v>13</v>
      </c>
      <c r="D119" t="n">
        <v>11</v>
      </c>
      <c r="E119" t="inlineStr">
        <is>
          <t>Input</t>
        </is>
      </c>
      <c r="F119" t="n">
        <v/>
      </c>
      <c r="H119" t="inlineStr"/>
      <c r="I119" t="inlineStr">
        <is>
          <t>0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 xml:space="preserve">Asset Schedule </t>
        </is>
      </c>
      <c r="B120" t="inlineStr">
        <is>
          <t>L13</t>
        </is>
      </c>
      <c r="C120" t="n">
        <v>13</v>
      </c>
      <c r="D120" t="n">
        <v>12</v>
      </c>
      <c r="E120" t="inlineStr">
        <is>
          <t>Input</t>
        </is>
      </c>
      <c r="F120" t="n">
        <v/>
      </c>
      <c r="H120" t="inlineStr"/>
      <c r="I120" t="inlineStr">
        <is>
          <t>0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 xml:space="preserve">Asset Schedule </t>
        </is>
      </c>
      <c r="B121" t="inlineStr">
        <is>
          <t>M13</t>
        </is>
      </c>
      <c r="C121" t="n">
        <v>13</v>
      </c>
      <c r="D121" t="n">
        <v>13</v>
      </c>
      <c r="E121" t="inlineStr">
        <is>
          <t>Input</t>
        </is>
      </c>
      <c r="F121" t="n">
        <v/>
      </c>
      <c r="H121" t="inlineStr"/>
      <c r="I121" t="inlineStr">
        <is>
          <t>0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 xml:space="preserve">Asset Schedule </t>
        </is>
      </c>
      <c r="B122" t="inlineStr">
        <is>
          <t>N13</t>
        </is>
      </c>
      <c r="C122" t="n">
        <v>13</v>
      </c>
      <c r="D122" t="n">
        <v>14</v>
      </c>
      <c r="E122" t="inlineStr">
        <is>
          <t>Input</t>
        </is>
      </c>
      <c r="F122" t="n">
        <v/>
      </c>
      <c r="H122" t="inlineStr"/>
      <c r="I122" t="inlineStr">
        <is>
          <t>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 xml:space="preserve">Asset Schedule </t>
        </is>
      </c>
      <c r="B123" t="inlineStr">
        <is>
          <t>O13</t>
        </is>
      </c>
      <c r="C123" t="n">
        <v>13</v>
      </c>
      <c r="D123" t="n">
        <v>15</v>
      </c>
      <c r="E123" t="inlineStr">
        <is>
          <t>Input</t>
        </is>
      </c>
      <c r="F123" t="n">
        <v/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 xml:space="preserve">Asset Schedule </t>
        </is>
      </c>
      <c r="B124" t="inlineStr">
        <is>
          <t>A14</t>
        </is>
      </c>
      <c r="C124" t="n">
        <v>14</v>
      </c>
      <c r="D124" t="n">
        <v>1</v>
      </c>
      <c r="E124" t="inlineStr">
        <is>
          <t>Input</t>
        </is>
      </c>
      <c r="F124" t="n">
        <v/>
      </c>
      <c r="G124" t="inlineStr">
        <is>
          <t>Addition to Aircaft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 xml:space="preserve">Asset Schedule </t>
        </is>
      </c>
      <c r="B125" t="inlineStr">
        <is>
          <t>H14</t>
        </is>
      </c>
      <c r="C125" t="n">
        <v>14</v>
      </c>
      <c r="D125" t="n">
        <v>8</v>
      </c>
      <c r="E125" t="inlineStr">
        <is>
          <t>Input</t>
        </is>
      </c>
      <c r="F125" t="n">
        <v/>
      </c>
      <c r="G125" t="n">
        <v>4</v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FF0B0280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 xml:space="preserve">Asset Schedule </t>
        </is>
      </c>
      <c r="B126" t="inlineStr">
        <is>
          <t>K14</t>
        </is>
      </c>
      <c r="C126" t="n">
        <v>14</v>
      </c>
      <c r="D126" t="n">
        <v>11</v>
      </c>
      <c r="E126" t="inlineStr">
        <is>
          <t>Input</t>
        </is>
      </c>
      <c r="F126" t="n">
        <v/>
      </c>
      <c r="G126" t="n">
        <v>6</v>
      </c>
      <c r="H126" t="inlineStr"/>
      <c r="I126" t="inlineStr">
        <is>
          <t>#,##0</t>
        </is>
      </c>
      <c r="J126" t="b">
        <v>0</v>
      </c>
      <c r="K126" t="b">
        <v>0</v>
      </c>
      <c r="L126" t="n">
        <v>11</v>
      </c>
      <c r="M126" t="inlineStr">
        <is>
          <t>FFFF0000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 xml:space="preserve">Asset Schedule </t>
        </is>
      </c>
      <c r="B127" t="inlineStr">
        <is>
          <t>L14</t>
        </is>
      </c>
      <c r="C127" t="n">
        <v>14</v>
      </c>
      <c r="D127" t="n">
        <v>12</v>
      </c>
      <c r="E127" t="inlineStr">
        <is>
          <t>Input</t>
        </is>
      </c>
      <c r="F127" t="n">
        <v/>
      </c>
      <c r="G127" t="n">
        <v>6</v>
      </c>
      <c r="H127" t="inlineStr"/>
      <c r="I127" t="inlineStr">
        <is>
          <t>#,##0</t>
        </is>
      </c>
      <c r="J127" t="b">
        <v>0</v>
      </c>
      <c r="K127" t="b">
        <v>0</v>
      </c>
      <c r="L127" t="n">
        <v>11</v>
      </c>
      <c r="M127" t="inlineStr">
        <is>
          <t>FFFF0000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 xml:space="preserve">Asset Schedule </t>
        </is>
      </c>
      <c r="B128" t="inlineStr">
        <is>
          <t>M14</t>
        </is>
      </c>
      <c r="C128" t="n">
        <v>14</v>
      </c>
      <c r="D128" t="n">
        <v>13</v>
      </c>
      <c r="E128" t="inlineStr">
        <is>
          <t>Input</t>
        </is>
      </c>
      <c r="F128" t="n">
        <v/>
      </c>
      <c r="G128" t="n">
        <v>6</v>
      </c>
      <c r="H128" t="inlineStr"/>
      <c r="I128" t="inlineStr">
        <is>
          <t>#,##0</t>
        </is>
      </c>
      <c r="J128" t="b">
        <v>0</v>
      </c>
      <c r="K128" t="b">
        <v>0</v>
      </c>
      <c r="L128" t="n">
        <v>11</v>
      </c>
      <c r="M128" t="inlineStr">
        <is>
          <t>FFFF0000</t>
        </is>
      </c>
      <c r="N128" t="inlineStr">
        <is>
          <t>00000000</t>
        </is>
      </c>
      <c r="O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 xml:space="preserve">Asset Schedule </t>
        </is>
      </c>
      <c r="B129" t="inlineStr">
        <is>
          <t>N14</t>
        </is>
      </c>
      <c r="C129" t="n">
        <v>14</v>
      </c>
      <c r="D129" t="n">
        <v>14</v>
      </c>
      <c r="E129" t="inlineStr">
        <is>
          <t>Input</t>
        </is>
      </c>
      <c r="F129" t="n">
        <v/>
      </c>
      <c r="G129" t="n">
        <v>6</v>
      </c>
      <c r="H129" t="inlineStr"/>
      <c r="I129" t="inlineStr">
        <is>
          <t>#,##0</t>
        </is>
      </c>
      <c r="J129" t="b">
        <v>0</v>
      </c>
      <c r="K129" t="b">
        <v>0</v>
      </c>
      <c r="L129" t="n">
        <v>11</v>
      </c>
      <c r="M129" t="inlineStr">
        <is>
          <t>FFFF0000</t>
        </is>
      </c>
      <c r="N129" t="inlineStr">
        <is>
          <t>00000000</t>
        </is>
      </c>
      <c r="O129" t="n">
        <v/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 xml:space="preserve">Asset Schedule </t>
        </is>
      </c>
      <c r="B130" t="inlineStr">
        <is>
          <t>O14</t>
        </is>
      </c>
      <c r="C130" t="n">
        <v>14</v>
      </c>
      <c r="D130" t="n">
        <v>15</v>
      </c>
      <c r="E130" t="inlineStr">
        <is>
          <t>Input</t>
        </is>
      </c>
      <c r="F130" t="n">
        <v/>
      </c>
      <c r="G130" t="n">
        <v>6</v>
      </c>
      <c r="H130" t="inlineStr"/>
      <c r="I130" t="inlineStr">
        <is>
          <t>#,##0</t>
        </is>
      </c>
      <c r="J130" t="b">
        <v>0</v>
      </c>
      <c r="K130" t="b">
        <v>0</v>
      </c>
      <c r="L130" t="n">
        <v>11</v>
      </c>
      <c r="M130" t="inlineStr">
        <is>
          <t>FFFF0000</t>
        </is>
      </c>
      <c r="N130" t="inlineStr">
        <is>
          <t>00000000</t>
        </is>
      </c>
      <c r="O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 xml:space="preserve">Asset Schedule </t>
        </is>
      </c>
      <c r="B131" t="inlineStr">
        <is>
          <t>A15</t>
        </is>
      </c>
      <c r="C131" t="n">
        <v>15</v>
      </c>
      <c r="D131" t="n">
        <v>1</v>
      </c>
      <c r="E131" t="inlineStr">
        <is>
          <t>Input</t>
        </is>
      </c>
      <c r="F131" t="n">
        <v/>
      </c>
      <c r="G131" t="inlineStr">
        <is>
          <t>Gross Amount of addition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 xml:space="preserve">Asset Schedule </t>
        </is>
      </c>
      <c r="B132" t="inlineStr">
        <is>
          <t>H15</t>
        </is>
      </c>
      <c r="C132" t="n">
        <v>15</v>
      </c>
      <c r="D132" t="n">
        <v>8</v>
      </c>
      <c r="E132" t="inlineStr">
        <is>
          <t>Input</t>
        </is>
      </c>
      <c r="F132" t="n">
        <v/>
      </c>
      <c r="G132" t="n">
        <v>9859.51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FF0B0280</t>
        </is>
      </c>
      <c r="N132" t="inlineStr">
        <is>
          <t>00000000</t>
        </is>
      </c>
      <c r="O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 xml:space="preserve">Asset Schedule </t>
        </is>
      </c>
      <c r="B133" t="inlineStr">
        <is>
          <t>K15</t>
        </is>
      </c>
      <c r="C133" t="n">
        <v>15</v>
      </c>
      <c r="D133" t="n">
        <v>11</v>
      </c>
      <c r="E133" t="inlineStr">
        <is>
          <t>Calculation</t>
        </is>
      </c>
      <c r="F133" t="inlineStr">
        <is>
          <t>'=K14*K16</t>
        </is>
      </c>
      <c r="G133" t="n">
        <v>9828</v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1</v>
      </c>
      <c r="S133" t="inlineStr">
        <is>
          <t>G000094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Asset Schedule !K15:O15</t>
        </is>
      </c>
      <c r="X133">
        <f>R[-1]C[0]*R[1]C[0]</f>
        <v/>
      </c>
    </row>
    <row r="134">
      <c r="A134" t="inlineStr">
        <is>
          <t xml:space="preserve">Asset Schedule </t>
        </is>
      </c>
      <c r="B134" t="inlineStr">
        <is>
          <t>L15</t>
        </is>
      </c>
      <c r="C134" t="n">
        <v>15</v>
      </c>
      <c r="D134" t="n">
        <v>12</v>
      </c>
      <c r="E134" t="inlineStr">
        <is>
          <t>Calculation</t>
        </is>
      </c>
      <c r="F134" t="inlineStr">
        <is>
          <t>'=L14*L16</t>
        </is>
      </c>
      <c r="G134" t="n">
        <v>10140</v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1</v>
      </c>
      <c r="S134" t="inlineStr">
        <is>
          <t>G000094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Asset Schedule !K15:O15</t>
        </is>
      </c>
      <c r="X134">
        <f>R[-1]C[0]*R[1]C[0]</f>
        <v/>
      </c>
    </row>
    <row r="135">
      <c r="A135" t="inlineStr">
        <is>
          <t xml:space="preserve">Asset Schedule </t>
        </is>
      </c>
      <c r="B135" t="inlineStr">
        <is>
          <t>M15</t>
        </is>
      </c>
      <c r="C135" t="n">
        <v>15</v>
      </c>
      <c r="D135" t="n">
        <v>13</v>
      </c>
      <c r="E135" t="inlineStr">
        <is>
          <t>Calculation</t>
        </is>
      </c>
      <c r="F135" t="inlineStr">
        <is>
          <t>'=M14*M16</t>
        </is>
      </c>
      <c r="G135" t="n">
        <v>10452</v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1</v>
      </c>
      <c r="S135" t="inlineStr">
        <is>
          <t>G000094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Asset Schedule !K15:O15</t>
        </is>
      </c>
      <c r="X135">
        <f>R[-1]C[0]*R[1]C[0]</f>
        <v/>
      </c>
    </row>
    <row r="136">
      <c r="A136" t="inlineStr">
        <is>
          <t xml:space="preserve">Asset Schedule </t>
        </is>
      </c>
      <c r="B136" t="inlineStr">
        <is>
          <t>N15</t>
        </is>
      </c>
      <c r="C136" t="n">
        <v>15</v>
      </c>
      <c r="D136" t="n">
        <v>14</v>
      </c>
      <c r="E136" t="inlineStr">
        <is>
          <t>Calculation</t>
        </is>
      </c>
      <c r="F136" t="inlineStr">
        <is>
          <t>'=N14*N16</t>
        </is>
      </c>
      <c r="G136" t="n">
        <v>10764</v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1</v>
      </c>
      <c r="S136" t="inlineStr">
        <is>
          <t>G000094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Asset Schedule !K15:O15</t>
        </is>
      </c>
      <c r="X136">
        <f>R[-1]C[0]*R[1]C[0]</f>
        <v/>
      </c>
    </row>
    <row r="137">
      <c r="A137" t="inlineStr">
        <is>
          <t xml:space="preserve">Asset Schedule </t>
        </is>
      </c>
      <c r="B137" t="inlineStr">
        <is>
          <t>O15</t>
        </is>
      </c>
      <c r="C137" t="n">
        <v>15</v>
      </c>
      <c r="D137" t="n">
        <v>15</v>
      </c>
      <c r="E137" t="inlineStr">
        <is>
          <t>Calculation</t>
        </is>
      </c>
      <c r="F137" t="inlineStr">
        <is>
          <t>'=O14*O16</t>
        </is>
      </c>
      <c r="G137" t="n">
        <v>11076</v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1</v>
      </c>
      <c r="S137" t="inlineStr">
        <is>
          <t>G000094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Asset Schedule !K15:O15</t>
        </is>
      </c>
      <c r="X137">
        <f>R[-1]C[0]*R[1]C[0]</f>
        <v/>
      </c>
    </row>
    <row r="138">
      <c r="A138" t="inlineStr">
        <is>
          <t xml:space="preserve">Asset Schedule </t>
        </is>
      </c>
      <c r="B138" t="inlineStr">
        <is>
          <t>Q15</t>
        </is>
      </c>
      <c r="C138" t="n">
        <v>15</v>
      </c>
      <c r="D138" t="n">
        <v>17</v>
      </c>
      <c r="E138" t="inlineStr">
        <is>
          <t>Input</t>
        </is>
      </c>
      <c r="F138" t="n">
        <v/>
      </c>
      <c r="G138" t="n">
        <v>800</v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 xml:space="preserve">Asset Schedule </t>
        </is>
      </c>
      <c r="B139" t="inlineStr">
        <is>
          <t>A16</t>
        </is>
      </c>
      <c r="C139" t="n">
        <v>16</v>
      </c>
      <c r="D139" t="n">
        <v>1</v>
      </c>
      <c r="E139" t="inlineStr">
        <is>
          <t>Input</t>
        </is>
      </c>
      <c r="F139" t="n">
        <v/>
      </c>
      <c r="G139" t="inlineStr">
        <is>
          <t>Cost per aircraft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 xml:space="preserve">Asset Schedule </t>
        </is>
      </c>
      <c r="B140" t="inlineStr">
        <is>
          <t>H16</t>
        </is>
      </c>
      <c r="C140" t="n">
        <v>16</v>
      </c>
      <c r="D140" t="n">
        <v>8</v>
      </c>
      <c r="E140" t="inlineStr">
        <is>
          <t>Output</t>
        </is>
      </c>
      <c r="F140" t="inlineStr">
        <is>
          <t>'=H15/H14</t>
        </is>
      </c>
      <c r="G140" t="n">
        <v>2464.8775</v>
      </c>
      <c r="H140" t="inlineStr"/>
      <c r="I140" t="inlineStr">
        <is>
          <t>0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>
        <f>R[-1]C[0]/R[-2]C[0]</f>
        <v/>
      </c>
    </row>
    <row r="141">
      <c r="A141" t="inlineStr">
        <is>
          <t xml:space="preserve">Asset Schedule </t>
        </is>
      </c>
      <c r="B141" t="inlineStr">
        <is>
          <t>K16</t>
        </is>
      </c>
      <c r="C141" t="n">
        <v>16</v>
      </c>
      <c r="D141" t="n">
        <v>11</v>
      </c>
      <c r="E141" t="inlineStr">
        <is>
          <t>Calculation</t>
        </is>
      </c>
      <c r="F141" t="inlineStr">
        <is>
          <t>'=26*'Cost Matrix'!R13</t>
        </is>
      </c>
      <c r="G141" t="n">
        <v>1638</v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FFFF0000</t>
        </is>
      </c>
      <c r="N141" t="inlineStr">
        <is>
          <t>00000000</t>
        </is>
      </c>
      <c r="O141" t="n">
        <v/>
      </c>
      <c r="R141" t="b">
        <v>1</v>
      </c>
      <c r="S141" t="inlineStr">
        <is>
          <t>G000095</t>
        </is>
      </c>
      <c r="T141" t="inlineStr">
        <is>
          <t>Horizontal</t>
        </is>
      </c>
      <c r="U141" t="n">
        <v>5</v>
      </c>
      <c r="V141" t="b">
        <v>1</v>
      </c>
      <c r="W141" t="inlineStr">
        <is>
          <t>Asset Schedule !K16:O16</t>
        </is>
      </c>
      <c r="X141">
        <f>26*'Cost Matrix'!R[-3]C[7]</f>
        <v/>
      </c>
    </row>
    <row r="142">
      <c r="A142" t="inlineStr">
        <is>
          <t xml:space="preserve">Asset Schedule </t>
        </is>
      </c>
      <c r="B142" t="inlineStr">
        <is>
          <t>L16</t>
        </is>
      </c>
      <c r="C142" t="n">
        <v>16</v>
      </c>
      <c r="D142" t="n">
        <v>12</v>
      </c>
      <c r="E142" t="inlineStr">
        <is>
          <t>Calculation</t>
        </is>
      </c>
      <c r="F142" t="inlineStr">
        <is>
          <t>'=26*'Cost Matrix'!S13</t>
        </is>
      </c>
      <c r="G142" t="n">
        <v>1690</v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FFFF0000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G000095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Asset Schedule !K16:O16</t>
        </is>
      </c>
      <c r="X142">
        <f>26*'Cost Matrix'!R[-3]C[7]</f>
        <v/>
      </c>
    </row>
    <row r="143">
      <c r="A143" t="inlineStr">
        <is>
          <t xml:space="preserve">Asset Schedule </t>
        </is>
      </c>
      <c r="B143" t="inlineStr">
        <is>
          <t>M16</t>
        </is>
      </c>
      <c r="C143" t="n">
        <v>16</v>
      </c>
      <c r="D143" t="n">
        <v>13</v>
      </c>
      <c r="E143" t="inlineStr">
        <is>
          <t>Calculation</t>
        </is>
      </c>
      <c r="F143" t="inlineStr">
        <is>
          <t>'=26*'Cost Matrix'!T13</t>
        </is>
      </c>
      <c r="G143" t="n">
        <v>1742</v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FFFF0000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G000095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Asset Schedule !K16:O16</t>
        </is>
      </c>
      <c r="X143">
        <f>26*'Cost Matrix'!R[-3]C[7]</f>
        <v/>
      </c>
    </row>
    <row r="144">
      <c r="A144" t="inlineStr">
        <is>
          <t xml:space="preserve">Asset Schedule </t>
        </is>
      </c>
      <c r="B144" t="inlineStr">
        <is>
          <t>N16</t>
        </is>
      </c>
      <c r="C144" t="n">
        <v>16</v>
      </c>
      <c r="D144" t="n">
        <v>14</v>
      </c>
      <c r="E144" t="inlineStr">
        <is>
          <t>Calculation</t>
        </is>
      </c>
      <c r="F144" t="inlineStr">
        <is>
          <t>'=26*'Cost Matrix'!U13</t>
        </is>
      </c>
      <c r="G144" t="n">
        <v>1794</v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FFFF0000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G000095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Asset Schedule !K16:O16</t>
        </is>
      </c>
      <c r="X144">
        <f>26*'Cost Matrix'!R[-3]C[7]</f>
        <v/>
      </c>
    </row>
    <row r="145">
      <c r="A145" t="inlineStr">
        <is>
          <t xml:space="preserve">Asset Schedule </t>
        </is>
      </c>
      <c r="B145" t="inlineStr">
        <is>
          <t>O16</t>
        </is>
      </c>
      <c r="C145" t="n">
        <v>16</v>
      </c>
      <c r="D145" t="n">
        <v>15</v>
      </c>
      <c r="E145" t="inlineStr">
        <is>
          <t>Calculation</t>
        </is>
      </c>
      <c r="F145" t="inlineStr">
        <is>
          <t>'=26*'Cost Matrix'!V13</t>
        </is>
      </c>
      <c r="G145" t="n">
        <v>1846</v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FFFF0000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G000095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Asset Schedule !K16:O16</t>
        </is>
      </c>
      <c r="X145">
        <f>26*'Cost Matrix'!R[-3]C[7]</f>
        <v/>
      </c>
    </row>
    <row r="146">
      <c r="A146" t="inlineStr">
        <is>
          <t xml:space="preserve">Asset Schedule </t>
        </is>
      </c>
      <c r="B146" t="inlineStr">
        <is>
          <t>Q16</t>
        </is>
      </c>
      <c r="C146" t="n">
        <v>16</v>
      </c>
      <c r="D146" t="n">
        <v>17</v>
      </c>
      <c r="E146" t="inlineStr">
        <is>
          <t>Input</t>
        </is>
      </c>
      <c r="F146" t="n">
        <v/>
      </c>
      <c r="G146" t="n">
        <v>26</v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00000000</t>
        </is>
      </c>
      <c r="O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 xml:space="preserve">Asset Schedule </t>
        </is>
      </c>
      <c r="B147" t="inlineStr">
        <is>
          <t>Q17</t>
        </is>
      </c>
      <c r="C147" t="n">
        <v>17</v>
      </c>
      <c r="D147" t="n">
        <v>17</v>
      </c>
      <c r="E147" t="inlineStr">
        <is>
          <t>Output</t>
        </is>
      </c>
      <c r="F147" t="inlineStr">
        <is>
          <t>'=Q15/Q16</t>
        </is>
      </c>
      <c r="G147" t="n">
        <v>30.76923076923077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>
        <f>R[-2]C[0]/R[-1]C[0]</f>
        <v/>
      </c>
    </row>
    <row r="148">
      <c r="A148" t="inlineStr">
        <is>
          <t xml:space="preserve">Asset Schedule </t>
        </is>
      </c>
      <c r="B148" t="inlineStr">
        <is>
          <t>A18</t>
        </is>
      </c>
      <c r="C148" t="n">
        <v>18</v>
      </c>
      <c r="D148" t="n">
        <v>1</v>
      </c>
      <c r="E148" t="inlineStr">
        <is>
          <t>Input</t>
        </is>
      </c>
      <c r="F148" t="n">
        <v/>
      </c>
      <c r="G148" t="inlineStr">
        <is>
          <t>Depreciation rate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 xml:space="preserve">Asset Schedule </t>
        </is>
      </c>
      <c r="B149" t="inlineStr">
        <is>
          <t>H18</t>
        </is>
      </c>
      <c r="C149" t="n">
        <v>18</v>
      </c>
      <c r="D149" t="n">
        <v>8</v>
      </c>
      <c r="E149" t="inlineStr">
        <is>
          <t>Output</t>
        </is>
      </c>
      <c r="F149" t="inlineStr">
        <is>
          <t>'=H10/(H8+H9/2)</t>
        </is>
      </c>
      <c r="G149" t="n">
        <v>-0.06566559040420507</v>
      </c>
      <c r="H149" t="inlineStr"/>
      <c r="I149" t="inlineStr">
        <is>
          <t>0.0%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G000096</t>
        </is>
      </c>
      <c r="T149" t="inlineStr">
        <is>
          <t>Horizontal</t>
        </is>
      </c>
      <c r="U149" t="n">
        <v>3</v>
      </c>
      <c r="V149" t="b">
        <v>1</v>
      </c>
      <c r="W149" t="inlineStr">
        <is>
          <t>Asset Schedule !H18:J18</t>
        </is>
      </c>
      <c r="X149">
        <f>R[-8]C[0]/(R[-10]C[0]+R[-9]C[0]/2)</f>
        <v/>
      </c>
    </row>
    <row r="150">
      <c r="A150" t="inlineStr">
        <is>
          <t xml:space="preserve">Asset Schedule </t>
        </is>
      </c>
      <c r="B150" t="inlineStr">
        <is>
          <t>I18</t>
        </is>
      </c>
      <c r="C150" t="n">
        <v>18</v>
      </c>
      <c r="D150" t="n">
        <v>9</v>
      </c>
      <c r="E150" t="inlineStr">
        <is>
          <t>Output</t>
        </is>
      </c>
      <c r="F150" t="inlineStr">
        <is>
          <t>'=I10/(I8+I9/2)</t>
        </is>
      </c>
      <c r="G150" t="n">
        <v>-0.09899612955294793</v>
      </c>
      <c r="H150" t="inlineStr"/>
      <c r="I150" t="inlineStr">
        <is>
          <t>0.0%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G000096</t>
        </is>
      </c>
      <c r="T150" t="inlineStr">
        <is>
          <t>Horizontal</t>
        </is>
      </c>
      <c r="U150" t="n">
        <v>3</v>
      </c>
      <c r="V150" t="b">
        <v>1</v>
      </c>
      <c r="W150" t="inlineStr">
        <is>
          <t>Asset Schedule !H18:J18</t>
        </is>
      </c>
      <c r="X150">
        <f>R[-8]C[0]/(R[-10]C[0]+R[-9]C[0]/2)</f>
        <v/>
      </c>
    </row>
    <row r="151">
      <c r="A151" t="inlineStr">
        <is>
          <t xml:space="preserve">Asset Schedule </t>
        </is>
      </c>
      <c r="B151" t="inlineStr">
        <is>
          <t>J18</t>
        </is>
      </c>
      <c r="C151" t="n">
        <v>18</v>
      </c>
      <c r="D151" t="n">
        <v>10</v>
      </c>
      <c r="E151" t="inlineStr">
        <is>
          <t>Output</t>
        </is>
      </c>
      <c r="F151" t="inlineStr">
        <is>
          <t>'=J10/(J8+J9/2)</t>
        </is>
      </c>
      <c r="G151" t="n">
        <v>-0.09207972500590665</v>
      </c>
      <c r="H151" t="inlineStr"/>
      <c r="I151" t="inlineStr">
        <is>
          <t>0.0%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1</v>
      </c>
      <c r="S151" t="inlineStr">
        <is>
          <t>G000096</t>
        </is>
      </c>
      <c r="T151" t="inlineStr">
        <is>
          <t>Horizontal</t>
        </is>
      </c>
      <c r="U151" t="n">
        <v>3</v>
      </c>
      <c r="V151" t="b">
        <v>1</v>
      </c>
      <c r="W151" t="inlineStr">
        <is>
          <t>Asset Schedule !H18:J18</t>
        </is>
      </c>
      <c r="X151">
        <f>R[-8]C[0]/(R[-10]C[0]+R[-9]C[0]/2)</f>
        <v/>
      </c>
    </row>
    <row r="152">
      <c r="A152" t="inlineStr">
        <is>
          <t xml:space="preserve">Asset Schedule </t>
        </is>
      </c>
      <c r="B152" t="inlineStr">
        <is>
          <t>K18</t>
        </is>
      </c>
      <c r="C152" t="n">
        <v>18</v>
      </c>
      <c r="D152" t="n">
        <v>11</v>
      </c>
      <c r="E152" t="inlineStr">
        <is>
          <t>Input</t>
        </is>
      </c>
      <c r="F152" t="n">
        <v/>
      </c>
      <c r="G152" t="n">
        <v>-0.092</v>
      </c>
      <c r="H152" t="inlineStr"/>
      <c r="I152" t="inlineStr">
        <is>
          <t>0.0%</t>
        </is>
      </c>
      <c r="J152" t="b">
        <v>0</v>
      </c>
      <c r="K152" t="b">
        <v>0</v>
      </c>
      <c r="L152" t="n">
        <v>11</v>
      </c>
      <c r="M152" t="inlineStr">
        <is>
          <t>FFFF0000</t>
        </is>
      </c>
      <c r="N152" t="inlineStr">
        <is>
          <t>00000000</t>
        </is>
      </c>
      <c r="O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 xml:space="preserve">Asset Schedule </t>
        </is>
      </c>
      <c r="B153" t="inlineStr">
        <is>
          <t>L18</t>
        </is>
      </c>
      <c r="C153" t="n">
        <v>18</v>
      </c>
      <c r="D153" t="n">
        <v>12</v>
      </c>
      <c r="E153" t="inlineStr">
        <is>
          <t>Input</t>
        </is>
      </c>
      <c r="F153" t="n">
        <v/>
      </c>
      <c r="G153" t="n">
        <v>-0.092</v>
      </c>
      <c r="H153" t="inlineStr"/>
      <c r="I153" t="inlineStr">
        <is>
          <t>0.0%</t>
        </is>
      </c>
      <c r="J153" t="b">
        <v>0</v>
      </c>
      <c r="K153" t="b">
        <v>0</v>
      </c>
      <c r="L153" t="n">
        <v>11</v>
      </c>
      <c r="M153" t="inlineStr">
        <is>
          <t>FFFF0000</t>
        </is>
      </c>
      <c r="N153" t="inlineStr">
        <is>
          <t>00000000</t>
        </is>
      </c>
      <c r="O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 xml:space="preserve">Asset Schedule </t>
        </is>
      </c>
      <c r="B154" t="inlineStr">
        <is>
          <t>M18</t>
        </is>
      </c>
      <c r="C154" t="n">
        <v>18</v>
      </c>
      <c r="D154" t="n">
        <v>13</v>
      </c>
      <c r="E154" t="inlineStr">
        <is>
          <t>Input</t>
        </is>
      </c>
      <c r="F154" t="n">
        <v/>
      </c>
      <c r="G154" t="n">
        <v>-0.092</v>
      </c>
      <c r="H154" t="inlineStr"/>
      <c r="I154" t="inlineStr">
        <is>
          <t>0.0%</t>
        </is>
      </c>
      <c r="J154" t="b">
        <v>0</v>
      </c>
      <c r="K154" t="b">
        <v>0</v>
      </c>
      <c r="L154" t="n">
        <v>11</v>
      </c>
      <c r="M154" t="inlineStr">
        <is>
          <t>FFFF0000</t>
        </is>
      </c>
      <c r="N154" t="inlineStr">
        <is>
          <t>00000000</t>
        </is>
      </c>
      <c r="O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 xml:space="preserve">Asset Schedule </t>
        </is>
      </c>
      <c r="B155" t="inlineStr">
        <is>
          <t>N18</t>
        </is>
      </c>
      <c r="C155" t="n">
        <v>18</v>
      </c>
      <c r="D155" t="n">
        <v>14</v>
      </c>
      <c r="E155" t="inlineStr">
        <is>
          <t>Input</t>
        </is>
      </c>
      <c r="F155" t="n">
        <v/>
      </c>
      <c r="G155" t="n">
        <v>-0.092</v>
      </c>
      <c r="H155" t="inlineStr"/>
      <c r="I155" t="inlineStr">
        <is>
          <t>0.0%</t>
        </is>
      </c>
      <c r="J155" t="b">
        <v>0</v>
      </c>
      <c r="K155" t="b">
        <v>0</v>
      </c>
      <c r="L155" t="n">
        <v>11</v>
      </c>
      <c r="M155" t="inlineStr">
        <is>
          <t>FFFF0000</t>
        </is>
      </c>
      <c r="N155" t="inlineStr">
        <is>
          <t>00000000</t>
        </is>
      </c>
      <c r="O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 xml:space="preserve">Asset Schedule </t>
        </is>
      </c>
      <c r="B156" t="inlineStr">
        <is>
          <t>O18</t>
        </is>
      </c>
      <c r="C156" t="n">
        <v>18</v>
      </c>
      <c r="D156" t="n">
        <v>15</v>
      </c>
      <c r="E156" t="inlineStr">
        <is>
          <t>Input</t>
        </is>
      </c>
      <c r="F156" t="n">
        <v/>
      </c>
      <c r="G156" t="n">
        <v>-0.092</v>
      </c>
      <c r="H156" t="inlineStr"/>
      <c r="I156" t="inlineStr">
        <is>
          <t>0.0%</t>
        </is>
      </c>
      <c r="J156" t="b">
        <v>0</v>
      </c>
      <c r="K156" t="b">
        <v>0</v>
      </c>
      <c r="L156" t="n">
        <v>11</v>
      </c>
      <c r="M156" t="inlineStr">
        <is>
          <t>FFFF0000</t>
        </is>
      </c>
      <c r="N156" t="inlineStr">
        <is>
          <t>00000000</t>
        </is>
      </c>
      <c r="O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 xml:space="preserve">Asset Schedule </t>
        </is>
      </c>
      <c r="B157" t="inlineStr">
        <is>
          <t>A20</t>
        </is>
      </c>
      <c r="C157" t="n">
        <v>20</v>
      </c>
      <c r="D157" t="n">
        <v>1</v>
      </c>
      <c r="E157" t="inlineStr">
        <is>
          <t>Input</t>
        </is>
      </c>
      <c r="F157" t="n">
        <v/>
      </c>
      <c r="G157" t="inlineStr">
        <is>
          <t>Intangible assets</t>
        </is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 xml:space="preserve">Asset Schedule </t>
        </is>
      </c>
      <c r="B158" t="inlineStr">
        <is>
          <t>A21</t>
        </is>
      </c>
      <c r="C158" t="n">
        <v>21</v>
      </c>
      <c r="D158" t="n">
        <v>1</v>
      </c>
      <c r="E158" t="inlineStr">
        <is>
          <t>Input</t>
        </is>
      </c>
      <c r="F158" t="n">
        <v/>
      </c>
      <c r="G158" t="inlineStr">
        <is>
          <t>Opening Balance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 xml:space="preserve">Asset Schedule </t>
        </is>
      </c>
      <c r="B159" t="inlineStr">
        <is>
          <t>H21</t>
        </is>
      </c>
      <c r="C159" t="n">
        <v>21</v>
      </c>
      <c r="D159" t="n">
        <v>8</v>
      </c>
      <c r="E159" t="inlineStr">
        <is>
          <t>Calculation</t>
        </is>
      </c>
      <c r="F159" t="inlineStr">
        <is>
          <t>'=350.44-197.98</t>
        </is>
      </c>
      <c r="G159" t="n">
        <v>152.46</v>
      </c>
      <c r="H159" t="inlineStr"/>
      <c r="I159" t="inlineStr">
        <is>
          <t xml:space="preserve">_ * #,##0_ ;_ * \-#,##0_ ;_ * "-"??_ ;_ @_ </t>
        </is>
      </c>
      <c r="J159" t="b">
        <v>0</v>
      </c>
      <c r="K159" t="b">
        <v>0</v>
      </c>
      <c r="L159" t="n">
        <v>11</v>
      </c>
      <c r="M159" t="inlineStr">
        <is>
          <t>FF0B0280</t>
        </is>
      </c>
      <c r="N159" t="inlineStr">
        <is>
          <t>00000000</t>
        </is>
      </c>
      <c r="O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>
        <f>350.44-197.98</f>
        <v/>
      </c>
    </row>
    <row r="160">
      <c r="A160" t="inlineStr">
        <is>
          <t xml:space="preserve">Asset Schedule </t>
        </is>
      </c>
      <c r="B160" t="inlineStr">
        <is>
          <t>I21</t>
        </is>
      </c>
      <c r="C160" t="n">
        <v>21</v>
      </c>
      <c r="D160" t="n">
        <v>9</v>
      </c>
      <c r="E160" t="inlineStr">
        <is>
          <t>Calculation</t>
        </is>
      </c>
      <c r="F160" t="inlineStr">
        <is>
          <t>'=H25</t>
        </is>
      </c>
      <c r="G160" t="n">
        <v>96.37</v>
      </c>
      <c r="H160" t="inlineStr"/>
      <c r="I160" t="inlineStr">
        <is>
          <t xml:space="preserve">_ * #,##0_ ;_ * \-#,##0_ ;_ * "-"??_ ;_ @_ </t>
        </is>
      </c>
      <c r="J160" t="b">
        <v>0</v>
      </c>
      <c r="K160" t="b">
        <v>0</v>
      </c>
      <c r="L160" t="n">
        <v>11</v>
      </c>
      <c r="M160" t="inlineStr">
        <is>
          <t>FF0B0280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G000087</t>
        </is>
      </c>
      <c r="T160" t="inlineStr">
        <is>
          <t>Horizontal</t>
        </is>
      </c>
      <c r="U160" t="n">
        <v>7</v>
      </c>
      <c r="V160" t="b">
        <v>1</v>
      </c>
      <c r="W160" t="inlineStr">
        <is>
          <t>Asset Schedule !I21:O21</t>
        </is>
      </c>
      <c r="X160">
        <f>R[4]C[-1]</f>
        <v/>
      </c>
    </row>
    <row r="161">
      <c r="A161" t="inlineStr">
        <is>
          <t xml:space="preserve">Asset Schedule </t>
        </is>
      </c>
      <c r="B161" t="inlineStr">
        <is>
          <t>J21</t>
        </is>
      </c>
      <c r="C161" t="n">
        <v>21</v>
      </c>
      <c r="D161" t="n">
        <v>10</v>
      </c>
      <c r="E161" t="inlineStr">
        <is>
          <t>Calculation</t>
        </is>
      </c>
      <c r="F161" t="inlineStr">
        <is>
          <t>'=I25</t>
        </is>
      </c>
      <c r="G161" t="n">
        <v>199.74</v>
      </c>
      <c r="H161" t="inlineStr"/>
      <c r="I161" t="inlineStr">
        <is>
          <t xml:space="preserve">_ * #,##0_ ;_ * \-#,##0_ ;_ * "-"??_ ;_ @_ </t>
        </is>
      </c>
      <c r="J161" t="b">
        <v>0</v>
      </c>
      <c r="K161" t="b">
        <v>0</v>
      </c>
      <c r="L161" t="n">
        <v>11</v>
      </c>
      <c r="M161" t="inlineStr">
        <is>
          <t>FF0B0280</t>
        </is>
      </c>
      <c r="N161" t="inlineStr">
        <is>
          <t>00000000</t>
        </is>
      </c>
      <c r="O161" t="n">
        <v/>
      </c>
      <c r="R161" t="b">
        <v>1</v>
      </c>
      <c r="S161" t="inlineStr">
        <is>
          <t>G000087</t>
        </is>
      </c>
      <c r="T161" t="inlineStr">
        <is>
          <t>Horizontal</t>
        </is>
      </c>
      <c r="U161" t="n">
        <v>7</v>
      </c>
      <c r="V161" t="b">
        <v>1</v>
      </c>
      <c r="W161" t="inlineStr">
        <is>
          <t>Asset Schedule !I21:O21</t>
        </is>
      </c>
      <c r="X161">
        <f>R[4]C[-1]</f>
        <v/>
      </c>
    </row>
    <row r="162">
      <c r="A162" t="inlineStr">
        <is>
          <t xml:space="preserve">Asset Schedule </t>
        </is>
      </c>
      <c r="B162" t="inlineStr">
        <is>
          <t>K21</t>
        </is>
      </c>
      <c r="C162" t="n">
        <v>21</v>
      </c>
      <c r="D162" t="n">
        <v>11</v>
      </c>
      <c r="E162" t="inlineStr">
        <is>
          <t>Calculation</t>
        </is>
      </c>
      <c r="F162" t="inlineStr">
        <is>
          <t>'=J25</t>
        </is>
      </c>
      <c r="G162" t="n">
        <v>463.69</v>
      </c>
      <c r="H162" t="inlineStr"/>
      <c r="I162" t="inlineStr">
        <is>
          <t xml:space="preserve">_ * #,##0_ ;_ * \-#,##0_ ;_ * "-"??_ ;_ @_ 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G000087</t>
        </is>
      </c>
      <c r="T162" t="inlineStr">
        <is>
          <t>Horizontal</t>
        </is>
      </c>
      <c r="U162" t="n">
        <v>7</v>
      </c>
      <c r="V162" t="b">
        <v>1</v>
      </c>
      <c r="W162" t="inlineStr">
        <is>
          <t>Asset Schedule !I21:O21</t>
        </is>
      </c>
      <c r="X162">
        <f>R[4]C[-1]</f>
        <v/>
      </c>
    </row>
    <row r="163">
      <c r="A163" t="inlineStr">
        <is>
          <t xml:space="preserve">Asset Schedule </t>
        </is>
      </c>
      <c r="B163" t="inlineStr">
        <is>
          <t>L21</t>
        </is>
      </c>
      <c r="C163" t="n">
        <v>21</v>
      </c>
      <c r="D163" t="n">
        <v>12</v>
      </c>
      <c r="E163" t="inlineStr">
        <is>
          <t>Calculation</t>
        </is>
      </c>
      <c r="F163" t="inlineStr">
        <is>
          <t>'=K25</t>
        </is>
      </c>
      <c r="G163" t="n">
        <v>614.9602</v>
      </c>
      <c r="H163" t="inlineStr"/>
      <c r="I163" t="inlineStr">
        <is>
          <t xml:space="preserve">_ * #,##0_ ;_ * \-#,##0_ ;_ * "-"??_ ;_ @_ 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G000087</t>
        </is>
      </c>
      <c r="T163" t="inlineStr">
        <is>
          <t>Horizontal</t>
        </is>
      </c>
      <c r="U163" t="n">
        <v>7</v>
      </c>
      <c r="V163" t="b">
        <v>1</v>
      </c>
      <c r="W163" t="inlineStr">
        <is>
          <t>Asset Schedule !I21:O21</t>
        </is>
      </c>
      <c r="X163">
        <f>R[4]C[-1]</f>
        <v/>
      </c>
    </row>
    <row r="164">
      <c r="A164" t="inlineStr">
        <is>
          <t xml:space="preserve">Asset Schedule </t>
        </is>
      </c>
      <c r="B164" t="inlineStr">
        <is>
          <t>M21</t>
        </is>
      </c>
      <c r="C164" t="n">
        <v>21</v>
      </c>
      <c r="D164" t="n">
        <v>13</v>
      </c>
      <c r="E164" t="inlineStr">
        <is>
          <t>Calculation</t>
        </is>
      </c>
      <c r="F164" t="inlineStr">
        <is>
          <t>'=L25</t>
        </is>
      </c>
      <c r="G164" t="n">
        <v>702.696916</v>
      </c>
      <c r="H164" t="inlineStr"/>
      <c r="I164" t="inlineStr">
        <is>
          <t xml:space="preserve">_ * #,##0_ ;_ * \-#,##0_ ;_ * "-"??_ ;_ @_ 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G000087</t>
        </is>
      </c>
      <c r="T164" t="inlineStr">
        <is>
          <t>Horizontal</t>
        </is>
      </c>
      <c r="U164" t="n">
        <v>7</v>
      </c>
      <c r="V164" t="b">
        <v>1</v>
      </c>
      <c r="W164" t="inlineStr">
        <is>
          <t>Asset Schedule !I21:O21</t>
        </is>
      </c>
      <c r="X164">
        <f>R[4]C[-1]</f>
        <v/>
      </c>
    </row>
    <row r="165">
      <c r="A165" t="inlineStr">
        <is>
          <t xml:space="preserve">Asset Schedule </t>
        </is>
      </c>
      <c r="B165" t="inlineStr">
        <is>
          <t>N21</t>
        </is>
      </c>
      <c r="C165" t="n">
        <v>21</v>
      </c>
      <c r="D165" t="n">
        <v>14</v>
      </c>
      <c r="E165" t="inlineStr">
        <is>
          <t>Calculation</t>
        </is>
      </c>
      <c r="F165" t="inlineStr">
        <is>
          <t>'=M25</t>
        </is>
      </c>
      <c r="G165" t="n">
        <v>753.5842112799999</v>
      </c>
      <c r="H165" t="inlineStr"/>
      <c r="I165" t="inlineStr">
        <is>
          <t xml:space="preserve">_ * #,##0_ ;_ * \-#,##0_ ;_ * "-"??_ ;_ @_ 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G000087</t>
        </is>
      </c>
      <c r="T165" t="inlineStr">
        <is>
          <t>Horizontal</t>
        </is>
      </c>
      <c r="U165" t="n">
        <v>7</v>
      </c>
      <c r="V165" t="b">
        <v>1</v>
      </c>
      <c r="W165" t="inlineStr">
        <is>
          <t>Asset Schedule !I21:O21</t>
        </is>
      </c>
      <c r="X165">
        <f>R[4]C[-1]</f>
        <v/>
      </c>
    </row>
    <row r="166">
      <c r="A166" t="inlineStr">
        <is>
          <t xml:space="preserve">Asset Schedule </t>
        </is>
      </c>
      <c r="B166" t="inlineStr">
        <is>
          <t>O21</t>
        </is>
      </c>
      <c r="C166" t="n">
        <v>21</v>
      </c>
      <c r="D166" t="n">
        <v>15</v>
      </c>
      <c r="E166" t="inlineStr">
        <is>
          <t>Calculation</t>
        </is>
      </c>
      <c r="F166" t="inlineStr">
        <is>
          <t>'=N25</t>
        </is>
      </c>
      <c r="G166" t="n">
        <v>783.0988425424</v>
      </c>
      <c r="H166" t="inlineStr"/>
      <c r="I166" t="inlineStr">
        <is>
          <t xml:space="preserve">_ * #,##0_ ;_ * \-#,##0_ ;_ * "-"??_ ;_ @_ 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G000087</t>
        </is>
      </c>
      <c r="T166" t="inlineStr">
        <is>
          <t>Horizontal</t>
        </is>
      </c>
      <c r="U166" t="n">
        <v>7</v>
      </c>
      <c r="V166" t="b">
        <v>1</v>
      </c>
      <c r="W166" t="inlineStr">
        <is>
          <t>Asset Schedule !I21:O21</t>
        </is>
      </c>
      <c r="X166">
        <f>R[4]C[-1]</f>
        <v/>
      </c>
    </row>
    <row r="167">
      <c r="A167" t="inlineStr">
        <is>
          <t xml:space="preserve">Asset Schedule </t>
        </is>
      </c>
      <c r="B167" t="inlineStr">
        <is>
          <t>A22</t>
        </is>
      </c>
      <c r="C167" t="n">
        <v>22</v>
      </c>
      <c r="D167" t="n">
        <v>1</v>
      </c>
      <c r="E167" t="inlineStr">
        <is>
          <t>Input</t>
        </is>
      </c>
      <c r="F167" t="n">
        <v/>
      </c>
      <c r="G167" t="inlineStr">
        <is>
          <t>Addition</t>
        </is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 xml:space="preserve">Asset Schedule </t>
        </is>
      </c>
      <c r="B168" t="inlineStr">
        <is>
          <t>H22</t>
        </is>
      </c>
      <c r="C168" t="n">
        <v>22</v>
      </c>
      <c r="D168" t="n">
        <v>8</v>
      </c>
      <c r="E168" t="inlineStr">
        <is>
          <t>Input</t>
        </is>
      </c>
      <c r="F168" t="n">
        <v/>
      </c>
      <c r="G168" t="n">
        <v>24.52</v>
      </c>
      <c r="H168" t="inlineStr"/>
      <c r="I168" t="inlineStr">
        <is>
          <t xml:space="preserve">_ * #,##0_ ;_ * \-#,##0_ ;_ * "-"??_ ;_ @_ </t>
        </is>
      </c>
      <c r="J168" t="b">
        <v>0</v>
      </c>
      <c r="K168" t="b">
        <v>0</v>
      </c>
      <c r="L168" t="n">
        <v>11</v>
      </c>
      <c r="M168" t="inlineStr">
        <is>
          <t>FF0B0280</t>
        </is>
      </c>
      <c r="N168" t="inlineStr">
        <is>
          <t>00000000</t>
        </is>
      </c>
      <c r="O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 xml:space="preserve">Asset Schedule </t>
        </is>
      </c>
      <c r="B169" t="inlineStr">
        <is>
          <t>I22</t>
        </is>
      </c>
      <c r="C169" t="n">
        <v>22</v>
      </c>
      <c r="D169" t="n">
        <v>9</v>
      </c>
      <c r="E169" t="inlineStr">
        <is>
          <t>Input</t>
        </is>
      </c>
      <c r="F169" t="n">
        <v/>
      </c>
      <c r="G169" t="n">
        <v>220.36</v>
      </c>
      <c r="H169" t="inlineStr"/>
      <c r="I169" t="inlineStr">
        <is>
          <t>0</t>
        </is>
      </c>
      <c r="J169" t="b">
        <v>0</v>
      </c>
      <c r="K169" t="b">
        <v>0</v>
      </c>
      <c r="L169" t="n">
        <v>11</v>
      </c>
      <c r="M169" t="inlineStr">
        <is>
          <t>FF0B0280</t>
        </is>
      </c>
      <c r="N169" t="inlineStr">
        <is>
          <t>00000000</t>
        </is>
      </c>
      <c r="O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 xml:space="preserve">Asset Schedule </t>
        </is>
      </c>
      <c r="B170" t="inlineStr">
        <is>
          <t>J22</t>
        </is>
      </c>
      <c r="C170" t="n">
        <v>22</v>
      </c>
      <c r="D170" t="n">
        <v>10</v>
      </c>
      <c r="E170" t="inlineStr">
        <is>
          <t>Input</t>
        </is>
      </c>
      <c r="F170" t="n">
        <v/>
      </c>
      <c r="G170" t="n">
        <v>438.39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FF0B0280</t>
        </is>
      </c>
      <c r="N170" t="inlineStr">
        <is>
          <t>00000000</t>
        </is>
      </c>
      <c r="O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 xml:space="preserve">Asset Schedule </t>
        </is>
      </c>
      <c r="B171" t="inlineStr">
        <is>
          <t>K22</t>
        </is>
      </c>
      <c r="C171" t="n">
        <v>22</v>
      </c>
      <c r="D171" t="n">
        <v>11</v>
      </c>
      <c r="E171" t="inlineStr">
        <is>
          <t>Input</t>
        </is>
      </c>
      <c r="F171" t="n">
        <v/>
      </c>
      <c r="G171" t="n">
        <v>438</v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FFFF0000</t>
        </is>
      </c>
      <c r="N171" t="inlineStr">
        <is>
          <t>00000000</t>
        </is>
      </c>
      <c r="O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 xml:space="preserve">Asset Schedule </t>
        </is>
      </c>
      <c r="B172" t="inlineStr">
        <is>
          <t>L22</t>
        </is>
      </c>
      <c r="C172" t="n">
        <v>22</v>
      </c>
      <c r="D172" t="n">
        <v>12</v>
      </c>
      <c r="E172" t="inlineStr">
        <is>
          <t>Input</t>
        </is>
      </c>
      <c r="F172" t="n">
        <v/>
      </c>
      <c r="G172" t="n">
        <v>438</v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11</v>
      </c>
      <c r="M172" t="inlineStr">
        <is>
          <t>FFFF0000</t>
        </is>
      </c>
      <c r="N172" t="inlineStr">
        <is>
          <t>00000000</t>
        </is>
      </c>
      <c r="O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 xml:space="preserve">Asset Schedule </t>
        </is>
      </c>
      <c r="B173" t="inlineStr">
        <is>
          <t>M22</t>
        </is>
      </c>
      <c r="C173" t="n">
        <v>22</v>
      </c>
      <c r="D173" t="n">
        <v>13</v>
      </c>
      <c r="E173" t="inlineStr">
        <is>
          <t>Input</t>
        </is>
      </c>
      <c r="F173" t="n">
        <v/>
      </c>
      <c r="G173" t="n">
        <v>438</v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11</v>
      </c>
      <c r="M173" t="inlineStr">
        <is>
          <t>FFFF0000</t>
        </is>
      </c>
      <c r="N173" t="inlineStr">
        <is>
          <t>00000000</t>
        </is>
      </c>
      <c r="O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 xml:space="preserve">Asset Schedule </t>
        </is>
      </c>
      <c r="B174" t="inlineStr">
        <is>
          <t>N22</t>
        </is>
      </c>
      <c r="C174" t="n">
        <v>22</v>
      </c>
      <c r="D174" t="n">
        <v>14</v>
      </c>
      <c r="E174" t="inlineStr">
        <is>
          <t>Input</t>
        </is>
      </c>
      <c r="F174" t="n">
        <v/>
      </c>
      <c r="G174" t="n">
        <v>438</v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11</v>
      </c>
      <c r="M174" t="inlineStr">
        <is>
          <t>FFFF0000</t>
        </is>
      </c>
      <c r="N174" t="inlineStr">
        <is>
          <t>00000000</t>
        </is>
      </c>
      <c r="O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 xml:space="preserve">Asset Schedule </t>
        </is>
      </c>
      <c r="B175" t="inlineStr">
        <is>
          <t>O22</t>
        </is>
      </c>
      <c r="C175" t="n">
        <v>22</v>
      </c>
      <c r="D175" t="n">
        <v>15</v>
      </c>
      <c r="E175" t="inlineStr">
        <is>
          <t>Input</t>
        </is>
      </c>
      <c r="F175" t="n">
        <v/>
      </c>
      <c r="G175" t="n">
        <v>438</v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FFFF0000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 xml:space="preserve">Asset Schedule </t>
        </is>
      </c>
      <c r="B176" t="inlineStr">
        <is>
          <t>A23</t>
        </is>
      </c>
      <c r="C176" t="n">
        <v>23</v>
      </c>
      <c r="D176" t="n">
        <v>1</v>
      </c>
      <c r="E176" t="inlineStr">
        <is>
          <t>Input</t>
        </is>
      </c>
      <c r="F176" t="n">
        <v/>
      </c>
      <c r="G176" t="inlineStr">
        <is>
          <t>Amortisation</t>
        </is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 xml:space="preserve">Asset Schedule </t>
        </is>
      </c>
      <c r="B177" t="inlineStr">
        <is>
          <t>H23</t>
        </is>
      </c>
      <c r="C177" t="n">
        <v>23</v>
      </c>
      <c r="D177" t="n">
        <v>8</v>
      </c>
      <c r="E177" t="inlineStr">
        <is>
          <t>Input</t>
        </is>
      </c>
      <c r="F177" t="n">
        <v/>
      </c>
      <c r="G177" t="n">
        <v>-80.62</v>
      </c>
      <c r="H177" t="inlineStr"/>
      <c r="I177" t="inlineStr">
        <is>
          <t xml:space="preserve">_ * #,##0_ ;_ * \-#,##0_ ;_ * "-"??_ ;_ @_ </t>
        </is>
      </c>
      <c r="J177" t="b">
        <v>0</v>
      </c>
      <c r="K177" t="b">
        <v>0</v>
      </c>
      <c r="L177" t="n">
        <v>11</v>
      </c>
      <c r="M177" t="inlineStr">
        <is>
          <t>FF0B0280</t>
        </is>
      </c>
      <c r="N177" t="inlineStr">
        <is>
          <t>00000000</t>
        </is>
      </c>
      <c r="O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 xml:space="preserve">Asset Schedule </t>
        </is>
      </c>
      <c r="B178" t="inlineStr">
        <is>
          <t>I23</t>
        </is>
      </c>
      <c r="C178" t="n">
        <v>23</v>
      </c>
      <c r="D178" t="n">
        <v>9</v>
      </c>
      <c r="E178" t="inlineStr">
        <is>
          <t>Input</t>
        </is>
      </c>
      <c r="F178" t="n">
        <v/>
      </c>
      <c r="G178" t="n">
        <v>-116.98</v>
      </c>
      <c r="H178" t="inlineStr"/>
      <c r="I178" t="inlineStr">
        <is>
          <t>0</t>
        </is>
      </c>
      <c r="J178" t="b">
        <v>0</v>
      </c>
      <c r="K178" t="b">
        <v>0</v>
      </c>
      <c r="L178" t="n">
        <v>11</v>
      </c>
      <c r="M178" t="inlineStr">
        <is>
          <t>FF0B0280</t>
        </is>
      </c>
      <c r="N178" t="inlineStr">
        <is>
          <t>00000000</t>
        </is>
      </c>
      <c r="O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 xml:space="preserve">Asset Schedule </t>
        </is>
      </c>
      <c r="B179" t="inlineStr">
        <is>
          <t>J23</t>
        </is>
      </c>
      <c r="C179" t="n">
        <v>23</v>
      </c>
      <c r="D179" t="n">
        <v>10</v>
      </c>
      <c r="E179" t="inlineStr">
        <is>
          <t>Input</t>
        </is>
      </c>
      <c r="F179" t="n">
        <v/>
      </c>
      <c r="G179" t="n">
        <v>-174.44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FF0B0280</t>
        </is>
      </c>
      <c r="N179" t="inlineStr">
        <is>
          <t>00000000</t>
        </is>
      </c>
      <c r="O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 xml:space="preserve">Asset Schedule </t>
        </is>
      </c>
      <c r="B180" t="inlineStr">
        <is>
          <t>K23</t>
        </is>
      </c>
      <c r="C180" t="n">
        <v>23</v>
      </c>
      <c r="D180" t="n">
        <v>11</v>
      </c>
      <c r="E180" t="inlineStr">
        <is>
          <t>Calculation</t>
        </is>
      </c>
      <c r="F180" t="inlineStr">
        <is>
          <t>'=(K21+K22/2)*K27</t>
        </is>
      </c>
      <c r="G180" t="n">
        <v>-286.7298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G000097</t>
        </is>
      </c>
      <c r="T180" t="inlineStr">
        <is>
          <t>Horizontal</t>
        </is>
      </c>
      <c r="U180" t="n">
        <v>5</v>
      </c>
      <c r="V180" t="b">
        <v>1</v>
      </c>
      <c r="W180" t="inlineStr">
        <is>
          <t>Asset Schedule !K23:O23</t>
        </is>
      </c>
      <c r="X180">
        <f>(R[-2]C[0]+R[-1]C[0]/2)*R[4]C[0]</f>
        <v/>
      </c>
    </row>
    <row r="181">
      <c r="A181" t="inlineStr">
        <is>
          <t xml:space="preserve">Asset Schedule </t>
        </is>
      </c>
      <c r="B181" t="inlineStr">
        <is>
          <t>L23</t>
        </is>
      </c>
      <c r="C181" t="n">
        <v>23</v>
      </c>
      <c r="D181" t="n">
        <v>12</v>
      </c>
      <c r="E181" t="inlineStr">
        <is>
          <t>Calculation</t>
        </is>
      </c>
      <c r="F181" t="inlineStr">
        <is>
          <t>'=(L21+L22/2)*L27</t>
        </is>
      </c>
      <c r="G181" t="n">
        <v>-350.263284</v>
      </c>
      <c r="H181" t="inlineStr"/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G000097</t>
        </is>
      </c>
      <c r="T181" t="inlineStr">
        <is>
          <t>Horizontal</t>
        </is>
      </c>
      <c r="U181" t="n">
        <v>5</v>
      </c>
      <c r="V181" t="b">
        <v>1</v>
      </c>
      <c r="W181" t="inlineStr">
        <is>
          <t>Asset Schedule !K23:O23</t>
        </is>
      </c>
      <c r="X181">
        <f>(R[-2]C[0]+R[-1]C[0]/2)*R[4]C[0]</f>
        <v/>
      </c>
    </row>
    <row r="182">
      <c r="A182" t="inlineStr">
        <is>
          <t xml:space="preserve">Asset Schedule </t>
        </is>
      </c>
      <c r="B182" t="inlineStr">
        <is>
          <t>M23</t>
        </is>
      </c>
      <c r="C182" t="n">
        <v>23</v>
      </c>
      <c r="D182" t="n">
        <v>13</v>
      </c>
      <c r="E182" t="inlineStr">
        <is>
          <t>Calculation</t>
        </is>
      </c>
      <c r="F182" t="inlineStr">
        <is>
          <t>'=(M21+M22/2)*M27</t>
        </is>
      </c>
      <c r="G182" t="n">
        <v>-387.11270472</v>
      </c>
      <c r="H182" t="inlineStr"/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R182" t="b">
        <v>1</v>
      </c>
      <c r="S182" t="inlineStr">
        <is>
          <t>G000097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Asset Schedule !K23:O23</t>
        </is>
      </c>
      <c r="X182">
        <f>(R[-2]C[0]+R[-1]C[0]/2)*R[4]C[0]</f>
        <v/>
      </c>
    </row>
    <row r="183">
      <c r="A183" t="inlineStr">
        <is>
          <t xml:space="preserve">Asset Schedule </t>
        </is>
      </c>
      <c r="B183" t="inlineStr">
        <is>
          <t>N23</t>
        </is>
      </c>
      <c r="C183" t="n">
        <v>23</v>
      </c>
      <c r="D183" t="n">
        <v>14</v>
      </c>
      <c r="E183" t="inlineStr">
        <is>
          <t>Calculation</t>
        </is>
      </c>
      <c r="F183" t="inlineStr">
        <is>
          <t>'=(N21+N22/2)*N27</t>
        </is>
      </c>
      <c r="G183" t="n">
        <v>-408.4853687375999</v>
      </c>
      <c r="H183" t="inlineStr"/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R183" t="b">
        <v>1</v>
      </c>
      <c r="S183" t="inlineStr">
        <is>
          <t>G000097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Asset Schedule !K23:O23</t>
        </is>
      </c>
      <c r="X183">
        <f>(R[-2]C[0]+R[-1]C[0]/2)*R[4]C[0]</f>
        <v/>
      </c>
    </row>
    <row r="184">
      <c r="A184" t="inlineStr">
        <is>
          <t xml:space="preserve">Asset Schedule </t>
        </is>
      </c>
      <c r="B184" t="inlineStr">
        <is>
          <t>O23</t>
        </is>
      </c>
      <c r="C184" t="n">
        <v>23</v>
      </c>
      <c r="D184" t="n">
        <v>15</v>
      </c>
      <c r="E184" t="inlineStr">
        <is>
          <t>Calculation</t>
        </is>
      </c>
      <c r="F184" t="inlineStr">
        <is>
          <t>'=(O21+O22/2)*O27</t>
        </is>
      </c>
      <c r="G184" t="n">
        <v>-420.881513867808</v>
      </c>
      <c r="H184" t="inlineStr"/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R184" t="b">
        <v>1</v>
      </c>
      <c r="S184" t="inlineStr">
        <is>
          <t>G000097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Asset Schedule !K23:O23</t>
        </is>
      </c>
      <c r="X184">
        <f>(R[-2]C[0]+R[-1]C[0]/2)*R[4]C[0]</f>
        <v/>
      </c>
    </row>
    <row r="185">
      <c r="A185" t="inlineStr">
        <is>
          <t xml:space="preserve">Asset Schedule </t>
        </is>
      </c>
      <c r="B185" t="inlineStr">
        <is>
          <t>A24</t>
        </is>
      </c>
      <c r="C185" t="n">
        <v>24</v>
      </c>
      <c r="D185" t="n">
        <v>1</v>
      </c>
      <c r="E185" t="inlineStr">
        <is>
          <t>Input</t>
        </is>
      </c>
      <c r="F185" t="n">
        <v/>
      </c>
      <c r="G185" t="inlineStr">
        <is>
          <t>Adjustments</t>
        </is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 xml:space="preserve">Asset Schedule </t>
        </is>
      </c>
      <c r="B186" t="inlineStr">
        <is>
          <t>H24</t>
        </is>
      </c>
      <c r="C186" t="n">
        <v>24</v>
      </c>
      <c r="D186" t="n">
        <v>8</v>
      </c>
      <c r="E186" t="inlineStr">
        <is>
          <t>Output</t>
        </is>
      </c>
      <c r="F186" t="inlineStr">
        <is>
          <t>'=H25-SUM(H21:H23)</t>
        </is>
      </c>
      <c r="G186" t="n">
        <v>0.009999999999990905</v>
      </c>
      <c r="H186" t="inlineStr"/>
      <c r="I186" t="inlineStr">
        <is>
          <t xml:space="preserve">_ * #,##0_ ;_ * \-#,##0_ ;_ * "-"??_ ;_ @_ 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R186" t="b">
        <v>1</v>
      </c>
      <c r="S186" t="inlineStr">
        <is>
          <t>G000091</t>
        </is>
      </c>
      <c r="T186" t="inlineStr">
        <is>
          <t>Horizontal</t>
        </is>
      </c>
      <c r="U186" t="n">
        <v>3</v>
      </c>
      <c r="V186" t="b">
        <v>1</v>
      </c>
      <c r="W186" t="inlineStr">
        <is>
          <t>Asset Schedule !H24:J24</t>
        </is>
      </c>
      <c r="X186">
        <f>R[1]C[0]-SUM(R[-3]C[0]:R[-1]C[0])</f>
        <v/>
      </c>
    </row>
    <row r="187">
      <c r="A187" t="inlineStr">
        <is>
          <t xml:space="preserve">Asset Schedule </t>
        </is>
      </c>
      <c r="B187" t="inlineStr">
        <is>
          <t>I24</t>
        </is>
      </c>
      <c r="C187" t="n">
        <v>24</v>
      </c>
      <c r="D187" t="n">
        <v>9</v>
      </c>
      <c r="E187" t="inlineStr">
        <is>
          <t>Output</t>
        </is>
      </c>
      <c r="F187" t="inlineStr">
        <is>
          <t>'=I25-SUM(I21:I23)</t>
        </is>
      </c>
      <c r="G187" t="n">
        <v>-0.009999999999990905</v>
      </c>
      <c r="H187" t="inlineStr"/>
      <c r="I187" t="inlineStr">
        <is>
          <t xml:space="preserve">_ * #,##0_ ;_ * \-#,##0_ ;_ * "-"??_ ;_ @_ 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R187" t="b">
        <v>1</v>
      </c>
      <c r="S187" t="inlineStr">
        <is>
          <t>G000091</t>
        </is>
      </c>
      <c r="T187" t="inlineStr">
        <is>
          <t>Horizontal</t>
        </is>
      </c>
      <c r="U187" t="n">
        <v>3</v>
      </c>
      <c r="V187" t="b">
        <v>1</v>
      </c>
      <c r="W187" t="inlineStr">
        <is>
          <t>Asset Schedule !H24:J24</t>
        </is>
      </c>
      <c r="X187">
        <f>R[1]C[0]-SUM(R[-3]C[0]:R[-1]C[0])</f>
        <v/>
      </c>
    </row>
    <row r="188">
      <c r="A188" t="inlineStr">
        <is>
          <t xml:space="preserve">Asset Schedule </t>
        </is>
      </c>
      <c r="B188" t="inlineStr">
        <is>
          <t>J24</t>
        </is>
      </c>
      <c r="C188" t="n">
        <v>24</v>
      </c>
      <c r="D188" t="n">
        <v>10</v>
      </c>
      <c r="E188" t="inlineStr">
        <is>
          <t>Output</t>
        </is>
      </c>
      <c r="F188" t="inlineStr">
        <is>
          <t>'=J25-SUM(J21:J23)</t>
        </is>
      </c>
      <c r="G188" t="n">
        <v>0</v>
      </c>
      <c r="H188" t="inlineStr"/>
      <c r="I188" t="inlineStr">
        <is>
          <t xml:space="preserve">_ * #,##0_ ;_ * \-#,##0_ ;_ * "-"??_ ;_ @_ 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R188" t="b">
        <v>1</v>
      </c>
      <c r="S188" t="inlineStr">
        <is>
          <t>G000091</t>
        </is>
      </c>
      <c r="T188" t="inlineStr">
        <is>
          <t>Horizontal</t>
        </is>
      </c>
      <c r="U188" t="n">
        <v>3</v>
      </c>
      <c r="V188" t="b">
        <v>1</v>
      </c>
      <c r="W188" t="inlineStr">
        <is>
          <t>Asset Schedule !H24:J24</t>
        </is>
      </c>
      <c r="X188">
        <f>R[1]C[0]-SUM(R[-3]C[0]:R[-1]C[0])</f>
        <v/>
      </c>
    </row>
    <row r="189">
      <c r="A189" t="inlineStr">
        <is>
          <t xml:space="preserve">Asset Schedule </t>
        </is>
      </c>
      <c r="B189" t="inlineStr">
        <is>
          <t>A25</t>
        </is>
      </c>
      <c r="C189" t="n">
        <v>25</v>
      </c>
      <c r="D189" t="n">
        <v>1</v>
      </c>
      <c r="E189" t="inlineStr">
        <is>
          <t>Input</t>
        </is>
      </c>
      <c r="F189" t="n">
        <v/>
      </c>
      <c r="G189" t="inlineStr">
        <is>
          <t>Closing Balance</t>
        </is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 xml:space="preserve">Asset Schedule </t>
        </is>
      </c>
      <c r="B190" t="inlineStr">
        <is>
          <t>H25</t>
        </is>
      </c>
      <c r="C190" t="n">
        <v>25</v>
      </c>
      <c r="D190" t="n">
        <v>8</v>
      </c>
      <c r="E190" t="inlineStr">
        <is>
          <t>Input</t>
        </is>
      </c>
      <c r="F190" t="n">
        <v/>
      </c>
      <c r="G190" t="n">
        <v>96.37</v>
      </c>
      <c r="H190" t="inlineStr"/>
      <c r="I190" t="inlineStr">
        <is>
          <t xml:space="preserve">_ * #,##0_ ;_ * \-#,##0_ ;_ * "-"??_ ;_ @_ </t>
        </is>
      </c>
      <c r="J190" t="b">
        <v>0</v>
      </c>
      <c r="K190" t="b">
        <v>0</v>
      </c>
      <c r="L190" t="n">
        <v>11</v>
      </c>
      <c r="M190" t="inlineStr">
        <is>
          <t>FF0B0280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 xml:space="preserve">Asset Schedule </t>
        </is>
      </c>
      <c r="B191" t="inlineStr">
        <is>
          <t>I25</t>
        </is>
      </c>
      <c r="C191" t="n">
        <v>25</v>
      </c>
      <c r="D191" t="n">
        <v>9</v>
      </c>
      <c r="E191" t="inlineStr">
        <is>
          <t>Input</t>
        </is>
      </c>
      <c r="F191" t="n">
        <v/>
      </c>
      <c r="G191" t="n">
        <v>199.74</v>
      </c>
      <c r="H191" t="inlineStr"/>
      <c r="I191" t="inlineStr">
        <is>
          <t>0</t>
        </is>
      </c>
      <c r="J191" t="b">
        <v>0</v>
      </c>
      <c r="K191" t="b">
        <v>0</v>
      </c>
      <c r="L191" t="n">
        <v>11</v>
      </c>
      <c r="M191" t="inlineStr">
        <is>
          <t>FF0B0280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 xml:space="preserve">Asset Schedule </t>
        </is>
      </c>
      <c r="B192" t="inlineStr">
        <is>
          <t>J25</t>
        </is>
      </c>
      <c r="C192" t="n">
        <v>25</v>
      </c>
      <c r="D192" t="n">
        <v>10</v>
      </c>
      <c r="E192" t="inlineStr">
        <is>
          <t>Input</t>
        </is>
      </c>
      <c r="F192" t="n">
        <v/>
      </c>
      <c r="G192" t="n">
        <v>463.69</v>
      </c>
      <c r="H192" t="inlineStr"/>
      <c r="I192" t="inlineStr">
        <is>
          <t>0</t>
        </is>
      </c>
      <c r="J192" t="b">
        <v>0</v>
      </c>
      <c r="K192" t="b">
        <v>0</v>
      </c>
      <c r="L192" t="n">
        <v>11</v>
      </c>
      <c r="M192" t="inlineStr">
        <is>
          <t>FF0B0280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 xml:space="preserve">Asset Schedule </t>
        </is>
      </c>
      <c r="B193" t="inlineStr">
        <is>
          <t>K25</t>
        </is>
      </c>
      <c r="C193" t="n">
        <v>25</v>
      </c>
      <c r="D193" t="n">
        <v>11</v>
      </c>
      <c r="E193" t="inlineStr">
        <is>
          <t>Calculation</t>
        </is>
      </c>
      <c r="F193" t="inlineStr">
        <is>
          <t>'=SUM(K21:K24)</t>
        </is>
      </c>
      <c r="G193" t="n">
        <v>614.9602</v>
      </c>
      <c r="H193" t="inlineStr"/>
      <c r="I193" t="inlineStr">
        <is>
          <t xml:space="preserve">_ * #,##0_ ;_ * \-#,##0_ ;_ * "-"??_ ;_ @_ 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n">
        <v/>
      </c>
      <c r="R193" t="b">
        <v>1</v>
      </c>
      <c r="S193" t="inlineStr">
        <is>
          <t>G000093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Asset Schedule !K25:O25</t>
        </is>
      </c>
      <c r="X193">
        <f>SUM(R[-4]C[0]:R[-1]C[0])</f>
        <v/>
      </c>
    </row>
    <row r="194">
      <c r="A194" t="inlineStr">
        <is>
          <t xml:space="preserve">Asset Schedule </t>
        </is>
      </c>
      <c r="B194" t="inlineStr">
        <is>
          <t>L25</t>
        </is>
      </c>
      <c r="C194" t="n">
        <v>25</v>
      </c>
      <c r="D194" t="n">
        <v>12</v>
      </c>
      <c r="E194" t="inlineStr">
        <is>
          <t>Calculation</t>
        </is>
      </c>
      <c r="F194" t="inlineStr">
        <is>
          <t>'=SUM(L21:L24)</t>
        </is>
      </c>
      <c r="G194" t="n">
        <v>702.696916</v>
      </c>
      <c r="H194" t="inlineStr"/>
      <c r="I194" t="inlineStr">
        <is>
          <t xml:space="preserve">_ * #,##0_ ;_ * \-#,##0_ ;_ * "-"??_ ;_ @_ </t>
        </is>
      </c>
      <c r="J194" t="b">
        <v>0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00000000</t>
        </is>
      </c>
      <c r="O194" t="n">
        <v/>
      </c>
      <c r="R194" t="b">
        <v>1</v>
      </c>
      <c r="S194" t="inlineStr">
        <is>
          <t>G000093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Asset Schedule !K25:O25</t>
        </is>
      </c>
      <c r="X194">
        <f>SUM(R[-4]C[0]:R[-1]C[0])</f>
        <v/>
      </c>
    </row>
    <row r="195">
      <c r="A195" t="inlineStr">
        <is>
          <t xml:space="preserve">Asset Schedule </t>
        </is>
      </c>
      <c r="B195" t="inlineStr">
        <is>
          <t>M25</t>
        </is>
      </c>
      <c r="C195" t="n">
        <v>25</v>
      </c>
      <c r="D195" t="n">
        <v>13</v>
      </c>
      <c r="E195" t="inlineStr">
        <is>
          <t>Calculation</t>
        </is>
      </c>
      <c r="F195" t="inlineStr">
        <is>
          <t>'=SUM(M21:M24)</t>
        </is>
      </c>
      <c r="G195" t="n">
        <v>753.5842112799999</v>
      </c>
      <c r="H195" t="inlineStr"/>
      <c r="I195" t="inlineStr">
        <is>
          <t xml:space="preserve">_ * #,##0_ ;_ * \-#,##0_ ;_ * "-"??_ ;_ @_ 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R195" t="b">
        <v>1</v>
      </c>
      <c r="S195" t="inlineStr">
        <is>
          <t>G000093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Asset Schedule !K25:O25</t>
        </is>
      </c>
      <c r="X195">
        <f>SUM(R[-4]C[0]:R[-1]C[0])</f>
        <v/>
      </c>
    </row>
    <row r="196">
      <c r="A196" t="inlineStr">
        <is>
          <t xml:space="preserve">Asset Schedule </t>
        </is>
      </c>
      <c r="B196" t="inlineStr">
        <is>
          <t>N25</t>
        </is>
      </c>
      <c r="C196" t="n">
        <v>25</v>
      </c>
      <c r="D196" t="n">
        <v>14</v>
      </c>
      <c r="E196" t="inlineStr">
        <is>
          <t>Calculation</t>
        </is>
      </c>
      <c r="F196" t="inlineStr">
        <is>
          <t>'=SUM(N21:N24)</t>
        </is>
      </c>
      <c r="G196" t="n">
        <v>783.0988425424</v>
      </c>
      <c r="H196" t="inlineStr"/>
      <c r="I196" t="inlineStr">
        <is>
          <t xml:space="preserve">_ * #,##0_ ;_ * \-#,##0_ ;_ * "-"??_ ;_ @_ 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R196" t="b">
        <v>1</v>
      </c>
      <c r="S196" t="inlineStr">
        <is>
          <t>G000093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Asset Schedule !K25:O25</t>
        </is>
      </c>
      <c r="X196">
        <f>SUM(R[-4]C[0]:R[-1]C[0])</f>
        <v/>
      </c>
    </row>
    <row r="197">
      <c r="A197" t="inlineStr">
        <is>
          <t xml:space="preserve">Asset Schedule </t>
        </is>
      </c>
      <c r="B197" t="inlineStr">
        <is>
          <t>O25</t>
        </is>
      </c>
      <c r="C197" t="n">
        <v>25</v>
      </c>
      <c r="D197" t="n">
        <v>15</v>
      </c>
      <c r="E197" t="inlineStr">
        <is>
          <t>Calculation</t>
        </is>
      </c>
      <c r="F197" t="inlineStr">
        <is>
          <t>'=SUM(O21:O24)</t>
        </is>
      </c>
      <c r="G197" t="n">
        <v>800.217328674592</v>
      </c>
      <c r="H197" t="inlineStr"/>
      <c r="I197" t="inlineStr">
        <is>
          <t xml:space="preserve">_ * #,##0_ ;_ * \-#,##0_ ;_ * "-"??_ ;_ @_ 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1</v>
      </c>
      <c r="S197" t="inlineStr">
        <is>
          <t>G000093</t>
        </is>
      </c>
      <c r="T197" t="inlineStr">
        <is>
          <t>Horizontal</t>
        </is>
      </c>
      <c r="U197" t="n">
        <v>5</v>
      </c>
      <c r="V197" t="b">
        <v>1</v>
      </c>
      <c r="W197" t="inlineStr">
        <is>
          <t>Asset Schedule !K25:O25</t>
        </is>
      </c>
      <c r="X197">
        <f>SUM(R[-4]C[0]:R[-1]C[0])</f>
        <v/>
      </c>
    </row>
    <row r="198">
      <c r="A198" t="inlineStr">
        <is>
          <t xml:space="preserve">Asset Schedule </t>
        </is>
      </c>
      <c r="B198" t="inlineStr">
        <is>
          <t>A27</t>
        </is>
      </c>
      <c r="C198" t="n">
        <v>27</v>
      </c>
      <c r="D198" t="n">
        <v>1</v>
      </c>
      <c r="E198" t="inlineStr">
        <is>
          <t>Input</t>
        </is>
      </c>
      <c r="F198" t="n">
        <v/>
      </c>
      <c r="G198" t="inlineStr">
        <is>
          <t>Amortisation rate</t>
        </is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 xml:space="preserve">Asset Schedule </t>
        </is>
      </c>
      <c r="B199" t="inlineStr">
        <is>
          <t>H27</t>
        </is>
      </c>
      <c r="C199" t="n">
        <v>27</v>
      </c>
      <c r="D199" t="n">
        <v>8</v>
      </c>
      <c r="E199" t="inlineStr">
        <is>
          <t>Output</t>
        </is>
      </c>
      <c r="F199" t="inlineStr">
        <is>
          <t>'=H23/(H21+H22/2)</t>
        </is>
      </c>
      <c r="G199" t="n">
        <v>-0.4894366197183099</v>
      </c>
      <c r="H199" t="inlineStr"/>
      <c r="I199" t="inlineStr">
        <is>
          <t>0%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inlineStr">
        <is>
          <t>G000098</t>
        </is>
      </c>
      <c r="T199" t="inlineStr">
        <is>
          <t>Horizontal</t>
        </is>
      </c>
      <c r="U199" t="n">
        <v>3</v>
      </c>
      <c r="V199" t="b">
        <v>1</v>
      </c>
      <c r="W199" t="inlineStr">
        <is>
          <t>Asset Schedule !H27:J27</t>
        </is>
      </c>
      <c r="X199">
        <f>R[-4]C[0]/(R[-6]C[0]+R[-5]C[0]/2)</f>
        <v/>
      </c>
    </row>
    <row r="200">
      <c r="A200" t="inlineStr">
        <is>
          <t xml:space="preserve">Asset Schedule </t>
        </is>
      </c>
      <c r="B200" t="inlineStr">
        <is>
          <t>I27</t>
        </is>
      </c>
      <c r="C200" t="n">
        <v>27</v>
      </c>
      <c r="D200" t="n">
        <v>9</v>
      </c>
      <c r="E200" t="inlineStr">
        <is>
          <t>Output</t>
        </is>
      </c>
      <c r="F200" t="inlineStr">
        <is>
          <t>'=I23/(I21+I22/2)</t>
        </is>
      </c>
      <c r="G200" t="n">
        <v>-0.5663519728879206</v>
      </c>
      <c r="H200" t="inlineStr"/>
      <c r="I200" t="inlineStr">
        <is>
          <t>0%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R200" t="b">
        <v>1</v>
      </c>
      <c r="S200" t="inlineStr">
        <is>
          <t>G000098</t>
        </is>
      </c>
      <c r="T200" t="inlineStr">
        <is>
          <t>Horizontal</t>
        </is>
      </c>
      <c r="U200" t="n">
        <v>3</v>
      </c>
      <c r="V200" t="b">
        <v>1</v>
      </c>
      <c r="W200" t="inlineStr">
        <is>
          <t>Asset Schedule !H27:J27</t>
        </is>
      </c>
      <c r="X200">
        <f>R[-4]C[0]/(R[-6]C[0]+R[-5]C[0]/2)</f>
        <v/>
      </c>
    </row>
    <row r="201">
      <c r="A201" t="inlineStr">
        <is>
          <t xml:space="preserve">Asset Schedule </t>
        </is>
      </c>
      <c r="B201" t="inlineStr">
        <is>
          <t>J27</t>
        </is>
      </c>
      <c r="C201" t="n">
        <v>27</v>
      </c>
      <c r="D201" t="n">
        <v>10</v>
      </c>
      <c r="E201" t="inlineStr">
        <is>
          <t>Output</t>
        </is>
      </c>
      <c r="F201" t="inlineStr">
        <is>
          <t>'=J23/(J21+J22/2)</t>
        </is>
      </c>
      <c r="G201" t="n">
        <v>-0.4163891773186771</v>
      </c>
      <c r="H201" t="inlineStr"/>
      <c r="I201" t="inlineStr">
        <is>
          <t>0%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R201" t="b">
        <v>1</v>
      </c>
      <c r="S201" t="inlineStr">
        <is>
          <t>G000098</t>
        </is>
      </c>
      <c r="T201" t="inlineStr">
        <is>
          <t>Horizontal</t>
        </is>
      </c>
      <c r="U201" t="n">
        <v>3</v>
      </c>
      <c r="V201" t="b">
        <v>1</v>
      </c>
      <c r="W201" t="inlineStr">
        <is>
          <t>Asset Schedule !H27:J27</t>
        </is>
      </c>
      <c r="X201">
        <f>R[-4]C[0]/(R[-6]C[0]+R[-5]C[0]/2)</f>
        <v/>
      </c>
    </row>
    <row r="202">
      <c r="A202" t="inlineStr">
        <is>
          <t xml:space="preserve">Asset Schedule </t>
        </is>
      </c>
      <c r="B202" t="inlineStr">
        <is>
          <t>K27</t>
        </is>
      </c>
      <c r="C202" t="n">
        <v>27</v>
      </c>
      <c r="D202" t="n">
        <v>11</v>
      </c>
      <c r="E202" t="inlineStr">
        <is>
          <t>Input</t>
        </is>
      </c>
      <c r="F202" t="n">
        <v/>
      </c>
      <c r="G202" t="n">
        <v>-0.42</v>
      </c>
      <c r="H202" t="inlineStr"/>
      <c r="I202" t="inlineStr">
        <is>
          <t>0%</t>
        </is>
      </c>
      <c r="J202" t="b">
        <v>0</v>
      </c>
      <c r="K202" t="b">
        <v>0</v>
      </c>
      <c r="L202" t="n">
        <v>11</v>
      </c>
      <c r="M202" t="inlineStr">
        <is>
          <t>FFFF0000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 xml:space="preserve">Asset Schedule </t>
        </is>
      </c>
      <c r="B203" t="inlineStr">
        <is>
          <t>L27</t>
        </is>
      </c>
      <c r="C203" t="n">
        <v>27</v>
      </c>
      <c r="D203" t="n">
        <v>12</v>
      </c>
      <c r="E203" t="inlineStr">
        <is>
          <t>Input</t>
        </is>
      </c>
      <c r="F203" t="n">
        <v/>
      </c>
      <c r="G203" t="n">
        <v>-0.42</v>
      </c>
      <c r="H203" t="inlineStr"/>
      <c r="I203" t="inlineStr">
        <is>
          <t>0%</t>
        </is>
      </c>
      <c r="J203" t="b">
        <v>0</v>
      </c>
      <c r="K203" t="b">
        <v>0</v>
      </c>
      <c r="L203" t="n">
        <v>11</v>
      </c>
      <c r="M203" t="inlineStr">
        <is>
          <t>FFFF0000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 xml:space="preserve">Asset Schedule </t>
        </is>
      </c>
      <c r="B204" t="inlineStr">
        <is>
          <t>M27</t>
        </is>
      </c>
      <c r="C204" t="n">
        <v>27</v>
      </c>
      <c r="D204" t="n">
        <v>13</v>
      </c>
      <c r="E204" t="inlineStr">
        <is>
          <t>Input</t>
        </is>
      </c>
      <c r="F204" t="n">
        <v/>
      </c>
      <c r="G204" t="n">
        <v>-0.42</v>
      </c>
      <c r="H204" t="inlineStr"/>
      <c r="I204" t="inlineStr">
        <is>
          <t>0%</t>
        </is>
      </c>
      <c r="J204" t="b">
        <v>0</v>
      </c>
      <c r="K204" t="b">
        <v>0</v>
      </c>
      <c r="L204" t="n">
        <v>11</v>
      </c>
      <c r="M204" t="inlineStr">
        <is>
          <t>FFFF0000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 xml:space="preserve">Asset Schedule </t>
        </is>
      </c>
      <c r="B205" t="inlineStr">
        <is>
          <t>N27</t>
        </is>
      </c>
      <c r="C205" t="n">
        <v>27</v>
      </c>
      <c r="D205" t="n">
        <v>14</v>
      </c>
      <c r="E205" t="inlineStr">
        <is>
          <t>Input</t>
        </is>
      </c>
      <c r="F205" t="n">
        <v/>
      </c>
      <c r="G205" t="n">
        <v>-0.42</v>
      </c>
      <c r="H205" t="inlineStr"/>
      <c r="I205" t="inlineStr">
        <is>
          <t>0%</t>
        </is>
      </c>
      <c r="J205" t="b">
        <v>0</v>
      </c>
      <c r="K205" t="b">
        <v>0</v>
      </c>
      <c r="L205" t="n">
        <v>11</v>
      </c>
      <c r="M205" t="inlineStr">
        <is>
          <t>FFFF0000</t>
        </is>
      </c>
      <c r="N205" t="inlineStr">
        <is>
          <t>00000000</t>
        </is>
      </c>
      <c r="O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 xml:space="preserve">Asset Schedule </t>
        </is>
      </c>
      <c r="B206" t="inlineStr">
        <is>
          <t>O27</t>
        </is>
      </c>
      <c r="C206" t="n">
        <v>27</v>
      </c>
      <c r="D206" t="n">
        <v>15</v>
      </c>
      <c r="E206" t="inlineStr">
        <is>
          <t>Input</t>
        </is>
      </c>
      <c r="F206" t="n">
        <v/>
      </c>
      <c r="G206" t="n">
        <v>-0.42</v>
      </c>
      <c r="H206" t="inlineStr"/>
      <c r="I206" t="inlineStr">
        <is>
          <t>0%</t>
        </is>
      </c>
      <c r="J206" t="b">
        <v>0</v>
      </c>
      <c r="K206" t="b">
        <v>0</v>
      </c>
      <c r="L206" t="n">
        <v>11</v>
      </c>
      <c r="M206" t="inlineStr">
        <is>
          <t>FFFF0000</t>
        </is>
      </c>
      <c r="N206" t="inlineStr">
        <is>
          <t>00000000</t>
        </is>
      </c>
      <c r="O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Cost Matrix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Cost Matrix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Cost Matrix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Cost Matrix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Cost Matrix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Cost Matrix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Cost Matrix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Cost Matrix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Cost Matrix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Cost Matrix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Cost Matrix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Cost Matrix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Cost Matrix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Cost Matrix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Cost Matrix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Cost Matrix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Cost Matrix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Cost Matrix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Cost Matrix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Cost Matrix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Cost Matrix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Cost Matrix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Cost Matrix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Cost Matrix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Cost Matrix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Cost Matrix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Cost Matrix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Cost Matrix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G000099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Cost Matrix!E5:O5</t>
        </is>
      </c>
      <c r="X29">
        <f>EOMONTH(R[0]C[-1],12)</f>
        <v/>
      </c>
    </row>
    <row r="30">
      <c r="A30" t="inlineStr">
        <is>
          <t>Cost Matrix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G000099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Cost Matrix!E5:O5</t>
        </is>
      </c>
      <c r="X30">
        <f>EOMONTH(R[0]C[-1],12)</f>
        <v/>
      </c>
    </row>
    <row r="31">
      <c r="A31" t="inlineStr">
        <is>
          <t>Cost Matrix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G000099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Cost Matrix!E5:O5</t>
        </is>
      </c>
      <c r="X31">
        <f>EOMONTH(R[0]C[-1],12)</f>
        <v/>
      </c>
    </row>
    <row r="32">
      <c r="A32" t="inlineStr">
        <is>
          <t>Cost Matrix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G000099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Cost Matrix!E5:O5</t>
        </is>
      </c>
      <c r="X32">
        <f>EOMONTH(R[0]C[-1],12)</f>
        <v/>
      </c>
    </row>
    <row r="33">
      <c r="A33" t="inlineStr">
        <is>
          <t>Cost Matrix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G000099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Cost Matrix!E5:O5</t>
        </is>
      </c>
      <c r="X33">
        <f>EOMONTH(R[0]C[-1],12)</f>
        <v/>
      </c>
    </row>
    <row r="34">
      <c r="A34" t="inlineStr">
        <is>
          <t>Cost Matrix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G000099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Cost Matrix!E5:O5</t>
        </is>
      </c>
      <c r="X34">
        <f>EOMONTH(R[0]C[-1],12)</f>
        <v/>
      </c>
    </row>
    <row r="35">
      <c r="A35" t="inlineStr">
        <is>
          <t>Cost Matrix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G000099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Cost Matrix!E5:O5</t>
        </is>
      </c>
      <c r="X35">
        <f>EOMONTH(R[0]C[-1],12)</f>
        <v/>
      </c>
    </row>
    <row r="36">
      <c r="A36" t="inlineStr">
        <is>
          <t>Cost Matrix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G000099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Cost Matrix!E5:O5</t>
        </is>
      </c>
      <c r="X36">
        <f>EOMONTH(R[0]C[-1],12)</f>
        <v/>
      </c>
    </row>
    <row r="37">
      <c r="A37" t="inlineStr">
        <is>
          <t>Cost Matrix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G000099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Cost Matrix!E5:O5</t>
        </is>
      </c>
      <c r="X37">
        <f>EOMONTH(R[0]C[-1],12)</f>
        <v/>
      </c>
    </row>
    <row r="38">
      <c r="A38" t="inlineStr">
        <is>
          <t>Cost Matrix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G000099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Cost Matrix!E5:O5</t>
        </is>
      </c>
      <c r="X38">
        <f>EOMONTH(R[0]C[-1],12)</f>
        <v/>
      </c>
    </row>
    <row r="39">
      <c r="A39" t="inlineStr">
        <is>
          <t>Cost Matrix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G000099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Cost Matrix!E5:O5</t>
        </is>
      </c>
      <c r="X39">
        <f>EOMONTH(R[0]C[-1],12)</f>
        <v/>
      </c>
    </row>
    <row r="40">
      <c r="A40" t="inlineStr">
        <is>
          <t>Cost Matrix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Cost Matrix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Cost Matrix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G000100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Cost Matrix!D6:O6</t>
        </is>
      </c>
      <c r="X42">
        <f>YEAR(R[-1]C[0])</f>
        <v/>
      </c>
    </row>
    <row r="43">
      <c r="A43" t="inlineStr">
        <is>
          <t>Cost Matrix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G000100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Cost Matrix!D6:O6</t>
        </is>
      </c>
      <c r="X43">
        <f>YEAR(R[-1]C[0])</f>
        <v/>
      </c>
    </row>
    <row r="44">
      <c r="A44" t="inlineStr">
        <is>
          <t>Cost Matrix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G000100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Cost Matrix!D6:O6</t>
        </is>
      </c>
      <c r="X44">
        <f>YEAR(R[-1]C[0])</f>
        <v/>
      </c>
    </row>
    <row r="45">
      <c r="A45" t="inlineStr">
        <is>
          <t>Cost Matrix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G000100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Cost Matrix!D6:O6</t>
        </is>
      </c>
      <c r="X45">
        <f>YEAR(R[-1]C[0])</f>
        <v/>
      </c>
    </row>
    <row r="46">
      <c r="A46" t="inlineStr">
        <is>
          <t>Cost Matrix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G000100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Cost Matrix!D6:O6</t>
        </is>
      </c>
      <c r="X46">
        <f>YEAR(R[-1]C[0])</f>
        <v/>
      </c>
    </row>
    <row r="47">
      <c r="A47" t="inlineStr">
        <is>
          <t>Cost Matrix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G000100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Cost Matrix!D6:O6</t>
        </is>
      </c>
      <c r="X47">
        <f>YEAR(R[-1]C[0])</f>
        <v/>
      </c>
    </row>
    <row r="48">
      <c r="A48" t="inlineStr">
        <is>
          <t>Cost Matrix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G000100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Cost Matrix!D6:O6</t>
        </is>
      </c>
      <c r="X48">
        <f>YEAR(R[-1]C[0])</f>
        <v/>
      </c>
    </row>
    <row r="49">
      <c r="A49" t="inlineStr">
        <is>
          <t>Cost Matrix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G000100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Cost Matrix!D6:O6</t>
        </is>
      </c>
      <c r="X49">
        <f>YEAR(R[-1]C[0])</f>
        <v/>
      </c>
    </row>
    <row r="50">
      <c r="A50" t="inlineStr">
        <is>
          <t>Cost Matrix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G000100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Cost Matrix!D6:O6</t>
        </is>
      </c>
      <c r="X50">
        <f>YEAR(R[-1]C[0])</f>
        <v/>
      </c>
    </row>
    <row r="51">
      <c r="A51" t="inlineStr">
        <is>
          <t>Cost Matrix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G000100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Cost Matrix!D6:O6</t>
        </is>
      </c>
      <c r="X51">
        <f>YEAR(R[-1]C[0])</f>
        <v/>
      </c>
    </row>
    <row r="52">
      <c r="A52" t="inlineStr">
        <is>
          <t>Cost Matrix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G000100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Cost Matrix!D6:O6</t>
        </is>
      </c>
      <c r="X52">
        <f>YEAR(R[-1]C[0])</f>
        <v/>
      </c>
    </row>
    <row r="53">
      <c r="A53" t="inlineStr">
        <is>
          <t>Cost Matrix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G000100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Cost Matrix!D6:O6</t>
        </is>
      </c>
      <c r="X53">
        <f>YEAR(R[-1]C[0])</f>
        <v/>
      </c>
    </row>
    <row r="54">
      <c r="A54" t="inlineStr">
        <is>
          <t>Cost Matrix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Block hours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Cost Matrix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Cost Matrix</t>
        </is>
      </c>
      <c r="B56" t="inlineStr">
        <is>
          <t>D7</t>
        </is>
      </c>
      <c r="C56" t="n">
        <v>7</v>
      </c>
      <c r="D56" t="n">
        <v>4</v>
      </c>
      <c r="E56" t="inlineStr">
        <is>
          <t>Input</t>
        </is>
      </c>
      <c r="F56" t="n">
        <v/>
      </c>
      <c r="G56" t="n">
        <v>125553</v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Cost Matrix</t>
        </is>
      </c>
      <c r="B57" t="inlineStr">
        <is>
          <t>E7</t>
        </is>
      </c>
      <c r="C57" t="n">
        <v>7</v>
      </c>
      <c r="D57" t="n">
        <v>5</v>
      </c>
      <c r="E57" t="inlineStr">
        <is>
          <t>Calculation</t>
        </is>
      </c>
      <c r="F57" t="inlineStr">
        <is>
          <t>'=167784+11468</t>
        </is>
      </c>
      <c r="G57" t="n">
        <v>179252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>
        <f>167784+11468</f>
        <v/>
      </c>
    </row>
    <row r="58">
      <c r="A58" t="inlineStr">
        <is>
          <t>Cost Matrix</t>
        </is>
      </c>
      <c r="B58" t="inlineStr">
        <is>
          <t>F7</t>
        </is>
      </c>
      <c r="C58" t="n">
        <v>7</v>
      </c>
      <c r="D58" t="n">
        <v>6</v>
      </c>
      <c r="E58" t="inlineStr">
        <is>
          <t>Calculation</t>
        </is>
      </c>
      <c r="F58" t="inlineStr">
        <is>
          <t>'=214823+31317</t>
        </is>
      </c>
      <c r="G58" t="n">
        <v>246140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>
        <f>214823+31317</f>
        <v/>
      </c>
    </row>
    <row r="59">
      <c r="A59" t="inlineStr">
        <is>
          <t>Cost Matrix</t>
        </is>
      </c>
      <c r="B59" t="inlineStr">
        <is>
          <t>G7</t>
        </is>
      </c>
      <c r="C59" t="n">
        <v>7</v>
      </c>
      <c r="D59" t="n">
        <v>7</v>
      </c>
      <c r="E59" t="inlineStr">
        <is>
          <t>Calculation</t>
        </is>
      </c>
      <c r="F59" t="inlineStr">
        <is>
          <t>'=261952+35701</t>
        </is>
      </c>
      <c r="G59" t="n">
        <v>297653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>
        <f>261952+35701</f>
        <v/>
      </c>
    </row>
    <row r="60">
      <c r="A60" t="inlineStr">
        <is>
          <t>Cost Matrix</t>
        </is>
      </c>
      <c r="B60" t="inlineStr">
        <is>
          <t>H7</t>
        </is>
      </c>
      <c r="C60" t="n">
        <v>7</v>
      </c>
      <c r="D60" t="n">
        <v>8</v>
      </c>
      <c r="E60" t="inlineStr">
        <is>
          <t>Input</t>
        </is>
      </c>
      <c r="F60" t="n">
        <v/>
      </c>
      <c r="G60" t="n">
        <v>354276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Cost Matrix</t>
        </is>
      </c>
      <c r="B61" t="inlineStr">
        <is>
          <t>I7</t>
        </is>
      </c>
      <c r="C61" t="n">
        <v>7</v>
      </c>
      <c r="D61" t="n">
        <v>9</v>
      </c>
      <c r="E61" t="inlineStr">
        <is>
          <t>Input</t>
        </is>
      </c>
      <c r="F61" t="n">
        <v/>
      </c>
      <c r="G61" t="n">
        <v>436739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Cost Matrix</t>
        </is>
      </c>
      <c r="B62" t="inlineStr">
        <is>
          <t>J7</t>
        </is>
      </c>
      <c r="C62" t="n">
        <v>7</v>
      </c>
      <c r="D62" t="n">
        <v>10</v>
      </c>
      <c r="E62" t="inlineStr">
        <is>
          <t>Input</t>
        </is>
      </c>
      <c r="F62" t="n">
        <v/>
      </c>
      <c r="G62" t="n">
        <v>558567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Cost Matrix</t>
        </is>
      </c>
      <c r="B63" t="inlineStr">
        <is>
          <t>K7</t>
        </is>
      </c>
      <c r="C63" t="n">
        <v>7</v>
      </c>
      <c r="D63" t="n">
        <v>11</v>
      </c>
      <c r="E63" t="inlineStr">
        <is>
          <t>Calculation</t>
        </is>
      </c>
      <c r="F63" t="inlineStr">
        <is>
          <t>'=AVERAGE(J8:K8)*K9</t>
        </is>
      </c>
      <c r="G63" t="n">
        <v>669154.5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G000101</t>
        </is>
      </c>
      <c r="T63" t="inlineStr">
        <is>
          <t>Horizontal</t>
        </is>
      </c>
      <c r="U63" t="n">
        <v>5</v>
      </c>
      <c r="V63" t="b">
        <v>1</v>
      </c>
      <c r="W63" t="inlineStr">
        <is>
          <t>Cost Matrix!K7:O7</t>
        </is>
      </c>
      <c r="X63">
        <f>AVERAGE(R[1]C[-1]:R[1]C[0])*R[2]C[0]</f>
        <v/>
      </c>
    </row>
    <row r="64">
      <c r="A64" t="inlineStr">
        <is>
          <t>Cost Matrix</t>
        </is>
      </c>
      <c r="B64" t="inlineStr">
        <is>
          <t>L7</t>
        </is>
      </c>
      <c r="C64" t="n">
        <v>7</v>
      </c>
      <c r="D64" t="n">
        <v>12</v>
      </c>
      <c r="E64" t="inlineStr">
        <is>
          <t>Calculation</t>
        </is>
      </c>
      <c r="F64" t="inlineStr">
        <is>
          <t>'=AVERAGE(K8:L8)*L9</t>
        </is>
      </c>
      <c r="G64" t="n">
        <v>742717.114173913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G000101</t>
        </is>
      </c>
      <c r="T64" t="inlineStr">
        <is>
          <t>Horizontal</t>
        </is>
      </c>
      <c r="U64" t="n">
        <v>5</v>
      </c>
      <c r="V64" t="b">
        <v>1</v>
      </c>
      <c r="W64" t="inlineStr">
        <is>
          <t>Cost Matrix!K7:O7</t>
        </is>
      </c>
      <c r="X64">
        <f>AVERAGE(R[1]C[-1]:R[1]C[0])*R[2]C[0]</f>
        <v/>
      </c>
    </row>
    <row r="65">
      <c r="A65" t="inlineStr">
        <is>
          <t>Cost Matrix</t>
        </is>
      </c>
      <c r="B65" t="inlineStr">
        <is>
          <t>M7</t>
        </is>
      </c>
      <c r="C65" t="n">
        <v>7</v>
      </c>
      <c r="D65" t="n">
        <v>13</v>
      </c>
      <c r="E65" t="inlineStr">
        <is>
          <t>Calculation</t>
        </is>
      </c>
      <c r="F65" t="inlineStr">
        <is>
          <t>'=AVERAGE(L8:M8)*M9</t>
        </is>
      </c>
      <c r="G65" t="n">
        <v>823244.5377391301</v>
      </c>
      <c r="H65" t="inlineStr"/>
      <c r="I65" t="inlineStr">
        <is>
          <t>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G000101</t>
        </is>
      </c>
      <c r="T65" t="inlineStr">
        <is>
          <t>Horizontal</t>
        </is>
      </c>
      <c r="U65" t="n">
        <v>5</v>
      </c>
      <c r="V65" t="b">
        <v>1</v>
      </c>
      <c r="W65" t="inlineStr">
        <is>
          <t>Cost Matrix!K7:O7</t>
        </is>
      </c>
      <c r="X65">
        <f>AVERAGE(R[1]C[-1]:R[1]C[0])*R[2]C[0]</f>
        <v/>
      </c>
    </row>
    <row r="66">
      <c r="A66" t="inlineStr">
        <is>
          <t>Cost Matrix</t>
        </is>
      </c>
      <c r="B66" t="inlineStr">
        <is>
          <t>N7</t>
        </is>
      </c>
      <c r="C66" t="n">
        <v>7</v>
      </c>
      <c r="D66" t="n">
        <v>14</v>
      </c>
      <c r="E66" t="inlineStr">
        <is>
          <t>Calculation</t>
        </is>
      </c>
      <c r="F66" t="inlineStr">
        <is>
          <t>'=AVERAGE(M8:N8)*N9</t>
        </is>
      </c>
      <c r="G66" t="n">
        <v>963196.1091547823</v>
      </c>
      <c r="H66" t="inlineStr"/>
      <c r="I66" t="inlineStr">
        <is>
          <t>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G000101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Cost Matrix!K7:O7</t>
        </is>
      </c>
      <c r="X66">
        <f>AVERAGE(R[1]C[-1]:R[1]C[0])*R[2]C[0]</f>
        <v/>
      </c>
    </row>
    <row r="67">
      <c r="A67" t="inlineStr">
        <is>
          <t>Cost Matrix</t>
        </is>
      </c>
      <c r="B67" t="inlineStr">
        <is>
          <t>O7</t>
        </is>
      </c>
      <c r="C67" t="n">
        <v>7</v>
      </c>
      <c r="D67" t="n">
        <v>15</v>
      </c>
      <c r="E67" t="inlineStr">
        <is>
          <t>Calculation</t>
        </is>
      </c>
      <c r="F67" t="inlineStr">
        <is>
          <t>'=AVERAGE(N8:O8)*O9</t>
        </is>
      </c>
      <c r="G67" t="n">
        <v>1126198.52762713</v>
      </c>
      <c r="H67" t="inlineStr"/>
      <c r="I67" t="inlineStr">
        <is>
          <t>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G000101</t>
        </is>
      </c>
      <c r="T67" t="inlineStr">
        <is>
          <t>Horizontal</t>
        </is>
      </c>
      <c r="U67" t="n">
        <v>5</v>
      </c>
      <c r="V67" t="b">
        <v>1</v>
      </c>
      <c r="W67" t="inlineStr">
        <is>
          <t>Cost Matrix!K7:O7</t>
        </is>
      </c>
      <c r="X67">
        <f>AVERAGE(R[1]C[-1]:R[1]C[0])*R[2]C[0]</f>
        <v/>
      </c>
    </row>
    <row r="68">
      <c r="A68" t="inlineStr">
        <is>
          <t>Cost Matrix</t>
        </is>
      </c>
      <c r="B68" t="inlineStr">
        <is>
          <t>A8</t>
        </is>
      </c>
      <c r="C68" t="n">
        <v>8</v>
      </c>
      <c r="D68" t="n">
        <v>1</v>
      </c>
      <c r="E68" t="inlineStr">
        <is>
          <t>Input</t>
        </is>
      </c>
      <c r="F68" t="n">
        <v/>
      </c>
      <c r="G68" t="inlineStr">
        <is>
          <t>No of aircrafts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Cost Matrix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39</v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Cost Matrix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Input</t>
        </is>
      </c>
      <c r="F70" t="n">
        <v/>
      </c>
      <c r="G70" t="n">
        <v>55</v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Cost Matrix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Input</t>
        </is>
      </c>
      <c r="F71" t="n">
        <v/>
      </c>
      <c r="G71" t="n">
        <v>66</v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Cost Matrix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Input</t>
        </is>
      </c>
      <c r="F72" t="n">
        <v/>
      </c>
      <c r="G72" t="n">
        <v>77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Cost Matrix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Input</t>
        </is>
      </c>
      <c r="F73" t="n">
        <v/>
      </c>
      <c r="G73" t="n">
        <v>94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Cost Matrix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Input</t>
        </is>
      </c>
      <c r="F74" t="n">
        <v/>
      </c>
      <c r="G74" t="n">
        <v>107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Cost Matrix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n">
        <v>131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Cost Matrix</t>
        </is>
      </c>
      <c r="B76" t="inlineStr">
        <is>
          <t>K8</t>
        </is>
      </c>
      <c r="C76" t="n">
        <v>8</v>
      </c>
      <c r="D76" t="n">
        <v>11</v>
      </c>
      <c r="E76" t="inlineStr">
        <is>
          <t>Calculation</t>
        </is>
      </c>
      <c r="F76" t="inlineStr">
        <is>
          <t>'='Assumptions Sheet'!K17</t>
        </is>
      </c>
      <c r="G76" t="n">
        <v>160</v>
      </c>
      <c r="H76" t="inlineStr"/>
      <c r="I76" t="inlineStr">
        <is>
          <t>0</t>
        </is>
      </c>
      <c r="J76" t="b">
        <v>0</v>
      </c>
      <c r="K76" t="b">
        <v>0</v>
      </c>
      <c r="L76" t="n">
        <v>11</v>
      </c>
      <c r="M76" t="inlineStr">
        <is>
          <t>FFFF0000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G000102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Cost Matrix!K8:O8</t>
        </is>
      </c>
      <c r="X76">
        <f>'Assumptions Sheet'!R[9]C[0]</f>
        <v/>
      </c>
    </row>
    <row r="77">
      <c r="A77" t="inlineStr">
        <is>
          <t>Cost Matrix</t>
        </is>
      </c>
      <c r="B77" t="inlineStr">
        <is>
          <t>L8</t>
        </is>
      </c>
      <c r="C77" t="n">
        <v>8</v>
      </c>
      <c r="D77" t="n">
        <v>12</v>
      </c>
      <c r="E77" t="inlineStr">
        <is>
          <t>Calculation</t>
        </is>
      </c>
      <c r="F77" t="inlineStr">
        <is>
          <t>'='Assumptions Sheet'!L17</t>
        </is>
      </c>
      <c r="G77" t="n">
        <v>170.8685217391304</v>
      </c>
      <c r="H77" t="inlineStr"/>
      <c r="I77" t="inlineStr">
        <is>
          <t>0</t>
        </is>
      </c>
      <c r="J77" t="b">
        <v>0</v>
      </c>
      <c r="K77" t="b">
        <v>0</v>
      </c>
      <c r="L77" t="n">
        <v>11</v>
      </c>
      <c r="M77" t="inlineStr">
        <is>
          <t>FFFF0000</t>
        </is>
      </c>
      <c r="N77" t="inlineStr">
        <is>
          <t>00000000</t>
        </is>
      </c>
      <c r="O77" t="n">
        <v/>
      </c>
      <c r="R77" t="b">
        <v>1</v>
      </c>
      <c r="S77" t="inlineStr">
        <is>
          <t>G000102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Cost Matrix!K8:O8</t>
        </is>
      </c>
      <c r="X77">
        <f>'Assumptions Sheet'!R[9]C[0]</f>
        <v/>
      </c>
    </row>
    <row r="78">
      <c r="A78" t="inlineStr">
        <is>
          <t>Cost Matrix</t>
        </is>
      </c>
      <c r="B78" t="inlineStr">
        <is>
          <t>M8</t>
        </is>
      </c>
      <c r="C78" t="n">
        <v>8</v>
      </c>
      <c r="D78" t="n">
        <v>13</v>
      </c>
      <c r="E78" t="inlineStr">
        <is>
          <t>Calculation</t>
        </is>
      </c>
      <c r="F78" t="inlineStr">
        <is>
          <t>'='Assumptions Sheet'!M17</t>
        </is>
      </c>
      <c r="G78" t="n">
        <v>205.0422260869565</v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inlineStr">
        <is>
          <t>FFFF0000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G000102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Cost Matrix!K8:O8</t>
        </is>
      </c>
      <c r="X78">
        <f>'Assumptions Sheet'!R[9]C[0]</f>
        <v/>
      </c>
    </row>
    <row r="79">
      <c r="A79" t="inlineStr">
        <is>
          <t>Cost Matrix</t>
        </is>
      </c>
      <c r="B79" t="inlineStr">
        <is>
          <t>N8</t>
        </is>
      </c>
      <c r="C79" t="n">
        <v>8</v>
      </c>
      <c r="D79" t="n">
        <v>14</v>
      </c>
      <c r="E79" t="inlineStr">
        <is>
          <t>Calculation</t>
        </is>
      </c>
      <c r="F79" t="inlineStr">
        <is>
          <t>'='Assumptions Sheet'!N17</t>
        </is>
      </c>
      <c r="G79" t="n">
        <v>246.0506713043478</v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inlineStr">
        <is>
          <t>FFFF0000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G000102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Cost Matrix!K8:O8</t>
        </is>
      </c>
      <c r="X79">
        <f>'Assumptions Sheet'!R[9]C[0]</f>
        <v/>
      </c>
    </row>
    <row r="80">
      <c r="A80" t="inlineStr">
        <is>
          <t>Cost Matrix</t>
        </is>
      </c>
      <c r="B80" t="inlineStr">
        <is>
          <t>O8</t>
        </is>
      </c>
      <c r="C80" t="n">
        <v>8</v>
      </c>
      <c r="D80" t="n">
        <v>15</v>
      </c>
      <c r="E80" t="inlineStr">
        <is>
          <t>Calculation</t>
        </is>
      </c>
      <c r="F80" t="inlineStr">
        <is>
          <t>'='Assumptions Sheet'!O17</t>
        </is>
      </c>
      <c r="G80" t="n">
        <v>295.2608055652174</v>
      </c>
      <c r="H80" t="inlineStr"/>
      <c r="I80" t="inlineStr">
        <is>
          <t>0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G000102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Cost Matrix!K8:O8</t>
        </is>
      </c>
      <c r="X80">
        <f>'Assumptions Sheet'!R[9]C[0]</f>
        <v/>
      </c>
    </row>
    <row r="81">
      <c r="A81" t="inlineStr">
        <is>
          <t>Cost Matrix</t>
        </is>
      </c>
      <c r="B81" t="inlineStr">
        <is>
          <t>A9</t>
        </is>
      </c>
      <c r="C81" t="n">
        <v>9</v>
      </c>
      <c r="D81" t="n">
        <v>1</v>
      </c>
      <c r="E81" t="inlineStr">
        <is>
          <t>Input</t>
        </is>
      </c>
      <c r="F81" t="n">
        <v/>
      </c>
      <c r="G81" t="inlineStr">
        <is>
          <t>Block hours per aircraft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Cost Matrix</t>
        </is>
      </c>
      <c r="B82" t="inlineStr">
        <is>
          <t>E9</t>
        </is>
      </c>
      <c r="C82" t="n">
        <v>9</v>
      </c>
      <c r="D82" t="n">
        <v>5</v>
      </c>
      <c r="E82" t="inlineStr">
        <is>
          <t>Calculation</t>
        </is>
      </c>
      <c r="F82" t="inlineStr">
        <is>
          <t>'=E7/AVERAGE(D8:E8)</t>
        </is>
      </c>
      <c r="G82" t="n">
        <v>3813.872340425532</v>
      </c>
      <c r="H82" t="inlineStr"/>
      <c r="I82" t="inlineStr">
        <is>
          <t>0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1</v>
      </c>
      <c r="S82" t="inlineStr">
        <is>
          <t>G000103</t>
        </is>
      </c>
      <c r="T82" t="inlineStr">
        <is>
          <t>Horizontal</t>
        </is>
      </c>
      <c r="U82" t="n">
        <v>6</v>
      </c>
      <c r="V82" t="b">
        <v>1</v>
      </c>
      <c r="W82" t="inlineStr">
        <is>
          <t>Cost Matrix!E9:J9</t>
        </is>
      </c>
      <c r="X82">
        <f>R[-2]C[0]/AVERAGE(R[-1]C[-1]:R[-1]C[0])</f>
        <v/>
      </c>
    </row>
    <row r="83">
      <c r="A83" t="inlineStr">
        <is>
          <t>Cost Matrix</t>
        </is>
      </c>
      <c r="B83" t="inlineStr">
        <is>
          <t>F9</t>
        </is>
      </c>
      <c r="C83" t="n">
        <v>9</v>
      </c>
      <c r="D83" t="n">
        <v>6</v>
      </c>
      <c r="E83" t="inlineStr">
        <is>
          <t>Calculation</t>
        </is>
      </c>
      <c r="F83" t="inlineStr">
        <is>
          <t>'=F7/AVERAGE(E8:F8)</t>
        </is>
      </c>
      <c r="G83" t="n">
        <v>4068.429752066116</v>
      </c>
      <c r="H83" t="inlineStr"/>
      <c r="I83" t="inlineStr">
        <is>
          <t>0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1</v>
      </c>
      <c r="S83" t="inlineStr">
        <is>
          <t>G000103</t>
        </is>
      </c>
      <c r="T83" t="inlineStr">
        <is>
          <t>Horizontal</t>
        </is>
      </c>
      <c r="U83" t="n">
        <v>6</v>
      </c>
      <c r="V83" t="b">
        <v>1</v>
      </c>
      <c r="W83" t="inlineStr">
        <is>
          <t>Cost Matrix!E9:J9</t>
        </is>
      </c>
      <c r="X83">
        <f>R[-2]C[0]/AVERAGE(R[-1]C[-1]:R[-1]C[0])</f>
        <v/>
      </c>
    </row>
    <row r="84">
      <c r="A84" t="inlineStr">
        <is>
          <t>Cost Matrix</t>
        </is>
      </c>
      <c r="B84" t="inlineStr">
        <is>
          <t>G9</t>
        </is>
      </c>
      <c r="C84" t="n">
        <v>9</v>
      </c>
      <c r="D84" t="n">
        <v>7</v>
      </c>
      <c r="E84" t="inlineStr">
        <is>
          <t>Calculation</t>
        </is>
      </c>
      <c r="F84" t="inlineStr">
        <is>
          <t>'=G7/AVERAGE(F8:G8)</t>
        </is>
      </c>
      <c r="G84" t="n">
        <v>4162.979020979021</v>
      </c>
      <c r="H84" t="inlineStr"/>
      <c r="I84" t="inlineStr">
        <is>
          <t>0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1</v>
      </c>
      <c r="S84" t="inlineStr">
        <is>
          <t>G000103</t>
        </is>
      </c>
      <c r="T84" t="inlineStr">
        <is>
          <t>Horizontal</t>
        </is>
      </c>
      <c r="U84" t="n">
        <v>6</v>
      </c>
      <c r="V84" t="b">
        <v>1</v>
      </c>
      <c r="W84" t="inlineStr">
        <is>
          <t>Cost Matrix!E9:J9</t>
        </is>
      </c>
      <c r="X84">
        <f>R[-2]C[0]/AVERAGE(R[-1]C[-1]:R[-1]C[0])</f>
        <v/>
      </c>
    </row>
    <row r="85">
      <c r="A85" t="inlineStr">
        <is>
          <t>Cost Matrix</t>
        </is>
      </c>
      <c r="B85" t="inlineStr">
        <is>
          <t>H9</t>
        </is>
      </c>
      <c r="C85" t="n">
        <v>9</v>
      </c>
      <c r="D85" t="n">
        <v>8</v>
      </c>
      <c r="E85" t="inlineStr">
        <is>
          <t>Calculation</t>
        </is>
      </c>
      <c r="F85" t="inlineStr">
        <is>
          <t>'=H7/AVERAGE(G8:H8)</t>
        </is>
      </c>
      <c r="G85" t="n">
        <v>4143.578947368421</v>
      </c>
      <c r="H85" t="inlineStr"/>
      <c r="I85" t="inlineStr">
        <is>
          <t>0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inlineStr">
        <is>
          <t>G000103</t>
        </is>
      </c>
      <c r="T85" t="inlineStr">
        <is>
          <t>Horizontal</t>
        </is>
      </c>
      <c r="U85" t="n">
        <v>6</v>
      </c>
      <c r="V85" t="b">
        <v>1</v>
      </c>
      <c r="W85" t="inlineStr">
        <is>
          <t>Cost Matrix!E9:J9</t>
        </is>
      </c>
      <c r="X85">
        <f>R[-2]C[0]/AVERAGE(R[-1]C[-1]:R[-1]C[0])</f>
        <v/>
      </c>
    </row>
    <row r="86">
      <c r="A86" t="inlineStr">
        <is>
          <t>Cost Matrix</t>
        </is>
      </c>
      <c r="B86" t="inlineStr">
        <is>
          <t>I9</t>
        </is>
      </c>
      <c r="C86" t="n">
        <v>9</v>
      </c>
      <c r="D86" t="n">
        <v>9</v>
      </c>
      <c r="E86" t="inlineStr">
        <is>
          <t>Calculation</t>
        </is>
      </c>
      <c r="F86" t="inlineStr">
        <is>
          <t>'=I7/AVERAGE(H8:I8)</t>
        </is>
      </c>
      <c r="G86" t="n">
        <v>4345.661691542288</v>
      </c>
      <c r="H86" t="inlineStr"/>
      <c r="I86" t="inlineStr">
        <is>
          <t>0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inlineStr">
        <is>
          <t>G000103</t>
        </is>
      </c>
      <c r="T86" t="inlineStr">
        <is>
          <t>Horizontal</t>
        </is>
      </c>
      <c r="U86" t="n">
        <v>6</v>
      </c>
      <c r="V86" t="b">
        <v>1</v>
      </c>
      <c r="W86" t="inlineStr">
        <is>
          <t>Cost Matrix!E9:J9</t>
        </is>
      </c>
      <c r="X86">
        <f>R[-2]C[0]/AVERAGE(R[-1]C[-1]:R[-1]C[0])</f>
        <v/>
      </c>
    </row>
    <row r="87">
      <c r="A87" t="inlineStr">
        <is>
          <t>Cost Matrix</t>
        </is>
      </c>
      <c r="B87" t="inlineStr">
        <is>
          <t>J9</t>
        </is>
      </c>
      <c r="C87" t="n">
        <v>9</v>
      </c>
      <c r="D87" t="n">
        <v>10</v>
      </c>
      <c r="E87" t="inlineStr">
        <is>
          <t>Calculation</t>
        </is>
      </c>
      <c r="F87" t="inlineStr">
        <is>
          <t>'=J7/AVERAGE(I8:J8)</t>
        </is>
      </c>
      <c r="G87" t="n">
        <v>4693.840336134454</v>
      </c>
      <c r="H87" t="inlineStr"/>
      <c r="I87" t="inlineStr">
        <is>
          <t>0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G000103</t>
        </is>
      </c>
      <c r="T87" t="inlineStr">
        <is>
          <t>Horizontal</t>
        </is>
      </c>
      <c r="U87" t="n">
        <v>6</v>
      </c>
      <c r="V87" t="b">
        <v>1</v>
      </c>
      <c r="W87" t="inlineStr">
        <is>
          <t>Cost Matrix!E9:J9</t>
        </is>
      </c>
      <c r="X87">
        <f>R[-2]C[0]/AVERAGE(R[-1]C[-1]:R[-1]C[0])</f>
        <v/>
      </c>
    </row>
    <row r="88">
      <c r="A88" t="inlineStr">
        <is>
          <t>Cost Matrix</t>
        </is>
      </c>
      <c r="B88" t="inlineStr">
        <is>
          <t>K9</t>
        </is>
      </c>
      <c r="C88" t="n">
        <v>9</v>
      </c>
      <c r="D88" t="n">
        <v>11</v>
      </c>
      <c r="E88" t="inlineStr">
        <is>
          <t>Calculation</t>
        </is>
      </c>
      <c r="F88" t="inlineStr">
        <is>
          <t>'=K10*K11</t>
        </is>
      </c>
      <c r="G88" t="n">
        <v>4599</v>
      </c>
      <c r="H88" t="inlineStr"/>
      <c r="I88" t="inlineStr">
        <is>
          <t>0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G000104</t>
        </is>
      </c>
      <c r="T88" t="inlineStr">
        <is>
          <t>Horizontal</t>
        </is>
      </c>
      <c r="U88" t="n">
        <v>5</v>
      </c>
      <c r="V88" t="b">
        <v>1</v>
      </c>
      <c r="W88" t="inlineStr">
        <is>
          <t>Cost Matrix!K9:O9</t>
        </is>
      </c>
      <c r="X88">
        <f>R[1]C[0]*R[2]C[0]</f>
        <v/>
      </c>
    </row>
    <row r="89">
      <c r="A89" t="inlineStr">
        <is>
          <t>Cost Matrix</t>
        </is>
      </c>
      <c r="B89" t="inlineStr">
        <is>
          <t>L9</t>
        </is>
      </c>
      <c r="C89" t="n">
        <v>9</v>
      </c>
      <c r="D89" t="n">
        <v>12</v>
      </c>
      <c r="E89" t="inlineStr">
        <is>
          <t>Calculation</t>
        </is>
      </c>
      <c r="F89" t="inlineStr">
        <is>
          <t>'=L10*L11</t>
        </is>
      </c>
      <c r="G89" t="n">
        <v>4489.5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G000104</t>
        </is>
      </c>
      <c r="T89" t="inlineStr">
        <is>
          <t>Horizontal</t>
        </is>
      </c>
      <c r="U89" t="n">
        <v>5</v>
      </c>
      <c r="V89" t="b">
        <v>1</v>
      </c>
      <c r="W89" t="inlineStr">
        <is>
          <t>Cost Matrix!K9:O9</t>
        </is>
      </c>
      <c r="X89">
        <f>R[1]C[0]*R[2]C[0]</f>
        <v/>
      </c>
    </row>
    <row r="90">
      <c r="A90" t="inlineStr">
        <is>
          <t>Cost Matrix</t>
        </is>
      </c>
      <c r="B90" t="inlineStr">
        <is>
          <t>M9</t>
        </is>
      </c>
      <c r="C90" t="n">
        <v>9</v>
      </c>
      <c r="D90" t="n">
        <v>13</v>
      </c>
      <c r="E90" t="inlineStr">
        <is>
          <t>Calculation</t>
        </is>
      </c>
      <c r="F90" t="inlineStr">
        <is>
          <t>'=M10*M11</t>
        </is>
      </c>
      <c r="G90" t="n">
        <v>4379.999999999999</v>
      </c>
      <c r="H90" t="inlineStr"/>
      <c r="I90" t="inlineStr">
        <is>
          <t>0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G000104</t>
        </is>
      </c>
      <c r="T90" t="inlineStr">
        <is>
          <t>Horizontal</t>
        </is>
      </c>
      <c r="U90" t="n">
        <v>5</v>
      </c>
      <c r="V90" t="b">
        <v>1</v>
      </c>
      <c r="W90" t="inlineStr">
        <is>
          <t>Cost Matrix!K9:O9</t>
        </is>
      </c>
      <c r="X90">
        <f>R[1]C[0]*R[2]C[0]</f>
        <v/>
      </c>
    </row>
    <row r="91">
      <c r="A91" t="inlineStr">
        <is>
          <t>Cost Matrix</t>
        </is>
      </c>
      <c r="B91" t="inlineStr">
        <is>
          <t>N9</t>
        </is>
      </c>
      <c r="C91" t="n">
        <v>9</v>
      </c>
      <c r="D91" t="n">
        <v>14</v>
      </c>
      <c r="E91" t="inlineStr">
        <is>
          <t>Calculation</t>
        </is>
      </c>
      <c r="F91" t="inlineStr">
        <is>
          <t>'=N10*N11</t>
        </is>
      </c>
      <c r="G91" t="n">
        <v>4270.499999999999</v>
      </c>
      <c r="H91" t="inlineStr"/>
      <c r="I91" t="inlineStr">
        <is>
          <t>0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inlineStr">
        <is>
          <t>G000104</t>
        </is>
      </c>
      <c r="T91" t="inlineStr">
        <is>
          <t>Horizontal</t>
        </is>
      </c>
      <c r="U91" t="n">
        <v>5</v>
      </c>
      <c r="V91" t="b">
        <v>1</v>
      </c>
      <c r="W91" t="inlineStr">
        <is>
          <t>Cost Matrix!K9:O9</t>
        </is>
      </c>
      <c r="X91">
        <f>R[1]C[0]*R[2]C[0]</f>
        <v/>
      </c>
    </row>
    <row r="92">
      <c r="A92" t="inlineStr">
        <is>
          <t>Cost Matrix</t>
        </is>
      </c>
      <c r="B92" t="inlineStr">
        <is>
          <t>O9</t>
        </is>
      </c>
      <c r="C92" t="n">
        <v>9</v>
      </c>
      <c r="D92" t="n">
        <v>15</v>
      </c>
      <c r="E92" t="inlineStr">
        <is>
          <t>Calculation</t>
        </is>
      </c>
      <c r="F92" t="inlineStr">
        <is>
          <t>'=O10*O11</t>
        </is>
      </c>
      <c r="G92" t="n">
        <v>4160.999999999999</v>
      </c>
      <c r="H92" t="inlineStr"/>
      <c r="I92" t="inlineStr">
        <is>
          <t>0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inlineStr">
        <is>
          <t>G000104</t>
        </is>
      </c>
      <c r="T92" t="inlineStr">
        <is>
          <t>Horizontal</t>
        </is>
      </c>
      <c r="U92" t="n">
        <v>5</v>
      </c>
      <c r="V92" t="b">
        <v>1</v>
      </c>
      <c r="W92" t="inlineStr">
        <is>
          <t>Cost Matrix!K9:O9</t>
        </is>
      </c>
      <c r="X92">
        <f>R[1]C[0]*R[2]C[0]</f>
        <v/>
      </c>
    </row>
    <row r="93">
      <c r="A93" t="inlineStr">
        <is>
          <t>Cost Matrix</t>
        </is>
      </c>
      <c r="B93" t="inlineStr">
        <is>
          <t>A10</t>
        </is>
      </c>
      <c r="C93" t="n">
        <v>10</v>
      </c>
      <c r="D93" t="n">
        <v>1</v>
      </c>
      <c r="E93" t="inlineStr">
        <is>
          <t>Input</t>
        </is>
      </c>
      <c r="F93" t="n">
        <v/>
      </c>
      <c r="G93" t="inlineStr">
        <is>
          <t>No of days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Cost Matrix</t>
        </is>
      </c>
      <c r="B94" t="inlineStr">
        <is>
          <t>E10</t>
        </is>
      </c>
      <c r="C94" t="n">
        <v>10</v>
      </c>
      <c r="D94" t="n">
        <v>5</v>
      </c>
      <c r="E94" t="inlineStr">
        <is>
          <t>Input</t>
        </is>
      </c>
      <c r="F94" t="n">
        <v/>
      </c>
      <c r="G94" t="n">
        <v>365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FFFF0000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Cost Matrix</t>
        </is>
      </c>
      <c r="B95" t="inlineStr">
        <is>
          <t>F10</t>
        </is>
      </c>
      <c r="C95" t="n">
        <v>10</v>
      </c>
      <c r="D95" t="n">
        <v>6</v>
      </c>
      <c r="E95" t="inlineStr">
        <is>
          <t>Input</t>
        </is>
      </c>
      <c r="F95" t="n">
        <v/>
      </c>
      <c r="G95" t="n">
        <v>365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FFFF0000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Cost Matrix</t>
        </is>
      </c>
      <c r="B96" t="inlineStr">
        <is>
          <t>G10</t>
        </is>
      </c>
      <c r="C96" t="n">
        <v>10</v>
      </c>
      <c r="D96" t="n">
        <v>7</v>
      </c>
      <c r="E96" t="inlineStr">
        <is>
          <t>Input</t>
        </is>
      </c>
      <c r="F96" t="n">
        <v/>
      </c>
      <c r="G96" t="n">
        <v>365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FFFF0000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Cost Matrix</t>
        </is>
      </c>
      <c r="B97" t="inlineStr">
        <is>
          <t>H10</t>
        </is>
      </c>
      <c r="C97" t="n">
        <v>10</v>
      </c>
      <c r="D97" t="n">
        <v>8</v>
      </c>
      <c r="E97" t="inlineStr">
        <is>
          <t>Input</t>
        </is>
      </c>
      <c r="F97" t="n">
        <v/>
      </c>
      <c r="G97" t="n">
        <v>365</v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FFFF0000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Cost Matrix</t>
        </is>
      </c>
      <c r="B98" t="inlineStr">
        <is>
          <t>I10</t>
        </is>
      </c>
      <c r="C98" t="n">
        <v>10</v>
      </c>
      <c r="D98" t="n">
        <v>9</v>
      </c>
      <c r="E98" t="inlineStr">
        <is>
          <t>Input</t>
        </is>
      </c>
      <c r="F98" t="n">
        <v/>
      </c>
      <c r="G98" t="n">
        <v>365</v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FFFF0000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Cost Matrix</t>
        </is>
      </c>
      <c r="B99" t="inlineStr">
        <is>
          <t>J10</t>
        </is>
      </c>
      <c r="C99" t="n">
        <v>10</v>
      </c>
      <c r="D99" t="n">
        <v>10</v>
      </c>
      <c r="E99" t="inlineStr">
        <is>
          <t>Input</t>
        </is>
      </c>
      <c r="F99" t="n">
        <v/>
      </c>
      <c r="G99" t="n">
        <v>365</v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FFFF0000</t>
        </is>
      </c>
      <c r="N99" t="inlineStr">
        <is>
          <t>00000000</t>
        </is>
      </c>
      <c r="O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Cost Matrix</t>
        </is>
      </c>
      <c r="B100" t="inlineStr">
        <is>
          <t>K10</t>
        </is>
      </c>
      <c r="C100" t="n">
        <v>10</v>
      </c>
      <c r="D100" t="n">
        <v>11</v>
      </c>
      <c r="E100" t="inlineStr">
        <is>
          <t>Input</t>
        </is>
      </c>
      <c r="F100" t="n">
        <v/>
      </c>
      <c r="G100" t="n">
        <v>365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FFFF0000</t>
        </is>
      </c>
      <c r="N100" t="inlineStr">
        <is>
          <t>00000000</t>
        </is>
      </c>
      <c r="O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Cost Matrix</t>
        </is>
      </c>
      <c r="B101" t="inlineStr">
        <is>
          <t>L10</t>
        </is>
      </c>
      <c r="C101" t="n">
        <v>10</v>
      </c>
      <c r="D101" t="n">
        <v>12</v>
      </c>
      <c r="E101" t="inlineStr">
        <is>
          <t>Input</t>
        </is>
      </c>
      <c r="F101" t="n">
        <v/>
      </c>
      <c r="G101" t="n">
        <v>365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FFFF0000</t>
        </is>
      </c>
      <c r="N101" t="inlineStr">
        <is>
          <t>00000000</t>
        </is>
      </c>
      <c r="O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Cost Matrix</t>
        </is>
      </c>
      <c r="B102" t="inlineStr">
        <is>
          <t>M10</t>
        </is>
      </c>
      <c r="C102" t="n">
        <v>10</v>
      </c>
      <c r="D102" t="n">
        <v>13</v>
      </c>
      <c r="E102" t="inlineStr">
        <is>
          <t>Input</t>
        </is>
      </c>
      <c r="F102" t="n">
        <v/>
      </c>
      <c r="G102" t="n">
        <v>365</v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FFFF0000</t>
        </is>
      </c>
      <c r="N102" t="inlineStr">
        <is>
          <t>00000000</t>
        </is>
      </c>
      <c r="O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Cost Matrix</t>
        </is>
      </c>
      <c r="B103" t="inlineStr">
        <is>
          <t>N10</t>
        </is>
      </c>
      <c r="C103" t="n">
        <v>10</v>
      </c>
      <c r="D103" t="n">
        <v>14</v>
      </c>
      <c r="E103" t="inlineStr">
        <is>
          <t>Input</t>
        </is>
      </c>
      <c r="F103" t="n">
        <v/>
      </c>
      <c r="G103" t="n">
        <v>365</v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FFFF0000</t>
        </is>
      </c>
      <c r="N103" t="inlineStr">
        <is>
          <t>00000000</t>
        </is>
      </c>
      <c r="O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Cost Matrix</t>
        </is>
      </c>
      <c r="B104" t="inlineStr">
        <is>
          <t>O10</t>
        </is>
      </c>
      <c r="C104" t="n">
        <v>10</v>
      </c>
      <c r="D104" t="n">
        <v>15</v>
      </c>
      <c r="E104" t="inlineStr">
        <is>
          <t>Input</t>
        </is>
      </c>
      <c r="F104" t="n">
        <v/>
      </c>
      <c r="G104" t="n">
        <v>365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FFFF0000</t>
        </is>
      </c>
      <c r="N104" t="inlineStr">
        <is>
          <t>00000000</t>
        </is>
      </c>
      <c r="O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Cost Matrix</t>
        </is>
      </c>
      <c r="B105" t="inlineStr">
        <is>
          <t>AG10</t>
        </is>
      </c>
      <c r="C105" t="n">
        <v>10</v>
      </c>
      <c r="D105" t="n">
        <v>33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Cost Matrix</t>
        </is>
      </c>
      <c r="B106" t="inlineStr">
        <is>
          <t>AH10</t>
        </is>
      </c>
      <c r="C106" t="n">
        <v>10</v>
      </c>
      <c r="D106" t="n">
        <v>34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n">
        <v/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Cost Matrix</t>
        </is>
      </c>
      <c r="B107" t="inlineStr">
        <is>
          <t>AI10</t>
        </is>
      </c>
      <c r="C107" t="n">
        <v>10</v>
      </c>
      <c r="D107" t="n">
        <v>35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n">
        <v/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Cost Matrix</t>
        </is>
      </c>
      <c r="B108" t="inlineStr">
        <is>
          <t>AJ10</t>
        </is>
      </c>
      <c r="C108" t="n">
        <v>10</v>
      </c>
      <c r="D108" t="n">
        <v>36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n">
        <v/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Cost Matrix</t>
        </is>
      </c>
      <c r="B109" t="inlineStr">
        <is>
          <t>AK10</t>
        </is>
      </c>
      <c r="C109" t="n">
        <v>10</v>
      </c>
      <c r="D109" t="n">
        <v>37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Cost Matrix</t>
        </is>
      </c>
      <c r="B110" t="inlineStr">
        <is>
          <t>AL10</t>
        </is>
      </c>
      <c r="C110" t="n">
        <v>10</v>
      </c>
      <c r="D110" t="n">
        <v>38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n">
        <v/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Cost Matrix</t>
        </is>
      </c>
      <c r="B111" t="inlineStr">
        <is>
          <t>AM10</t>
        </is>
      </c>
      <c r="C111" t="n">
        <v>10</v>
      </c>
      <c r="D111" t="n">
        <v>39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n">
        <v/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Cost Matrix</t>
        </is>
      </c>
      <c r="B112" t="inlineStr">
        <is>
          <t>AN10</t>
        </is>
      </c>
      <c r="C112" t="n">
        <v>10</v>
      </c>
      <c r="D112" t="n">
        <v>40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n">
        <v/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Cost Matrix</t>
        </is>
      </c>
      <c r="B113" t="inlineStr">
        <is>
          <t>AO10</t>
        </is>
      </c>
      <c r="C113" t="n">
        <v>10</v>
      </c>
      <c r="D113" t="n">
        <v>41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Cost Matrix</t>
        </is>
      </c>
      <c r="B114" t="inlineStr">
        <is>
          <t>AP10</t>
        </is>
      </c>
      <c r="C114" t="n">
        <v>10</v>
      </c>
      <c r="D114" t="n">
        <v>42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Cost Matrix</t>
        </is>
      </c>
      <c r="B115" t="inlineStr">
        <is>
          <t>A11</t>
        </is>
      </c>
      <c r="C115" t="n">
        <v>11</v>
      </c>
      <c r="D115" t="n">
        <v>1</v>
      </c>
      <c r="E115" t="inlineStr">
        <is>
          <t>Input</t>
        </is>
      </c>
      <c r="F115" t="n">
        <v/>
      </c>
      <c r="G115" t="inlineStr">
        <is>
          <t>Block hours per day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Cost Matrix</t>
        </is>
      </c>
      <c r="B116" t="inlineStr">
        <is>
          <t>D11</t>
        </is>
      </c>
      <c r="C116" t="n">
        <v>11</v>
      </c>
      <c r="D116" t="n">
        <v>4</v>
      </c>
      <c r="E116" t="inlineStr">
        <is>
          <t>Input</t>
        </is>
      </c>
      <c r="F116" t="n">
        <v/>
      </c>
      <c r="G116" t="n">
        <v>10.7</v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Cost Matrix</t>
        </is>
      </c>
      <c r="B117" t="inlineStr">
        <is>
          <t>E11</t>
        </is>
      </c>
      <c r="C117" t="n">
        <v>11</v>
      </c>
      <c r="D117" t="n">
        <v>5</v>
      </c>
      <c r="E117" t="inlineStr">
        <is>
          <t>Calculation</t>
        </is>
      </c>
      <c r="F117" t="inlineStr">
        <is>
          <t>'=E9/E10</t>
        </is>
      </c>
      <c r="G117" t="n">
        <v>10.44896531623433</v>
      </c>
      <c r="H117" t="inlineStr"/>
      <c r="I117" t="inlineStr">
        <is>
          <t>0.0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G000106</t>
        </is>
      </c>
      <c r="T117" t="inlineStr">
        <is>
          <t>Horizontal</t>
        </is>
      </c>
      <c r="U117" t="n">
        <v>6</v>
      </c>
      <c r="V117" t="b">
        <v>1</v>
      </c>
      <c r="W117" t="inlineStr">
        <is>
          <t>Cost Matrix!E11:J11</t>
        </is>
      </c>
      <c r="X117">
        <f>R[-2]C[0]/R[-1]C[0]</f>
        <v/>
      </c>
    </row>
    <row r="118">
      <c r="A118" t="inlineStr">
        <is>
          <t>Cost Matrix</t>
        </is>
      </c>
      <c r="B118" t="inlineStr">
        <is>
          <t>F11</t>
        </is>
      </c>
      <c r="C118" t="n">
        <v>11</v>
      </c>
      <c r="D118" t="n">
        <v>6</v>
      </c>
      <c r="E118" t="inlineStr">
        <is>
          <t>Output</t>
        </is>
      </c>
      <c r="F118" t="inlineStr">
        <is>
          <t>'=F9/F10</t>
        </is>
      </c>
      <c r="G118" t="n">
        <v>11.14638288237292</v>
      </c>
      <c r="H118" t="inlineStr"/>
      <c r="I118" t="inlineStr">
        <is>
          <t>0.0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G000106</t>
        </is>
      </c>
      <c r="T118" t="inlineStr">
        <is>
          <t>Horizontal</t>
        </is>
      </c>
      <c r="U118" t="n">
        <v>6</v>
      </c>
      <c r="V118" t="b">
        <v>1</v>
      </c>
      <c r="W118" t="inlineStr">
        <is>
          <t>Cost Matrix!E11:J11</t>
        </is>
      </c>
      <c r="X118">
        <f>R[-2]C[0]/R[-1]C[0]</f>
        <v/>
      </c>
    </row>
    <row r="119">
      <c r="A119" t="inlineStr">
        <is>
          <t>Cost Matrix</t>
        </is>
      </c>
      <c r="B119" t="inlineStr">
        <is>
          <t>G11</t>
        </is>
      </c>
      <c r="C119" t="n">
        <v>11</v>
      </c>
      <c r="D119" t="n">
        <v>7</v>
      </c>
      <c r="E119" t="inlineStr">
        <is>
          <t>Output</t>
        </is>
      </c>
      <c r="F119" t="inlineStr">
        <is>
          <t>'=G9/G10</t>
        </is>
      </c>
      <c r="G119" t="n">
        <v>11.40542197528499</v>
      </c>
      <c r="H119" t="inlineStr"/>
      <c r="I119" t="inlineStr">
        <is>
          <t>0.0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1</v>
      </c>
      <c r="S119" t="inlineStr">
        <is>
          <t>G000106</t>
        </is>
      </c>
      <c r="T119" t="inlineStr">
        <is>
          <t>Horizontal</t>
        </is>
      </c>
      <c r="U119" t="n">
        <v>6</v>
      </c>
      <c r="V119" t="b">
        <v>1</v>
      </c>
      <c r="W119" t="inlineStr">
        <is>
          <t>Cost Matrix!E11:J11</t>
        </is>
      </c>
      <c r="X119">
        <f>R[-2]C[0]/R[-1]C[0]</f>
        <v/>
      </c>
    </row>
    <row r="120">
      <c r="A120" t="inlineStr">
        <is>
          <t>Cost Matrix</t>
        </is>
      </c>
      <c r="B120" t="inlineStr">
        <is>
          <t>H11</t>
        </is>
      </c>
      <c r="C120" t="n">
        <v>11</v>
      </c>
      <c r="D120" t="n">
        <v>8</v>
      </c>
      <c r="E120" t="inlineStr">
        <is>
          <t>Output</t>
        </is>
      </c>
      <c r="F120" t="inlineStr">
        <is>
          <t>'=H9/H10</t>
        </is>
      </c>
      <c r="G120" t="n">
        <v>11.3522710886806</v>
      </c>
      <c r="H120" t="inlineStr"/>
      <c r="I120" t="inlineStr">
        <is>
          <t>0.0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G000106</t>
        </is>
      </c>
      <c r="T120" t="inlineStr">
        <is>
          <t>Horizontal</t>
        </is>
      </c>
      <c r="U120" t="n">
        <v>6</v>
      </c>
      <c r="V120" t="b">
        <v>1</v>
      </c>
      <c r="W120" t="inlineStr">
        <is>
          <t>Cost Matrix!E11:J11</t>
        </is>
      </c>
      <c r="X120">
        <f>R[-2]C[0]/R[-1]C[0]</f>
        <v/>
      </c>
    </row>
    <row r="121">
      <c r="A121" t="inlineStr">
        <is>
          <t>Cost Matrix</t>
        </is>
      </c>
      <c r="B121" t="inlineStr">
        <is>
          <t>I11</t>
        </is>
      </c>
      <c r="C121" t="n">
        <v>11</v>
      </c>
      <c r="D121" t="n">
        <v>9</v>
      </c>
      <c r="E121" t="inlineStr">
        <is>
          <t>Output</t>
        </is>
      </c>
      <c r="F121" t="inlineStr">
        <is>
          <t>'=I9/I10</t>
        </is>
      </c>
      <c r="G121" t="n">
        <v>11.90592244258161</v>
      </c>
      <c r="H121" t="inlineStr"/>
      <c r="I121" t="inlineStr">
        <is>
          <t>0.0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G000106</t>
        </is>
      </c>
      <c r="T121" t="inlineStr">
        <is>
          <t>Horizontal</t>
        </is>
      </c>
      <c r="U121" t="n">
        <v>6</v>
      </c>
      <c r="V121" t="b">
        <v>1</v>
      </c>
      <c r="W121" t="inlineStr">
        <is>
          <t>Cost Matrix!E11:J11</t>
        </is>
      </c>
      <c r="X121">
        <f>R[-2]C[0]/R[-1]C[0]</f>
        <v/>
      </c>
    </row>
    <row r="122">
      <c r="A122" t="inlineStr">
        <is>
          <t>Cost Matrix</t>
        </is>
      </c>
      <c r="B122" t="inlineStr">
        <is>
          <t>J11</t>
        </is>
      </c>
      <c r="C122" t="n">
        <v>11</v>
      </c>
      <c r="D122" t="n">
        <v>10</v>
      </c>
      <c r="E122" t="inlineStr">
        <is>
          <t>Calculation</t>
        </is>
      </c>
      <c r="F122" t="inlineStr">
        <is>
          <t>'=J9/J10</t>
        </is>
      </c>
      <c r="G122" t="n">
        <v>12.85983653735467</v>
      </c>
      <c r="H122" t="inlineStr"/>
      <c r="I122" t="inlineStr">
        <is>
          <t>0.0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G000106</t>
        </is>
      </c>
      <c r="T122" t="inlineStr">
        <is>
          <t>Horizontal</t>
        </is>
      </c>
      <c r="U122" t="n">
        <v>6</v>
      </c>
      <c r="V122" t="b">
        <v>1</v>
      </c>
      <c r="W122" t="inlineStr">
        <is>
          <t>Cost Matrix!E11:J11</t>
        </is>
      </c>
      <c r="X122">
        <f>R[-2]C[0]/R[-1]C[0]</f>
        <v/>
      </c>
    </row>
    <row r="123">
      <c r="A123" t="inlineStr">
        <is>
          <t>Cost Matrix</t>
        </is>
      </c>
      <c r="B123" t="inlineStr">
        <is>
          <t>K11</t>
        </is>
      </c>
      <c r="C123" t="n">
        <v>11</v>
      </c>
      <c r="D123" t="n">
        <v>11</v>
      </c>
      <c r="E123" t="inlineStr">
        <is>
          <t>Input</t>
        </is>
      </c>
      <c r="F123" t="n">
        <v/>
      </c>
      <c r="G123" t="n">
        <v>12.6</v>
      </c>
      <c r="H123" t="inlineStr"/>
      <c r="I123" t="inlineStr">
        <is>
          <t>0.0</t>
        </is>
      </c>
      <c r="J123" t="b">
        <v>0</v>
      </c>
      <c r="K123" t="b">
        <v>0</v>
      </c>
      <c r="L123" t="n">
        <v>11</v>
      </c>
      <c r="M123" t="inlineStr">
        <is>
          <t>FFFF0000</t>
        </is>
      </c>
      <c r="N123" t="inlineStr">
        <is>
          <t>00000000</t>
        </is>
      </c>
      <c r="O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Cost Matrix</t>
        </is>
      </c>
      <c r="B124" t="inlineStr">
        <is>
          <t>L11</t>
        </is>
      </c>
      <c r="C124" t="n">
        <v>11</v>
      </c>
      <c r="D124" t="n">
        <v>12</v>
      </c>
      <c r="E124" t="inlineStr">
        <is>
          <t>Calculation</t>
        </is>
      </c>
      <c r="F124" t="inlineStr">
        <is>
          <t>'=K11-0.3</t>
        </is>
      </c>
      <c r="G124" t="n">
        <v>12.3</v>
      </c>
      <c r="H124" t="inlineStr"/>
      <c r="I124" t="inlineStr">
        <is>
          <t>0.0</t>
        </is>
      </c>
      <c r="J124" t="b">
        <v>0</v>
      </c>
      <c r="K124" t="b">
        <v>0</v>
      </c>
      <c r="L124" t="n">
        <v>11</v>
      </c>
      <c r="M124" t="inlineStr">
        <is>
          <t>FFFF0000</t>
        </is>
      </c>
      <c r="N124" t="inlineStr">
        <is>
          <t>00000000</t>
        </is>
      </c>
      <c r="O124" t="n">
        <v/>
      </c>
      <c r="R124" t="b">
        <v>1</v>
      </c>
      <c r="S124" t="inlineStr">
        <is>
          <t>G000108</t>
        </is>
      </c>
      <c r="T124" t="inlineStr">
        <is>
          <t>Horizontal</t>
        </is>
      </c>
      <c r="U124" t="n">
        <v>4</v>
      </c>
      <c r="V124" t="b">
        <v>1</v>
      </c>
      <c r="W124" t="inlineStr">
        <is>
          <t>Cost Matrix!L11:O11</t>
        </is>
      </c>
      <c r="X124">
        <f>R[0]C[-1]-0.3</f>
        <v/>
      </c>
    </row>
    <row r="125">
      <c r="A125" t="inlineStr">
        <is>
          <t>Cost Matrix</t>
        </is>
      </c>
      <c r="B125" t="inlineStr">
        <is>
          <t>M11</t>
        </is>
      </c>
      <c r="C125" t="n">
        <v>11</v>
      </c>
      <c r="D125" t="n">
        <v>13</v>
      </c>
      <c r="E125" t="inlineStr">
        <is>
          <t>Calculation</t>
        </is>
      </c>
      <c r="F125" t="inlineStr">
        <is>
          <t>'=L11-0.3</t>
        </is>
      </c>
      <c r="G125" t="n">
        <v>12</v>
      </c>
      <c r="H125" t="inlineStr"/>
      <c r="I125" t="inlineStr">
        <is>
          <t>0.0</t>
        </is>
      </c>
      <c r="J125" t="b">
        <v>0</v>
      </c>
      <c r="K125" t="b">
        <v>0</v>
      </c>
      <c r="L125" t="n">
        <v>11</v>
      </c>
      <c r="M125" t="inlineStr">
        <is>
          <t>FFFF0000</t>
        </is>
      </c>
      <c r="N125" t="inlineStr">
        <is>
          <t>00000000</t>
        </is>
      </c>
      <c r="O125" t="n">
        <v/>
      </c>
      <c r="R125" t="b">
        <v>1</v>
      </c>
      <c r="S125" t="inlineStr">
        <is>
          <t>G000108</t>
        </is>
      </c>
      <c r="T125" t="inlineStr">
        <is>
          <t>Horizontal</t>
        </is>
      </c>
      <c r="U125" t="n">
        <v>4</v>
      </c>
      <c r="V125" t="b">
        <v>1</v>
      </c>
      <c r="W125" t="inlineStr">
        <is>
          <t>Cost Matrix!L11:O11</t>
        </is>
      </c>
      <c r="X125">
        <f>R[0]C[-1]-0.3</f>
        <v/>
      </c>
    </row>
    <row r="126">
      <c r="A126" t="inlineStr">
        <is>
          <t>Cost Matrix</t>
        </is>
      </c>
      <c r="B126" t="inlineStr">
        <is>
          <t>N11</t>
        </is>
      </c>
      <c r="C126" t="n">
        <v>11</v>
      </c>
      <c r="D126" t="n">
        <v>14</v>
      </c>
      <c r="E126" t="inlineStr">
        <is>
          <t>Calculation</t>
        </is>
      </c>
      <c r="F126" t="inlineStr">
        <is>
          <t>'=M11-0.3</t>
        </is>
      </c>
      <c r="G126" t="n">
        <v>11.7</v>
      </c>
      <c r="H126" t="inlineStr"/>
      <c r="I126" t="inlineStr">
        <is>
          <t>0.0</t>
        </is>
      </c>
      <c r="J126" t="b">
        <v>0</v>
      </c>
      <c r="K126" t="b">
        <v>0</v>
      </c>
      <c r="L126" t="n">
        <v>11</v>
      </c>
      <c r="M126" t="inlineStr">
        <is>
          <t>FFFF0000</t>
        </is>
      </c>
      <c r="N126" t="inlineStr">
        <is>
          <t>00000000</t>
        </is>
      </c>
      <c r="O126" t="n">
        <v/>
      </c>
      <c r="R126" t="b">
        <v>1</v>
      </c>
      <c r="S126" t="inlineStr">
        <is>
          <t>G000108</t>
        </is>
      </c>
      <c r="T126" t="inlineStr">
        <is>
          <t>Horizontal</t>
        </is>
      </c>
      <c r="U126" t="n">
        <v>4</v>
      </c>
      <c r="V126" t="b">
        <v>1</v>
      </c>
      <c r="W126" t="inlineStr">
        <is>
          <t>Cost Matrix!L11:O11</t>
        </is>
      </c>
      <c r="X126">
        <f>R[0]C[-1]-0.3</f>
        <v/>
      </c>
    </row>
    <row r="127">
      <c r="A127" t="inlineStr">
        <is>
          <t>Cost Matrix</t>
        </is>
      </c>
      <c r="B127" t="inlineStr">
        <is>
          <t>O11</t>
        </is>
      </c>
      <c r="C127" t="n">
        <v>11</v>
      </c>
      <c r="D127" t="n">
        <v>15</v>
      </c>
      <c r="E127" t="inlineStr">
        <is>
          <t>Calculation</t>
        </is>
      </c>
      <c r="F127" t="inlineStr">
        <is>
          <t>'=N11-0.3</t>
        </is>
      </c>
      <c r="G127" t="n">
        <v>11.4</v>
      </c>
      <c r="H127" t="inlineStr"/>
      <c r="I127" t="inlineStr">
        <is>
          <t>0.0</t>
        </is>
      </c>
      <c r="J127" t="b">
        <v>0</v>
      </c>
      <c r="K127" t="b">
        <v>0</v>
      </c>
      <c r="L127" t="n">
        <v>11</v>
      </c>
      <c r="M127" t="inlineStr">
        <is>
          <t>FFFF0000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G000108</t>
        </is>
      </c>
      <c r="T127" t="inlineStr">
        <is>
          <t>Horizontal</t>
        </is>
      </c>
      <c r="U127" t="n">
        <v>4</v>
      </c>
      <c r="V127" t="b">
        <v>1</v>
      </c>
      <c r="W127" t="inlineStr">
        <is>
          <t>Cost Matrix!L11:O11</t>
        </is>
      </c>
      <c r="X127">
        <f>R[0]C[-1]-0.3</f>
        <v/>
      </c>
    </row>
    <row r="128">
      <c r="A128" t="inlineStr">
        <is>
          <t>Cost Matrix</t>
        </is>
      </c>
      <c r="B128" t="inlineStr">
        <is>
          <t>AG11</t>
        </is>
      </c>
      <c r="C128" t="n">
        <v>11</v>
      </c>
      <c r="D128" t="n">
        <v>33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Cost Matrix</t>
        </is>
      </c>
      <c r="B129" t="inlineStr">
        <is>
          <t>AH11</t>
        </is>
      </c>
      <c r="C129" t="n">
        <v>11</v>
      </c>
      <c r="D129" t="n">
        <v>34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Cost Matrix</t>
        </is>
      </c>
      <c r="B130" t="inlineStr">
        <is>
          <t>AI11</t>
        </is>
      </c>
      <c r="C130" t="n">
        <v>11</v>
      </c>
      <c r="D130" t="n">
        <v>35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Cost Matrix</t>
        </is>
      </c>
      <c r="B131" t="inlineStr">
        <is>
          <t>AJ11</t>
        </is>
      </c>
      <c r="C131" t="n">
        <v>11</v>
      </c>
      <c r="D131" t="n">
        <v>36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Cost Matrix</t>
        </is>
      </c>
      <c r="B132" t="inlineStr">
        <is>
          <t>AK11</t>
        </is>
      </c>
      <c r="C132" t="n">
        <v>11</v>
      </c>
      <c r="D132" t="n">
        <v>37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n">
        <v/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Cost Matrix</t>
        </is>
      </c>
      <c r="B133" t="inlineStr">
        <is>
          <t>AL11</t>
        </is>
      </c>
      <c r="C133" t="n">
        <v>11</v>
      </c>
      <c r="D133" t="n">
        <v>38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n">
        <v/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Cost Matrix</t>
        </is>
      </c>
      <c r="B134" t="inlineStr">
        <is>
          <t>AM11</t>
        </is>
      </c>
      <c r="C134" t="n">
        <v>11</v>
      </c>
      <c r="D134" t="n">
        <v>39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n">
        <v/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Cost Matrix</t>
        </is>
      </c>
      <c r="B135" t="inlineStr">
        <is>
          <t>AN11</t>
        </is>
      </c>
      <c r="C135" t="n">
        <v>11</v>
      </c>
      <c r="D135" t="n">
        <v>40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n">
        <v/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Cost Matrix</t>
        </is>
      </c>
      <c r="B136" t="inlineStr">
        <is>
          <t>AO11</t>
        </is>
      </c>
      <c r="C136" t="n">
        <v>11</v>
      </c>
      <c r="D136" t="n">
        <v>41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n">
        <v/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Cost Matrix</t>
        </is>
      </c>
      <c r="B137" t="inlineStr">
        <is>
          <t>AP11</t>
        </is>
      </c>
      <c r="C137" t="n">
        <v>11</v>
      </c>
      <c r="D137" t="n">
        <v>42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n">
        <v/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Cost Matrix</t>
        </is>
      </c>
      <c r="B138" t="inlineStr">
        <is>
          <t>J12</t>
        </is>
      </c>
      <c r="C138" t="n">
        <v>12</v>
      </c>
      <c r="D138" t="n">
        <v>10</v>
      </c>
      <c r="E138" t="inlineStr">
        <is>
          <t>Output</t>
        </is>
      </c>
      <c r="F138" t="inlineStr">
        <is>
          <t>'=(J11/E11)^(1/5)-1</t>
        </is>
      </c>
      <c r="G138" t="n">
        <v>0.04239527021274503</v>
      </c>
      <c r="H138" t="inlineStr"/>
      <c r="I138" t="inlineStr">
        <is>
          <t>0.00%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>
        <f>(R[-1]C[0]/R[-1]C[-5])^(1/5)-1</f>
        <v/>
      </c>
    </row>
    <row r="139">
      <c r="A139" t="inlineStr">
        <is>
          <t>Cost Matrix</t>
        </is>
      </c>
      <c r="B139" t="inlineStr">
        <is>
          <t>Q12</t>
        </is>
      </c>
      <c r="C139" t="n">
        <v>12</v>
      </c>
      <c r="D139" t="n">
        <v>17</v>
      </c>
      <c r="E139" t="inlineStr">
        <is>
          <t>Input</t>
        </is>
      </c>
      <c r="F139" t="n">
        <v/>
      </c>
      <c r="G139" t="inlineStr">
        <is>
          <t>Year</t>
        </is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Cost Matrix</t>
        </is>
      </c>
      <c r="B140" t="inlineStr">
        <is>
          <t>R12</t>
        </is>
      </c>
      <c r="C140" t="n">
        <v>12</v>
      </c>
      <c r="D140" t="n">
        <v>18</v>
      </c>
      <c r="E140" t="inlineStr">
        <is>
          <t>Input</t>
        </is>
      </c>
      <c r="F140" t="n">
        <v/>
      </c>
      <c r="G140" t="n">
        <v>2018</v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inlineStr">
        <is>
          <t>center</t>
        </is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Cost Matrix</t>
        </is>
      </c>
      <c r="B141" t="inlineStr">
        <is>
          <t>S12</t>
        </is>
      </c>
      <c r="C141" t="n">
        <v>12</v>
      </c>
      <c r="D141" t="n">
        <v>19</v>
      </c>
      <c r="E141" t="inlineStr">
        <is>
          <t>Input</t>
        </is>
      </c>
      <c r="F141" t="n">
        <v/>
      </c>
      <c r="G141" t="n">
        <v>2019</v>
      </c>
      <c r="H141" t="inlineStr"/>
      <c r="I141" t="inlineStr">
        <is>
          <t>General</t>
        </is>
      </c>
      <c r="J141" t="b">
        <v>1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inlineStr">
        <is>
          <t>center</t>
        </is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Cost Matrix</t>
        </is>
      </c>
      <c r="B142" t="inlineStr">
        <is>
          <t>T12</t>
        </is>
      </c>
      <c r="C142" t="n">
        <v>12</v>
      </c>
      <c r="D142" t="n">
        <v>20</v>
      </c>
      <c r="E142" t="inlineStr">
        <is>
          <t>Input</t>
        </is>
      </c>
      <c r="F142" t="n">
        <v/>
      </c>
      <c r="G142" t="n">
        <v>2020</v>
      </c>
      <c r="H142" t="inlineStr"/>
      <c r="I142" t="inlineStr">
        <is>
          <t>General</t>
        </is>
      </c>
      <c r="J142" t="b">
        <v>1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inlineStr">
        <is>
          <t>center</t>
        </is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Cost Matrix</t>
        </is>
      </c>
      <c r="B143" t="inlineStr">
        <is>
          <t>U12</t>
        </is>
      </c>
      <c r="C143" t="n">
        <v>12</v>
      </c>
      <c r="D143" t="n">
        <v>21</v>
      </c>
      <c r="E143" t="inlineStr">
        <is>
          <t>Input</t>
        </is>
      </c>
      <c r="F143" t="n">
        <v/>
      </c>
      <c r="G143" t="n">
        <v>2021</v>
      </c>
      <c r="H143" t="inlineStr"/>
      <c r="I143" t="inlineStr">
        <is>
          <t>General</t>
        </is>
      </c>
      <c r="J143" t="b">
        <v>1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inlineStr">
        <is>
          <t>center</t>
        </is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Cost Matrix</t>
        </is>
      </c>
      <c r="B144" t="inlineStr">
        <is>
          <t>V12</t>
        </is>
      </c>
      <c r="C144" t="n">
        <v>12</v>
      </c>
      <c r="D144" t="n">
        <v>22</v>
      </c>
      <c r="E144" t="inlineStr">
        <is>
          <t>Input</t>
        </is>
      </c>
      <c r="F144" t="n">
        <v/>
      </c>
      <c r="G144" t="n">
        <v>2022</v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inlineStr">
        <is>
          <t>center</t>
        </is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Cost Matrix</t>
        </is>
      </c>
      <c r="B145" t="inlineStr">
        <is>
          <t>AG12</t>
        </is>
      </c>
      <c r="C145" t="n">
        <v>12</v>
      </c>
      <c r="D145" t="n">
        <v>33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n">
        <v/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Cost Matrix</t>
        </is>
      </c>
      <c r="B146" t="inlineStr">
        <is>
          <t>AH12</t>
        </is>
      </c>
      <c r="C146" t="n">
        <v>12</v>
      </c>
      <c r="D146" t="n">
        <v>34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n">
        <v/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Cost Matrix</t>
        </is>
      </c>
      <c r="B147" t="inlineStr">
        <is>
          <t>AI12</t>
        </is>
      </c>
      <c r="C147" t="n">
        <v>12</v>
      </c>
      <c r="D147" t="n">
        <v>35</v>
      </c>
      <c r="E147" t="inlineStr">
        <is>
          <t>Input</t>
        </is>
      </c>
      <c r="F147" t="n">
        <v/>
      </c>
      <c r="G147" t="inlineStr">
        <is>
          <t>Year</t>
        </is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center</t>
        </is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Cost Matrix</t>
        </is>
      </c>
      <c r="B148" t="inlineStr">
        <is>
          <t>AJ12</t>
        </is>
      </c>
      <c r="C148" t="n">
        <v>12</v>
      </c>
      <c r="D148" t="n">
        <v>36</v>
      </c>
      <c r="E148" t="inlineStr">
        <is>
          <t>Input</t>
        </is>
      </c>
      <c r="F148" t="n">
        <v/>
      </c>
      <c r="G148" t="n">
        <v>2018</v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center</t>
        </is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Cost Matrix</t>
        </is>
      </c>
      <c r="B149" t="inlineStr">
        <is>
          <t>AK12</t>
        </is>
      </c>
      <c r="C149" t="n">
        <v>12</v>
      </c>
      <c r="D149" t="n">
        <v>37</v>
      </c>
      <c r="E149" t="inlineStr">
        <is>
          <t>Input</t>
        </is>
      </c>
      <c r="F149" t="n">
        <v/>
      </c>
      <c r="G149" t="n">
        <v>2019</v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inlineStr">
        <is>
          <t>center</t>
        </is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Cost Matrix</t>
        </is>
      </c>
      <c r="B150" t="inlineStr">
        <is>
          <t>AL12</t>
        </is>
      </c>
      <c r="C150" t="n">
        <v>12</v>
      </c>
      <c r="D150" t="n">
        <v>38</v>
      </c>
      <c r="E150" t="inlineStr">
        <is>
          <t>Input</t>
        </is>
      </c>
      <c r="F150" t="n">
        <v/>
      </c>
      <c r="G150" t="n">
        <v>2020</v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inlineStr">
        <is>
          <t>center</t>
        </is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Cost Matrix</t>
        </is>
      </c>
      <c r="B151" t="inlineStr">
        <is>
          <t>AM12</t>
        </is>
      </c>
      <c r="C151" t="n">
        <v>12</v>
      </c>
      <c r="D151" t="n">
        <v>39</v>
      </c>
      <c r="E151" t="inlineStr">
        <is>
          <t>Input</t>
        </is>
      </c>
      <c r="F151" t="n">
        <v/>
      </c>
      <c r="G151" t="n">
        <v>2021</v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inlineStr">
        <is>
          <t>center</t>
        </is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Cost Matrix</t>
        </is>
      </c>
      <c r="B152" t="inlineStr">
        <is>
          <t>AN12</t>
        </is>
      </c>
      <c r="C152" t="n">
        <v>12</v>
      </c>
      <c r="D152" t="n">
        <v>40</v>
      </c>
      <c r="E152" t="inlineStr">
        <is>
          <t>Input</t>
        </is>
      </c>
      <c r="F152" t="n">
        <v/>
      </c>
      <c r="G152" t="n">
        <v>2022</v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inlineStr">
        <is>
          <t>center</t>
        </is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Cost Matrix</t>
        </is>
      </c>
      <c r="B153" t="inlineStr">
        <is>
          <t>AO12</t>
        </is>
      </c>
      <c r="C153" t="n">
        <v>12</v>
      </c>
      <c r="D153" t="n">
        <v>41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Cost Matrix</t>
        </is>
      </c>
      <c r="B154" t="inlineStr">
        <is>
          <t>AP12</t>
        </is>
      </c>
      <c r="C154" t="n">
        <v>12</v>
      </c>
      <c r="D154" t="n">
        <v>42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Cost Matrix</t>
        </is>
      </c>
      <c r="B155" t="inlineStr">
        <is>
          <t>A13</t>
        </is>
      </c>
      <c r="C155" t="n">
        <v>13</v>
      </c>
      <c r="D155" t="n">
        <v>1</v>
      </c>
      <c r="E155" t="inlineStr">
        <is>
          <t>Input</t>
        </is>
      </c>
      <c r="F155" t="n">
        <v/>
      </c>
      <c r="G155" t="inlineStr">
        <is>
          <t>Aircraft fuel expenses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Cost Matrix</t>
        </is>
      </c>
      <c r="B156" t="inlineStr">
        <is>
          <t>D13</t>
        </is>
      </c>
      <c r="C156" t="n">
        <v>13</v>
      </c>
      <c r="D156" t="n">
        <v>4</v>
      </c>
      <c r="E156" t="inlineStr">
        <is>
          <t>Input</t>
        </is>
      </c>
      <c r="F156" t="n">
        <v/>
      </c>
      <c r="G156" t="n">
        <v>15213.26</v>
      </c>
      <c r="H156" t="inlineStr"/>
      <c r="I156" t="inlineStr">
        <is>
          <t>#,##0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Cost Matrix</t>
        </is>
      </c>
      <c r="B157" t="inlineStr">
        <is>
          <t>E13</t>
        </is>
      </c>
      <c r="C157" t="n">
        <v>13</v>
      </c>
      <c r="D157" t="n">
        <v>5</v>
      </c>
      <c r="E157" t="inlineStr">
        <is>
          <t>Input</t>
        </is>
      </c>
      <c r="F157" t="n">
        <v/>
      </c>
      <c r="G157" t="n">
        <v>28735.91</v>
      </c>
      <c r="H157" t="inlineStr"/>
      <c r="I157" t="inlineStr">
        <is>
          <t>#,##0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Cost Matrix</t>
        </is>
      </c>
      <c r="B158" t="inlineStr">
        <is>
          <t>F13</t>
        </is>
      </c>
      <c r="C158" t="n">
        <v>13</v>
      </c>
      <c r="D158" t="n">
        <v>6</v>
      </c>
      <c r="E158" t="inlineStr">
        <is>
          <t>Input</t>
        </is>
      </c>
      <c r="F158" t="n">
        <v/>
      </c>
      <c r="G158" t="n">
        <v>43126.26</v>
      </c>
      <c r="H158" t="inlineStr"/>
      <c r="I158" t="inlineStr">
        <is>
          <t>#,##0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Cost Matrix</t>
        </is>
      </c>
      <c r="B159" t="inlineStr">
        <is>
          <t>G13</t>
        </is>
      </c>
      <c r="C159" t="n">
        <v>13</v>
      </c>
      <c r="D159" t="n">
        <v>7</v>
      </c>
      <c r="E159" t="inlineStr">
        <is>
          <t>Input</t>
        </is>
      </c>
      <c r="F159" t="n">
        <v/>
      </c>
      <c r="G159" t="n">
        <v>55133.5</v>
      </c>
      <c r="H159" t="inlineStr"/>
      <c r="I159" t="inlineStr">
        <is>
          <t>#,##0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Cost Matrix</t>
        </is>
      </c>
      <c r="B160" t="inlineStr">
        <is>
          <t>H13</t>
        </is>
      </c>
      <c r="C160" t="n">
        <v>13</v>
      </c>
      <c r="D160" t="n">
        <v>8</v>
      </c>
      <c r="E160" t="inlineStr">
        <is>
          <t>Input</t>
        </is>
      </c>
      <c r="F160" t="n">
        <v/>
      </c>
      <c r="G160" t="n">
        <v>57484.86</v>
      </c>
      <c r="H160" t="inlineStr"/>
      <c r="I160" t="inlineStr">
        <is>
          <t>#,##0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Cost Matrix</t>
        </is>
      </c>
      <c r="B161" t="inlineStr">
        <is>
          <t>I13</t>
        </is>
      </c>
      <c r="C161" t="n">
        <v>13</v>
      </c>
      <c r="D161" t="n">
        <v>9</v>
      </c>
      <c r="E161" t="inlineStr">
        <is>
          <t>Input</t>
        </is>
      </c>
      <c r="F161" t="n">
        <v/>
      </c>
      <c r="G161" t="n">
        <v>47793.24</v>
      </c>
      <c r="H161" t="inlineStr"/>
      <c r="I161" t="inlineStr">
        <is>
          <t>#,##0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Cost Matrix</t>
        </is>
      </c>
      <c r="B162" t="inlineStr">
        <is>
          <t>J13</t>
        </is>
      </c>
      <c r="C162" t="n">
        <v>13</v>
      </c>
      <c r="D162" t="n">
        <v>10</v>
      </c>
      <c r="E162" t="inlineStr">
        <is>
          <t>Input</t>
        </is>
      </c>
      <c r="F162" t="n">
        <v/>
      </c>
      <c r="G162" t="n">
        <v>63415.13</v>
      </c>
      <c r="H162" t="inlineStr"/>
      <c r="I162" t="inlineStr">
        <is>
          <t>#,##0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Cost Matrix</t>
        </is>
      </c>
      <c r="B163" t="inlineStr">
        <is>
          <t>K13</t>
        </is>
      </c>
      <c r="C163" t="n">
        <v>13</v>
      </c>
      <c r="D163" t="n">
        <v>11</v>
      </c>
      <c r="E163" t="inlineStr">
        <is>
          <t>Calculation</t>
        </is>
      </c>
      <c r="F163" t="inlineStr">
        <is>
          <t>'=K14*K15</t>
        </is>
      </c>
      <c r="G163" t="n">
        <v>88047.36997955674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G000105</t>
        </is>
      </c>
      <c r="T163" t="inlineStr">
        <is>
          <t>Horizontal</t>
        </is>
      </c>
      <c r="U163" t="n">
        <v>5</v>
      </c>
      <c r="V163" t="b">
        <v>1</v>
      </c>
      <c r="W163" t="inlineStr">
        <is>
          <t>Cost Matrix!K13:O13</t>
        </is>
      </c>
      <c r="X163">
        <f>R[1]C[0]*R[2]C[0]</f>
        <v/>
      </c>
    </row>
    <row r="164">
      <c r="A164" t="inlineStr">
        <is>
          <t>Cost Matrix</t>
        </is>
      </c>
      <c r="B164" t="inlineStr">
        <is>
          <t>L13</t>
        </is>
      </c>
      <c r="C164" t="n">
        <v>13</v>
      </c>
      <c r="D164" t="n">
        <v>12</v>
      </c>
      <c r="E164" t="inlineStr">
        <is>
          <t>Calculation</t>
        </is>
      </c>
      <c r="F164" t="inlineStr">
        <is>
          <t>'=L14*L15</t>
        </is>
      </c>
      <c r="G164" t="n">
        <v>109130.0249099642</v>
      </c>
      <c r="H164" t="inlineStr"/>
      <c r="I164" t="inlineStr">
        <is>
          <t>0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G000105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Cost Matrix!K13:O13</t>
        </is>
      </c>
      <c r="X164">
        <f>R[1]C[0]*R[2]C[0]</f>
        <v/>
      </c>
    </row>
    <row r="165">
      <c r="A165" t="inlineStr">
        <is>
          <t>Cost Matrix</t>
        </is>
      </c>
      <c r="B165" t="inlineStr">
        <is>
          <t>M13</t>
        </is>
      </c>
      <c r="C165" t="n">
        <v>13</v>
      </c>
      <c r="D165" t="n">
        <v>13</v>
      </c>
      <c r="E165" t="inlineStr">
        <is>
          <t>Calculation</t>
        </is>
      </c>
      <c r="F165" t="inlineStr">
        <is>
          <t>'=M14*M15</t>
        </is>
      </c>
      <c r="G165" t="n">
        <v>123622.9735557516</v>
      </c>
      <c r="H165" t="inlineStr"/>
      <c r="I165" t="inlineStr">
        <is>
          <t>0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G000105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Cost Matrix!K13:O13</t>
        </is>
      </c>
      <c r="X165">
        <f>R[1]C[0]*R[2]C[0]</f>
        <v/>
      </c>
    </row>
    <row r="166">
      <c r="A166" t="inlineStr">
        <is>
          <t>Cost Matrix</t>
        </is>
      </c>
      <c r="B166" t="inlineStr">
        <is>
          <t>N13</t>
        </is>
      </c>
      <c r="C166" t="n">
        <v>13</v>
      </c>
      <c r="D166" t="n">
        <v>14</v>
      </c>
      <c r="E166" t="inlineStr">
        <is>
          <t>Calculation</t>
        </is>
      </c>
      <c r="F166" t="inlineStr">
        <is>
          <t>'=N14*N15</t>
        </is>
      </c>
      <c r="G166" t="n">
        <v>148476.9839638679</v>
      </c>
      <c r="H166" t="inlineStr"/>
      <c r="I166" t="inlineStr">
        <is>
          <t>0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G000105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Cost Matrix!K13:O13</t>
        </is>
      </c>
      <c r="X166">
        <f>R[1]C[0]*R[2]C[0]</f>
        <v/>
      </c>
    </row>
    <row r="167">
      <c r="A167" t="inlineStr">
        <is>
          <t>Cost Matrix</t>
        </is>
      </c>
      <c r="B167" t="inlineStr">
        <is>
          <t>O13</t>
        </is>
      </c>
      <c r="C167" t="n">
        <v>13</v>
      </c>
      <c r="D167" t="n">
        <v>15</v>
      </c>
      <c r="E167" t="inlineStr">
        <is>
          <t>Calculation</t>
        </is>
      </c>
      <c r="F167" t="inlineStr">
        <is>
          <t>'=O14*O15</t>
        </is>
      </c>
      <c r="G167" t="n">
        <v>178058.9890867712</v>
      </c>
      <c r="H167" t="inlineStr"/>
      <c r="I167" t="inlineStr">
        <is>
          <t>0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G000105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Cost Matrix!K13:O13</t>
        </is>
      </c>
      <c r="X167">
        <f>R[1]C[0]*R[2]C[0]</f>
        <v/>
      </c>
    </row>
    <row r="168">
      <c r="A168" t="inlineStr">
        <is>
          <t>Cost Matrix</t>
        </is>
      </c>
      <c r="B168" t="inlineStr">
        <is>
          <t>Q13</t>
        </is>
      </c>
      <c r="C168" t="n">
        <v>13</v>
      </c>
      <c r="D168" t="n">
        <v>17</v>
      </c>
      <c r="E168" t="inlineStr">
        <is>
          <t>Input</t>
        </is>
      </c>
      <c r="F168" t="n">
        <v/>
      </c>
      <c r="G168" t="inlineStr">
        <is>
          <t>USD/INR E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inlineStr">
        <is>
          <t>center</t>
        </is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Cost Matrix</t>
        </is>
      </c>
      <c r="B169" t="inlineStr">
        <is>
          <t>R13</t>
        </is>
      </c>
      <c r="C169" t="n">
        <v>13</v>
      </c>
      <c r="D169" t="n">
        <v>18</v>
      </c>
      <c r="E169" t="inlineStr">
        <is>
          <t>Input</t>
        </is>
      </c>
      <c r="F169" t="n">
        <v/>
      </c>
      <c r="G169" t="n">
        <v>63</v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inlineStr">
        <is>
          <t>center</t>
        </is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Cost Matrix</t>
        </is>
      </c>
      <c r="B170" t="inlineStr">
        <is>
          <t>S13</t>
        </is>
      </c>
      <c r="C170" t="n">
        <v>13</v>
      </c>
      <c r="D170" t="n">
        <v>19</v>
      </c>
      <c r="E170" t="inlineStr">
        <is>
          <t>Input</t>
        </is>
      </c>
      <c r="F170" t="n">
        <v/>
      </c>
      <c r="G170" t="n">
        <v>65</v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inlineStr">
        <is>
          <t>center</t>
        </is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Cost Matrix</t>
        </is>
      </c>
      <c r="B171" t="inlineStr">
        <is>
          <t>T13</t>
        </is>
      </c>
      <c r="C171" t="n">
        <v>13</v>
      </c>
      <c r="D171" t="n">
        <v>20</v>
      </c>
      <c r="E171" t="inlineStr">
        <is>
          <t>Input</t>
        </is>
      </c>
      <c r="F171" t="n">
        <v/>
      </c>
      <c r="G171" t="n">
        <v>67</v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inlineStr">
        <is>
          <t>center</t>
        </is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Cost Matrix</t>
        </is>
      </c>
      <c r="B172" t="inlineStr">
        <is>
          <t>U13</t>
        </is>
      </c>
      <c r="C172" t="n">
        <v>13</v>
      </c>
      <c r="D172" t="n">
        <v>21</v>
      </c>
      <c r="E172" t="inlineStr">
        <is>
          <t>Input</t>
        </is>
      </c>
      <c r="F172" t="n">
        <v/>
      </c>
      <c r="G172" t="n">
        <v>69</v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inlineStr">
        <is>
          <t>center</t>
        </is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Cost Matrix</t>
        </is>
      </c>
      <c r="B173" t="inlineStr">
        <is>
          <t>V13</t>
        </is>
      </c>
      <c r="C173" t="n">
        <v>13</v>
      </c>
      <c r="D173" t="n">
        <v>22</v>
      </c>
      <c r="E173" t="inlineStr">
        <is>
          <t>Input</t>
        </is>
      </c>
      <c r="F173" t="n">
        <v/>
      </c>
      <c r="G173" t="n">
        <v>71</v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inlineStr">
        <is>
          <t>center</t>
        </is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Cost Matrix</t>
        </is>
      </c>
      <c r="B174" t="inlineStr">
        <is>
          <t>AG13</t>
        </is>
      </c>
      <c r="C174" t="n">
        <v>13</v>
      </c>
      <c r="D174" t="n">
        <v>33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n">
        <v/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Cost Matrix</t>
        </is>
      </c>
      <c r="B175" t="inlineStr">
        <is>
          <t>AH13</t>
        </is>
      </c>
      <c r="C175" t="n">
        <v>13</v>
      </c>
      <c r="D175" t="n">
        <v>34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n">
        <v/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Cost Matrix</t>
        </is>
      </c>
      <c r="B176" t="inlineStr">
        <is>
          <t>AI13</t>
        </is>
      </c>
      <c r="C176" t="n">
        <v>13</v>
      </c>
      <c r="D176" t="n">
        <v>35</v>
      </c>
      <c r="E176" t="inlineStr">
        <is>
          <t>Input</t>
        </is>
      </c>
      <c r="F176" t="n">
        <v/>
      </c>
      <c r="G176" t="inlineStr">
        <is>
          <t>USD/INR E</t>
        </is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Cost Matrix</t>
        </is>
      </c>
      <c r="B177" t="inlineStr">
        <is>
          <t>AJ13</t>
        </is>
      </c>
      <c r="C177" t="n">
        <v>13</v>
      </c>
      <c r="D177" t="n">
        <v>36</v>
      </c>
      <c r="E177" t="inlineStr">
        <is>
          <t>Input</t>
        </is>
      </c>
      <c r="F177" t="n">
        <v/>
      </c>
      <c r="G177" t="n">
        <v>63</v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center</t>
        </is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Cost Matrix</t>
        </is>
      </c>
      <c r="B178" t="inlineStr">
        <is>
          <t>AK13</t>
        </is>
      </c>
      <c r="C178" t="n">
        <v>13</v>
      </c>
      <c r="D178" t="n">
        <v>37</v>
      </c>
      <c r="E178" t="inlineStr">
        <is>
          <t>Input</t>
        </is>
      </c>
      <c r="F178" t="n">
        <v/>
      </c>
      <c r="G178" t="n">
        <v>65</v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inlineStr">
        <is>
          <t>center</t>
        </is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Cost Matrix</t>
        </is>
      </c>
      <c r="B179" t="inlineStr">
        <is>
          <t>AL13</t>
        </is>
      </c>
      <c r="C179" t="n">
        <v>13</v>
      </c>
      <c r="D179" t="n">
        <v>38</v>
      </c>
      <c r="E179" t="inlineStr">
        <is>
          <t>Input</t>
        </is>
      </c>
      <c r="F179" t="n">
        <v/>
      </c>
      <c r="G179" t="n">
        <v>67</v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inlineStr">
        <is>
          <t>center</t>
        </is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Cost Matrix</t>
        </is>
      </c>
      <c r="B180" t="inlineStr">
        <is>
          <t>AM13</t>
        </is>
      </c>
      <c r="C180" t="n">
        <v>13</v>
      </c>
      <c r="D180" t="n">
        <v>39</v>
      </c>
      <c r="E180" t="inlineStr">
        <is>
          <t>Input</t>
        </is>
      </c>
      <c r="F180" t="n">
        <v/>
      </c>
      <c r="G180" t="n">
        <v>69</v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center</t>
        </is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Cost Matrix</t>
        </is>
      </c>
      <c r="B181" t="inlineStr">
        <is>
          <t>AN13</t>
        </is>
      </c>
      <c r="C181" t="n">
        <v>13</v>
      </c>
      <c r="D181" t="n">
        <v>40</v>
      </c>
      <c r="E181" t="inlineStr">
        <is>
          <t>Input</t>
        </is>
      </c>
      <c r="F181" t="n">
        <v/>
      </c>
      <c r="G181" t="n">
        <v>71</v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center</t>
        </is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Cost Matrix</t>
        </is>
      </c>
      <c r="B182" t="inlineStr">
        <is>
          <t>AO13</t>
        </is>
      </c>
      <c r="C182" t="n">
        <v>13</v>
      </c>
      <c r="D182" t="n">
        <v>41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n">
        <v/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Cost Matrix</t>
        </is>
      </c>
      <c r="B183" t="inlineStr">
        <is>
          <t>AP13</t>
        </is>
      </c>
      <c r="C183" t="n">
        <v>13</v>
      </c>
      <c r="D183" t="n">
        <v>42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n">
        <v/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Cost Matrix</t>
        </is>
      </c>
      <c r="B184" t="inlineStr">
        <is>
          <t>A14</t>
        </is>
      </c>
      <c r="C184" t="n">
        <v>14</v>
      </c>
      <c r="D184" t="n">
        <v>1</v>
      </c>
      <c r="E184" t="inlineStr">
        <is>
          <t>Input</t>
        </is>
      </c>
      <c r="F184" t="n">
        <v/>
      </c>
      <c r="G184" t="inlineStr">
        <is>
          <t>Average fuel price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Cost Matrix</t>
        </is>
      </c>
      <c r="B185" t="inlineStr">
        <is>
          <t>E14</t>
        </is>
      </c>
      <c r="C185" t="n">
        <v>14</v>
      </c>
      <c r="D185" t="n">
        <v>5</v>
      </c>
      <c r="E185" t="inlineStr">
        <is>
          <t>Input</t>
        </is>
      </c>
      <c r="F185" t="n">
        <v/>
      </c>
      <c r="G185" t="n">
        <v>63.8</v>
      </c>
      <c r="H185" t="inlineStr"/>
      <c r="I185" t="inlineStr">
        <is>
          <t>0.0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Cost Matrix</t>
        </is>
      </c>
      <c r="B186" t="inlineStr">
        <is>
          <t>F14</t>
        </is>
      </c>
      <c r="C186" t="n">
        <v>14</v>
      </c>
      <c r="D186" t="n">
        <v>6</v>
      </c>
      <c r="E186" t="inlineStr">
        <is>
          <t>Input</t>
        </is>
      </c>
      <c r="F186" t="n">
        <v/>
      </c>
      <c r="G186" t="n">
        <v>70.8</v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Cost Matrix</t>
        </is>
      </c>
      <c r="B187" t="inlineStr">
        <is>
          <t>G14</t>
        </is>
      </c>
      <c r="C187" t="n">
        <v>14</v>
      </c>
      <c r="D187" t="n">
        <v>7</v>
      </c>
      <c r="E187" t="inlineStr">
        <is>
          <t>Input</t>
        </is>
      </c>
      <c r="F187" t="n">
        <v/>
      </c>
      <c r="G187" t="n">
        <v>75.7</v>
      </c>
      <c r="H187" t="inlineStr"/>
      <c r="I187" t="inlineStr">
        <is>
          <t>0.0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Cost Matrix</t>
        </is>
      </c>
      <c r="B188" t="inlineStr">
        <is>
          <t>H14</t>
        </is>
      </c>
      <c r="C188" t="n">
        <v>14</v>
      </c>
      <c r="D188" t="n">
        <v>8</v>
      </c>
      <c r="E188" t="inlineStr">
        <is>
          <t>Input</t>
        </is>
      </c>
      <c r="F188" t="n">
        <v/>
      </c>
      <c r="G188" t="n">
        <v>68.37</v>
      </c>
      <c r="H188" t="inlineStr"/>
      <c r="I188" t="inlineStr">
        <is>
          <t>0.0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Cost Matrix</t>
        </is>
      </c>
      <c r="B189" t="inlineStr">
        <is>
          <t>I14</t>
        </is>
      </c>
      <c r="C189" t="n">
        <v>14</v>
      </c>
      <c r="D189" t="n">
        <v>9</v>
      </c>
      <c r="E189" t="inlineStr">
        <is>
          <t>Input</t>
        </is>
      </c>
      <c r="F189" t="n">
        <v/>
      </c>
      <c r="G189" t="n">
        <v>47.28</v>
      </c>
      <c r="H189" t="inlineStr"/>
      <c r="I189" t="inlineStr">
        <is>
          <t>0.0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Cost Matrix</t>
        </is>
      </c>
      <c r="B190" t="inlineStr">
        <is>
          <t>J14</t>
        </is>
      </c>
      <c r="C190" t="n">
        <v>14</v>
      </c>
      <c r="D190" t="n">
        <v>10</v>
      </c>
      <c r="E190" t="inlineStr">
        <is>
          <t>Input</t>
        </is>
      </c>
      <c r="F190" t="n">
        <v/>
      </c>
      <c r="G190" t="n">
        <v>50.87</v>
      </c>
      <c r="H190" t="inlineStr"/>
      <c r="I190" t="inlineStr">
        <is>
          <t>0.0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Cost Matrix</t>
        </is>
      </c>
      <c r="B191" t="inlineStr">
        <is>
          <t>K14</t>
        </is>
      </c>
      <c r="C191" t="n">
        <v>14</v>
      </c>
      <c r="D191" t="n">
        <v>11</v>
      </c>
      <c r="E191" t="inlineStr">
        <is>
          <t>Calculation</t>
        </is>
      </c>
      <c r="F191" t="inlineStr">
        <is>
          <t>'=R17/1000</t>
        </is>
      </c>
      <c r="G191" t="n">
        <v>61.09515856677987</v>
      </c>
      <c r="H191" t="inlineStr"/>
      <c r="I191" t="inlineStr">
        <is>
          <t>0.00</t>
        </is>
      </c>
      <c r="J191" t="b">
        <v>0</v>
      </c>
      <c r="K191" t="b">
        <v>0</v>
      </c>
      <c r="L191" t="n">
        <v>11</v>
      </c>
      <c r="M191" t="inlineStr">
        <is>
          <t>FFFF0000</t>
        </is>
      </c>
      <c r="N191" t="inlineStr">
        <is>
          <t>00000000</t>
        </is>
      </c>
      <c r="O191" t="n">
        <v/>
      </c>
      <c r="R191" t="b">
        <v>1</v>
      </c>
      <c r="S191" t="inlineStr">
        <is>
          <t>G000109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Cost Matrix!K14:O14</t>
        </is>
      </c>
      <c r="X191">
        <f>R[3]C[7]/1000</f>
        <v/>
      </c>
    </row>
    <row r="192">
      <c r="A192" t="inlineStr">
        <is>
          <t>Cost Matrix</t>
        </is>
      </c>
      <c r="B192" t="inlineStr">
        <is>
          <t>L14</t>
        </is>
      </c>
      <c r="C192" t="n">
        <v>14</v>
      </c>
      <c r="D192" t="n">
        <v>12</v>
      </c>
      <c r="E192" t="inlineStr">
        <is>
          <t>Calculation</t>
        </is>
      </c>
      <c r="F192" t="inlineStr">
        <is>
          <t>'=S17/1000</t>
        </is>
      </c>
      <c r="G192" t="n">
        <v>70.03854156685523</v>
      </c>
      <c r="H192" t="inlineStr"/>
      <c r="I192" t="inlineStr">
        <is>
          <t>0.00</t>
        </is>
      </c>
      <c r="J192" t="b">
        <v>0</v>
      </c>
      <c r="K192" t="b">
        <v>0</v>
      </c>
      <c r="L192" t="n">
        <v>11</v>
      </c>
      <c r="M192" t="inlineStr">
        <is>
          <t>FFFF0000</t>
        </is>
      </c>
      <c r="N192" t="inlineStr">
        <is>
          <t>00000000</t>
        </is>
      </c>
      <c r="O192" t="n">
        <v/>
      </c>
      <c r="R192" t="b">
        <v>1</v>
      </c>
      <c r="S192" t="inlineStr">
        <is>
          <t>G000109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Cost Matrix!K14:O14</t>
        </is>
      </c>
      <c r="X192">
        <f>R[3]C[7]/1000</f>
        <v/>
      </c>
    </row>
    <row r="193">
      <c r="A193" t="inlineStr">
        <is>
          <t>Cost Matrix</t>
        </is>
      </c>
      <c r="B193" t="inlineStr">
        <is>
          <t>M14</t>
        </is>
      </c>
      <c r="C193" t="n">
        <v>14</v>
      </c>
      <c r="D193" t="n">
        <v>13</v>
      </c>
      <c r="E193" t="inlineStr">
        <is>
          <t>Calculation</t>
        </is>
      </c>
      <c r="F193" t="inlineStr">
        <is>
          <t>'=T17/1000</t>
        </is>
      </c>
      <c r="G193" t="n">
        <v>72.19357361506616</v>
      </c>
      <c r="H193" t="inlineStr"/>
      <c r="I193" t="inlineStr">
        <is>
          <t>0.00</t>
        </is>
      </c>
      <c r="J193" t="b">
        <v>0</v>
      </c>
      <c r="K193" t="b">
        <v>0</v>
      </c>
      <c r="L193" t="n">
        <v>11</v>
      </c>
      <c r="M193" t="inlineStr">
        <is>
          <t>FFFF0000</t>
        </is>
      </c>
      <c r="N193" t="inlineStr">
        <is>
          <t>00000000</t>
        </is>
      </c>
      <c r="O193" t="n">
        <v/>
      </c>
      <c r="R193" t="b">
        <v>1</v>
      </c>
      <c r="S193" t="inlineStr">
        <is>
          <t>G000109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Cost Matrix!K14:O14</t>
        </is>
      </c>
      <c r="X193">
        <f>R[3]C[7]/1000</f>
        <v/>
      </c>
    </row>
    <row r="194">
      <c r="A194" t="inlineStr">
        <is>
          <t>Cost Matrix</t>
        </is>
      </c>
      <c r="B194" t="inlineStr">
        <is>
          <t>N14</t>
        </is>
      </c>
      <c r="C194" t="n">
        <v>14</v>
      </c>
      <c r="D194" t="n">
        <v>14</v>
      </c>
      <c r="E194" t="inlineStr">
        <is>
          <t>Calculation</t>
        </is>
      </c>
      <c r="F194" t="inlineStr">
        <is>
          <t>'=U17/1000</t>
        </is>
      </c>
      <c r="G194" t="n">
        <v>74.3486056632771</v>
      </c>
      <c r="H194" t="inlineStr"/>
      <c r="I194" t="inlineStr">
        <is>
          <t>0.00</t>
        </is>
      </c>
      <c r="J194" t="b">
        <v>0</v>
      </c>
      <c r="K194" t="b">
        <v>0</v>
      </c>
      <c r="L194" t="n">
        <v>11</v>
      </c>
      <c r="M194" t="inlineStr">
        <is>
          <t>FFFF0000</t>
        </is>
      </c>
      <c r="N194" t="inlineStr">
        <is>
          <t>00000000</t>
        </is>
      </c>
      <c r="O194" t="n">
        <v/>
      </c>
      <c r="R194" t="b">
        <v>1</v>
      </c>
      <c r="S194" t="inlineStr">
        <is>
          <t>G000109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Cost Matrix!K14:O14</t>
        </is>
      </c>
      <c r="X194">
        <f>R[3]C[7]/1000</f>
        <v/>
      </c>
    </row>
    <row r="195">
      <c r="A195" t="inlineStr">
        <is>
          <t>Cost Matrix</t>
        </is>
      </c>
      <c r="B195" t="inlineStr">
        <is>
          <t>O14</t>
        </is>
      </c>
      <c r="C195" t="n">
        <v>14</v>
      </c>
      <c r="D195" t="n">
        <v>15</v>
      </c>
      <c r="E195" t="inlineStr">
        <is>
          <t>Calculation</t>
        </is>
      </c>
      <c r="F195" t="inlineStr">
        <is>
          <t>'=V17/1000</t>
        </is>
      </c>
      <c r="G195" t="n">
        <v>76.50363771148801</v>
      </c>
      <c r="H195" t="inlineStr"/>
      <c r="I195" t="inlineStr">
        <is>
          <t>0.00</t>
        </is>
      </c>
      <c r="J195" t="b">
        <v>0</v>
      </c>
      <c r="K195" t="b">
        <v>0</v>
      </c>
      <c r="L195" t="n">
        <v>11</v>
      </c>
      <c r="M195" t="inlineStr">
        <is>
          <t>FFFF0000</t>
        </is>
      </c>
      <c r="N195" t="inlineStr">
        <is>
          <t>00000000</t>
        </is>
      </c>
      <c r="O195" t="n">
        <v/>
      </c>
      <c r="R195" t="b">
        <v>1</v>
      </c>
      <c r="S195" t="inlineStr">
        <is>
          <t>G000109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Cost Matrix!K14:O14</t>
        </is>
      </c>
      <c r="X195">
        <f>R[3]C[7]/1000</f>
        <v/>
      </c>
    </row>
    <row r="196">
      <c r="A196" t="inlineStr">
        <is>
          <t>Cost Matrix</t>
        </is>
      </c>
      <c r="B196" t="inlineStr">
        <is>
          <t>Q14</t>
        </is>
      </c>
      <c r="C196" t="n">
        <v>14</v>
      </c>
      <c r="D196" t="n">
        <v>17</v>
      </c>
      <c r="E196" t="inlineStr">
        <is>
          <t>Input</t>
        </is>
      </c>
      <c r="F196" t="n">
        <v/>
      </c>
      <c r="G196" t="inlineStr">
        <is>
          <t>Brent ($) E</t>
        </is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inlineStr">
        <is>
          <t>center</t>
        </is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Cost Matrix</t>
        </is>
      </c>
      <c r="B197" t="inlineStr">
        <is>
          <t>R14</t>
        </is>
      </c>
      <c r="C197" t="n">
        <v>14</v>
      </c>
      <c r="D197" t="n">
        <v>18</v>
      </c>
      <c r="E197" t="inlineStr">
        <is>
          <t>Input</t>
        </is>
      </c>
      <c r="F197" t="n">
        <v/>
      </c>
      <c r="G197" t="n">
        <v>67.5</v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inlineStr">
        <is>
          <t>center</t>
        </is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Cost Matrix</t>
        </is>
      </c>
      <c r="B198" t="inlineStr">
        <is>
          <t>S14</t>
        </is>
      </c>
      <c r="C198" t="n">
        <v>14</v>
      </c>
      <c r="D198" t="n">
        <v>19</v>
      </c>
      <c r="E198" t="inlineStr">
        <is>
          <t>Input</t>
        </is>
      </c>
      <c r="F198" t="n">
        <v/>
      </c>
      <c r="G198" t="n">
        <v>75</v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inlineStr">
        <is>
          <t>center</t>
        </is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Cost Matrix</t>
        </is>
      </c>
      <c r="B199" t="inlineStr">
        <is>
          <t>T14</t>
        </is>
      </c>
      <c r="C199" t="n">
        <v>14</v>
      </c>
      <c r="D199" t="n">
        <v>20</v>
      </c>
      <c r="E199" t="inlineStr">
        <is>
          <t>Input</t>
        </is>
      </c>
      <c r="F199" t="n">
        <v/>
      </c>
      <c r="G199" t="n">
        <v>75</v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inlineStr">
        <is>
          <t>center</t>
        </is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Cost Matrix</t>
        </is>
      </c>
      <c r="B200" t="inlineStr">
        <is>
          <t>U14</t>
        </is>
      </c>
      <c r="C200" t="n">
        <v>14</v>
      </c>
      <c r="D200" t="n">
        <v>21</v>
      </c>
      <c r="E200" t="inlineStr">
        <is>
          <t>Input</t>
        </is>
      </c>
      <c r="F200" t="n">
        <v/>
      </c>
      <c r="G200" t="n">
        <v>75</v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inlineStr">
        <is>
          <t>center</t>
        </is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Cost Matrix</t>
        </is>
      </c>
      <c r="B201" t="inlineStr">
        <is>
          <t>V14</t>
        </is>
      </c>
      <c r="C201" t="n">
        <v>14</v>
      </c>
      <c r="D201" t="n">
        <v>22</v>
      </c>
      <c r="E201" t="inlineStr">
        <is>
          <t>Input</t>
        </is>
      </c>
      <c r="F201" t="n">
        <v/>
      </c>
      <c r="G201" t="n">
        <v>75</v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inlineStr">
        <is>
          <t>center</t>
        </is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Cost Matrix</t>
        </is>
      </c>
      <c r="B202" t="inlineStr">
        <is>
          <t>AG14</t>
        </is>
      </c>
      <c r="C202" t="n">
        <v>14</v>
      </c>
      <c r="D202" t="n">
        <v>33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n">
        <v/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Cost Matrix</t>
        </is>
      </c>
      <c r="B203" t="inlineStr">
        <is>
          <t>AH14</t>
        </is>
      </c>
      <c r="C203" t="n">
        <v>14</v>
      </c>
      <c r="D203" t="n">
        <v>34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n">
        <v/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Cost Matrix</t>
        </is>
      </c>
      <c r="B204" t="inlineStr">
        <is>
          <t>AI14</t>
        </is>
      </c>
      <c r="C204" t="n">
        <v>14</v>
      </c>
      <c r="D204" t="n">
        <v>35</v>
      </c>
      <c r="E204" t="inlineStr">
        <is>
          <t>Input</t>
        </is>
      </c>
      <c r="F204" t="n">
        <v/>
      </c>
      <c r="G204" t="inlineStr">
        <is>
          <t>Brent ($) E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center</t>
        </is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Cost Matrix</t>
        </is>
      </c>
      <c r="B205" t="inlineStr">
        <is>
          <t>AJ14</t>
        </is>
      </c>
      <c r="C205" t="n">
        <v>14</v>
      </c>
      <c r="D205" t="n">
        <v>36</v>
      </c>
      <c r="E205" t="inlineStr">
        <is>
          <t>Input</t>
        </is>
      </c>
      <c r="F205" t="n">
        <v/>
      </c>
      <c r="G205" t="n">
        <v>67.5</v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inlineStr">
        <is>
          <t>center</t>
        </is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Cost Matrix</t>
        </is>
      </c>
      <c r="B206" t="inlineStr">
        <is>
          <t>AK14</t>
        </is>
      </c>
      <c r="C206" t="n">
        <v>14</v>
      </c>
      <c r="D206" t="n">
        <v>37</v>
      </c>
      <c r="E206" t="inlineStr">
        <is>
          <t>Input</t>
        </is>
      </c>
      <c r="F206" t="n">
        <v/>
      </c>
      <c r="G206" t="n">
        <v>75</v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inlineStr">
        <is>
          <t>center</t>
        </is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Cost Matrix</t>
        </is>
      </c>
      <c r="B207" t="inlineStr">
        <is>
          <t>AL14</t>
        </is>
      </c>
      <c r="C207" t="n">
        <v>14</v>
      </c>
      <c r="D207" t="n">
        <v>38</v>
      </c>
      <c r="E207" t="inlineStr">
        <is>
          <t>Input</t>
        </is>
      </c>
      <c r="F207" t="n">
        <v/>
      </c>
      <c r="G207" t="n">
        <v>75</v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inlineStr">
        <is>
          <t>center</t>
        </is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Cost Matrix</t>
        </is>
      </c>
      <c r="B208" t="inlineStr">
        <is>
          <t>AM14</t>
        </is>
      </c>
      <c r="C208" t="n">
        <v>14</v>
      </c>
      <c r="D208" t="n">
        <v>39</v>
      </c>
      <c r="E208" t="inlineStr">
        <is>
          <t>Input</t>
        </is>
      </c>
      <c r="F208" t="n">
        <v/>
      </c>
      <c r="G208" t="n">
        <v>75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center</t>
        </is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Cost Matrix</t>
        </is>
      </c>
      <c r="B209" t="inlineStr">
        <is>
          <t>AN14</t>
        </is>
      </c>
      <c r="C209" t="n">
        <v>14</v>
      </c>
      <c r="D209" t="n">
        <v>40</v>
      </c>
      <c r="E209" t="inlineStr">
        <is>
          <t>Input</t>
        </is>
      </c>
      <c r="F209" t="n">
        <v/>
      </c>
      <c r="G209" t="n">
        <v>75</v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Cost Matrix</t>
        </is>
      </c>
      <c r="B210" t="inlineStr">
        <is>
          <t>AO14</t>
        </is>
      </c>
      <c r="C210" t="n">
        <v>14</v>
      </c>
      <c r="D210" t="n">
        <v>41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Cost Matrix</t>
        </is>
      </c>
      <c r="B211" t="inlineStr">
        <is>
          <t>AP14</t>
        </is>
      </c>
      <c r="C211" t="n">
        <v>14</v>
      </c>
      <c r="D211" t="n">
        <v>42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Cost Matrix</t>
        </is>
      </c>
      <c r="B212" t="inlineStr">
        <is>
          <t>A15</t>
        </is>
      </c>
      <c r="C212" t="n">
        <v>15</v>
      </c>
      <c r="D212" t="n">
        <v>1</v>
      </c>
      <c r="E212" t="inlineStr">
        <is>
          <t>Input</t>
        </is>
      </c>
      <c r="F212" t="n">
        <v/>
      </c>
      <c r="G212" t="inlineStr">
        <is>
          <t>Fuel comsumption in million Lt</t>
        </is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Cost Matrix</t>
        </is>
      </c>
      <c r="B213" t="inlineStr">
        <is>
          <t>E15</t>
        </is>
      </c>
      <c r="C213" t="n">
        <v>15</v>
      </c>
      <c r="D213" t="n">
        <v>5</v>
      </c>
      <c r="E213" t="inlineStr">
        <is>
          <t>Calculation</t>
        </is>
      </c>
      <c r="F213" t="inlineStr">
        <is>
          <t>'=E13/E14</t>
        </is>
      </c>
      <c r="G213" t="n">
        <v>450.4061128526646</v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00000000</t>
        </is>
      </c>
      <c r="O213" t="n">
        <v/>
      </c>
      <c r="R213" t="b">
        <v>1</v>
      </c>
      <c r="S213" t="inlineStr">
        <is>
          <t>G000107</t>
        </is>
      </c>
      <c r="T213" t="inlineStr">
        <is>
          <t>Horizontal</t>
        </is>
      </c>
      <c r="U213" t="n">
        <v>6</v>
      </c>
      <c r="V213" t="b">
        <v>1</v>
      </c>
      <c r="W213" t="inlineStr">
        <is>
          <t>Cost Matrix!E15:J15</t>
        </is>
      </c>
      <c r="X213">
        <f>R[-2]C[0]/R[-1]C[0]</f>
        <v/>
      </c>
    </row>
    <row r="214">
      <c r="A214" t="inlineStr">
        <is>
          <t>Cost Matrix</t>
        </is>
      </c>
      <c r="B214" t="inlineStr">
        <is>
          <t>F15</t>
        </is>
      </c>
      <c r="C214" t="n">
        <v>15</v>
      </c>
      <c r="D214" t="n">
        <v>6</v>
      </c>
      <c r="E214" t="inlineStr">
        <is>
          <t>Calculation</t>
        </is>
      </c>
      <c r="F214" t="inlineStr">
        <is>
          <t>'=F13/F14</t>
        </is>
      </c>
      <c r="G214" t="n">
        <v>609.1279661016949</v>
      </c>
      <c r="H214" t="inlineStr"/>
      <c r="I214" t="inlineStr">
        <is>
          <t>0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n">
        <v/>
      </c>
      <c r="R214" t="b">
        <v>1</v>
      </c>
      <c r="S214" t="inlineStr">
        <is>
          <t>G000107</t>
        </is>
      </c>
      <c r="T214" t="inlineStr">
        <is>
          <t>Horizontal</t>
        </is>
      </c>
      <c r="U214" t="n">
        <v>6</v>
      </c>
      <c r="V214" t="b">
        <v>1</v>
      </c>
      <c r="W214" t="inlineStr">
        <is>
          <t>Cost Matrix!E15:J15</t>
        </is>
      </c>
      <c r="X214">
        <f>R[-2]C[0]/R[-1]C[0]</f>
        <v/>
      </c>
    </row>
    <row r="215">
      <c r="A215" t="inlineStr">
        <is>
          <t>Cost Matrix</t>
        </is>
      </c>
      <c r="B215" t="inlineStr">
        <is>
          <t>G15</t>
        </is>
      </c>
      <c r="C215" t="n">
        <v>15</v>
      </c>
      <c r="D215" t="n">
        <v>7</v>
      </c>
      <c r="E215" t="inlineStr">
        <is>
          <t>Calculation</t>
        </is>
      </c>
      <c r="F215" t="inlineStr">
        <is>
          <t>'=G13/G14</t>
        </is>
      </c>
      <c r="G215" t="n">
        <v>728.3157199471598</v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R215" t="b">
        <v>1</v>
      </c>
      <c r="S215" t="inlineStr">
        <is>
          <t>G000107</t>
        </is>
      </c>
      <c r="T215" t="inlineStr">
        <is>
          <t>Horizontal</t>
        </is>
      </c>
      <c r="U215" t="n">
        <v>6</v>
      </c>
      <c r="V215" t="b">
        <v>1</v>
      </c>
      <c r="W215" t="inlineStr">
        <is>
          <t>Cost Matrix!E15:J15</t>
        </is>
      </c>
      <c r="X215">
        <f>R[-2]C[0]/R[-1]C[0]</f>
        <v/>
      </c>
    </row>
    <row r="216">
      <c r="A216" t="inlineStr">
        <is>
          <t>Cost Matrix</t>
        </is>
      </c>
      <c r="B216" t="inlineStr">
        <is>
          <t>H15</t>
        </is>
      </c>
      <c r="C216" t="n">
        <v>15</v>
      </c>
      <c r="D216" t="n">
        <v>8</v>
      </c>
      <c r="E216" t="inlineStr">
        <is>
          <t>Calculation</t>
        </is>
      </c>
      <c r="F216" t="inlineStr">
        <is>
          <t>'=H13/H14</t>
        </is>
      </c>
      <c r="G216" t="n">
        <v>840.7906976744185</v>
      </c>
      <c r="H216" t="inlineStr"/>
      <c r="I216" t="inlineStr">
        <is>
          <t>0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G000107</t>
        </is>
      </c>
      <c r="T216" t="inlineStr">
        <is>
          <t>Horizontal</t>
        </is>
      </c>
      <c r="U216" t="n">
        <v>6</v>
      </c>
      <c r="V216" t="b">
        <v>1</v>
      </c>
      <c r="W216" t="inlineStr">
        <is>
          <t>Cost Matrix!E15:J15</t>
        </is>
      </c>
      <c r="X216">
        <f>R[-2]C[0]/R[-1]C[0]</f>
        <v/>
      </c>
    </row>
    <row r="217">
      <c r="A217" t="inlineStr">
        <is>
          <t>Cost Matrix</t>
        </is>
      </c>
      <c r="B217" t="inlineStr">
        <is>
          <t>I15</t>
        </is>
      </c>
      <c r="C217" t="n">
        <v>15</v>
      </c>
      <c r="D217" t="n">
        <v>9</v>
      </c>
      <c r="E217" t="inlineStr">
        <is>
          <t>Calculation</t>
        </is>
      </c>
      <c r="F217" t="inlineStr">
        <is>
          <t>'=I13/I14</t>
        </is>
      </c>
      <c r="G217" t="n">
        <v>1010.855329949238</v>
      </c>
      <c r="H217" t="inlineStr"/>
      <c r="I217" t="inlineStr">
        <is>
          <t>0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G000107</t>
        </is>
      </c>
      <c r="T217" t="inlineStr">
        <is>
          <t>Horizontal</t>
        </is>
      </c>
      <c r="U217" t="n">
        <v>6</v>
      </c>
      <c r="V217" t="b">
        <v>1</v>
      </c>
      <c r="W217" t="inlineStr">
        <is>
          <t>Cost Matrix!E15:J15</t>
        </is>
      </c>
      <c r="X217">
        <f>R[-2]C[0]/R[-1]C[0]</f>
        <v/>
      </c>
    </row>
    <row r="218">
      <c r="A218" t="inlineStr">
        <is>
          <t>Cost Matrix</t>
        </is>
      </c>
      <c r="B218" t="inlineStr">
        <is>
          <t>J15</t>
        </is>
      </c>
      <c r="C218" t="n">
        <v>15</v>
      </c>
      <c r="D218" t="n">
        <v>10</v>
      </c>
      <c r="E218" t="inlineStr">
        <is>
          <t>Calculation</t>
        </is>
      </c>
      <c r="F218" t="inlineStr">
        <is>
          <t>'=J13/J14</t>
        </is>
      </c>
      <c r="G218" t="n">
        <v>1246.611558875565</v>
      </c>
      <c r="H218" t="inlineStr"/>
      <c r="I218" t="inlineStr">
        <is>
          <t>0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R218" t="b">
        <v>1</v>
      </c>
      <c r="S218" t="inlineStr">
        <is>
          <t>G000107</t>
        </is>
      </c>
      <c r="T218" t="inlineStr">
        <is>
          <t>Horizontal</t>
        </is>
      </c>
      <c r="U218" t="n">
        <v>6</v>
      </c>
      <c r="V218" t="b">
        <v>1</v>
      </c>
      <c r="W218" t="inlineStr">
        <is>
          <t>Cost Matrix!E15:J15</t>
        </is>
      </c>
      <c r="X218">
        <f>R[-2]C[0]/R[-1]C[0]</f>
        <v/>
      </c>
    </row>
    <row r="219">
      <c r="A219" t="inlineStr">
        <is>
          <t>Cost Matrix</t>
        </is>
      </c>
      <c r="B219" t="inlineStr">
        <is>
          <t>K15</t>
        </is>
      </c>
      <c r="C219" t="n">
        <v>15</v>
      </c>
      <c r="D219" t="n">
        <v>11</v>
      </c>
      <c r="E219" t="inlineStr">
        <is>
          <t>Calculation</t>
        </is>
      </c>
      <c r="F219" t="inlineStr">
        <is>
          <t>'=K17*K7/10^6</t>
        </is>
      </c>
      <c r="G219" t="n">
        <v>1441.151345622859</v>
      </c>
      <c r="H219" t="inlineStr"/>
      <c r="I219" t="inlineStr">
        <is>
          <t>0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R219" t="b">
        <v>1</v>
      </c>
      <c r="S219" t="inlineStr">
        <is>
          <t>G000110</t>
        </is>
      </c>
      <c r="T219" t="inlineStr">
        <is>
          <t>Horizontal</t>
        </is>
      </c>
      <c r="U219" t="n">
        <v>5</v>
      </c>
      <c r="V219" t="b">
        <v>1</v>
      </c>
      <c r="W219" t="inlineStr">
        <is>
          <t>Cost Matrix!K15:O15</t>
        </is>
      </c>
      <c r="X219">
        <f>R[2]C[0]*R[-8]C[0]/10^6</f>
        <v/>
      </c>
    </row>
    <row r="220">
      <c r="A220" t="inlineStr">
        <is>
          <t>Cost Matrix</t>
        </is>
      </c>
      <c r="B220" t="inlineStr">
        <is>
          <t>L15</t>
        </is>
      </c>
      <c r="C220" t="n">
        <v>15</v>
      </c>
      <c r="D220" t="n">
        <v>12</v>
      </c>
      <c r="E220" t="inlineStr">
        <is>
          <t>Calculation</t>
        </is>
      </c>
      <c r="F220" t="inlineStr">
        <is>
          <t>'=L17*L7/10^6</t>
        </is>
      </c>
      <c r="G220" t="n">
        <v>1558.142452263862</v>
      </c>
      <c r="H220" t="inlineStr"/>
      <c r="I220" t="inlineStr">
        <is>
          <t>0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n">
        <v/>
      </c>
      <c r="R220" t="b">
        <v>1</v>
      </c>
      <c r="S220" t="inlineStr">
        <is>
          <t>G000110</t>
        </is>
      </c>
      <c r="T220" t="inlineStr">
        <is>
          <t>Horizontal</t>
        </is>
      </c>
      <c r="U220" t="n">
        <v>5</v>
      </c>
      <c r="V220" t="b">
        <v>1</v>
      </c>
      <c r="W220" t="inlineStr">
        <is>
          <t>Cost Matrix!K15:O15</t>
        </is>
      </c>
      <c r="X220">
        <f>R[2]C[0]*R[-8]C[0]/10^6</f>
        <v/>
      </c>
    </row>
    <row r="221">
      <c r="A221" t="inlineStr">
        <is>
          <t>Cost Matrix</t>
        </is>
      </c>
      <c r="B221" t="inlineStr">
        <is>
          <t>M15</t>
        </is>
      </c>
      <c r="C221" t="n">
        <v>15</v>
      </c>
      <c r="D221" t="n">
        <v>13</v>
      </c>
      <c r="E221" t="inlineStr">
        <is>
          <t>Calculation</t>
        </is>
      </c>
      <c r="F221" t="inlineStr">
        <is>
          <t>'=M17*M7/10^6</t>
        </is>
      </c>
      <c r="G221" t="n">
        <v>1712.381966501692</v>
      </c>
      <c r="H221" t="inlineStr"/>
      <c r="I221" t="inlineStr">
        <is>
          <t>0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n">
        <v/>
      </c>
      <c r="R221" t="b">
        <v>1</v>
      </c>
      <c r="S221" t="inlineStr">
        <is>
          <t>G000110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Cost Matrix!K15:O15</t>
        </is>
      </c>
      <c r="X221">
        <f>R[2]C[0]*R[-8]C[0]/10^6</f>
        <v/>
      </c>
    </row>
    <row r="222">
      <c r="A222" t="inlineStr">
        <is>
          <t>Cost Matrix</t>
        </is>
      </c>
      <c r="B222" t="inlineStr">
        <is>
          <t>N15</t>
        </is>
      </c>
      <c r="C222" t="n">
        <v>15</v>
      </c>
      <c r="D222" t="n">
        <v>14</v>
      </c>
      <c r="E222" t="inlineStr">
        <is>
          <t>Calculation</t>
        </is>
      </c>
      <c r="F222" t="inlineStr">
        <is>
          <t>'=N17*N7/10^6</t>
        </is>
      </c>
      <c r="G222" t="n">
        <v>1997.037908637</v>
      </c>
      <c r="H222" t="inlineStr"/>
      <c r="I222" t="inlineStr">
        <is>
          <t>0</t>
        </is>
      </c>
      <c r="J222" t="b">
        <v>0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00000000</t>
        </is>
      </c>
      <c r="O222" t="n">
        <v/>
      </c>
      <c r="R222" t="b">
        <v>1</v>
      </c>
      <c r="S222" t="inlineStr">
        <is>
          <t>G000110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Cost Matrix!K15:O15</t>
        </is>
      </c>
      <c r="X222">
        <f>R[2]C[0]*R[-8]C[0]/10^6</f>
        <v/>
      </c>
    </row>
    <row r="223">
      <c r="A223" t="inlineStr">
        <is>
          <t>Cost Matrix</t>
        </is>
      </c>
      <c r="B223" t="inlineStr">
        <is>
          <t>O15</t>
        </is>
      </c>
      <c r="C223" t="n">
        <v>15</v>
      </c>
      <c r="D223" t="n">
        <v>15</v>
      </c>
      <c r="E223" t="inlineStr">
        <is>
          <t>Calculation</t>
        </is>
      </c>
      <c r="F223" t="inlineStr">
        <is>
          <t>'=O17*O7/10^6</t>
        </is>
      </c>
      <c r="G223" t="n">
        <v>2327.457810022978</v>
      </c>
      <c r="H223" t="inlineStr"/>
      <c r="I223" t="inlineStr">
        <is>
          <t>0</t>
        </is>
      </c>
      <c r="J223" t="b">
        <v>0</v>
      </c>
      <c r="K223" t="b">
        <v>0</v>
      </c>
      <c r="L223" t="n">
        <v>11</v>
      </c>
      <c r="M223" t="inlineStr">
        <is>
          <t>Values must be of type &lt;class 'str'&gt;</t>
        </is>
      </c>
      <c r="N223" t="inlineStr">
        <is>
          <t>00000000</t>
        </is>
      </c>
      <c r="O223" t="n">
        <v/>
      </c>
      <c r="R223" t="b">
        <v>1</v>
      </c>
      <c r="S223" t="inlineStr">
        <is>
          <t>G000110</t>
        </is>
      </c>
      <c r="T223" t="inlineStr">
        <is>
          <t>Horizontal</t>
        </is>
      </c>
      <c r="U223" t="n">
        <v>5</v>
      </c>
      <c r="V223" t="b">
        <v>1</v>
      </c>
      <c r="W223" t="inlineStr">
        <is>
          <t>Cost Matrix!K15:O15</t>
        </is>
      </c>
      <c r="X223">
        <f>R[2]C[0]*R[-8]C[0]/10^6</f>
        <v/>
      </c>
    </row>
    <row r="224">
      <c r="A224" t="inlineStr">
        <is>
          <t>Cost Matrix</t>
        </is>
      </c>
      <c r="B224" t="inlineStr">
        <is>
          <t>Q15</t>
        </is>
      </c>
      <c r="C224" t="n">
        <v>15</v>
      </c>
      <c r="D224" t="n">
        <v>17</v>
      </c>
      <c r="E224" t="inlineStr">
        <is>
          <t>Input</t>
        </is>
      </c>
      <c r="F224" t="n">
        <v/>
      </c>
      <c r="G224" t="inlineStr">
        <is>
          <t>USD/INR * Brent ($)</t>
        </is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Values must be of type &lt;class 'str'&gt;</t>
        </is>
      </c>
      <c r="N224" t="inlineStr">
        <is>
          <t>00000000</t>
        </is>
      </c>
      <c r="O224" t="inlineStr">
        <is>
          <t>center</t>
        </is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Cost Matrix</t>
        </is>
      </c>
      <c r="B225" t="inlineStr">
        <is>
          <t>R15</t>
        </is>
      </c>
      <c r="C225" t="n">
        <v>15</v>
      </c>
      <c r="D225" t="n">
        <v>18</v>
      </c>
      <c r="E225" t="inlineStr">
        <is>
          <t>Input</t>
        </is>
      </c>
      <c r="F225" t="n">
        <v/>
      </c>
      <c r="G225" t="n">
        <v>4252.5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inlineStr">
        <is>
          <t>center</t>
        </is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Cost Matrix</t>
        </is>
      </c>
      <c r="B226" t="inlineStr">
        <is>
          <t>S15</t>
        </is>
      </c>
      <c r="C226" t="n">
        <v>15</v>
      </c>
      <c r="D226" t="n">
        <v>19</v>
      </c>
      <c r="E226" t="inlineStr">
        <is>
          <t>Calculation</t>
        </is>
      </c>
      <c r="F226" t="inlineStr">
        <is>
          <t>'=S14*S13</t>
        </is>
      </c>
      <c r="G226" t="n">
        <v>4875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00000000</t>
        </is>
      </c>
      <c r="O226" t="inlineStr">
        <is>
          <t>center</t>
        </is>
      </c>
      <c r="R226" t="b">
        <v>1</v>
      </c>
      <c r="S226" t="inlineStr">
        <is>
          <t>G000111</t>
        </is>
      </c>
      <c r="T226" t="inlineStr">
        <is>
          <t>Horizontal</t>
        </is>
      </c>
      <c r="U226" t="n">
        <v>4</v>
      </c>
      <c r="V226" t="b">
        <v>1</v>
      </c>
      <c r="W226" t="inlineStr">
        <is>
          <t>Cost Matrix!S15:V15</t>
        </is>
      </c>
      <c r="X226">
        <f>R[-1]C[0]*R[-2]C[0]</f>
        <v/>
      </c>
    </row>
    <row r="227">
      <c r="A227" t="inlineStr">
        <is>
          <t>Cost Matrix</t>
        </is>
      </c>
      <c r="B227" t="inlineStr">
        <is>
          <t>T15</t>
        </is>
      </c>
      <c r="C227" t="n">
        <v>15</v>
      </c>
      <c r="D227" t="n">
        <v>20</v>
      </c>
      <c r="E227" t="inlineStr">
        <is>
          <t>Calculation</t>
        </is>
      </c>
      <c r="F227" t="inlineStr">
        <is>
          <t>'=T14*T13</t>
        </is>
      </c>
      <c r="G227" t="n">
        <v>5025</v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00000000</t>
        </is>
      </c>
      <c r="O227" t="inlineStr">
        <is>
          <t>center</t>
        </is>
      </c>
      <c r="R227" t="b">
        <v>1</v>
      </c>
      <c r="S227" t="inlineStr">
        <is>
          <t>G000111</t>
        </is>
      </c>
      <c r="T227" t="inlineStr">
        <is>
          <t>Horizontal</t>
        </is>
      </c>
      <c r="U227" t="n">
        <v>4</v>
      </c>
      <c r="V227" t="b">
        <v>1</v>
      </c>
      <c r="W227" t="inlineStr">
        <is>
          <t>Cost Matrix!S15:V15</t>
        </is>
      </c>
      <c r="X227">
        <f>R[-1]C[0]*R[-2]C[0]</f>
        <v/>
      </c>
    </row>
    <row r="228">
      <c r="A228" t="inlineStr">
        <is>
          <t>Cost Matrix</t>
        </is>
      </c>
      <c r="B228" t="inlineStr">
        <is>
          <t>U15</t>
        </is>
      </c>
      <c r="C228" t="n">
        <v>15</v>
      </c>
      <c r="D228" t="n">
        <v>21</v>
      </c>
      <c r="E228" t="inlineStr">
        <is>
          <t>Calculation</t>
        </is>
      </c>
      <c r="F228" t="inlineStr">
        <is>
          <t>'=U14*U13</t>
        </is>
      </c>
      <c r="G228" t="n">
        <v>5175</v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00000000</t>
        </is>
      </c>
      <c r="O228" t="inlineStr">
        <is>
          <t>center</t>
        </is>
      </c>
      <c r="R228" t="b">
        <v>1</v>
      </c>
      <c r="S228" t="inlineStr">
        <is>
          <t>G000111</t>
        </is>
      </c>
      <c r="T228" t="inlineStr">
        <is>
          <t>Horizontal</t>
        </is>
      </c>
      <c r="U228" t="n">
        <v>4</v>
      </c>
      <c r="V228" t="b">
        <v>1</v>
      </c>
      <c r="W228" t="inlineStr">
        <is>
          <t>Cost Matrix!S15:V15</t>
        </is>
      </c>
      <c r="X228">
        <f>R[-1]C[0]*R[-2]C[0]</f>
        <v/>
      </c>
    </row>
    <row r="229">
      <c r="A229" t="inlineStr">
        <is>
          <t>Cost Matrix</t>
        </is>
      </c>
      <c r="B229" t="inlineStr">
        <is>
          <t>V15</t>
        </is>
      </c>
      <c r="C229" t="n">
        <v>15</v>
      </c>
      <c r="D229" t="n">
        <v>22</v>
      </c>
      <c r="E229" t="inlineStr">
        <is>
          <t>Calculation</t>
        </is>
      </c>
      <c r="F229" t="inlineStr">
        <is>
          <t>'=V14*V13</t>
        </is>
      </c>
      <c r="G229" t="n">
        <v>5325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00000000</t>
        </is>
      </c>
      <c r="O229" t="inlineStr">
        <is>
          <t>center</t>
        </is>
      </c>
      <c r="R229" t="b">
        <v>1</v>
      </c>
      <c r="S229" t="inlineStr">
        <is>
          <t>G000111</t>
        </is>
      </c>
      <c r="T229" t="inlineStr">
        <is>
          <t>Horizontal</t>
        </is>
      </c>
      <c r="U229" t="n">
        <v>4</v>
      </c>
      <c r="V229" t="b">
        <v>1</v>
      </c>
      <c r="W229" t="inlineStr">
        <is>
          <t>Cost Matrix!S15:V15</t>
        </is>
      </c>
      <c r="X229">
        <f>R[-1]C[0]*R[-2]C[0]</f>
        <v/>
      </c>
    </row>
    <row r="230">
      <c r="A230" t="inlineStr">
        <is>
          <t>Cost Matrix</t>
        </is>
      </c>
      <c r="B230" t="inlineStr">
        <is>
          <t>AG15</t>
        </is>
      </c>
      <c r="C230" t="n">
        <v>15</v>
      </c>
      <c r="D230" t="n">
        <v>33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n">
        <v/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Cost Matrix</t>
        </is>
      </c>
      <c r="B231" t="inlineStr">
        <is>
          <t>AH15</t>
        </is>
      </c>
      <c r="C231" t="n">
        <v>15</v>
      </c>
      <c r="D231" t="n">
        <v>34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n">
        <v/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Cost Matrix</t>
        </is>
      </c>
      <c r="B232" t="inlineStr">
        <is>
          <t>AI15</t>
        </is>
      </c>
      <c r="C232" t="n">
        <v>15</v>
      </c>
      <c r="D232" t="n">
        <v>35</v>
      </c>
      <c r="E232" t="inlineStr">
        <is>
          <t>Input</t>
        </is>
      </c>
      <c r="F232" t="n">
        <v/>
      </c>
      <c r="G232" t="inlineStr">
        <is>
          <t>USD/INR * Brent ($)</t>
        </is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Cost Matrix</t>
        </is>
      </c>
      <c r="B233" t="inlineStr">
        <is>
          <t>AJ15</t>
        </is>
      </c>
      <c r="C233" t="n">
        <v>15</v>
      </c>
      <c r="D233" t="n">
        <v>36</v>
      </c>
      <c r="E233" t="inlineStr">
        <is>
          <t>Input</t>
        </is>
      </c>
      <c r="F233" t="n">
        <v/>
      </c>
      <c r="G233" t="n">
        <v>4252.5</v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center</t>
        </is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Cost Matrix</t>
        </is>
      </c>
      <c r="B234" t="inlineStr">
        <is>
          <t>AK15</t>
        </is>
      </c>
      <c r="C234" t="n">
        <v>15</v>
      </c>
      <c r="D234" t="n">
        <v>37</v>
      </c>
      <c r="E234" t="inlineStr">
        <is>
          <t>Calculation</t>
        </is>
      </c>
      <c r="F234" t="inlineStr">
        <is>
          <t>'=AK14*AK13</t>
        </is>
      </c>
      <c r="G234" t="n">
        <v>4875</v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inlineStr">
        <is>
          <t>center</t>
        </is>
      </c>
      <c r="R234" t="b">
        <v>1</v>
      </c>
      <c r="S234" t="inlineStr">
        <is>
          <t>G000112</t>
        </is>
      </c>
      <c r="T234" t="inlineStr">
        <is>
          <t>Horizontal</t>
        </is>
      </c>
      <c r="U234" t="n">
        <v>4</v>
      </c>
      <c r="V234" t="b">
        <v>1</v>
      </c>
      <c r="W234" t="inlineStr">
        <is>
          <t>Cost Matrix!AK15:AN15</t>
        </is>
      </c>
      <c r="X234">
        <f>R[-1]C[0]*R[-2]C[0]</f>
        <v/>
      </c>
    </row>
    <row r="235">
      <c r="A235" t="inlineStr">
        <is>
          <t>Cost Matrix</t>
        </is>
      </c>
      <c r="B235" t="inlineStr">
        <is>
          <t>AL15</t>
        </is>
      </c>
      <c r="C235" t="n">
        <v>15</v>
      </c>
      <c r="D235" t="n">
        <v>38</v>
      </c>
      <c r="E235" t="inlineStr">
        <is>
          <t>Calculation</t>
        </is>
      </c>
      <c r="F235" t="inlineStr">
        <is>
          <t>'=AL14*AL13</t>
        </is>
      </c>
      <c r="G235" t="n">
        <v>5025</v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inlineStr">
        <is>
          <t>center</t>
        </is>
      </c>
      <c r="R235" t="b">
        <v>1</v>
      </c>
      <c r="S235" t="inlineStr">
        <is>
          <t>G000112</t>
        </is>
      </c>
      <c r="T235" t="inlineStr">
        <is>
          <t>Horizontal</t>
        </is>
      </c>
      <c r="U235" t="n">
        <v>4</v>
      </c>
      <c r="V235" t="b">
        <v>1</v>
      </c>
      <c r="W235" t="inlineStr">
        <is>
          <t>Cost Matrix!AK15:AN15</t>
        </is>
      </c>
      <c r="X235">
        <f>R[-1]C[0]*R[-2]C[0]</f>
        <v/>
      </c>
    </row>
    <row r="236">
      <c r="A236" t="inlineStr">
        <is>
          <t>Cost Matrix</t>
        </is>
      </c>
      <c r="B236" t="inlineStr">
        <is>
          <t>AM15</t>
        </is>
      </c>
      <c r="C236" t="n">
        <v>15</v>
      </c>
      <c r="D236" t="n">
        <v>39</v>
      </c>
      <c r="E236" t="inlineStr">
        <is>
          <t>Calculation</t>
        </is>
      </c>
      <c r="F236" t="inlineStr">
        <is>
          <t>'=AM14*AM13</t>
        </is>
      </c>
      <c r="G236" t="n">
        <v>5175</v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R236" t="b">
        <v>1</v>
      </c>
      <c r="S236" t="inlineStr">
        <is>
          <t>G000112</t>
        </is>
      </c>
      <c r="T236" t="inlineStr">
        <is>
          <t>Horizontal</t>
        </is>
      </c>
      <c r="U236" t="n">
        <v>4</v>
      </c>
      <c r="V236" t="b">
        <v>1</v>
      </c>
      <c r="W236" t="inlineStr">
        <is>
          <t>Cost Matrix!AK15:AN15</t>
        </is>
      </c>
      <c r="X236">
        <f>R[-1]C[0]*R[-2]C[0]</f>
        <v/>
      </c>
    </row>
    <row r="237">
      <c r="A237" t="inlineStr">
        <is>
          <t>Cost Matrix</t>
        </is>
      </c>
      <c r="B237" t="inlineStr">
        <is>
          <t>AN15</t>
        </is>
      </c>
      <c r="C237" t="n">
        <v>15</v>
      </c>
      <c r="D237" t="n">
        <v>40</v>
      </c>
      <c r="E237" t="inlineStr">
        <is>
          <t>Calculation</t>
        </is>
      </c>
      <c r="F237" t="inlineStr">
        <is>
          <t>'=AN14*AN13</t>
        </is>
      </c>
      <c r="G237" t="n">
        <v>5325</v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inlineStr">
        <is>
          <t>center</t>
        </is>
      </c>
      <c r="R237" t="b">
        <v>1</v>
      </c>
      <c r="S237" t="inlineStr">
        <is>
          <t>G000112</t>
        </is>
      </c>
      <c r="T237" t="inlineStr">
        <is>
          <t>Horizontal</t>
        </is>
      </c>
      <c r="U237" t="n">
        <v>4</v>
      </c>
      <c r="V237" t="b">
        <v>1</v>
      </c>
      <c r="W237" t="inlineStr">
        <is>
          <t>Cost Matrix!AK15:AN15</t>
        </is>
      </c>
      <c r="X237">
        <f>R[-1]C[0]*R[-2]C[0]</f>
        <v/>
      </c>
    </row>
    <row r="238">
      <c r="A238" t="inlineStr">
        <is>
          <t>Cost Matrix</t>
        </is>
      </c>
      <c r="B238" t="inlineStr">
        <is>
          <t>AO15</t>
        </is>
      </c>
      <c r="C238" t="n">
        <v>15</v>
      </c>
      <c r="D238" t="n">
        <v>41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Cost Matrix</t>
        </is>
      </c>
      <c r="B239" t="inlineStr">
        <is>
          <t>AP15</t>
        </is>
      </c>
      <c r="C239" t="n">
        <v>15</v>
      </c>
      <c r="D239" t="n">
        <v>42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Cost Matrix</t>
        </is>
      </c>
      <c r="B240" t="inlineStr">
        <is>
          <t>J16</t>
        </is>
      </c>
      <c r="C240" t="n">
        <v>16</v>
      </c>
      <c r="D240" t="n">
        <v>10</v>
      </c>
      <c r="E240" t="inlineStr">
        <is>
          <t>Output</t>
        </is>
      </c>
      <c r="F240" t="inlineStr">
        <is>
          <t>'=I17/J17-1</t>
        </is>
      </c>
      <c r="G240" t="n">
        <v>0.03707736280171203</v>
      </c>
      <c r="H240" t="inlineStr"/>
      <c r="I240" t="inlineStr">
        <is>
          <t>0.00%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>
        <f>R[1]C[-1]/R[1]C[0]-1</f>
        <v/>
      </c>
    </row>
    <row r="241">
      <c r="A241" t="inlineStr">
        <is>
          <t>Cost Matrix</t>
        </is>
      </c>
      <c r="B241" t="inlineStr">
        <is>
          <t>Q16</t>
        </is>
      </c>
      <c r="C241" t="n">
        <v>16</v>
      </c>
      <c r="D241" t="n">
        <v>17</v>
      </c>
      <c r="E241" t="inlineStr">
        <is>
          <t>Input</t>
        </is>
      </c>
      <c r="F241" t="n">
        <v/>
      </c>
      <c r="G241" t="inlineStr">
        <is>
          <t>Change (%)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inlineStr">
        <is>
          <t>center</t>
        </is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Cost Matrix</t>
        </is>
      </c>
      <c r="B242" t="inlineStr">
        <is>
          <t>R16</t>
        </is>
      </c>
      <c r="C242" t="n">
        <v>16</v>
      </c>
      <c r="D242" t="n">
        <v>18</v>
      </c>
      <c r="E242" t="inlineStr">
        <is>
          <t>Input</t>
        </is>
      </c>
      <c r="F242" t="n">
        <v/>
      </c>
      <c r="G242" t="n">
        <v>0.0357657147397219</v>
      </c>
      <c r="H242" t="inlineStr"/>
      <c r="I242" t="inlineStr">
        <is>
          <t>0.00%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inlineStr">
        <is>
          <t>center</t>
        </is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Cost Matrix</t>
        </is>
      </c>
      <c r="B243" t="inlineStr">
        <is>
          <t>S16</t>
        </is>
      </c>
      <c r="C243" t="n">
        <v>16</v>
      </c>
      <c r="D243" t="n">
        <v>19</v>
      </c>
      <c r="E243" t="inlineStr">
        <is>
          <t>Calculation</t>
        </is>
      </c>
      <c r="F243" t="inlineStr">
        <is>
          <t>'=(S15/R15)-1</t>
        </is>
      </c>
      <c r="G243" t="n">
        <v>0.1463844797178131</v>
      </c>
      <c r="H243" t="inlineStr"/>
      <c r="I243" t="inlineStr">
        <is>
          <t>0.00%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inlineStr">
        <is>
          <t>center</t>
        </is>
      </c>
      <c r="R243" t="b">
        <v>1</v>
      </c>
      <c r="S243" t="inlineStr">
        <is>
          <t>G000113</t>
        </is>
      </c>
      <c r="T243" t="inlineStr">
        <is>
          <t>Horizontal</t>
        </is>
      </c>
      <c r="U243" t="n">
        <v>4</v>
      </c>
      <c r="V243" t="b">
        <v>1</v>
      </c>
      <c r="W243" t="inlineStr">
        <is>
          <t>Cost Matrix!S16:V16</t>
        </is>
      </c>
      <c r="X243">
        <f>(R[-1]C[0]/R[-1]C[-1])-1</f>
        <v/>
      </c>
    </row>
    <row r="244">
      <c r="A244" t="inlineStr">
        <is>
          <t>Cost Matrix</t>
        </is>
      </c>
      <c r="B244" t="inlineStr">
        <is>
          <t>T16</t>
        </is>
      </c>
      <c r="C244" t="n">
        <v>16</v>
      </c>
      <c r="D244" t="n">
        <v>20</v>
      </c>
      <c r="E244" t="inlineStr">
        <is>
          <t>Calculation</t>
        </is>
      </c>
      <c r="F244" t="inlineStr">
        <is>
          <t>'=(T15/S15)-1</t>
        </is>
      </c>
      <c r="G244" t="n">
        <v>0.03076923076923066</v>
      </c>
      <c r="H244" t="inlineStr"/>
      <c r="I244" t="inlineStr">
        <is>
          <t>0.00%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inlineStr">
        <is>
          <t>center</t>
        </is>
      </c>
      <c r="R244" t="b">
        <v>1</v>
      </c>
      <c r="S244" t="inlineStr">
        <is>
          <t>G000113</t>
        </is>
      </c>
      <c r="T244" t="inlineStr">
        <is>
          <t>Horizontal</t>
        </is>
      </c>
      <c r="U244" t="n">
        <v>4</v>
      </c>
      <c r="V244" t="b">
        <v>1</v>
      </c>
      <c r="W244" t="inlineStr">
        <is>
          <t>Cost Matrix!S16:V16</t>
        </is>
      </c>
      <c r="X244">
        <f>(R[-1]C[0]/R[-1]C[-1])-1</f>
        <v/>
      </c>
    </row>
    <row r="245">
      <c r="A245" t="inlineStr">
        <is>
          <t>Cost Matrix</t>
        </is>
      </c>
      <c r="B245" t="inlineStr">
        <is>
          <t>U16</t>
        </is>
      </c>
      <c r="C245" t="n">
        <v>16</v>
      </c>
      <c r="D245" t="n">
        <v>21</v>
      </c>
      <c r="E245" t="inlineStr">
        <is>
          <t>Calculation</t>
        </is>
      </c>
      <c r="F245" t="inlineStr">
        <is>
          <t>'=(U15/T15)-1</t>
        </is>
      </c>
      <c r="G245" t="n">
        <v>0.0298507462686568</v>
      </c>
      <c r="H245" t="inlineStr"/>
      <c r="I245" t="inlineStr">
        <is>
          <t>0.00%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00000000</t>
        </is>
      </c>
      <c r="O245" t="inlineStr">
        <is>
          <t>center</t>
        </is>
      </c>
      <c r="R245" t="b">
        <v>1</v>
      </c>
      <c r="S245" t="inlineStr">
        <is>
          <t>G000113</t>
        </is>
      </c>
      <c r="T245" t="inlineStr">
        <is>
          <t>Horizontal</t>
        </is>
      </c>
      <c r="U245" t="n">
        <v>4</v>
      </c>
      <c r="V245" t="b">
        <v>1</v>
      </c>
      <c r="W245" t="inlineStr">
        <is>
          <t>Cost Matrix!S16:V16</t>
        </is>
      </c>
      <c r="X245">
        <f>(R[-1]C[0]/R[-1]C[-1])-1</f>
        <v/>
      </c>
    </row>
    <row r="246">
      <c r="A246" t="inlineStr">
        <is>
          <t>Cost Matrix</t>
        </is>
      </c>
      <c r="B246" t="inlineStr">
        <is>
          <t>V16</t>
        </is>
      </c>
      <c r="C246" t="n">
        <v>16</v>
      </c>
      <c r="D246" t="n">
        <v>22</v>
      </c>
      <c r="E246" t="inlineStr">
        <is>
          <t>Calculation</t>
        </is>
      </c>
      <c r="F246" t="inlineStr">
        <is>
          <t>'=(V15/U15)-1</t>
        </is>
      </c>
      <c r="G246" t="n">
        <v>0.02898550724637672</v>
      </c>
      <c r="H246" t="inlineStr"/>
      <c r="I246" t="inlineStr">
        <is>
          <t>0.00%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00000000</t>
        </is>
      </c>
      <c r="O246" t="inlineStr">
        <is>
          <t>center</t>
        </is>
      </c>
      <c r="R246" t="b">
        <v>1</v>
      </c>
      <c r="S246" t="inlineStr">
        <is>
          <t>G000113</t>
        </is>
      </c>
      <c r="T246" t="inlineStr">
        <is>
          <t>Horizontal</t>
        </is>
      </c>
      <c r="U246" t="n">
        <v>4</v>
      </c>
      <c r="V246" t="b">
        <v>1</v>
      </c>
      <c r="W246" t="inlineStr">
        <is>
          <t>Cost Matrix!S16:V16</t>
        </is>
      </c>
      <c r="X246">
        <f>(R[-1]C[0]/R[-1]C[-1])-1</f>
        <v/>
      </c>
    </row>
    <row r="247">
      <c r="A247" t="inlineStr">
        <is>
          <t>Cost Matrix</t>
        </is>
      </c>
      <c r="B247" t="inlineStr">
        <is>
          <t>AG16</t>
        </is>
      </c>
      <c r="C247" t="n">
        <v>16</v>
      </c>
      <c r="D247" t="n">
        <v>33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n">
        <v/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Cost Matrix</t>
        </is>
      </c>
      <c r="B248" t="inlineStr">
        <is>
          <t>AH16</t>
        </is>
      </c>
      <c r="C248" t="n">
        <v>16</v>
      </c>
      <c r="D248" t="n">
        <v>34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n">
        <v/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Cost Matrix</t>
        </is>
      </c>
      <c r="B249" t="inlineStr">
        <is>
          <t>AI16</t>
        </is>
      </c>
      <c r="C249" t="n">
        <v>16</v>
      </c>
      <c r="D249" t="n">
        <v>35</v>
      </c>
      <c r="E249" t="inlineStr">
        <is>
          <t>Input</t>
        </is>
      </c>
      <c r="F249" t="n">
        <v/>
      </c>
      <c r="G249" t="inlineStr">
        <is>
          <t>Change (%)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inlineStr">
        <is>
          <t>center</t>
        </is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Cost Matrix</t>
        </is>
      </c>
      <c r="B250" t="inlineStr">
        <is>
          <t>AJ16</t>
        </is>
      </c>
      <c r="C250" t="n">
        <v>16</v>
      </c>
      <c r="D250" t="n">
        <v>36</v>
      </c>
      <c r="E250" t="inlineStr">
        <is>
          <t>Input</t>
        </is>
      </c>
      <c r="F250" t="n">
        <v/>
      </c>
      <c r="G250" t="n">
        <v>0.0357657147397219</v>
      </c>
      <c r="H250" t="inlineStr"/>
      <c r="I250" t="inlineStr">
        <is>
          <t>0.00%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center</t>
        </is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Cost Matrix</t>
        </is>
      </c>
      <c r="B251" t="inlineStr">
        <is>
          <t>AK16</t>
        </is>
      </c>
      <c r="C251" t="n">
        <v>16</v>
      </c>
      <c r="D251" t="n">
        <v>37</v>
      </c>
      <c r="E251" t="inlineStr">
        <is>
          <t>Calculation</t>
        </is>
      </c>
      <c r="F251" t="inlineStr">
        <is>
          <t>'=(AK15/AJ15)-1</t>
        </is>
      </c>
      <c r="G251" t="n">
        <v>0.1463844797178131</v>
      </c>
      <c r="H251" t="inlineStr"/>
      <c r="I251" t="inlineStr">
        <is>
          <t>0.00%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inlineStr">
        <is>
          <t>center</t>
        </is>
      </c>
      <c r="R251" t="b">
        <v>1</v>
      </c>
      <c r="S251" t="inlineStr">
        <is>
          <t>G000114</t>
        </is>
      </c>
      <c r="T251" t="inlineStr">
        <is>
          <t>Horizontal</t>
        </is>
      </c>
      <c r="U251" t="n">
        <v>4</v>
      </c>
      <c r="V251" t="b">
        <v>1</v>
      </c>
      <c r="W251" t="inlineStr">
        <is>
          <t>Cost Matrix!AK16:AN16</t>
        </is>
      </c>
      <c r="X251">
        <f>(R[-1]C[0]/R[-1]C[-1])-1</f>
        <v/>
      </c>
    </row>
    <row r="252">
      <c r="A252" t="inlineStr">
        <is>
          <t>Cost Matrix</t>
        </is>
      </c>
      <c r="B252" t="inlineStr">
        <is>
          <t>AL16</t>
        </is>
      </c>
      <c r="C252" t="n">
        <v>16</v>
      </c>
      <c r="D252" t="n">
        <v>38</v>
      </c>
      <c r="E252" t="inlineStr">
        <is>
          <t>Calculation</t>
        </is>
      </c>
      <c r="F252" t="inlineStr">
        <is>
          <t>'=(AL15/AK15)-1</t>
        </is>
      </c>
      <c r="G252" t="n">
        <v>0.03076923076923066</v>
      </c>
      <c r="H252" t="inlineStr"/>
      <c r="I252" t="inlineStr">
        <is>
          <t>0.00%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center</t>
        </is>
      </c>
      <c r="R252" t="b">
        <v>1</v>
      </c>
      <c r="S252" t="inlineStr">
        <is>
          <t>G000114</t>
        </is>
      </c>
      <c r="T252" t="inlineStr">
        <is>
          <t>Horizontal</t>
        </is>
      </c>
      <c r="U252" t="n">
        <v>4</v>
      </c>
      <c r="V252" t="b">
        <v>1</v>
      </c>
      <c r="W252" t="inlineStr">
        <is>
          <t>Cost Matrix!AK16:AN16</t>
        </is>
      </c>
      <c r="X252">
        <f>(R[-1]C[0]/R[-1]C[-1])-1</f>
        <v/>
      </c>
    </row>
    <row r="253">
      <c r="A253" t="inlineStr">
        <is>
          <t>Cost Matrix</t>
        </is>
      </c>
      <c r="B253" t="inlineStr">
        <is>
          <t>AM16</t>
        </is>
      </c>
      <c r="C253" t="n">
        <v>16</v>
      </c>
      <c r="D253" t="n">
        <v>39</v>
      </c>
      <c r="E253" t="inlineStr">
        <is>
          <t>Calculation</t>
        </is>
      </c>
      <c r="F253" t="inlineStr">
        <is>
          <t>'=(AM15/AL15)-1</t>
        </is>
      </c>
      <c r="G253" t="n">
        <v>0.0298507462686568</v>
      </c>
      <c r="H253" t="inlineStr"/>
      <c r="I253" t="inlineStr">
        <is>
          <t>0.00%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inlineStr">
        <is>
          <t>center</t>
        </is>
      </c>
      <c r="R253" t="b">
        <v>1</v>
      </c>
      <c r="S253" t="inlineStr">
        <is>
          <t>G000114</t>
        </is>
      </c>
      <c r="T253" t="inlineStr">
        <is>
          <t>Horizontal</t>
        </is>
      </c>
      <c r="U253" t="n">
        <v>4</v>
      </c>
      <c r="V253" t="b">
        <v>1</v>
      </c>
      <c r="W253" t="inlineStr">
        <is>
          <t>Cost Matrix!AK16:AN16</t>
        </is>
      </c>
      <c r="X253">
        <f>(R[-1]C[0]/R[-1]C[-1])-1</f>
        <v/>
      </c>
    </row>
    <row r="254">
      <c r="A254" t="inlineStr">
        <is>
          <t>Cost Matrix</t>
        </is>
      </c>
      <c r="B254" t="inlineStr">
        <is>
          <t>AN16</t>
        </is>
      </c>
      <c r="C254" t="n">
        <v>16</v>
      </c>
      <c r="D254" t="n">
        <v>40</v>
      </c>
      <c r="E254" t="inlineStr">
        <is>
          <t>Calculation</t>
        </is>
      </c>
      <c r="F254" t="inlineStr">
        <is>
          <t>'=(AN15/AM15)-1</t>
        </is>
      </c>
      <c r="G254" t="n">
        <v>0.02898550724637672</v>
      </c>
      <c r="H254" t="inlineStr"/>
      <c r="I254" t="inlineStr">
        <is>
          <t>0.00%</t>
        </is>
      </c>
      <c r="J254" t="b">
        <v>0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inlineStr">
        <is>
          <t>center</t>
        </is>
      </c>
      <c r="R254" t="b">
        <v>1</v>
      </c>
      <c r="S254" t="inlineStr">
        <is>
          <t>G000114</t>
        </is>
      </c>
      <c r="T254" t="inlineStr">
        <is>
          <t>Horizontal</t>
        </is>
      </c>
      <c r="U254" t="n">
        <v>4</v>
      </c>
      <c r="V254" t="b">
        <v>1</v>
      </c>
      <c r="W254" t="inlineStr">
        <is>
          <t>Cost Matrix!AK16:AN16</t>
        </is>
      </c>
      <c r="X254">
        <f>(R[-1]C[0]/R[-1]C[-1])-1</f>
        <v/>
      </c>
    </row>
    <row r="255">
      <c r="A255" t="inlineStr">
        <is>
          <t>Cost Matrix</t>
        </is>
      </c>
      <c r="B255" t="inlineStr">
        <is>
          <t>AO16</t>
        </is>
      </c>
      <c r="C255" t="n">
        <v>16</v>
      </c>
      <c r="D255" t="n">
        <v>41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n">
        <v/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Cost Matrix</t>
        </is>
      </c>
      <c r="B256" t="inlineStr">
        <is>
          <t>AP16</t>
        </is>
      </c>
      <c r="C256" t="n">
        <v>16</v>
      </c>
      <c r="D256" t="n">
        <v>42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n">
        <v/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Cost Matrix</t>
        </is>
      </c>
      <c r="B257" t="inlineStr">
        <is>
          <t>A17</t>
        </is>
      </c>
      <c r="C257" t="n">
        <v>17</v>
      </c>
      <c r="D257" t="n">
        <v>1</v>
      </c>
      <c r="E257" t="inlineStr">
        <is>
          <t>Input</t>
        </is>
      </c>
      <c r="F257" t="n">
        <v/>
      </c>
      <c r="G257" t="inlineStr">
        <is>
          <t>Fuel consumed per block hour</t>
        </is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n">
        <v/>
      </c>
      <c r="R257" t="b">
        <v>1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Cost Matrix</t>
        </is>
      </c>
      <c r="B258" t="inlineStr">
        <is>
          <t>E17</t>
        </is>
      </c>
      <c r="C258" t="n">
        <v>17</v>
      </c>
      <c r="D258" t="n">
        <v>5</v>
      </c>
      <c r="E258" t="inlineStr">
        <is>
          <t>Calculation</t>
        </is>
      </c>
      <c r="F258" t="inlineStr">
        <is>
          <t>'=E15/E7*10^6</t>
        </is>
      </c>
      <c r="G258" t="n">
        <v>2512.697837974832</v>
      </c>
      <c r="H258" t="inlineStr"/>
      <c r="I258" t="inlineStr">
        <is>
          <t>0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R258" t="b">
        <v>1</v>
      </c>
      <c r="S258" t="inlineStr">
        <is>
          <t>G000115</t>
        </is>
      </c>
      <c r="T258" t="inlineStr">
        <is>
          <t>Horizontal</t>
        </is>
      </c>
      <c r="U258" t="n">
        <v>6</v>
      </c>
      <c r="V258" t="b">
        <v>1</v>
      </c>
      <c r="W258" t="inlineStr">
        <is>
          <t>Cost Matrix!E17:J17</t>
        </is>
      </c>
      <c r="X258">
        <f>R[-2]C[0]/R[-10]C[0]*10^6</f>
        <v/>
      </c>
    </row>
    <row r="259">
      <c r="A259" t="inlineStr">
        <is>
          <t>Cost Matrix</t>
        </is>
      </c>
      <c r="B259" t="inlineStr">
        <is>
          <t>F17</t>
        </is>
      </c>
      <c r="C259" t="n">
        <v>17</v>
      </c>
      <c r="D259" t="n">
        <v>6</v>
      </c>
      <c r="E259" t="inlineStr">
        <is>
          <t>Calculation</t>
        </is>
      </c>
      <c r="F259" t="inlineStr">
        <is>
          <t>'=F15/F7*10^6</t>
        </is>
      </c>
      <c r="G259" t="n">
        <v>2474.721565376188</v>
      </c>
      <c r="H259" t="inlineStr"/>
      <c r="I259" t="inlineStr">
        <is>
          <t>0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R259" t="b">
        <v>1</v>
      </c>
      <c r="S259" t="inlineStr">
        <is>
          <t>G000115</t>
        </is>
      </c>
      <c r="T259" t="inlineStr">
        <is>
          <t>Horizontal</t>
        </is>
      </c>
      <c r="U259" t="n">
        <v>6</v>
      </c>
      <c r="V259" t="b">
        <v>1</v>
      </c>
      <c r="W259" t="inlineStr">
        <is>
          <t>Cost Matrix!E17:J17</t>
        </is>
      </c>
      <c r="X259">
        <f>R[-2]C[0]/R[-10]C[0]*10^6</f>
        <v/>
      </c>
    </row>
    <row r="260">
      <c r="A260" t="inlineStr">
        <is>
          <t>Cost Matrix</t>
        </is>
      </c>
      <c r="B260" t="inlineStr">
        <is>
          <t>G17</t>
        </is>
      </c>
      <c r="C260" t="n">
        <v>17</v>
      </c>
      <c r="D260" t="n">
        <v>7</v>
      </c>
      <c r="E260" t="inlineStr">
        <is>
          <t>Calculation</t>
        </is>
      </c>
      <c r="F260" t="inlineStr">
        <is>
          <t>'=G15/G7*10^6</t>
        </is>
      </c>
      <c r="G260" t="n">
        <v>2446.861681041884</v>
      </c>
      <c r="H260" t="inlineStr"/>
      <c r="I260" t="inlineStr">
        <is>
          <t>0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R260" t="b">
        <v>1</v>
      </c>
      <c r="S260" t="inlineStr">
        <is>
          <t>G000115</t>
        </is>
      </c>
      <c r="T260" t="inlineStr">
        <is>
          <t>Horizontal</t>
        </is>
      </c>
      <c r="U260" t="n">
        <v>6</v>
      </c>
      <c r="V260" t="b">
        <v>1</v>
      </c>
      <c r="W260" t="inlineStr">
        <is>
          <t>Cost Matrix!E17:J17</t>
        </is>
      </c>
      <c r="X260">
        <f>R[-2]C[0]/R[-10]C[0]*10^6</f>
        <v/>
      </c>
    </row>
    <row r="261">
      <c r="A261" t="inlineStr">
        <is>
          <t>Cost Matrix</t>
        </is>
      </c>
      <c r="B261" t="inlineStr">
        <is>
          <t>H17</t>
        </is>
      </c>
      <c r="C261" t="n">
        <v>17</v>
      </c>
      <c r="D261" t="n">
        <v>8</v>
      </c>
      <c r="E261" t="inlineStr">
        <is>
          <t>Calculation</t>
        </is>
      </c>
      <c r="F261" t="inlineStr">
        <is>
          <t>'=H15/H7*10^6</t>
        </is>
      </c>
      <c r="G261" t="n">
        <v>2373.264623272304</v>
      </c>
      <c r="H261" t="inlineStr"/>
      <c r="I261" t="inlineStr">
        <is>
          <t>0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R261" t="b">
        <v>1</v>
      </c>
      <c r="S261" t="inlineStr">
        <is>
          <t>G000115</t>
        </is>
      </c>
      <c r="T261" t="inlineStr">
        <is>
          <t>Horizontal</t>
        </is>
      </c>
      <c r="U261" t="n">
        <v>6</v>
      </c>
      <c r="V261" t="b">
        <v>1</v>
      </c>
      <c r="W261" t="inlineStr">
        <is>
          <t>Cost Matrix!E17:J17</t>
        </is>
      </c>
      <c r="X261">
        <f>R[-2]C[0]/R[-10]C[0]*10^6</f>
        <v/>
      </c>
    </row>
    <row r="262">
      <c r="A262" t="inlineStr">
        <is>
          <t>Cost Matrix</t>
        </is>
      </c>
      <c r="B262" t="inlineStr">
        <is>
          <t>I17</t>
        </is>
      </c>
      <c r="C262" t="n">
        <v>17</v>
      </c>
      <c r="D262" t="n">
        <v>9</v>
      </c>
      <c r="E262" t="inlineStr">
        <is>
          <t>Calculation</t>
        </is>
      </c>
      <c r="F262" t="inlineStr">
        <is>
          <t>'=I15/I7*10^6</t>
        </is>
      </c>
      <c r="G262" t="n">
        <v>2314.552467146828</v>
      </c>
      <c r="H262" t="inlineStr"/>
      <c r="I262" t="inlineStr">
        <is>
          <t>0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R262" t="b">
        <v>1</v>
      </c>
      <c r="S262" t="inlineStr">
        <is>
          <t>G000115</t>
        </is>
      </c>
      <c r="T262" t="inlineStr">
        <is>
          <t>Horizontal</t>
        </is>
      </c>
      <c r="U262" t="n">
        <v>6</v>
      </c>
      <c r="V262" t="b">
        <v>1</v>
      </c>
      <c r="W262" t="inlineStr">
        <is>
          <t>Cost Matrix!E17:J17</t>
        </is>
      </c>
      <c r="X262">
        <f>R[-2]C[0]/R[-10]C[0]*10^6</f>
        <v/>
      </c>
    </row>
    <row r="263">
      <c r="A263" t="inlineStr">
        <is>
          <t>Cost Matrix</t>
        </is>
      </c>
      <c r="B263" t="inlineStr">
        <is>
          <t>J17</t>
        </is>
      </c>
      <c r="C263" t="n">
        <v>17</v>
      </c>
      <c r="D263" t="n">
        <v>10</v>
      </c>
      <c r="E263" t="inlineStr">
        <is>
          <t>Calculation</t>
        </is>
      </c>
      <c r="F263" t="inlineStr">
        <is>
          <t>'=J15/J7*10^6</t>
        </is>
      </c>
      <c r="G263" t="n">
        <v>2231.803094124009</v>
      </c>
      <c r="H263" t="inlineStr"/>
      <c r="I263" t="inlineStr">
        <is>
          <t>0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n">
        <v/>
      </c>
      <c r="R263" t="b">
        <v>1</v>
      </c>
      <c r="S263" t="inlineStr">
        <is>
          <t>G000115</t>
        </is>
      </c>
      <c r="T263" t="inlineStr">
        <is>
          <t>Horizontal</t>
        </is>
      </c>
      <c r="U263" t="n">
        <v>6</v>
      </c>
      <c r="V263" t="b">
        <v>1</v>
      </c>
      <c r="W263" t="inlineStr">
        <is>
          <t>Cost Matrix!E17:J17</t>
        </is>
      </c>
      <c r="X263">
        <f>R[-2]C[0]/R[-10]C[0]*10^6</f>
        <v/>
      </c>
    </row>
    <row r="264">
      <c r="A264" t="inlineStr">
        <is>
          <t>Cost Matrix</t>
        </is>
      </c>
      <c r="B264" t="inlineStr">
        <is>
          <t>K17</t>
        </is>
      </c>
      <c r="C264" t="n">
        <v>17</v>
      </c>
      <c r="D264" t="n">
        <v>11</v>
      </c>
      <c r="E264" t="inlineStr">
        <is>
          <t>Calculation</t>
        </is>
      </c>
      <c r="F264" t="inlineStr">
        <is>
          <t>'=$J$17*(1-K18)</t>
        </is>
      </c>
      <c r="G264" t="n">
        <v>2153.689985829668</v>
      </c>
      <c r="H264" t="inlineStr"/>
      <c r="I264" t="inlineStr">
        <is>
          <t>0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n">
        <v/>
      </c>
      <c r="R264" t="b">
        <v>1</v>
      </c>
      <c r="S264" t="inlineStr">
        <is>
          <t>G000116</t>
        </is>
      </c>
      <c r="T264" t="inlineStr">
        <is>
          <t>Horizontal</t>
        </is>
      </c>
      <c r="U264" t="n">
        <v>5</v>
      </c>
      <c r="V264" t="b">
        <v>1</v>
      </c>
      <c r="W264" t="inlineStr">
        <is>
          <t>Cost Matrix!K17:O17</t>
        </is>
      </c>
      <c r="X264">
        <f>R17C10*(1-R[1]C[0])</f>
        <v/>
      </c>
    </row>
    <row r="265">
      <c r="A265" t="inlineStr">
        <is>
          <t>Cost Matrix</t>
        </is>
      </c>
      <c r="B265" t="inlineStr">
        <is>
          <t>L17</t>
        </is>
      </c>
      <c r="C265" t="n">
        <v>17</v>
      </c>
      <c r="D265" t="n">
        <v>12</v>
      </c>
      <c r="E265" t="inlineStr">
        <is>
          <t>Calculation</t>
        </is>
      </c>
      <c r="F265" t="inlineStr">
        <is>
          <t>'=$J$17*(1-L18)</t>
        </is>
      </c>
      <c r="G265" t="n">
        <v>2097.894908476568</v>
      </c>
      <c r="H265" t="inlineStr"/>
      <c r="I265" t="inlineStr">
        <is>
          <t>0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R265" t="b">
        <v>1</v>
      </c>
      <c r="S265" t="inlineStr">
        <is>
          <t>G000116</t>
        </is>
      </c>
      <c r="T265" t="inlineStr">
        <is>
          <t>Horizontal</t>
        </is>
      </c>
      <c r="U265" t="n">
        <v>5</v>
      </c>
      <c r="V265" t="b">
        <v>1</v>
      </c>
      <c r="W265" t="inlineStr">
        <is>
          <t>Cost Matrix!K17:O17</t>
        </is>
      </c>
      <c r="X265">
        <f>R17C10*(1-R[1]C[0])</f>
        <v/>
      </c>
    </row>
    <row r="266">
      <c r="A266" t="inlineStr">
        <is>
          <t>Cost Matrix</t>
        </is>
      </c>
      <c r="B266" t="inlineStr">
        <is>
          <t>M17</t>
        </is>
      </c>
      <c r="C266" t="n">
        <v>17</v>
      </c>
      <c r="D266" t="n">
        <v>13</v>
      </c>
      <c r="E266" t="inlineStr">
        <is>
          <t>Calculation</t>
        </is>
      </c>
      <c r="F266" t="inlineStr">
        <is>
          <t>'=$J$17*(1-M18)</t>
        </is>
      </c>
      <c r="G266" t="n">
        <v>2080.040483723576</v>
      </c>
      <c r="H266" t="inlineStr"/>
      <c r="I266" t="inlineStr">
        <is>
          <t>0</t>
        </is>
      </c>
      <c r="J266" t="b">
        <v>0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n">
        <v/>
      </c>
      <c r="R266" t="b">
        <v>1</v>
      </c>
      <c r="S266" t="inlineStr">
        <is>
          <t>G000116</t>
        </is>
      </c>
      <c r="T266" t="inlineStr">
        <is>
          <t>Horizontal</t>
        </is>
      </c>
      <c r="U266" t="n">
        <v>5</v>
      </c>
      <c r="V266" t="b">
        <v>1</v>
      </c>
      <c r="W266" t="inlineStr">
        <is>
          <t>Cost Matrix!K17:O17</t>
        </is>
      </c>
      <c r="X266">
        <f>R17C10*(1-R[1]C[0])</f>
        <v/>
      </c>
    </row>
    <row r="267">
      <c r="A267" t="inlineStr">
        <is>
          <t>Cost Matrix</t>
        </is>
      </c>
      <c r="B267" t="inlineStr">
        <is>
          <t>N17</t>
        </is>
      </c>
      <c r="C267" t="n">
        <v>17</v>
      </c>
      <c r="D267" t="n">
        <v>14</v>
      </c>
      <c r="E267" t="inlineStr">
        <is>
          <t>Calculation</t>
        </is>
      </c>
      <c r="F267" t="inlineStr">
        <is>
          <t>'=$J$17*(1-N18)</t>
        </is>
      </c>
      <c r="G267" t="n">
        <v>2073.345074441204</v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n">
        <v/>
      </c>
      <c r="R267" t="b">
        <v>1</v>
      </c>
      <c r="S267" t="inlineStr">
        <is>
          <t>G000116</t>
        </is>
      </c>
      <c r="T267" t="inlineStr">
        <is>
          <t>Horizontal</t>
        </is>
      </c>
      <c r="U267" t="n">
        <v>5</v>
      </c>
      <c r="V267" t="b">
        <v>1</v>
      </c>
      <c r="W267" t="inlineStr">
        <is>
          <t>Cost Matrix!K17:O17</t>
        </is>
      </c>
      <c r="X267">
        <f>R17C10*(1-R[1]C[0])</f>
        <v/>
      </c>
    </row>
    <row r="268">
      <c r="A268" t="inlineStr">
        <is>
          <t>Cost Matrix</t>
        </is>
      </c>
      <c r="B268" t="inlineStr">
        <is>
          <t>O17</t>
        </is>
      </c>
      <c r="C268" t="n">
        <v>17</v>
      </c>
      <c r="D268" t="n">
        <v>15</v>
      </c>
      <c r="E268" t="inlineStr">
        <is>
          <t>Calculation</t>
        </is>
      </c>
      <c r="F268" t="inlineStr">
        <is>
          <t>'=$J$17*(1-O18)</t>
        </is>
      </c>
      <c r="G268" t="n">
        <v>2066.649665158832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00000000</t>
        </is>
      </c>
      <c r="O268" t="n">
        <v/>
      </c>
      <c r="R268" t="b">
        <v>1</v>
      </c>
      <c r="S268" t="inlineStr">
        <is>
          <t>G000116</t>
        </is>
      </c>
      <c r="T268" t="inlineStr">
        <is>
          <t>Horizontal</t>
        </is>
      </c>
      <c r="U268" t="n">
        <v>5</v>
      </c>
      <c r="V268" t="b">
        <v>1</v>
      </c>
      <c r="W268" t="inlineStr">
        <is>
          <t>Cost Matrix!K17:O17</t>
        </is>
      </c>
      <c r="X268">
        <f>R17C10*(1-R[1]C[0])</f>
        <v/>
      </c>
    </row>
    <row r="269">
      <c r="A269" t="inlineStr">
        <is>
          <t>Cost Matrix</t>
        </is>
      </c>
      <c r="B269" t="inlineStr">
        <is>
          <t>Q17</t>
        </is>
      </c>
      <c r="C269" t="n">
        <v>17</v>
      </c>
      <c r="D269" t="n">
        <v>17</v>
      </c>
      <c r="E269" t="inlineStr">
        <is>
          <t>Input</t>
        </is>
      </c>
      <c r="F269" t="n">
        <v/>
      </c>
      <c r="G269" t="inlineStr">
        <is>
          <t>ATF Forecast Price</t>
        </is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inlineStr">
        <is>
          <t>center</t>
        </is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Cost Matrix</t>
        </is>
      </c>
      <c r="B270" t="inlineStr">
        <is>
          <t>R17</t>
        </is>
      </c>
      <c r="C270" t="n">
        <v>17</v>
      </c>
      <c r="D270" t="n">
        <v>18</v>
      </c>
      <c r="E270" t="inlineStr">
        <is>
          <t>Input</t>
        </is>
      </c>
      <c r="F270" t="n">
        <v/>
      </c>
      <c r="G270" t="n">
        <v>61095.15856677986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inlineStr">
        <is>
          <t>center</t>
        </is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Cost Matrix</t>
        </is>
      </c>
      <c r="B271" t="inlineStr">
        <is>
          <t>S17</t>
        </is>
      </c>
      <c r="C271" t="n">
        <v>17</v>
      </c>
      <c r="D271" t="n">
        <v>19</v>
      </c>
      <c r="E271" t="inlineStr">
        <is>
          <t>Calculation</t>
        </is>
      </c>
      <c r="F271" t="inlineStr">
        <is>
          <t>'=R17*(1+S16)</t>
        </is>
      </c>
      <c r="G271" t="n">
        <v>70038.54156685523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inlineStr">
        <is>
          <t>center</t>
        </is>
      </c>
      <c r="R271" t="b">
        <v>1</v>
      </c>
      <c r="S271" t="inlineStr">
        <is>
          <t>G000117</t>
        </is>
      </c>
      <c r="T271" t="inlineStr">
        <is>
          <t>Horizontal</t>
        </is>
      </c>
      <c r="U271" t="n">
        <v>4</v>
      </c>
      <c r="V271" t="b">
        <v>1</v>
      </c>
      <c r="W271" t="inlineStr">
        <is>
          <t>Cost Matrix!S17:V17</t>
        </is>
      </c>
      <c r="X271">
        <f>R[0]C[-1]*(1+R[-1]C[0])</f>
        <v/>
      </c>
    </row>
    <row r="272">
      <c r="A272" t="inlineStr">
        <is>
          <t>Cost Matrix</t>
        </is>
      </c>
      <c r="B272" t="inlineStr">
        <is>
          <t>T17</t>
        </is>
      </c>
      <c r="C272" t="n">
        <v>17</v>
      </c>
      <c r="D272" t="n">
        <v>20</v>
      </c>
      <c r="E272" t="inlineStr">
        <is>
          <t>Calculation</t>
        </is>
      </c>
      <c r="F272" t="inlineStr">
        <is>
          <t>'=S17*(1+T16)</t>
        </is>
      </c>
      <c r="G272" t="n">
        <v>72193.57361506615</v>
      </c>
      <c r="H272" t="inlineStr"/>
      <c r="I272" t="inlineStr">
        <is>
          <t>0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inlineStr">
        <is>
          <t>center</t>
        </is>
      </c>
      <c r="R272" t="b">
        <v>1</v>
      </c>
      <c r="S272" t="inlineStr">
        <is>
          <t>G000117</t>
        </is>
      </c>
      <c r="T272" t="inlineStr">
        <is>
          <t>Horizontal</t>
        </is>
      </c>
      <c r="U272" t="n">
        <v>4</v>
      </c>
      <c r="V272" t="b">
        <v>1</v>
      </c>
      <c r="W272" t="inlineStr">
        <is>
          <t>Cost Matrix!S17:V17</t>
        </is>
      </c>
      <c r="X272">
        <f>R[0]C[-1]*(1+R[-1]C[0])</f>
        <v/>
      </c>
    </row>
    <row r="273">
      <c r="A273" t="inlineStr">
        <is>
          <t>Cost Matrix</t>
        </is>
      </c>
      <c r="B273" t="inlineStr">
        <is>
          <t>U17</t>
        </is>
      </c>
      <c r="C273" t="n">
        <v>17</v>
      </c>
      <c r="D273" t="n">
        <v>21</v>
      </c>
      <c r="E273" t="inlineStr">
        <is>
          <t>Calculation</t>
        </is>
      </c>
      <c r="F273" t="inlineStr">
        <is>
          <t>'=T17*(1+U16)</t>
        </is>
      </c>
      <c r="G273" t="n">
        <v>74348.60566327709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inlineStr">
        <is>
          <t>center</t>
        </is>
      </c>
      <c r="R273" t="b">
        <v>1</v>
      </c>
      <c r="S273" t="inlineStr">
        <is>
          <t>G000117</t>
        </is>
      </c>
      <c r="T273" t="inlineStr">
        <is>
          <t>Horizontal</t>
        </is>
      </c>
      <c r="U273" t="n">
        <v>4</v>
      </c>
      <c r="V273" t="b">
        <v>1</v>
      </c>
      <c r="W273" t="inlineStr">
        <is>
          <t>Cost Matrix!S17:V17</t>
        </is>
      </c>
      <c r="X273">
        <f>R[0]C[-1]*(1+R[-1]C[0])</f>
        <v/>
      </c>
    </row>
    <row r="274">
      <c r="A274" t="inlineStr">
        <is>
          <t>Cost Matrix</t>
        </is>
      </c>
      <c r="B274" t="inlineStr">
        <is>
          <t>V17</t>
        </is>
      </c>
      <c r="C274" t="n">
        <v>17</v>
      </c>
      <c r="D274" t="n">
        <v>22</v>
      </c>
      <c r="E274" t="inlineStr">
        <is>
          <t>Calculation</t>
        </is>
      </c>
      <c r="F274" t="inlineStr">
        <is>
          <t>'=U17*(1+V16)</t>
        </is>
      </c>
      <c r="G274" t="n">
        <v>76503.63771148802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inlineStr">
        <is>
          <t>center</t>
        </is>
      </c>
      <c r="R274" t="b">
        <v>1</v>
      </c>
      <c r="S274" t="inlineStr">
        <is>
          <t>G000117</t>
        </is>
      </c>
      <c r="T274" t="inlineStr">
        <is>
          <t>Horizontal</t>
        </is>
      </c>
      <c r="U274" t="n">
        <v>4</v>
      </c>
      <c r="V274" t="b">
        <v>1</v>
      </c>
      <c r="W274" t="inlineStr">
        <is>
          <t>Cost Matrix!S17:V17</t>
        </is>
      </c>
      <c r="X274">
        <f>R[0]C[-1]*(1+R[-1]C[0])</f>
        <v/>
      </c>
    </row>
    <row r="275">
      <c r="A275" t="inlineStr">
        <is>
          <t>Cost Matrix</t>
        </is>
      </c>
      <c r="B275" t="inlineStr">
        <is>
          <t>AG17</t>
        </is>
      </c>
      <c r="C275" t="n">
        <v>17</v>
      </c>
      <c r="D275" t="n">
        <v>33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n">
        <v/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Cost Matrix</t>
        </is>
      </c>
      <c r="B276" t="inlineStr">
        <is>
          <t>AH17</t>
        </is>
      </c>
      <c r="C276" t="n">
        <v>17</v>
      </c>
      <c r="D276" t="n">
        <v>34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n">
        <v/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Cost Matrix</t>
        </is>
      </c>
      <c r="B277" t="inlineStr">
        <is>
          <t>AI17</t>
        </is>
      </c>
      <c r="C277" t="n">
        <v>17</v>
      </c>
      <c r="D277" t="n">
        <v>35</v>
      </c>
      <c r="E277" t="inlineStr">
        <is>
          <t>Input</t>
        </is>
      </c>
      <c r="F277" t="n">
        <v/>
      </c>
      <c r="G277" t="inlineStr">
        <is>
          <t>ATF Forecast Price</t>
        </is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inlineStr">
        <is>
          <t>center</t>
        </is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Cost Matrix</t>
        </is>
      </c>
      <c r="B278" t="inlineStr">
        <is>
          <t>AJ17</t>
        </is>
      </c>
      <c r="C278" t="n">
        <v>17</v>
      </c>
      <c r="D278" t="n">
        <v>36</v>
      </c>
      <c r="E278" t="inlineStr">
        <is>
          <t>Input</t>
        </is>
      </c>
      <c r="F278" t="n">
        <v/>
      </c>
      <c r="G278" t="n">
        <v>61095.15856677986</v>
      </c>
      <c r="H278" t="inlineStr"/>
      <c r="I278" t="inlineStr">
        <is>
          <t>0</t>
        </is>
      </c>
      <c r="J278" t="b">
        <v>0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center</t>
        </is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Cost Matrix</t>
        </is>
      </c>
      <c r="B279" t="inlineStr">
        <is>
          <t>AK17</t>
        </is>
      </c>
      <c r="C279" t="n">
        <v>17</v>
      </c>
      <c r="D279" t="n">
        <v>37</v>
      </c>
      <c r="E279" t="inlineStr">
        <is>
          <t>Calculation</t>
        </is>
      </c>
      <c r="F279" t="inlineStr">
        <is>
          <t>'=AJ17*(1+AK16)</t>
        </is>
      </c>
      <c r="G279" t="n">
        <v>70038.54156685523</v>
      </c>
      <c r="H279" t="inlineStr"/>
      <c r="I279" t="inlineStr">
        <is>
          <t>0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center</t>
        </is>
      </c>
      <c r="R279" t="b">
        <v>1</v>
      </c>
      <c r="S279" t="inlineStr">
        <is>
          <t>G000118</t>
        </is>
      </c>
      <c r="T279" t="inlineStr">
        <is>
          <t>Horizontal</t>
        </is>
      </c>
      <c r="U279" t="n">
        <v>4</v>
      </c>
      <c r="V279" t="b">
        <v>1</v>
      </c>
      <c r="W279" t="inlineStr">
        <is>
          <t>Cost Matrix!AK17:AN17</t>
        </is>
      </c>
      <c r="X279">
        <f>R[0]C[-1]*(1+R[-1]C[0])</f>
        <v/>
      </c>
    </row>
    <row r="280">
      <c r="A280" t="inlineStr">
        <is>
          <t>Cost Matrix</t>
        </is>
      </c>
      <c r="B280" t="inlineStr">
        <is>
          <t>AL17</t>
        </is>
      </c>
      <c r="C280" t="n">
        <v>17</v>
      </c>
      <c r="D280" t="n">
        <v>38</v>
      </c>
      <c r="E280" t="inlineStr">
        <is>
          <t>Calculation</t>
        </is>
      </c>
      <c r="F280" t="inlineStr">
        <is>
          <t>'=AK17*(1+AL16)</t>
        </is>
      </c>
      <c r="G280" t="n">
        <v>72193.57361506615</v>
      </c>
      <c r="H280" t="inlineStr"/>
      <c r="I280" t="inlineStr">
        <is>
          <t>0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inlineStr">
        <is>
          <t>center</t>
        </is>
      </c>
      <c r="R280" t="b">
        <v>1</v>
      </c>
      <c r="S280" t="inlineStr">
        <is>
          <t>G000118</t>
        </is>
      </c>
      <c r="T280" t="inlineStr">
        <is>
          <t>Horizontal</t>
        </is>
      </c>
      <c r="U280" t="n">
        <v>4</v>
      </c>
      <c r="V280" t="b">
        <v>1</v>
      </c>
      <c r="W280" t="inlineStr">
        <is>
          <t>Cost Matrix!AK17:AN17</t>
        </is>
      </c>
      <c r="X280">
        <f>R[0]C[-1]*(1+R[-1]C[0])</f>
        <v/>
      </c>
    </row>
    <row r="281">
      <c r="A281" t="inlineStr">
        <is>
          <t>Cost Matrix</t>
        </is>
      </c>
      <c r="B281" t="inlineStr">
        <is>
          <t>AM17</t>
        </is>
      </c>
      <c r="C281" t="n">
        <v>17</v>
      </c>
      <c r="D281" t="n">
        <v>39</v>
      </c>
      <c r="E281" t="inlineStr">
        <is>
          <t>Calculation</t>
        </is>
      </c>
      <c r="F281" t="inlineStr">
        <is>
          <t>'=AL17*(1+AM16)</t>
        </is>
      </c>
      <c r="G281" t="n">
        <v>74348.60566327709</v>
      </c>
      <c r="H281" t="inlineStr"/>
      <c r="I281" t="inlineStr">
        <is>
          <t>0</t>
        </is>
      </c>
      <c r="J281" t="b">
        <v>0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Values must be of type &lt;class 'str'&gt;</t>
        </is>
      </c>
      <c r="O281" t="inlineStr">
        <is>
          <t>center</t>
        </is>
      </c>
      <c r="R281" t="b">
        <v>1</v>
      </c>
      <c r="S281" t="inlineStr">
        <is>
          <t>G000118</t>
        </is>
      </c>
      <c r="T281" t="inlineStr">
        <is>
          <t>Horizontal</t>
        </is>
      </c>
      <c r="U281" t="n">
        <v>4</v>
      </c>
      <c r="V281" t="b">
        <v>1</v>
      </c>
      <c r="W281" t="inlineStr">
        <is>
          <t>Cost Matrix!AK17:AN17</t>
        </is>
      </c>
      <c r="X281">
        <f>R[0]C[-1]*(1+R[-1]C[0])</f>
        <v/>
      </c>
    </row>
    <row r="282">
      <c r="A282" t="inlineStr">
        <is>
          <t>Cost Matrix</t>
        </is>
      </c>
      <c r="B282" t="inlineStr">
        <is>
          <t>AN17</t>
        </is>
      </c>
      <c r="C282" t="n">
        <v>17</v>
      </c>
      <c r="D282" t="n">
        <v>40</v>
      </c>
      <c r="E282" t="inlineStr">
        <is>
          <t>Output</t>
        </is>
      </c>
      <c r="F282" t="inlineStr">
        <is>
          <t>'=AM17*(1+AN16)</t>
        </is>
      </c>
      <c r="G282" t="n">
        <v>76503.63771148802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Values must be of type &lt;class 'str'&gt;</t>
        </is>
      </c>
      <c r="O282" t="inlineStr">
        <is>
          <t>center</t>
        </is>
      </c>
      <c r="R282" t="b">
        <v>1</v>
      </c>
      <c r="S282" t="inlineStr">
        <is>
          <t>G000118</t>
        </is>
      </c>
      <c r="T282" t="inlineStr">
        <is>
          <t>Horizontal</t>
        </is>
      </c>
      <c r="U282" t="n">
        <v>4</v>
      </c>
      <c r="V282" t="b">
        <v>1</v>
      </c>
      <c r="W282" t="inlineStr">
        <is>
          <t>Cost Matrix!AK17:AN17</t>
        </is>
      </c>
      <c r="X282">
        <f>R[0]C[-1]*(1+R[-1]C[0])</f>
        <v/>
      </c>
    </row>
    <row r="283">
      <c r="A283" t="inlineStr">
        <is>
          <t>Cost Matrix</t>
        </is>
      </c>
      <c r="B283" t="inlineStr">
        <is>
          <t>AO17</t>
        </is>
      </c>
      <c r="C283" t="n">
        <v>17</v>
      </c>
      <c r="D283" t="n">
        <v>41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n">
        <v/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Cost Matrix</t>
        </is>
      </c>
      <c r="B284" t="inlineStr">
        <is>
          <t>AP17</t>
        </is>
      </c>
      <c r="C284" t="n">
        <v>17</v>
      </c>
      <c r="D284" t="n">
        <v>42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n">
        <v/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Cost Matrix</t>
        </is>
      </c>
      <c r="B285" t="inlineStr">
        <is>
          <t>A18</t>
        </is>
      </c>
      <c r="C285" t="n">
        <v>18</v>
      </c>
      <c r="D285" t="n">
        <v>1</v>
      </c>
      <c r="E285" t="inlineStr">
        <is>
          <t>Input</t>
        </is>
      </c>
      <c r="F285" t="n">
        <v/>
      </c>
      <c r="G285" t="inlineStr">
        <is>
          <t>Growth</t>
        </is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Cost Matrix</t>
        </is>
      </c>
      <c r="B286" t="inlineStr">
        <is>
          <t>F18</t>
        </is>
      </c>
      <c r="C286" t="n">
        <v>18</v>
      </c>
      <c r="D286" t="n">
        <v>6</v>
      </c>
      <c r="E286" t="inlineStr">
        <is>
          <t>Output</t>
        </is>
      </c>
      <c r="F286" t="inlineStr">
        <is>
          <t>'=F17/E17-1</t>
        </is>
      </c>
      <c r="G286" t="n">
        <v>-0.01511374428898749</v>
      </c>
      <c r="H286" t="inlineStr"/>
      <c r="I286" t="inlineStr">
        <is>
          <t>0.0%</t>
        </is>
      </c>
      <c r="J286" t="b">
        <v>0</v>
      </c>
      <c r="K286" t="b">
        <v>0</v>
      </c>
      <c r="L286" t="n">
        <v>11</v>
      </c>
      <c r="M286" t="inlineStr">
        <is>
          <t>Values must be of type &lt;class 'str'&gt;</t>
        </is>
      </c>
      <c r="N286" t="inlineStr">
        <is>
          <t>00000000</t>
        </is>
      </c>
      <c r="O286" t="n">
        <v/>
      </c>
      <c r="R286" t="b">
        <v>1</v>
      </c>
      <c r="S286" t="inlineStr">
        <is>
          <t>G000119</t>
        </is>
      </c>
      <c r="T286" t="inlineStr">
        <is>
          <t>Horizontal</t>
        </is>
      </c>
      <c r="U286" t="n">
        <v>5</v>
      </c>
      <c r="V286" t="b">
        <v>1</v>
      </c>
      <c r="W286" t="inlineStr">
        <is>
          <t>Cost Matrix!F18:J18</t>
        </is>
      </c>
      <c r="X286">
        <f>R[-1]C[0]/R[-1]C[-1]-1</f>
        <v/>
      </c>
    </row>
    <row r="287">
      <c r="A287" t="inlineStr">
        <is>
          <t>Cost Matrix</t>
        </is>
      </c>
      <c r="B287" t="inlineStr">
        <is>
          <t>G18</t>
        </is>
      </c>
      <c r="C287" t="n">
        <v>18</v>
      </c>
      <c r="D287" t="n">
        <v>7</v>
      </c>
      <c r="E287" t="inlineStr">
        <is>
          <t>Output</t>
        </is>
      </c>
      <c r="F287" t="inlineStr">
        <is>
          <t>'=G17/F17-1</t>
        </is>
      </c>
      <c r="G287" t="n">
        <v>-0.01125778541072731</v>
      </c>
      <c r="H287" t="inlineStr"/>
      <c r="I287" t="inlineStr">
        <is>
          <t>0.0%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n">
        <v/>
      </c>
      <c r="R287" t="b">
        <v>1</v>
      </c>
      <c r="S287" t="inlineStr">
        <is>
          <t>G000119</t>
        </is>
      </c>
      <c r="T287" t="inlineStr">
        <is>
          <t>Horizontal</t>
        </is>
      </c>
      <c r="U287" t="n">
        <v>5</v>
      </c>
      <c r="V287" t="b">
        <v>1</v>
      </c>
      <c r="W287" t="inlineStr">
        <is>
          <t>Cost Matrix!F18:J18</t>
        </is>
      </c>
      <c r="X287">
        <f>R[-1]C[0]/R[-1]C[-1]-1</f>
        <v/>
      </c>
    </row>
    <row r="288">
      <c r="A288" t="inlineStr">
        <is>
          <t>Cost Matrix</t>
        </is>
      </c>
      <c r="B288" t="inlineStr">
        <is>
          <t>H18</t>
        </is>
      </c>
      <c r="C288" t="n">
        <v>18</v>
      </c>
      <c r="D288" t="n">
        <v>8</v>
      </c>
      <c r="E288" t="inlineStr">
        <is>
          <t>Output</t>
        </is>
      </c>
      <c r="F288" t="inlineStr">
        <is>
          <t>'=H17/G17-1</t>
        </is>
      </c>
      <c r="G288" t="n">
        <v>-0.0300781439097294</v>
      </c>
      <c r="H288" t="inlineStr"/>
      <c r="I288" t="inlineStr">
        <is>
          <t>0.0%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R288" t="b">
        <v>1</v>
      </c>
      <c r="S288" t="inlineStr">
        <is>
          <t>G000119</t>
        </is>
      </c>
      <c r="T288" t="inlineStr">
        <is>
          <t>Horizontal</t>
        </is>
      </c>
      <c r="U288" t="n">
        <v>5</v>
      </c>
      <c r="V288" t="b">
        <v>1</v>
      </c>
      <c r="W288" t="inlineStr">
        <is>
          <t>Cost Matrix!F18:J18</t>
        </is>
      </c>
      <c r="X288">
        <f>R[-1]C[0]/R[-1]C[-1]-1</f>
        <v/>
      </c>
    </row>
    <row r="289">
      <c r="A289" t="inlineStr">
        <is>
          <t>Cost Matrix</t>
        </is>
      </c>
      <c r="B289" t="inlineStr">
        <is>
          <t>I18</t>
        </is>
      </c>
      <c r="C289" t="n">
        <v>18</v>
      </c>
      <c r="D289" t="n">
        <v>9</v>
      </c>
      <c r="E289" t="inlineStr">
        <is>
          <t>Output</t>
        </is>
      </c>
      <c r="F289" t="inlineStr">
        <is>
          <t>'=I17/H17-1</t>
        </is>
      </c>
      <c r="G289" t="n">
        <v>-0.0247389842454746</v>
      </c>
      <c r="H289" t="inlineStr"/>
      <c r="I289" t="inlineStr">
        <is>
          <t>0.0%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n">
        <v/>
      </c>
      <c r="R289" t="b">
        <v>1</v>
      </c>
      <c r="S289" t="inlineStr">
        <is>
          <t>G000119</t>
        </is>
      </c>
      <c r="T289" t="inlineStr">
        <is>
          <t>Horizontal</t>
        </is>
      </c>
      <c r="U289" t="n">
        <v>5</v>
      </c>
      <c r="V289" t="b">
        <v>1</v>
      </c>
      <c r="W289" t="inlineStr">
        <is>
          <t>Cost Matrix!F18:J18</t>
        </is>
      </c>
      <c r="X289">
        <f>R[-1]C[0]/R[-1]C[-1]-1</f>
        <v/>
      </c>
    </row>
    <row r="290">
      <c r="A290" t="inlineStr">
        <is>
          <t>Cost Matrix</t>
        </is>
      </c>
      <c r="B290" t="inlineStr">
        <is>
          <t>J18</t>
        </is>
      </c>
      <c r="C290" t="n">
        <v>18</v>
      </c>
      <c r="D290" t="n">
        <v>10</v>
      </c>
      <c r="E290" t="inlineStr">
        <is>
          <t>Output</t>
        </is>
      </c>
      <c r="F290" t="inlineStr">
        <is>
          <t>'=J17/I17-1</t>
        </is>
      </c>
      <c r="G290" t="n">
        <v>-0.03575178104509569</v>
      </c>
      <c r="H290" t="inlineStr"/>
      <c r="I290" t="inlineStr">
        <is>
          <t>0.0%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n">
        <v/>
      </c>
      <c r="R290" t="b">
        <v>1</v>
      </c>
      <c r="S290" t="inlineStr">
        <is>
          <t>G000119</t>
        </is>
      </c>
      <c r="T290" t="inlineStr">
        <is>
          <t>Horizontal</t>
        </is>
      </c>
      <c r="U290" t="n">
        <v>5</v>
      </c>
      <c r="V290" t="b">
        <v>1</v>
      </c>
      <c r="W290" t="inlineStr">
        <is>
          <t>Cost Matrix!F18:J18</t>
        </is>
      </c>
      <c r="X290">
        <f>R[-1]C[0]/R[-1]C[-1]-1</f>
        <v/>
      </c>
    </row>
    <row r="291">
      <c r="A291" t="inlineStr">
        <is>
          <t>Cost Matrix</t>
        </is>
      </c>
      <c r="B291" t="inlineStr">
        <is>
          <t>K18</t>
        </is>
      </c>
      <c r="C291" t="n">
        <v>18</v>
      </c>
      <c r="D291" t="n">
        <v>11</v>
      </c>
      <c r="E291" t="inlineStr">
        <is>
          <t>Input</t>
        </is>
      </c>
      <c r="F291" t="n">
        <v/>
      </c>
      <c r="G291" t="n">
        <v>0.035</v>
      </c>
      <c r="H291" t="inlineStr"/>
      <c r="I291" t="inlineStr">
        <is>
          <t>0.00%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</row>
    <row r="292">
      <c r="A292" t="inlineStr">
        <is>
          <t>Cost Matrix</t>
        </is>
      </c>
      <c r="B292" t="inlineStr">
        <is>
          <t>L18</t>
        </is>
      </c>
      <c r="C292" t="n">
        <v>18</v>
      </c>
      <c r="D292" t="n">
        <v>12</v>
      </c>
      <c r="E292" t="inlineStr">
        <is>
          <t>Input</t>
        </is>
      </c>
      <c r="F292" t="n">
        <v/>
      </c>
      <c r="G292" t="n">
        <v>0.06</v>
      </c>
      <c r="H292" t="inlineStr"/>
      <c r="I292" t="inlineStr">
        <is>
          <t>0%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Cost Matrix</t>
        </is>
      </c>
      <c r="B293" t="inlineStr">
        <is>
          <t>M18</t>
        </is>
      </c>
      <c r="C293" t="n">
        <v>18</v>
      </c>
      <c r="D293" t="n">
        <v>13</v>
      </c>
      <c r="E293" t="inlineStr">
        <is>
          <t>Input</t>
        </is>
      </c>
      <c r="F293" t="n">
        <v/>
      </c>
      <c r="G293" t="n">
        <v>0.068</v>
      </c>
      <c r="H293" t="inlineStr"/>
      <c r="I293" t="inlineStr">
        <is>
          <t>0.00%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</row>
    <row r="294">
      <c r="A294" t="inlineStr">
        <is>
          <t>Cost Matrix</t>
        </is>
      </c>
      <c r="B294" t="inlineStr">
        <is>
          <t>N18</t>
        </is>
      </c>
      <c r="C294" t="n">
        <v>18</v>
      </c>
      <c r="D294" t="n">
        <v>14</v>
      </c>
      <c r="E294" t="inlineStr">
        <is>
          <t>Input</t>
        </is>
      </c>
      <c r="F294" t="n">
        <v/>
      </c>
      <c r="G294" t="n">
        <v>0.07099999999999999</v>
      </c>
      <c r="H294" t="inlineStr"/>
      <c r="I294" t="inlineStr">
        <is>
          <t>0.00%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n">
        <v/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</row>
    <row r="295">
      <c r="A295" t="inlineStr">
        <is>
          <t>Cost Matrix</t>
        </is>
      </c>
      <c r="B295" t="inlineStr">
        <is>
          <t>O18</t>
        </is>
      </c>
      <c r="C295" t="n">
        <v>18</v>
      </c>
      <c r="D295" t="n">
        <v>15</v>
      </c>
      <c r="E295" t="inlineStr">
        <is>
          <t>Input</t>
        </is>
      </c>
      <c r="F295" t="n">
        <v/>
      </c>
      <c r="G295" t="n">
        <v>0.074</v>
      </c>
      <c r="H295" t="inlineStr"/>
      <c r="I295" t="inlineStr">
        <is>
          <t>0.00%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Cost Matrix</t>
        </is>
      </c>
      <c r="B296" t="inlineStr">
        <is>
          <t>AG18</t>
        </is>
      </c>
      <c r="C296" t="n">
        <v>18</v>
      </c>
      <c r="D296" t="n">
        <v>33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Values must be of type &lt;class 'str'&gt;</t>
        </is>
      </c>
      <c r="O296" t="n">
        <v/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Cost Matrix</t>
        </is>
      </c>
      <c r="B297" t="inlineStr">
        <is>
          <t>AH18</t>
        </is>
      </c>
      <c r="C297" t="n">
        <v>18</v>
      </c>
      <c r="D297" t="n">
        <v>34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Values must be of type &lt;class 'str'&gt;</t>
        </is>
      </c>
      <c r="O297" t="n">
        <v/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Cost Matrix</t>
        </is>
      </c>
      <c r="B298" t="inlineStr">
        <is>
          <t>AI18</t>
        </is>
      </c>
      <c r="C298" t="n">
        <v>18</v>
      </c>
      <c r="D298" t="n">
        <v>35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Values must be of type &lt;class 'str'&gt;</t>
        </is>
      </c>
      <c r="O298" t="n">
        <v/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Cost Matrix</t>
        </is>
      </c>
      <c r="B299" t="inlineStr">
        <is>
          <t>AJ18</t>
        </is>
      </c>
      <c r="C299" t="n">
        <v>18</v>
      </c>
      <c r="D299" t="n">
        <v>36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Values must be of type &lt;class 'str'&gt;</t>
        </is>
      </c>
      <c r="N299" t="inlineStr">
        <is>
          <t>Values must be of type &lt;class 'str'&gt;</t>
        </is>
      </c>
      <c r="O299" t="n">
        <v/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Cost Matrix</t>
        </is>
      </c>
      <c r="B300" t="inlineStr">
        <is>
          <t>AK18</t>
        </is>
      </c>
      <c r="C300" t="n">
        <v>18</v>
      </c>
      <c r="D300" t="n">
        <v>37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n">
        <v/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Cost Matrix</t>
        </is>
      </c>
      <c r="B301" t="inlineStr">
        <is>
          <t>AL18</t>
        </is>
      </c>
      <c r="C301" t="n">
        <v>18</v>
      </c>
      <c r="D301" t="n">
        <v>38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n">
        <v/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Cost Matrix</t>
        </is>
      </c>
      <c r="B302" t="inlineStr">
        <is>
          <t>AM18</t>
        </is>
      </c>
      <c r="C302" t="n">
        <v>18</v>
      </c>
      <c r="D302" t="n">
        <v>39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n">
        <v/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Cost Matrix</t>
        </is>
      </c>
      <c r="B303" t="inlineStr">
        <is>
          <t>AN18</t>
        </is>
      </c>
      <c r="C303" t="n">
        <v>18</v>
      </c>
      <c r="D303" t="n">
        <v>40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n">
        <v/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Cost Matrix</t>
        </is>
      </c>
      <c r="B304" t="inlineStr">
        <is>
          <t>AO18</t>
        </is>
      </c>
      <c r="C304" t="n">
        <v>18</v>
      </c>
      <c r="D304" t="n">
        <v>41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n">
        <v/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Cost Matrix</t>
        </is>
      </c>
      <c r="B305" t="inlineStr">
        <is>
          <t>AP18</t>
        </is>
      </c>
      <c r="C305" t="n">
        <v>18</v>
      </c>
      <c r="D305" t="n">
        <v>42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n">
        <v/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</row>
    <row r="306">
      <c r="A306" t="inlineStr">
        <is>
          <t>Cost Matrix</t>
        </is>
      </c>
      <c r="B306" t="inlineStr">
        <is>
          <t>J19</t>
        </is>
      </c>
      <c r="C306" t="n">
        <v>19</v>
      </c>
      <c r="D306" t="n">
        <v>10</v>
      </c>
      <c r="E306" t="inlineStr">
        <is>
          <t>Output</t>
        </is>
      </c>
      <c r="F306" t="inlineStr">
        <is>
          <t>'=(E17/J17)^(1/5)-1</t>
        </is>
      </c>
      <c r="G306" t="n">
        <v>0.02399274140831675</v>
      </c>
      <c r="H306" t="inlineStr"/>
      <c r="I306" t="inlineStr">
        <is>
          <t>0.00%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00000000</t>
        </is>
      </c>
      <c r="O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>
        <f>(R[-2]C[-5]/R[-2]C[0])^(1/5)-1</f>
        <v/>
      </c>
    </row>
    <row r="307">
      <c r="A307" t="inlineStr">
        <is>
          <t>Cost Matrix</t>
        </is>
      </c>
      <c r="B307" t="inlineStr">
        <is>
          <t>Q19</t>
        </is>
      </c>
      <c r="C307" t="n">
        <v>19</v>
      </c>
      <c r="D307" t="n">
        <v>17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00000000</t>
        </is>
      </c>
      <c r="O307" t="inlineStr">
        <is>
          <t>center</t>
        </is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Cost Matrix</t>
        </is>
      </c>
      <c r="B308" t="inlineStr">
        <is>
          <t>R19</t>
        </is>
      </c>
      <c r="C308" t="n">
        <v>19</v>
      </c>
      <c r="D308" t="n">
        <v>18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00000000</t>
        </is>
      </c>
      <c r="O308" t="inlineStr">
        <is>
          <t>center</t>
        </is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Cost Matrix</t>
        </is>
      </c>
      <c r="B309" t="inlineStr">
        <is>
          <t>S19</t>
        </is>
      </c>
      <c r="C309" t="n">
        <v>19</v>
      </c>
      <c r="D309" t="n">
        <v>19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00000000</t>
        </is>
      </c>
      <c r="O309" t="inlineStr">
        <is>
          <t>center</t>
        </is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Cost Matrix</t>
        </is>
      </c>
      <c r="B310" t="inlineStr">
        <is>
          <t>T19</t>
        </is>
      </c>
      <c r="C310" t="n">
        <v>19</v>
      </c>
      <c r="D310" t="n">
        <v>20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00000000</t>
        </is>
      </c>
      <c r="O310" t="inlineStr">
        <is>
          <t>center</t>
        </is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Cost Matrix</t>
        </is>
      </c>
      <c r="B311" t="inlineStr">
        <is>
          <t>U19</t>
        </is>
      </c>
      <c r="C311" t="n">
        <v>19</v>
      </c>
      <c r="D311" t="n">
        <v>21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00000000</t>
        </is>
      </c>
      <c r="O311" t="inlineStr">
        <is>
          <t>center</t>
        </is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Cost Matrix</t>
        </is>
      </c>
      <c r="B312" t="inlineStr">
        <is>
          <t>V19</t>
        </is>
      </c>
      <c r="C312" t="n">
        <v>19</v>
      </c>
      <c r="D312" t="n">
        <v>22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00000000</t>
        </is>
      </c>
      <c r="O312" t="inlineStr">
        <is>
          <t>center</t>
        </is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Cost Matrix</t>
        </is>
      </c>
      <c r="B313" t="inlineStr">
        <is>
          <t>AG19</t>
        </is>
      </c>
      <c r="C313" t="n">
        <v>19</v>
      </c>
      <c r="D313" t="n">
        <v>33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Cost Matrix</t>
        </is>
      </c>
      <c r="B314" t="inlineStr">
        <is>
          <t>AH19</t>
        </is>
      </c>
      <c r="C314" t="n">
        <v>19</v>
      </c>
      <c r="D314" t="n">
        <v>34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Cost Matrix</t>
        </is>
      </c>
      <c r="B315" t="inlineStr">
        <is>
          <t>AI19</t>
        </is>
      </c>
      <c r="C315" t="n">
        <v>19</v>
      </c>
      <c r="D315" t="n">
        <v>35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Cost Matrix</t>
        </is>
      </c>
      <c r="B316" t="inlineStr">
        <is>
          <t>AJ19</t>
        </is>
      </c>
      <c r="C316" t="n">
        <v>19</v>
      </c>
      <c r="D316" t="n">
        <v>36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</row>
    <row r="317">
      <c r="A317" t="inlineStr">
        <is>
          <t>Cost Matrix</t>
        </is>
      </c>
      <c r="B317" t="inlineStr">
        <is>
          <t>AK19</t>
        </is>
      </c>
      <c r="C317" t="n">
        <v>19</v>
      </c>
      <c r="D317" t="n">
        <v>37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Cost Matrix</t>
        </is>
      </c>
      <c r="B318" t="inlineStr">
        <is>
          <t>AL19</t>
        </is>
      </c>
      <c r="C318" t="n">
        <v>19</v>
      </c>
      <c r="D318" t="n">
        <v>38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</row>
    <row r="319">
      <c r="A319" t="inlineStr">
        <is>
          <t>Cost Matrix</t>
        </is>
      </c>
      <c r="B319" t="inlineStr">
        <is>
          <t>AM19</t>
        </is>
      </c>
      <c r="C319" t="n">
        <v>19</v>
      </c>
      <c r="D319" t="n">
        <v>39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Cost Matrix</t>
        </is>
      </c>
      <c r="B320" t="inlineStr">
        <is>
          <t>AN19</t>
        </is>
      </c>
      <c r="C320" t="n">
        <v>19</v>
      </c>
      <c r="D320" t="n">
        <v>40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Cost Matrix</t>
        </is>
      </c>
      <c r="B321" t="inlineStr">
        <is>
          <t>AO19</t>
        </is>
      </c>
      <c r="C321" t="n">
        <v>19</v>
      </c>
      <c r="D321" t="n">
        <v>41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Values must be of type &lt;class 'str'&gt;</t>
        </is>
      </c>
      <c r="O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Cost Matrix</t>
        </is>
      </c>
      <c r="B322" t="inlineStr">
        <is>
          <t>AP19</t>
        </is>
      </c>
      <c r="C322" t="n">
        <v>19</v>
      </c>
      <c r="D322" t="n">
        <v>42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Values must be of type &lt;class 'str'&gt;</t>
        </is>
      </c>
      <c r="O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Cost Matrix</t>
        </is>
      </c>
      <c r="B323" t="inlineStr">
        <is>
          <t>Q20</t>
        </is>
      </c>
      <c r="C323" t="n">
        <v>20</v>
      </c>
      <c r="D323" t="n">
        <v>17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00000000</t>
        </is>
      </c>
      <c r="O323" t="inlineStr">
        <is>
          <t>center</t>
        </is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Cost Matrix</t>
        </is>
      </c>
      <c r="B324" t="inlineStr">
        <is>
          <t>R20</t>
        </is>
      </c>
      <c r="C324" t="n">
        <v>20</v>
      </c>
      <c r="D324" t="n">
        <v>18</v>
      </c>
      <c r="E324" t="inlineStr">
        <is>
          <t>Input</t>
        </is>
      </c>
      <c r="F324" t="n">
        <v/>
      </c>
      <c r="H324" t="inlineStr"/>
      <c r="I324" t="inlineStr">
        <is>
          <t>0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inlineStr">
        <is>
          <t>center</t>
        </is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Cost Matrix</t>
        </is>
      </c>
      <c r="B325" t="inlineStr">
        <is>
          <t>S20</t>
        </is>
      </c>
      <c r="C325" t="n">
        <v>20</v>
      </c>
      <c r="D325" t="n">
        <v>19</v>
      </c>
      <c r="E325" t="inlineStr">
        <is>
          <t>Input</t>
        </is>
      </c>
      <c r="F325" t="n">
        <v/>
      </c>
      <c r="H325" t="inlineStr"/>
      <c r="I325" t="inlineStr">
        <is>
          <t>0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inlineStr">
        <is>
          <t>center</t>
        </is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Cost Matrix</t>
        </is>
      </c>
      <c r="B326" t="inlineStr">
        <is>
          <t>T20</t>
        </is>
      </c>
      <c r="C326" t="n">
        <v>20</v>
      </c>
      <c r="D326" t="n">
        <v>20</v>
      </c>
      <c r="E326" t="inlineStr">
        <is>
          <t>Input</t>
        </is>
      </c>
      <c r="F326" t="n">
        <v/>
      </c>
      <c r="H326" t="inlineStr"/>
      <c r="I326" t="inlineStr">
        <is>
          <t>0</t>
        </is>
      </c>
      <c r="J326" t="b">
        <v>0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00000000</t>
        </is>
      </c>
      <c r="O326" t="inlineStr">
        <is>
          <t>center</t>
        </is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Cost Matrix</t>
        </is>
      </c>
      <c r="B327" t="inlineStr">
        <is>
          <t>U20</t>
        </is>
      </c>
      <c r="C327" t="n">
        <v>20</v>
      </c>
      <c r="D327" t="n">
        <v>21</v>
      </c>
      <c r="E327" t="inlineStr">
        <is>
          <t>Input</t>
        </is>
      </c>
      <c r="F327" t="n">
        <v/>
      </c>
      <c r="H327" t="inlineStr"/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inlineStr">
        <is>
          <t>center</t>
        </is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Cost Matrix</t>
        </is>
      </c>
      <c r="B328" t="inlineStr">
        <is>
          <t>V20</t>
        </is>
      </c>
      <c r="C328" t="n">
        <v>20</v>
      </c>
      <c r="D328" t="n">
        <v>22</v>
      </c>
      <c r="E328" t="inlineStr">
        <is>
          <t>Input</t>
        </is>
      </c>
      <c r="F328" t="n">
        <v/>
      </c>
      <c r="H328" t="inlineStr"/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inlineStr">
        <is>
          <t>center</t>
        </is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Cost Matrix</t>
        </is>
      </c>
      <c r="B329" t="inlineStr">
        <is>
          <t>A21</t>
        </is>
      </c>
      <c r="C329" t="n">
        <v>21</v>
      </c>
      <c r="D329" t="n">
        <v>1</v>
      </c>
      <c r="E329" t="inlineStr">
        <is>
          <t>Input</t>
        </is>
      </c>
      <c r="F329" t="n">
        <v/>
      </c>
      <c r="G329" t="inlineStr">
        <is>
          <t>Passenger
ticket revenue</t>
        </is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Cost Matrix</t>
        </is>
      </c>
      <c r="B330" t="inlineStr">
        <is>
          <t>D21</t>
        </is>
      </c>
      <c r="C330" t="n">
        <v>21</v>
      </c>
      <c r="D330" t="n">
        <v>4</v>
      </c>
      <c r="E330" t="inlineStr">
        <is>
          <t>Input</t>
        </is>
      </c>
      <c r="F330" t="n">
        <v/>
      </c>
      <c r="G330" t="n">
        <v>33909.86</v>
      </c>
      <c r="H330" t="inlineStr"/>
      <c r="I330" t="inlineStr">
        <is>
          <t>#,##0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Cost Matrix</t>
        </is>
      </c>
      <c r="B331" t="inlineStr">
        <is>
          <t>E21</t>
        </is>
      </c>
      <c r="C331" t="n">
        <v>21</v>
      </c>
      <c r="D331" t="n">
        <v>5</v>
      </c>
      <c r="E331" t="inlineStr">
        <is>
          <t>Input</t>
        </is>
      </c>
      <c r="F331" t="n">
        <v/>
      </c>
      <c r="G331" t="n">
        <v>49873.04</v>
      </c>
      <c r="H331" t="inlineStr"/>
      <c r="I331" t="inlineStr">
        <is>
          <t>#,##0</t>
        </is>
      </c>
      <c r="J331" t="b">
        <v>0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00000000</t>
        </is>
      </c>
      <c r="O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</row>
    <row r="332">
      <c r="A332" t="inlineStr">
        <is>
          <t>Cost Matrix</t>
        </is>
      </c>
      <c r="B332" t="inlineStr">
        <is>
          <t>F21</t>
        </is>
      </c>
      <c r="C332" t="n">
        <v>21</v>
      </c>
      <c r="D332" t="n">
        <v>6</v>
      </c>
      <c r="E332" t="inlineStr">
        <is>
          <t>Input</t>
        </is>
      </c>
      <c r="F332" t="n">
        <v/>
      </c>
      <c r="G332" t="n">
        <v>82666.57000000001</v>
      </c>
      <c r="H332" t="inlineStr"/>
      <c r="I332" t="inlineStr">
        <is>
          <t>#,##0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Cost Matrix</t>
        </is>
      </c>
      <c r="B333" t="inlineStr">
        <is>
          <t>G21</t>
        </is>
      </c>
      <c r="C333" t="n">
        <v>21</v>
      </c>
      <c r="D333" t="n">
        <v>7</v>
      </c>
      <c r="E333" t="inlineStr">
        <is>
          <t>Input</t>
        </is>
      </c>
      <c r="F333" t="n">
        <v/>
      </c>
      <c r="G333" t="n">
        <v>99239.83</v>
      </c>
      <c r="H333" t="inlineStr"/>
      <c r="I333" t="inlineStr">
        <is>
          <t>#,##0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00000000</t>
        </is>
      </c>
      <c r="O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Cost Matrix</t>
        </is>
      </c>
      <c r="B334" t="inlineStr">
        <is>
          <t>H21</t>
        </is>
      </c>
      <c r="C334" t="n">
        <v>21</v>
      </c>
      <c r="D334" t="n">
        <v>8</v>
      </c>
      <c r="E334" t="inlineStr">
        <is>
          <t>Input</t>
        </is>
      </c>
      <c r="F334" t="n">
        <v/>
      </c>
      <c r="G334" t="n">
        <v>122939</v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00000000</t>
        </is>
      </c>
      <c r="O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Cost Matrix</t>
        </is>
      </c>
      <c r="B335" t="inlineStr">
        <is>
          <t>I21</t>
        </is>
      </c>
      <c r="C335" t="n">
        <v>21</v>
      </c>
      <c r="D335" t="n">
        <v>9</v>
      </c>
      <c r="E335" t="inlineStr">
        <is>
          <t>Input</t>
        </is>
      </c>
      <c r="F335" t="n">
        <v/>
      </c>
      <c r="G335" t="n">
        <v>140624.22</v>
      </c>
      <c r="H335" t="inlineStr"/>
      <c r="I335" t="inlineStr">
        <is>
          <t>#,##0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</row>
    <row r="336">
      <c r="A336" t="inlineStr">
        <is>
          <t>Cost Matrix</t>
        </is>
      </c>
      <c r="B336" t="inlineStr">
        <is>
          <t>J21</t>
        </is>
      </c>
      <c r="C336" t="n">
        <v>21</v>
      </c>
      <c r="D336" t="n">
        <v>10</v>
      </c>
      <c r="E336" t="inlineStr">
        <is>
          <t>Input</t>
        </is>
      </c>
      <c r="F336" t="n">
        <v/>
      </c>
      <c r="G336" t="n">
        <v>161970.72</v>
      </c>
      <c r="H336" t="inlineStr"/>
      <c r="I336" t="inlineStr">
        <is>
          <t>0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</row>
    <row r="337">
      <c r="A337" t="inlineStr">
        <is>
          <t>Cost Matrix</t>
        </is>
      </c>
      <c r="B337" t="inlineStr">
        <is>
          <t>K21</t>
        </is>
      </c>
      <c r="C337" t="n">
        <v>21</v>
      </c>
      <c r="D337" t="n">
        <v>11</v>
      </c>
      <c r="E337" t="inlineStr">
        <is>
          <t>Input</t>
        </is>
      </c>
      <c r="F337" t="n">
        <v/>
      </c>
      <c r="G337" t="n">
        <v>198026.4779848185</v>
      </c>
      <c r="H337" t="inlineStr"/>
      <c r="I337" t="inlineStr">
        <is>
          <t>0</t>
        </is>
      </c>
      <c r="J337" t="b">
        <v>0</v>
      </c>
      <c r="K337" t="b">
        <v>0</v>
      </c>
      <c r="L337" t="n">
        <v>11</v>
      </c>
      <c r="M337" t="inlineStr">
        <is>
          <t>FFFF0000</t>
        </is>
      </c>
      <c r="N337" t="inlineStr">
        <is>
          <t>00000000</t>
        </is>
      </c>
      <c r="O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</row>
    <row r="338">
      <c r="A338" t="inlineStr">
        <is>
          <t>Cost Matrix</t>
        </is>
      </c>
      <c r="B338" t="inlineStr">
        <is>
          <t>L21</t>
        </is>
      </c>
      <c r="C338" t="n">
        <v>21</v>
      </c>
      <c r="D338" t="n">
        <v>12</v>
      </c>
      <c r="E338" t="inlineStr">
        <is>
          <t>Input</t>
        </is>
      </c>
      <c r="F338" t="n">
        <v/>
      </c>
      <c r="G338" t="n">
        <v>241326.5840562848</v>
      </c>
      <c r="H338" t="inlineStr"/>
      <c r="I338" t="inlineStr">
        <is>
          <t>0</t>
        </is>
      </c>
      <c r="J338" t="b">
        <v>0</v>
      </c>
      <c r="K338" t="b">
        <v>0</v>
      </c>
      <c r="L338" t="n">
        <v>11</v>
      </c>
      <c r="M338" t="inlineStr">
        <is>
          <t>FFFF0000</t>
        </is>
      </c>
      <c r="N338" t="inlineStr">
        <is>
          <t>00000000</t>
        </is>
      </c>
      <c r="O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Cost Matrix</t>
        </is>
      </c>
      <c r="B339" t="inlineStr">
        <is>
          <t>M21</t>
        </is>
      </c>
      <c r="C339" t="n">
        <v>21</v>
      </c>
      <c r="D339" t="n">
        <v>13</v>
      </c>
      <c r="E339" t="inlineStr">
        <is>
          <t>Input</t>
        </is>
      </c>
      <c r="F339" t="n">
        <v/>
      </c>
      <c r="G339" t="n">
        <v>293837.0345889449</v>
      </c>
      <c r="H339" t="inlineStr"/>
      <c r="I339" t="inlineStr">
        <is>
          <t>0</t>
        </is>
      </c>
      <c r="J339" t="b">
        <v>0</v>
      </c>
      <c r="K339" t="b">
        <v>0</v>
      </c>
      <c r="L339" t="n">
        <v>11</v>
      </c>
      <c r="M339" t="inlineStr">
        <is>
          <t>FFFF0000</t>
        </is>
      </c>
      <c r="N339" t="inlineStr">
        <is>
          <t>00000000</t>
        </is>
      </c>
      <c r="O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Cost Matrix</t>
        </is>
      </c>
      <c r="B340" t="inlineStr">
        <is>
          <t>N21</t>
        </is>
      </c>
      <c r="C340" t="n">
        <v>21</v>
      </c>
      <c r="D340" t="n">
        <v>14</v>
      </c>
      <c r="E340" t="inlineStr">
        <is>
          <t>Input</t>
        </is>
      </c>
      <c r="F340" t="n">
        <v/>
      </c>
      <c r="G340" t="n">
        <v>357472.2353548176</v>
      </c>
      <c r="H340" t="inlineStr"/>
      <c r="I340" t="inlineStr">
        <is>
          <t>0</t>
        </is>
      </c>
      <c r="J340" t="b">
        <v>0</v>
      </c>
      <c r="K340" t="b">
        <v>0</v>
      </c>
      <c r="L340" t="n">
        <v>11</v>
      </c>
      <c r="M340" t="inlineStr">
        <is>
          <t>FFFF0000</t>
        </is>
      </c>
      <c r="N340" t="inlineStr">
        <is>
          <t>00000000</t>
        </is>
      </c>
      <c r="O340" t="n">
        <v/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Cost Matrix</t>
        </is>
      </c>
      <c r="B341" t="inlineStr">
        <is>
          <t>O21</t>
        </is>
      </c>
      <c r="C341" t="n">
        <v>21</v>
      </c>
      <c r="D341" t="n">
        <v>15</v>
      </c>
      <c r="E341" t="inlineStr">
        <is>
          <t>Input</t>
        </is>
      </c>
      <c r="F341" t="n">
        <v/>
      </c>
      <c r="G341" t="n">
        <v>434536.3951023616</v>
      </c>
      <c r="H341" t="inlineStr"/>
      <c r="I341" t="inlineStr">
        <is>
          <t>0</t>
        </is>
      </c>
      <c r="J341" t="b">
        <v>0</v>
      </c>
      <c r="K341" t="b">
        <v>0</v>
      </c>
      <c r="L341" t="n">
        <v>11</v>
      </c>
      <c r="M341" t="inlineStr">
        <is>
          <t>FFFF0000</t>
        </is>
      </c>
      <c r="N341" t="inlineStr">
        <is>
          <t>00000000</t>
        </is>
      </c>
      <c r="O341" t="n">
        <v/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Cost Matrix</t>
        </is>
      </c>
      <c r="B342" t="inlineStr">
        <is>
          <t>P21</t>
        </is>
      </c>
      <c r="C342" t="n">
        <v>21</v>
      </c>
      <c r="D342" t="n">
        <v>16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FFFF0000</t>
        </is>
      </c>
      <c r="N342" t="inlineStr">
        <is>
          <t>00000000</t>
        </is>
      </c>
      <c r="O342" t="n">
        <v/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Cost Matrix</t>
        </is>
      </c>
      <c r="B343" t="inlineStr">
        <is>
          <t>A22</t>
        </is>
      </c>
      <c r="C343" t="n">
        <v>22</v>
      </c>
      <c r="D343" t="n">
        <v>1</v>
      </c>
      <c r="E343" t="inlineStr">
        <is>
          <t>Input</t>
        </is>
      </c>
      <c r="F343" t="n">
        <v/>
      </c>
      <c r="G343" t="inlineStr">
        <is>
          <t>Ancillary
revenue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Cost Matrix</t>
        </is>
      </c>
      <c r="B344" t="inlineStr">
        <is>
          <t>D22</t>
        </is>
      </c>
      <c r="C344" t="n">
        <v>22</v>
      </c>
      <c r="D344" t="n">
        <v>4</v>
      </c>
      <c r="E344" t="inlineStr">
        <is>
          <t>Input</t>
        </is>
      </c>
      <c r="F344" t="n">
        <v/>
      </c>
      <c r="G344" t="n">
        <v>4356.65</v>
      </c>
      <c r="H344" t="inlineStr"/>
      <c r="I344" t="inlineStr">
        <is>
          <t>#,##0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Cost Matrix</t>
        </is>
      </c>
      <c r="B345" t="inlineStr">
        <is>
          <t>E22</t>
        </is>
      </c>
      <c r="C345" t="n">
        <v>22</v>
      </c>
      <c r="D345" t="n">
        <v>5</v>
      </c>
      <c r="E345" t="inlineStr">
        <is>
          <t>Input</t>
        </is>
      </c>
      <c r="F345" t="n">
        <v/>
      </c>
      <c r="G345" t="n">
        <v>5680.339999999999</v>
      </c>
      <c r="H345" t="inlineStr"/>
      <c r="I345" t="inlineStr">
        <is>
          <t>#,##0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Cost Matrix</t>
        </is>
      </c>
      <c r="B346" t="inlineStr">
        <is>
          <t>F22</t>
        </is>
      </c>
      <c r="C346" t="n">
        <v>22</v>
      </c>
      <c r="D346" t="n">
        <v>6</v>
      </c>
      <c r="E346" t="inlineStr">
        <is>
          <t>Input</t>
        </is>
      </c>
      <c r="F346" t="n">
        <v/>
      </c>
      <c r="G346" t="n">
        <v>9253.440000000001</v>
      </c>
      <c r="H346" t="inlineStr"/>
      <c r="I346" t="inlineStr">
        <is>
          <t>#,##0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Cost Matrix</t>
        </is>
      </c>
      <c r="B347" t="inlineStr">
        <is>
          <t>G22</t>
        </is>
      </c>
      <c r="C347" t="n">
        <v>22</v>
      </c>
      <c r="D347" t="n">
        <v>7</v>
      </c>
      <c r="E347" t="inlineStr">
        <is>
          <t>Input</t>
        </is>
      </c>
      <c r="F347" t="n">
        <v/>
      </c>
      <c r="G347" t="n">
        <v>11553.33</v>
      </c>
      <c r="H347" t="inlineStr"/>
      <c r="I347" t="inlineStr">
        <is>
          <t>#,##0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Cost Matrix</t>
        </is>
      </c>
      <c r="B348" t="inlineStr">
        <is>
          <t>H22</t>
        </is>
      </c>
      <c r="C348" t="n">
        <v>22</v>
      </c>
      <c r="D348" t="n">
        <v>8</v>
      </c>
      <c r="E348" t="inlineStr">
        <is>
          <t>Input</t>
        </is>
      </c>
      <c r="F348" t="n">
        <v/>
      </c>
      <c r="G348" t="n">
        <v>15724.87</v>
      </c>
      <c r="H348" t="inlineStr"/>
      <c r="I348" t="inlineStr">
        <is>
          <t>#,##0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n">
        <v/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Cost Matrix</t>
        </is>
      </c>
      <c r="B349" t="inlineStr">
        <is>
          <t>I22</t>
        </is>
      </c>
      <c r="C349" t="n">
        <v>22</v>
      </c>
      <c r="D349" t="n">
        <v>9</v>
      </c>
      <c r="E349" t="inlineStr">
        <is>
          <t>Input</t>
        </is>
      </c>
      <c r="F349" t="n">
        <v/>
      </c>
      <c r="G349" t="n">
        <v>20019.95</v>
      </c>
      <c r="H349" t="inlineStr"/>
      <c r="I349" t="inlineStr">
        <is>
          <t>#,##0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Cost Matrix</t>
        </is>
      </c>
      <c r="B350" t="inlineStr">
        <is>
          <t>J22</t>
        </is>
      </c>
      <c r="C350" t="n">
        <v>22</v>
      </c>
      <c r="D350" t="n">
        <v>10</v>
      </c>
      <c r="E350" t="inlineStr">
        <is>
          <t>Input</t>
        </is>
      </c>
      <c r="F350" t="n">
        <v/>
      </c>
      <c r="G350" t="n">
        <v>22667.6</v>
      </c>
      <c r="H350" t="inlineStr"/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00000000</t>
        </is>
      </c>
      <c r="O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Cost Matrix</t>
        </is>
      </c>
      <c r="B351" t="inlineStr">
        <is>
          <t>K22</t>
        </is>
      </c>
      <c r="C351" t="n">
        <v>22</v>
      </c>
      <c r="D351" t="n">
        <v>11</v>
      </c>
      <c r="E351" t="inlineStr">
        <is>
          <t>Input</t>
        </is>
      </c>
      <c r="F351" t="n">
        <v/>
      </c>
      <c r="G351" t="n">
        <v>26733.5745279505</v>
      </c>
      <c r="H351" t="inlineStr"/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FFFF0000</t>
        </is>
      </c>
      <c r="N351" t="inlineStr">
        <is>
          <t>00000000</t>
        </is>
      </c>
      <c r="O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Cost Matrix</t>
        </is>
      </c>
      <c r="B352" t="inlineStr">
        <is>
          <t>L22</t>
        </is>
      </c>
      <c r="C352" t="n">
        <v>22</v>
      </c>
      <c r="D352" t="n">
        <v>12</v>
      </c>
      <c r="E352" t="inlineStr">
        <is>
          <t>Input</t>
        </is>
      </c>
      <c r="F352" t="n">
        <v/>
      </c>
      <c r="G352" t="n">
        <v>32579.08884759845</v>
      </c>
      <c r="H352" t="inlineStr"/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FFFF0000</t>
        </is>
      </c>
      <c r="N352" t="inlineStr">
        <is>
          <t>00000000</t>
        </is>
      </c>
      <c r="O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Cost Matrix</t>
        </is>
      </c>
      <c r="B353" t="inlineStr">
        <is>
          <t>M22</t>
        </is>
      </c>
      <c r="C353" t="n">
        <v>22</v>
      </c>
      <c r="D353" t="n">
        <v>13</v>
      </c>
      <c r="E353" t="inlineStr">
        <is>
          <t>Input</t>
        </is>
      </c>
      <c r="F353" t="n">
        <v/>
      </c>
      <c r="G353" t="n">
        <v>38198.81449656283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FFFF0000</t>
        </is>
      </c>
      <c r="N353" t="inlineStr">
        <is>
          <t>00000000</t>
        </is>
      </c>
      <c r="O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Cost Matrix</t>
        </is>
      </c>
      <c r="B354" t="inlineStr">
        <is>
          <t>N22</t>
        </is>
      </c>
      <c r="C354" t="n">
        <v>22</v>
      </c>
      <c r="D354" t="n">
        <v>14</v>
      </c>
      <c r="E354" t="inlineStr">
        <is>
          <t>Input</t>
        </is>
      </c>
      <c r="F354" t="n">
        <v/>
      </c>
      <c r="G354" t="n">
        <v>44684.0294193522</v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FFFF0000</t>
        </is>
      </c>
      <c r="N354" t="inlineStr">
        <is>
          <t>00000000</t>
        </is>
      </c>
      <c r="O354" t="n">
        <v/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Cost Matrix</t>
        </is>
      </c>
      <c r="B355" t="inlineStr">
        <is>
          <t>O22</t>
        </is>
      </c>
      <c r="C355" t="n">
        <v>22</v>
      </c>
      <c r="D355" t="n">
        <v>15</v>
      </c>
      <c r="E355" t="inlineStr">
        <is>
          <t>Input</t>
        </is>
      </c>
      <c r="F355" t="n">
        <v/>
      </c>
      <c r="G355" t="n">
        <v>54317.0493877952</v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FFFF0000</t>
        </is>
      </c>
      <c r="N355" t="inlineStr">
        <is>
          <t>00000000</t>
        </is>
      </c>
      <c r="O355" t="n">
        <v/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Cost Matrix</t>
        </is>
      </c>
      <c r="B356" t="inlineStr">
        <is>
          <t>P22</t>
        </is>
      </c>
      <c r="C356" t="n">
        <v>22</v>
      </c>
      <c r="D356" t="n">
        <v>16</v>
      </c>
      <c r="E356" t="inlineStr">
        <is>
          <t>Input</t>
        </is>
      </c>
      <c r="F356" t="n">
        <v/>
      </c>
      <c r="H356" t="inlineStr"/>
      <c r="I356" t="inlineStr">
        <is>
          <t>0</t>
        </is>
      </c>
      <c r="J356" t="b">
        <v>0</v>
      </c>
      <c r="K356" t="b">
        <v>0</v>
      </c>
      <c r="L356" t="n">
        <v>11</v>
      </c>
      <c r="M356" t="inlineStr">
        <is>
          <t>FFFF0000</t>
        </is>
      </c>
      <c r="N356" t="inlineStr">
        <is>
          <t>00000000</t>
        </is>
      </c>
      <c r="O356" t="n">
        <v/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Cost Matrix</t>
        </is>
      </c>
      <c r="B357" t="inlineStr">
        <is>
          <t>A23</t>
        </is>
      </c>
      <c r="C357" t="n">
        <v>23</v>
      </c>
      <c r="D357" t="n">
        <v>1</v>
      </c>
      <c r="E357" t="inlineStr">
        <is>
          <t>Input</t>
        </is>
      </c>
      <c r="F357" t="n">
        <v/>
      </c>
      <c r="G357" t="inlineStr">
        <is>
          <t>Other
operating
revenue</t>
        </is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00000000</t>
        </is>
      </c>
      <c r="O357" t="n">
        <v/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Cost Matrix</t>
        </is>
      </c>
      <c r="B358" t="inlineStr">
        <is>
          <t>D23</t>
        </is>
      </c>
      <c r="C358" t="n">
        <v>23</v>
      </c>
      <c r="D358" t="n">
        <v>4</v>
      </c>
      <c r="E358" t="inlineStr">
        <is>
          <t>Input</t>
        </is>
      </c>
      <c r="F358" t="n">
        <v/>
      </c>
      <c r="G358" t="n">
        <v>67.69</v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00000000</t>
        </is>
      </c>
      <c r="O358" t="n">
        <v/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Cost Matrix</t>
        </is>
      </c>
      <c r="B359" t="inlineStr">
        <is>
          <t>E23</t>
        </is>
      </c>
      <c r="C359" t="n">
        <v>23</v>
      </c>
      <c r="D359" t="n">
        <v>5</v>
      </c>
      <c r="E359" t="inlineStr">
        <is>
          <t>Input</t>
        </is>
      </c>
      <c r="F359" t="n">
        <v/>
      </c>
      <c r="G359" t="n">
        <v>93.22</v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00000000</t>
        </is>
      </c>
      <c r="O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Cost Matrix</t>
        </is>
      </c>
      <c r="B360" t="inlineStr">
        <is>
          <t>F23</t>
        </is>
      </c>
      <c r="C360" t="n">
        <v>23</v>
      </c>
      <c r="D360" t="n">
        <v>6</v>
      </c>
      <c r="E360" t="inlineStr">
        <is>
          <t>Input</t>
        </is>
      </c>
      <c r="F360" t="n">
        <v/>
      </c>
      <c r="G360" t="n">
        <v>111.29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00000000</t>
        </is>
      </c>
      <c r="O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Cost Matrix</t>
        </is>
      </c>
      <c r="B361" t="inlineStr">
        <is>
          <t>G23</t>
        </is>
      </c>
      <c r="C361" t="n">
        <v>23</v>
      </c>
      <c r="D361" t="n">
        <v>7</v>
      </c>
      <c r="E361" t="inlineStr">
        <is>
          <t>Input</t>
        </is>
      </c>
      <c r="F361" t="n">
        <v/>
      </c>
      <c r="G361" t="n">
        <v>372.69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00000000</t>
        </is>
      </c>
      <c r="O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Cost Matrix</t>
        </is>
      </c>
      <c r="B362" t="inlineStr">
        <is>
          <t>H23</t>
        </is>
      </c>
      <c r="C362" t="n">
        <v>23</v>
      </c>
      <c r="D362" t="n">
        <v>8</v>
      </c>
      <c r="E362" t="inlineStr">
        <is>
          <t>Input</t>
        </is>
      </c>
      <c r="F362" t="n">
        <v/>
      </c>
      <c r="G362" t="n">
        <v>589.5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00000000</t>
        </is>
      </c>
      <c r="O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Cost Matrix</t>
        </is>
      </c>
      <c r="B363" t="inlineStr">
        <is>
          <t>I23</t>
        </is>
      </c>
      <c r="C363" t="n">
        <v>23</v>
      </c>
      <c r="D363" t="n">
        <v>9</v>
      </c>
      <c r="E363" t="inlineStr">
        <is>
          <t>Input</t>
        </is>
      </c>
      <c r="F363" t="n">
        <v/>
      </c>
      <c r="G363" t="n">
        <v>754.9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00000000</t>
        </is>
      </c>
      <c r="O363" t="n">
        <v/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Cost Matrix</t>
        </is>
      </c>
      <c r="B364" t="inlineStr">
        <is>
          <t>J23</t>
        </is>
      </c>
      <c r="C364" t="n">
        <v>23</v>
      </c>
      <c r="D364" t="n">
        <v>10</v>
      </c>
      <c r="E364" t="inlineStr">
        <is>
          <t>Input</t>
        </is>
      </c>
      <c r="F364" t="n">
        <v/>
      </c>
      <c r="G364" t="n">
        <v>1167</v>
      </c>
      <c r="H364" t="inlineStr"/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Values must be of type &lt;class 'str'&gt;</t>
        </is>
      </c>
      <c r="N364" t="inlineStr">
        <is>
          <t>00000000</t>
        </is>
      </c>
      <c r="O364" t="n">
        <v/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Cost Matrix</t>
        </is>
      </c>
      <c r="B365" t="inlineStr">
        <is>
          <t>K23</t>
        </is>
      </c>
      <c r="C365" t="n">
        <v>23</v>
      </c>
      <c r="D365" t="n">
        <v>11</v>
      </c>
      <c r="E365" t="inlineStr">
        <is>
          <t>Input</t>
        </is>
      </c>
      <c r="F365" t="n">
        <v/>
      </c>
      <c r="G365" t="n">
        <v>1545.59783730814</v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FFFF0000</t>
        </is>
      </c>
      <c r="N365" t="inlineStr">
        <is>
          <t>00000000</t>
        </is>
      </c>
      <c r="O365" t="n">
        <v/>
      </c>
      <c r="R365" t="b">
        <v>1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Cost Matrix</t>
        </is>
      </c>
      <c r="B366" t="inlineStr">
        <is>
          <t>L23</t>
        </is>
      </c>
      <c r="C366" t="n">
        <v>23</v>
      </c>
      <c r="D366" t="n">
        <v>12</v>
      </c>
      <c r="E366" t="inlineStr">
        <is>
          <t>Input</t>
        </is>
      </c>
      <c r="F366" t="n">
        <v/>
      </c>
      <c r="G366" t="n">
        <v>2028.35137291091</v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FFFF0000</t>
        </is>
      </c>
      <c r="N366" t="inlineStr">
        <is>
          <t>00000000</t>
        </is>
      </c>
      <c r="O366" t="n">
        <v/>
      </c>
      <c r="R366" t="b">
        <v>1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Cost Matrix</t>
        </is>
      </c>
      <c r="B367" t="inlineStr">
        <is>
          <t>M23</t>
        </is>
      </c>
      <c r="C367" t="n">
        <v>23</v>
      </c>
      <c r="D367" t="n">
        <v>13</v>
      </c>
      <c r="E367" t="inlineStr">
        <is>
          <t>Input</t>
        </is>
      </c>
      <c r="F367" t="n">
        <v/>
      </c>
      <c r="G367" t="n">
        <v>2646.004242398651</v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FFFF0000</t>
        </is>
      </c>
      <c r="N367" t="inlineStr">
        <is>
          <t>00000000</t>
        </is>
      </c>
      <c r="O367" t="n">
        <v/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Cost Matrix</t>
        </is>
      </c>
      <c r="B368" t="inlineStr">
        <is>
          <t>N23</t>
        </is>
      </c>
      <c r="C368" t="n">
        <v>23</v>
      </c>
      <c r="D368" t="n">
        <v>14</v>
      </c>
      <c r="E368" t="inlineStr">
        <is>
          <t>Input</t>
        </is>
      </c>
      <c r="F368" t="n">
        <v/>
      </c>
      <c r="G368" t="n">
        <v>3433.522944616794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FFFF0000</t>
        </is>
      </c>
      <c r="N368" t="inlineStr">
        <is>
          <t>00000000</t>
        </is>
      </c>
      <c r="O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Cost Matrix</t>
        </is>
      </c>
      <c r="B369" t="inlineStr">
        <is>
          <t>O23</t>
        </is>
      </c>
      <c r="C369" t="n">
        <v>23</v>
      </c>
      <c r="D369" t="n">
        <v>15</v>
      </c>
      <c r="E369" t="inlineStr">
        <is>
          <t>Input</t>
        </is>
      </c>
      <c r="F369" t="n">
        <v/>
      </c>
      <c r="G369" t="n">
        <v>4434.446493954327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FFFF0000</t>
        </is>
      </c>
      <c r="N369" t="inlineStr">
        <is>
          <t>00000000</t>
        </is>
      </c>
      <c r="O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Cost Matrix</t>
        </is>
      </c>
      <c r="B370" t="inlineStr">
        <is>
          <t>P23</t>
        </is>
      </c>
      <c r="C370" t="n">
        <v>23</v>
      </c>
      <c r="D370" t="n">
        <v>16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11</v>
      </c>
      <c r="M370" t="inlineStr">
        <is>
          <t>FFFF0000</t>
        </is>
      </c>
      <c r="N370" t="inlineStr">
        <is>
          <t>00000000</t>
        </is>
      </c>
      <c r="O370" t="n">
        <v/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Cost Matrix</t>
        </is>
      </c>
      <c r="B371" t="inlineStr">
        <is>
          <t>A24</t>
        </is>
      </c>
      <c r="C371" t="n">
        <v>24</v>
      </c>
      <c r="D371" t="n">
        <v>1</v>
      </c>
      <c r="E371" t="inlineStr">
        <is>
          <t>Input</t>
        </is>
      </c>
      <c r="F371" t="n">
        <v/>
      </c>
      <c r="G371" t="inlineStr">
        <is>
          <t>Other Income</t>
        </is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11</v>
      </c>
      <c r="M371" t="inlineStr">
        <is>
          <t>Values must be of type &lt;class 'str'&gt;</t>
        </is>
      </c>
      <c r="N371" t="inlineStr">
        <is>
          <t>00000000</t>
        </is>
      </c>
      <c r="O371" t="n">
        <v/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Cost Matrix</t>
        </is>
      </c>
      <c r="B372" t="inlineStr">
        <is>
          <t>D24</t>
        </is>
      </c>
      <c r="C372" t="n">
        <v>24</v>
      </c>
      <c r="D372" t="n">
        <v>4</v>
      </c>
      <c r="E372" t="inlineStr">
        <is>
          <t>Input</t>
        </is>
      </c>
      <c r="F372" t="n">
        <v/>
      </c>
      <c r="G372" t="n">
        <v>1107.37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Values must be of type &lt;class 'str'&gt;</t>
        </is>
      </c>
      <c r="N372" t="inlineStr">
        <is>
          <t>00000000</t>
        </is>
      </c>
      <c r="O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Cost Matrix</t>
        </is>
      </c>
      <c r="B373" t="inlineStr">
        <is>
          <t>E24</t>
        </is>
      </c>
      <c r="C373" t="n">
        <v>24</v>
      </c>
      <c r="D373" t="n">
        <v>5</v>
      </c>
      <c r="E373" t="inlineStr">
        <is>
          <t>Input</t>
        </is>
      </c>
      <c r="F373" t="n">
        <v/>
      </c>
      <c r="G373" t="n">
        <v>1439.6</v>
      </c>
      <c r="H373" t="inlineStr"/>
      <c r="I373" t="inlineStr">
        <is>
          <t>0</t>
        </is>
      </c>
      <c r="J373" t="b">
        <v>0</v>
      </c>
      <c r="K373" t="b">
        <v>0</v>
      </c>
      <c r="L373" t="n">
        <v>11</v>
      </c>
      <c r="M373" t="inlineStr">
        <is>
          <t>Values must be of type &lt;class 'str'&gt;</t>
        </is>
      </c>
      <c r="N373" t="inlineStr">
        <is>
          <t>00000000</t>
        </is>
      </c>
      <c r="O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Cost Matrix</t>
        </is>
      </c>
      <c r="B374" t="inlineStr">
        <is>
          <t>F24</t>
        </is>
      </c>
      <c r="C374" t="n">
        <v>24</v>
      </c>
      <c r="D374" t="n">
        <v>6</v>
      </c>
      <c r="E374" t="inlineStr">
        <is>
          <t>Input</t>
        </is>
      </c>
      <c r="F374" t="n">
        <v/>
      </c>
      <c r="G374" t="n">
        <v>2371.04</v>
      </c>
      <c r="H374" t="inlineStr"/>
      <c r="I374" t="inlineStr">
        <is>
          <t>0</t>
        </is>
      </c>
      <c r="J374" t="b">
        <v>0</v>
      </c>
      <c r="K374" t="b">
        <v>0</v>
      </c>
      <c r="L374" t="n">
        <v>11</v>
      </c>
      <c r="M374" t="inlineStr">
        <is>
          <t>Values must be of type &lt;class 'str'&gt;</t>
        </is>
      </c>
      <c r="N374" t="inlineStr">
        <is>
          <t>00000000</t>
        </is>
      </c>
      <c r="O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Cost Matrix</t>
        </is>
      </c>
      <c r="B375" t="inlineStr">
        <is>
          <t>G24</t>
        </is>
      </c>
      <c r="C375" t="n">
        <v>24</v>
      </c>
      <c r="D375" t="n">
        <v>7</v>
      </c>
      <c r="E375" t="inlineStr">
        <is>
          <t>Input</t>
        </is>
      </c>
      <c r="F375" t="n">
        <v/>
      </c>
      <c r="G375" t="n">
        <v>3155.34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Values must be of type &lt;class 'str'&gt;</t>
        </is>
      </c>
      <c r="N375" t="inlineStr">
        <is>
          <t>00000000</t>
        </is>
      </c>
      <c r="O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Cost Matrix</t>
        </is>
      </c>
      <c r="B376" t="inlineStr">
        <is>
          <t>H24</t>
        </is>
      </c>
      <c r="C376" t="n">
        <v>24</v>
      </c>
      <c r="D376" t="n">
        <v>8</v>
      </c>
      <c r="E376" t="inlineStr">
        <is>
          <t>Input</t>
        </is>
      </c>
      <c r="F376" t="n">
        <v/>
      </c>
      <c r="G376" t="n">
        <v>3945.83</v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Values must be of type &lt;class 'str'&gt;</t>
        </is>
      </c>
      <c r="N376" t="inlineStr">
        <is>
          <t>00000000</t>
        </is>
      </c>
      <c r="O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Cost Matrix</t>
        </is>
      </c>
      <c r="B377" t="inlineStr">
        <is>
          <t>I24</t>
        </is>
      </c>
      <c r="C377" t="n">
        <v>24</v>
      </c>
      <c r="D377" t="n">
        <v>9</v>
      </c>
      <c r="E377" t="inlineStr">
        <is>
          <t>Input</t>
        </is>
      </c>
      <c r="F377" t="n">
        <v/>
      </c>
      <c r="G377" t="n">
        <v>4613.93</v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00000000</t>
        </is>
      </c>
      <c r="O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Cost Matrix</t>
        </is>
      </c>
      <c r="B378" t="inlineStr">
        <is>
          <t>J24</t>
        </is>
      </c>
      <c r="C378" t="n">
        <v>24</v>
      </c>
      <c r="D378" t="n">
        <v>10</v>
      </c>
      <c r="E378" t="inlineStr">
        <is>
          <t>Input</t>
        </is>
      </c>
      <c r="F378" t="n">
        <v/>
      </c>
      <c r="G378" t="n">
        <v>7890.7</v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00000000</t>
        </is>
      </c>
      <c r="O378" t="n">
        <v/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Cost Matrix</t>
        </is>
      </c>
      <c r="B379" t="inlineStr">
        <is>
          <t>K24</t>
        </is>
      </c>
      <c r="C379" t="n">
        <v>24</v>
      </c>
      <c r="D379" t="n">
        <v>11</v>
      </c>
      <c r="E379" t="inlineStr">
        <is>
          <t>Input</t>
        </is>
      </c>
      <c r="F379" t="n">
        <v/>
      </c>
      <c r="G379" t="n">
        <v>5940.794339544555</v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FFFF0000</t>
        </is>
      </c>
      <c r="N379" t="inlineStr">
        <is>
          <t>00000000</t>
        </is>
      </c>
      <c r="O379" t="n">
        <v/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Cost Matrix</t>
        </is>
      </c>
      <c r="B380" t="inlineStr">
        <is>
          <t>L24</t>
        </is>
      </c>
      <c r="C380" t="n">
        <v>24</v>
      </c>
      <c r="D380" t="n">
        <v>12</v>
      </c>
      <c r="E380" t="inlineStr">
        <is>
          <t>Input</t>
        </is>
      </c>
      <c r="F380" t="n">
        <v/>
      </c>
      <c r="G380" t="n">
        <v>7239.797521688543</v>
      </c>
      <c r="H380" t="inlineStr"/>
      <c r="I380" t="inlineStr">
        <is>
          <t>0</t>
        </is>
      </c>
      <c r="J380" t="b">
        <v>0</v>
      </c>
      <c r="K380" t="b">
        <v>0</v>
      </c>
      <c r="L380" t="n">
        <v>11</v>
      </c>
      <c r="M380" t="inlineStr">
        <is>
          <t>FFFF0000</t>
        </is>
      </c>
      <c r="N380" t="inlineStr">
        <is>
          <t>00000000</t>
        </is>
      </c>
      <c r="O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Cost Matrix</t>
        </is>
      </c>
      <c r="B381" t="inlineStr">
        <is>
          <t>M24</t>
        </is>
      </c>
      <c r="C381" t="n">
        <v>24</v>
      </c>
      <c r="D381" t="n">
        <v>13</v>
      </c>
      <c r="E381" t="inlineStr">
        <is>
          <t>Input</t>
        </is>
      </c>
      <c r="F381" t="n">
        <v/>
      </c>
      <c r="G381" t="n">
        <v>8815.111037668346</v>
      </c>
      <c r="H381" t="inlineStr"/>
      <c r="I381" t="inlineStr">
        <is>
          <t>0</t>
        </is>
      </c>
      <c r="J381" t="b">
        <v>0</v>
      </c>
      <c r="K381" t="b">
        <v>0</v>
      </c>
      <c r="L381" t="n">
        <v>11</v>
      </c>
      <c r="M381" t="inlineStr">
        <is>
          <t>FFFF0000</t>
        </is>
      </c>
      <c r="N381" t="inlineStr">
        <is>
          <t>00000000</t>
        </is>
      </c>
      <c r="O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Cost Matrix</t>
        </is>
      </c>
      <c r="B382" t="inlineStr">
        <is>
          <t>N24</t>
        </is>
      </c>
      <c r="C382" t="n">
        <v>24</v>
      </c>
      <c r="D382" t="n">
        <v>14</v>
      </c>
      <c r="E382" t="inlineStr">
        <is>
          <t>Input</t>
        </is>
      </c>
      <c r="F382" t="n">
        <v/>
      </c>
      <c r="G382" t="n">
        <v>10724.16706064453</v>
      </c>
      <c r="H382" t="inlineStr"/>
      <c r="I382" t="inlineStr">
        <is>
          <t>0</t>
        </is>
      </c>
      <c r="J382" t="b">
        <v>0</v>
      </c>
      <c r="K382" t="b">
        <v>0</v>
      </c>
      <c r="L382" t="n">
        <v>11</v>
      </c>
      <c r="M382" t="inlineStr">
        <is>
          <t>FFFF0000</t>
        </is>
      </c>
      <c r="N382" t="inlineStr">
        <is>
          <t>00000000</t>
        </is>
      </c>
      <c r="O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Cost Matrix</t>
        </is>
      </c>
      <c r="B383" t="inlineStr">
        <is>
          <t>O24</t>
        </is>
      </c>
      <c r="C383" t="n">
        <v>24</v>
      </c>
      <c r="D383" t="n">
        <v>15</v>
      </c>
      <c r="E383" t="inlineStr">
        <is>
          <t>Input</t>
        </is>
      </c>
      <c r="F383" t="n">
        <v/>
      </c>
      <c r="G383" t="n">
        <v>13036.09185307085</v>
      </c>
      <c r="H383" t="inlineStr"/>
      <c r="I383" t="inlineStr">
        <is>
          <t>0</t>
        </is>
      </c>
      <c r="J383" t="b">
        <v>0</v>
      </c>
      <c r="K383" t="b">
        <v>0</v>
      </c>
      <c r="L383" t="n">
        <v>11</v>
      </c>
      <c r="M383" t="inlineStr">
        <is>
          <t>FFFF0000</t>
        </is>
      </c>
      <c r="N383" t="inlineStr">
        <is>
          <t>00000000</t>
        </is>
      </c>
      <c r="O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Cost Matrix</t>
        </is>
      </c>
      <c r="B384" t="inlineStr">
        <is>
          <t>P24</t>
        </is>
      </c>
      <c r="C384" t="n">
        <v>24</v>
      </c>
      <c r="D384" t="n">
        <v>16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11</v>
      </c>
      <c r="M384" t="inlineStr">
        <is>
          <t>FFFF0000</t>
        </is>
      </c>
      <c r="N384" t="inlineStr">
        <is>
          <t>00000000</t>
        </is>
      </c>
      <c r="O384" t="n">
        <v/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Cost Matrix</t>
        </is>
      </c>
      <c r="B385" t="inlineStr">
        <is>
          <t>A25</t>
        </is>
      </c>
      <c r="C385" t="n">
        <v>25</v>
      </c>
      <c r="D385" t="n">
        <v>1</v>
      </c>
      <c r="E385" t="inlineStr">
        <is>
          <t>Input</t>
        </is>
      </c>
      <c r="F385" t="n">
        <v/>
      </c>
      <c r="G385" t="inlineStr">
        <is>
          <t>Total Revenue</t>
        </is>
      </c>
      <c r="H385" t="inlineStr"/>
      <c r="I385" t="inlineStr">
        <is>
          <t>General</t>
        </is>
      </c>
      <c r="J385" t="b">
        <v>1</v>
      </c>
      <c r="K385" t="b">
        <v>0</v>
      </c>
      <c r="L385" t="n">
        <v>11</v>
      </c>
      <c r="M385" t="inlineStr">
        <is>
          <t>Values must be of type &lt;class 'str'&gt;</t>
        </is>
      </c>
      <c r="N385" t="inlineStr">
        <is>
          <t>00000000</t>
        </is>
      </c>
      <c r="O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Cost Matrix</t>
        </is>
      </c>
      <c r="B386" t="inlineStr">
        <is>
          <t>B25</t>
        </is>
      </c>
      <c r="C386" t="n">
        <v>25</v>
      </c>
      <c r="D386" t="n">
        <v>2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11</v>
      </c>
      <c r="M386" t="inlineStr">
        <is>
          <t>Values must be of type &lt;class 'str'&gt;</t>
        </is>
      </c>
      <c r="N386" t="inlineStr">
        <is>
          <t>00000000</t>
        </is>
      </c>
      <c r="O386" t="n">
        <v/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Cost Matrix</t>
        </is>
      </c>
      <c r="B387" t="inlineStr">
        <is>
          <t>C25</t>
        </is>
      </c>
      <c r="C387" t="n">
        <v>25</v>
      </c>
      <c r="D387" t="n">
        <v>3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Values must be of type &lt;class 'str'&gt;</t>
        </is>
      </c>
      <c r="N387" t="inlineStr">
        <is>
          <t>00000000</t>
        </is>
      </c>
      <c r="O387" t="n">
        <v/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Cost Matrix</t>
        </is>
      </c>
      <c r="B388" t="inlineStr">
        <is>
          <t>D25</t>
        </is>
      </c>
      <c r="C388" t="n">
        <v>25</v>
      </c>
      <c r="D388" t="n">
        <v>4</v>
      </c>
      <c r="E388" t="inlineStr">
        <is>
          <t>Input</t>
        </is>
      </c>
      <c r="F388" t="n">
        <v/>
      </c>
      <c r="G388" t="n">
        <v>39441.70047355549</v>
      </c>
      <c r="H388" t="inlineStr"/>
      <c r="I388" t="inlineStr">
        <is>
          <t>#,##0</t>
        </is>
      </c>
      <c r="J388" t="b">
        <v>0</v>
      </c>
      <c r="K388" t="b">
        <v>0</v>
      </c>
      <c r="L388" t="n">
        <v>11</v>
      </c>
      <c r="M388" t="inlineStr">
        <is>
          <t>Values must be of type &lt;class 'str'&gt;</t>
        </is>
      </c>
      <c r="N388" t="inlineStr">
        <is>
          <t>00000000</t>
        </is>
      </c>
      <c r="O388" t="n">
        <v/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Cost Matrix</t>
        </is>
      </c>
      <c r="B389" t="inlineStr">
        <is>
          <t>E25</t>
        </is>
      </c>
      <c r="C389" t="n">
        <v>25</v>
      </c>
      <c r="D389" t="n">
        <v>5</v>
      </c>
      <c r="E389" t="inlineStr">
        <is>
          <t>Input</t>
        </is>
      </c>
      <c r="F389" t="n">
        <v/>
      </c>
      <c r="G389" t="n">
        <v>57086.31576515087</v>
      </c>
      <c r="H389" t="inlineStr"/>
      <c r="I389" t="inlineStr">
        <is>
          <t>#,##0</t>
        </is>
      </c>
      <c r="J389" t="b">
        <v>0</v>
      </c>
      <c r="K389" t="b">
        <v>0</v>
      </c>
      <c r="L389" t="n">
        <v>11</v>
      </c>
      <c r="M389" t="inlineStr">
        <is>
          <t>Values must be of type &lt;class 'str'&gt;</t>
        </is>
      </c>
      <c r="N389" t="inlineStr">
        <is>
          <t>00000000</t>
        </is>
      </c>
      <c r="O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Cost Matrix</t>
        </is>
      </c>
      <c r="B390" t="inlineStr">
        <is>
          <t>F25</t>
        </is>
      </c>
      <c r="C390" t="n">
        <v>25</v>
      </c>
      <c r="D390" t="n">
        <v>6</v>
      </c>
      <c r="E390" t="inlineStr">
        <is>
          <t>Input</t>
        </is>
      </c>
      <c r="F390" t="n">
        <v/>
      </c>
      <c r="G390" t="n">
        <v>94402.45328315666</v>
      </c>
      <c r="H390" t="inlineStr"/>
      <c r="I390" t="inlineStr">
        <is>
          <t>#,##0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00000000</t>
        </is>
      </c>
      <c r="O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Cost Matrix</t>
        </is>
      </c>
      <c r="B391" t="inlineStr">
        <is>
          <t>G25</t>
        </is>
      </c>
      <c r="C391" t="n">
        <v>25</v>
      </c>
      <c r="D391" t="n">
        <v>7</v>
      </c>
      <c r="E391" t="inlineStr">
        <is>
          <t>Input</t>
        </is>
      </c>
      <c r="F391" t="n">
        <v/>
      </c>
      <c r="G391" t="n">
        <v>114321.3101737246</v>
      </c>
      <c r="H391" t="inlineStr"/>
      <c r="I391" t="inlineStr">
        <is>
          <t>#,##0</t>
        </is>
      </c>
      <c r="J391" t="b">
        <v>0</v>
      </c>
      <c r="K391" t="b">
        <v>0</v>
      </c>
      <c r="L391" t="n">
        <v>11</v>
      </c>
      <c r="M391" t="inlineStr">
        <is>
          <t>Values must be of type &lt;class 'str'&gt;</t>
        </is>
      </c>
      <c r="N391" t="inlineStr">
        <is>
          <t>00000000</t>
        </is>
      </c>
      <c r="O391" t="n">
        <v/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Cost Matrix</t>
        </is>
      </c>
      <c r="B392" t="inlineStr">
        <is>
          <t>H25</t>
        </is>
      </c>
      <c r="C392" t="n">
        <v>25</v>
      </c>
      <c r="D392" t="n">
        <v>8</v>
      </c>
      <c r="E392" t="inlineStr">
        <is>
          <t>Input</t>
        </is>
      </c>
      <c r="F392" t="n">
        <v/>
      </c>
      <c r="G392" t="n">
        <v>143199.3327029665</v>
      </c>
      <c r="H392" t="inlineStr"/>
      <c r="I392" t="inlineStr">
        <is>
          <t>#,##0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n">
        <v/>
      </c>
      <c r="R392" t="b">
        <v>1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Cost Matrix</t>
        </is>
      </c>
      <c r="B393" t="inlineStr">
        <is>
          <t>I25</t>
        </is>
      </c>
      <c r="C393" t="n">
        <v>25</v>
      </c>
      <c r="D393" t="n">
        <v>9</v>
      </c>
      <c r="E393" t="inlineStr">
        <is>
          <t>Input</t>
        </is>
      </c>
      <c r="F393" t="n">
        <v/>
      </c>
      <c r="G393" t="n">
        <v>166013.1477330861</v>
      </c>
      <c r="H393" t="inlineStr"/>
      <c r="I393" t="inlineStr">
        <is>
          <t>#,##0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n">
        <v/>
      </c>
      <c r="R393" t="b">
        <v>1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Cost Matrix</t>
        </is>
      </c>
      <c r="B394" t="inlineStr">
        <is>
          <t>J25</t>
        </is>
      </c>
      <c r="C394" t="n">
        <v>25</v>
      </c>
      <c r="D394" t="n">
        <v>10</v>
      </c>
      <c r="E394" t="inlineStr">
        <is>
          <t>Input</t>
        </is>
      </c>
      <c r="F394" t="n">
        <v/>
      </c>
      <c r="G394" t="n">
        <v>193696.1671537572</v>
      </c>
      <c r="H394" t="inlineStr"/>
      <c r="I394" t="inlineStr">
        <is>
          <t>#,##0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n">
        <v/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Cost Matrix</t>
        </is>
      </c>
      <c r="B395" t="inlineStr">
        <is>
          <t>K25</t>
        </is>
      </c>
      <c r="C395" t="n">
        <v>25</v>
      </c>
      <c r="D395" t="n">
        <v>11</v>
      </c>
      <c r="E395" t="inlineStr">
        <is>
          <t>Input</t>
        </is>
      </c>
      <c r="F395" t="n">
        <v/>
      </c>
      <c r="G395" t="n">
        <v>232246.5874946276</v>
      </c>
      <c r="H395" t="inlineStr"/>
      <c r="I395" t="inlineStr">
        <is>
          <t>0</t>
        </is>
      </c>
      <c r="J395" t="b">
        <v>0</v>
      </c>
      <c r="K395" t="b">
        <v>0</v>
      </c>
      <c r="L395" t="n">
        <v>11</v>
      </c>
      <c r="M395" t="inlineStr">
        <is>
          <t>FFFF0000</t>
        </is>
      </c>
      <c r="N395" t="inlineStr">
        <is>
          <t>00000000</t>
        </is>
      </c>
      <c r="O395" t="n">
        <v/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Cost Matrix</t>
        </is>
      </c>
      <c r="B396" t="inlineStr">
        <is>
          <t>L25</t>
        </is>
      </c>
      <c r="C396" t="n">
        <v>25</v>
      </c>
      <c r="D396" t="n">
        <v>12</v>
      </c>
      <c r="E396" t="inlineStr">
        <is>
          <t>Input</t>
        </is>
      </c>
      <c r="F396" t="n">
        <v/>
      </c>
      <c r="G396" t="n">
        <v>283173.9652034887</v>
      </c>
      <c r="H396" t="inlineStr"/>
      <c r="I396" t="inlineStr">
        <is>
          <t>0</t>
        </is>
      </c>
      <c r="J396" t="b">
        <v>0</v>
      </c>
      <c r="K396" t="b">
        <v>0</v>
      </c>
      <c r="L396" t="n">
        <v>11</v>
      </c>
      <c r="M396" t="inlineStr">
        <is>
          <t>FFFF0000</t>
        </is>
      </c>
      <c r="N396" t="inlineStr">
        <is>
          <t>00000000</t>
        </is>
      </c>
      <c r="O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Cost Matrix</t>
        </is>
      </c>
      <c r="B397" t="inlineStr">
        <is>
          <t>M25</t>
        </is>
      </c>
      <c r="C397" t="n">
        <v>25</v>
      </c>
      <c r="D397" t="n">
        <v>13</v>
      </c>
      <c r="E397" t="inlineStr">
        <is>
          <t>Input</t>
        </is>
      </c>
      <c r="F397" t="n">
        <v/>
      </c>
      <c r="G397" t="n">
        <v>343497.1033705806</v>
      </c>
      <c r="H397" t="inlineStr"/>
      <c r="I397" t="inlineStr">
        <is>
          <t>0</t>
        </is>
      </c>
      <c r="J397" t="b">
        <v>0</v>
      </c>
      <c r="K397" t="b">
        <v>0</v>
      </c>
      <c r="L397" t="n">
        <v>11</v>
      </c>
      <c r="M397" t="inlineStr">
        <is>
          <t>FFFF0000</t>
        </is>
      </c>
      <c r="N397" t="inlineStr">
        <is>
          <t>00000000</t>
        </is>
      </c>
      <c r="O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Cost Matrix</t>
        </is>
      </c>
      <c r="B398" t="inlineStr">
        <is>
          <t>N25</t>
        </is>
      </c>
      <c r="C398" t="n">
        <v>25</v>
      </c>
      <c r="D398" t="n">
        <v>14</v>
      </c>
      <c r="E398" t="inlineStr">
        <is>
          <t>Input</t>
        </is>
      </c>
      <c r="F398" t="n">
        <v/>
      </c>
      <c r="G398" t="n">
        <v>416314.0893844371</v>
      </c>
      <c r="H398" t="inlineStr"/>
      <c r="I398" t="inlineStr">
        <is>
          <t>0</t>
        </is>
      </c>
      <c r="J398" t="b">
        <v>0</v>
      </c>
      <c r="K398" t="b">
        <v>0</v>
      </c>
      <c r="L398" t="n">
        <v>11</v>
      </c>
      <c r="M398" t="inlineStr">
        <is>
          <t>FFFF0000</t>
        </is>
      </c>
      <c r="N398" t="inlineStr">
        <is>
          <t>00000000</t>
        </is>
      </c>
      <c r="O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Cost Matrix</t>
        </is>
      </c>
      <c r="B399" t="inlineStr">
        <is>
          <t>O25</t>
        </is>
      </c>
      <c r="C399" t="n">
        <v>25</v>
      </c>
      <c r="D399" t="n">
        <v>15</v>
      </c>
      <c r="E399" t="inlineStr">
        <is>
          <t>Input</t>
        </is>
      </c>
      <c r="F399" t="n">
        <v/>
      </c>
      <c r="G399" t="n">
        <v>506324.1180421879</v>
      </c>
      <c r="H399" t="inlineStr"/>
      <c r="I399" t="inlineStr">
        <is>
          <t>0</t>
        </is>
      </c>
      <c r="J399" t="b">
        <v>0</v>
      </c>
      <c r="K399" t="b">
        <v>0</v>
      </c>
      <c r="L399" t="n">
        <v>11</v>
      </c>
      <c r="M399" t="inlineStr">
        <is>
          <t>FFFF0000</t>
        </is>
      </c>
      <c r="N399" t="inlineStr">
        <is>
          <t>00000000</t>
        </is>
      </c>
      <c r="O399" t="n">
        <v/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Cost Matrix</t>
        </is>
      </c>
      <c r="B400" t="inlineStr">
        <is>
          <t>P25</t>
        </is>
      </c>
      <c r="C400" t="n">
        <v>25</v>
      </c>
      <c r="D400" t="n">
        <v>16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11</v>
      </c>
      <c r="M400" t="inlineStr">
        <is>
          <t>FFFF0000</t>
        </is>
      </c>
      <c r="N400" t="inlineStr">
        <is>
          <t>00000000</t>
        </is>
      </c>
      <c r="O400" t="n">
        <v/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Cost Matrix</t>
        </is>
      </c>
      <c r="B401" t="inlineStr">
        <is>
          <t>A26</t>
        </is>
      </c>
      <c r="C401" t="n">
        <v>26</v>
      </c>
      <c r="D401" t="n">
        <v>1</v>
      </c>
      <c r="E401" t="inlineStr">
        <is>
          <t>Input</t>
        </is>
      </c>
      <c r="F401" t="n">
        <v/>
      </c>
      <c r="G401" t="inlineStr">
        <is>
          <t>Aircraft fuel expenses</t>
        </is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n">
        <v/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</row>
    <row r="402">
      <c r="A402" t="inlineStr">
        <is>
          <t>Cost Matrix</t>
        </is>
      </c>
      <c r="B402" t="inlineStr">
        <is>
          <t>D26</t>
        </is>
      </c>
      <c r="C402" t="n">
        <v>26</v>
      </c>
      <c r="D402" t="n">
        <v>4</v>
      </c>
      <c r="E402" t="inlineStr">
        <is>
          <t>Input</t>
        </is>
      </c>
      <c r="F402" t="n">
        <v/>
      </c>
      <c r="G402" t="n">
        <v>15213.26</v>
      </c>
      <c r="H402" t="inlineStr"/>
      <c r="I402" t="inlineStr">
        <is>
          <t>#,##0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</row>
    <row r="403">
      <c r="A403" t="inlineStr">
        <is>
          <t>Cost Matrix</t>
        </is>
      </c>
      <c r="B403" t="inlineStr">
        <is>
          <t>E26</t>
        </is>
      </c>
      <c r="C403" t="n">
        <v>26</v>
      </c>
      <c r="D403" t="n">
        <v>5</v>
      </c>
      <c r="E403" t="inlineStr">
        <is>
          <t>Input</t>
        </is>
      </c>
      <c r="F403" t="n">
        <v/>
      </c>
      <c r="G403" t="n">
        <v>28735.91</v>
      </c>
      <c r="H403" t="inlineStr"/>
      <c r="I403" t="inlineStr">
        <is>
          <t>#,##0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</row>
    <row r="404">
      <c r="A404" t="inlineStr">
        <is>
          <t>Cost Matrix</t>
        </is>
      </c>
      <c r="B404" t="inlineStr">
        <is>
          <t>F26</t>
        </is>
      </c>
      <c r="C404" t="n">
        <v>26</v>
      </c>
      <c r="D404" t="n">
        <v>6</v>
      </c>
      <c r="E404" t="inlineStr">
        <is>
          <t>Input</t>
        </is>
      </c>
      <c r="F404" t="n">
        <v/>
      </c>
      <c r="G404" t="n">
        <v>43126.26</v>
      </c>
      <c r="H404" t="inlineStr"/>
      <c r="I404" t="inlineStr">
        <is>
          <t>#,##0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R404" t="b">
        <v>1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</row>
    <row r="405">
      <c r="A405" t="inlineStr">
        <is>
          <t>Cost Matrix</t>
        </is>
      </c>
      <c r="B405" t="inlineStr">
        <is>
          <t>G26</t>
        </is>
      </c>
      <c r="C405" t="n">
        <v>26</v>
      </c>
      <c r="D405" t="n">
        <v>7</v>
      </c>
      <c r="E405" t="inlineStr">
        <is>
          <t>Input</t>
        </is>
      </c>
      <c r="F405" t="n">
        <v/>
      </c>
      <c r="G405" t="n">
        <v>55133.5</v>
      </c>
      <c r="H405" t="inlineStr"/>
      <c r="I405" t="inlineStr">
        <is>
          <t>#,##0</t>
        </is>
      </c>
      <c r="J405" t="b">
        <v>0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n">
        <v/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Cost Matrix</t>
        </is>
      </c>
      <c r="B406" t="inlineStr">
        <is>
          <t>H26</t>
        </is>
      </c>
      <c r="C406" t="n">
        <v>26</v>
      </c>
      <c r="D406" t="n">
        <v>8</v>
      </c>
      <c r="E406" t="inlineStr">
        <is>
          <t>Input</t>
        </is>
      </c>
      <c r="F406" t="n">
        <v/>
      </c>
      <c r="G406" t="n">
        <v>57484.86</v>
      </c>
      <c r="H406" t="inlineStr"/>
      <c r="I406" t="inlineStr">
        <is>
          <t>#,##0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n">
        <v/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Cost Matrix</t>
        </is>
      </c>
      <c r="B407" t="inlineStr">
        <is>
          <t>I26</t>
        </is>
      </c>
      <c r="C407" t="n">
        <v>26</v>
      </c>
      <c r="D407" t="n">
        <v>9</v>
      </c>
      <c r="E407" t="inlineStr">
        <is>
          <t>Input</t>
        </is>
      </c>
      <c r="F407" t="n">
        <v/>
      </c>
      <c r="G407" t="n">
        <v>47793.24</v>
      </c>
      <c r="H407" t="inlineStr"/>
      <c r="I407" t="inlineStr">
        <is>
          <t>#,##0</t>
        </is>
      </c>
      <c r="J407" t="b">
        <v>0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00000000</t>
        </is>
      </c>
      <c r="O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Cost Matrix</t>
        </is>
      </c>
      <c r="B408" t="inlineStr">
        <is>
          <t>J26</t>
        </is>
      </c>
      <c r="C408" t="n">
        <v>26</v>
      </c>
      <c r="D408" t="n">
        <v>10</v>
      </c>
      <c r="E408" t="inlineStr">
        <is>
          <t>Input</t>
        </is>
      </c>
      <c r="F408" t="n">
        <v/>
      </c>
      <c r="G408" t="n">
        <v>63415.13</v>
      </c>
      <c r="H408" t="inlineStr"/>
      <c r="I408" t="inlineStr">
        <is>
          <t>#,##0</t>
        </is>
      </c>
      <c r="J408" t="b">
        <v>0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00000000</t>
        </is>
      </c>
      <c r="O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Cost Matrix</t>
        </is>
      </c>
      <c r="B409" t="inlineStr">
        <is>
          <t>K26</t>
        </is>
      </c>
      <c r="C409" t="n">
        <v>26</v>
      </c>
      <c r="D409" t="n">
        <v>11</v>
      </c>
      <c r="E409" t="inlineStr">
        <is>
          <t>Calculation</t>
        </is>
      </c>
      <c r="F409" t="inlineStr">
        <is>
          <t>'=K13</t>
        </is>
      </c>
      <c r="G409" t="n">
        <v>88047.36997955674</v>
      </c>
      <c r="H409" t="inlineStr"/>
      <c r="I409" t="inlineStr">
        <is>
          <t>#,##0</t>
        </is>
      </c>
      <c r="J409" t="b">
        <v>0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00000000</t>
        </is>
      </c>
      <c r="O409" t="n">
        <v/>
      </c>
      <c r="R409" t="b">
        <v>1</v>
      </c>
      <c r="S409" t="inlineStr">
        <is>
          <t>G000120</t>
        </is>
      </c>
      <c r="T409" t="inlineStr">
        <is>
          <t>Horizontal</t>
        </is>
      </c>
      <c r="U409" t="n">
        <v>5</v>
      </c>
      <c r="V409" t="b">
        <v>1</v>
      </c>
      <c r="W409" t="inlineStr">
        <is>
          <t>Cost Matrix!K26:O26</t>
        </is>
      </c>
      <c r="X409">
        <f>R[-13]C[0]</f>
        <v/>
      </c>
    </row>
    <row r="410">
      <c r="A410" t="inlineStr">
        <is>
          <t>Cost Matrix</t>
        </is>
      </c>
      <c r="B410" t="inlineStr">
        <is>
          <t>L26</t>
        </is>
      </c>
      <c r="C410" t="n">
        <v>26</v>
      </c>
      <c r="D410" t="n">
        <v>12</v>
      </c>
      <c r="E410" t="inlineStr">
        <is>
          <t>Calculation</t>
        </is>
      </c>
      <c r="F410" t="inlineStr">
        <is>
          <t>'=L13</t>
        </is>
      </c>
      <c r="G410" t="n">
        <v>109130.0249099642</v>
      </c>
      <c r="H410" t="inlineStr"/>
      <c r="I410" t="inlineStr">
        <is>
          <t>#,##0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00000000</t>
        </is>
      </c>
      <c r="O410" t="n">
        <v/>
      </c>
      <c r="R410" t="b">
        <v>1</v>
      </c>
      <c r="S410" t="inlineStr">
        <is>
          <t>G000120</t>
        </is>
      </c>
      <c r="T410" t="inlineStr">
        <is>
          <t>Horizontal</t>
        </is>
      </c>
      <c r="U410" t="n">
        <v>5</v>
      </c>
      <c r="V410" t="b">
        <v>1</v>
      </c>
      <c r="W410" t="inlineStr">
        <is>
          <t>Cost Matrix!K26:O26</t>
        </is>
      </c>
      <c r="X410">
        <f>R[-13]C[0]</f>
        <v/>
      </c>
    </row>
    <row r="411">
      <c r="A411" t="inlineStr">
        <is>
          <t>Cost Matrix</t>
        </is>
      </c>
      <c r="B411" t="inlineStr">
        <is>
          <t>M26</t>
        </is>
      </c>
      <c r="C411" t="n">
        <v>26</v>
      </c>
      <c r="D411" t="n">
        <v>13</v>
      </c>
      <c r="E411" t="inlineStr">
        <is>
          <t>Calculation</t>
        </is>
      </c>
      <c r="F411" t="inlineStr">
        <is>
          <t>'=M13</t>
        </is>
      </c>
      <c r="G411" t="n">
        <v>123622.9735557516</v>
      </c>
      <c r="H411" t="inlineStr"/>
      <c r="I411" t="inlineStr">
        <is>
          <t>#,##0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00000000</t>
        </is>
      </c>
      <c r="O411" t="n">
        <v/>
      </c>
      <c r="R411" t="b">
        <v>1</v>
      </c>
      <c r="S411" t="inlineStr">
        <is>
          <t>G000120</t>
        </is>
      </c>
      <c r="T411" t="inlineStr">
        <is>
          <t>Horizontal</t>
        </is>
      </c>
      <c r="U411" t="n">
        <v>5</v>
      </c>
      <c r="V411" t="b">
        <v>1</v>
      </c>
      <c r="W411" t="inlineStr">
        <is>
          <t>Cost Matrix!K26:O26</t>
        </is>
      </c>
      <c r="X411">
        <f>R[-13]C[0]</f>
        <v/>
      </c>
    </row>
    <row r="412">
      <c r="A412" t="inlineStr">
        <is>
          <t>Cost Matrix</t>
        </is>
      </c>
      <c r="B412" t="inlineStr">
        <is>
          <t>N26</t>
        </is>
      </c>
      <c r="C412" t="n">
        <v>26</v>
      </c>
      <c r="D412" t="n">
        <v>14</v>
      </c>
      <c r="E412" t="inlineStr">
        <is>
          <t>Calculation</t>
        </is>
      </c>
      <c r="F412" t="inlineStr">
        <is>
          <t>'=N13</t>
        </is>
      </c>
      <c r="G412" t="n">
        <v>148476.9839638679</v>
      </c>
      <c r="H412" t="inlineStr"/>
      <c r="I412" t="inlineStr">
        <is>
          <t>#,##0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00000000</t>
        </is>
      </c>
      <c r="O412" t="n">
        <v/>
      </c>
      <c r="R412" t="b">
        <v>1</v>
      </c>
      <c r="S412" t="inlineStr">
        <is>
          <t>G000120</t>
        </is>
      </c>
      <c r="T412" t="inlineStr">
        <is>
          <t>Horizontal</t>
        </is>
      </c>
      <c r="U412" t="n">
        <v>5</v>
      </c>
      <c r="V412" t="b">
        <v>1</v>
      </c>
      <c r="W412" t="inlineStr">
        <is>
          <t>Cost Matrix!K26:O26</t>
        </is>
      </c>
      <c r="X412">
        <f>R[-13]C[0]</f>
        <v/>
      </c>
    </row>
    <row r="413">
      <c r="A413" t="inlineStr">
        <is>
          <t>Cost Matrix</t>
        </is>
      </c>
      <c r="B413" t="inlineStr">
        <is>
          <t>O26</t>
        </is>
      </c>
      <c r="C413" t="n">
        <v>26</v>
      </c>
      <c r="D413" t="n">
        <v>15</v>
      </c>
      <c r="E413" t="inlineStr">
        <is>
          <t>Calculation</t>
        </is>
      </c>
      <c r="F413" t="inlineStr">
        <is>
          <t>'=O13</t>
        </is>
      </c>
      <c r="G413" t="n">
        <v>178058.9890867712</v>
      </c>
      <c r="H413" t="inlineStr"/>
      <c r="I413" t="inlineStr">
        <is>
          <t>#,##0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00000000</t>
        </is>
      </c>
      <c r="O413" t="n">
        <v/>
      </c>
      <c r="R413" t="b">
        <v>1</v>
      </c>
      <c r="S413" t="inlineStr">
        <is>
          <t>G000120</t>
        </is>
      </c>
      <c r="T413" t="inlineStr">
        <is>
          <t>Horizontal</t>
        </is>
      </c>
      <c r="U413" t="n">
        <v>5</v>
      </c>
      <c r="V413" t="b">
        <v>1</v>
      </c>
      <c r="W413" t="inlineStr">
        <is>
          <t>Cost Matrix!K26:O26</t>
        </is>
      </c>
      <c r="X413">
        <f>R[-13]C[0]</f>
        <v/>
      </c>
    </row>
    <row r="414">
      <c r="A414" t="inlineStr">
        <is>
          <t>Cost Matrix</t>
        </is>
      </c>
      <c r="B414" t="inlineStr">
        <is>
          <t>D27</t>
        </is>
      </c>
      <c r="C414" t="n">
        <v>27</v>
      </c>
      <c r="D414" t="n">
        <v>4</v>
      </c>
      <c r="E414" t="inlineStr">
        <is>
          <t>Output</t>
        </is>
      </c>
      <c r="F414" t="inlineStr">
        <is>
          <t>'=D26/D$25</t>
        </is>
      </c>
      <c r="G414" t="n">
        <v>0.3857151141391596</v>
      </c>
      <c r="H414" t="inlineStr"/>
      <c r="I414" t="inlineStr">
        <is>
          <t>0.00%</t>
        </is>
      </c>
      <c r="J414" t="b">
        <v>0</v>
      </c>
      <c r="K414" t="b">
        <v>1</v>
      </c>
      <c r="L414" t="n">
        <v>11</v>
      </c>
      <c r="M414" t="inlineStr">
        <is>
          <t>FF0B0280</t>
        </is>
      </c>
      <c r="N414" t="inlineStr">
        <is>
          <t>00000000</t>
        </is>
      </c>
      <c r="O414" t="inlineStr">
        <is>
          <t>center</t>
        </is>
      </c>
      <c r="R414" t="b">
        <v>1</v>
      </c>
      <c r="S414" t="inlineStr">
        <is>
          <t>G000121</t>
        </is>
      </c>
      <c r="T414" t="inlineStr">
        <is>
          <t>Horizontal</t>
        </is>
      </c>
      <c r="U414" t="n">
        <v>12</v>
      </c>
      <c r="V414" t="b">
        <v>1</v>
      </c>
      <c r="W414" t="inlineStr">
        <is>
          <t>Cost Matrix!D27:O27</t>
        </is>
      </c>
      <c r="X414">
        <f>R[-1]C[0]/R25C[0]</f>
        <v/>
      </c>
    </row>
    <row r="415">
      <c r="A415" t="inlineStr">
        <is>
          <t>Cost Matrix</t>
        </is>
      </c>
      <c r="B415" t="inlineStr">
        <is>
          <t>E27</t>
        </is>
      </c>
      <c r="C415" t="n">
        <v>27</v>
      </c>
      <c r="D415" t="n">
        <v>5</v>
      </c>
      <c r="E415" t="inlineStr">
        <is>
          <t>Output</t>
        </is>
      </c>
      <c r="F415" t="inlineStr">
        <is>
          <t>'=E26/E$25</t>
        </is>
      </c>
      <c r="G415" t="n">
        <v>0.5033765030172473</v>
      </c>
      <c r="H415" t="inlineStr"/>
      <c r="I415" t="inlineStr">
        <is>
          <t>0.00%</t>
        </is>
      </c>
      <c r="J415" t="b">
        <v>0</v>
      </c>
      <c r="K415" t="b">
        <v>1</v>
      </c>
      <c r="L415" t="n">
        <v>11</v>
      </c>
      <c r="M415" t="inlineStr">
        <is>
          <t>FF0B0280</t>
        </is>
      </c>
      <c r="N415" t="inlineStr">
        <is>
          <t>00000000</t>
        </is>
      </c>
      <c r="O415" t="inlineStr">
        <is>
          <t>center</t>
        </is>
      </c>
      <c r="R415" t="b">
        <v>1</v>
      </c>
      <c r="S415" t="inlineStr">
        <is>
          <t>G000121</t>
        </is>
      </c>
      <c r="T415" t="inlineStr">
        <is>
          <t>Horizontal</t>
        </is>
      </c>
      <c r="U415" t="n">
        <v>12</v>
      </c>
      <c r="V415" t="b">
        <v>1</v>
      </c>
      <c r="W415" t="inlineStr">
        <is>
          <t>Cost Matrix!D27:O27</t>
        </is>
      </c>
      <c r="X415">
        <f>R[-1]C[0]/R25C[0]</f>
        <v/>
      </c>
    </row>
    <row r="416">
      <c r="A416" t="inlineStr">
        <is>
          <t>Cost Matrix</t>
        </is>
      </c>
      <c r="B416" t="inlineStr">
        <is>
          <t>F27</t>
        </is>
      </c>
      <c r="C416" t="n">
        <v>27</v>
      </c>
      <c r="D416" t="n">
        <v>6</v>
      </c>
      <c r="E416" t="inlineStr">
        <is>
          <t>Output</t>
        </is>
      </c>
      <c r="F416" t="inlineStr">
        <is>
          <t>'=F26/F$25</t>
        </is>
      </c>
      <c r="G416" t="n">
        <v>0.456834102294401</v>
      </c>
      <c r="H416" t="inlineStr"/>
      <c r="I416" t="inlineStr">
        <is>
          <t>0.00%</t>
        </is>
      </c>
      <c r="J416" t="b">
        <v>0</v>
      </c>
      <c r="K416" t="b">
        <v>1</v>
      </c>
      <c r="L416" t="n">
        <v>11</v>
      </c>
      <c r="M416" t="inlineStr">
        <is>
          <t>FF0B0280</t>
        </is>
      </c>
      <c r="N416" t="inlineStr">
        <is>
          <t>00000000</t>
        </is>
      </c>
      <c r="O416" t="inlineStr">
        <is>
          <t>center</t>
        </is>
      </c>
      <c r="R416" t="b">
        <v>1</v>
      </c>
      <c r="S416" t="inlineStr">
        <is>
          <t>G000121</t>
        </is>
      </c>
      <c r="T416" t="inlineStr">
        <is>
          <t>Horizontal</t>
        </is>
      </c>
      <c r="U416" t="n">
        <v>12</v>
      </c>
      <c r="V416" t="b">
        <v>1</v>
      </c>
      <c r="W416" t="inlineStr">
        <is>
          <t>Cost Matrix!D27:O27</t>
        </is>
      </c>
      <c r="X416">
        <f>R[-1]C[0]/R25C[0]</f>
        <v/>
      </c>
    </row>
    <row r="417">
      <c r="A417" t="inlineStr">
        <is>
          <t>Cost Matrix</t>
        </is>
      </c>
      <c r="B417" t="inlineStr">
        <is>
          <t>G27</t>
        </is>
      </c>
      <c r="C417" t="n">
        <v>27</v>
      </c>
      <c r="D417" t="n">
        <v>7</v>
      </c>
      <c r="E417" t="inlineStr">
        <is>
          <t>Output</t>
        </is>
      </c>
      <c r="F417" t="inlineStr">
        <is>
          <t>'=G26/G$25</t>
        </is>
      </c>
      <c r="G417" t="n">
        <v>0.4822679158961544</v>
      </c>
      <c r="H417" t="inlineStr"/>
      <c r="I417" t="inlineStr">
        <is>
          <t>0.00%</t>
        </is>
      </c>
      <c r="J417" t="b">
        <v>0</v>
      </c>
      <c r="K417" t="b">
        <v>1</v>
      </c>
      <c r="L417" t="n">
        <v>11</v>
      </c>
      <c r="M417" t="inlineStr">
        <is>
          <t>FF0B0280</t>
        </is>
      </c>
      <c r="N417" t="inlineStr">
        <is>
          <t>00000000</t>
        </is>
      </c>
      <c r="O417" t="inlineStr">
        <is>
          <t>center</t>
        </is>
      </c>
      <c r="R417" t="b">
        <v>1</v>
      </c>
      <c r="S417" t="inlineStr">
        <is>
          <t>G000121</t>
        </is>
      </c>
      <c r="T417" t="inlineStr">
        <is>
          <t>Horizontal</t>
        </is>
      </c>
      <c r="U417" t="n">
        <v>12</v>
      </c>
      <c r="V417" t="b">
        <v>1</v>
      </c>
      <c r="W417" t="inlineStr">
        <is>
          <t>Cost Matrix!D27:O27</t>
        </is>
      </c>
      <c r="X417">
        <f>R[-1]C[0]/R25C[0]</f>
        <v/>
      </c>
    </row>
    <row r="418">
      <c r="A418" t="inlineStr">
        <is>
          <t>Cost Matrix</t>
        </is>
      </c>
      <c r="B418" t="inlineStr">
        <is>
          <t>H27</t>
        </is>
      </c>
      <c r="C418" t="n">
        <v>27</v>
      </c>
      <c r="D418" t="n">
        <v>8</v>
      </c>
      <c r="E418" t="inlineStr">
        <is>
          <t>Output</t>
        </is>
      </c>
      <c r="F418" t="inlineStr">
        <is>
          <t>'=H26/H$25</t>
        </is>
      </c>
      <c r="G418" t="n">
        <v>0.4014324572254739</v>
      </c>
      <c r="H418" t="inlineStr"/>
      <c r="I418" t="inlineStr">
        <is>
          <t>0.00%</t>
        </is>
      </c>
      <c r="J418" t="b">
        <v>0</v>
      </c>
      <c r="K418" t="b">
        <v>1</v>
      </c>
      <c r="L418" t="n">
        <v>11</v>
      </c>
      <c r="M418" t="inlineStr">
        <is>
          <t>FF0B0280</t>
        </is>
      </c>
      <c r="N418" t="inlineStr">
        <is>
          <t>00000000</t>
        </is>
      </c>
      <c r="O418" t="inlineStr">
        <is>
          <t>center</t>
        </is>
      </c>
      <c r="R418" t="b">
        <v>1</v>
      </c>
      <c r="S418" t="inlineStr">
        <is>
          <t>G000121</t>
        </is>
      </c>
      <c r="T418" t="inlineStr">
        <is>
          <t>Horizontal</t>
        </is>
      </c>
      <c r="U418" t="n">
        <v>12</v>
      </c>
      <c r="V418" t="b">
        <v>1</v>
      </c>
      <c r="W418" t="inlineStr">
        <is>
          <t>Cost Matrix!D27:O27</t>
        </is>
      </c>
      <c r="X418">
        <f>R[-1]C[0]/R25C[0]</f>
        <v/>
      </c>
    </row>
    <row r="419">
      <c r="A419" t="inlineStr">
        <is>
          <t>Cost Matrix</t>
        </is>
      </c>
      <c r="B419" t="inlineStr">
        <is>
          <t>I27</t>
        </is>
      </c>
      <c r="C419" t="n">
        <v>27</v>
      </c>
      <c r="D419" t="n">
        <v>9</v>
      </c>
      <c r="E419" t="inlineStr">
        <is>
          <t>Output</t>
        </is>
      </c>
      <c r="F419" t="inlineStr">
        <is>
          <t>'=I26/I$25</t>
        </is>
      </c>
      <c r="G419" t="n">
        <v>0.2878882826608491</v>
      </c>
      <c r="H419" t="inlineStr"/>
      <c r="I419" t="inlineStr">
        <is>
          <t>0.00%</t>
        </is>
      </c>
      <c r="J419" t="b">
        <v>0</v>
      </c>
      <c r="K419" t="b">
        <v>1</v>
      </c>
      <c r="L419" t="n">
        <v>11</v>
      </c>
      <c r="M419" t="inlineStr">
        <is>
          <t>FF0B0280</t>
        </is>
      </c>
      <c r="N419" t="inlineStr">
        <is>
          <t>00000000</t>
        </is>
      </c>
      <c r="O419" t="inlineStr">
        <is>
          <t>center</t>
        </is>
      </c>
      <c r="R419" t="b">
        <v>1</v>
      </c>
      <c r="S419" t="inlineStr">
        <is>
          <t>G000121</t>
        </is>
      </c>
      <c r="T419" t="inlineStr">
        <is>
          <t>Horizontal</t>
        </is>
      </c>
      <c r="U419" t="n">
        <v>12</v>
      </c>
      <c r="V419" t="b">
        <v>1</v>
      </c>
      <c r="W419" t="inlineStr">
        <is>
          <t>Cost Matrix!D27:O27</t>
        </is>
      </c>
      <c r="X419">
        <f>R[-1]C[0]/R25C[0]</f>
        <v/>
      </c>
    </row>
    <row r="420">
      <c r="A420" t="inlineStr">
        <is>
          <t>Cost Matrix</t>
        </is>
      </c>
      <c r="B420" t="inlineStr">
        <is>
          <t>J27</t>
        </is>
      </c>
      <c r="C420" t="n">
        <v>27</v>
      </c>
      <c r="D420" t="n">
        <v>10</v>
      </c>
      <c r="E420" t="inlineStr">
        <is>
          <t>Output</t>
        </is>
      </c>
      <c r="F420" t="inlineStr">
        <is>
          <t>'=J26/J$25</t>
        </is>
      </c>
      <c r="G420" t="n">
        <v>0.3273948624376273</v>
      </c>
      <c r="H420" t="inlineStr"/>
      <c r="I420" t="inlineStr">
        <is>
          <t>0.00%</t>
        </is>
      </c>
      <c r="J420" t="b">
        <v>0</v>
      </c>
      <c r="K420" t="b">
        <v>1</v>
      </c>
      <c r="L420" t="n">
        <v>11</v>
      </c>
      <c r="M420" t="inlineStr">
        <is>
          <t>FF0B0280</t>
        </is>
      </c>
      <c r="N420" t="inlineStr">
        <is>
          <t>00000000</t>
        </is>
      </c>
      <c r="O420" t="inlineStr">
        <is>
          <t>center</t>
        </is>
      </c>
      <c r="R420" t="b">
        <v>1</v>
      </c>
      <c r="S420" t="inlineStr">
        <is>
          <t>G000121</t>
        </is>
      </c>
      <c r="T420" t="inlineStr">
        <is>
          <t>Horizontal</t>
        </is>
      </c>
      <c r="U420" t="n">
        <v>12</v>
      </c>
      <c r="V420" t="b">
        <v>1</v>
      </c>
      <c r="W420" t="inlineStr">
        <is>
          <t>Cost Matrix!D27:O27</t>
        </is>
      </c>
      <c r="X420">
        <f>R[-1]C[0]/R25C[0]</f>
        <v/>
      </c>
    </row>
    <row r="421">
      <c r="A421" t="inlineStr">
        <is>
          <t>Cost Matrix</t>
        </is>
      </c>
      <c r="B421" t="inlineStr">
        <is>
          <t>K27</t>
        </is>
      </c>
      <c r="C421" t="n">
        <v>27</v>
      </c>
      <c r="D421" t="n">
        <v>11</v>
      </c>
      <c r="E421" t="inlineStr">
        <is>
          <t>Output</t>
        </is>
      </c>
      <c r="F421" t="inlineStr">
        <is>
          <t>'=K26/K$25</t>
        </is>
      </c>
      <c r="G421" t="n">
        <v>0.379111576748543</v>
      </c>
      <c r="H421" t="inlineStr"/>
      <c r="I421" t="inlineStr">
        <is>
          <t>0.00%</t>
        </is>
      </c>
      <c r="J421" t="b">
        <v>0</v>
      </c>
      <c r="K421" t="b">
        <v>1</v>
      </c>
      <c r="L421" t="n">
        <v>11</v>
      </c>
      <c r="M421" t="inlineStr">
        <is>
          <t>FF0B0280</t>
        </is>
      </c>
      <c r="N421" t="inlineStr">
        <is>
          <t>00000000</t>
        </is>
      </c>
      <c r="O421" t="inlineStr">
        <is>
          <t>center</t>
        </is>
      </c>
      <c r="R421" t="b">
        <v>1</v>
      </c>
      <c r="S421" t="inlineStr">
        <is>
          <t>G000121</t>
        </is>
      </c>
      <c r="T421" t="inlineStr">
        <is>
          <t>Horizontal</t>
        </is>
      </c>
      <c r="U421" t="n">
        <v>12</v>
      </c>
      <c r="V421" t="b">
        <v>1</v>
      </c>
      <c r="W421" t="inlineStr">
        <is>
          <t>Cost Matrix!D27:O27</t>
        </is>
      </c>
      <c r="X421">
        <f>R[-1]C[0]/R25C[0]</f>
        <v/>
      </c>
    </row>
    <row r="422">
      <c r="A422" t="inlineStr">
        <is>
          <t>Cost Matrix</t>
        </is>
      </c>
      <c r="B422" t="inlineStr">
        <is>
          <t>L27</t>
        </is>
      </c>
      <c r="C422" t="n">
        <v>27</v>
      </c>
      <c r="D422" t="n">
        <v>12</v>
      </c>
      <c r="E422" t="inlineStr">
        <is>
          <t>Output</t>
        </is>
      </c>
      <c r="F422" t="inlineStr">
        <is>
          <t>'=L26/L$25</t>
        </is>
      </c>
      <c r="G422" t="n">
        <v>0.3853815615836839</v>
      </c>
      <c r="H422" t="inlineStr"/>
      <c r="I422" t="inlineStr">
        <is>
          <t>0.00%</t>
        </is>
      </c>
      <c r="J422" t="b">
        <v>0</v>
      </c>
      <c r="K422" t="b">
        <v>1</v>
      </c>
      <c r="L422" t="n">
        <v>11</v>
      </c>
      <c r="M422" t="inlineStr">
        <is>
          <t>FF0B0280</t>
        </is>
      </c>
      <c r="N422" t="inlineStr">
        <is>
          <t>00000000</t>
        </is>
      </c>
      <c r="O422" t="inlineStr">
        <is>
          <t>center</t>
        </is>
      </c>
      <c r="R422" t="b">
        <v>1</v>
      </c>
      <c r="S422" t="inlineStr">
        <is>
          <t>G000121</t>
        </is>
      </c>
      <c r="T422" t="inlineStr">
        <is>
          <t>Horizontal</t>
        </is>
      </c>
      <c r="U422" t="n">
        <v>12</v>
      </c>
      <c r="V422" t="b">
        <v>1</v>
      </c>
      <c r="W422" t="inlineStr">
        <is>
          <t>Cost Matrix!D27:O27</t>
        </is>
      </c>
      <c r="X422">
        <f>R[-1]C[0]/R25C[0]</f>
        <v/>
      </c>
    </row>
    <row r="423">
      <c r="A423" t="inlineStr">
        <is>
          <t>Cost Matrix</t>
        </is>
      </c>
      <c r="B423" t="inlineStr">
        <is>
          <t>M27</t>
        </is>
      </c>
      <c r="C423" t="n">
        <v>27</v>
      </c>
      <c r="D423" t="n">
        <v>13</v>
      </c>
      <c r="E423" t="inlineStr">
        <is>
          <t>Output</t>
        </is>
      </c>
      <c r="F423" t="inlineStr">
        <is>
          <t>'=M26/M$25</t>
        </is>
      </c>
      <c r="G423" t="n">
        <v>0.3598952431991295</v>
      </c>
      <c r="H423" t="inlineStr"/>
      <c r="I423" t="inlineStr">
        <is>
          <t>0.00%</t>
        </is>
      </c>
      <c r="J423" t="b">
        <v>0</v>
      </c>
      <c r="K423" t="b">
        <v>1</v>
      </c>
      <c r="L423" t="n">
        <v>11</v>
      </c>
      <c r="M423" t="inlineStr">
        <is>
          <t>FF0B0280</t>
        </is>
      </c>
      <c r="N423" t="inlineStr">
        <is>
          <t>00000000</t>
        </is>
      </c>
      <c r="O423" t="inlineStr">
        <is>
          <t>center</t>
        </is>
      </c>
      <c r="R423" t="b">
        <v>1</v>
      </c>
      <c r="S423" t="inlineStr">
        <is>
          <t>G000121</t>
        </is>
      </c>
      <c r="T423" t="inlineStr">
        <is>
          <t>Horizontal</t>
        </is>
      </c>
      <c r="U423" t="n">
        <v>12</v>
      </c>
      <c r="V423" t="b">
        <v>1</v>
      </c>
      <c r="W423" t="inlineStr">
        <is>
          <t>Cost Matrix!D27:O27</t>
        </is>
      </c>
      <c r="X423">
        <f>R[-1]C[0]/R25C[0]</f>
        <v/>
      </c>
    </row>
    <row r="424">
      <c r="A424" t="inlineStr">
        <is>
          <t>Cost Matrix</t>
        </is>
      </c>
      <c r="B424" t="inlineStr">
        <is>
          <t>N27</t>
        </is>
      </c>
      <c r="C424" t="n">
        <v>27</v>
      </c>
      <c r="D424" t="n">
        <v>14</v>
      </c>
      <c r="E424" t="inlineStr">
        <is>
          <t>Output</t>
        </is>
      </c>
      <c r="F424" t="inlineStr">
        <is>
          <t>'=N26/N$25</t>
        </is>
      </c>
      <c r="G424" t="n">
        <v>0.3566465506449861</v>
      </c>
      <c r="H424" t="inlineStr"/>
      <c r="I424" t="inlineStr">
        <is>
          <t>0.00%</t>
        </is>
      </c>
      <c r="J424" t="b">
        <v>0</v>
      </c>
      <c r="K424" t="b">
        <v>1</v>
      </c>
      <c r="L424" t="n">
        <v>11</v>
      </c>
      <c r="M424" t="inlineStr">
        <is>
          <t>FF0B0280</t>
        </is>
      </c>
      <c r="N424" t="inlineStr">
        <is>
          <t>00000000</t>
        </is>
      </c>
      <c r="O424" t="inlineStr">
        <is>
          <t>center</t>
        </is>
      </c>
      <c r="R424" t="b">
        <v>1</v>
      </c>
      <c r="S424" t="inlineStr">
        <is>
          <t>G000121</t>
        </is>
      </c>
      <c r="T424" t="inlineStr">
        <is>
          <t>Horizontal</t>
        </is>
      </c>
      <c r="U424" t="n">
        <v>12</v>
      </c>
      <c r="V424" t="b">
        <v>1</v>
      </c>
      <c r="W424" t="inlineStr">
        <is>
          <t>Cost Matrix!D27:O27</t>
        </is>
      </c>
      <c r="X424">
        <f>R[-1]C[0]/R25C[0]</f>
        <v/>
      </c>
    </row>
    <row r="425">
      <c r="A425" t="inlineStr">
        <is>
          <t>Cost Matrix</t>
        </is>
      </c>
      <c r="B425" t="inlineStr">
        <is>
          <t>O27</t>
        </is>
      </c>
      <c r="C425" t="n">
        <v>27</v>
      </c>
      <c r="D425" t="n">
        <v>15</v>
      </c>
      <c r="E425" t="inlineStr">
        <is>
          <t>Output</t>
        </is>
      </c>
      <c r="F425" t="inlineStr">
        <is>
          <t>'=O26/O$25</t>
        </is>
      </c>
      <c r="G425" t="n">
        <v>0.3516699733271149</v>
      </c>
      <c r="H425" t="inlineStr"/>
      <c r="I425" t="inlineStr">
        <is>
          <t>0.00%</t>
        </is>
      </c>
      <c r="J425" t="b">
        <v>0</v>
      </c>
      <c r="K425" t="b">
        <v>1</v>
      </c>
      <c r="L425" t="n">
        <v>11</v>
      </c>
      <c r="M425" t="inlineStr">
        <is>
          <t>FF0B0280</t>
        </is>
      </c>
      <c r="N425" t="inlineStr">
        <is>
          <t>00000000</t>
        </is>
      </c>
      <c r="O425" t="inlineStr">
        <is>
          <t>center</t>
        </is>
      </c>
      <c r="R425" t="b">
        <v>1</v>
      </c>
      <c r="S425" t="inlineStr">
        <is>
          <t>G000121</t>
        </is>
      </c>
      <c r="T425" t="inlineStr">
        <is>
          <t>Horizontal</t>
        </is>
      </c>
      <c r="U425" t="n">
        <v>12</v>
      </c>
      <c r="V425" t="b">
        <v>1</v>
      </c>
      <c r="W425" t="inlineStr">
        <is>
          <t>Cost Matrix!D27:O27</t>
        </is>
      </c>
      <c r="X425">
        <f>R[-1]C[0]/R25C[0]</f>
        <v/>
      </c>
    </row>
    <row r="426">
      <c r="A426" t="inlineStr">
        <is>
          <t>Cost Matrix</t>
        </is>
      </c>
      <c r="B426" t="inlineStr">
        <is>
          <t>A28</t>
        </is>
      </c>
      <c r="C426" t="n">
        <v>28</v>
      </c>
      <c r="D426" t="n">
        <v>1</v>
      </c>
      <c r="E426" t="inlineStr">
        <is>
          <t>Input</t>
        </is>
      </c>
      <c r="F426" t="n">
        <v/>
      </c>
      <c r="G426" t="inlineStr">
        <is>
          <t>Aircraft and engine rentals</t>
        </is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n">
        <v/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</row>
    <row r="427">
      <c r="A427" t="inlineStr">
        <is>
          <t>Cost Matrix</t>
        </is>
      </c>
      <c r="B427" t="inlineStr">
        <is>
          <t>D28</t>
        </is>
      </c>
      <c r="C427" t="n">
        <v>28</v>
      </c>
      <c r="D427" t="n">
        <v>4</v>
      </c>
      <c r="E427" t="inlineStr">
        <is>
          <t>Input</t>
        </is>
      </c>
      <c r="F427" t="n">
        <v/>
      </c>
      <c r="G427" t="n">
        <v>6372.43</v>
      </c>
      <c r="H427" t="inlineStr"/>
      <c r="I427" t="inlineStr">
        <is>
          <t>#,##0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</row>
    <row r="428">
      <c r="A428" t="inlineStr">
        <is>
          <t>Cost Matrix</t>
        </is>
      </c>
      <c r="B428" t="inlineStr">
        <is>
          <t>E28</t>
        </is>
      </c>
      <c r="C428" t="n">
        <v>28</v>
      </c>
      <c r="D428" t="n">
        <v>5</v>
      </c>
      <c r="E428" t="inlineStr">
        <is>
          <t>Input</t>
        </is>
      </c>
      <c r="F428" t="n">
        <v/>
      </c>
      <c r="G428" t="n">
        <v>10634.4</v>
      </c>
      <c r="H428" t="inlineStr"/>
      <c r="I428" t="inlineStr">
        <is>
          <t>#,##0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</row>
    <row r="429">
      <c r="A429" t="inlineStr">
        <is>
          <t>Cost Matrix</t>
        </is>
      </c>
      <c r="B429" t="inlineStr">
        <is>
          <t>F28</t>
        </is>
      </c>
      <c r="C429" t="n">
        <v>28</v>
      </c>
      <c r="D429" t="n">
        <v>6</v>
      </c>
      <c r="E429" t="inlineStr">
        <is>
          <t>Input</t>
        </is>
      </c>
      <c r="F429" t="n">
        <v/>
      </c>
      <c r="G429" t="n">
        <v>17149.51</v>
      </c>
      <c r="H429" t="inlineStr"/>
      <c r="I429" t="inlineStr">
        <is>
          <t>#,##0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00000000</t>
        </is>
      </c>
      <c r="O429" t="n">
        <v/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Cost Matrix</t>
        </is>
      </c>
      <c r="B430" t="inlineStr">
        <is>
          <t>G28</t>
        </is>
      </c>
      <c r="C430" t="n">
        <v>28</v>
      </c>
      <c r="D430" t="n">
        <v>7</v>
      </c>
      <c r="E430" t="inlineStr">
        <is>
          <t>Input</t>
        </is>
      </c>
      <c r="F430" t="n">
        <v/>
      </c>
      <c r="G430" t="n">
        <v>20310.31</v>
      </c>
      <c r="H430" t="inlineStr"/>
      <c r="I430" t="inlineStr">
        <is>
          <t>#,##0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00000000</t>
        </is>
      </c>
      <c r="O430" t="n">
        <v/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Cost Matrix</t>
        </is>
      </c>
      <c r="B431" t="inlineStr">
        <is>
          <t>H28</t>
        </is>
      </c>
      <c r="C431" t="n">
        <v>28</v>
      </c>
      <c r="D431" t="n">
        <v>8</v>
      </c>
      <c r="E431" t="inlineStr">
        <is>
          <t>Input</t>
        </is>
      </c>
      <c r="F431" t="n">
        <v/>
      </c>
      <c r="G431" t="n">
        <v>23075.5</v>
      </c>
      <c r="H431" t="inlineStr"/>
      <c r="I431" t="inlineStr">
        <is>
          <t>#,##0</t>
        </is>
      </c>
      <c r="J431" t="b">
        <v>0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00000000</t>
        </is>
      </c>
      <c r="O431" t="n">
        <v/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Cost Matrix</t>
        </is>
      </c>
      <c r="B432" t="inlineStr">
        <is>
          <t>I28</t>
        </is>
      </c>
      <c r="C432" t="n">
        <v>28</v>
      </c>
      <c r="D432" t="n">
        <v>9</v>
      </c>
      <c r="E432" t="inlineStr">
        <is>
          <t>Input</t>
        </is>
      </c>
      <c r="F432" t="n">
        <v/>
      </c>
      <c r="G432" t="n">
        <v>29687.48</v>
      </c>
      <c r="H432" t="inlineStr"/>
      <c r="I432" t="inlineStr">
        <is>
          <t>#,##0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n">
        <v/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Cost Matrix</t>
        </is>
      </c>
      <c r="B433" t="inlineStr">
        <is>
          <t>J28</t>
        </is>
      </c>
      <c r="C433" t="n">
        <v>28</v>
      </c>
      <c r="D433" t="n">
        <v>10</v>
      </c>
      <c r="E433" t="inlineStr">
        <is>
          <t>Input</t>
        </is>
      </c>
      <c r="F433" t="n">
        <v/>
      </c>
      <c r="G433" t="n">
        <v>36585.73</v>
      </c>
      <c r="H433" t="inlineStr"/>
      <c r="I433" t="inlineStr">
        <is>
          <t>#,##0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00000000</t>
        </is>
      </c>
      <c r="O433" t="n">
        <v/>
      </c>
      <c r="R433" t="b">
        <v>1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Cost Matrix</t>
        </is>
      </c>
      <c r="B434" t="inlineStr">
        <is>
          <t>K28</t>
        </is>
      </c>
      <c r="C434" t="n">
        <v>28</v>
      </c>
      <c r="D434" t="n">
        <v>11</v>
      </c>
      <c r="E434" t="inlineStr">
        <is>
          <t>Calculation</t>
        </is>
      </c>
      <c r="F434" t="inlineStr">
        <is>
          <t>'=K29*K$25</t>
        </is>
      </c>
      <c r="G434" t="n">
        <v>41804.38574903298</v>
      </c>
      <c r="H434" t="inlineStr"/>
      <c r="I434" t="inlineStr">
        <is>
          <t>#,##0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n">
        <v/>
      </c>
      <c r="R434" t="b">
        <v>1</v>
      </c>
      <c r="S434" t="inlineStr">
        <is>
          <t>G000129</t>
        </is>
      </c>
      <c r="T434" t="inlineStr">
        <is>
          <t>Horizontal</t>
        </is>
      </c>
      <c r="U434" t="n">
        <v>5</v>
      </c>
      <c r="V434" t="b">
        <v>1</v>
      </c>
      <c r="W434" t="inlineStr">
        <is>
          <t>Cost Matrix!K28:O28</t>
        </is>
      </c>
      <c r="X434">
        <f>R[1]C[0]*R25C[0]</f>
        <v/>
      </c>
    </row>
    <row r="435">
      <c r="A435" t="inlineStr">
        <is>
          <t>Cost Matrix</t>
        </is>
      </c>
      <c r="B435" t="inlineStr">
        <is>
          <t>L28</t>
        </is>
      </c>
      <c r="C435" t="n">
        <v>28</v>
      </c>
      <c r="D435" t="n">
        <v>12</v>
      </c>
      <c r="E435" t="inlineStr">
        <is>
          <t>Calculation</t>
        </is>
      </c>
      <c r="F435" t="inlineStr">
        <is>
          <t>'=L29*L$25</t>
        </is>
      </c>
      <c r="G435" t="n">
        <v>50121.79184101749</v>
      </c>
      <c r="H435" t="inlineStr"/>
      <c r="I435" t="inlineStr">
        <is>
          <t>#,##0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n">
        <v/>
      </c>
      <c r="R435" t="b">
        <v>1</v>
      </c>
      <c r="S435" t="inlineStr">
        <is>
          <t>G000129</t>
        </is>
      </c>
      <c r="T435" t="inlineStr">
        <is>
          <t>Horizontal</t>
        </is>
      </c>
      <c r="U435" t="n">
        <v>5</v>
      </c>
      <c r="V435" t="b">
        <v>1</v>
      </c>
      <c r="W435" t="inlineStr">
        <is>
          <t>Cost Matrix!K28:O28</t>
        </is>
      </c>
      <c r="X435">
        <f>R[1]C[0]*R25C[0]</f>
        <v/>
      </c>
    </row>
    <row r="436">
      <c r="A436" t="inlineStr">
        <is>
          <t>Cost Matrix</t>
        </is>
      </c>
      <c r="B436" t="inlineStr">
        <is>
          <t>M28</t>
        </is>
      </c>
      <c r="C436" t="n">
        <v>28</v>
      </c>
      <c r="D436" t="n">
        <v>13</v>
      </c>
      <c r="E436" t="inlineStr">
        <is>
          <t>Calculation</t>
        </is>
      </c>
      <c r="F436" t="inlineStr">
        <is>
          <t>'=M29*M$25</t>
        </is>
      </c>
      <c r="G436" t="n">
        <v>59768.49598648103</v>
      </c>
      <c r="H436" t="inlineStr"/>
      <c r="I436" t="inlineStr">
        <is>
          <t>#,##0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n">
        <v/>
      </c>
      <c r="R436" t="b">
        <v>1</v>
      </c>
      <c r="S436" t="inlineStr">
        <is>
          <t>G000129</t>
        </is>
      </c>
      <c r="T436" t="inlineStr">
        <is>
          <t>Horizontal</t>
        </is>
      </c>
      <c r="U436" t="n">
        <v>5</v>
      </c>
      <c r="V436" t="b">
        <v>1</v>
      </c>
      <c r="W436" t="inlineStr">
        <is>
          <t>Cost Matrix!K28:O28</t>
        </is>
      </c>
      <c r="X436">
        <f>R[1]C[0]*R25C[0]</f>
        <v/>
      </c>
    </row>
    <row r="437">
      <c r="A437" t="inlineStr">
        <is>
          <t>Cost Matrix</t>
        </is>
      </c>
      <c r="B437" t="inlineStr">
        <is>
          <t>N28</t>
        </is>
      </c>
      <c r="C437" t="n">
        <v>28</v>
      </c>
      <c r="D437" t="n">
        <v>14</v>
      </c>
      <c r="E437" t="inlineStr">
        <is>
          <t>Calculation</t>
        </is>
      </c>
      <c r="F437" t="inlineStr">
        <is>
          <t>'=N29*N$25</t>
        </is>
      </c>
      <c r="G437" t="n">
        <v>71189.70928473874</v>
      </c>
      <c r="H437" t="inlineStr"/>
      <c r="I437" t="inlineStr">
        <is>
          <t>#,##0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n">
        <v/>
      </c>
      <c r="R437" t="b">
        <v>1</v>
      </c>
      <c r="S437" t="inlineStr">
        <is>
          <t>G000129</t>
        </is>
      </c>
      <c r="T437" t="inlineStr">
        <is>
          <t>Horizontal</t>
        </is>
      </c>
      <c r="U437" t="n">
        <v>5</v>
      </c>
      <c r="V437" t="b">
        <v>1</v>
      </c>
      <c r="W437" t="inlineStr">
        <is>
          <t>Cost Matrix!K28:O28</t>
        </is>
      </c>
      <c r="X437">
        <f>R[1]C[0]*R25C[0]</f>
        <v/>
      </c>
    </row>
    <row r="438">
      <c r="A438" t="inlineStr">
        <is>
          <t>Cost Matrix</t>
        </is>
      </c>
      <c r="B438" t="inlineStr">
        <is>
          <t>O28</t>
        </is>
      </c>
      <c r="C438" t="n">
        <v>28</v>
      </c>
      <c r="D438" t="n">
        <v>15</v>
      </c>
      <c r="E438" t="inlineStr">
        <is>
          <t>Calculation</t>
        </is>
      </c>
      <c r="F438" t="inlineStr">
        <is>
          <t>'=O29*O$25</t>
        </is>
      </c>
      <c r="G438" t="n">
        <v>85062.45183108757</v>
      </c>
      <c r="H438" t="inlineStr"/>
      <c r="I438" t="inlineStr">
        <is>
          <t>#,##0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00000000</t>
        </is>
      </c>
      <c r="O438" t="n">
        <v/>
      </c>
      <c r="R438" t="b">
        <v>1</v>
      </c>
      <c r="S438" t="inlineStr">
        <is>
          <t>G000129</t>
        </is>
      </c>
      <c r="T438" t="inlineStr">
        <is>
          <t>Horizontal</t>
        </is>
      </c>
      <c r="U438" t="n">
        <v>5</v>
      </c>
      <c r="V438" t="b">
        <v>1</v>
      </c>
      <c r="W438" t="inlineStr">
        <is>
          <t>Cost Matrix!K28:O28</t>
        </is>
      </c>
      <c r="X438">
        <f>R[1]C[0]*R25C[0]</f>
        <v/>
      </c>
    </row>
    <row r="439">
      <c r="A439" t="inlineStr">
        <is>
          <t>Cost Matrix</t>
        </is>
      </c>
      <c r="B439" t="inlineStr">
        <is>
          <t>D29</t>
        </is>
      </c>
      <c r="C439" t="n">
        <v>29</v>
      </c>
      <c r="D439" t="n">
        <v>4</v>
      </c>
      <c r="E439" t="inlineStr">
        <is>
          <t>Output</t>
        </is>
      </c>
      <c r="F439" t="inlineStr">
        <is>
          <t>'=D28/D$25</t>
        </is>
      </c>
      <c r="G439" t="n">
        <v>0.1615658027795361</v>
      </c>
      <c r="H439" t="inlineStr"/>
      <c r="I439" t="inlineStr">
        <is>
          <t>0.00%</t>
        </is>
      </c>
      <c r="J439" t="b">
        <v>0</v>
      </c>
      <c r="K439" t="b">
        <v>1</v>
      </c>
      <c r="L439" t="n">
        <v>11</v>
      </c>
      <c r="M439" t="inlineStr">
        <is>
          <t>FF0B0280</t>
        </is>
      </c>
      <c r="N439" t="inlineStr">
        <is>
          <t>00000000</t>
        </is>
      </c>
      <c r="O439" t="inlineStr">
        <is>
          <t>center</t>
        </is>
      </c>
      <c r="R439" t="b">
        <v>1</v>
      </c>
      <c r="S439" t="inlineStr">
        <is>
          <t>G000122</t>
        </is>
      </c>
      <c r="T439" t="inlineStr">
        <is>
          <t>Horizontal</t>
        </is>
      </c>
      <c r="U439" t="n">
        <v>7</v>
      </c>
      <c r="V439" t="b">
        <v>1</v>
      </c>
      <c r="W439" t="inlineStr">
        <is>
          <t>Cost Matrix!D29:J29</t>
        </is>
      </c>
      <c r="X439">
        <f>R[-1]C[0]/R25C[0]</f>
        <v/>
      </c>
    </row>
    <row r="440">
      <c r="A440" t="inlineStr">
        <is>
          <t>Cost Matrix</t>
        </is>
      </c>
      <c r="B440" t="inlineStr">
        <is>
          <t>E29</t>
        </is>
      </c>
      <c r="C440" t="n">
        <v>29</v>
      </c>
      <c r="D440" t="n">
        <v>5</v>
      </c>
      <c r="E440" t="inlineStr">
        <is>
          <t>Output</t>
        </is>
      </c>
      <c r="F440" t="inlineStr">
        <is>
          <t>'=E28/E$25</t>
        </is>
      </c>
      <c r="G440" t="n">
        <v>0.1862863254960993</v>
      </c>
      <c r="H440" t="inlineStr"/>
      <c r="I440" t="inlineStr">
        <is>
          <t>0.00%</t>
        </is>
      </c>
      <c r="J440" t="b">
        <v>0</v>
      </c>
      <c r="K440" t="b">
        <v>1</v>
      </c>
      <c r="L440" t="n">
        <v>11</v>
      </c>
      <c r="M440" t="inlineStr">
        <is>
          <t>FF0B0280</t>
        </is>
      </c>
      <c r="N440" t="inlineStr">
        <is>
          <t>00000000</t>
        </is>
      </c>
      <c r="O440" t="inlineStr">
        <is>
          <t>center</t>
        </is>
      </c>
      <c r="R440" t="b">
        <v>1</v>
      </c>
      <c r="S440" t="inlineStr">
        <is>
          <t>G000122</t>
        </is>
      </c>
      <c r="T440" t="inlineStr">
        <is>
          <t>Horizontal</t>
        </is>
      </c>
      <c r="U440" t="n">
        <v>7</v>
      </c>
      <c r="V440" t="b">
        <v>1</v>
      </c>
      <c r="W440" t="inlineStr">
        <is>
          <t>Cost Matrix!D29:J29</t>
        </is>
      </c>
      <c r="X440">
        <f>R[-1]C[0]/R25C[0]</f>
        <v/>
      </c>
    </row>
    <row r="441">
      <c r="A441" t="inlineStr">
        <is>
          <t>Cost Matrix</t>
        </is>
      </c>
      <c r="B441" t="inlineStr">
        <is>
          <t>F29</t>
        </is>
      </c>
      <c r="C441" t="n">
        <v>29</v>
      </c>
      <c r="D441" t="n">
        <v>6</v>
      </c>
      <c r="E441" t="inlineStr">
        <is>
          <t>Output</t>
        </is>
      </c>
      <c r="F441" t="inlineStr">
        <is>
          <t>'=F28/F$25</t>
        </is>
      </c>
      <c r="G441" t="n">
        <v>0.1816638170256093</v>
      </c>
      <c r="H441" t="inlineStr"/>
      <c r="I441" t="inlineStr">
        <is>
          <t>0.00%</t>
        </is>
      </c>
      <c r="J441" t="b">
        <v>0</v>
      </c>
      <c r="K441" t="b">
        <v>1</v>
      </c>
      <c r="L441" t="n">
        <v>11</v>
      </c>
      <c r="M441" t="inlineStr">
        <is>
          <t>FF0B0280</t>
        </is>
      </c>
      <c r="N441" t="inlineStr">
        <is>
          <t>00000000</t>
        </is>
      </c>
      <c r="O441" t="inlineStr">
        <is>
          <t>center</t>
        </is>
      </c>
      <c r="R441" t="b">
        <v>1</v>
      </c>
      <c r="S441" t="inlineStr">
        <is>
          <t>G000122</t>
        </is>
      </c>
      <c r="T441" t="inlineStr">
        <is>
          <t>Horizontal</t>
        </is>
      </c>
      <c r="U441" t="n">
        <v>7</v>
      </c>
      <c r="V441" t="b">
        <v>1</v>
      </c>
      <c r="W441" t="inlineStr">
        <is>
          <t>Cost Matrix!D29:J29</t>
        </is>
      </c>
      <c r="X441">
        <f>R[-1]C[0]/R25C[0]</f>
        <v/>
      </c>
    </row>
    <row r="442">
      <c r="A442" t="inlineStr">
        <is>
          <t>Cost Matrix</t>
        </is>
      </c>
      <c r="B442" t="inlineStr">
        <is>
          <t>G29</t>
        </is>
      </c>
      <c r="C442" t="n">
        <v>29</v>
      </c>
      <c r="D442" t="n">
        <v>7</v>
      </c>
      <c r="E442" t="inlineStr">
        <is>
          <t>Output</t>
        </is>
      </c>
      <c r="F442" t="inlineStr">
        <is>
          <t>'=G28/G$25</t>
        </is>
      </c>
      <c r="G442" t="n">
        <v>0.1776598778402391</v>
      </c>
      <c r="H442" t="inlineStr"/>
      <c r="I442" t="inlineStr">
        <is>
          <t>0.00%</t>
        </is>
      </c>
      <c r="J442" t="b">
        <v>0</v>
      </c>
      <c r="K442" t="b">
        <v>1</v>
      </c>
      <c r="L442" t="n">
        <v>11</v>
      </c>
      <c r="M442" t="inlineStr">
        <is>
          <t>FF0B0280</t>
        </is>
      </c>
      <c r="N442" t="inlineStr">
        <is>
          <t>00000000</t>
        </is>
      </c>
      <c r="O442" t="inlineStr">
        <is>
          <t>center</t>
        </is>
      </c>
      <c r="R442" t="b">
        <v>1</v>
      </c>
      <c r="S442" t="inlineStr">
        <is>
          <t>G000122</t>
        </is>
      </c>
      <c r="T442" t="inlineStr">
        <is>
          <t>Horizontal</t>
        </is>
      </c>
      <c r="U442" t="n">
        <v>7</v>
      </c>
      <c r="V442" t="b">
        <v>1</v>
      </c>
      <c r="W442" t="inlineStr">
        <is>
          <t>Cost Matrix!D29:J29</t>
        </is>
      </c>
      <c r="X442">
        <f>R[-1]C[0]/R25C[0]</f>
        <v/>
      </c>
    </row>
    <row r="443">
      <c r="A443" t="inlineStr">
        <is>
          <t>Cost Matrix</t>
        </is>
      </c>
      <c r="B443" t="inlineStr">
        <is>
          <t>H29</t>
        </is>
      </c>
      <c r="C443" t="n">
        <v>29</v>
      </c>
      <c r="D443" t="n">
        <v>8</v>
      </c>
      <c r="E443" t="inlineStr">
        <is>
          <t>Output</t>
        </is>
      </c>
      <c r="F443" t="inlineStr">
        <is>
          <t>'=H28/H$25</t>
        </is>
      </c>
      <c r="G443" t="n">
        <v>0.1611425106837943</v>
      </c>
      <c r="H443" t="inlineStr"/>
      <c r="I443" t="inlineStr">
        <is>
          <t>0.00%</t>
        </is>
      </c>
      <c r="J443" t="b">
        <v>0</v>
      </c>
      <c r="K443" t="b">
        <v>1</v>
      </c>
      <c r="L443" t="n">
        <v>11</v>
      </c>
      <c r="M443" t="inlineStr">
        <is>
          <t>FF0B0280</t>
        </is>
      </c>
      <c r="N443" t="inlineStr">
        <is>
          <t>00000000</t>
        </is>
      </c>
      <c r="O443" t="inlineStr">
        <is>
          <t>center</t>
        </is>
      </c>
      <c r="R443" t="b">
        <v>1</v>
      </c>
      <c r="S443" t="inlineStr">
        <is>
          <t>G000122</t>
        </is>
      </c>
      <c r="T443" t="inlineStr">
        <is>
          <t>Horizontal</t>
        </is>
      </c>
      <c r="U443" t="n">
        <v>7</v>
      </c>
      <c r="V443" t="b">
        <v>1</v>
      </c>
      <c r="W443" t="inlineStr">
        <is>
          <t>Cost Matrix!D29:J29</t>
        </is>
      </c>
      <c r="X443">
        <f>R[-1]C[0]/R25C[0]</f>
        <v/>
      </c>
    </row>
    <row r="444">
      <c r="A444" t="inlineStr">
        <is>
          <t>Cost Matrix</t>
        </is>
      </c>
      <c r="B444" t="inlineStr">
        <is>
          <t>I29</t>
        </is>
      </c>
      <c r="C444" t="n">
        <v>29</v>
      </c>
      <c r="D444" t="n">
        <v>9</v>
      </c>
      <c r="E444" t="inlineStr">
        <is>
          <t>Output</t>
        </is>
      </c>
      <c r="F444" t="inlineStr">
        <is>
          <t>'=I28/I$25</t>
        </is>
      </c>
      <c r="G444" t="n">
        <v>0.1788260773642529</v>
      </c>
      <c r="H444" t="inlineStr"/>
      <c r="I444" t="inlineStr">
        <is>
          <t>0.00%</t>
        </is>
      </c>
      <c r="J444" t="b">
        <v>0</v>
      </c>
      <c r="K444" t="b">
        <v>1</v>
      </c>
      <c r="L444" t="n">
        <v>11</v>
      </c>
      <c r="M444" t="inlineStr">
        <is>
          <t>FF0B0280</t>
        </is>
      </c>
      <c r="N444" t="inlineStr">
        <is>
          <t>00000000</t>
        </is>
      </c>
      <c r="O444" t="inlineStr">
        <is>
          <t>center</t>
        </is>
      </c>
      <c r="R444" t="b">
        <v>1</v>
      </c>
      <c r="S444" t="inlineStr">
        <is>
          <t>G000122</t>
        </is>
      </c>
      <c r="T444" t="inlineStr">
        <is>
          <t>Horizontal</t>
        </is>
      </c>
      <c r="U444" t="n">
        <v>7</v>
      </c>
      <c r="V444" t="b">
        <v>1</v>
      </c>
      <c r="W444" t="inlineStr">
        <is>
          <t>Cost Matrix!D29:J29</t>
        </is>
      </c>
      <c r="X444">
        <f>R[-1]C[0]/R25C[0]</f>
        <v/>
      </c>
    </row>
    <row r="445">
      <c r="A445" t="inlineStr">
        <is>
          <t>Cost Matrix</t>
        </is>
      </c>
      <c r="B445" t="inlineStr">
        <is>
          <t>J29</t>
        </is>
      </c>
      <c r="C445" t="n">
        <v>29</v>
      </c>
      <c r="D445" t="n">
        <v>10</v>
      </c>
      <c r="E445" t="inlineStr">
        <is>
          <t>Output</t>
        </is>
      </c>
      <c r="F445" t="inlineStr">
        <is>
          <t>'=J28/J$25</t>
        </is>
      </c>
      <c r="G445" t="n">
        <v>0.1888820544959882</v>
      </c>
      <c r="H445" t="inlineStr"/>
      <c r="I445" t="inlineStr">
        <is>
          <t>0.00%</t>
        </is>
      </c>
      <c r="J445" t="b">
        <v>0</v>
      </c>
      <c r="K445" t="b">
        <v>1</v>
      </c>
      <c r="L445" t="n">
        <v>11</v>
      </c>
      <c r="M445" t="inlineStr">
        <is>
          <t>FF0B0280</t>
        </is>
      </c>
      <c r="N445" t="inlineStr">
        <is>
          <t>00000000</t>
        </is>
      </c>
      <c r="O445" t="inlineStr">
        <is>
          <t>center</t>
        </is>
      </c>
      <c r="R445" t="b">
        <v>1</v>
      </c>
      <c r="S445" t="inlineStr">
        <is>
          <t>G000122</t>
        </is>
      </c>
      <c r="T445" t="inlineStr">
        <is>
          <t>Horizontal</t>
        </is>
      </c>
      <c r="U445" t="n">
        <v>7</v>
      </c>
      <c r="V445" t="b">
        <v>1</v>
      </c>
      <c r="W445" t="inlineStr">
        <is>
          <t>Cost Matrix!D29:J29</t>
        </is>
      </c>
      <c r="X445">
        <f>R[-1]C[0]/R25C[0]</f>
        <v/>
      </c>
    </row>
    <row r="446">
      <c r="A446" t="inlineStr">
        <is>
          <t>Cost Matrix</t>
        </is>
      </c>
      <c r="B446" t="inlineStr">
        <is>
          <t>K29</t>
        </is>
      </c>
      <c r="C446" t="n">
        <v>29</v>
      </c>
      <c r="D446" t="n">
        <v>11</v>
      </c>
      <c r="E446" t="inlineStr">
        <is>
          <t>Input</t>
        </is>
      </c>
      <c r="F446" t="n">
        <v/>
      </c>
      <c r="G446" t="n">
        <v>0.18</v>
      </c>
      <c r="H446" t="inlineStr"/>
      <c r="I446" t="inlineStr">
        <is>
          <t>0.00%</t>
        </is>
      </c>
      <c r="J446" t="b">
        <v>0</v>
      </c>
      <c r="K446" t="b">
        <v>1</v>
      </c>
      <c r="L446" t="n">
        <v>11</v>
      </c>
      <c r="M446" t="inlineStr">
        <is>
          <t>FF0B0280</t>
        </is>
      </c>
      <c r="N446" t="inlineStr">
        <is>
          <t>00000000</t>
        </is>
      </c>
      <c r="O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</row>
    <row r="447">
      <c r="A447" t="inlineStr">
        <is>
          <t>Cost Matrix</t>
        </is>
      </c>
      <c r="B447" t="inlineStr">
        <is>
          <t>L29</t>
        </is>
      </c>
      <c r="C447" t="n">
        <v>29</v>
      </c>
      <c r="D447" t="n">
        <v>12</v>
      </c>
      <c r="E447" t="inlineStr">
        <is>
          <t>Calculation</t>
        </is>
      </c>
      <c r="F447" t="inlineStr">
        <is>
          <t>'=K29-0.3%</t>
        </is>
      </c>
      <c r="G447" t="n">
        <v>0.177</v>
      </c>
      <c r="H447" t="inlineStr"/>
      <c r="I447" t="inlineStr">
        <is>
          <t>0.00%</t>
        </is>
      </c>
      <c r="J447" t="b">
        <v>0</v>
      </c>
      <c r="K447" t="b">
        <v>1</v>
      </c>
      <c r="L447" t="n">
        <v>11</v>
      </c>
      <c r="M447" t="inlineStr">
        <is>
          <t>FF0B0280</t>
        </is>
      </c>
      <c r="N447" t="inlineStr">
        <is>
          <t>00000000</t>
        </is>
      </c>
      <c r="O447" t="inlineStr">
        <is>
          <t>center</t>
        </is>
      </c>
      <c r="R447" t="b">
        <v>1</v>
      </c>
      <c r="S447" t="inlineStr">
        <is>
          <t>G000134</t>
        </is>
      </c>
      <c r="T447" t="inlineStr">
        <is>
          <t>Horizontal</t>
        </is>
      </c>
      <c r="U447" t="n">
        <v>4</v>
      </c>
      <c r="V447" t="b">
        <v>1</v>
      </c>
      <c r="W447" t="inlineStr">
        <is>
          <t>Cost Matrix!L29:O29</t>
        </is>
      </c>
      <c r="X447">
        <f>R[0]C[-1]-0.3%</f>
        <v/>
      </c>
    </row>
    <row r="448">
      <c r="A448" t="inlineStr">
        <is>
          <t>Cost Matrix</t>
        </is>
      </c>
      <c r="B448" t="inlineStr">
        <is>
          <t>M29</t>
        </is>
      </c>
      <c r="C448" t="n">
        <v>29</v>
      </c>
      <c r="D448" t="n">
        <v>13</v>
      </c>
      <c r="E448" t="inlineStr">
        <is>
          <t>Calculation</t>
        </is>
      </c>
      <c r="F448" t="inlineStr">
        <is>
          <t>'=L29-0.3%</t>
        </is>
      </c>
      <c r="G448" t="n">
        <v>0.174</v>
      </c>
      <c r="H448" t="inlineStr"/>
      <c r="I448" t="inlineStr">
        <is>
          <t>0.00%</t>
        </is>
      </c>
      <c r="J448" t="b">
        <v>0</v>
      </c>
      <c r="K448" t="b">
        <v>1</v>
      </c>
      <c r="L448" t="n">
        <v>11</v>
      </c>
      <c r="M448" t="inlineStr">
        <is>
          <t>FF0B0280</t>
        </is>
      </c>
      <c r="N448" t="inlineStr">
        <is>
          <t>00000000</t>
        </is>
      </c>
      <c r="O448" t="inlineStr">
        <is>
          <t>center</t>
        </is>
      </c>
      <c r="R448" t="b">
        <v>1</v>
      </c>
      <c r="S448" t="inlineStr">
        <is>
          <t>G000134</t>
        </is>
      </c>
      <c r="T448" t="inlineStr">
        <is>
          <t>Horizontal</t>
        </is>
      </c>
      <c r="U448" t="n">
        <v>4</v>
      </c>
      <c r="V448" t="b">
        <v>1</v>
      </c>
      <c r="W448" t="inlineStr">
        <is>
          <t>Cost Matrix!L29:O29</t>
        </is>
      </c>
      <c r="X448">
        <f>R[0]C[-1]-0.3%</f>
        <v/>
      </c>
    </row>
    <row r="449">
      <c r="A449" t="inlineStr">
        <is>
          <t>Cost Matrix</t>
        </is>
      </c>
      <c r="B449" t="inlineStr">
        <is>
          <t>N29</t>
        </is>
      </c>
      <c r="C449" t="n">
        <v>29</v>
      </c>
      <c r="D449" t="n">
        <v>14</v>
      </c>
      <c r="E449" t="inlineStr">
        <is>
          <t>Calculation</t>
        </is>
      </c>
      <c r="F449" t="inlineStr">
        <is>
          <t>'=M29-0.3%</t>
        </is>
      </c>
      <c r="G449" t="n">
        <v>0.171</v>
      </c>
      <c r="H449" t="inlineStr"/>
      <c r="I449" t="inlineStr">
        <is>
          <t>0.00%</t>
        </is>
      </c>
      <c r="J449" t="b">
        <v>0</v>
      </c>
      <c r="K449" t="b">
        <v>1</v>
      </c>
      <c r="L449" t="n">
        <v>11</v>
      </c>
      <c r="M449" t="inlineStr">
        <is>
          <t>FF0B0280</t>
        </is>
      </c>
      <c r="N449" t="inlineStr">
        <is>
          <t>00000000</t>
        </is>
      </c>
      <c r="O449" t="inlineStr">
        <is>
          <t>center</t>
        </is>
      </c>
      <c r="R449" t="b">
        <v>1</v>
      </c>
      <c r="S449" t="inlineStr">
        <is>
          <t>G000134</t>
        </is>
      </c>
      <c r="T449" t="inlineStr">
        <is>
          <t>Horizontal</t>
        </is>
      </c>
      <c r="U449" t="n">
        <v>4</v>
      </c>
      <c r="V449" t="b">
        <v>1</v>
      </c>
      <c r="W449" t="inlineStr">
        <is>
          <t>Cost Matrix!L29:O29</t>
        </is>
      </c>
      <c r="X449">
        <f>R[0]C[-1]-0.3%</f>
        <v/>
      </c>
    </row>
    <row r="450">
      <c r="A450" t="inlineStr">
        <is>
          <t>Cost Matrix</t>
        </is>
      </c>
      <c r="B450" t="inlineStr">
        <is>
          <t>O29</t>
        </is>
      </c>
      <c r="C450" t="n">
        <v>29</v>
      </c>
      <c r="D450" t="n">
        <v>15</v>
      </c>
      <c r="E450" t="inlineStr">
        <is>
          <t>Calculation</t>
        </is>
      </c>
      <c r="F450" t="inlineStr">
        <is>
          <t>'=N29-0.3%</t>
        </is>
      </c>
      <c r="G450" t="n">
        <v>0.168</v>
      </c>
      <c r="H450" t="inlineStr"/>
      <c r="I450" t="inlineStr">
        <is>
          <t>0.00%</t>
        </is>
      </c>
      <c r="J450" t="b">
        <v>0</v>
      </c>
      <c r="K450" t="b">
        <v>1</v>
      </c>
      <c r="L450" t="n">
        <v>11</v>
      </c>
      <c r="M450" t="inlineStr">
        <is>
          <t>FF0B0280</t>
        </is>
      </c>
      <c r="N450" t="inlineStr">
        <is>
          <t>00000000</t>
        </is>
      </c>
      <c r="O450" t="inlineStr">
        <is>
          <t>center</t>
        </is>
      </c>
      <c r="R450" t="b">
        <v>1</v>
      </c>
      <c r="S450" t="inlineStr">
        <is>
          <t>G000134</t>
        </is>
      </c>
      <c r="T450" t="inlineStr">
        <is>
          <t>Horizontal</t>
        </is>
      </c>
      <c r="U450" t="n">
        <v>4</v>
      </c>
      <c r="V450" t="b">
        <v>1</v>
      </c>
      <c r="W450" t="inlineStr">
        <is>
          <t>Cost Matrix!L29:O29</t>
        </is>
      </c>
      <c r="X450">
        <f>R[0]C[-1]-0.3%</f>
        <v/>
      </c>
    </row>
    <row r="451">
      <c r="A451" t="inlineStr">
        <is>
          <t>Cost Matrix</t>
        </is>
      </c>
      <c r="B451" t="inlineStr">
        <is>
          <t>A30</t>
        </is>
      </c>
      <c r="C451" t="n">
        <v>30</v>
      </c>
      <c r="D451" t="n">
        <v>1</v>
      </c>
      <c r="E451" t="inlineStr">
        <is>
          <t>Input</t>
        </is>
      </c>
      <c r="F451" t="n">
        <v/>
      </c>
      <c r="G451" t="inlineStr">
        <is>
          <t>Incentives</t>
        </is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00000000</t>
        </is>
      </c>
      <c r="O451" t="n">
        <v/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Cost Matrix</t>
        </is>
      </c>
      <c r="B452" t="inlineStr">
        <is>
          <t>D30</t>
        </is>
      </c>
      <c r="C452" t="n">
        <v>30</v>
      </c>
      <c r="D452" t="n">
        <v>4</v>
      </c>
      <c r="E452" t="inlineStr">
        <is>
          <t>Calculation</t>
        </is>
      </c>
      <c r="F452" t="inlineStr">
        <is>
          <t>'='Assumptions Sheet'!D51</t>
        </is>
      </c>
      <c r="G452" t="n">
        <v>-2273.94</v>
      </c>
      <c r="H452" t="inlineStr"/>
      <c r="I452" t="inlineStr">
        <is>
          <t>#,##0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00000000</t>
        </is>
      </c>
      <c r="O452" t="n">
        <v/>
      </c>
      <c r="R452" t="b">
        <v>1</v>
      </c>
      <c r="S452" t="inlineStr">
        <is>
          <t>G000135</t>
        </is>
      </c>
      <c r="T452" t="inlineStr">
        <is>
          <t>Horizontal</t>
        </is>
      </c>
      <c r="U452" t="n">
        <v>7</v>
      </c>
      <c r="V452" t="b">
        <v>1</v>
      </c>
      <c r="W452" t="inlineStr">
        <is>
          <t>Cost Matrix!D30:J30</t>
        </is>
      </c>
      <c r="X452">
        <f>'Assumptions Sheet'!R[21]C[0]</f>
        <v/>
      </c>
    </row>
    <row r="453">
      <c r="A453" t="inlineStr">
        <is>
          <t>Cost Matrix</t>
        </is>
      </c>
      <c r="B453" t="inlineStr">
        <is>
          <t>E30</t>
        </is>
      </c>
      <c r="C453" t="n">
        <v>30</v>
      </c>
      <c r="D453" t="n">
        <v>5</v>
      </c>
      <c r="E453" t="inlineStr">
        <is>
          <t>Calculation</t>
        </is>
      </c>
      <c r="F453" t="inlineStr">
        <is>
          <t>'='Assumptions Sheet'!E51</t>
        </is>
      </c>
      <c r="G453" t="n">
        <v>-2627.25</v>
      </c>
      <c r="H453" t="inlineStr"/>
      <c r="I453" t="inlineStr">
        <is>
          <t>#,##0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n">
        <v/>
      </c>
      <c r="R453" t="b">
        <v>1</v>
      </c>
      <c r="S453" t="inlineStr">
        <is>
          <t>G000135</t>
        </is>
      </c>
      <c r="T453" t="inlineStr">
        <is>
          <t>Horizontal</t>
        </is>
      </c>
      <c r="U453" t="n">
        <v>7</v>
      </c>
      <c r="V453" t="b">
        <v>1</v>
      </c>
      <c r="W453" t="inlineStr">
        <is>
          <t>Cost Matrix!D30:J30</t>
        </is>
      </c>
      <c r="X453">
        <f>'Assumptions Sheet'!R[21]C[0]</f>
        <v/>
      </c>
    </row>
    <row r="454">
      <c r="A454" t="inlineStr">
        <is>
          <t>Cost Matrix</t>
        </is>
      </c>
      <c r="B454" t="inlineStr">
        <is>
          <t>F30</t>
        </is>
      </c>
      <c r="C454" t="n">
        <v>30</v>
      </c>
      <c r="D454" t="n">
        <v>6</v>
      </c>
      <c r="E454" t="inlineStr">
        <is>
          <t>Calculation</t>
        </is>
      </c>
      <c r="F454" t="inlineStr">
        <is>
          <t>'='Assumptions Sheet'!F51</t>
        </is>
      </c>
      <c r="G454" t="n">
        <v>-3588.03</v>
      </c>
      <c r="H454" t="inlineStr"/>
      <c r="I454" t="inlineStr">
        <is>
          <t>#,##0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n">
        <v/>
      </c>
      <c r="R454" t="b">
        <v>1</v>
      </c>
      <c r="S454" t="inlineStr">
        <is>
          <t>G000135</t>
        </is>
      </c>
      <c r="T454" t="inlineStr">
        <is>
          <t>Horizontal</t>
        </is>
      </c>
      <c r="U454" t="n">
        <v>7</v>
      </c>
      <c r="V454" t="b">
        <v>1</v>
      </c>
      <c r="W454" t="inlineStr">
        <is>
          <t>Cost Matrix!D30:J30</t>
        </is>
      </c>
      <c r="X454">
        <f>'Assumptions Sheet'!R[21]C[0]</f>
        <v/>
      </c>
    </row>
    <row r="455">
      <c r="A455" t="inlineStr">
        <is>
          <t>Cost Matrix</t>
        </is>
      </c>
      <c r="B455" t="inlineStr">
        <is>
          <t>G30</t>
        </is>
      </c>
      <c r="C455" t="n">
        <v>30</v>
      </c>
      <c r="D455" t="n">
        <v>7</v>
      </c>
      <c r="E455" t="inlineStr">
        <is>
          <t>Calculation</t>
        </is>
      </c>
      <c r="F455" t="inlineStr">
        <is>
          <t>'='Assumptions Sheet'!G51</t>
        </is>
      </c>
      <c r="G455" t="n">
        <v>-3607.17</v>
      </c>
      <c r="H455" t="inlineStr"/>
      <c r="I455" t="inlineStr">
        <is>
          <t>#,##0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n">
        <v/>
      </c>
      <c r="R455" t="b">
        <v>1</v>
      </c>
      <c r="S455" t="inlineStr">
        <is>
          <t>G000135</t>
        </is>
      </c>
      <c r="T455" t="inlineStr">
        <is>
          <t>Horizontal</t>
        </is>
      </c>
      <c r="U455" t="n">
        <v>7</v>
      </c>
      <c r="V455" t="b">
        <v>1</v>
      </c>
      <c r="W455" t="inlineStr">
        <is>
          <t>Cost Matrix!D30:J30</t>
        </is>
      </c>
      <c r="X455">
        <f>'Assumptions Sheet'!R[21]C[0]</f>
        <v/>
      </c>
    </row>
    <row r="456">
      <c r="A456" t="inlineStr">
        <is>
          <t>Cost Matrix</t>
        </is>
      </c>
      <c r="B456" t="inlineStr">
        <is>
          <t>H30</t>
        </is>
      </c>
      <c r="C456" t="n">
        <v>30</v>
      </c>
      <c r="D456" t="n">
        <v>8</v>
      </c>
      <c r="E456" t="inlineStr">
        <is>
          <t>Calculation</t>
        </is>
      </c>
      <c r="F456" t="inlineStr">
        <is>
          <t>'='Assumptions Sheet'!H51</t>
        </is>
      </c>
      <c r="G456" t="n">
        <v>-3553.12</v>
      </c>
      <c r="H456" t="inlineStr"/>
      <c r="I456" t="inlineStr">
        <is>
          <t>#,##0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n">
        <v/>
      </c>
      <c r="R456" t="b">
        <v>1</v>
      </c>
      <c r="S456" t="inlineStr">
        <is>
          <t>G000135</t>
        </is>
      </c>
      <c r="T456" t="inlineStr">
        <is>
          <t>Horizontal</t>
        </is>
      </c>
      <c r="U456" t="n">
        <v>7</v>
      </c>
      <c r="V456" t="b">
        <v>1</v>
      </c>
      <c r="W456" t="inlineStr">
        <is>
          <t>Cost Matrix!D30:J30</t>
        </is>
      </c>
      <c r="X456">
        <f>'Assumptions Sheet'!R[21]C[0]</f>
        <v/>
      </c>
    </row>
    <row r="457">
      <c r="A457" t="inlineStr">
        <is>
          <t>Cost Matrix</t>
        </is>
      </c>
      <c r="B457" t="inlineStr">
        <is>
          <t>I30</t>
        </is>
      </c>
      <c r="C457" t="n">
        <v>30</v>
      </c>
      <c r="D457" t="n">
        <v>9</v>
      </c>
      <c r="E457" t="inlineStr">
        <is>
          <t>Calculation</t>
        </is>
      </c>
      <c r="F457" t="inlineStr">
        <is>
          <t>'='Assumptions Sheet'!I51</t>
        </is>
      </c>
      <c r="G457" t="n">
        <v>-3565.96</v>
      </c>
      <c r="H457" t="inlineStr"/>
      <c r="I457" t="inlineStr">
        <is>
          <t>#,##0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R457" t="b">
        <v>1</v>
      </c>
      <c r="S457" t="inlineStr">
        <is>
          <t>G000135</t>
        </is>
      </c>
      <c r="T457" t="inlineStr">
        <is>
          <t>Horizontal</t>
        </is>
      </c>
      <c r="U457" t="n">
        <v>7</v>
      </c>
      <c r="V457" t="b">
        <v>1</v>
      </c>
      <c r="W457" t="inlineStr">
        <is>
          <t>Cost Matrix!D30:J30</t>
        </is>
      </c>
      <c r="X457">
        <f>'Assumptions Sheet'!R[21]C[0]</f>
        <v/>
      </c>
    </row>
    <row r="458">
      <c r="A458" t="inlineStr">
        <is>
          <t>Cost Matrix</t>
        </is>
      </c>
      <c r="B458" t="inlineStr">
        <is>
          <t>J30</t>
        </is>
      </c>
      <c r="C458" t="n">
        <v>30</v>
      </c>
      <c r="D458" t="n">
        <v>10</v>
      </c>
      <c r="E458" t="inlineStr">
        <is>
          <t>Calculation</t>
        </is>
      </c>
      <c r="F458" t="inlineStr">
        <is>
          <t>'='Assumptions Sheet'!J51</t>
        </is>
      </c>
      <c r="G458" t="n">
        <v>-5332</v>
      </c>
      <c r="H458" t="inlineStr"/>
      <c r="I458" t="inlineStr">
        <is>
          <t>#,##0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R458" t="b">
        <v>1</v>
      </c>
      <c r="S458" t="inlineStr">
        <is>
          <t>G000135</t>
        </is>
      </c>
      <c r="T458" t="inlineStr">
        <is>
          <t>Horizontal</t>
        </is>
      </c>
      <c r="U458" t="n">
        <v>7</v>
      </c>
      <c r="V458" t="b">
        <v>1</v>
      </c>
      <c r="W458" t="inlineStr">
        <is>
          <t>Cost Matrix!D30:J30</t>
        </is>
      </c>
      <c r="X458">
        <f>'Assumptions Sheet'!R[21]C[0]</f>
        <v/>
      </c>
    </row>
    <row r="459">
      <c r="A459" t="inlineStr">
        <is>
          <t>Cost Matrix</t>
        </is>
      </c>
      <c r="B459" t="inlineStr">
        <is>
          <t>K30</t>
        </is>
      </c>
      <c r="C459" t="n">
        <v>30</v>
      </c>
      <c r="D459" t="n">
        <v>11</v>
      </c>
      <c r="E459" t="inlineStr">
        <is>
          <t>Calculation</t>
        </is>
      </c>
      <c r="F459" t="inlineStr">
        <is>
          <t>'=30%*-'Balance sheet'!K16</t>
        </is>
      </c>
      <c r="G459" t="n">
        <v>-6681.582600000001</v>
      </c>
      <c r="H459" t="inlineStr"/>
      <c r="I459" t="inlineStr">
        <is>
          <t>#,##0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n">
        <v/>
      </c>
      <c r="R459" t="b">
        <v>1</v>
      </c>
      <c r="S459" t="inlineStr">
        <is>
          <t>G000136</t>
        </is>
      </c>
      <c r="T459" t="inlineStr">
        <is>
          <t>Horizontal</t>
        </is>
      </c>
      <c r="U459" t="n">
        <v>5</v>
      </c>
      <c r="V459" t="b">
        <v>1</v>
      </c>
      <c r="W459" t="inlineStr">
        <is>
          <t>Cost Matrix!K30:O30</t>
        </is>
      </c>
      <c r="X459">
        <f>30%*-'Balance sheet'!R[-14]C[0]</f>
        <v/>
      </c>
    </row>
    <row r="460">
      <c r="A460" t="inlineStr">
        <is>
          <t>Cost Matrix</t>
        </is>
      </c>
      <c r="B460" t="inlineStr">
        <is>
          <t>L30</t>
        </is>
      </c>
      <c r="C460" t="n">
        <v>30</v>
      </c>
      <c r="D460" t="n">
        <v>12</v>
      </c>
      <c r="E460" t="inlineStr">
        <is>
          <t>Calculation</t>
        </is>
      </c>
      <c r="F460" t="inlineStr">
        <is>
          <t>'=30%*-'Balance sheet'!L16</t>
        </is>
      </c>
      <c r="G460" t="n">
        <v>-5277.357212347823</v>
      </c>
      <c r="H460" t="inlineStr"/>
      <c r="I460" t="inlineStr">
        <is>
          <t>#,##0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n">
        <v/>
      </c>
      <c r="R460" t="b">
        <v>1</v>
      </c>
      <c r="S460" t="inlineStr">
        <is>
          <t>G000136</t>
        </is>
      </c>
      <c r="T460" t="inlineStr">
        <is>
          <t>Horizontal</t>
        </is>
      </c>
      <c r="U460" t="n">
        <v>5</v>
      </c>
      <c r="V460" t="b">
        <v>1</v>
      </c>
      <c r="W460" t="inlineStr">
        <is>
          <t>Cost Matrix!K30:O30</t>
        </is>
      </c>
      <c r="X460">
        <f>30%*-'Balance sheet'!R[-14]C[0]</f>
        <v/>
      </c>
    </row>
    <row r="461">
      <c r="A461" t="inlineStr">
        <is>
          <t>Cost Matrix</t>
        </is>
      </c>
      <c r="B461" t="inlineStr">
        <is>
          <t>M30</t>
        </is>
      </c>
      <c r="C461" t="n">
        <v>30</v>
      </c>
      <c r="D461" t="n">
        <v>13</v>
      </c>
      <c r="E461" t="inlineStr">
        <is>
          <t>Calculation</t>
        </is>
      </c>
      <c r="F461" t="inlineStr">
        <is>
          <t>'=30%*-'Balance sheet'!M16</t>
        </is>
      </c>
      <c r="G461" t="n">
        <v>-7469.275044031299</v>
      </c>
      <c r="H461" t="inlineStr"/>
      <c r="I461" t="inlineStr">
        <is>
          <t>#,##0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n">
        <v/>
      </c>
      <c r="R461" t="b">
        <v>1</v>
      </c>
      <c r="S461" t="inlineStr">
        <is>
          <t>G000136</t>
        </is>
      </c>
      <c r="T461" t="inlineStr">
        <is>
          <t>Horizontal</t>
        </is>
      </c>
      <c r="U461" t="n">
        <v>5</v>
      </c>
      <c r="V461" t="b">
        <v>1</v>
      </c>
      <c r="W461" t="inlineStr">
        <is>
          <t>Cost Matrix!K30:O30</t>
        </is>
      </c>
      <c r="X461">
        <f>30%*-'Balance sheet'!R[-14]C[0]</f>
        <v/>
      </c>
    </row>
    <row r="462">
      <c r="A462" t="inlineStr">
        <is>
          <t>Cost Matrix</t>
        </is>
      </c>
      <c r="B462" t="inlineStr">
        <is>
          <t>N30</t>
        </is>
      </c>
      <c r="C462" t="n">
        <v>30</v>
      </c>
      <c r="D462" t="n">
        <v>14</v>
      </c>
      <c r="E462" t="inlineStr">
        <is>
          <t>Calculation</t>
        </is>
      </c>
      <c r="F462" t="inlineStr">
        <is>
          <t>'=30%*-'Balance sheet'!N16</t>
        </is>
      </c>
      <c r="G462" t="n">
        <v>-9622.268958581632</v>
      </c>
      <c r="H462" t="inlineStr"/>
      <c r="I462" t="inlineStr">
        <is>
          <t>#,##0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00000000</t>
        </is>
      </c>
      <c r="O462" t="n">
        <v/>
      </c>
      <c r="R462" t="b">
        <v>1</v>
      </c>
      <c r="S462" t="inlineStr">
        <is>
          <t>G000136</t>
        </is>
      </c>
      <c r="T462" t="inlineStr">
        <is>
          <t>Horizontal</t>
        </is>
      </c>
      <c r="U462" t="n">
        <v>5</v>
      </c>
      <c r="V462" t="b">
        <v>1</v>
      </c>
      <c r="W462" t="inlineStr">
        <is>
          <t>Cost Matrix!K30:O30</t>
        </is>
      </c>
      <c r="X462">
        <f>30%*-'Balance sheet'!R[-14]C[0]</f>
        <v/>
      </c>
    </row>
    <row r="463">
      <c r="A463" t="inlineStr">
        <is>
          <t>Cost Matrix</t>
        </is>
      </c>
      <c r="B463" t="inlineStr">
        <is>
          <t>O30</t>
        </is>
      </c>
      <c r="C463" t="n">
        <v>30</v>
      </c>
      <c r="D463" t="n">
        <v>15</v>
      </c>
      <c r="E463" t="inlineStr">
        <is>
          <t>Calculation</t>
        </is>
      </c>
      <c r="F463" t="inlineStr">
        <is>
          <t>'=30%*-'Balance sheet'!O16</t>
        </is>
      </c>
      <c r="G463" t="n">
        <v>-11929.02331562952</v>
      </c>
      <c r="H463" t="inlineStr"/>
      <c r="I463" t="inlineStr">
        <is>
          <t>#,##0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00000000</t>
        </is>
      </c>
      <c r="O463" t="n">
        <v/>
      </c>
      <c r="R463" t="b">
        <v>1</v>
      </c>
      <c r="S463" t="inlineStr">
        <is>
          <t>G000136</t>
        </is>
      </c>
      <c r="T463" t="inlineStr">
        <is>
          <t>Horizontal</t>
        </is>
      </c>
      <c r="U463" t="n">
        <v>5</v>
      </c>
      <c r="V463" t="b">
        <v>1</v>
      </c>
      <c r="W463" t="inlineStr">
        <is>
          <t>Cost Matrix!K30:O30</t>
        </is>
      </c>
      <c r="X463">
        <f>30%*-'Balance sheet'!R[-14]C[0]</f>
        <v/>
      </c>
    </row>
    <row r="464">
      <c r="A464" t="inlineStr">
        <is>
          <t>Cost Matrix</t>
        </is>
      </c>
      <c r="B464" t="inlineStr">
        <is>
          <t>D31</t>
        </is>
      </c>
      <c r="C464" t="n">
        <v>31</v>
      </c>
      <c r="D464" t="n">
        <v>4</v>
      </c>
      <c r="E464" t="inlineStr">
        <is>
          <t>Output</t>
        </is>
      </c>
      <c r="F464" t="inlineStr">
        <is>
          <t>'=D30/D28</t>
        </is>
      </c>
      <c r="G464" t="n">
        <v>-0.3568403262177851</v>
      </c>
      <c r="H464" t="inlineStr"/>
      <c r="I464" t="inlineStr">
        <is>
          <t>0.00%</t>
        </is>
      </c>
      <c r="J464" t="b">
        <v>0</v>
      </c>
      <c r="K464" t="b">
        <v>1</v>
      </c>
      <c r="L464" t="n">
        <v>11</v>
      </c>
      <c r="M464" t="inlineStr">
        <is>
          <t>FF0B0280</t>
        </is>
      </c>
      <c r="N464" t="inlineStr">
        <is>
          <t>00000000</t>
        </is>
      </c>
      <c r="O464" t="inlineStr">
        <is>
          <t>center</t>
        </is>
      </c>
      <c r="R464" t="b">
        <v>1</v>
      </c>
      <c r="S464" t="inlineStr">
        <is>
          <t>G000137</t>
        </is>
      </c>
      <c r="T464" t="inlineStr">
        <is>
          <t>Horizontal</t>
        </is>
      </c>
      <c r="U464" t="n">
        <v>7</v>
      </c>
      <c r="V464" t="b">
        <v>1</v>
      </c>
      <c r="W464" t="inlineStr">
        <is>
          <t>Cost Matrix!D31:J31</t>
        </is>
      </c>
      <c r="X464">
        <f>R[-1]C[0]/R[-3]C[0]</f>
        <v/>
      </c>
    </row>
    <row r="465">
      <c r="A465" t="inlineStr">
        <is>
          <t>Cost Matrix</t>
        </is>
      </c>
      <c r="B465" t="inlineStr">
        <is>
          <t>E31</t>
        </is>
      </c>
      <c r="C465" t="n">
        <v>31</v>
      </c>
      <c r="D465" t="n">
        <v>5</v>
      </c>
      <c r="E465" t="inlineStr">
        <is>
          <t>Output</t>
        </is>
      </c>
      <c r="F465" t="inlineStr">
        <is>
          <t>'=E30/E28</t>
        </is>
      </c>
      <c r="G465" t="n">
        <v>-0.2470520198600767</v>
      </c>
      <c r="H465" t="inlineStr"/>
      <c r="I465" t="inlineStr">
        <is>
          <t>0.00%</t>
        </is>
      </c>
      <c r="J465" t="b">
        <v>0</v>
      </c>
      <c r="K465" t="b">
        <v>1</v>
      </c>
      <c r="L465" t="n">
        <v>11</v>
      </c>
      <c r="M465" t="inlineStr">
        <is>
          <t>FF0B0280</t>
        </is>
      </c>
      <c r="N465" t="inlineStr">
        <is>
          <t>00000000</t>
        </is>
      </c>
      <c r="O465" t="inlineStr">
        <is>
          <t>center</t>
        </is>
      </c>
      <c r="R465" t="b">
        <v>1</v>
      </c>
      <c r="S465" t="inlineStr">
        <is>
          <t>G000137</t>
        </is>
      </c>
      <c r="T465" t="inlineStr">
        <is>
          <t>Horizontal</t>
        </is>
      </c>
      <c r="U465" t="n">
        <v>7</v>
      </c>
      <c r="V465" t="b">
        <v>1</v>
      </c>
      <c r="W465" t="inlineStr">
        <is>
          <t>Cost Matrix!D31:J31</t>
        </is>
      </c>
      <c r="X465">
        <f>R[-1]C[0]/R[-3]C[0]</f>
        <v/>
      </c>
    </row>
    <row r="466">
      <c r="A466" t="inlineStr">
        <is>
          <t>Cost Matrix</t>
        </is>
      </c>
      <c r="B466" t="inlineStr">
        <is>
          <t>F31</t>
        </is>
      </c>
      <c r="C466" t="n">
        <v>31</v>
      </c>
      <c r="D466" t="n">
        <v>6</v>
      </c>
      <c r="E466" t="inlineStr">
        <is>
          <t>Output</t>
        </is>
      </c>
      <c r="F466" t="inlineStr">
        <is>
          <t>'=F30/F28</t>
        </is>
      </c>
      <c r="G466" t="n">
        <v>-0.2092205549896178</v>
      </c>
      <c r="H466" t="inlineStr"/>
      <c r="I466" t="inlineStr">
        <is>
          <t>0.00%</t>
        </is>
      </c>
      <c r="J466" t="b">
        <v>0</v>
      </c>
      <c r="K466" t="b">
        <v>1</v>
      </c>
      <c r="L466" t="n">
        <v>11</v>
      </c>
      <c r="M466" t="inlineStr">
        <is>
          <t>FF0B0280</t>
        </is>
      </c>
      <c r="N466" t="inlineStr">
        <is>
          <t>00000000</t>
        </is>
      </c>
      <c r="O466" t="inlineStr">
        <is>
          <t>center</t>
        </is>
      </c>
      <c r="R466" t="b">
        <v>1</v>
      </c>
      <c r="S466" t="inlineStr">
        <is>
          <t>G000137</t>
        </is>
      </c>
      <c r="T466" t="inlineStr">
        <is>
          <t>Horizontal</t>
        </is>
      </c>
      <c r="U466" t="n">
        <v>7</v>
      </c>
      <c r="V466" t="b">
        <v>1</v>
      </c>
      <c r="W466" t="inlineStr">
        <is>
          <t>Cost Matrix!D31:J31</t>
        </is>
      </c>
      <c r="X466">
        <f>R[-1]C[0]/R[-3]C[0]</f>
        <v/>
      </c>
    </row>
    <row r="467">
      <c r="A467" t="inlineStr">
        <is>
          <t>Cost Matrix</t>
        </is>
      </c>
      <c r="B467" t="inlineStr">
        <is>
          <t>G31</t>
        </is>
      </c>
      <c r="C467" t="n">
        <v>31</v>
      </c>
      <c r="D467" t="n">
        <v>7</v>
      </c>
      <c r="E467" t="inlineStr">
        <is>
          <t>Output</t>
        </is>
      </c>
      <c r="F467" t="inlineStr">
        <is>
          <t>'=G30/G28</t>
        </is>
      </c>
      <c r="G467" t="n">
        <v>-0.1776029021713602</v>
      </c>
      <c r="H467" t="inlineStr"/>
      <c r="I467" t="inlineStr">
        <is>
          <t>0.00%</t>
        </is>
      </c>
      <c r="J467" t="b">
        <v>0</v>
      </c>
      <c r="K467" t="b">
        <v>1</v>
      </c>
      <c r="L467" t="n">
        <v>11</v>
      </c>
      <c r="M467" t="inlineStr">
        <is>
          <t>FF0B0280</t>
        </is>
      </c>
      <c r="N467" t="inlineStr">
        <is>
          <t>00000000</t>
        </is>
      </c>
      <c r="O467" t="inlineStr">
        <is>
          <t>center</t>
        </is>
      </c>
      <c r="R467" t="b">
        <v>1</v>
      </c>
      <c r="S467" t="inlineStr">
        <is>
          <t>G000137</t>
        </is>
      </c>
      <c r="T467" t="inlineStr">
        <is>
          <t>Horizontal</t>
        </is>
      </c>
      <c r="U467" t="n">
        <v>7</v>
      </c>
      <c r="V467" t="b">
        <v>1</v>
      </c>
      <c r="W467" t="inlineStr">
        <is>
          <t>Cost Matrix!D31:J31</t>
        </is>
      </c>
      <c r="X467">
        <f>R[-1]C[0]/R[-3]C[0]</f>
        <v/>
      </c>
    </row>
    <row r="468">
      <c r="A468" t="inlineStr">
        <is>
          <t>Cost Matrix</t>
        </is>
      </c>
      <c r="B468" t="inlineStr">
        <is>
          <t>H31</t>
        </is>
      </c>
      <c r="C468" t="n">
        <v>31</v>
      </c>
      <c r="D468" t="n">
        <v>8</v>
      </c>
      <c r="E468" t="inlineStr">
        <is>
          <t>Output</t>
        </is>
      </c>
      <c r="F468" t="inlineStr">
        <is>
          <t>'=H30/H28</t>
        </is>
      </c>
      <c r="G468" t="n">
        <v>-0.1539780286450998</v>
      </c>
      <c r="H468" t="inlineStr"/>
      <c r="I468" t="inlineStr">
        <is>
          <t>0.00%</t>
        </is>
      </c>
      <c r="J468" t="b">
        <v>0</v>
      </c>
      <c r="K468" t="b">
        <v>1</v>
      </c>
      <c r="L468" t="n">
        <v>11</v>
      </c>
      <c r="M468" t="inlineStr">
        <is>
          <t>FF0B0280</t>
        </is>
      </c>
      <c r="N468" t="inlineStr">
        <is>
          <t>00000000</t>
        </is>
      </c>
      <c r="O468" t="inlineStr">
        <is>
          <t>center</t>
        </is>
      </c>
      <c r="R468" t="b">
        <v>1</v>
      </c>
      <c r="S468" t="inlineStr">
        <is>
          <t>G000137</t>
        </is>
      </c>
      <c r="T468" t="inlineStr">
        <is>
          <t>Horizontal</t>
        </is>
      </c>
      <c r="U468" t="n">
        <v>7</v>
      </c>
      <c r="V468" t="b">
        <v>1</v>
      </c>
      <c r="W468" t="inlineStr">
        <is>
          <t>Cost Matrix!D31:J31</t>
        </is>
      </c>
      <c r="X468">
        <f>R[-1]C[0]/R[-3]C[0]</f>
        <v/>
      </c>
    </row>
    <row r="469">
      <c r="A469" t="inlineStr">
        <is>
          <t>Cost Matrix</t>
        </is>
      </c>
      <c r="B469" t="inlineStr">
        <is>
          <t>I31</t>
        </is>
      </c>
      <c r="C469" t="n">
        <v>31</v>
      </c>
      <c r="D469" t="n">
        <v>9</v>
      </c>
      <c r="E469" t="inlineStr">
        <is>
          <t>Output</t>
        </is>
      </c>
      <c r="F469" t="inlineStr">
        <is>
          <t>'=I30/I28</t>
        </is>
      </c>
      <c r="G469" t="n">
        <v>-0.120116628289097</v>
      </c>
      <c r="H469" t="inlineStr"/>
      <c r="I469" t="inlineStr">
        <is>
          <t>0.00%</t>
        </is>
      </c>
      <c r="J469" t="b">
        <v>0</v>
      </c>
      <c r="K469" t="b">
        <v>1</v>
      </c>
      <c r="L469" t="n">
        <v>11</v>
      </c>
      <c r="M469" t="inlineStr">
        <is>
          <t>FF0B0280</t>
        </is>
      </c>
      <c r="N469" t="inlineStr">
        <is>
          <t>00000000</t>
        </is>
      </c>
      <c r="O469" t="inlineStr">
        <is>
          <t>center</t>
        </is>
      </c>
      <c r="R469" t="b">
        <v>1</v>
      </c>
      <c r="S469" t="inlineStr">
        <is>
          <t>G000137</t>
        </is>
      </c>
      <c r="T469" t="inlineStr">
        <is>
          <t>Horizontal</t>
        </is>
      </c>
      <c r="U469" t="n">
        <v>7</v>
      </c>
      <c r="V469" t="b">
        <v>1</v>
      </c>
      <c r="W469" t="inlineStr">
        <is>
          <t>Cost Matrix!D31:J31</t>
        </is>
      </c>
      <c r="X469">
        <f>R[-1]C[0]/R[-3]C[0]</f>
        <v/>
      </c>
    </row>
    <row r="470">
      <c r="A470" t="inlineStr">
        <is>
          <t>Cost Matrix</t>
        </is>
      </c>
      <c r="B470" t="inlineStr">
        <is>
          <t>J31</t>
        </is>
      </c>
      <c r="C470" t="n">
        <v>31</v>
      </c>
      <c r="D470" t="n">
        <v>10</v>
      </c>
      <c r="E470" t="inlineStr">
        <is>
          <t>Output</t>
        </is>
      </c>
      <c r="F470" t="inlineStr">
        <is>
          <t>'=J30/J28</t>
        </is>
      </c>
      <c r="G470" t="n">
        <v>-0.1457398827357005</v>
      </c>
      <c r="H470" t="inlineStr"/>
      <c r="I470" t="inlineStr">
        <is>
          <t>0.00%</t>
        </is>
      </c>
      <c r="J470" t="b">
        <v>0</v>
      </c>
      <c r="K470" t="b">
        <v>1</v>
      </c>
      <c r="L470" t="n">
        <v>11</v>
      </c>
      <c r="M470" t="inlineStr">
        <is>
          <t>FF0B0280</t>
        </is>
      </c>
      <c r="N470" t="inlineStr">
        <is>
          <t>00000000</t>
        </is>
      </c>
      <c r="O470" t="inlineStr">
        <is>
          <t>center</t>
        </is>
      </c>
      <c r="R470" t="b">
        <v>1</v>
      </c>
      <c r="S470" t="inlineStr">
        <is>
          <t>G000137</t>
        </is>
      </c>
      <c r="T470" t="inlineStr">
        <is>
          <t>Horizontal</t>
        </is>
      </c>
      <c r="U470" t="n">
        <v>7</v>
      </c>
      <c r="V470" t="b">
        <v>1</v>
      </c>
      <c r="W470" t="inlineStr">
        <is>
          <t>Cost Matrix!D31:J31</t>
        </is>
      </c>
      <c r="X470">
        <f>R[-1]C[0]/R[-3]C[0]</f>
        <v/>
      </c>
    </row>
    <row r="471">
      <c r="A471" t="inlineStr">
        <is>
          <t>Cost Matrix</t>
        </is>
      </c>
      <c r="B471" t="inlineStr">
        <is>
          <t>K31</t>
        </is>
      </c>
      <c r="C471" t="n">
        <v>31</v>
      </c>
      <c r="D471" t="n">
        <v>11</v>
      </c>
      <c r="E471" t="inlineStr">
        <is>
          <t>Output</t>
        </is>
      </c>
      <c r="F471" t="inlineStr">
        <is>
          <t>'=K30/K$25</t>
        </is>
      </c>
      <c r="G471" t="n">
        <v>-0.02876934671926906</v>
      </c>
      <c r="H471" t="inlineStr"/>
      <c r="I471" t="inlineStr">
        <is>
          <t>0.00%</t>
        </is>
      </c>
      <c r="J471" t="b">
        <v>0</v>
      </c>
      <c r="K471" t="b">
        <v>1</v>
      </c>
      <c r="L471" t="n">
        <v>11</v>
      </c>
      <c r="M471" t="inlineStr">
        <is>
          <t>FF0B0280</t>
        </is>
      </c>
      <c r="N471" t="inlineStr">
        <is>
          <t>00000000</t>
        </is>
      </c>
      <c r="O471" t="inlineStr">
        <is>
          <t>center</t>
        </is>
      </c>
      <c r="R471" t="b">
        <v>1</v>
      </c>
      <c r="S471" t="inlineStr">
        <is>
          <t>G000123</t>
        </is>
      </c>
      <c r="T471" t="inlineStr">
        <is>
          <t>Horizontal</t>
        </is>
      </c>
      <c r="U471" t="n">
        <v>5</v>
      </c>
      <c r="V471" t="b">
        <v>1</v>
      </c>
      <c r="W471" t="inlineStr">
        <is>
          <t>Cost Matrix!K31:O31</t>
        </is>
      </c>
      <c r="X471">
        <f>R[-1]C[0]/R25C[0]</f>
        <v/>
      </c>
    </row>
    <row r="472">
      <c r="A472" t="inlineStr">
        <is>
          <t>Cost Matrix</t>
        </is>
      </c>
      <c r="B472" t="inlineStr">
        <is>
          <t>L31</t>
        </is>
      </c>
      <c r="C472" t="n">
        <v>31</v>
      </c>
      <c r="D472" t="n">
        <v>12</v>
      </c>
      <c r="E472" t="inlineStr">
        <is>
          <t>Output</t>
        </is>
      </c>
      <c r="F472" t="inlineStr">
        <is>
          <t>'=L30/L$25</t>
        </is>
      </c>
      <c r="G472" t="n">
        <v>-0.01863644918259176</v>
      </c>
      <c r="H472" t="inlineStr"/>
      <c r="I472" t="inlineStr">
        <is>
          <t>0.00%</t>
        </is>
      </c>
      <c r="J472" t="b">
        <v>0</v>
      </c>
      <c r="K472" t="b">
        <v>1</v>
      </c>
      <c r="L472" t="n">
        <v>11</v>
      </c>
      <c r="M472" t="inlineStr">
        <is>
          <t>FF0B0280</t>
        </is>
      </c>
      <c r="N472" t="inlineStr">
        <is>
          <t>00000000</t>
        </is>
      </c>
      <c r="O472" t="inlineStr">
        <is>
          <t>center</t>
        </is>
      </c>
      <c r="R472" t="b">
        <v>1</v>
      </c>
      <c r="S472" t="inlineStr">
        <is>
          <t>G000123</t>
        </is>
      </c>
      <c r="T472" t="inlineStr">
        <is>
          <t>Horizontal</t>
        </is>
      </c>
      <c r="U472" t="n">
        <v>5</v>
      </c>
      <c r="V472" t="b">
        <v>1</v>
      </c>
      <c r="W472" t="inlineStr">
        <is>
          <t>Cost Matrix!K31:O31</t>
        </is>
      </c>
      <c r="X472">
        <f>R[-1]C[0]/R25C[0]</f>
        <v/>
      </c>
    </row>
    <row r="473">
      <c r="A473" t="inlineStr">
        <is>
          <t>Cost Matrix</t>
        </is>
      </c>
      <c r="B473" t="inlineStr">
        <is>
          <t>M31</t>
        </is>
      </c>
      <c r="C473" t="n">
        <v>31</v>
      </c>
      <c r="D473" t="n">
        <v>13</v>
      </c>
      <c r="E473" t="inlineStr">
        <is>
          <t>Output</t>
        </is>
      </c>
      <c r="F473" t="inlineStr">
        <is>
          <t>'=M30/M$25</t>
        </is>
      </c>
      <c r="G473" t="n">
        <v>-0.02174479776026844</v>
      </c>
      <c r="H473" t="inlineStr"/>
      <c r="I473" t="inlineStr">
        <is>
          <t>0.00%</t>
        </is>
      </c>
      <c r="J473" t="b">
        <v>0</v>
      </c>
      <c r="K473" t="b">
        <v>1</v>
      </c>
      <c r="L473" t="n">
        <v>11</v>
      </c>
      <c r="M473" t="inlineStr">
        <is>
          <t>FF0B0280</t>
        </is>
      </c>
      <c r="N473" t="inlineStr">
        <is>
          <t>00000000</t>
        </is>
      </c>
      <c r="O473" t="inlineStr">
        <is>
          <t>center</t>
        </is>
      </c>
      <c r="R473" t="b">
        <v>1</v>
      </c>
      <c r="S473" t="inlineStr">
        <is>
          <t>G000123</t>
        </is>
      </c>
      <c r="T473" t="inlineStr">
        <is>
          <t>Horizontal</t>
        </is>
      </c>
      <c r="U473" t="n">
        <v>5</v>
      </c>
      <c r="V473" t="b">
        <v>1</v>
      </c>
      <c r="W473" t="inlineStr">
        <is>
          <t>Cost Matrix!K31:O31</t>
        </is>
      </c>
      <c r="X473">
        <f>R[-1]C[0]/R25C[0]</f>
        <v/>
      </c>
    </row>
    <row r="474">
      <c r="A474" t="inlineStr">
        <is>
          <t>Cost Matrix</t>
        </is>
      </c>
      <c r="B474" t="inlineStr">
        <is>
          <t>N31</t>
        </is>
      </c>
      <c r="C474" t="n">
        <v>31</v>
      </c>
      <c r="D474" t="n">
        <v>14</v>
      </c>
      <c r="E474" t="inlineStr">
        <is>
          <t>Output</t>
        </is>
      </c>
      <c r="F474" t="inlineStr">
        <is>
          <t>'=N30/N$25</t>
        </is>
      </c>
      <c r="G474" t="n">
        <v>-0.02311300338840114</v>
      </c>
      <c r="H474" t="inlineStr"/>
      <c r="I474" t="inlineStr">
        <is>
          <t>0.00%</t>
        </is>
      </c>
      <c r="J474" t="b">
        <v>0</v>
      </c>
      <c r="K474" t="b">
        <v>1</v>
      </c>
      <c r="L474" t="n">
        <v>11</v>
      </c>
      <c r="M474" t="inlineStr">
        <is>
          <t>FF0B0280</t>
        </is>
      </c>
      <c r="N474" t="inlineStr">
        <is>
          <t>00000000</t>
        </is>
      </c>
      <c r="O474" t="inlineStr">
        <is>
          <t>center</t>
        </is>
      </c>
      <c r="R474" t="b">
        <v>1</v>
      </c>
      <c r="S474" t="inlineStr">
        <is>
          <t>G000123</t>
        </is>
      </c>
      <c r="T474" t="inlineStr">
        <is>
          <t>Horizontal</t>
        </is>
      </c>
      <c r="U474" t="n">
        <v>5</v>
      </c>
      <c r="V474" t="b">
        <v>1</v>
      </c>
      <c r="W474" t="inlineStr">
        <is>
          <t>Cost Matrix!K31:O31</t>
        </is>
      </c>
      <c r="X474">
        <f>R[-1]C[0]/R25C[0]</f>
        <v/>
      </c>
    </row>
    <row r="475">
      <c r="A475" t="inlineStr">
        <is>
          <t>Cost Matrix</t>
        </is>
      </c>
      <c r="B475" t="inlineStr">
        <is>
          <t>O31</t>
        </is>
      </c>
      <c r="C475" t="n">
        <v>31</v>
      </c>
      <c r="D475" t="n">
        <v>15</v>
      </c>
      <c r="E475" t="inlineStr">
        <is>
          <t>Output</t>
        </is>
      </c>
      <c r="F475" t="inlineStr">
        <is>
          <t>'=O30/O$25</t>
        </is>
      </c>
      <c r="G475" t="n">
        <v>-0.02356005351227526</v>
      </c>
      <c r="H475" t="inlineStr"/>
      <c r="I475" t="inlineStr">
        <is>
          <t>0.00%</t>
        </is>
      </c>
      <c r="J475" t="b">
        <v>0</v>
      </c>
      <c r="K475" t="b">
        <v>1</v>
      </c>
      <c r="L475" t="n">
        <v>11</v>
      </c>
      <c r="M475" t="inlineStr">
        <is>
          <t>FF0B0280</t>
        </is>
      </c>
      <c r="N475" t="inlineStr">
        <is>
          <t>00000000</t>
        </is>
      </c>
      <c r="O475" t="inlineStr">
        <is>
          <t>center</t>
        </is>
      </c>
      <c r="R475" t="b">
        <v>1</v>
      </c>
      <c r="S475" t="inlineStr">
        <is>
          <t>G000123</t>
        </is>
      </c>
      <c r="T475" t="inlineStr">
        <is>
          <t>Horizontal</t>
        </is>
      </c>
      <c r="U475" t="n">
        <v>5</v>
      </c>
      <c r="V475" t="b">
        <v>1</v>
      </c>
      <c r="W475" t="inlineStr">
        <is>
          <t>Cost Matrix!K31:O31</t>
        </is>
      </c>
      <c r="X475">
        <f>R[-1]C[0]/R25C[0]</f>
        <v/>
      </c>
    </row>
    <row r="476">
      <c r="A476" t="inlineStr">
        <is>
          <t>Cost Matrix</t>
        </is>
      </c>
      <c r="B476" t="inlineStr">
        <is>
          <t>A32</t>
        </is>
      </c>
      <c r="C476" t="n">
        <v>32</v>
      </c>
      <c r="D476" t="n">
        <v>1</v>
      </c>
      <c r="E476" t="inlineStr">
        <is>
          <t>Input</t>
        </is>
      </c>
      <c r="F476" t="n">
        <v/>
      </c>
      <c r="G476" t="inlineStr">
        <is>
          <t>Purchase of stock in trade</t>
        </is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00000000</t>
        </is>
      </c>
      <c r="O476" t="n">
        <v/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Cost Matrix</t>
        </is>
      </c>
      <c r="B477" t="inlineStr">
        <is>
          <t>D32</t>
        </is>
      </c>
      <c r="C477" t="n">
        <v>32</v>
      </c>
      <c r="D477" t="n">
        <v>4</v>
      </c>
      <c r="E477" t="inlineStr">
        <is>
          <t>Input</t>
        </is>
      </c>
      <c r="F477" t="n">
        <v/>
      </c>
      <c r="G477" t="n">
        <v>190.93</v>
      </c>
      <c r="H477" t="inlineStr"/>
      <c r="I477" t="inlineStr">
        <is>
          <t>#,##0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00000000</t>
        </is>
      </c>
      <c r="O477" t="n">
        <v/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Cost Matrix</t>
        </is>
      </c>
      <c r="B478" t="inlineStr">
        <is>
          <t>E32</t>
        </is>
      </c>
      <c r="C478" t="n">
        <v>32</v>
      </c>
      <c r="D478" t="n">
        <v>5</v>
      </c>
      <c r="E478" t="inlineStr">
        <is>
          <t>Input</t>
        </is>
      </c>
      <c r="F478" t="n">
        <v/>
      </c>
      <c r="G478" t="n">
        <v>341.79</v>
      </c>
      <c r="H478" t="inlineStr"/>
      <c r="I478" t="inlineStr">
        <is>
          <t>#,##0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00000000</t>
        </is>
      </c>
      <c r="O478" t="n">
        <v/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</row>
    <row r="479">
      <c r="A479" t="inlineStr">
        <is>
          <t>Cost Matrix</t>
        </is>
      </c>
      <c r="B479" t="inlineStr">
        <is>
          <t>F32</t>
        </is>
      </c>
      <c r="C479" t="n">
        <v>32</v>
      </c>
      <c r="D479" t="n">
        <v>6</v>
      </c>
      <c r="E479" t="inlineStr">
        <is>
          <t>Input</t>
        </is>
      </c>
      <c r="F479" t="n">
        <v/>
      </c>
      <c r="G479" t="n">
        <v>559.9400000000001</v>
      </c>
      <c r="H479" t="inlineStr"/>
      <c r="I479" t="inlineStr">
        <is>
          <t>#,##0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00000000</t>
        </is>
      </c>
      <c r="O479" t="n">
        <v/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</row>
    <row r="480">
      <c r="A480" t="inlineStr">
        <is>
          <t>Cost Matrix</t>
        </is>
      </c>
      <c r="B480" t="inlineStr">
        <is>
          <t>G32</t>
        </is>
      </c>
      <c r="C480" t="n">
        <v>32</v>
      </c>
      <c r="D480" t="n">
        <v>7</v>
      </c>
      <c r="E480" t="inlineStr">
        <is>
          <t>Input</t>
        </is>
      </c>
      <c r="F480" t="n">
        <v/>
      </c>
      <c r="G480" t="n">
        <v>589.63</v>
      </c>
      <c r="H480" t="inlineStr"/>
      <c r="I480" t="inlineStr">
        <is>
          <t>#,##0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n">
        <v/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</row>
    <row r="481">
      <c r="A481" t="inlineStr">
        <is>
          <t>Cost Matrix</t>
        </is>
      </c>
      <c r="B481" t="inlineStr">
        <is>
          <t>H32</t>
        </is>
      </c>
      <c r="C481" t="n">
        <v>32</v>
      </c>
      <c r="D481" t="n">
        <v>8</v>
      </c>
      <c r="E481" t="inlineStr">
        <is>
          <t>Input</t>
        </is>
      </c>
      <c r="F481" t="n">
        <v/>
      </c>
      <c r="G481" t="n">
        <v>817.1</v>
      </c>
      <c r="H481" t="inlineStr"/>
      <c r="I481" t="inlineStr">
        <is>
          <t>#,##0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00000000</t>
        </is>
      </c>
      <c r="O481" t="n">
        <v/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</row>
    <row r="482">
      <c r="A482" t="inlineStr">
        <is>
          <t>Cost Matrix</t>
        </is>
      </c>
      <c r="B482" t="inlineStr">
        <is>
          <t>I32</t>
        </is>
      </c>
      <c r="C482" t="n">
        <v>32</v>
      </c>
      <c r="D482" t="n">
        <v>9</v>
      </c>
      <c r="E482" t="inlineStr">
        <is>
          <t>Input</t>
        </is>
      </c>
      <c r="F482" t="n">
        <v/>
      </c>
      <c r="G482" t="n">
        <v>1147.82</v>
      </c>
      <c r="H482" t="inlineStr"/>
      <c r="I482" t="inlineStr">
        <is>
          <t>#,##0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</row>
    <row r="483">
      <c r="A483" t="inlineStr">
        <is>
          <t>Cost Matrix</t>
        </is>
      </c>
      <c r="B483" t="inlineStr">
        <is>
          <t>J32</t>
        </is>
      </c>
      <c r="C483" t="n">
        <v>32</v>
      </c>
      <c r="D483" t="n">
        <v>10</v>
      </c>
      <c r="E483" t="inlineStr">
        <is>
          <t>Input</t>
        </is>
      </c>
      <c r="F483" t="n">
        <v/>
      </c>
      <c r="G483" t="n">
        <v>1238.32</v>
      </c>
      <c r="H483" t="inlineStr"/>
      <c r="I483" t="inlineStr">
        <is>
          <t>#,##0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n">
        <v/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</row>
    <row r="484">
      <c r="A484" t="inlineStr">
        <is>
          <t>Cost Matrix</t>
        </is>
      </c>
      <c r="B484" t="inlineStr">
        <is>
          <t>K32</t>
        </is>
      </c>
      <c r="C484" t="n">
        <v>32</v>
      </c>
      <c r="D484" t="n">
        <v>11</v>
      </c>
      <c r="E484" t="inlineStr">
        <is>
          <t>Calculation</t>
        </is>
      </c>
      <c r="F484" t="inlineStr">
        <is>
          <t>'=K33*K$25</t>
        </is>
      </c>
      <c r="G484" t="n">
        <v>1393.479524967766</v>
      </c>
      <c r="H484" t="inlineStr"/>
      <c r="I484" t="inlineStr">
        <is>
          <t>#,##0</t>
        </is>
      </c>
      <c r="J484" t="b">
        <v>0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00000000</t>
        </is>
      </c>
      <c r="O484" t="n">
        <v/>
      </c>
      <c r="R484" t="b">
        <v>1</v>
      </c>
      <c r="S484" t="inlineStr">
        <is>
          <t>G000130</t>
        </is>
      </c>
      <c r="T484" t="inlineStr">
        <is>
          <t>Horizontal</t>
        </is>
      </c>
      <c r="U484" t="n">
        <v>5</v>
      </c>
      <c r="V484" t="b">
        <v>1</v>
      </c>
      <c r="W484" t="inlineStr">
        <is>
          <t>Cost Matrix!K32:O32</t>
        </is>
      </c>
      <c r="X484">
        <f>R[1]C[0]*R25C[0]</f>
        <v/>
      </c>
    </row>
    <row r="485">
      <c r="A485" t="inlineStr">
        <is>
          <t>Cost Matrix</t>
        </is>
      </c>
      <c r="B485" t="inlineStr">
        <is>
          <t>L32</t>
        </is>
      </c>
      <c r="C485" t="n">
        <v>32</v>
      </c>
      <c r="D485" t="n">
        <v>12</v>
      </c>
      <c r="E485" t="inlineStr">
        <is>
          <t>Calculation</t>
        </is>
      </c>
      <c r="F485" t="inlineStr">
        <is>
          <t>'=L33*L$25</t>
        </is>
      </c>
      <c r="G485" t="n">
        <v>1699.043791220932</v>
      </c>
      <c r="H485" t="inlineStr"/>
      <c r="I485" t="inlineStr">
        <is>
          <t>#,##0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00000000</t>
        </is>
      </c>
      <c r="O485" t="n">
        <v/>
      </c>
      <c r="R485" t="b">
        <v>1</v>
      </c>
      <c r="S485" t="inlineStr">
        <is>
          <t>G000130</t>
        </is>
      </c>
      <c r="T485" t="inlineStr">
        <is>
          <t>Horizontal</t>
        </is>
      </c>
      <c r="U485" t="n">
        <v>5</v>
      </c>
      <c r="V485" t="b">
        <v>1</v>
      </c>
      <c r="W485" t="inlineStr">
        <is>
          <t>Cost Matrix!K32:O32</t>
        </is>
      </c>
      <c r="X485">
        <f>R[1]C[0]*R25C[0]</f>
        <v/>
      </c>
    </row>
    <row r="486">
      <c r="A486" t="inlineStr">
        <is>
          <t>Cost Matrix</t>
        </is>
      </c>
      <c r="B486" t="inlineStr">
        <is>
          <t>M32</t>
        </is>
      </c>
      <c r="C486" t="n">
        <v>32</v>
      </c>
      <c r="D486" t="n">
        <v>13</v>
      </c>
      <c r="E486" t="inlineStr">
        <is>
          <t>Calculation</t>
        </is>
      </c>
      <c r="F486" t="inlineStr">
        <is>
          <t>'=M33*M$25</t>
        </is>
      </c>
      <c r="G486" t="n">
        <v>2060.982620223484</v>
      </c>
      <c r="H486" t="inlineStr"/>
      <c r="I486" t="inlineStr">
        <is>
          <t>#,##0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00000000</t>
        </is>
      </c>
      <c r="O486" t="n">
        <v/>
      </c>
      <c r="R486" t="b">
        <v>1</v>
      </c>
      <c r="S486" t="inlineStr">
        <is>
          <t>G000130</t>
        </is>
      </c>
      <c r="T486" t="inlineStr">
        <is>
          <t>Horizontal</t>
        </is>
      </c>
      <c r="U486" t="n">
        <v>5</v>
      </c>
      <c r="V486" t="b">
        <v>1</v>
      </c>
      <c r="W486" t="inlineStr">
        <is>
          <t>Cost Matrix!K32:O32</t>
        </is>
      </c>
      <c r="X486">
        <f>R[1]C[0]*R25C[0]</f>
        <v/>
      </c>
    </row>
    <row r="487">
      <c r="A487" t="inlineStr">
        <is>
          <t>Cost Matrix</t>
        </is>
      </c>
      <c r="B487" t="inlineStr">
        <is>
          <t>N32</t>
        </is>
      </c>
      <c r="C487" t="n">
        <v>32</v>
      </c>
      <c r="D487" t="n">
        <v>14</v>
      </c>
      <c r="E487" t="inlineStr">
        <is>
          <t>Calculation</t>
        </is>
      </c>
      <c r="F487" t="inlineStr">
        <is>
          <t>'=N33*N$25</t>
        </is>
      </c>
      <c r="G487" t="n">
        <v>2497.884536306623</v>
      </c>
      <c r="H487" t="inlineStr"/>
      <c r="I487" t="inlineStr">
        <is>
          <t>#,##0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00000000</t>
        </is>
      </c>
      <c r="O487" t="n">
        <v/>
      </c>
      <c r="R487" t="b">
        <v>1</v>
      </c>
      <c r="S487" t="inlineStr">
        <is>
          <t>G000130</t>
        </is>
      </c>
      <c r="T487" t="inlineStr">
        <is>
          <t>Horizontal</t>
        </is>
      </c>
      <c r="U487" t="n">
        <v>5</v>
      </c>
      <c r="V487" t="b">
        <v>1</v>
      </c>
      <c r="W487" t="inlineStr">
        <is>
          <t>Cost Matrix!K32:O32</t>
        </is>
      </c>
      <c r="X487">
        <f>R[1]C[0]*R25C[0]</f>
        <v/>
      </c>
    </row>
    <row r="488">
      <c r="A488" t="inlineStr">
        <is>
          <t>Cost Matrix</t>
        </is>
      </c>
      <c r="B488" t="inlineStr">
        <is>
          <t>O32</t>
        </is>
      </c>
      <c r="C488" t="n">
        <v>32</v>
      </c>
      <c r="D488" t="n">
        <v>15</v>
      </c>
      <c r="E488" t="inlineStr">
        <is>
          <t>Calculation</t>
        </is>
      </c>
      <c r="F488" t="inlineStr">
        <is>
          <t>'=O33*O$25</t>
        </is>
      </c>
      <c r="G488" t="n">
        <v>3037.944708253128</v>
      </c>
      <c r="H488" t="inlineStr"/>
      <c r="I488" t="inlineStr">
        <is>
          <t>#,##0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00000000</t>
        </is>
      </c>
      <c r="O488" t="n">
        <v/>
      </c>
      <c r="R488" t="b">
        <v>1</v>
      </c>
      <c r="S488" t="inlineStr">
        <is>
          <t>G000130</t>
        </is>
      </c>
      <c r="T488" t="inlineStr">
        <is>
          <t>Horizontal</t>
        </is>
      </c>
      <c r="U488" t="n">
        <v>5</v>
      </c>
      <c r="V488" t="b">
        <v>1</v>
      </c>
      <c r="W488" t="inlineStr">
        <is>
          <t>Cost Matrix!K32:O32</t>
        </is>
      </c>
      <c r="X488">
        <f>R[1]C[0]*R25C[0]</f>
        <v/>
      </c>
    </row>
    <row r="489">
      <c r="A489" t="inlineStr">
        <is>
          <t>Cost Matrix</t>
        </is>
      </c>
      <c r="B489" t="inlineStr">
        <is>
          <t>D33</t>
        </is>
      </c>
      <c r="C489" t="n">
        <v>33</v>
      </c>
      <c r="D489" t="n">
        <v>4</v>
      </c>
      <c r="E489" t="inlineStr">
        <is>
          <t>Output</t>
        </is>
      </c>
      <c r="F489" t="inlineStr">
        <is>
          <t>'=D32/D$25</t>
        </is>
      </c>
      <c r="G489" t="n">
        <v>0.004840815626801208</v>
      </c>
      <c r="H489" t="inlineStr"/>
      <c r="I489" t="inlineStr">
        <is>
          <t>0.00%</t>
        </is>
      </c>
      <c r="J489" t="b">
        <v>0</v>
      </c>
      <c r="K489" t="b">
        <v>1</v>
      </c>
      <c r="L489" t="n">
        <v>11</v>
      </c>
      <c r="M489" t="inlineStr">
        <is>
          <t>FF0B0280</t>
        </is>
      </c>
      <c r="N489" t="inlineStr">
        <is>
          <t>00000000</t>
        </is>
      </c>
      <c r="O489" t="inlineStr">
        <is>
          <t>center</t>
        </is>
      </c>
      <c r="R489" t="b">
        <v>1</v>
      </c>
      <c r="S489" t="inlineStr">
        <is>
          <t>G000124</t>
        </is>
      </c>
      <c r="T489" t="inlineStr">
        <is>
          <t>Horizontal</t>
        </is>
      </c>
      <c r="U489" t="n">
        <v>7</v>
      </c>
      <c r="V489" t="b">
        <v>1</v>
      </c>
      <c r="W489" t="inlineStr">
        <is>
          <t>Cost Matrix!D33:J33</t>
        </is>
      </c>
      <c r="X489">
        <f>R[-1]C[0]/R25C[0]</f>
        <v/>
      </c>
    </row>
    <row r="490">
      <c r="A490" t="inlineStr">
        <is>
          <t>Cost Matrix</t>
        </is>
      </c>
      <c r="B490" t="inlineStr">
        <is>
          <t>E33</t>
        </is>
      </c>
      <c r="C490" t="n">
        <v>33</v>
      </c>
      <c r="D490" t="n">
        <v>5</v>
      </c>
      <c r="E490" t="inlineStr">
        <is>
          <t>Output</t>
        </is>
      </c>
      <c r="F490" t="inlineStr">
        <is>
          <t>'=E32/E$25</t>
        </is>
      </c>
      <c r="G490" t="n">
        <v>0.005987249228100484</v>
      </c>
      <c r="H490" t="inlineStr"/>
      <c r="I490" t="inlineStr">
        <is>
          <t>0.00%</t>
        </is>
      </c>
      <c r="J490" t="b">
        <v>0</v>
      </c>
      <c r="K490" t="b">
        <v>1</v>
      </c>
      <c r="L490" t="n">
        <v>11</v>
      </c>
      <c r="M490" t="inlineStr">
        <is>
          <t>FF0B0280</t>
        </is>
      </c>
      <c r="N490" t="inlineStr">
        <is>
          <t>00000000</t>
        </is>
      </c>
      <c r="O490" t="inlineStr">
        <is>
          <t>center</t>
        </is>
      </c>
      <c r="R490" t="b">
        <v>1</v>
      </c>
      <c r="S490" t="inlineStr">
        <is>
          <t>G000124</t>
        </is>
      </c>
      <c r="T490" t="inlineStr">
        <is>
          <t>Horizontal</t>
        </is>
      </c>
      <c r="U490" t="n">
        <v>7</v>
      </c>
      <c r="V490" t="b">
        <v>1</v>
      </c>
      <c r="W490" t="inlineStr">
        <is>
          <t>Cost Matrix!D33:J33</t>
        </is>
      </c>
      <c r="X490">
        <f>R[-1]C[0]/R25C[0]</f>
        <v/>
      </c>
    </row>
    <row r="491">
      <c r="A491" t="inlineStr">
        <is>
          <t>Cost Matrix</t>
        </is>
      </c>
      <c r="B491" t="inlineStr">
        <is>
          <t>F33</t>
        </is>
      </c>
      <c r="C491" t="n">
        <v>33</v>
      </c>
      <c r="D491" t="n">
        <v>6</v>
      </c>
      <c r="E491" t="inlineStr">
        <is>
          <t>Output</t>
        </is>
      </c>
      <c r="F491" t="inlineStr">
        <is>
          <t>'=F32/F$25</t>
        </is>
      </c>
      <c r="G491" t="n">
        <v>0.005931413650029632</v>
      </c>
      <c r="H491" t="inlineStr"/>
      <c r="I491" t="inlineStr">
        <is>
          <t>0.00%</t>
        </is>
      </c>
      <c r="J491" t="b">
        <v>0</v>
      </c>
      <c r="K491" t="b">
        <v>1</v>
      </c>
      <c r="L491" t="n">
        <v>11</v>
      </c>
      <c r="M491" t="inlineStr">
        <is>
          <t>FF0B0280</t>
        </is>
      </c>
      <c r="N491" t="inlineStr">
        <is>
          <t>00000000</t>
        </is>
      </c>
      <c r="O491" t="inlineStr">
        <is>
          <t>center</t>
        </is>
      </c>
      <c r="R491" t="b">
        <v>1</v>
      </c>
      <c r="S491" t="inlineStr">
        <is>
          <t>G000124</t>
        </is>
      </c>
      <c r="T491" t="inlineStr">
        <is>
          <t>Horizontal</t>
        </is>
      </c>
      <c r="U491" t="n">
        <v>7</v>
      </c>
      <c r="V491" t="b">
        <v>1</v>
      </c>
      <c r="W491" t="inlineStr">
        <is>
          <t>Cost Matrix!D33:J33</t>
        </is>
      </c>
      <c r="X491">
        <f>R[-1]C[0]/R25C[0]</f>
        <v/>
      </c>
    </row>
    <row r="492">
      <c r="A492" t="inlineStr">
        <is>
          <t>Cost Matrix</t>
        </is>
      </c>
      <c r="B492" t="inlineStr">
        <is>
          <t>G33</t>
        </is>
      </c>
      <c r="C492" t="n">
        <v>33</v>
      </c>
      <c r="D492" t="n">
        <v>7</v>
      </c>
      <c r="E492" t="inlineStr">
        <is>
          <t>Output</t>
        </is>
      </c>
      <c r="F492" t="inlineStr">
        <is>
          <t>'=G32/G$25</t>
        </is>
      </c>
      <c r="G492" t="n">
        <v>0.005157656075704418</v>
      </c>
      <c r="H492" t="inlineStr"/>
      <c r="I492" t="inlineStr">
        <is>
          <t>0.00%</t>
        </is>
      </c>
      <c r="J492" t="b">
        <v>0</v>
      </c>
      <c r="K492" t="b">
        <v>1</v>
      </c>
      <c r="L492" t="n">
        <v>11</v>
      </c>
      <c r="M492" t="inlineStr">
        <is>
          <t>FF0B0280</t>
        </is>
      </c>
      <c r="N492" t="inlineStr">
        <is>
          <t>00000000</t>
        </is>
      </c>
      <c r="O492" t="inlineStr">
        <is>
          <t>center</t>
        </is>
      </c>
      <c r="R492" t="b">
        <v>1</v>
      </c>
      <c r="S492" t="inlineStr">
        <is>
          <t>G000124</t>
        </is>
      </c>
      <c r="T492" t="inlineStr">
        <is>
          <t>Horizontal</t>
        </is>
      </c>
      <c r="U492" t="n">
        <v>7</v>
      </c>
      <c r="V492" t="b">
        <v>1</v>
      </c>
      <c r="W492" t="inlineStr">
        <is>
          <t>Cost Matrix!D33:J33</t>
        </is>
      </c>
      <c r="X492">
        <f>R[-1]C[0]/R25C[0]</f>
        <v/>
      </c>
    </row>
    <row r="493">
      <c r="A493" t="inlineStr">
        <is>
          <t>Cost Matrix</t>
        </is>
      </c>
      <c r="B493" t="inlineStr">
        <is>
          <t>H33</t>
        </is>
      </c>
      <c r="C493" t="n">
        <v>33</v>
      </c>
      <c r="D493" t="n">
        <v>8</v>
      </c>
      <c r="E493" t="inlineStr">
        <is>
          <t>Output</t>
        </is>
      </c>
      <c r="F493" t="inlineStr">
        <is>
          <t>'=H32/H$25</t>
        </is>
      </c>
      <c r="G493" t="n">
        <v>0.005706032176105756</v>
      </c>
      <c r="H493" t="inlineStr"/>
      <c r="I493" t="inlineStr">
        <is>
          <t>0.00%</t>
        </is>
      </c>
      <c r="J493" t="b">
        <v>0</v>
      </c>
      <c r="K493" t="b">
        <v>1</v>
      </c>
      <c r="L493" t="n">
        <v>11</v>
      </c>
      <c r="M493" t="inlineStr">
        <is>
          <t>FF0B0280</t>
        </is>
      </c>
      <c r="N493" t="inlineStr">
        <is>
          <t>00000000</t>
        </is>
      </c>
      <c r="O493" t="inlineStr">
        <is>
          <t>center</t>
        </is>
      </c>
      <c r="R493" t="b">
        <v>1</v>
      </c>
      <c r="S493" t="inlineStr">
        <is>
          <t>G000124</t>
        </is>
      </c>
      <c r="T493" t="inlineStr">
        <is>
          <t>Horizontal</t>
        </is>
      </c>
      <c r="U493" t="n">
        <v>7</v>
      </c>
      <c r="V493" t="b">
        <v>1</v>
      </c>
      <c r="W493" t="inlineStr">
        <is>
          <t>Cost Matrix!D33:J33</t>
        </is>
      </c>
      <c r="X493">
        <f>R[-1]C[0]/R25C[0]</f>
        <v/>
      </c>
    </row>
    <row r="494">
      <c r="A494" t="inlineStr">
        <is>
          <t>Cost Matrix</t>
        </is>
      </c>
      <c r="B494" t="inlineStr">
        <is>
          <t>I33</t>
        </is>
      </c>
      <c r="C494" t="n">
        <v>33</v>
      </c>
      <c r="D494" t="n">
        <v>9</v>
      </c>
      <c r="E494" t="inlineStr">
        <is>
          <t>Output</t>
        </is>
      </c>
      <c r="F494" t="inlineStr">
        <is>
          <t>'=I32/I$25</t>
        </is>
      </c>
      <c r="G494" t="n">
        <v>0.006914030699818131</v>
      </c>
      <c r="H494" t="inlineStr"/>
      <c r="I494" t="inlineStr">
        <is>
          <t>0.00%</t>
        </is>
      </c>
      <c r="J494" t="b">
        <v>0</v>
      </c>
      <c r="K494" t="b">
        <v>1</v>
      </c>
      <c r="L494" t="n">
        <v>11</v>
      </c>
      <c r="M494" t="inlineStr">
        <is>
          <t>FF0B0280</t>
        </is>
      </c>
      <c r="N494" t="inlineStr">
        <is>
          <t>00000000</t>
        </is>
      </c>
      <c r="O494" t="inlineStr">
        <is>
          <t>center</t>
        </is>
      </c>
      <c r="R494" t="b">
        <v>1</v>
      </c>
      <c r="S494" t="inlineStr">
        <is>
          <t>G000124</t>
        </is>
      </c>
      <c r="T494" t="inlineStr">
        <is>
          <t>Horizontal</t>
        </is>
      </c>
      <c r="U494" t="n">
        <v>7</v>
      </c>
      <c r="V494" t="b">
        <v>1</v>
      </c>
      <c r="W494" t="inlineStr">
        <is>
          <t>Cost Matrix!D33:J33</t>
        </is>
      </c>
      <c r="X494">
        <f>R[-1]C[0]/R25C[0]</f>
        <v/>
      </c>
    </row>
    <row r="495">
      <c r="A495" t="inlineStr">
        <is>
          <t>Cost Matrix</t>
        </is>
      </c>
      <c r="B495" t="inlineStr">
        <is>
          <t>J33</t>
        </is>
      </c>
      <c r="C495" t="n">
        <v>33</v>
      </c>
      <c r="D495" t="n">
        <v>10</v>
      </c>
      <c r="E495" t="inlineStr">
        <is>
          <t>Output</t>
        </is>
      </c>
      <c r="F495" t="inlineStr">
        <is>
          <t>'=J32/J$25</t>
        </is>
      </c>
      <c r="G495" t="n">
        <v>0.006393105337066448</v>
      </c>
      <c r="H495" t="inlineStr"/>
      <c r="I495" t="inlineStr">
        <is>
          <t>0.00%</t>
        </is>
      </c>
      <c r="J495" t="b">
        <v>0</v>
      </c>
      <c r="K495" t="b">
        <v>1</v>
      </c>
      <c r="L495" t="n">
        <v>11</v>
      </c>
      <c r="M495" t="inlineStr">
        <is>
          <t>FF0B0280</t>
        </is>
      </c>
      <c r="N495" t="inlineStr">
        <is>
          <t>00000000</t>
        </is>
      </c>
      <c r="O495" t="inlineStr">
        <is>
          <t>center</t>
        </is>
      </c>
      <c r="R495" t="b">
        <v>1</v>
      </c>
      <c r="S495" t="inlineStr">
        <is>
          <t>G000124</t>
        </is>
      </c>
      <c r="T495" t="inlineStr">
        <is>
          <t>Horizontal</t>
        </is>
      </c>
      <c r="U495" t="n">
        <v>7</v>
      </c>
      <c r="V495" t="b">
        <v>1</v>
      </c>
      <c r="W495" t="inlineStr">
        <is>
          <t>Cost Matrix!D33:J33</t>
        </is>
      </c>
      <c r="X495">
        <f>R[-1]C[0]/R25C[0]</f>
        <v/>
      </c>
    </row>
    <row r="496">
      <c r="A496" t="inlineStr">
        <is>
          <t>Cost Matrix</t>
        </is>
      </c>
      <c r="B496" t="inlineStr">
        <is>
          <t>K33</t>
        </is>
      </c>
      <c r="C496" t="n">
        <v>33</v>
      </c>
      <c r="D496" t="n">
        <v>11</v>
      </c>
      <c r="E496" t="inlineStr">
        <is>
          <t>Input</t>
        </is>
      </c>
      <c r="F496" t="n">
        <v/>
      </c>
      <c r="G496" t="n">
        <v>0.006</v>
      </c>
      <c r="H496" t="inlineStr"/>
      <c r="I496" t="inlineStr">
        <is>
          <t>0.00%</t>
        </is>
      </c>
      <c r="J496" t="b">
        <v>0</v>
      </c>
      <c r="K496" t="b">
        <v>1</v>
      </c>
      <c r="L496" t="n">
        <v>11</v>
      </c>
      <c r="M496" t="inlineStr">
        <is>
          <t>FF0B0280</t>
        </is>
      </c>
      <c r="N496" t="inlineStr">
        <is>
          <t>00000000</t>
        </is>
      </c>
      <c r="O496" t="inlineStr">
        <is>
          <t>center</t>
        </is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Cost Matrix</t>
        </is>
      </c>
      <c r="B497" t="inlineStr">
        <is>
          <t>L33</t>
        </is>
      </c>
      <c r="C497" t="n">
        <v>33</v>
      </c>
      <c r="D497" t="n">
        <v>12</v>
      </c>
      <c r="E497" t="inlineStr">
        <is>
          <t>Calculation</t>
        </is>
      </c>
      <c r="F497" t="inlineStr">
        <is>
          <t>'=K33</t>
        </is>
      </c>
      <c r="G497" t="n">
        <v>0.006</v>
      </c>
      <c r="H497" t="inlineStr"/>
      <c r="I497" t="inlineStr">
        <is>
          <t>0.00%</t>
        </is>
      </c>
      <c r="J497" t="b">
        <v>0</v>
      </c>
      <c r="K497" t="b">
        <v>1</v>
      </c>
      <c r="L497" t="n">
        <v>11</v>
      </c>
      <c r="M497" t="inlineStr">
        <is>
          <t>FF0B0280</t>
        </is>
      </c>
      <c r="N497" t="inlineStr">
        <is>
          <t>00000000</t>
        </is>
      </c>
      <c r="O497" t="inlineStr">
        <is>
          <t>center</t>
        </is>
      </c>
      <c r="R497" t="b">
        <v>1</v>
      </c>
      <c r="S497" t="inlineStr">
        <is>
          <t>G000138</t>
        </is>
      </c>
      <c r="T497" t="inlineStr">
        <is>
          <t>Horizontal</t>
        </is>
      </c>
      <c r="U497" t="n">
        <v>4</v>
      </c>
      <c r="V497" t="b">
        <v>1</v>
      </c>
      <c r="W497" t="inlineStr">
        <is>
          <t>Cost Matrix!L33:O33</t>
        </is>
      </c>
      <c r="X497">
        <f>R[0]C[-1]</f>
        <v/>
      </c>
    </row>
    <row r="498">
      <c r="A498" t="inlineStr">
        <is>
          <t>Cost Matrix</t>
        </is>
      </c>
      <c r="B498" t="inlineStr">
        <is>
          <t>M33</t>
        </is>
      </c>
      <c r="C498" t="n">
        <v>33</v>
      </c>
      <c r="D498" t="n">
        <v>13</v>
      </c>
      <c r="E498" t="inlineStr">
        <is>
          <t>Calculation</t>
        </is>
      </c>
      <c r="F498" t="inlineStr">
        <is>
          <t>'=L33</t>
        </is>
      </c>
      <c r="G498" t="n">
        <v>0.006</v>
      </c>
      <c r="H498" t="inlineStr"/>
      <c r="I498" t="inlineStr">
        <is>
          <t>0.00%</t>
        </is>
      </c>
      <c r="J498" t="b">
        <v>0</v>
      </c>
      <c r="K498" t="b">
        <v>1</v>
      </c>
      <c r="L498" t="n">
        <v>11</v>
      </c>
      <c r="M498" t="inlineStr">
        <is>
          <t>FF0B0280</t>
        </is>
      </c>
      <c r="N498" t="inlineStr">
        <is>
          <t>00000000</t>
        </is>
      </c>
      <c r="O498" t="inlineStr">
        <is>
          <t>center</t>
        </is>
      </c>
      <c r="R498" t="b">
        <v>1</v>
      </c>
      <c r="S498" t="inlineStr">
        <is>
          <t>G000138</t>
        </is>
      </c>
      <c r="T498" t="inlineStr">
        <is>
          <t>Horizontal</t>
        </is>
      </c>
      <c r="U498" t="n">
        <v>4</v>
      </c>
      <c r="V498" t="b">
        <v>1</v>
      </c>
      <c r="W498" t="inlineStr">
        <is>
          <t>Cost Matrix!L33:O33</t>
        </is>
      </c>
      <c r="X498">
        <f>R[0]C[-1]</f>
        <v/>
      </c>
    </row>
    <row r="499">
      <c r="A499" t="inlineStr">
        <is>
          <t>Cost Matrix</t>
        </is>
      </c>
      <c r="B499" t="inlineStr">
        <is>
          <t>N33</t>
        </is>
      </c>
      <c r="C499" t="n">
        <v>33</v>
      </c>
      <c r="D499" t="n">
        <v>14</v>
      </c>
      <c r="E499" t="inlineStr">
        <is>
          <t>Calculation</t>
        </is>
      </c>
      <c r="F499" t="inlineStr">
        <is>
          <t>'=M33</t>
        </is>
      </c>
      <c r="G499" t="n">
        <v>0.006</v>
      </c>
      <c r="H499" t="inlineStr"/>
      <c r="I499" t="inlineStr">
        <is>
          <t>0.00%</t>
        </is>
      </c>
      <c r="J499" t="b">
        <v>0</v>
      </c>
      <c r="K499" t="b">
        <v>1</v>
      </c>
      <c r="L499" t="n">
        <v>11</v>
      </c>
      <c r="M499" t="inlineStr">
        <is>
          <t>FF0B0280</t>
        </is>
      </c>
      <c r="N499" t="inlineStr">
        <is>
          <t>00000000</t>
        </is>
      </c>
      <c r="O499" t="inlineStr">
        <is>
          <t>center</t>
        </is>
      </c>
      <c r="R499" t="b">
        <v>1</v>
      </c>
      <c r="S499" t="inlineStr">
        <is>
          <t>G000138</t>
        </is>
      </c>
      <c r="T499" t="inlineStr">
        <is>
          <t>Horizontal</t>
        </is>
      </c>
      <c r="U499" t="n">
        <v>4</v>
      </c>
      <c r="V499" t="b">
        <v>1</v>
      </c>
      <c r="W499" t="inlineStr">
        <is>
          <t>Cost Matrix!L33:O33</t>
        </is>
      </c>
      <c r="X499">
        <f>R[0]C[-1]</f>
        <v/>
      </c>
    </row>
    <row r="500">
      <c r="A500" t="inlineStr">
        <is>
          <t>Cost Matrix</t>
        </is>
      </c>
      <c r="B500" t="inlineStr">
        <is>
          <t>O33</t>
        </is>
      </c>
      <c r="C500" t="n">
        <v>33</v>
      </c>
      <c r="D500" t="n">
        <v>15</v>
      </c>
      <c r="E500" t="inlineStr">
        <is>
          <t>Calculation</t>
        </is>
      </c>
      <c r="F500" t="inlineStr">
        <is>
          <t>'=N33</t>
        </is>
      </c>
      <c r="G500" t="n">
        <v>0.006</v>
      </c>
      <c r="H500" t="inlineStr"/>
      <c r="I500" t="inlineStr">
        <is>
          <t>0.00%</t>
        </is>
      </c>
      <c r="J500" t="b">
        <v>0</v>
      </c>
      <c r="K500" t="b">
        <v>1</v>
      </c>
      <c r="L500" t="n">
        <v>11</v>
      </c>
      <c r="M500" t="inlineStr">
        <is>
          <t>FF0B0280</t>
        </is>
      </c>
      <c r="N500" t="inlineStr">
        <is>
          <t>00000000</t>
        </is>
      </c>
      <c r="O500" t="inlineStr">
        <is>
          <t>center</t>
        </is>
      </c>
      <c r="R500" t="b">
        <v>1</v>
      </c>
      <c r="S500" t="inlineStr">
        <is>
          <t>G000138</t>
        </is>
      </c>
      <c r="T500" t="inlineStr">
        <is>
          <t>Horizontal</t>
        </is>
      </c>
      <c r="U500" t="n">
        <v>4</v>
      </c>
      <c r="V500" t="b">
        <v>1</v>
      </c>
      <c r="W500" t="inlineStr">
        <is>
          <t>Cost Matrix!L33:O33</t>
        </is>
      </c>
      <c r="X500">
        <f>R[0]C[-1]</f>
        <v/>
      </c>
    </row>
    <row r="501">
      <c r="A501" t="inlineStr">
        <is>
          <t>Cost Matrix</t>
        </is>
      </c>
      <c r="B501" t="inlineStr">
        <is>
          <t>A34</t>
        </is>
      </c>
      <c r="C501" t="n">
        <v>34</v>
      </c>
      <c r="D501" t="n">
        <v>1</v>
      </c>
      <c r="E501" t="inlineStr">
        <is>
          <t>Input</t>
        </is>
      </c>
      <c r="F501" t="n">
        <v/>
      </c>
      <c r="G501" t="inlineStr">
        <is>
          <t>Change in inventories of
stock in trade</t>
        </is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11</v>
      </c>
      <c r="M501" t="inlineStr">
        <is>
          <t>Values must be of type &lt;class 'str'&gt;</t>
        </is>
      </c>
      <c r="N501" t="inlineStr">
        <is>
          <t>00000000</t>
        </is>
      </c>
      <c r="O501" t="n">
        <v/>
      </c>
      <c r="R501" t="b">
        <v>1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</row>
    <row r="502">
      <c r="A502" t="inlineStr">
        <is>
          <t>Cost Matrix</t>
        </is>
      </c>
      <c r="B502" t="inlineStr">
        <is>
          <t>D34</t>
        </is>
      </c>
      <c r="C502" t="n">
        <v>34</v>
      </c>
      <c r="D502" t="n">
        <v>4</v>
      </c>
      <c r="E502" t="inlineStr">
        <is>
          <t>Input</t>
        </is>
      </c>
      <c r="F502" t="n">
        <v/>
      </c>
      <c r="G502" t="n">
        <v>-1.1</v>
      </c>
      <c r="H502" t="inlineStr"/>
      <c r="I502" t="inlineStr">
        <is>
          <t>#,##0</t>
        </is>
      </c>
      <c r="J502" t="b">
        <v>0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n">
        <v/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</row>
    <row r="503">
      <c r="A503" t="inlineStr">
        <is>
          <t>Cost Matrix</t>
        </is>
      </c>
      <c r="B503" t="inlineStr">
        <is>
          <t>E34</t>
        </is>
      </c>
      <c r="C503" t="n">
        <v>34</v>
      </c>
      <c r="D503" t="n">
        <v>5</v>
      </c>
      <c r="E503" t="inlineStr">
        <is>
          <t>Input</t>
        </is>
      </c>
      <c r="F503" t="n">
        <v/>
      </c>
      <c r="G503" t="n">
        <v>-6.83</v>
      </c>
      <c r="H503" t="inlineStr"/>
      <c r="I503" t="inlineStr">
        <is>
          <t>#,##0</t>
        </is>
      </c>
      <c r="J503" t="b">
        <v>0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n">
        <v/>
      </c>
      <c r="R503" t="b">
        <v>1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</row>
    <row r="504">
      <c r="A504" t="inlineStr">
        <is>
          <t>Cost Matrix</t>
        </is>
      </c>
      <c r="B504" t="inlineStr">
        <is>
          <t>F34</t>
        </is>
      </c>
      <c r="C504" t="n">
        <v>34</v>
      </c>
      <c r="D504" t="n">
        <v>6</v>
      </c>
      <c r="E504" t="inlineStr">
        <is>
          <t>Input</t>
        </is>
      </c>
      <c r="F504" t="n">
        <v/>
      </c>
      <c r="G504" t="n">
        <v>-18.65</v>
      </c>
      <c r="H504" t="inlineStr"/>
      <c r="I504" t="inlineStr">
        <is>
          <t>#,##0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n">
        <v/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</row>
    <row r="505">
      <c r="A505" t="inlineStr">
        <is>
          <t>Cost Matrix</t>
        </is>
      </c>
      <c r="B505" t="inlineStr">
        <is>
          <t>G34</t>
        </is>
      </c>
      <c r="C505" t="n">
        <v>34</v>
      </c>
      <c r="D505" t="n">
        <v>7</v>
      </c>
      <c r="E505" t="inlineStr">
        <is>
          <t>Input</t>
        </is>
      </c>
      <c r="F505" t="n">
        <v/>
      </c>
      <c r="G505" t="n">
        <v>7.06</v>
      </c>
      <c r="H505" t="inlineStr"/>
      <c r="I505" t="inlineStr">
        <is>
          <t>#,##0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n">
        <v/>
      </c>
      <c r="R505" t="b">
        <v>1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</row>
    <row r="506">
      <c r="A506" t="inlineStr">
        <is>
          <t>Cost Matrix</t>
        </is>
      </c>
      <c r="B506" t="inlineStr">
        <is>
          <t>H34</t>
        </is>
      </c>
      <c r="C506" t="n">
        <v>34</v>
      </c>
      <c r="D506" t="n">
        <v>8</v>
      </c>
      <c r="E506" t="inlineStr">
        <is>
          <t>Input</t>
        </is>
      </c>
      <c r="F506" t="n">
        <v/>
      </c>
      <c r="G506" t="n">
        <v>-31.72</v>
      </c>
      <c r="H506" t="inlineStr"/>
      <c r="I506" t="inlineStr">
        <is>
          <t>#,##0</t>
        </is>
      </c>
      <c r="J506" t="b">
        <v>0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00000000</t>
        </is>
      </c>
      <c r="O506" t="n">
        <v/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</row>
    <row r="507">
      <c r="A507" t="inlineStr">
        <is>
          <t>Cost Matrix</t>
        </is>
      </c>
      <c r="B507" t="inlineStr">
        <is>
          <t>I34</t>
        </is>
      </c>
      <c r="C507" t="n">
        <v>34</v>
      </c>
      <c r="D507" t="n">
        <v>9</v>
      </c>
      <c r="E507" t="inlineStr">
        <is>
          <t>Input</t>
        </is>
      </c>
      <c r="F507" t="n">
        <v/>
      </c>
      <c r="G507" t="n">
        <v>-11.32</v>
      </c>
      <c r="H507" t="inlineStr"/>
      <c r="I507" t="inlineStr">
        <is>
          <t>#,##0</t>
        </is>
      </c>
      <c r="J507" t="b">
        <v>0</v>
      </c>
      <c r="K507" t="b">
        <v>0</v>
      </c>
      <c r="L507" t="n">
        <v>11</v>
      </c>
      <c r="M507" t="inlineStr">
        <is>
          <t>Values must be of type &lt;class 'str'&gt;</t>
        </is>
      </c>
      <c r="N507" t="inlineStr">
        <is>
          <t>00000000</t>
        </is>
      </c>
      <c r="O507" t="n">
        <v/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</row>
    <row r="508">
      <c r="A508" t="inlineStr">
        <is>
          <t>Cost Matrix</t>
        </is>
      </c>
      <c r="B508" t="inlineStr">
        <is>
          <t>J34</t>
        </is>
      </c>
      <c r="C508" t="n">
        <v>34</v>
      </c>
      <c r="D508" t="n">
        <v>10</v>
      </c>
      <c r="E508" t="inlineStr">
        <is>
          <t>Input</t>
        </is>
      </c>
      <c r="F508" t="n">
        <v/>
      </c>
      <c r="G508" t="n">
        <v>-2.94</v>
      </c>
      <c r="H508" t="inlineStr"/>
      <c r="I508" t="inlineStr">
        <is>
          <t>#,##0</t>
        </is>
      </c>
      <c r="J508" t="b">
        <v>0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n">
        <v/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</row>
    <row r="509">
      <c r="A509" t="inlineStr">
        <is>
          <t>Cost Matrix</t>
        </is>
      </c>
      <c r="B509" t="inlineStr">
        <is>
          <t>K34</t>
        </is>
      </c>
      <c r="C509" t="n">
        <v>34</v>
      </c>
      <c r="D509" t="n">
        <v>11</v>
      </c>
      <c r="E509" t="inlineStr">
        <is>
          <t>Input</t>
        </is>
      </c>
      <c r="F509" t="n">
        <v/>
      </c>
      <c r="H509" t="inlineStr"/>
      <c r="I509" t="inlineStr">
        <is>
          <t>#,##0</t>
        </is>
      </c>
      <c r="J509" t="b">
        <v>0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n">
        <v/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</row>
    <row r="510">
      <c r="A510" t="inlineStr">
        <is>
          <t>Cost Matrix</t>
        </is>
      </c>
      <c r="B510" t="inlineStr">
        <is>
          <t>L34</t>
        </is>
      </c>
      <c r="C510" t="n">
        <v>34</v>
      </c>
      <c r="D510" t="n">
        <v>12</v>
      </c>
      <c r="E510" t="inlineStr">
        <is>
          <t>Input</t>
        </is>
      </c>
      <c r="F510" t="n">
        <v/>
      </c>
      <c r="H510" t="inlineStr"/>
      <c r="I510" t="inlineStr">
        <is>
          <t>#,##0</t>
        </is>
      </c>
      <c r="J510" t="b">
        <v>0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n">
        <v/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Cost Matrix</t>
        </is>
      </c>
      <c r="B511" t="inlineStr">
        <is>
          <t>M34</t>
        </is>
      </c>
      <c r="C511" t="n">
        <v>34</v>
      </c>
      <c r="D511" t="n">
        <v>13</v>
      </c>
      <c r="E511" t="inlineStr">
        <is>
          <t>Input</t>
        </is>
      </c>
      <c r="F511" t="n">
        <v/>
      </c>
      <c r="H511" t="inlineStr"/>
      <c r="I511" t="inlineStr">
        <is>
          <t>#,##0</t>
        </is>
      </c>
      <c r="J511" t="b">
        <v>0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00000000</t>
        </is>
      </c>
      <c r="O511" t="n">
        <v/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</row>
    <row r="512">
      <c r="A512" t="inlineStr">
        <is>
          <t>Cost Matrix</t>
        </is>
      </c>
      <c r="B512" t="inlineStr">
        <is>
          <t>N34</t>
        </is>
      </c>
      <c r="C512" t="n">
        <v>34</v>
      </c>
      <c r="D512" t="n">
        <v>14</v>
      </c>
      <c r="E512" t="inlineStr">
        <is>
          <t>Input</t>
        </is>
      </c>
      <c r="F512" t="n">
        <v/>
      </c>
      <c r="H512" t="inlineStr"/>
      <c r="I512" t="inlineStr">
        <is>
          <t>#,##0</t>
        </is>
      </c>
      <c r="J512" t="b">
        <v>0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00000000</t>
        </is>
      </c>
      <c r="O512" t="n">
        <v/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</row>
    <row r="513">
      <c r="A513" t="inlineStr">
        <is>
          <t>Cost Matrix</t>
        </is>
      </c>
      <c r="B513" t="inlineStr">
        <is>
          <t>O34</t>
        </is>
      </c>
      <c r="C513" t="n">
        <v>34</v>
      </c>
      <c r="D513" t="n">
        <v>15</v>
      </c>
      <c r="E513" t="inlineStr">
        <is>
          <t>Input</t>
        </is>
      </c>
      <c r="F513" t="n">
        <v/>
      </c>
      <c r="H513" t="inlineStr"/>
      <c r="I513" t="inlineStr">
        <is>
          <t>#,##0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00000000</t>
        </is>
      </c>
      <c r="O513" t="n">
        <v/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</row>
    <row r="514">
      <c r="A514" t="inlineStr">
        <is>
          <t>Cost Matrix</t>
        </is>
      </c>
      <c r="B514" t="inlineStr">
        <is>
          <t>A35</t>
        </is>
      </c>
      <c r="C514" t="n">
        <v>35</v>
      </c>
      <c r="D514" t="n">
        <v>1</v>
      </c>
      <c r="E514" t="inlineStr">
        <is>
          <t>Input</t>
        </is>
      </c>
      <c r="F514" t="n">
        <v/>
      </c>
      <c r="G514" t="inlineStr">
        <is>
          <t>Employee benefits</t>
        </is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00000000</t>
        </is>
      </c>
      <c r="O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</row>
    <row r="515">
      <c r="A515" t="inlineStr">
        <is>
          <t>Cost Matrix</t>
        </is>
      </c>
      <c r="B515" t="inlineStr">
        <is>
          <t>D35</t>
        </is>
      </c>
      <c r="C515" t="n">
        <v>35</v>
      </c>
      <c r="D515" t="n">
        <v>4</v>
      </c>
      <c r="E515" t="inlineStr">
        <is>
          <t>Input</t>
        </is>
      </c>
      <c r="F515" t="n">
        <v/>
      </c>
      <c r="G515" t="n">
        <v>2930.16</v>
      </c>
      <c r="H515" t="inlineStr"/>
      <c r="I515" t="inlineStr">
        <is>
          <t>#,##0</t>
        </is>
      </c>
      <c r="J515" t="b">
        <v>0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00000000</t>
        </is>
      </c>
      <c r="O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</row>
    <row r="516">
      <c r="A516" t="inlineStr">
        <is>
          <t>Cost Matrix</t>
        </is>
      </c>
      <c r="B516" t="inlineStr">
        <is>
          <t>E35</t>
        </is>
      </c>
      <c r="C516" t="n">
        <v>35</v>
      </c>
      <c r="D516" t="n">
        <v>5</v>
      </c>
      <c r="E516" t="inlineStr">
        <is>
          <t>Input</t>
        </is>
      </c>
      <c r="F516" t="n">
        <v/>
      </c>
      <c r="G516" t="n">
        <v>5118.6</v>
      </c>
      <c r="H516" t="inlineStr"/>
      <c r="I516" t="inlineStr">
        <is>
          <t>#,##0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00000000</t>
        </is>
      </c>
      <c r="O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</row>
    <row r="517">
      <c r="A517" t="inlineStr">
        <is>
          <t>Cost Matrix</t>
        </is>
      </c>
      <c r="B517" t="inlineStr">
        <is>
          <t>F35</t>
        </is>
      </c>
      <c r="C517" t="n">
        <v>35</v>
      </c>
      <c r="D517" t="n">
        <v>6</v>
      </c>
      <c r="E517" t="inlineStr">
        <is>
          <t>Input</t>
        </is>
      </c>
      <c r="F517" t="n">
        <v/>
      </c>
      <c r="G517" t="n">
        <v>6904.52</v>
      </c>
      <c r="H517" t="inlineStr"/>
      <c r="I517" t="inlineStr">
        <is>
          <t>#,##0</t>
        </is>
      </c>
      <c r="J517" t="b">
        <v>0</v>
      </c>
      <c r="K517" t="b">
        <v>0</v>
      </c>
      <c r="L517" t="n">
        <v>11</v>
      </c>
      <c r="M517" t="inlineStr">
        <is>
          <t>Values must be of type &lt;class 'str'&gt;</t>
        </is>
      </c>
      <c r="N517" t="inlineStr">
        <is>
          <t>00000000</t>
        </is>
      </c>
      <c r="O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</row>
    <row r="518">
      <c r="A518" t="inlineStr">
        <is>
          <t>Cost Matrix</t>
        </is>
      </c>
      <c r="B518" t="inlineStr">
        <is>
          <t>G35</t>
        </is>
      </c>
      <c r="C518" t="n">
        <v>35</v>
      </c>
      <c r="D518" t="n">
        <v>7</v>
      </c>
      <c r="E518" t="inlineStr">
        <is>
          <t>Input</t>
        </is>
      </c>
      <c r="F518" t="n">
        <v/>
      </c>
      <c r="G518" t="n">
        <v>9211.08</v>
      </c>
      <c r="H518" t="inlineStr"/>
      <c r="I518" t="inlineStr">
        <is>
          <t>#,##0</t>
        </is>
      </c>
      <c r="J518" t="b">
        <v>0</v>
      </c>
      <c r="K518" t="b">
        <v>0</v>
      </c>
      <c r="L518" t="n">
        <v>11</v>
      </c>
      <c r="M518" t="inlineStr">
        <is>
          <t>Values must be of type &lt;class 'str'&gt;</t>
        </is>
      </c>
      <c r="N518" t="inlineStr">
        <is>
          <t>00000000</t>
        </is>
      </c>
      <c r="O518" t="n">
        <v/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</row>
    <row r="519">
      <c r="A519" t="inlineStr">
        <is>
          <t>Cost Matrix</t>
        </is>
      </c>
      <c r="B519" t="inlineStr">
        <is>
          <t>H35</t>
        </is>
      </c>
      <c r="C519" t="n">
        <v>35</v>
      </c>
      <c r="D519" t="n">
        <v>8</v>
      </c>
      <c r="E519" t="inlineStr">
        <is>
          <t>Input</t>
        </is>
      </c>
      <c r="F519" t="n">
        <v/>
      </c>
      <c r="G519" t="n">
        <v>11886.91</v>
      </c>
      <c r="H519" t="inlineStr"/>
      <c r="I519" t="inlineStr">
        <is>
          <t>#,##0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00000000</t>
        </is>
      </c>
      <c r="O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</row>
    <row r="520">
      <c r="A520" t="inlineStr">
        <is>
          <t>Cost Matrix</t>
        </is>
      </c>
      <c r="B520" t="inlineStr">
        <is>
          <t>I35</t>
        </is>
      </c>
      <c r="C520" t="n">
        <v>35</v>
      </c>
      <c r="D520" t="n">
        <v>9</v>
      </c>
      <c r="E520" t="inlineStr">
        <is>
          <t>Input</t>
        </is>
      </c>
      <c r="F520" t="n">
        <v/>
      </c>
      <c r="G520" t="n">
        <v>17899.23</v>
      </c>
      <c r="H520" t="inlineStr"/>
      <c r="I520" t="inlineStr">
        <is>
          <t>#,##0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00000000</t>
        </is>
      </c>
      <c r="O520" t="n">
        <v/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</row>
    <row r="521">
      <c r="A521" t="inlineStr">
        <is>
          <t>Cost Matrix</t>
        </is>
      </c>
      <c r="B521" t="inlineStr">
        <is>
          <t>J35</t>
        </is>
      </c>
      <c r="C521" t="n">
        <v>35</v>
      </c>
      <c r="D521" t="n">
        <v>10</v>
      </c>
      <c r="E521" t="inlineStr">
        <is>
          <t>Input</t>
        </is>
      </c>
      <c r="F521" t="n">
        <v/>
      </c>
      <c r="G521" t="n">
        <v>20481.9</v>
      </c>
      <c r="H521" t="inlineStr"/>
      <c r="I521" t="inlineStr">
        <is>
          <t>#,##0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00000000</t>
        </is>
      </c>
      <c r="O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</row>
    <row r="522">
      <c r="A522" t="inlineStr">
        <is>
          <t>Cost Matrix</t>
        </is>
      </c>
      <c r="B522" t="inlineStr">
        <is>
          <t>K35</t>
        </is>
      </c>
      <c r="C522" t="n">
        <v>35</v>
      </c>
      <c r="D522" t="n">
        <v>11</v>
      </c>
      <c r="E522" t="inlineStr">
        <is>
          <t>Calculation</t>
        </is>
      </c>
      <c r="F522" t="inlineStr">
        <is>
          <t>'=K36*K$25</t>
        </is>
      </c>
      <c r="G522" t="n">
        <v>24385.8916869359</v>
      </c>
      <c r="H522" t="inlineStr"/>
      <c r="I522" t="inlineStr">
        <is>
          <t>#,##0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00000000</t>
        </is>
      </c>
      <c r="O522" t="n">
        <v/>
      </c>
      <c r="R522" t="b">
        <v>1</v>
      </c>
      <c r="S522" t="inlineStr">
        <is>
          <t>G000131</t>
        </is>
      </c>
      <c r="T522" t="inlineStr">
        <is>
          <t>Horizontal</t>
        </is>
      </c>
      <c r="U522" t="n">
        <v>5</v>
      </c>
      <c r="V522" t="b">
        <v>1</v>
      </c>
      <c r="W522" t="inlineStr">
        <is>
          <t>Cost Matrix!K35:O35</t>
        </is>
      </c>
      <c r="X522">
        <f>R[1]C[0]*R25C[0]</f>
        <v/>
      </c>
    </row>
    <row r="523">
      <c r="A523" t="inlineStr">
        <is>
          <t>Cost Matrix</t>
        </is>
      </c>
      <c r="B523" t="inlineStr">
        <is>
          <t>L35</t>
        </is>
      </c>
      <c r="C523" t="n">
        <v>35</v>
      </c>
      <c r="D523" t="n">
        <v>12</v>
      </c>
      <c r="E523" t="inlineStr">
        <is>
          <t>Calculation</t>
        </is>
      </c>
      <c r="F523" t="inlineStr">
        <is>
          <t>'=L36*L$25</t>
        </is>
      </c>
      <c r="G523" t="n">
        <v>29733.26634636631</v>
      </c>
      <c r="H523" t="inlineStr"/>
      <c r="I523" t="inlineStr">
        <is>
          <t>#,##0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00000000</t>
        </is>
      </c>
      <c r="O523" t="n">
        <v/>
      </c>
      <c r="R523" t="b">
        <v>1</v>
      </c>
      <c r="S523" t="inlineStr">
        <is>
          <t>G000131</t>
        </is>
      </c>
      <c r="T523" t="inlineStr">
        <is>
          <t>Horizontal</t>
        </is>
      </c>
      <c r="U523" t="n">
        <v>5</v>
      </c>
      <c r="V523" t="b">
        <v>1</v>
      </c>
      <c r="W523" t="inlineStr">
        <is>
          <t>Cost Matrix!K35:O35</t>
        </is>
      </c>
      <c r="X523">
        <f>R[1]C[0]*R25C[0]</f>
        <v/>
      </c>
    </row>
    <row r="524">
      <c r="A524" t="inlineStr">
        <is>
          <t>Cost Matrix</t>
        </is>
      </c>
      <c r="B524" t="inlineStr">
        <is>
          <t>M35</t>
        </is>
      </c>
      <c r="C524" t="n">
        <v>35</v>
      </c>
      <c r="D524" t="n">
        <v>13</v>
      </c>
      <c r="E524" t="inlineStr">
        <is>
          <t>Calculation</t>
        </is>
      </c>
      <c r="F524" t="inlineStr">
        <is>
          <t>'=M36*M$25</t>
        </is>
      </c>
      <c r="G524" t="n">
        <v>36067.19585391097</v>
      </c>
      <c r="H524" t="inlineStr"/>
      <c r="I524" t="inlineStr">
        <is>
          <t>#,##0</t>
        </is>
      </c>
      <c r="J524" t="b">
        <v>0</v>
      </c>
      <c r="K524" t="b">
        <v>0</v>
      </c>
      <c r="L524" t="n">
        <v>11</v>
      </c>
      <c r="M524" t="inlineStr">
        <is>
          <t>Values must be of type &lt;class 'str'&gt;</t>
        </is>
      </c>
      <c r="N524" t="inlineStr">
        <is>
          <t>00000000</t>
        </is>
      </c>
      <c r="O524" t="n">
        <v/>
      </c>
      <c r="R524" t="b">
        <v>1</v>
      </c>
      <c r="S524" t="inlineStr">
        <is>
          <t>G000131</t>
        </is>
      </c>
      <c r="T524" t="inlineStr">
        <is>
          <t>Horizontal</t>
        </is>
      </c>
      <c r="U524" t="n">
        <v>5</v>
      </c>
      <c r="V524" t="b">
        <v>1</v>
      </c>
      <c r="W524" t="inlineStr">
        <is>
          <t>Cost Matrix!K35:O35</t>
        </is>
      </c>
      <c r="X524">
        <f>R[1]C[0]*R25C[0]</f>
        <v/>
      </c>
    </row>
    <row r="525">
      <c r="A525" t="inlineStr">
        <is>
          <t>Cost Matrix</t>
        </is>
      </c>
      <c r="B525" t="inlineStr">
        <is>
          <t>N35</t>
        </is>
      </c>
      <c r="C525" t="n">
        <v>35</v>
      </c>
      <c r="D525" t="n">
        <v>14</v>
      </c>
      <c r="E525" t="inlineStr">
        <is>
          <t>Calculation</t>
        </is>
      </c>
      <c r="F525" t="inlineStr">
        <is>
          <t>'=N36*N$25</t>
        </is>
      </c>
      <c r="G525" t="n">
        <v>43712.97938536589</v>
      </c>
      <c r="H525" t="inlineStr"/>
      <c r="I525" t="inlineStr">
        <is>
          <t>#,##0</t>
        </is>
      </c>
      <c r="J525" t="b">
        <v>0</v>
      </c>
      <c r="K525" t="b">
        <v>0</v>
      </c>
      <c r="L525" t="n">
        <v>11</v>
      </c>
      <c r="M525" t="inlineStr">
        <is>
          <t>Values must be of type &lt;class 'str'&gt;</t>
        </is>
      </c>
      <c r="N525" t="inlineStr">
        <is>
          <t>00000000</t>
        </is>
      </c>
      <c r="O525" t="n">
        <v/>
      </c>
      <c r="R525" t="b">
        <v>1</v>
      </c>
      <c r="S525" t="inlineStr">
        <is>
          <t>G000131</t>
        </is>
      </c>
      <c r="T525" t="inlineStr">
        <is>
          <t>Horizontal</t>
        </is>
      </c>
      <c r="U525" t="n">
        <v>5</v>
      </c>
      <c r="V525" t="b">
        <v>1</v>
      </c>
      <c r="W525" t="inlineStr">
        <is>
          <t>Cost Matrix!K35:O35</t>
        </is>
      </c>
      <c r="X525">
        <f>R[1]C[0]*R25C[0]</f>
        <v/>
      </c>
    </row>
    <row r="526">
      <c r="A526" t="inlineStr">
        <is>
          <t>Cost Matrix</t>
        </is>
      </c>
      <c r="B526" t="inlineStr">
        <is>
          <t>O35</t>
        </is>
      </c>
      <c r="C526" t="n">
        <v>35</v>
      </c>
      <c r="D526" t="n">
        <v>15</v>
      </c>
      <c r="E526" t="inlineStr">
        <is>
          <t>Calculation</t>
        </is>
      </c>
      <c r="F526" t="inlineStr">
        <is>
          <t>'=O36*O$25</t>
        </is>
      </c>
      <c r="G526" t="n">
        <v>53164.03239442973</v>
      </c>
      <c r="H526" t="inlineStr"/>
      <c r="I526" t="inlineStr">
        <is>
          <t>#,##0</t>
        </is>
      </c>
      <c r="J526" t="b">
        <v>0</v>
      </c>
      <c r="K526" t="b">
        <v>0</v>
      </c>
      <c r="L526" t="n">
        <v>11</v>
      </c>
      <c r="M526" t="inlineStr">
        <is>
          <t>Values must be of type &lt;class 'str'&gt;</t>
        </is>
      </c>
      <c r="N526" t="inlineStr">
        <is>
          <t>00000000</t>
        </is>
      </c>
      <c r="O526" t="n">
        <v/>
      </c>
      <c r="R526" t="b">
        <v>1</v>
      </c>
      <c r="S526" t="inlineStr">
        <is>
          <t>G000131</t>
        </is>
      </c>
      <c r="T526" t="inlineStr">
        <is>
          <t>Horizontal</t>
        </is>
      </c>
      <c r="U526" t="n">
        <v>5</v>
      </c>
      <c r="V526" t="b">
        <v>1</v>
      </c>
      <c r="W526" t="inlineStr">
        <is>
          <t>Cost Matrix!K35:O35</t>
        </is>
      </c>
      <c r="X526">
        <f>R[1]C[0]*R25C[0]</f>
        <v/>
      </c>
    </row>
    <row r="527">
      <c r="A527" t="inlineStr">
        <is>
          <t>Cost Matrix</t>
        </is>
      </c>
      <c r="B527" t="inlineStr">
        <is>
          <t>D36</t>
        </is>
      </c>
      <c r="C527" t="n">
        <v>36</v>
      </c>
      <c r="D527" t="n">
        <v>4</v>
      </c>
      <c r="E527" t="inlineStr">
        <is>
          <t>Output</t>
        </is>
      </c>
      <c r="F527" t="inlineStr">
        <is>
          <t>'=D35/D$25</t>
        </is>
      </c>
      <c r="G527" t="n">
        <v>0.07429091456045581</v>
      </c>
      <c r="H527" t="inlineStr"/>
      <c r="I527" t="inlineStr">
        <is>
          <t>0.00%</t>
        </is>
      </c>
      <c r="J527" t="b">
        <v>0</v>
      </c>
      <c r="K527" t="b">
        <v>1</v>
      </c>
      <c r="L527" t="n">
        <v>11</v>
      </c>
      <c r="M527" t="inlineStr">
        <is>
          <t>FF0B0280</t>
        </is>
      </c>
      <c r="N527" t="inlineStr">
        <is>
          <t>00000000</t>
        </is>
      </c>
      <c r="O527" t="inlineStr">
        <is>
          <t>center</t>
        </is>
      </c>
      <c r="R527" t="b">
        <v>1</v>
      </c>
      <c r="S527" t="inlineStr">
        <is>
          <t>G000125</t>
        </is>
      </c>
      <c r="T527" t="inlineStr">
        <is>
          <t>Horizontal</t>
        </is>
      </c>
      <c r="U527" t="n">
        <v>7</v>
      </c>
      <c r="V527" t="b">
        <v>1</v>
      </c>
      <c r="W527" t="inlineStr">
        <is>
          <t>Cost Matrix!D36:J36</t>
        </is>
      </c>
      <c r="X527">
        <f>R[-1]C[0]/R25C[0]</f>
        <v/>
      </c>
    </row>
    <row r="528">
      <c r="A528" t="inlineStr">
        <is>
          <t>Cost Matrix</t>
        </is>
      </c>
      <c r="B528" t="inlineStr">
        <is>
          <t>E36</t>
        </is>
      </c>
      <c r="C528" t="n">
        <v>36</v>
      </c>
      <c r="D528" t="n">
        <v>5</v>
      </c>
      <c r="E528" t="inlineStr">
        <is>
          <t>Output</t>
        </is>
      </c>
      <c r="F528" t="inlineStr">
        <is>
          <t>'=E35/E$25</t>
        </is>
      </c>
      <c r="G528" t="n">
        <v>0.08966422042469101</v>
      </c>
      <c r="H528" t="inlineStr"/>
      <c r="I528" t="inlineStr">
        <is>
          <t>0.00%</t>
        </is>
      </c>
      <c r="J528" t="b">
        <v>0</v>
      </c>
      <c r="K528" t="b">
        <v>1</v>
      </c>
      <c r="L528" t="n">
        <v>11</v>
      </c>
      <c r="M528" t="inlineStr">
        <is>
          <t>FF0B0280</t>
        </is>
      </c>
      <c r="N528" t="inlineStr">
        <is>
          <t>00000000</t>
        </is>
      </c>
      <c r="O528" t="inlineStr">
        <is>
          <t>center</t>
        </is>
      </c>
      <c r="R528" t="b">
        <v>1</v>
      </c>
      <c r="S528" t="inlineStr">
        <is>
          <t>G000125</t>
        </is>
      </c>
      <c r="T528" t="inlineStr">
        <is>
          <t>Horizontal</t>
        </is>
      </c>
      <c r="U528" t="n">
        <v>7</v>
      </c>
      <c r="V528" t="b">
        <v>1</v>
      </c>
      <c r="W528" t="inlineStr">
        <is>
          <t>Cost Matrix!D36:J36</t>
        </is>
      </c>
      <c r="X528">
        <f>R[-1]C[0]/R25C[0]</f>
        <v/>
      </c>
    </row>
    <row r="529">
      <c r="A529" t="inlineStr">
        <is>
          <t>Cost Matrix</t>
        </is>
      </c>
      <c r="B529" t="inlineStr">
        <is>
          <t>F36</t>
        </is>
      </c>
      <c r="C529" t="n">
        <v>36</v>
      </c>
      <c r="D529" t="n">
        <v>6</v>
      </c>
      <c r="E529" t="inlineStr">
        <is>
          <t>Output</t>
        </is>
      </c>
      <c r="F529" t="inlineStr">
        <is>
          <t>'=F35/F$25</t>
        </is>
      </c>
      <c r="G529" t="n">
        <v>0.07313920094099831</v>
      </c>
      <c r="H529" t="inlineStr"/>
      <c r="I529" t="inlineStr">
        <is>
          <t>0.00%</t>
        </is>
      </c>
      <c r="J529" t="b">
        <v>0</v>
      </c>
      <c r="K529" t="b">
        <v>1</v>
      </c>
      <c r="L529" t="n">
        <v>11</v>
      </c>
      <c r="M529" t="inlineStr">
        <is>
          <t>FF0B0280</t>
        </is>
      </c>
      <c r="N529" t="inlineStr">
        <is>
          <t>00000000</t>
        </is>
      </c>
      <c r="O529" t="inlineStr">
        <is>
          <t>center</t>
        </is>
      </c>
      <c r="R529" t="b">
        <v>1</v>
      </c>
      <c r="S529" t="inlineStr">
        <is>
          <t>G000125</t>
        </is>
      </c>
      <c r="T529" t="inlineStr">
        <is>
          <t>Horizontal</t>
        </is>
      </c>
      <c r="U529" t="n">
        <v>7</v>
      </c>
      <c r="V529" t="b">
        <v>1</v>
      </c>
      <c r="W529" t="inlineStr">
        <is>
          <t>Cost Matrix!D36:J36</t>
        </is>
      </c>
      <c r="X529">
        <f>R[-1]C[0]/R25C[0]</f>
        <v/>
      </c>
    </row>
    <row r="530">
      <c r="A530" t="inlineStr">
        <is>
          <t>Cost Matrix</t>
        </is>
      </c>
      <c r="B530" t="inlineStr">
        <is>
          <t>G36</t>
        </is>
      </c>
      <c r="C530" t="n">
        <v>36</v>
      </c>
      <c r="D530" t="n">
        <v>7</v>
      </c>
      <c r="E530" t="inlineStr">
        <is>
          <t>Output</t>
        </is>
      </c>
      <c r="F530" t="inlineStr">
        <is>
          <t>'=G35/G$25</t>
        </is>
      </c>
      <c r="G530" t="n">
        <v>0.08057185476620839</v>
      </c>
      <c r="H530" t="inlineStr"/>
      <c r="I530" t="inlineStr">
        <is>
          <t>0.00%</t>
        </is>
      </c>
      <c r="J530" t="b">
        <v>0</v>
      </c>
      <c r="K530" t="b">
        <v>1</v>
      </c>
      <c r="L530" t="n">
        <v>11</v>
      </c>
      <c r="M530" t="inlineStr">
        <is>
          <t>FF0B0280</t>
        </is>
      </c>
      <c r="N530" t="inlineStr">
        <is>
          <t>00000000</t>
        </is>
      </c>
      <c r="O530" t="inlineStr">
        <is>
          <t>center</t>
        </is>
      </c>
      <c r="R530" t="b">
        <v>1</v>
      </c>
      <c r="S530" t="inlineStr">
        <is>
          <t>G000125</t>
        </is>
      </c>
      <c r="T530" t="inlineStr">
        <is>
          <t>Horizontal</t>
        </is>
      </c>
      <c r="U530" t="n">
        <v>7</v>
      </c>
      <c r="V530" t="b">
        <v>1</v>
      </c>
      <c r="W530" t="inlineStr">
        <is>
          <t>Cost Matrix!D36:J36</t>
        </is>
      </c>
      <c r="X530">
        <f>R[-1]C[0]/R25C[0]</f>
        <v/>
      </c>
    </row>
    <row r="531">
      <c r="A531" t="inlineStr">
        <is>
          <t>Cost Matrix</t>
        </is>
      </c>
      <c r="B531" t="inlineStr">
        <is>
          <t>H36</t>
        </is>
      </c>
      <c r="C531" t="n">
        <v>36</v>
      </c>
      <c r="D531" t="n">
        <v>8</v>
      </c>
      <c r="E531" t="inlineStr">
        <is>
          <t>Output</t>
        </is>
      </c>
      <c r="F531" t="inlineStr">
        <is>
          <t>'=H35/H$25</t>
        </is>
      </c>
      <c r="G531" t="n">
        <v>0.08300953486044947</v>
      </c>
      <c r="H531" t="inlineStr"/>
      <c r="I531" t="inlineStr">
        <is>
          <t>0.00%</t>
        </is>
      </c>
      <c r="J531" t="b">
        <v>0</v>
      </c>
      <c r="K531" t="b">
        <v>1</v>
      </c>
      <c r="L531" t="n">
        <v>11</v>
      </c>
      <c r="M531" t="inlineStr">
        <is>
          <t>FF0B0280</t>
        </is>
      </c>
      <c r="N531" t="inlineStr">
        <is>
          <t>00000000</t>
        </is>
      </c>
      <c r="O531" t="inlineStr">
        <is>
          <t>center</t>
        </is>
      </c>
      <c r="R531" t="b">
        <v>1</v>
      </c>
      <c r="S531" t="inlineStr">
        <is>
          <t>G000125</t>
        </is>
      </c>
      <c r="T531" t="inlineStr">
        <is>
          <t>Horizontal</t>
        </is>
      </c>
      <c r="U531" t="n">
        <v>7</v>
      </c>
      <c r="V531" t="b">
        <v>1</v>
      </c>
      <c r="W531" t="inlineStr">
        <is>
          <t>Cost Matrix!D36:J36</t>
        </is>
      </c>
      <c r="X531">
        <f>R[-1]C[0]/R25C[0]</f>
        <v/>
      </c>
    </row>
    <row r="532">
      <c r="A532" t="inlineStr">
        <is>
          <t>Cost Matrix</t>
        </is>
      </c>
      <c r="B532" t="inlineStr">
        <is>
          <t>I36</t>
        </is>
      </c>
      <c r="C532" t="n">
        <v>36</v>
      </c>
      <c r="D532" t="n">
        <v>9</v>
      </c>
      <c r="E532" t="inlineStr">
        <is>
          <t>Output</t>
        </is>
      </c>
      <c r="F532" t="inlineStr">
        <is>
          <t>'=I35/I$25</t>
        </is>
      </c>
      <c r="G532" t="n">
        <v>0.1078181472034863</v>
      </c>
      <c r="H532" t="inlineStr"/>
      <c r="I532" t="inlineStr">
        <is>
          <t>0.00%</t>
        </is>
      </c>
      <c r="J532" t="b">
        <v>0</v>
      </c>
      <c r="K532" t="b">
        <v>1</v>
      </c>
      <c r="L532" t="n">
        <v>11</v>
      </c>
      <c r="M532" t="inlineStr">
        <is>
          <t>FF0B0280</t>
        </is>
      </c>
      <c r="N532" t="inlineStr">
        <is>
          <t>00000000</t>
        </is>
      </c>
      <c r="O532" t="inlineStr">
        <is>
          <t>center</t>
        </is>
      </c>
      <c r="R532" t="b">
        <v>1</v>
      </c>
      <c r="S532" t="inlineStr">
        <is>
          <t>G000125</t>
        </is>
      </c>
      <c r="T532" t="inlineStr">
        <is>
          <t>Horizontal</t>
        </is>
      </c>
      <c r="U532" t="n">
        <v>7</v>
      </c>
      <c r="V532" t="b">
        <v>1</v>
      </c>
      <c r="W532" t="inlineStr">
        <is>
          <t>Cost Matrix!D36:J36</t>
        </is>
      </c>
      <c r="X532">
        <f>R[-1]C[0]/R25C[0]</f>
        <v/>
      </c>
    </row>
    <row r="533">
      <c r="A533" t="inlineStr">
        <is>
          <t>Cost Matrix</t>
        </is>
      </c>
      <c r="B533" t="inlineStr">
        <is>
          <t>J36</t>
        </is>
      </c>
      <c r="C533" t="n">
        <v>36</v>
      </c>
      <c r="D533" t="n">
        <v>10</v>
      </c>
      <c r="E533" t="inlineStr">
        <is>
          <t>Output</t>
        </is>
      </c>
      <c r="F533" t="inlineStr">
        <is>
          <t>'=J35/J$25</t>
        </is>
      </c>
      <c r="G533" t="n">
        <v>0.105742412464679</v>
      </c>
      <c r="H533" t="inlineStr"/>
      <c r="I533" t="inlineStr">
        <is>
          <t>0.00%</t>
        </is>
      </c>
      <c r="J533" t="b">
        <v>0</v>
      </c>
      <c r="K533" t="b">
        <v>1</v>
      </c>
      <c r="L533" t="n">
        <v>11</v>
      </c>
      <c r="M533" t="inlineStr">
        <is>
          <t>FF0B0280</t>
        </is>
      </c>
      <c r="N533" t="inlineStr">
        <is>
          <t>00000000</t>
        </is>
      </c>
      <c r="O533" t="inlineStr">
        <is>
          <t>center</t>
        </is>
      </c>
      <c r="R533" t="b">
        <v>1</v>
      </c>
      <c r="S533" t="inlineStr">
        <is>
          <t>G000125</t>
        </is>
      </c>
      <c r="T533" t="inlineStr">
        <is>
          <t>Horizontal</t>
        </is>
      </c>
      <c r="U533" t="n">
        <v>7</v>
      </c>
      <c r="V533" t="b">
        <v>1</v>
      </c>
      <c r="W533" t="inlineStr">
        <is>
          <t>Cost Matrix!D36:J36</t>
        </is>
      </c>
      <c r="X533">
        <f>R[-1]C[0]/R25C[0]</f>
        <v/>
      </c>
    </row>
    <row r="534">
      <c r="A534" t="inlineStr">
        <is>
          <t>Cost Matrix</t>
        </is>
      </c>
      <c r="B534" t="inlineStr">
        <is>
          <t>K36</t>
        </is>
      </c>
      <c r="C534" t="n">
        <v>36</v>
      </c>
      <c r="D534" t="n">
        <v>11</v>
      </c>
      <c r="E534" t="inlineStr">
        <is>
          <t>Input</t>
        </is>
      </c>
      <c r="F534" t="n">
        <v/>
      </c>
      <c r="G534" t="n">
        <v>0.105</v>
      </c>
      <c r="H534" t="inlineStr"/>
      <c r="I534" t="inlineStr">
        <is>
          <t>0.00%</t>
        </is>
      </c>
      <c r="J534" t="b">
        <v>0</v>
      </c>
      <c r="K534" t="b">
        <v>1</v>
      </c>
      <c r="L534" t="n">
        <v>11</v>
      </c>
      <c r="M534" t="inlineStr">
        <is>
          <t>FF0B0280</t>
        </is>
      </c>
      <c r="N534" t="inlineStr">
        <is>
          <t>00000000</t>
        </is>
      </c>
      <c r="O534" t="inlineStr">
        <is>
          <t>center</t>
        </is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</row>
    <row r="535">
      <c r="A535" t="inlineStr">
        <is>
          <t>Cost Matrix</t>
        </is>
      </c>
      <c r="B535" t="inlineStr">
        <is>
          <t>L36</t>
        </is>
      </c>
      <c r="C535" t="n">
        <v>36</v>
      </c>
      <c r="D535" t="n">
        <v>12</v>
      </c>
      <c r="E535" t="inlineStr">
        <is>
          <t>Input</t>
        </is>
      </c>
      <c r="F535" t="n">
        <v/>
      </c>
      <c r="G535" t="n">
        <v>0.105</v>
      </c>
      <c r="H535" t="inlineStr"/>
      <c r="I535" t="inlineStr">
        <is>
          <t>0.00%</t>
        </is>
      </c>
      <c r="J535" t="b">
        <v>0</v>
      </c>
      <c r="K535" t="b">
        <v>1</v>
      </c>
      <c r="L535" t="n">
        <v>11</v>
      </c>
      <c r="M535" t="inlineStr">
        <is>
          <t>FF0B0280</t>
        </is>
      </c>
      <c r="N535" t="inlineStr">
        <is>
          <t>00000000</t>
        </is>
      </c>
      <c r="O535" t="inlineStr">
        <is>
          <t>center</t>
        </is>
      </c>
      <c r="R535" t="b">
        <v>1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</row>
    <row r="536">
      <c r="A536" t="inlineStr">
        <is>
          <t>Cost Matrix</t>
        </is>
      </c>
      <c r="B536" t="inlineStr">
        <is>
          <t>M36</t>
        </is>
      </c>
      <c r="C536" t="n">
        <v>36</v>
      </c>
      <c r="D536" t="n">
        <v>13</v>
      </c>
      <c r="E536" t="inlineStr">
        <is>
          <t>Input</t>
        </is>
      </c>
      <c r="F536" t="n">
        <v/>
      </c>
      <c r="G536" t="n">
        <v>0.105</v>
      </c>
      <c r="H536" t="inlineStr"/>
      <c r="I536" t="inlineStr">
        <is>
          <t>0.00%</t>
        </is>
      </c>
      <c r="J536" t="b">
        <v>0</v>
      </c>
      <c r="K536" t="b">
        <v>1</v>
      </c>
      <c r="L536" t="n">
        <v>11</v>
      </c>
      <c r="M536" t="inlineStr">
        <is>
          <t>FF0B0280</t>
        </is>
      </c>
      <c r="N536" t="inlineStr">
        <is>
          <t>00000000</t>
        </is>
      </c>
      <c r="O536" t="inlineStr">
        <is>
          <t>center</t>
        </is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Cost Matrix</t>
        </is>
      </c>
      <c r="B537" t="inlineStr">
        <is>
          <t>N36</t>
        </is>
      </c>
      <c r="C537" t="n">
        <v>36</v>
      </c>
      <c r="D537" t="n">
        <v>14</v>
      </c>
      <c r="E537" t="inlineStr">
        <is>
          <t>Input</t>
        </is>
      </c>
      <c r="F537" t="n">
        <v/>
      </c>
      <c r="G537" t="n">
        <v>0.105</v>
      </c>
      <c r="H537" t="inlineStr"/>
      <c r="I537" t="inlineStr">
        <is>
          <t>0.00%</t>
        </is>
      </c>
      <c r="J537" t="b">
        <v>0</v>
      </c>
      <c r="K537" t="b">
        <v>1</v>
      </c>
      <c r="L537" t="n">
        <v>11</v>
      </c>
      <c r="M537" t="inlineStr">
        <is>
          <t>FF0B0280</t>
        </is>
      </c>
      <c r="N537" t="inlineStr">
        <is>
          <t>00000000</t>
        </is>
      </c>
      <c r="O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</row>
    <row r="538">
      <c r="A538" t="inlineStr">
        <is>
          <t>Cost Matrix</t>
        </is>
      </c>
      <c r="B538" t="inlineStr">
        <is>
          <t>O36</t>
        </is>
      </c>
      <c r="C538" t="n">
        <v>36</v>
      </c>
      <c r="D538" t="n">
        <v>15</v>
      </c>
      <c r="E538" t="inlineStr">
        <is>
          <t>Input</t>
        </is>
      </c>
      <c r="F538" t="n">
        <v/>
      </c>
      <c r="G538" t="n">
        <v>0.105</v>
      </c>
      <c r="H538" t="inlineStr"/>
      <c r="I538" t="inlineStr">
        <is>
          <t>0.00%</t>
        </is>
      </c>
      <c r="J538" t="b">
        <v>0</v>
      </c>
      <c r="K538" t="b">
        <v>1</v>
      </c>
      <c r="L538" t="n">
        <v>11</v>
      </c>
      <c r="M538" t="inlineStr">
        <is>
          <t>FF0B0280</t>
        </is>
      </c>
      <c r="N538" t="inlineStr">
        <is>
          <t>00000000</t>
        </is>
      </c>
      <c r="O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Cost Matrix</t>
        </is>
      </c>
      <c r="B539" t="inlineStr">
        <is>
          <t>A37</t>
        </is>
      </c>
      <c r="C539" t="n">
        <v>37</v>
      </c>
      <c r="D539" t="n">
        <v>1</v>
      </c>
      <c r="E539" t="inlineStr">
        <is>
          <t>Input</t>
        </is>
      </c>
      <c r="F539" t="n">
        <v/>
      </c>
      <c r="G539" t="inlineStr">
        <is>
          <t>Finance costs</t>
        </is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00000000</t>
        </is>
      </c>
      <c r="O539" t="n">
        <v/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Cost Matrix</t>
        </is>
      </c>
      <c r="B540" t="inlineStr">
        <is>
          <t>D37</t>
        </is>
      </c>
      <c r="C540" t="n">
        <v>37</v>
      </c>
      <c r="D540" t="n">
        <v>4</v>
      </c>
      <c r="E540" t="inlineStr">
        <is>
          <t>Input</t>
        </is>
      </c>
      <c r="F540" t="n">
        <v/>
      </c>
      <c r="G540" t="n">
        <v>449.91</v>
      </c>
      <c r="H540" t="inlineStr"/>
      <c r="I540" t="inlineStr">
        <is>
          <t>#,##0</t>
        </is>
      </c>
      <c r="J540" t="b">
        <v>0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00000000</t>
        </is>
      </c>
      <c r="O540" t="n">
        <v/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Cost Matrix</t>
        </is>
      </c>
      <c r="B541" t="inlineStr">
        <is>
          <t>E37</t>
        </is>
      </c>
      <c r="C541" t="n">
        <v>37</v>
      </c>
      <c r="D541" t="n">
        <v>5</v>
      </c>
      <c r="E541" t="inlineStr">
        <is>
          <t>Input</t>
        </is>
      </c>
      <c r="F541" t="n">
        <v/>
      </c>
      <c r="G541" t="n">
        <v>514.27</v>
      </c>
      <c r="H541" t="inlineStr"/>
      <c r="I541" t="inlineStr">
        <is>
          <t>#,##0</t>
        </is>
      </c>
      <c r="J541" t="b">
        <v>0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00000000</t>
        </is>
      </c>
      <c r="O541" t="n">
        <v/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Cost Matrix</t>
        </is>
      </c>
      <c r="B542" t="inlineStr">
        <is>
          <t>F37</t>
        </is>
      </c>
      <c r="C542" t="n">
        <v>37</v>
      </c>
      <c r="D542" t="n">
        <v>6</v>
      </c>
      <c r="E542" t="inlineStr">
        <is>
          <t>Input</t>
        </is>
      </c>
      <c r="F542" t="n">
        <v/>
      </c>
      <c r="G542" t="n">
        <v>578.01</v>
      </c>
      <c r="H542" t="inlineStr"/>
      <c r="I542" t="inlineStr">
        <is>
          <t>#,##0</t>
        </is>
      </c>
      <c r="J542" t="b">
        <v>0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00000000</t>
        </is>
      </c>
      <c r="O542" t="n">
        <v/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Cost Matrix</t>
        </is>
      </c>
      <c r="B543" t="inlineStr">
        <is>
          <t>G37</t>
        </is>
      </c>
      <c r="C543" t="n">
        <v>37</v>
      </c>
      <c r="D543" t="n">
        <v>7</v>
      </c>
      <c r="E543" t="inlineStr">
        <is>
          <t>Input</t>
        </is>
      </c>
      <c r="F543" t="n">
        <v/>
      </c>
      <c r="G543" t="n">
        <v>1225.77</v>
      </c>
      <c r="H543" t="inlineStr"/>
      <c r="I543" t="inlineStr">
        <is>
          <t>#,##0</t>
        </is>
      </c>
      <c r="J543" t="b">
        <v>0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00000000</t>
        </is>
      </c>
      <c r="O543" t="n">
        <v/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</row>
    <row r="544">
      <c r="A544" t="inlineStr">
        <is>
          <t>Cost Matrix</t>
        </is>
      </c>
      <c r="B544" t="inlineStr">
        <is>
          <t>H37</t>
        </is>
      </c>
      <c r="C544" t="n">
        <v>37</v>
      </c>
      <c r="D544" t="n">
        <v>8</v>
      </c>
      <c r="E544" t="inlineStr">
        <is>
          <t>Input</t>
        </is>
      </c>
      <c r="F544" t="n">
        <v/>
      </c>
      <c r="G544" t="n">
        <v>1155.32</v>
      </c>
      <c r="H544" t="inlineStr"/>
      <c r="I544" t="inlineStr">
        <is>
          <t>#,##0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n">
        <v/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</row>
    <row r="545">
      <c r="A545" t="inlineStr">
        <is>
          <t>Cost Matrix</t>
        </is>
      </c>
      <c r="B545" t="inlineStr">
        <is>
          <t>I37</t>
        </is>
      </c>
      <c r="C545" t="n">
        <v>37</v>
      </c>
      <c r="D545" t="n">
        <v>9</v>
      </c>
      <c r="E545" t="inlineStr">
        <is>
          <t>Input</t>
        </is>
      </c>
      <c r="F545" t="n">
        <v/>
      </c>
      <c r="G545" t="n">
        <v>3041</v>
      </c>
      <c r="H545" t="inlineStr"/>
      <c r="I545" t="inlineStr">
        <is>
          <t>#,##0</t>
        </is>
      </c>
      <c r="J545" t="b">
        <v>0</v>
      </c>
      <c r="K545" t="b">
        <v>0</v>
      </c>
      <c r="L545" t="n">
        <v>11</v>
      </c>
      <c r="M545" t="inlineStr">
        <is>
          <t>FF9C0006</t>
        </is>
      </c>
      <c r="N545" t="inlineStr">
        <is>
          <t>FFFFC7CE</t>
        </is>
      </c>
      <c r="O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</row>
    <row r="546">
      <c r="A546" t="inlineStr">
        <is>
          <t>Cost Matrix</t>
        </is>
      </c>
      <c r="B546" t="inlineStr">
        <is>
          <t>J37</t>
        </is>
      </c>
      <c r="C546" t="n">
        <v>37</v>
      </c>
      <c r="D546" t="n">
        <v>10</v>
      </c>
      <c r="E546" t="inlineStr">
        <is>
          <t>Input</t>
        </is>
      </c>
      <c r="F546" t="n">
        <v/>
      </c>
      <c r="G546" t="n">
        <v>3307.8</v>
      </c>
      <c r="H546" t="inlineStr"/>
      <c r="I546" t="inlineStr">
        <is>
          <t>#,##0</t>
        </is>
      </c>
      <c r="J546" t="b">
        <v>0</v>
      </c>
      <c r="K546" t="b">
        <v>0</v>
      </c>
      <c r="L546" t="n">
        <v>11</v>
      </c>
      <c r="M546" t="inlineStr">
        <is>
          <t>FF9C0006</t>
        </is>
      </c>
      <c r="N546" t="inlineStr">
        <is>
          <t>FFFFC7CE</t>
        </is>
      </c>
      <c r="O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</row>
    <row r="547">
      <c r="A547" t="inlineStr">
        <is>
          <t>Cost Matrix</t>
        </is>
      </c>
      <c r="B547" t="inlineStr">
        <is>
          <t>K37</t>
        </is>
      </c>
      <c r="C547" t="n">
        <v>37</v>
      </c>
      <c r="D547" t="n">
        <v>11</v>
      </c>
      <c r="E547" t="inlineStr">
        <is>
          <t>Calculation</t>
        </is>
      </c>
      <c r="F547" t="inlineStr">
        <is>
          <t>'='Debt schedule'!K12</t>
        </is>
      </c>
      <c r="G547" t="n">
        <v>1527.28125</v>
      </c>
      <c r="H547" t="inlineStr"/>
      <c r="I547" t="inlineStr">
        <is>
          <t>#,##0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n">
        <v/>
      </c>
      <c r="R547" t="b">
        <v>1</v>
      </c>
      <c r="S547" t="inlineStr">
        <is>
          <t>G000141</t>
        </is>
      </c>
      <c r="T547" t="inlineStr">
        <is>
          <t>Horizontal</t>
        </is>
      </c>
      <c r="U547" t="n">
        <v>5</v>
      </c>
      <c r="V547" t="b">
        <v>1</v>
      </c>
      <c r="W547" t="inlineStr">
        <is>
          <t>Cost Matrix!K37:O37</t>
        </is>
      </c>
      <c r="X547">
        <f>'Debt schedule'!R[-25]C[0]</f>
        <v/>
      </c>
    </row>
    <row r="548">
      <c r="A548" t="inlineStr">
        <is>
          <t>Cost Matrix</t>
        </is>
      </c>
      <c r="B548" t="inlineStr">
        <is>
          <t>L37</t>
        </is>
      </c>
      <c r="C548" t="n">
        <v>37</v>
      </c>
      <c r="D548" t="n">
        <v>12</v>
      </c>
      <c r="E548" t="inlineStr">
        <is>
          <t>Calculation</t>
        </is>
      </c>
      <c r="F548" t="inlineStr">
        <is>
          <t>'='Debt schedule'!L12</t>
        </is>
      </c>
      <c r="G548" t="n">
        <v>2111.610075</v>
      </c>
      <c r="H548" t="inlineStr"/>
      <c r="I548" t="inlineStr">
        <is>
          <t>#,##0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n">
        <v/>
      </c>
      <c r="R548" t="b">
        <v>1</v>
      </c>
      <c r="S548" t="inlineStr">
        <is>
          <t>G000141</t>
        </is>
      </c>
      <c r="T548" t="inlineStr">
        <is>
          <t>Horizontal</t>
        </is>
      </c>
      <c r="U548" t="n">
        <v>5</v>
      </c>
      <c r="V548" t="b">
        <v>1</v>
      </c>
      <c r="W548" t="inlineStr">
        <is>
          <t>Cost Matrix!K37:O37</t>
        </is>
      </c>
      <c r="X548">
        <f>'Debt schedule'!R[-25]C[0]</f>
        <v/>
      </c>
    </row>
    <row r="549">
      <c r="A549" t="inlineStr">
        <is>
          <t>Cost Matrix</t>
        </is>
      </c>
      <c r="B549" t="inlineStr">
        <is>
          <t>M37</t>
        </is>
      </c>
      <c r="C549" t="n">
        <v>37</v>
      </c>
      <c r="D549" t="n">
        <v>13</v>
      </c>
      <c r="E549" t="inlineStr">
        <is>
          <t>Calculation</t>
        </is>
      </c>
      <c r="F549" t="inlineStr">
        <is>
          <t>'='Debt schedule'!M12</t>
        </is>
      </c>
      <c r="G549" t="n">
        <v>2541.039824999999</v>
      </c>
      <c r="H549" t="inlineStr"/>
      <c r="I549" t="inlineStr">
        <is>
          <t>#,##0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00000000</t>
        </is>
      </c>
      <c r="O549" t="n">
        <v/>
      </c>
      <c r="R549" t="b">
        <v>1</v>
      </c>
      <c r="S549" t="inlineStr">
        <is>
          <t>G000141</t>
        </is>
      </c>
      <c r="T549" t="inlineStr">
        <is>
          <t>Horizontal</t>
        </is>
      </c>
      <c r="U549" t="n">
        <v>5</v>
      </c>
      <c r="V549" t="b">
        <v>1</v>
      </c>
      <c r="W549" t="inlineStr">
        <is>
          <t>Cost Matrix!K37:O37</t>
        </is>
      </c>
      <c r="X549">
        <f>'Debt schedule'!R[-25]C[0]</f>
        <v/>
      </c>
    </row>
    <row r="550">
      <c r="A550" t="inlineStr">
        <is>
          <t>Cost Matrix</t>
        </is>
      </c>
      <c r="B550" t="inlineStr">
        <is>
          <t>N37</t>
        </is>
      </c>
      <c r="C550" t="n">
        <v>37</v>
      </c>
      <c r="D550" t="n">
        <v>14</v>
      </c>
      <c r="E550" t="inlineStr">
        <is>
          <t>Calculation</t>
        </is>
      </c>
      <c r="F550" t="inlineStr">
        <is>
          <t>'='Debt schedule'!N12</t>
        </is>
      </c>
      <c r="G550" t="n">
        <v>2962.189575</v>
      </c>
      <c r="H550" t="inlineStr"/>
      <c r="I550" t="inlineStr">
        <is>
          <t>#,##0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00000000</t>
        </is>
      </c>
      <c r="O550" t="n">
        <v/>
      </c>
      <c r="R550" t="b">
        <v>1</v>
      </c>
      <c r="S550" t="inlineStr">
        <is>
          <t>G000141</t>
        </is>
      </c>
      <c r="T550" t="inlineStr">
        <is>
          <t>Horizontal</t>
        </is>
      </c>
      <c r="U550" t="n">
        <v>5</v>
      </c>
      <c r="V550" t="b">
        <v>1</v>
      </c>
      <c r="W550" t="inlineStr">
        <is>
          <t>Cost Matrix!K37:O37</t>
        </is>
      </c>
      <c r="X550">
        <f>'Debt schedule'!R[-25]C[0]</f>
        <v/>
      </c>
    </row>
    <row r="551">
      <c r="A551" t="inlineStr">
        <is>
          <t>Cost Matrix</t>
        </is>
      </c>
      <c r="B551" t="inlineStr">
        <is>
          <t>O37</t>
        </is>
      </c>
      <c r="C551" t="n">
        <v>37</v>
      </c>
      <c r="D551" t="n">
        <v>15</v>
      </c>
      <c r="E551" t="inlineStr">
        <is>
          <t>Calculation</t>
        </is>
      </c>
      <c r="F551" t="inlineStr">
        <is>
          <t>'='Debt schedule'!O12</t>
        </is>
      </c>
      <c r="G551" t="n">
        <v>3375.059324999999</v>
      </c>
      <c r="H551" t="inlineStr"/>
      <c r="I551" t="inlineStr">
        <is>
          <t>#,##0</t>
        </is>
      </c>
      <c r="J551" t="b">
        <v>0</v>
      </c>
      <c r="K551" t="b">
        <v>0</v>
      </c>
      <c r="L551" t="n">
        <v>11</v>
      </c>
      <c r="M551" t="inlineStr">
        <is>
          <t>Values must be of type &lt;class 'str'&gt;</t>
        </is>
      </c>
      <c r="N551" t="inlineStr">
        <is>
          <t>00000000</t>
        </is>
      </c>
      <c r="O551" t="n">
        <v/>
      </c>
      <c r="R551" t="b">
        <v>1</v>
      </c>
      <c r="S551" t="inlineStr">
        <is>
          <t>G000141</t>
        </is>
      </c>
      <c r="T551" t="inlineStr">
        <is>
          <t>Horizontal</t>
        </is>
      </c>
      <c r="U551" t="n">
        <v>5</v>
      </c>
      <c r="V551" t="b">
        <v>1</v>
      </c>
      <c r="W551" t="inlineStr">
        <is>
          <t>Cost Matrix!K37:O37</t>
        </is>
      </c>
      <c r="X551">
        <f>'Debt schedule'!R[-25]C[0]</f>
        <v/>
      </c>
    </row>
    <row r="552">
      <c r="A552" t="inlineStr">
        <is>
          <t>Cost Matrix</t>
        </is>
      </c>
      <c r="B552" t="inlineStr">
        <is>
          <t>T37</t>
        </is>
      </c>
      <c r="C552" t="n">
        <v>37</v>
      </c>
      <c r="D552" t="n">
        <v>20</v>
      </c>
      <c r="E552" t="inlineStr">
        <is>
          <t>Input</t>
        </is>
      </c>
      <c r="F552" t="n">
        <v/>
      </c>
      <c r="G552" t="n">
        <v>58985.5</v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Values must be of type &lt;class 'str'&gt;</t>
        </is>
      </c>
      <c r="N552" t="inlineStr">
        <is>
          <t>00000000</t>
        </is>
      </c>
      <c r="O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</row>
    <row r="553">
      <c r="A553" t="inlineStr">
        <is>
          <t>Cost Matrix</t>
        </is>
      </c>
      <c r="B553" t="inlineStr">
        <is>
          <t>D38</t>
        </is>
      </c>
      <c r="C553" t="n">
        <v>38</v>
      </c>
      <c r="D553" t="n">
        <v>4</v>
      </c>
      <c r="E553" t="inlineStr">
        <is>
          <t>Output</t>
        </is>
      </c>
      <c r="F553" t="inlineStr">
        <is>
          <t>'=D37/D$25</t>
        </is>
      </c>
      <c r="G553" t="n">
        <v>0.01140696254467151</v>
      </c>
      <c r="H553" t="inlineStr"/>
      <c r="I553" t="inlineStr">
        <is>
          <t>0.00%</t>
        </is>
      </c>
      <c r="J553" t="b">
        <v>0</v>
      </c>
      <c r="K553" t="b">
        <v>1</v>
      </c>
      <c r="L553" t="n">
        <v>11</v>
      </c>
      <c r="M553" t="inlineStr">
        <is>
          <t>FF0B0280</t>
        </is>
      </c>
      <c r="N553" t="inlineStr">
        <is>
          <t>00000000</t>
        </is>
      </c>
      <c r="O553" t="inlineStr">
        <is>
          <t>center</t>
        </is>
      </c>
      <c r="R553" t="b">
        <v>1</v>
      </c>
      <c r="S553" t="inlineStr">
        <is>
          <t>G000126</t>
        </is>
      </c>
      <c r="T553" t="inlineStr">
        <is>
          <t>Horizontal</t>
        </is>
      </c>
      <c r="U553" t="n">
        <v>7</v>
      </c>
      <c r="V553" t="b">
        <v>1</v>
      </c>
      <c r="W553" t="inlineStr">
        <is>
          <t>Cost Matrix!D38:J38</t>
        </is>
      </c>
      <c r="X553">
        <f>R[-1]C[0]/R25C[0]</f>
        <v/>
      </c>
    </row>
    <row r="554">
      <c r="A554" t="inlineStr">
        <is>
          <t>Cost Matrix</t>
        </is>
      </c>
      <c r="B554" t="inlineStr">
        <is>
          <t>E38</t>
        </is>
      </c>
      <c r="C554" t="n">
        <v>38</v>
      </c>
      <c r="D554" t="n">
        <v>5</v>
      </c>
      <c r="E554" t="inlineStr">
        <is>
          <t>Output</t>
        </is>
      </c>
      <c r="F554" t="inlineStr">
        <is>
          <t>'=E37/E$25</t>
        </is>
      </c>
      <c r="G554" t="n">
        <v>0.009008638814872395</v>
      </c>
      <c r="H554" t="inlineStr"/>
      <c r="I554" t="inlineStr">
        <is>
          <t>0.00%</t>
        </is>
      </c>
      <c r="J554" t="b">
        <v>0</v>
      </c>
      <c r="K554" t="b">
        <v>1</v>
      </c>
      <c r="L554" t="n">
        <v>11</v>
      </c>
      <c r="M554" t="inlineStr">
        <is>
          <t>FF0B0280</t>
        </is>
      </c>
      <c r="N554" t="inlineStr">
        <is>
          <t>00000000</t>
        </is>
      </c>
      <c r="O554" t="inlineStr">
        <is>
          <t>center</t>
        </is>
      </c>
      <c r="R554" t="b">
        <v>1</v>
      </c>
      <c r="S554" t="inlineStr">
        <is>
          <t>G000126</t>
        </is>
      </c>
      <c r="T554" t="inlineStr">
        <is>
          <t>Horizontal</t>
        </is>
      </c>
      <c r="U554" t="n">
        <v>7</v>
      </c>
      <c r="V554" t="b">
        <v>1</v>
      </c>
      <c r="W554" t="inlineStr">
        <is>
          <t>Cost Matrix!D38:J38</t>
        </is>
      </c>
      <c r="X554">
        <f>R[-1]C[0]/R25C[0]</f>
        <v/>
      </c>
    </row>
    <row r="555">
      <c r="A555" t="inlineStr">
        <is>
          <t>Cost Matrix</t>
        </is>
      </c>
      <c r="B555" t="inlineStr">
        <is>
          <t>F38</t>
        </is>
      </c>
      <c r="C555" t="n">
        <v>38</v>
      </c>
      <c r="D555" t="n">
        <v>6</v>
      </c>
      <c r="E555" t="inlineStr">
        <is>
          <t>Output</t>
        </is>
      </c>
      <c r="F555" t="inlineStr">
        <is>
          <t>'=F37/F$25</t>
        </is>
      </c>
      <c r="G555" t="n">
        <v>0.006122828167042232</v>
      </c>
      <c r="H555" t="inlineStr"/>
      <c r="I555" t="inlineStr">
        <is>
          <t>0.00%</t>
        </is>
      </c>
      <c r="J555" t="b">
        <v>0</v>
      </c>
      <c r="K555" t="b">
        <v>1</v>
      </c>
      <c r="L555" t="n">
        <v>11</v>
      </c>
      <c r="M555" t="inlineStr">
        <is>
          <t>FF0B0280</t>
        </is>
      </c>
      <c r="N555" t="inlineStr">
        <is>
          <t>00000000</t>
        </is>
      </c>
      <c r="O555" t="inlineStr">
        <is>
          <t>center</t>
        </is>
      </c>
      <c r="R555" t="b">
        <v>1</v>
      </c>
      <c r="S555" t="inlineStr">
        <is>
          <t>G000126</t>
        </is>
      </c>
      <c r="T555" t="inlineStr">
        <is>
          <t>Horizontal</t>
        </is>
      </c>
      <c r="U555" t="n">
        <v>7</v>
      </c>
      <c r="V555" t="b">
        <v>1</v>
      </c>
      <c r="W555" t="inlineStr">
        <is>
          <t>Cost Matrix!D38:J38</t>
        </is>
      </c>
      <c r="X555">
        <f>R[-1]C[0]/R25C[0]</f>
        <v/>
      </c>
    </row>
    <row r="556">
      <c r="A556" t="inlineStr">
        <is>
          <t>Cost Matrix</t>
        </is>
      </c>
      <c r="B556" t="inlineStr">
        <is>
          <t>G38</t>
        </is>
      </c>
      <c r="C556" t="n">
        <v>38</v>
      </c>
      <c r="D556" t="n">
        <v>7</v>
      </c>
      <c r="E556" t="inlineStr">
        <is>
          <t>Output</t>
        </is>
      </c>
      <c r="F556" t="inlineStr">
        <is>
          <t>'=G37/G$25</t>
        </is>
      </c>
      <c r="G556" t="n">
        <v>0.01072214793669963</v>
      </c>
      <c r="H556" t="inlineStr"/>
      <c r="I556" t="inlineStr">
        <is>
          <t>0.00%</t>
        </is>
      </c>
      <c r="J556" t="b">
        <v>0</v>
      </c>
      <c r="K556" t="b">
        <v>1</v>
      </c>
      <c r="L556" t="n">
        <v>11</v>
      </c>
      <c r="M556" t="inlineStr">
        <is>
          <t>FF0B0280</t>
        </is>
      </c>
      <c r="N556" t="inlineStr">
        <is>
          <t>00000000</t>
        </is>
      </c>
      <c r="O556" t="inlineStr">
        <is>
          <t>center</t>
        </is>
      </c>
      <c r="R556" t="b">
        <v>1</v>
      </c>
      <c r="S556" t="inlineStr">
        <is>
          <t>G000126</t>
        </is>
      </c>
      <c r="T556" t="inlineStr">
        <is>
          <t>Horizontal</t>
        </is>
      </c>
      <c r="U556" t="n">
        <v>7</v>
      </c>
      <c r="V556" t="b">
        <v>1</v>
      </c>
      <c r="W556" t="inlineStr">
        <is>
          <t>Cost Matrix!D38:J38</t>
        </is>
      </c>
      <c r="X556">
        <f>R[-1]C[0]/R25C[0]</f>
        <v/>
      </c>
    </row>
    <row r="557">
      <c r="A557" t="inlineStr">
        <is>
          <t>Cost Matrix</t>
        </is>
      </c>
      <c r="B557" t="inlineStr">
        <is>
          <t>H38</t>
        </is>
      </c>
      <c r="C557" t="n">
        <v>38</v>
      </c>
      <c r="D557" t="n">
        <v>8</v>
      </c>
      <c r="E557" t="inlineStr">
        <is>
          <t>Output</t>
        </is>
      </c>
      <c r="F557" t="inlineStr">
        <is>
          <t>'=H37/H$25</t>
        </is>
      </c>
      <c r="G557" t="n">
        <v>0.00806791469061131</v>
      </c>
      <c r="H557" t="inlineStr"/>
      <c r="I557" t="inlineStr">
        <is>
          <t>0.00%</t>
        </is>
      </c>
      <c r="J557" t="b">
        <v>0</v>
      </c>
      <c r="K557" t="b">
        <v>1</v>
      </c>
      <c r="L557" t="n">
        <v>11</v>
      </c>
      <c r="M557" t="inlineStr">
        <is>
          <t>FF0B0280</t>
        </is>
      </c>
      <c r="N557" t="inlineStr">
        <is>
          <t>00000000</t>
        </is>
      </c>
      <c r="O557" t="inlineStr">
        <is>
          <t>center</t>
        </is>
      </c>
      <c r="R557" t="b">
        <v>1</v>
      </c>
      <c r="S557" t="inlineStr">
        <is>
          <t>G000126</t>
        </is>
      </c>
      <c r="T557" t="inlineStr">
        <is>
          <t>Horizontal</t>
        </is>
      </c>
      <c r="U557" t="n">
        <v>7</v>
      </c>
      <c r="V557" t="b">
        <v>1</v>
      </c>
      <c r="W557" t="inlineStr">
        <is>
          <t>Cost Matrix!D38:J38</t>
        </is>
      </c>
      <c r="X557">
        <f>R[-1]C[0]/R25C[0]</f>
        <v/>
      </c>
    </row>
    <row r="558">
      <c r="A558" t="inlineStr">
        <is>
          <t>Cost Matrix</t>
        </is>
      </c>
      <c r="B558" t="inlineStr">
        <is>
          <t>I38</t>
        </is>
      </c>
      <c r="C558" t="n">
        <v>38</v>
      </c>
      <c r="D558" t="n">
        <v>9</v>
      </c>
      <c r="E558" t="inlineStr">
        <is>
          <t>Output</t>
        </is>
      </c>
      <c r="F558" t="inlineStr">
        <is>
          <t>'=I37/I$25</t>
        </is>
      </c>
      <c r="G558" t="n">
        <v>0.01831782627776737</v>
      </c>
      <c r="H558" t="inlineStr"/>
      <c r="I558" t="inlineStr">
        <is>
          <t>0.00%</t>
        </is>
      </c>
      <c r="J558" t="b">
        <v>0</v>
      </c>
      <c r="K558" t="b">
        <v>1</v>
      </c>
      <c r="L558" t="n">
        <v>11</v>
      </c>
      <c r="M558" t="inlineStr">
        <is>
          <t>FF0B0280</t>
        </is>
      </c>
      <c r="N558" t="inlineStr">
        <is>
          <t>00000000</t>
        </is>
      </c>
      <c r="O558" t="inlineStr">
        <is>
          <t>center</t>
        </is>
      </c>
      <c r="R558" t="b">
        <v>1</v>
      </c>
      <c r="S558" t="inlineStr">
        <is>
          <t>G000126</t>
        </is>
      </c>
      <c r="T558" t="inlineStr">
        <is>
          <t>Horizontal</t>
        </is>
      </c>
      <c r="U558" t="n">
        <v>7</v>
      </c>
      <c r="V558" t="b">
        <v>1</v>
      </c>
      <c r="W558" t="inlineStr">
        <is>
          <t>Cost Matrix!D38:J38</t>
        </is>
      </c>
      <c r="X558">
        <f>R[-1]C[0]/R25C[0]</f>
        <v/>
      </c>
    </row>
    <row r="559">
      <c r="A559" t="inlineStr">
        <is>
          <t>Cost Matrix</t>
        </is>
      </c>
      <c r="B559" t="inlineStr">
        <is>
          <t>J38</t>
        </is>
      </c>
      <c r="C559" t="n">
        <v>38</v>
      </c>
      <c r="D559" t="n">
        <v>10</v>
      </c>
      <c r="E559" t="inlineStr">
        <is>
          <t>Output</t>
        </is>
      </c>
      <c r="F559" t="inlineStr">
        <is>
          <t>'=J37/J$25</t>
        </is>
      </c>
      <c r="G559" t="n">
        <v>0.01707726099388559</v>
      </c>
      <c r="H559" t="inlineStr"/>
      <c r="I559" t="inlineStr">
        <is>
          <t>0.00%</t>
        </is>
      </c>
      <c r="J559" t="b">
        <v>0</v>
      </c>
      <c r="K559" t="b">
        <v>1</v>
      </c>
      <c r="L559" t="n">
        <v>11</v>
      </c>
      <c r="M559" t="inlineStr">
        <is>
          <t>FF0B0280</t>
        </is>
      </c>
      <c r="N559" t="inlineStr">
        <is>
          <t>00000000</t>
        </is>
      </c>
      <c r="O559" t="inlineStr">
        <is>
          <t>center</t>
        </is>
      </c>
      <c r="R559" t="b">
        <v>1</v>
      </c>
      <c r="S559" t="inlineStr">
        <is>
          <t>G000126</t>
        </is>
      </c>
      <c r="T559" t="inlineStr">
        <is>
          <t>Horizontal</t>
        </is>
      </c>
      <c r="U559" t="n">
        <v>7</v>
      </c>
      <c r="V559" t="b">
        <v>1</v>
      </c>
      <c r="W559" t="inlineStr">
        <is>
          <t>Cost Matrix!D38:J38</t>
        </is>
      </c>
      <c r="X559">
        <f>R[-1]C[0]/R25C[0]</f>
        <v/>
      </c>
    </row>
    <row r="560">
      <c r="A560" t="inlineStr">
        <is>
          <t>Cost Matrix</t>
        </is>
      </c>
      <c r="B560" t="inlineStr">
        <is>
          <t>K38</t>
        </is>
      </c>
      <c r="C560" t="n">
        <v>38</v>
      </c>
      <c r="D560" t="n">
        <v>11</v>
      </c>
      <c r="E560" t="inlineStr">
        <is>
          <t>Input</t>
        </is>
      </c>
      <c r="F560" t="n">
        <v/>
      </c>
      <c r="G560" t="n">
        <v>0.017</v>
      </c>
      <c r="H560" t="inlineStr"/>
      <c r="I560" t="inlineStr">
        <is>
          <t>0.00%</t>
        </is>
      </c>
      <c r="J560" t="b">
        <v>0</v>
      </c>
      <c r="K560" t="b">
        <v>1</v>
      </c>
      <c r="L560" t="n">
        <v>11</v>
      </c>
      <c r="M560" t="inlineStr">
        <is>
          <t>FF0B0280</t>
        </is>
      </c>
      <c r="N560" t="inlineStr">
        <is>
          <t>00000000</t>
        </is>
      </c>
      <c r="O560" t="inlineStr">
        <is>
          <t>center</t>
        </is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</row>
    <row r="561">
      <c r="A561" t="inlineStr">
        <is>
          <t>Cost Matrix</t>
        </is>
      </c>
      <c r="B561" t="inlineStr">
        <is>
          <t>L38</t>
        </is>
      </c>
      <c r="C561" t="n">
        <v>38</v>
      </c>
      <c r="D561" t="n">
        <v>12</v>
      </c>
      <c r="E561" t="inlineStr">
        <is>
          <t>Input</t>
        </is>
      </c>
      <c r="F561" t="n">
        <v/>
      </c>
      <c r="G561" t="n">
        <v>0.017</v>
      </c>
      <c r="H561" t="inlineStr"/>
      <c r="I561" t="inlineStr">
        <is>
          <t>0.00%</t>
        </is>
      </c>
      <c r="J561" t="b">
        <v>0</v>
      </c>
      <c r="K561" t="b">
        <v>1</v>
      </c>
      <c r="L561" t="n">
        <v>11</v>
      </c>
      <c r="M561" t="inlineStr">
        <is>
          <t>FF0B0280</t>
        </is>
      </c>
      <c r="N561" t="inlineStr">
        <is>
          <t>00000000</t>
        </is>
      </c>
      <c r="O561" t="inlineStr">
        <is>
          <t>center</t>
        </is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</row>
    <row r="562">
      <c r="A562" t="inlineStr">
        <is>
          <t>Cost Matrix</t>
        </is>
      </c>
      <c r="B562" t="inlineStr">
        <is>
          <t>M38</t>
        </is>
      </c>
      <c r="C562" t="n">
        <v>38</v>
      </c>
      <c r="D562" t="n">
        <v>13</v>
      </c>
      <c r="E562" t="inlineStr">
        <is>
          <t>Input</t>
        </is>
      </c>
      <c r="F562" t="n">
        <v/>
      </c>
      <c r="G562" t="n">
        <v>0.017</v>
      </c>
      <c r="H562" t="inlineStr"/>
      <c r="I562" t="inlineStr">
        <is>
          <t>0.00%</t>
        </is>
      </c>
      <c r="J562" t="b">
        <v>0</v>
      </c>
      <c r="K562" t="b">
        <v>1</v>
      </c>
      <c r="L562" t="n">
        <v>11</v>
      </c>
      <c r="M562" t="inlineStr">
        <is>
          <t>FF0B0280</t>
        </is>
      </c>
      <c r="N562" t="inlineStr">
        <is>
          <t>00000000</t>
        </is>
      </c>
      <c r="O562" t="inlineStr">
        <is>
          <t>center</t>
        </is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Cost Matrix</t>
        </is>
      </c>
      <c r="B563" t="inlineStr">
        <is>
          <t>N38</t>
        </is>
      </c>
      <c r="C563" t="n">
        <v>38</v>
      </c>
      <c r="D563" t="n">
        <v>14</v>
      </c>
      <c r="E563" t="inlineStr">
        <is>
          <t>Input</t>
        </is>
      </c>
      <c r="F563" t="n">
        <v/>
      </c>
      <c r="G563" t="n">
        <v>0.017</v>
      </c>
      <c r="H563" t="inlineStr"/>
      <c r="I563" t="inlineStr">
        <is>
          <t>0.00%</t>
        </is>
      </c>
      <c r="J563" t="b">
        <v>0</v>
      </c>
      <c r="K563" t="b">
        <v>1</v>
      </c>
      <c r="L563" t="n">
        <v>11</v>
      </c>
      <c r="M563" t="inlineStr">
        <is>
          <t>FF0B0280</t>
        </is>
      </c>
      <c r="N563" t="inlineStr">
        <is>
          <t>00000000</t>
        </is>
      </c>
      <c r="O563" t="inlineStr">
        <is>
          <t>center</t>
        </is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Cost Matrix</t>
        </is>
      </c>
      <c r="B564" t="inlineStr">
        <is>
          <t>O38</t>
        </is>
      </c>
      <c r="C564" t="n">
        <v>38</v>
      </c>
      <c r="D564" t="n">
        <v>15</v>
      </c>
      <c r="E564" t="inlineStr">
        <is>
          <t>Input</t>
        </is>
      </c>
      <c r="F564" t="n">
        <v/>
      </c>
      <c r="G564" t="n">
        <v>0.017</v>
      </c>
      <c r="H564" t="inlineStr"/>
      <c r="I564" t="inlineStr">
        <is>
          <t>0.00%</t>
        </is>
      </c>
      <c r="J564" t="b">
        <v>0</v>
      </c>
      <c r="K564" t="b">
        <v>1</v>
      </c>
      <c r="L564" t="n">
        <v>11</v>
      </c>
      <c r="M564" t="inlineStr">
        <is>
          <t>FF0B0280</t>
        </is>
      </c>
      <c r="N564" t="inlineStr">
        <is>
          <t>00000000</t>
        </is>
      </c>
      <c r="O564" t="inlineStr">
        <is>
          <t>center</t>
        </is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</row>
    <row r="565">
      <c r="A565" t="inlineStr">
        <is>
          <t>Cost Matrix</t>
        </is>
      </c>
      <c r="B565" t="inlineStr">
        <is>
          <t>A39</t>
        </is>
      </c>
      <c r="C565" t="n">
        <v>39</v>
      </c>
      <c r="D565" t="n">
        <v>1</v>
      </c>
      <c r="E565" t="inlineStr">
        <is>
          <t>Input</t>
        </is>
      </c>
      <c r="F565" t="n">
        <v/>
      </c>
      <c r="G565" t="inlineStr">
        <is>
          <t>Depreciation and
Amortization</t>
        </is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Values must be of type &lt;class 'str'&gt;</t>
        </is>
      </c>
      <c r="N565" t="inlineStr">
        <is>
          <t>00000000</t>
        </is>
      </c>
      <c r="O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Cost Matrix</t>
        </is>
      </c>
      <c r="B566" t="inlineStr">
        <is>
          <t>D39</t>
        </is>
      </c>
      <c r="C566" t="n">
        <v>39</v>
      </c>
      <c r="D566" t="n">
        <v>4</v>
      </c>
      <c r="E566" t="inlineStr">
        <is>
          <t>Input</t>
        </is>
      </c>
      <c r="F566" t="n">
        <v/>
      </c>
      <c r="G566" t="n">
        <v>628.7</v>
      </c>
      <c r="H566" t="inlineStr"/>
      <c r="I566" t="inlineStr">
        <is>
          <t>#,##0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00000000</t>
        </is>
      </c>
      <c r="O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</row>
    <row r="567">
      <c r="A567" t="inlineStr">
        <is>
          <t>Cost Matrix</t>
        </is>
      </c>
      <c r="B567" t="inlineStr">
        <is>
          <t>E39</t>
        </is>
      </c>
      <c r="C567" t="n">
        <v>39</v>
      </c>
      <c r="D567" t="n">
        <v>5</v>
      </c>
      <c r="E567" t="inlineStr">
        <is>
          <t>Input</t>
        </is>
      </c>
      <c r="F567" t="n">
        <v/>
      </c>
      <c r="G567" t="n">
        <v>665.23</v>
      </c>
      <c r="H567" t="inlineStr"/>
      <c r="I567" t="inlineStr">
        <is>
          <t>#,##0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00000000</t>
        </is>
      </c>
      <c r="O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Cost Matrix</t>
        </is>
      </c>
      <c r="B568" t="inlineStr">
        <is>
          <t>F39</t>
        </is>
      </c>
      <c r="C568" t="n">
        <v>39</v>
      </c>
      <c r="D568" t="n">
        <v>6</v>
      </c>
      <c r="E568" t="inlineStr">
        <is>
          <t>Input</t>
        </is>
      </c>
      <c r="F568" t="n">
        <v/>
      </c>
      <c r="G568" t="n">
        <v>856.2</v>
      </c>
      <c r="H568" t="inlineStr"/>
      <c r="I568" t="inlineStr">
        <is>
          <t>#,##0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00000000</t>
        </is>
      </c>
      <c r="O568" t="n">
        <v/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Cost Matrix</t>
        </is>
      </c>
      <c r="B569" t="inlineStr">
        <is>
          <t>G39</t>
        </is>
      </c>
      <c r="C569" t="n">
        <v>39</v>
      </c>
      <c r="D569" t="n">
        <v>7</v>
      </c>
      <c r="E569" t="inlineStr">
        <is>
          <t>Input</t>
        </is>
      </c>
      <c r="F569" t="n">
        <v/>
      </c>
      <c r="G569" t="n">
        <v>2260.08</v>
      </c>
      <c r="H569" t="inlineStr"/>
      <c r="I569" t="inlineStr">
        <is>
          <t>#,##0</t>
        </is>
      </c>
      <c r="J569" t="b">
        <v>0</v>
      </c>
      <c r="K569" t="b">
        <v>0</v>
      </c>
      <c r="L569" t="n">
        <v>11</v>
      </c>
      <c r="M569" t="inlineStr">
        <is>
          <t>Values must be of type &lt;class 'str'&gt;</t>
        </is>
      </c>
      <c r="N569" t="inlineStr">
        <is>
          <t>00000000</t>
        </is>
      </c>
      <c r="O569" t="n">
        <v/>
      </c>
      <c r="R569" t="b">
        <v>1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</row>
    <row r="570">
      <c r="A570" t="inlineStr">
        <is>
          <t>Cost Matrix</t>
        </is>
      </c>
      <c r="B570" t="inlineStr">
        <is>
          <t>H39</t>
        </is>
      </c>
      <c r="C570" t="n">
        <v>39</v>
      </c>
      <c r="D570" t="n">
        <v>8</v>
      </c>
      <c r="E570" t="inlineStr">
        <is>
          <t>Input</t>
        </is>
      </c>
      <c r="F570" t="n">
        <v/>
      </c>
      <c r="G570" t="n">
        <v>3022.14</v>
      </c>
      <c r="H570" t="inlineStr"/>
      <c r="I570" t="inlineStr">
        <is>
          <t>#,##0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n">
        <v/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</row>
    <row r="571">
      <c r="A571" t="inlineStr">
        <is>
          <t>Cost Matrix</t>
        </is>
      </c>
      <c r="B571" t="inlineStr">
        <is>
          <t>I39</t>
        </is>
      </c>
      <c r="C571" t="n">
        <v>39</v>
      </c>
      <c r="D571" t="n">
        <v>9</v>
      </c>
      <c r="E571" t="inlineStr">
        <is>
          <t>Input</t>
        </is>
      </c>
      <c r="F571" t="n">
        <v/>
      </c>
      <c r="G571" t="n">
        <v>5054.68</v>
      </c>
      <c r="H571" t="inlineStr"/>
      <c r="I571" t="inlineStr">
        <is>
          <t>#,##0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n">
        <v/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</row>
    <row r="572">
      <c r="A572" t="inlineStr">
        <is>
          <t>Cost Matrix</t>
        </is>
      </c>
      <c r="B572" t="inlineStr">
        <is>
          <t>J39</t>
        </is>
      </c>
      <c r="C572" t="n">
        <v>39</v>
      </c>
      <c r="D572" t="n">
        <v>10</v>
      </c>
      <c r="E572" t="inlineStr">
        <is>
          <t>Input</t>
        </is>
      </c>
      <c r="F572" t="n">
        <v/>
      </c>
      <c r="G572" t="n">
        <v>4572.53</v>
      </c>
      <c r="H572" t="inlineStr"/>
      <c r="I572" t="inlineStr">
        <is>
          <t>#,##0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00000000</t>
        </is>
      </c>
      <c r="O572" t="n">
        <v/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</row>
    <row r="573">
      <c r="A573" t="inlineStr">
        <is>
          <t>Cost Matrix</t>
        </is>
      </c>
      <c r="B573" t="inlineStr">
        <is>
          <t>K39</t>
        </is>
      </c>
      <c r="C573" t="n">
        <v>39</v>
      </c>
      <c r="D573" t="n">
        <v>11</v>
      </c>
      <c r="E573" t="inlineStr">
        <is>
          <t>Calculation</t>
        </is>
      </c>
      <c r="F573" t="inlineStr">
        <is>
          <t>'=K40*K$25</t>
        </is>
      </c>
      <c r="G573" t="n">
        <v>5806.164687365691</v>
      </c>
      <c r="H573" t="inlineStr"/>
      <c r="I573" t="inlineStr">
        <is>
          <t>#,##0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00000000</t>
        </is>
      </c>
      <c r="O573" t="n">
        <v/>
      </c>
      <c r="R573" t="b">
        <v>1</v>
      </c>
      <c r="S573" t="inlineStr">
        <is>
          <t>G000132</t>
        </is>
      </c>
      <c r="T573" t="inlineStr">
        <is>
          <t>Horizontal</t>
        </is>
      </c>
      <c r="U573" t="n">
        <v>5</v>
      </c>
      <c r="V573" t="b">
        <v>1</v>
      </c>
      <c r="W573" t="inlineStr">
        <is>
          <t>Cost Matrix!K39:O39</t>
        </is>
      </c>
      <c r="X573">
        <f>R[1]C[0]*R25C[0]</f>
        <v/>
      </c>
    </row>
    <row r="574">
      <c r="A574" t="inlineStr">
        <is>
          <t>Cost Matrix</t>
        </is>
      </c>
      <c r="B574" t="inlineStr">
        <is>
          <t>L39</t>
        </is>
      </c>
      <c r="C574" t="n">
        <v>39</v>
      </c>
      <c r="D574" t="n">
        <v>12</v>
      </c>
      <c r="E574" t="inlineStr">
        <is>
          <t>Calculation</t>
        </is>
      </c>
      <c r="F574" t="inlineStr">
        <is>
          <t>'=L40*L$25</t>
        </is>
      </c>
      <c r="G574" t="n">
        <v>7079.349130087217</v>
      </c>
      <c r="H574" t="inlineStr"/>
      <c r="I574" t="inlineStr">
        <is>
          <t>#,##0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00000000</t>
        </is>
      </c>
      <c r="O574" t="n">
        <v/>
      </c>
      <c r="R574" t="b">
        <v>1</v>
      </c>
      <c r="S574" t="inlineStr">
        <is>
          <t>G000132</t>
        </is>
      </c>
      <c r="T574" t="inlineStr">
        <is>
          <t>Horizontal</t>
        </is>
      </c>
      <c r="U574" t="n">
        <v>5</v>
      </c>
      <c r="V574" t="b">
        <v>1</v>
      </c>
      <c r="W574" t="inlineStr">
        <is>
          <t>Cost Matrix!K39:O39</t>
        </is>
      </c>
      <c r="X574">
        <f>R[1]C[0]*R25C[0]</f>
        <v/>
      </c>
    </row>
    <row r="575">
      <c r="A575" t="inlineStr">
        <is>
          <t>Cost Matrix</t>
        </is>
      </c>
      <c r="B575" t="inlineStr">
        <is>
          <t>M39</t>
        </is>
      </c>
      <c r="C575" t="n">
        <v>39</v>
      </c>
      <c r="D575" t="n">
        <v>13</v>
      </c>
      <c r="E575" t="inlineStr">
        <is>
          <t>Calculation</t>
        </is>
      </c>
      <c r="F575" t="inlineStr">
        <is>
          <t>'=M40*M$25</t>
        </is>
      </c>
      <c r="G575" t="n">
        <v>8587.427584264517</v>
      </c>
      <c r="H575" t="inlineStr"/>
      <c r="I575" t="inlineStr">
        <is>
          <t>#,##0</t>
        </is>
      </c>
      <c r="J575" t="b">
        <v>0</v>
      </c>
      <c r="K575" t="b">
        <v>0</v>
      </c>
      <c r="L575" t="n">
        <v>11</v>
      </c>
      <c r="M575" t="inlineStr">
        <is>
          <t>Values must be of type &lt;class 'str'&gt;</t>
        </is>
      </c>
      <c r="N575" t="inlineStr">
        <is>
          <t>00000000</t>
        </is>
      </c>
      <c r="O575" t="n">
        <v/>
      </c>
      <c r="R575" t="b">
        <v>1</v>
      </c>
      <c r="S575" t="inlineStr">
        <is>
          <t>G000132</t>
        </is>
      </c>
      <c r="T575" t="inlineStr">
        <is>
          <t>Horizontal</t>
        </is>
      </c>
      <c r="U575" t="n">
        <v>5</v>
      </c>
      <c r="V575" t="b">
        <v>1</v>
      </c>
      <c r="W575" t="inlineStr">
        <is>
          <t>Cost Matrix!K39:O39</t>
        </is>
      </c>
      <c r="X575">
        <f>R[1]C[0]*R25C[0]</f>
        <v/>
      </c>
    </row>
    <row r="576">
      <c r="A576" t="inlineStr">
        <is>
          <t>Cost Matrix</t>
        </is>
      </c>
      <c r="B576" t="inlineStr">
        <is>
          <t>N39</t>
        </is>
      </c>
      <c r="C576" t="n">
        <v>39</v>
      </c>
      <c r="D576" t="n">
        <v>14</v>
      </c>
      <c r="E576" t="inlineStr">
        <is>
          <t>Calculation</t>
        </is>
      </c>
      <c r="F576" t="inlineStr">
        <is>
          <t>'=N40*N$25</t>
        </is>
      </c>
      <c r="G576" t="n">
        <v>10407.85223461093</v>
      </c>
      <c r="H576" t="inlineStr"/>
      <c r="I576" t="inlineStr">
        <is>
          <t>#,##0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00000000</t>
        </is>
      </c>
      <c r="O576" t="n">
        <v/>
      </c>
      <c r="R576" t="b">
        <v>1</v>
      </c>
      <c r="S576" t="inlineStr">
        <is>
          <t>G000132</t>
        </is>
      </c>
      <c r="T576" t="inlineStr">
        <is>
          <t>Horizontal</t>
        </is>
      </c>
      <c r="U576" t="n">
        <v>5</v>
      </c>
      <c r="V576" t="b">
        <v>1</v>
      </c>
      <c r="W576" t="inlineStr">
        <is>
          <t>Cost Matrix!K39:O39</t>
        </is>
      </c>
      <c r="X576">
        <f>R[1]C[0]*R25C[0]</f>
        <v/>
      </c>
    </row>
    <row r="577">
      <c r="A577" t="inlineStr">
        <is>
          <t>Cost Matrix</t>
        </is>
      </c>
      <c r="B577" t="inlineStr">
        <is>
          <t>O39</t>
        </is>
      </c>
      <c r="C577" t="n">
        <v>39</v>
      </c>
      <c r="D577" t="n">
        <v>15</v>
      </c>
      <c r="E577" t="inlineStr">
        <is>
          <t>Calculation</t>
        </is>
      </c>
      <c r="F577" t="inlineStr">
        <is>
          <t>'=O40*O$25</t>
        </is>
      </c>
      <c r="G577" t="n">
        <v>12658.1029510547</v>
      </c>
      <c r="H577" t="inlineStr"/>
      <c r="I577" t="inlineStr">
        <is>
          <t>#,##0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n">
        <v/>
      </c>
      <c r="R577" t="b">
        <v>1</v>
      </c>
      <c r="S577" t="inlineStr">
        <is>
          <t>G000132</t>
        </is>
      </c>
      <c r="T577" t="inlineStr">
        <is>
          <t>Horizontal</t>
        </is>
      </c>
      <c r="U577" t="n">
        <v>5</v>
      </c>
      <c r="V577" t="b">
        <v>1</v>
      </c>
      <c r="W577" t="inlineStr">
        <is>
          <t>Cost Matrix!K39:O39</t>
        </is>
      </c>
      <c r="X577">
        <f>R[1]C[0]*R25C[0]</f>
        <v/>
      </c>
    </row>
    <row r="578">
      <c r="A578" t="inlineStr">
        <is>
          <t>Cost Matrix</t>
        </is>
      </c>
      <c r="B578" t="inlineStr">
        <is>
          <t>D40</t>
        </is>
      </c>
      <c r="C578" t="n">
        <v>40</v>
      </c>
      <c r="D578" t="n">
        <v>4</v>
      </c>
      <c r="E578" t="inlineStr">
        <is>
          <t>Output</t>
        </is>
      </c>
      <c r="F578" t="inlineStr">
        <is>
          <t>'=D39/D$25</t>
        </is>
      </c>
      <c r="G578" t="n">
        <v>0.01593998211161116</v>
      </c>
      <c r="H578" t="inlineStr"/>
      <c r="I578" t="inlineStr">
        <is>
          <t>0.00%</t>
        </is>
      </c>
      <c r="J578" t="b">
        <v>0</v>
      </c>
      <c r="K578" t="b">
        <v>1</v>
      </c>
      <c r="L578" t="n">
        <v>11</v>
      </c>
      <c r="M578" t="inlineStr">
        <is>
          <t>FF0B0280</t>
        </is>
      </c>
      <c r="N578" t="inlineStr">
        <is>
          <t>00000000</t>
        </is>
      </c>
      <c r="O578" t="inlineStr">
        <is>
          <t>center</t>
        </is>
      </c>
      <c r="R578" t="b">
        <v>1</v>
      </c>
      <c r="S578" t="inlineStr">
        <is>
          <t>G000127</t>
        </is>
      </c>
      <c r="T578" t="inlineStr">
        <is>
          <t>Horizontal</t>
        </is>
      </c>
      <c r="U578" t="n">
        <v>7</v>
      </c>
      <c r="V578" t="b">
        <v>1</v>
      </c>
      <c r="W578" t="inlineStr">
        <is>
          <t>Cost Matrix!D40:J40</t>
        </is>
      </c>
      <c r="X578">
        <f>R[-1]C[0]/R25C[0]</f>
        <v/>
      </c>
    </row>
    <row r="579">
      <c r="A579" t="inlineStr">
        <is>
          <t>Cost Matrix</t>
        </is>
      </c>
      <c r="B579" t="inlineStr">
        <is>
          <t>E40</t>
        </is>
      </c>
      <c r="C579" t="n">
        <v>40</v>
      </c>
      <c r="D579" t="n">
        <v>5</v>
      </c>
      <c r="E579" t="inlineStr">
        <is>
          <t>Output</t>
        </is>
      </c>
      <c r="F579" t="inlineStr">
        <is>
          <t>'=E39/E$25</t>
        </is>
      </c>
      <c r="G579" t="n">
        <v>0.01165305539661571</v>
      </c>
      <c r="H579" t="inlineStr"/>
      <c r="I579" t="inlineStr">
        <is>
          <t>0.00%</t>
        </is>
      </c>
      <c r="J579" t="b">
        <v>0</v>
      </c>
      <c r="K579" t="b">
        <v>1</v>
      </c>
      <c r="L579" t="n">
        <v>11</v>
      </c>
      <c r="M579" t="inlineStr">
        <is>
          <t>FF0B0280</t>
        </is>
      </c>
      <c r="N579" t="inlineStr">
        <is>
          <t>00000000</t>
        </is>
      </c>
      <c r="O579" t="inlineStr">
        <is>
          <t>center</t>
        </is>
      </c>
      <c r="R579" t="b">
        <v>1</v>
      </c>
      <c r="S579" t="inlineStr">
        <is>
          <t>G000127</t>
        </is>
      </c>
      <c r="T579" t="inlineStr">
        <is>
          <t>Horizontal</t>
        </is>
      </c>
      <c r="U579" t="n">
        <v>7</v>
      </c>
      <c r="V579" t="b">
        <v>1</v>
      </c>
      <c r="W579" t="inlineStr">
        <is>
          <t>Cost Matrix!D40:J40</t>
        </is>
      </c>
      <c r="X579">
        <f>R[-1]C[0]/R25C[0]</f>
        <v/>
      </c>
    </row>
    <row r="580">
      <c r="A580" t="inlineStr">
        <is>
          <t>Cost Matrix</t>
        </is>
      </c>
      <c r="B580" t="inlineStr">
        <is>
          <t>F40</t>
        </is>
      </c>
      <c r="C580" t="n">
        <v>40</v>
      </c>
      <c r="D580" t="n">
        <v>6</v>
      </c>
      <c r="E580" t="inlineStr">
        <is>
          <t>Output</t>
        </is>
      </c>
      <c r="F580" t="inlineStr">
        <is>
          <t>'=F39/F$25</t>
        </is>
      </c>
      <c r="G580" t="n">
        <v>0.009069679549872077</v>
      </c>
      <c r="H580" t="inlineStr"/>
      <c r="I580" t="inlineStr">
        <is>
          <t>0.00%</t>
        </is>
      </c>
      <c r="J580" t="b">
        <v>0</v>
      </c>
      <c r="K580" t="b">
        <v>1</v>
      </c>
      <c r="L580" t="n">
        <v>11</v>
      </c>
      <c r="M580" t="inlineStr">
        <is>
          <t>FF0B0280</t>
        </is>
      </c>
      <c r="N580" t="inlineStr">
        <is>
          <t>00000000</t>
        </is>
      </c>
      <c r="O580" t="inlineStr">
        <is>
          <t>center</t>
        </is>
      </c>
      <c r="R580" t="b">
        <v>1</v>
      </c>
      <c r="S580" t="inlineStr">
        <is>
          <t>G000127</t>
        </is>
      </c>
      <c r="T580" t="inlineStr">
        <is>
          <t>Horizontal</t>
        </is>
      </c>
      <c r="U580" t="n">
        <v>7</v>
      </c>
      <c r="V580" t="b">
        <v>1</v>
      </c>
      <c r="W580" t="inlineStr">
        <is>
          <t>Cost Matrix!D40:J40</t>
        </is>
      </c>
      <c r="X580">
        <f>R[-1]C[0]/R25C[0]</f>
        <v/>
      </c>
    </row>
    <row r="581">
      <c r="A581" t="inlineStr">
        <is>
          <t>Cost Matrix</t>
        </is>
      </c>
      <c r="B581" t="inlineStr">
        <is>
          <t>G40</t>
        </is>
      </c>
      <c r="C581" t="n">
        <v>40</v>
      </c>
      <c r="D581" t="n">
        <v>7</v>
      </c>
      <c r="E581" t="inlineStr">
        <is>
          <t>Output</t>
        </is>
      </c>
      <c r="F581" t="inlineStr">
        <is>
          <t>'=G39/G$25</t>
        </is>
      </c>
      <c r="G581" t="n">
        <v>0.01976954249881797</v>
      </c>
      <c r="H581" t="inlineStr"/>
      <c r="I581" t="inlineStr">
        <is>
          <t>0.00%</t>
        </is>
      </c>
      <c r="J581" t="b">
        <v>0</v>
      </c>
      <c r="K581" t="b">
        <v>1</v>
      </c>
      <c r="L581" t="n">
        <v>11</v>
      </c>
      <c r="M581" t="inlineStr">
        <is>
          <t>FF0B0280</t>
        </is>
      </c>
      <c r="N581" t="inlineStr">
        <is>
          <t>00000000</t>
        </is>
      </c>
      <c r="O581" t="inlineStr">
        <is>
          <t>center</t>
        </is>
      </c>
      <c r="R581" t="b">
        <v>1</v>
      </c>
      <c r="S581" t="inlineStr">
        <is>
          <t>G000127</t>
        </is>
      </c>
      <c r="T581" t="inlineStr">
        <is>
          <t>Horizontal</t>
        </is>
      </c>
      <c r="U581" t="n">
        <v>7</v>
      </c>
      <c r="V581" t="b">
        <v>1</v>
      </c>
      <c r="W581" t="inlineStr">
        <is>
          <t>Cost Matrix!D40:J40</t>
        </is>
      </c>
      <c r="X581">
        <f>R[-1]C[0]/R25C[0]</f>
        <v/>
      </c>
    </row>
    <row r="582">
      <c r="A582" t="inlineStr">
        <is>
          <t>Cost Matrix</t>
        </is>
      </c>
      <c r="B582" t="inlineStr">
        <is>
          <t>H40</t>
        </is>
      </c>
      <c r="C582" t="n">
        <v>40</v>
      </c>
      <c r="D582" t="n">
        <v>8</v>
      </c>
      <c r="E582" t="inlineStr">
        <is>
          <t>Output</t>
        </is>
      </c>
      <c r="F582" t="inlineStr">
        <is>
          <t>'=H39/H$25</t>
        </is>
      </c>
      <c r="G582" t="n">
        <v>0.02110442795336709</v>
      </c>
      <c r="H582" t="inlineStr"/>
      <c r="I582" t="inlineStr">
        <is>
          <t>0.00%</t>
        </is>
      </c>
      <c r="J582" t="b">
        <v>0</v>
      </c>
      <c r="K582" t="b">
        <v>1</v>
      </c>
      <c r="L582" t="n">
        <v>11</v>
      </c>
      <c r="M582" t="inlineStr">
        <is>
          <t>FF0B0280</t>
        </is>
      </c>
      <c r="N582" t="inlineStr">
        <is>
          <t>00000000</t>
        </is>
      </c>
      <c r="O582" t="inlineStr">
        <is>
          <t>center</t>
        </is>
      </c>
      <c r="R582" t="b">
        <v>1</v>
      </c>
      <c r="S582" t="inlineStr">
        <is>
          <t>G000127</t>
        </is>
      </c>
      <c r="T582" t="inlineStr">
        <is>
          <t>Horizontal</t>
        </is>
      </c>
      <c r="U582" t="n">
        <v>7</v>
      </c>
      <c r="V582" t="b">
        <v>1</v>
      </c>
      <c r="W582" t="inlineStr">
        <is>
          <t>Cost Matrix!D40:J40</t>
        </is>
      </c>
      <c r="X582">
        <f>R[-1]C[0]/R25C[0]</f>
        <v/>
      </c>
    </row>
    <row r="583">
      <c r="A583" t="inlineStr">
        <is>
          <t>Cost Matrix</t>
        </is>
      </c>
      <c r="B583" t="inlineStr">
        <is>
          <t>I40</t>
        </is>
      </c>
      <c r="C583" t="n">
        <v>40</v>
      </c>
      <c r="D583" t="n">
        <v>9</v>
      </c>
      <c r="E583" t="inlineStr">
        <is>
          <t>Output</t>
        </is>
      </c>
      <c r="F583" t="inlineStr">
        <is>
          <t>'=I39/I$25</t>
        </is>
      </c>
      <c r="G583" t="n">
        <v>0.03044746798083037</v>
      </c>
      <c r="H583" t="inlineStr"/>
      <c r="I583" t="inlineStr">
        <is>
          <t>0.00%</t>
        </is>
      </c>
      <c r="J583" t="b">
        <v>0</v>
      </c>
      <c r="K583" t="b">
        <v>1</v>
      </c>
      <c r="L583" t="n">
        <v>11</v>
      </c>
      <c r="M583" t="inlineStr">
        <is>
          <t>FF0B0280</t>
        </is>
      </c>
      <c r="N583" t="inlineStr">
        <is>
          <t>00000000</t>
        </is>
      </c>
      <c r="O583" t="inlineStr">
        <is>
          <t>center</t>
        </is>
      </c>
      <c r="R583" t="b">
        <v>1</v>
      </c>
      <c r="S583" t="inlineStr">
        <is>
          <t>G000127</t>
        </is>
      </c>
      <c r="T583" t="inlineStr">
        <is>
          <t>Horizontal</t>
        </is>
      </c>
      <c r="U583" t="n">
        <v>7</v>
      </c>
      <c r="V583" t="b">
        <v>1</v>
      </c>
      <c r="W583" t="inlineStr">
        <is>
          <t>Cost Matrix!D40:J40</t>
        </is>
      </c>
      <c r="X583">
        <f>R[-1]C[0]/R25C[0]</f>
        <v/>
      </c>
    </row>
    <row r="584">
      <c r="A584" t="inlineStr">
        <is>
          <t>Cost Matrix</t>
        </is>
      </c>
      <c r="B584" t="inlineStr">
        <is>
          <t>J40</t>
        </is>
      </c>
      <c r="C584" t="n">
        <v>40</v>
      </c>
      <c r="D584" t="n">
        <v>10</v>
      </c>
      <c r="E584" t="inlineStr">
        <is>
          <t>Output</t>
        </is>
      </c>
      <c r="F584" t="inlineStr">
        <is>
          <t>'=J39/J$25</t>
        </is>
      </c>
      <c r="G584" t="n">
        <v>0.02360671389212517</v>
      </c>
      <c r="H584" t="inlineStr"/>
      <c r="I584" t="inlineStr">
        <is>
          <t>0.00%</t>
        </is>
      </c>
      <c r="J584" t="b">
        <v>0</v>
      </c>
      <c r="K584" t="b">
        <v>1</v>
      </c>
      <c r="L584" t="n">
        <v>11</v>
      </c>
      <c r="M584" t="inlineStr">
        <is>
          <t>FF0B0280</t>
        </is>
      </c>
      <c r="N584" t="inlineStr">
        <is>
          <t>00000000</t>
        </is>
      </c>
      <c r="O584" t="inlineStr">
        <is>
          <t>center</t>
        </is>
      </c>
      <c r="R584" t="b">
        <v>1</v>
      </c>
      <c r="S584" t="inlineStr">
        <is>
          <t>G000127</t>
        </is>
      </c>
      <c r="T584" t="inlineStr">
        <is>
          <t>Horizontal</t>
        </is>
      </c>
      <c r="U584" t="n">
        <v>7</v>
      </c>
      <c r="V584" t="b">
        <v>1</v>
      </c>
      <c r="W584" t="inlineStr">
        <is>
          <t>Cost Matrix!D40:J40</t>
        </is>
      </c>
      <c r="X584">
        <f>R[-1]C[0]/R25C[0]</f>
        <v/>
      </c>
    </row>
    <row r="585">
      <c r="A585" t="inlineStr">
        <is>
          <t>Cost Matrix</t>
        </is>
      </c>
      <c r="B585" t="inlineStr">
        <is>
          <t>K40</t>
        </is>
      </c>
      <c r="C585" t="n">
        <v>40</v>
      </c>
      <c r="D585" t="n">
        <v>11</v>
      </c>
      <c r="E585" t="inlineStr">
        <is>
          <t>Input</t>
        </is>
      </c>
      <c r="F585" t="n">
        <v/>
      </c>
      <c r="G585" t="n">
        <v>0.025</v>
      </c>
      <c r="H585" t="inlineStr"/>
      <c r="I585" t="inlineStr">
        <is>
          <t>0.00%</t>
        </is>
      </c>
      <c r="J585" t="b">
        <v>0</v>
      </c>
      <c r="K585" t="b">
        <v>1</v>
      </c>
      <c r="L585" t="n">
        <v>11</v>
      </c>
      <c r="M585" t="inlineStr">
        <is>
          <t>FF0B0280</t>
        </is>
      </c>
      <c r="N585" t="inlineStr">
        <is>
          <t>00000000</t>
        </is>
      </c>
      <c r="O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</row>
    <row r="586">
      <c r="A586" t="inlineStr">
        <is>
          <t>Cost Matrix</t>
        </is>
      </c>
      <c r="B586" t="inlineStr">
        <is>
          <t>L40</t>
        </is>
      </c>
      <c r="C586" t="n">
        <v>40</v>
      </c>
      <c r="D586" t="n">
        <v>12</v>
      </c>
      <c r="E586" t="inlineStr">
        <is>
          <t>Input</t>
        </is>
      </c>
      <c r="F586" t="n">
        <v/>
      </c>
      <c r="G586" t="n">
        <v>0.025</v>
      </c>
      <c r="H586" t="inlineStr"/>
      <c r="I586" t="inlineStr">
        <is>
          <t>0.00%</t>
        </is>
      </c>
      <c r="J586" t="b">
        <v>0</v>
      </c>
      <c r="K586" t="b">
        <v>1</v>
      </c>
      <c r="L586" t="n">
        <v>11</v>
      </c>
      <c r="M586" t="inlineStr">
        <is>
          <t>FF0B0280</t>
        </is>
      </c>
      <c r="N586" t="inlineStr">
        <is>
          <t>00000000</t>
        </is>
      </c>
      <c r="O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</row>
    <row r="587">
      <c r="A587" t="inlineStr">
        <is>
          <t>Cost Matrix</t>
        </is>
      </c>
      <c r="B587" t="inlineStr">
        <is>
          <t>M40</t>
        </is>
      </c>
      <c r="C587" t="n">
        <v>40</v>
      </c>
      <c r="D587" t="n">
        <v>13</v>
      </c>
      <c r="E587" t="inlineStr">
        <is>
          <t>Input</t>
        </is>
      </c>
      <c r="F587" t="n">
        <v/>
      </c>
      <c r="G587" t="n">
        <v>0.025</v>
      </c>
      <c r="H587" t="inlineStr"/>
      <c r="I587" t="inlineStr">
        <is>
          <t>0.00%</t>
        </is>
      </c>
      <c r="J587" t="b">
        <v>0</v>
      </c>
      <c r="K587" t="b">
        <v>1</v>
      </c>
      <c r="L587" t="n">
        <v>11</v>
      </c>
      <c r="M587" t="inlineStr">
        <is>
          <t>FF0B0280</t>
        </is>
      </c>
      <c r="N587" t="inlineStr">
        <is>
          <t>00000000</t>
        </is>
      </c>
      <c r="O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</row>
    <row r="588">
      <c r="A588" t="inlineStr">
        <is>
          <t>Cost Matrix</t>
        </is>
      </c>
      <c r="B588" t="inlineStr">
        <is>
          <t>N40</t>
        </is>
      </c>
      <c r="C588" t="n">
        <v>40</v>
      </c>
      <c r="D588" t="n">
        <v>14</v>
      </c>
      <c r="E588" t="inlineStr">
        <is>
          <t>Input</t>
        </is>
      </c>
      <c r="F588" t="n">
        <v/>
      </c>
      <c r="G588" t="n">
        <v>0.025</v>
      </c>
      <c r="H588" t="inlineStr"/>
      <c r="I588" t="inlineStr">
        <is>
          <t>0.00%</t>
        </is>
      </c>
      <c r="J588" t="b">
        <v>0</v>
      </c>
      <c r="K588" t="b">
        <v>1</v>
      </c>
      <c r="L588" t="n">
        <v>11</v>
      </c>
      <c r="M588" t="inlineStr">
        <is>
          <t>FF0B0280</t>
        </is>
      </c>
      <c r="N588" t="inlineStr">
        <is>
          <t>00000000</t>
        </is>
      </c>
      <c r="O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</row>
    <row r="589">
      <c r="A589" t="inlineStr">
        <is>
          <t>Cost Matrix</t>
        </is>
      </c>
      <c r="B589" t="inlineStr">
        <is>
          <t>O40</t>
        </is>
      </c>
      <c r="C589" t="n">
        <v>40</v>
      </c>
      <c r="D589" t="n">
        <v>15</v>
      </c>
      <c r="E589" t="inlineStr">
        <is>
          <t>Input</t>
        </is>
      </c>
      <c r="F589" t="n">
        <v/>
      </c>
      <c r="G589" t="n">
        <v>0.025</v>
      </c>
      <c r="H589" t="inlineStr"/>
      <c r="I589" t="inlineStr">
        <is>
          <t>0.00%</t>
        </is>
      </c>
      <c r="J589" t="b">
        <v>0</v>
      </c>
      <c r="K589" t="b">
        <v>1</v>
      </c>
      <c r="L589" t="n">
        <v>11</v>
      </c>
      <c r="M589" t="inlineStr">
        <is>
          <t>FF0B0280</t>
        </is>
      </c>
      <c r="N589" t="inlineStr">
        <is>
          <t>00000000</t>
        </is>
      </c>
      <c r="O589" t="inlineStr">
        <is>
          <t>center</t>
        </is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</row>
    <row r="590">
      <c r="A590" t="inlineStr">
        <is>
          <t>Cost Matrix</t>
        </is>
      </c>
      <c r="B590" t="inlineStr">
        <is>
          <t>A41</t>
        </is>
      </c>
      <c r="C590" t="n">
        <v>41</v>
      </c>
      <c r="D590" t="n">
        <v>1</v>
      </c>
      <c r="E590" t="inlineStr">
        <is>
          <t>Input</t>
        </is>
      </c>
      <c r="F590" t="n">
        <v/>
      </c>
      <c r="G590" t="inlineStr">
        <is>
          <t>Other Expenses</t>
        </is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00000000</t>
        </is>
      </c>
      <c r="O590" t="n">
        <v/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</row>
    <row r="591">
      <c r="A591" t="inlineStr">
        <is>
          <t>Cost Matrix</t>
        </is>
      </c>
      <c r="B591" t="inlineStr">
        <is>
          <t>D41</t>
        </is>
      </c>
      <c r="C591" t="n">
        <v>41</v>
      </c>
      <c r="D591" t="n">
        <v>4</v>
      </c>
      <c r="E591" t="inlineStr">
        <is>
          <t>Calculation</t>
        </is>
      </c>
      <c r="F591" t="inlineStr">
        <is>
          <t>'='Assumptions Sheet'!D73</t>
        </is>
      </c>
      <c r="G591" t="n">
        <v>8783.720000000001</v>
      </c>
      <c r="H591" t="inlineStr"/>
      <c r="I591" t="inlineStr">
        <is>
          <t>#,##0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00000000</t>
        </is>
      </c>
      <c r="O591" t="n">
        <v/>
      </c>
      <c r="R591" t="b">
        <v>1</v>
      </c>
      <c r="S591" t="inlineStr">
        <is>
          <t>G000142</t>
        </is>
      </c>
      <c r="T591" t="inlineStr">
        <is>
          <t>Horizontal</t>
        </is>
      </c>
      <c r="U591" t="n">
        <v>7</v>
      </c>
      <c r="V591" t="b">
        <v>1</v>
      </c>
      <c r="W591" t="inlineStr">
        <is>
          <t>Cost Matrix!D41:J41</t>
        </is>
      </c>
      <c r="X591">
        <f>'Assumptions Sheet'!R[32]C[0]</f>
        <v/>
      </c>
    </row>
    <row r="592">
      <c r="A592" t="inlineStr">
        <is>
          <t>Cost Matrix</t>
        </is>
      </c>
      <c r="B592" t="inlineStr">
        <is>
          <t>E41</t>
        </is>
      </c>
      <c r="C592" t="n">
        <v>41</v>
      </c>
      <c r="D592" t="n">
        <v>5</v>
      </c>
      <c r="E592" t="inlineStr">
        <is>
          <t>Calculation</t>
        </is>
      </c>
      <c r="F592" t="inlineStr">
        <is>
          <t>'='Assumptions Sheet'!E73</t>
        </is>
      </c>
      <c r="G592" t="n">
        <v>12961.04</v>
      </c>
      <c r="H592" t="inlineStr"/>
      <c r="I592" t="inlineStr">
        <is>
          <t>#,##0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00000000</t>
        </is>
      </c>
      <c r="O592" t="n">
        <v/>
      </c>
      <c r="R592" t="b">
        <v>1</v>
      </c>
      <c r="S592" t="inlineStr">
        <is>
          <t>G000142</t>
        </is>
      </c>
      <c r="T592" t="inlineStr">
        <is>
          <t>Horizontal</t>
        </is>
      </c>
      <c r="U592" t="n">
        <v>7</v>
      </c>
      <c r="V592" t="b">
        <v>1</v>
      </c>
      <c r="W592" t="inlineStr">
        <is>
          <t>Cost Matrix!D41:J41</t>
        </is>
      </c>
      <c r="X592">
        <f>'Assumptions Sheet'!R[32]C[0]</f>
        <v/>
      </c>
    </row>
    <row r="593">
      <c r="A593" t="inlineStr">
        <is>
          <t>Cost Matrix</t>
        </is>
      </c>
      <c r="B593" t="inlineStr">
        <is>
          <t>F41</t>
        </is>
      </c>
      <c r="C593" t="n">
        <v>41</v>
      </c>
      <c r="D593" t="n">
        <v>6</v>
      </c>
      <c r="E593" t="inlineStr">
        <is>
          <t>Calculation</t>
        </is>
      </c>
      <c r="F593" t="inlineStr">
        <is>
          <t>'='Assumptions Sheet'!F73</t>
        </is>
      </c>
      <c r="G593" t="n">
        <v>18961.4</v>
      </c>
      <c r="H593" t="inlineStr"/>
      <c r="I593" t="inlineStr">
        <is>
          <t>#,##0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n">
        <v/>
      </c>
      <c r="R593" t="b">
        <v>1</v>
      </c>
      <c r="S593" t="inlineStr">
        <is>
          <t>G000142</t>
        </is>
      </c>
      <c r="T593" t="inlineStr">
        <is>
          <t>Horizontal</t>
        </is>
      </c>
      <c r="U593" t="n">
        <v>7</v>
      </c>
      <c r="V593" t="b">
        <v>1</v>
      </c>
      <c r="W593" t="inlineStr">
        <is>
          <t>Cost Matrix!D41:J41</t>
        </is>
      </c>
      <c r="X593">
        <f>'Assumptions Sheet'!R[32]C[0]</f>
        <v/>
      </c>
    </row>
    <row r="594">
      <c r="A594" t="inlineStr">
        <is>
          <t>Cost Matrix</t>
        </is>
      </c>
      <c r="B594" t="inlineStr">
        <is>
          <t>G41</t>
        </is>
      </c>
      <c r="C594" t="n">
        <v>41</v>
      </c>
      <c r="D594" t="n">
        <v>7</v>
      </c>
      <c r="E594" t="inlineStr">
        <is>
          <t>Calculation</t>
        </is>
      </c>
      <c r="F594" t="inlineStr">
        <is>
          <t>'='Assumptions Sheet'!G73</t>
        </is>
      </c>
      <c r="G594" t="n">
        <v>24471.95</v>
      </c>
      <c r="H594" t="inlineStr"/>
      <c r="I594" t="inlineStr">
        <is>
          <t>#,##0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00000000</t>
        </is>
      </c>
      <c r="O594" t="n">
        <v/>
      </c>
      <c r="R594" t="b">
        <v>1</v>
      </c>
      <c r="S594" t="inlineStr">
        <is>
          <t>G000142</t>
        </is>
      </c>
      <c r="T594" t="inlineStr">
        <is>
          <t>Horizontal</t>
        </is>
      </c>
      <c r="U594" t="n">
        <v>7</v>
      </c>
      <c r="V594" t="b">
        <v>1</v>
      </c>
      <c r="W594" t="inlineStr">
        <is>
          <t>Cost Matrix!D41:J41</t>
        </is>
      </c>
      <c r="X594">
        <f>'Assumptions Sheet'!R[32]C[0]</f>
        <v/>
      </c>
    </row>
    <row r="595">
      <c r="A595" t="inlineStr">
        <is>
          <t>Cost Matrix</t>
        </is>
      </c>
      <c r="B595" t="inlineStr">
        <is>
          <t>H41</t>
        </is>
      </c>
      <c r="C595" t="n">
        <v>41</v>
      </c>
      <c r="D595" t="n">
        <v>8</v>
      </c>
      <c r="E595" t="inlineStr">
        <is>
          <t>Calculation</t>
        </is>
      </c>
      <c r="F595" t="inlineStr">
        <is>
          <t>'='Assumptions Sheet'!H73</t>
        </is>
      </c>
      <c r="G595" t="n">
        <v>30876.97</v>
      </c>
      <c r="H595" t="inlineStr"/>
      <c r="I595" t="inlineStr">
        <is>
          <t>#,##0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00000000</t>
        </is>
      </c>
      <c r="O595" t="n">
        <v/>
      </c>
      <c r="R595" t="b">
        <v>1</v>
      </c>
      <c r="S595" t="inlineStr">
        <is>
          <t>G000142</t>
        </is>
      </c>
      <c r="T595" t="inlineStr">
        <is>
          <t>Horizontal</t>
        </is>
      </c>
      <c r="U595" t="n">
        <v>7</v>
      </c>
      <c r="V595" t="b">
        <v>1</v>
      </c>
      <c r="W595" t="inlineStr">
        <is>
          <t>Cost Matrix!D41:J41</t>
        </is>
      </c>
      <c r="X595">
        <f>'Assumptions Sheet'!R[32]C[0]</f>
        <v/>
      </c>
    </row>
    <row r="596">
      <c r="A596" t="inlineStr">
        <is>
          <t>Cost Matrix</t>
        </is>
      </c>
      <c r="B596" t="inlineStr">
        <is>
          <t>I41</t>
        </is>
      </c>
      <c r="C596" t="n">
        <v>41</v>
      </c>
      <c r="D596" t="n">
        <v>9</v>
      </c>
      <c r="E596" t="inlineStr">
        <is>
          <t>Calculation</t>
        </is>
      </c>
      <c r="F596" t="inlineStr">
        <is>
          <t>'='Assumptions Sheet'!I73</t>
        </is>
      </c>
      <c r="G596" t="n">
        <v>38393.71</v>
      </c>
      <c r="H596" t="inlineStr"/>
      <c r="I596" t="inlineStr">
        <is>
          <t>#,##0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n">
        <v/>
      </c>
      <c r="R596" t="b">
        <v>1</v>
      </c>
      <c r="S596" t="inlineStr">
        <is>
          <t>G000142</t>
        </is>
      </c>
      <c r="T596" t="inlineStr">
        <is>
          <t>Horizontal</t>
        </is>
      </c>
      <c r="U596" t="n">
        <v>7</v>
      </c>
      <c r="V596" t="b">
        <v>1</v>
      </c>
      <c r="W596" t="inlineStr">
        <is>
          <t>Cost Matrix!D41:J41</t>
        </is>
      </c>
      <c r="X596">
        <f>'Assumptions Sheet'!R[32]C[0]</f>
        <v/>
      </c>
    </row>
    <row r="597">
      <c r="A597" t="inlineStr">
        <is>
          <t>Cost Matrix</t>
        </is>
      </c>
      <c r="B597" t="inlineStr">
        <is>
          <t>J41</t>
        </is>
      </c>
      <c r="C597" t="n">
        <v>41</v>
      </c>
      <c r="D597" t="n">
        <v>10</v>
      </c>
      <c r="E597" t="inlineStr">
        <is>
          <t>Calculation</t>
        </is>
      </c>
      <c r="F597" t="inlineStr">
        <is>
          <t>'='Assumptions Sheet'!J73</t>
        </is>
      </c>
      <c r="G597" t="n">
        <v>47985.83</v>
      </c>
      <c r="H597" t="inlineStr"/>
      <c r="I597" t="inlineStr">
        <is>
          <t>#,##0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n">
        <v/>
      </c>
      <c r="R597" t="b">
        <v>1</v>
      </c>
      <c r="S597" t="inlineStr">
        <is>
          <t>G000142</t>
        </is>
      </c>
      <c r="T597" t="inlineStr">
        <is>
          <t>Horizontal</t>
        </is>
      </c>
      <c r="U597" t="n">
        <v>7</v>
      </c>
      <c r="V597" t="b">
        <v>1</v>
      </c>
      <c r="W597" t="inlineStr">
        <is>
          <t>Cost Matrix!D41:J41</t>
        </is>
      </c>
      <c r="X597">
        <f>'Assumptions Sheet'!R[32]C[0]</f>
        <v/>
      </c>
    </row>
    <row r="598">
      <c r="A598" t="inlineStr">
        <is>
          <t>Cost Matrix</t>
        </is>
      </c>
      <c r="B598" t="inlineStr">
        <is>
          <t>K41</t>
        </is>
      </c>
      <c r="C598" t="n">
        <v>41</v>
      </c>
      <c r="D598" t="n">
        <v>11</v>
      </c>
      <c r="E598" t="inlineStr">
        <is>
          <t>Calculation</t>
        </is>
      </c>
      <c r="F598" t="inlineStr">
        <is>
          <t>'=K42*K$25</t>
        </is>
      </c>
      <c r="G598" t="n">
        <v>51094.24924881808</v>
      </c>
      <c r="H598" t="inlineStr"/>
      <c r="I598" t="inlineStr">
        <is>
          <t>#,##0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n">
        <v/>
      </c>
      <c r="R598" t="b">
        <v>1</v>
      </c>
      <c r="S598" t="inlineStr">
        <is>
          <t>G000133</t>
        </is>
      </c>
      <c r="T598" t="inlineStr">
        <is>
          <t>Horizontal</t>
        </is>
      </c>
      <c r="U598" t="n">
        <v>5</v>
      </c>
      <c r="V598" t="b">
        <v>1</v>
      </c>
      <c r="W598" t="inlineStr">
        <is>
          <t>Cost Matrix!K41:O41</t>
        </is>
      </c>
      <c r="X598">
        <f>R[1]C[0]*R25C[0]</f>
        <v/>
      </c>
    </row>
    <row r="599">
      <c r="A599" t="inlineStr">
        <is>
          <t>Cost Matrix</t>
        </is>
      </c>
      <c r="B599" t="inlineStr">
        <is>
          <t>L41</t>
        </is>
      </c>
      <c r="C599" t="n">
        <v>41</v>
      </c>
      <c r="D599" t="n">
        <v>12</v>
      </c>
      <c r="E599" t="inlineStr">
        <is>
          <t>Calculation</t>
        </is>
      </c>
      <c r="F599" t="inlineStr">
        <is>
          <t>'=L42*L$25</t>
        </is>
      </c>
      <c r="G599" t="n">
        <v>62298.2723447675</v>
      </c>
      <c r="H599" t="inlineStr"/>
      <c r="I599" t="inlineStr">
        <is>
          <t>#,##0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n">
        <v/>
      </c>
      <c r="R599" t="b">
        <v>1</v>
      </c>
      <c r="S599" t="inlineStr">
        <is>
          <t>G000133</t>
        </is>
      </c>
      <c r="T599" t="inlineStr">
        <is>
          <t>Horizontal</t>
        </is>
      </c>
      <c r="U599" t="n">
        <v>5</v>
      </c>
      <c r="V599" t="b">
        <v>1</v>
      </c>
      <c r="W599" t="inlineStr">
        <is>
          <t>Cost Matrix!K41:O41</t>
        </is>
      </c>
      <c r="X599">
        <f>R[1]C[0]*R25C[0]</f>
        <v/>
      </c>
    </row>
    <row r="600">
      <c r="A600" t="inlineStr">
        <is>
          <t>Cost Matrix</t>
        </is>
      </c>
      <c r="B600" t="inlineStr">
        <is>
          <t>M41</t>
        </is>
      </c>
      <c r="C600" t="n">
        <v>41</v>
      </c>
      <c r="D600" t="n">
        <v>13</v>
      </c>
      <c r="E600" t="inlineStr">
        <is>
          <t>Calculation</t>
        </is>
      </c>
      <c r="F600" t="inlineStr">
        <is>
          <t>'=M42*M$25</t>
        </is>
      </c>
      <c r="G600" t="n">
        <v>75569.36274152774</v>
      </c>
      <c r="H600" t="inlineStr"/>
      <c r="I600" t="inlineStr">
        <is>
          <t>#,##0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R600" t="b">
        <v>1</v>
      </c>
      <c r="S600" t="inlineStr">
        <is>
          <t>G000133</t>
        </is>
      </c>
      <c r="T600" t="inlineStr">
        <is>
          <t>Horizontal</t>
        </is>
      </c>
      <c r="U600" t="n">
        <v>5</v>
      </c>
      <c r="V600" t="b">
        <v>1</v>
      </c>
      <c r="W600" t="inlineStr">
        <is>
          <t>Cost Matrix!K41:O41</t>
        </is>
      </c>
      <c r="X600">
        <f>R[1]C[0]*R25C[0]</f>
        <v/>
      </c>
    </row>
    <row r="601">
      <c r="A601" t="inlineStr">
        <is>
          <t>Cost Matrix</t>
        </is>
      </c>
      <c r="B601" t="inlineStr">
        <is>
          <t>N41</t>
        </is>
      </c>
      <c r="C601" t="n">
        <v>41</v>
      </c>
      <c r="D601" t="n">
        <v>14</v>
      </c>
      <c r="E601" t="inlineStr">
        <is>
          <t>Calculation</t>
        </is>
      </c>
      <c r="F601" t="inlineStr">
        <is>
          <t>'=N42*N$25</t>
        </is>
      </c>
      <c r="G601" t="n">
        <v>91589.09966457616</v>
      </c>
      <c r="H601" t="inlineStr"/>
      <c r="I601" t="inlineStr">
        <is>
          <t>#,##0</t>
        </is>
      </c>
      <c r="J601" t="b">
        <v>0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n">
        <v/>
      </c>
      <c r="R601" t="b">
        <v>1</v>
      </c>
      <c r="S601" t="inlineStr">
        <is>
          <t>G000133</t>
        </is>
      </c>
      <c r="T601" t="inlineStr">
        <is>
          <t>Horizontal</t>
        </is>
      </c>
      <c r="U601" t="n">
        <v>5</v>
      </c>
      <c r="V601" t="b">
        <v>1</v>
      </c>
      <c r="W601" t="inlineStr">
        <is>
          <t>Cost Matrix!K41:O41</t>
        </is>
      </c>
      <c r="X601">
        <f>R[1]C[0]*R25C[0]</f>
        <v/>
      </c>
    </row>
    <row r="602">
      <c r="A602" t="inlineStr">
        <is>
          <t>Cost Matrix</t>
        </is>
      </c>
      <c r="B602" t="inlineStr">
        <is>
          <t>O41</t>
        </is>
      </c>
      <c r="C602" t="n">
        <v>41</v>
      </c>
      <c r="D602" t="n">
        <v>15</v>
      </c>
      <c r="E602" t="inlineStr">
        <is>
          <t>Calculation</t>
        </is>
      </c>
      <c r="F602" t="inlineStr">
        <is>
          <t>'=O42*O$25</t>
        </is>
      </c>
      <c r="G602" t="n">
        <v>111391.3059692813</v>
      </c>
      <c r="H602" t="inlineStr"/>
      <c r="I602" t="inlineStr">
        <is>
          <t>#,##0</t>
        </is>
      </c>
      <c r="J602" t="b">
        <v>0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n">
        <v/>
      </c>
      <c r="R602" t="b">
        <v>1</v>
      </c>
      <c r="S602" t="inlineStr">
        <is>
          <t>G000133</t>
        </is>
      </c>
      <c r="T602" t="inlineStr">
        <is>
          <t>Horizontal</t>
        </is>
      </c>
      <c r="U602" t="n">
        <v>5</v>
      </c>
      <c r="V602" t="b">
        <v>1</v>
      </c>
      <c r="W602" t="inlineStr">
        <is>
          <t>Cost Matrix!K41:O41</t>
        </is>
      </c>
      <c r="X602">
        <f>R[1]C[0]*R25C[0]</f>
        <v/>
      </c>
    </row>
    <row r="603">
      <c r="A603" t="inlineStr">
        <is>
          <t>Cost Matrix</t>
        </is>
      </c>
      <c r="B603" t="inlineStr">
        <is>
          <t>D42</t>
        </is>
      </c>
      <c r="C603" t="n">
        <v>42</v>
      </c>
      <c r="D603" t="n">
        <v>4</v>
      </c>
      <c r="E603" t="inlineStr">
        <is>
          <t>Output</t>
        </is>
      </c>
      <c r="F603" t="inlineStr">
        <is>
          <t>'=D41/D$25</t>
        </is>
      </c>
      <c r="G603" t="n">
        <v>0.2227013514766999</v>
      </c>
      <c r="H603" t="inlineStr"/>
      <c r="I603" t="inlineStr">
        <is>
          <t>0.00%</t>
        </is>
      </c>
      <c r="J603" t="b">
        <v>0</v>
      </c>
      <c r="K603" t="b">
        <v>1</v>
      </c>
      <c r="L603" t="n">
        <v>11</v>
      </c>
      <c r="M603" t="inlineStr">
        <is>
          <t>FF0B0280</t>
        </is>
      </c>
      <c r="N603" t="inlineStr">
        <is>
          <t>00000000</t>
        </is>
      </c>
      <c r="O603" t="inlineStr">
        <is>
          <t>center</t>
        </is>
      </c>
      <c r="R603" t="b">
        <v>1</v>
      </c>
      <c r="S603" t="inlineStr">
        <is>
          <t>G000128</t>
        </is>
      </c>
      <c r="T603" t="inlineStr">
        <is>
          <t>Horizontal</t>
        </is>
      </c>
      <c r="U603" t="n">
        <v>7</v>
      </c>
      <c r="V603" t="b">
        <v>1</v>
      </c>
      <c r="W603" t="inlineStr">
        <is>
          <t>Cost Matrix!D42:J42</t>
        </is>
      </c>
      <c r="X603">
        <f>R[-1]C[0]/R25C[0]</f>
        <v/>
      </c>
    </row>
    <row r="604">
      <c r="A604" t="inlineStr">
        <is>
          <t>Cost Matrix</t>
        </is>
      </c>
      <c r="B604" t="inlineStr">
        <is>
          <t>E42</t>
        </is>
      </c>
      <c r="C604" t="n">
        <v>42</v>
      </c>
      <c r="D604" t="n">
        <v>5</v>
      </c>
      <c r="E604" t="inlineStr">
        <is>
          <t>Output</t>
        </is>
      </c>
      <c r="F604" t="inlineStr">
        <is>
          <t>'=E41/E$25</t>
        </is>
      </c>
      <c r="G604" t="n">
        <v>0.2270428530248968</v>
      </c>
      <c r="H604" t="inlineStr"/>
      <c r="I604" t="inlineStr">
        <is>
          <t>0.00%</t>
        </is>
      </c>
      <c r="J604" t="b">
        <v>0</v>
      </c>
      <c r="K604" t="b">
        <v>1</v>
      </c>
      <c r="L604" t="n">
        <v>11</v>
      </c>
      <c r="M604" t="inlineStr">
        <is>
          <t>FF0B0280</t>
        </is>
      </c>
      <c r="N604" t="inlineStr">
        <is>
          <t>00000000</t>
        </is>
      </c>
      <c r="O604" t="inlineStr">
        <is>
          <t>center</t>
        </is>
      </c>
      <c r="R604" t="b">
        <v>1</v>
      </c>
      <c r="S604" t="inlineStr">
        <is>
          <t>G000128</t>
        </is>
      </c>
      <c r="T604" t="inlineStr">
        <is>
          <t>Horizontal</t>
        </is>
      </c>
      <c r="U604" t="n">
        <v>7</v>
      </c>
      <c r="V604" t="b">
        <v>1</v>
      </c>
      <c r="W604" t="inlineStr">
        <is>
          <t>Cost Matrix!D42:J42</t>
        </is>
      </c>
      <c r="X604">
        <f>R[-1]C[0]/R25C[0]</f>
        <v/>
      </c>
    </row>
    <row r="605">
      <c r="A605" t="inlineStr">
        <is>
          <t>Cost Matrix</t>
        </is>
      </c>
      <c r="B605" t="inlineStr">
        <is>
          <t>F42</t>
        </is>
      </c>
      <c r="C605" t="n">
        <v>42</v>
      </c>
      <c r="D605" t="n">
        <v>6</v>
      </c>
      <c r="E605" t="inlineStr">
        <is>
          <t>Output</t>
        </is>
      </c>
      <c r="F605" t="inlineStr">
        <is>
          <t>'=F41/F$25</t>
        </is>
      </c>
      <c r="G605" t="n">
        <v>0.2008570682281528</v>
      </c>
      <c r="H605" t="inlineStr"/>
      <c r="I605" t="inlineStr">
        <is>
          <t>0.00%</t>
        </is>
      </c>
      <c r="J605" t="b">
        <v>0</v>
      </c>
      <c r="K605" t="b">
        <v>1</v>
      </c>
      <c r="L605" t="n">
        <v>11</v>
      </c>
      <c r="M605" t="inlineStr">
        <is>
          <t>FF0B0280</t>
        </is>
      </c>
      <c r="N605" t="inlineStr">
        <is>
          <t>00000000</t>
        </is>
      </c>
      <c r="O605" t="inlineStr">
        <is>
          <t>center</t>
        </is>
      </c>
      <c r="R605" t="b">
        <v>1</v>
      </c>
      <c r="S605" t="inlineStr">
        <is>
          <t>G000128</t>
        </is>
      </c>
      <c r="T605" t="inlineStr">
        <is>
          <t>Horizontal</t>
        </is>
      </c>
      <c r="U605" t="n">
        <v>7</v>
      </c>
      <c r="V605" t="b">
        <v>1</v>
      </c>
      <c r="W605" t="inlineStr">
        <is>
          <t>Cost Matrix!D42:J42</t>
        </is>
      </c>
      <c r="X605">
        <f>R[-1]C[0]/R25C[0]</f>
        <v/>
      </c>
    </row>
    <row r="606">
      <c r="A606" t="inlineStr">
        <is>
          <t>Cost Matrix</t>
        </is>
      </c>
      <c r="B606" t="inlineStr">
        <is>
          <t>G42</t>
        </is>
      </c>
      <c r="C606" t="n">
        <v>42</v>
      </c>
      <c r="D606" t="n">
        <v>7</v>
      </c>
      <c r="E606" t="inlineStr">
        <is>
          <t>Output</t>
        </is>
      </c>
      <c r="F606" t="inlineStr">
        <is>
          <t>'=G41/G$25</t>
        </is>
      </c>
      <c r="G606" t="n">
        <v>0.2140628896118494</v>
      </c>
      <c r="H606" t="inlineStr"/>
      <c r="I606" t="inlineStr">
        <is>
          <t>0.00%</t>
        </is>
      </c>
      <c r="J606" t="b">
        <v>0</v>
      </c>
      <c r="K606" t="b">
        <v>1</v>
      </c>
      <c r="L606" t="n">
        <v>11</v>
      </c>
      <c r="M606" t="inlineStr">
        <is>
          <t>FF0B0280</t>
        </is>
      </c>
      <c r="N606" t="inlineStr">
        <is>
          <t>00000000</t>
        </is>
      </c>
      <c r="O606" t="inlineStr">
        <is>
          <t>center</t>
        </is>
      </c>
      <c r="R606" t="b">
        <v>1</v>
      </c>
      <c r="S606" t="inlineStr">
        <is>
          <t>G000128</t>
        </is>
      </c>
      <c r="T606" t="inlineStr">
        <is>
          <t>Horizontal</t>
        </is>
      </c>
      <c r="U606" t="n">
        <v>7</v>
      </c>
      <c r="V606" t="b">
        <v>1</v>
      </c>
      <c r="W606" t="inlineStr">
        <is>
          <t>Cost Matrix!D42:J42</t>
        </is>
      </c>
      <c r="X606">
        <f>R[-1]C[0]/R25C[0]</f>
        <v/>
      </c>
    </row>
    <row r="607">
      <c r="A607" t="inlineStr">
        <is>
          <t>Cost Matrix</t>
        </is>
      </c>
      <c r="B607" t="inlineStr">
        <is>
          <t>H42</t>
        </is>
      </c>
      <c r="C607" t="n">
        <v>42</v>
      </c>
      <c r="D607" t="n">
        <v>8</v>
      </c>
      <c r="E607" t="inlineStr">
        <is>
          <t>Output</t>
        </is>
      </c>
      <c r="F607" t="inlineStr">
        <is>
          <t>'=H41/H$25</t>
        </is>
      </c>
      <c r="G607" t="n">
        <v>0.2156223036600809</v>
      </c>
      <c r="H607" t="inlineStr"/>
      <c r="I607" t="inlineStr">
        <is>
          <t>0.00%</t>
        </is>
      </c>
      <c r="J607" t="b">
        <v>0</v>
      </c>
      <c r="K607" t="b">
        <v>1</v>
      </c>
      <c r="L607" t="n">
        <v>11</v>
      </c>
      <c r="M607" t="inlineStr">
        <is>
          <t>FF0B0280</t>
        </is>
      </c>
      <c r="N607" t="inlineStr">
        <is>
          <t>00000000</t>
        </is>
      </c>
      <c r="O607" t="inlineStr">
        <is>
          <t>center</t>
        </is>
      </c>
      <c r="R607" t="b">
        <v>1</v>
      </c>
      <c r="S607" t="inlineStr">
        <is>
          <t>G000128</t>
        </is>
      </c>
      <c r="T607" t="inlineStr">
        <is>
          <t>Horizontal</t>
        </is>
      </c>
      <c r="U607" t="n">
        <v>7</v>
      </c>
      <c r="V607" t="b">
        <v>1</v>
      </c>
      <c r="W607" t="inlineStr">
        <is>
          <t>Cost Matrix!D42:J42</t>
        </is>
      </c>
      <c r="X607">
        <f>R[-1]C[0]/R25C[0]</f>
        <v/>
      </c>
    </row>
    <row r="608">
      <c r="A608" t="inlineStr">
        <is>
          <t>Cost Matrix</t>
        </is>
      </c>
      <c r="B608" t="inlineStr">
        <is>
          <t>I42</t>
        </is>
      </c>
      <c r="C608" t="n">
        <v>42</v>
      </c>
      <c r="D608" t="n">
        <v>9</v>
      </c>
      <c r="E608" t="inlineStr">
        <is>
          <t>Output</t>
        </is>
      </c>
      <c r="F608" t="inlineStr">
        <is>
          <t>'=I41/I$25</t>
        </is>
      </c>
      <c r="G608" t="n">
        <v>0.2312690923837487</v>
      </c>
      <c r="H608" t="inlineStr"/>
      <c r="I608" t="inlineStr">
        <is>
          <t>0.00%</t>
        </is>
      </c>
      <c r="J608" t="b">
        <v>0</v>
      </c>
      <c r="K608" t="b">
        <v>1</v>
      </c>
      <c r="L608" t="n">
        <v>11</v>
      </c>
      <c r="M608" t="inlineStr">
        <is>
          <t>FF0B0280</t>
        </is>
      </c>
      <c r="N608" t="inlineStr">
        <is>
          <t>00000000</t>
        </is>
      </c>
      <c r="O608" t="inlineStr">
        <is>
          <t>center</t>
        </is>
      </c>
      <c r="R608" t="b">
        <v>1</v>
      </c>
      <c r="S608" t="inlineStr">
        <is>
          <t>G000128</t>
        </is>
      </c>
      <c r="T608" t="inlineStr">
        <is>
          <t>Horizontal</t>
        </is>
      </c>
      <c r="U608" t="n">
        <v>7</v>
      </c>
      <c r="V608" t="b">
        <v>1</v>
      </c>
      <c r="W608" t="inlineStr">
        <is>
          <t>Cost Matrix!D42:J42</t>
        </is>
      </c>
      <c r="X608">
        <f>R[-1]C[0]/R25C[0]</f>
        <v/>
      </c>
    </row>
    <row r="609">
      <c r="A609" t="inlineStr">
        <is>
          <t>Cost Matrix</t>
        </is>
      </c>
      <c r="B609" t="inlineStr">
        <is>
          <t>J42</t>
        </is>
      </c>
      <c r="C609" t="n">
        <v>42</v>
      </c>
      <c r="D609" t="n">
        <v>10</v>
      </c>
      <c r="E609" t="inlineStr">
        <is>
          <t>Output</t>
        </is>
      </c>
      <c r="F609" t="inlineStr">
        <is>
          <t>'=J41/J$25</t>
        </is>
      </c>
      <c r="G609" t="n">
        <v>0.2477376331453609</v>
      </c>
      <c r="H609" t="inlineStr"/>
      <c r="I609" t="inlineStr">
        <is>
          <t>0.00%</t>
        </is>
      </c>
      <c r="J609" t="b">
        <v>0</v>
      </c>
      <c r="K609" t="b">
        <v>1</v>
      </c>
      <c r="L609" t="n">
        <v>11</v>
      </c>
      <c r="M609" t="inlineStr">
        <is>
          <t>FF0B0280</t>
        </is>
      </c>
      <c r="N609" t="inlineStr">
        <is>
          <t>00000000</t>
        </is>
      </c>
      <c r="O609" t="inlineStr">
        <is>
          <t>center</t>
        </is>
      </c>
      <c r="R609" t="b">
        <v>1</v>
      </c>
      <c r="S609" t="inlineStr">
        <is>
          <t>G000128</t>
        </is>
      </c>
      <c r="T609" t="inlineStr">
        <is>
          <t>Horizontal</t>
        </is>
      </c>
      <c r="U609" t="n">
        <v>7</v>
      </c>
      <c r="V609" t="b">
        <v>1</v>
      </c>
      <c r="W609" t="inlineStr">
        <is>
          <t>Cost Matrix!D42:J42</t>
        </is>
      </c>
      <c r="X609">
        <f>R[-1]C[0]/R25C[0]</f>
        <v/>
      </c>
    </row>
    <row r="610">
      <c r="A610" t="inlineStr">
        <is>
          <t>Cost Matrix</t>
        </is>
      </c>
      <c r="B610" t="inlineStr">
        <is>
          <t>K42</t>
        </is>
      </c>
      <c r="C610" t="n">
        <v>42</v>
      </c>
      <c r="D610" t="n">
        <v>11</v>
      </c>
      <c r="E610" t="inlineStr">
        <is>
          <t>Calculation</t>
        </is>
      </c>
      <c r="F610" t="inlineStr">
        <is>
          <t>'=22%</t>
        </is>
      </c>
      <c r="G610" t="n">
        <v>0.22</v>
      </c>
      <c r="H610" t="inlineStr"/>
      <c r="I610" t="inlineStr">
        <is>
          <t>0.00%</t>
        </is>
      </c>
      <c r="J610" t="b">
        <v>0</v>
      </c>
      <c r="K610" t="b">
        <v>1</v>
      </c>
      <c r="L610" t="n">
        <v>11</v>
      </c>
      <c r="M610" t="inlineStr">
        <is>
          <t>FF0B0280</t>
        </is>
      </c>
      <c r="N610" t="inlineStr">
        <is>
          <t>00000000</t>
        </is>
      </c>
      <c r="O610" t="inlineStr">
        <is>
          <t>center</t>
        </is>
      </c>
      <c r="R610" t="b">
        <v>1</v>
      </c>
      <c r="S610" t="inlineStr">
        <is>
          <t>G000143</t>
        </is>
      </c>
      <c r="T610" t="inlineStr">
        <is>
          <t>Horizontal</t>
        </is>
      </c>
      <c r="U610" t="n">
        <v>5</v>
      </c>
      <c r="V610" t="b">
        <v>1</v>
      </c>
      <c r="W610" t="inlineStr">
        <is>
          <t>Cost Matrix!K42:O42</t>
        </is>
      </c>
      <c r="X610">
        <f>22%</f>
        <v/>
      </c>
    </row>
    <row r="611">
      <c r="A611" t="inlineStr">
        <is>
          <t>Cost Matrix</t>
        </is>
      </c>
      <c r="B611" t="inlineStr">
        <is>
          <t>L42</t>
        </is>
      </c>
      <c r="C611" t="n">
        <v>42</v>
      </c>
      <c r="D611" t="n">
        <v>12</v>
      </c>
      <c r="E611" t="inlineStr">
        <is>
          <t>Calculation</t>
        </is>
      </c>
      <c r="F611" t="inlineStr">
        <is>
          <t>'=22%</t>
        </is>
      </c>
      <c r="G611" t="n">
        <v>0.22</v>
      </c>
      <c r="H611" t="inlineStr"/>
      <c r="I611" t="inlineStr">
        <is>
          <t>0.00%</t>
        </is>
      </c>
      <c r="J611" t="b">
        <v>0</v>
      </c>
      <c r="K611" t="b">
        <v>1</v>
      </c>
      <c r="L611" t="n">
        <v>11</v>
      </c>
      <c r="M611" t="inlineStr">
        <is>
          <t>FF0B0280</t>
        </is>
      </c>
      <c r="N611" t="inlineStr">
        <is>
          <t>00000000</t>
        </is>
      </c>
      <c r="O611" t="inlineStr">
        <is>
          <t>center</t>
        </is>
      </c>
      <c r="R611" t="b">
        <v>1</v>
      </c>
      <c r="S611" t="inlineStr">
        <is>
          <t>G000143</t>
        </is>
      </c>
      <c r="T611" t="inlineStr">
        <is>
          <t>Horizontal</t>
        </is>
      </c>
      <c r="U611" t="n">
        <v>5</v>
      </c>
      <c r="V611" t="b">
        <v>1</v>
      </c>
      <c r="W611" t="inlineStr">
        <is>
          <t>Cost Matrix!K42:O42</t>
        </is>
      </c>
      <c r="X611">
        <f>22%</f>
        <v/>
      </c>
    </row>
    <row r="612">
      <c r="A612" t="inlineStr">
        <is>
          <t>Cost Matrix</t>
        </is>
      </c>
      <c r="B612" t="inlineStr">
        <is>
          <t>M42</t>
        </is>
      </c>
      <c r="C612" t="n">
        <v>42</v>
      </c>
      <c r="D612" t="n">
        <v>13</v>
      </c>
      <c r="E612" t="inlineStr">
        <is>
          <t>Calculation</t>
        </is>
      </c>
      <c r="F612" t="inlineStr">
        <is>
          <t>'=22%</t>
        </is>
      </c>
      <c r="G612" t="n">
        <v>0.22</v>
      </c>
      <c r="H612" t="inlineStr"/>
      <c r="I612" t="inlineStr">
        <is>
          <t>0.00%</t>
        </is>
      </c>
      <c r="J612" t="b">
        <v>0</v>
      </c>
      <c r="K612" t="b">
        <v>1</v>
      </c>
      <c r="L612" t="n">
        <v>11</v>
      </c>
      <c r="M612" t="inlineStr">
        <is>
          <t>FF0B0280</t>
        </is>
      </c>
      <c r="N612" t="inlineStr">
        <is>
          <t>00000000</t>
        </is>
      </c>
      <c r="O612" t="inlineStr">
        <is>
          <t>center</t>
        </is>
      </c>
      <c r="R612" t="b">
        <v>1</v>
      </c>
      <c r="S612" t="inlineStr">
        <is>
          <t>G000143</t>
        </is>
      </c>
      <c r="T612" t="inlineStr">
        <is>
          <t>Horizontal</t>
        </is>
      </c>
      <c r="U612" t="n">
        <v>5</v>
      </c>
      <c r="V612" t="b">
        <v>1</v>
      </c>
      <c r="W612" t="inlineStr">
        <is>
          <t>Cost Matrix!K42:O42</t>
        </is>
      </c>
      <c r="X612">
        <f>22%</f>
        <v/>
      </c>
    </row>
    <row r="613">
      <c r="A613" t="inlineStr">
        <is>
          <t>Cost Matrix</t>
        </is>
      </c>
      <c r="B613" t="inlineStr">
        <is>
          <t>N42</t>
        </is>
      </c>
      <c r="C613" t="n">
        <v>42</v>
      </c>
      <c r="D613" t="n">
        <v>14</v>
      </c>
      <c r="E613" t="inlineStr">
        <is>
          <t>Calculation</t>
        </is>
      </c>
      <c r="F613" t="inlineStr">
        <is>
          <t>'=22%</t>
        </is>
      </c>
      <c r="G613" t="n">
        <v>0.22</v>
      </c>
      <c r="H613" t="inlineStr"/>
      <c r="I613" t="inlineStr">
        <is>
          <t>0.00%</t>
        </is>
      </c>
      <c r="J613" t="b">
        <v>0</v>
      </c>
      <c r="K613" t="b">
        <v>1</v>
      </c>
      <c r="L613" t="n">
        <v>11</v>
      </c>
      <c r="M613" t="inlineStr">
        <is>
          <t>FF0B0280</t>
        </is>
      </c>
      <c r="N613" t="inlineStr">
        <is>
          <t>00000000</t>
        </is>
      </c>
      <c r="O613" t="inlineStr">
        <is>
          <t>center</t>
        </is>
      </c>
      <c r="R613" t="b">
        <v>1</v>
      </c>
      <c r="S613" t="inlineStr">
        <is>
          <t>G000143</t>
        </is>
      </c>
      <c r="T613" t="inlineStr">
        <is>
          <t>Horizontal</t>
        </is>
      </c>
      <c r="U613" t="n">
        <v>5</v>
      </c>
      <c r="V613" t="b">
        <v>1</v>
      </c>
      <c r="W613" t="inlineStr">
        <is>
          <t>Cost Matrix!K42:O42</t>
        </is>
      </c>
      <c r="X613">
        <f>22%</f>
        <v/>
      </c>
    </row>
    <row r="614">
      <c r="A614" t="inlineStr">
        <is>
          <t>Cost Matrix</t>
        </is>
      </c>
      <c r="B614" t="inlineStr">
        <is>
          <t>O42</t>
        </is>
      </c>
      <c r="C614" t="n">
        <v>42</v>
      </c>
      <c r="D614" t="n">
        <v>15</v>
      </c>
      <c r="E614" t="inlineStr">
        <is>
          <t>Calculation</t>
        </is>
      </c>
      <c r="F614" t="inlineStr">
        <is>
          <t>'=22%</t>
        </is>
      </c>
      <c r="G614" t="n">
        <v>0.22</v>
      </c>
      <c r="H614" t="inlineStr"/>
      <c r="I614" t="inlineStr">
        <is>
          <t>0.00%</t>
        </is>
      </c>
      <c r="J614" t="b">
        <v>0</v>
      </c>
      <c r="K614" t="b">
        <v>1</v>
      </c>
      <c r="L614" t="n">
        <v>11</v>
      </c>
      <c r="M614" t="inlineStr">
        <is>
          <t>FF0B0280</t>
        </is>
      </c>
      <c r="N614" t="inlineStr">
        <is>
          <t>00000000</t>
        </is>
      </c>
      <c r="O614" t="inlineStr">
        <is>
          <t>center</t>
        </is>
      </c>
      <c r="R614" t="b">
        <v>1</v>
      </c>
      <c r="S614" t="inlineStr">
        <is>
          <t>G000143</t>
        </is>
      </c>
      <c r="T614" t="inlineStr">
        <is>
          <t>Horizontal</t>
        </is>
      </c>
      <c r="U614" t="n">
        <v>5</v>
      </c>
      <c r="V614" t="b">
        <v>1</v>
      </c>
      <c r="W614" t="inlineStr">
        <is>
          <t>Cost Matrix!K42:O42</t>
        </is>
      </c>
      <c r="X614">
        <f>22%</f>
        <v/>
      </c>
    </row>
    <row r="615">
      <c r="A615" t="inlineStr">
        <is>
          <t>Cost Matrix</t>
        </is>
      </c>
      <c r="B615" t="inlineStr">
        <is>
          <t>A43</t>
        </is>
      </c>
      <c r="C615" t="n">
        <v>43</v>
      </c>
      <c r="D615" t="n">
        <v>1</v>
      </c>
      <c r="E615" t="inlineStr">
        <is>
          <t>Input</t>
        </is>
      </c>
      <c r="F615" t="n">
        <v/>
      </c>
      <c r="G615" t="inlineStr">
        <is>
          <t>Total Expenses</t>
        </is>
      </c>
      <c r="H615" t="inlineStr"/>
      <c r="I615" t="inlineStr">
        <is>
          <t>General</t>
        </is>
      </c>
      <c r="J615" t="b">
        <v>1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n">
        <v/>
      </c>
      <c r="R615" t="b">
        <v>1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</row>
    <row r="616">
      <c r="A616" t="inlineStr">
        <is>
          <t>Cost Matrix</t>
        </is>
      </c>
      <c r="B616" t="inlineStr">
        <is>
          <t>B43</t>
        </is>
      </c>
      <c r="C616" t="n">
        <v>43</v>
      </c>
      <c r="D616" t="n">
        <v>2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11</v>
      </c>
      <c r="M616" t="inlineStr">
        <is>
          <t>Values must be of type &lt;class 'str'&gt;</t>
        </is>
      </c>
      <c r="N616" t="inlineStr">
        <is>
          <t>00000000</t>
        </is>
      </c>
      <c r="O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</row>
    <row r="617">
      <c r="A617" t="inlineStr">
        <is>
          <t>Cost Matrix</t>
        </is>
      </c>
      <c r="B617" t="inlineStr">
        <is>
          <t>C43</t>
        </is>
      </c>
      <c r="C617" t="n">
        <v>43</v>
      </c>
      <c r="D617" t="n">
        <v>3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11</v>
      </c>
      <c r="M617" t="inlineStr">
        <is>
          <t>Values must be of type &lt;class 'str'&gt;</t>
        </is>
      </c>
      <c r="N617" t="inlineStr">
        <is>
          <t>00000000</t>
        </is>
      </c>
      <c r="O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</row>
    <row r="618">
      <c r="A618" t="inlineStr">
        <is>
          <t>Cost Matrix</t>
        </is>
      </c>
      <c r="B618" t="inlineStr">
        <is>
          <t>D43</t>
        </is>
      </c>
      <c r="C618" t="n">
        <v>43</v>
      </c>
      <c r="D618" t="n">
        <v>4</v>
      </c>
      <c r="E618" t="inlineStr">
        <is>
          <t>Output</t>
        </is>
      </c>
      <c r="F618" t="inlineStr">
        <is>
          <t>'=SUM(D26,D28,D30,D32,D34,D35,D37,D39,D41)</t>
        </is>
      </c>
      <c r="G618" t="n">
        <v>32294.07000000001</v>
      </c>
      <c r="H618" t="inlineStr"/>
      <c r="I618" t="inlineStr">
        <is>
          <t>#,##0</t>
        </is>
      </c>
      <c r="J618" t="b">
        <v>0</v>
      </c>
      <c r="K618" t="b">
        <v>0</v>
      </c>
      <c r="L618" t="n">
        <v>11</v>
      </c>
      <c r="M618" t="inlineStr">
        <is>
          <t>Values must be of type &lt;class 'str'&gt;</t>
        </is>
      </c>
      <c r="N618" t="inlineStr">
        <is>
          <t>00000000</t>
        </is>
      </c>
      <c r="O618" t="n">
        <v/>
      </c>
      <c r="R618" t="b">
        <v>1</v>
      </c>
      <c r="S618" t="inlineStr">
        <is>
          <t>G000144</t>
        </is>
      </c>
      <c r="T618" t="inlineStr">
        <is>
          <t>Horizontal</t>
        </is>
      </c>
      <c r="U618" t="n">
        <v>12</v>
      </c>
      <c r="V618" t="b">
        <v>1</v>
      </c>
      <c r="W618" t="inlineStr">
        <is>
          <t>Cost Matrix!D43:O43</t>
        </is>
      </c>
      <c r="X618">
        <f>SUM(R[-17]C[0],R[-15]C[0],R[-13]C[0],R[-11]C[0],R[-9]C[0],R[-8]C[0],R[-6]C[0],R[-4]C[0],R[-2]C[0])</f>
        <v/>
      </c>
    </row>
    <row r="619">
      <c r="A619" t="inlineStr">
        <is>
          <t>Cost Matrix</t>
        </is>
      </c>
      <c r="B619" t="inlineStr">
        <is>
          <t>E43</t>
        </is>
      </c>
      <c r="C619" t="n">
        <v>43</v>
      </c>
      <c r="D619" t="n">
        <v>5</v>
      </c>
      <c r="E619" t="inlineStr">
        <is>
          <t>Output</t>
        </is>
      </c>
      <c r="F619" t="inlineStr">
        <is>
          <t>'=SUM(E26,E28,E30,E32,E34,E35,E37,E39,E41)</t>
        </is>
      </c>
      <c r="G619" t="n">
        <v>56337.16</v>
      </c>
      <c r="H619" t="inlineStr"/>
      <c r="I619" t="inlineStr">
        <is>
          <t>#,##0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n">
        <v/>
      </c>
      <c r="R619" t="b">
        <v>1</v>
      </c>
      <c r="S619" t="inlineStr">
        <is>
          <t>G000144</t>
        </is>
      </c>
      <c r="T619" t="inlineStr">
        <is>
          <t>Horizontal</t>
        </is>
      </c>
      <c r="U619" t="n">
        <v>12</v>
      </c>
      <c r="V619" t="b">
        <v>1</v>
      </c>
      <c r="W619" t="inlineStr">
        <is>
          <t>Cost Matrix!D43:O43</t>
        </is>
      </c>
      <c r="X619">
        <f>SUM(R[-17]C[0],R[-15]C[0],R[-13]C[0],R[-11]C[0],R[-9]C[0],R[-8]C[0],R[-6]C[0],R[-4]C[0],R[-2]C[0])</f>
        <v/>
      </c>
    </row>
    <row r="620">
      <c r="A620" t="inlineStr">
        <is>
          <t>Cost Matrix</t>
        </is>
      </c>
      <c r="B620" t="inlineStr">
        <is>
          <t>F43</t>
        </is>
      </c>
      <c r="C620" t="n">
        <v>43</v>
      </c>
      <c r="D620" t="n">
        <v>6</v>
      </c>
      <c r="E620" t="inlineStr">
        <is>
          <t>Output</t>
        </is>
      </c>
      <c r="F620" t="inlineStr">
        <is>
          <t>'=SUM(F26,F28,F30,F32,F34,F35,F37,F39,F41)</t>
        </is>
      </c>
      <c r="G620" t="n">
        <v>84529.16</v>
      </c>
      <c r="H620" t="inlineStr"/>
      <c r="I620" t="inlineStr">
        <is>
          <t>#,##0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00000000</t>
        </is>
      </c>
      <c r="O620" t="n">
        <v/>
      </c>
      <c r="R620" t="b">
        <v>1</v>
      </c>
      <c r="S620" t="inlineStr">
        <is>
          <t>G000144</t>
        </is>
      </c>
      <c r="T620" t="inlineStr">
        <is>
          <t>Horizontal</t>
        </is>
      </c>
      <c r="U620" t="n">
        <v>12</v>
      </c>
      <c r="V620" t="b">
        <v>1</v>
      </c>
      <c r="W620" t="inlineStr">
        <is>
          <t>Cost Matrix!D43:O43</t>
        </is>
      </c>
      <c r="X620">
        <f>SUM(R[-17]C[0],R[-15]C[0],R[-13]C[0],R[-11]C[0],R[-9]C[0],R[-8]C[0],R[-6]C[0],R[-4]C[0],R[-2]C[0])</f>
        <v/>
      </c>
    </row>
    <row r="621">
      <c r="A621" t="inlineStr">
        <is>
          <t>Cost Matrix</t>
        </is>
      </c>
      <c r="B621" t="inlineStr">
        <is>
          <t>G43</t>
        </is>
      </c>
      <c r="C621" t="n">
        <v>43</v>
      </c>
      <c r="D621" t="n">
        <v>7</v>
      </c>
      <c r="E621" t="inlineStr">
        <is>
          <t>Output</t>
        </is>
      </c>
      <c r="F621" t="inlineStr">
        <is>
          <t>'=SUM(G26,G28,G30,G32,G34,G35,G37,G39,G41)</t>
        </is>
      </c>
      <c r="G621" t="n">
        <v>109602.21</v>
      </c>
      <c r="H621" t="inlineStr"/>
      <c r="I621" t="inlineStr">
        <is>
          <t>#,##0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n">
        <v/>
      </c>
      <c r="R621" t="b">
        <v>1</v>
      </c>
      <c r="S621" t="inlineStr">
        <is>
          <t>G000144</t>
        </is>
      </c>
      <c r="T621" t="inlineStr">
        <is>
          <t>Horizontal</t>
        </is>
      </c>
      <c r="U621" t="n">
        <v>12</v>
      </c>
      <c r="V621" t="b">
        <v>1</v>
      </c>
      <c r="W621" t="inlineStr">
        <is>
          <t>Cost Matrix!D43:O43</t>
        </is>
      </c>
      <c r="X621">
        <f>SUM(R[-17]C[0],R[-15]C[0],R[-13]C[0],R[-11]C[0],R[-9]C[0],R[-8]C[0],R[-6]C[0],R[-4]C[0],R[-2]C[0])</f>
        <v/>
      </c>
    </row>
    <row r="622">
      <c r="A622" t="inlineStr">
        <is>
          <t>Cost Matrix</t>
        </is>
      </c>
      <c r="B622" t="inlineStr">
        <is>
          <t>H43</t>
        </is>
      </c>
      <c r="C622" t="n">
        <v>43</v>
      </c>
      <c r="D622" t="n">
        <v>8</v>
      </c>
      <c r="E622" t="inlineStr">
        <is>
          <t>Output</t>
        </is>
      </c>
      <c r="F622" t="inlineStr">
        <is>
          <t>'=SUM(H26,H28,H30,H32,H34,H35,H37,H39,H41)</t>
        </is>
      </c>
      <c r="G622" t="n">
        <v>124733.96</v>
      </c>
      <c r="H622" t="inlineStr"/>
      <c r="I622" t="inlineStr">
        <is>
          <t>#,##0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n">
        <v/>
      </c>
      <c r="R622" t="b">
        <v>1</v>
      </c>
      <c r="S622" t="inlineStr">
        <is>
          <t>G000144</t>
        </is>
      </c>
      <c r="T622" t="inlineStr">
        <is>
          <t>Horizontal</t>
        </is>
      </c>
      <c r="U622" t="n">
        <v>12</v>
      </c>
      <c r="V622" t="b">
        <v>1</v>
      </c>
      <c r="W622" t="inlineStr">
        <is>
          <t>Cost Matrix!D43:O43</t>
        </is>
      </c>
      <c r="X622">
        <f>SUM(R[-17]C[0],R[-15]C[0],R[-13]C[0],R[-11]C[0],R[-9]C[0],R[-8]C[0],R[-6]C[0],R[-4]C[0],R[-2]C[0])</f>
        <v/>
      </c>
    </row>
    <row r="623">
      <c r="A623" t="inlineStr">
        <is>
          <t>Cost Matrix</t>
        </is>
      </c>
      <c r="B623" t="inlineStr">
        <is>
          <t>I43</t>
        </is>
      </c>
      <c r="C623" t="n">
        <v>43</v>
      </c>
      <c r="D623" t="n">
        <v>9</v>
      </c>
      <c r="E623" t="inlineStr">
        <is>
          <t>Output</t>
        </is>
      </c>
      <c r="F623" t="inlineStr">
        <is>
          <t>'=SUM(I26,I28,I30,I32,I34,I35,I37,I39,I41)</t>
        </is>
      </c>
      <c r="G623" t="n">
        <v>139439.88</v>
      </c>
      <c r="H623" t="inlineStr"/>
      <c r="I623" t="inlineStr">
        <is>
          <t>#,##0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n">
        <v/>
      </c>
      <c r="R623" t="b">
        <v>1</v>
      </c>
      <c r="S623" t="inlineStr">
        <is>
          <t>G000144</t>
        </is>
      </c>
      <c r="T623" t="inlineStr">
        <is>
          <t>Horizontal</t>
        </is>
      </c>
      <c r="U623" t="n">
        <v>12</v>
      </c>
      <c r="V623" t="b">
        <v>1</v>
      </c>
      <c r="W623" t="inlineStr">
        <is>
          <t>Cost Matrix!D43:O43</t>
        </is>
      </c>
      <c r="X623">
        <f>SUM(R[-17]C[0],R[-15]C[0],R[-13]C[0],R[-11]C[0],R[-9]C[0],R[-8]C[0],R[-6]C[0],R[-4]C[0],R[-2]C[0])</f>
        <v/>
      </c>
    </row>
    <row r="624">
      <c r="A624" t="inlineStr">
        <is>
          <t>Cost Matrix</t>
        </is>
      </c>
      <c r="B624" t="inlineStr">
        <is>
          <t>J43</t>
        </is>
      </c>
      <c r="C624" t="n">
        <v>43</v>
      </c>
      <c r="D624" t="n">
        <v>10</v>
      </c>
      <c r="E624" t="inlineStr">
        <is>
          <t>Output</t>
        </is>
      </c>
      <c r="F624" t="inlineStr">
        <is>
          <t>'=SUM(J26,J28,J30,J32,J34,J35,J37,J39,J41)</t>
        </is>
      </c>
      <c r="G624" t="n">
        <v>172252.3</v>
      </c>
      <c r="H624" t="inlineStr"/>
      <c r="I624" t="inlineStr">
        <is>
          <t>#,##0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R624" t="b">
        <v>1</v>
      </c>
      <c r="S624" t="inlineStr">
        <is>
          <t>G000144</t>
        </is>
      </c>
      <c r="T624" t="inlineStr">
        <is>
          <t>Horizontal</t>
        </is>
      </c>
      <c r="U624" t="n">
        <v>12</v>
      </c>
      <c r="V624" t="b">
        <v>1</v>
      </c>
      <c r="W624" t="inlineStr">
        <is>
          <t>Cost Matrix!D43:O43</t>
        </is>
      </c>
      <c r="X624">
        <f>SUM(R[-17]C[0],R[-15]C[0],R[-13]C[0],R[-11]C[0],R[-9]C[0],R[-8]C[0],R[-6]C[0],R[-4]C[0],R[-2]C[0])</f>
        <v/>
      </c>
    </row>
    <row r="625">
      <c r="A625" t="inlineStr">
        <is>
          <t>Cost Matrix</t>
        </is>
      </c>
      <c r="B625" t="inlineStr">
        <is>
          <t>K43</t>
        </is>
      </c>
      <c r="C625" t="n">
        <v>43</v>
      </c>
      <c r="D625" t="n">
        <v>11</v>
      </c>
      <c r="E625" t="inlineStr">
        <is>
          <t>Output</t>
        </is>
      </c>
      <c r="F625" t="inlineStr">
        <is>
          <t>'=SUM(K26,K28,K30,K32,K34,K35,K37,K39,K41)</t>
        </is>
      </c>
      <c r="G625" t="n">
        <v>207377.2395266772</v>
      </c>
      <c r="H625" t="inlineStr"/>
      <c r="I625" t="inlineStr">
        <is>
          <t>#,##0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n">
        <v/>
      </c>
      <c r="R625" t="b">
        <v>1</v>
      </c>
      <c r="S625" t="inlineStr">
        <is>
          <t>G000144</t>
        </is>
      </c>
      <c r="T625" t="inlineStr">
        <is>
          <t>Horizontal</t>
        </is>
      </c>
      <c r="U625" t="n">
        <v>12</v>
      </c>
      <c r="V625" t="b">
        <v>1</v>
      </c>
      <c r="W625" t="inlineStr">
        <is>
          <t>Cost Matrix!D43:O43</t>
        </is>
      </c>
      <c r="X625">
        <f>SUM(R[-17]C[0],R[-15]C[0],R[-13]C[0],R[-11]C[0],R[-9]C[0],R[-8]C[0],R[-6]C[0],R[-4]C[0],R[-2]C[0])</f>
        <v/>
      </c>
    </row>
    <row r="626">
      <c r="A626" t="inlineStr">
        <is>
          <t>Cost Matrix</t>
        </is>
      </c>
      <c r="B626" t="inlineStr">
        <is>
          <t>L43</t>
        </is>
      </c>
      <c r="C626" t="n">
        <v>43</v>
      </c>
      <c r="D626" t="n">
        <v>12</v>
      </c>
      <c r="E626" t="inlineStr">
        <is>
          <t>Output</t>
        </is>
      </c>
      <c r="F626" t="inlineStr">
        <is>
          <t>'=SUM(L26,L28,L30,L32,L34,L35,L37,L39,L41)</t>
        </is>
      </c>
      <c r="G626" t="n">
        <v>256896.0012260759</v>
      </c>
      <c r="H626" t="inlineStr"/>
      <c r="I626" t="inlineStr">
        <is>
          <t>#,##0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00000000</t>
        </is>
      </c>
      <c r="O626" t="n">
        <v/>
      </c>
      <c r="R626" t="b">
        <v>1</v>
      </c>
      <c r="S626" t="inlineStr">
        <is>
          <t>G000144</t>
        </is>
      </c>
      <c r="T626" t="inlineStr">
        <is>
          <t>Horizontal</t>
        </is>
      </c>
      <c r="U626" t="n">
        <v>12</v>
      </c>
      <c r="V626" t="b">
        <v>1</v>
      </c>
      <c r="W626" t="inlineStr">
        <is>
          <t>Cost Matrix!D43:O43</t>
        </is>
      </c>
      <c r="X626">
        <f>SUM(R[-17]C[0],R[-15]C[0],R[-13]C[0],R[-11]C[0],R[-9]C[0],R[-8]C[0],R[-6]C[0],R[-4]C[0],R[-2]C[0])</f>
        <v/>
      </c>
    </row>
    <row r="627">
      <c r="A627" t="inlineStr">
        <is>
          <t>Cost Matrix</t>
        </is>
      </c>
      <c r="B627" t="inlineStr">
        <is>
          <t>M43</t>
        </is>
      </c>
      <c r="C627" t="n">
        <v>43</v>
      </c>
      <c r="D627" t="n">
        <v>13</v>
      </c>
      <c r="E627" t="inlineStr">
        <is>
          <t>Output</t>
        </is>
      </c>
      <c r="F627" t="inlineStr">
        <is>
          <t>'=SUM(M26,M28,M30,M32,M34,M35,M37,M39,M41)</t>
        </is>
      </c>
      <c r="G627" t="n">
        <v>300748.203123128</v>
      </c>
      <c r="H627" t="inlineStr"/>
      <c r="I627" t="inlineStr">
        <is>
          <t>#,##0</t>
        </is>
      </c>
      <c r="J627" t="b">
        <v>0</v>
      </c>
      <c r="K627" t="b">
        <v>0</v>
      </c>
      <c r="L627" t="n">
        <v>11</v>
      </c>
      <c r="M627" t="inlineStr">
        <is>
          <t>Values must be of type &lt;class 'str'&gt;</t>
        </is>
      </c>
      <c r="N627" t="inlineStr">
        <is>
          <t>00000000</t>
        </is>
      </c>
      <c r="O627" t="n">
        <v/>
      </c>
      <c r="R627" t="b">
        <v>1</v>
      </c>
      <c r="S627" t="inlineStr">
        <is>
          <t>G000144</t>
        </is>
      </c>
      <c r="T627" t="inlineStr">
        <is>
          <t>Horizontal</t>
        </is>
      </c>
      <c r="U627" t="n">
        <v>12</v>
      </c>
      <c r="V627" t="b">
        <v>1</v>
      </c>
      <c r="W627" t="inlineStr">
        <is>
          <t>Cost Matrix!D43:O43</t>
        </is>
      </c>
      <c r="X627">
        <f>SUM(R[-17]C[0],R[-15]C[0],R[-13]C[0],R[-11]C[0],R[-9]C[0],R[-8]C[0],R[-6]C[0],R[-4]C[0],R[-2]C[0])</f>
        <v/>
      </c>
    </row>
    <row r="628">
      <c r="A628" t="inlineStr">
        <is>
          <t>Cost Matrix</t>
        </is>
      </c>
      <c r="B628" t="inlineStr">
        <is>
          <t>N43</t>
        </is>
      </c>
      <c r="C628" t="n">
        <v>43</v>
      </c>
      <c r="D628" t="n">
        <v>14</v>
      </c>
      <c r="E628" t="inlineStr">
        <is>
          <t>Output</t>
        </is>
      </c>
      <c r="F628" t="inlineStr">
        <is>
          <t>'=SUM(N26,N28,N30,N32,N34,N35,N37,N39,N41)</t>
        </is>
      </c>
      <c r="G628" t="n">
        <v>361214.4296858846</v>
      </c>
      <c r="H628" t="inlineStr"/>
      <c r="I628" t="inlineStr">
        <is>
          <t>#,##0</t>
        </is>
      </c>
      <c r="J628" t="b">
        <v>0</v>
      </c>
      <c r="K628" t="b">
        <v>0</v>
      </c>
      <c r="L628" t="n">
        <v>11</v>
      </c>
      <c r="M628" t="inlineStr">
        <is>
          <t>Values must be of type &lt;class 'str'&gt;</t>
        </is>
      </c>
      <c r="N628" t="inlineStr">
        <is>
          <t>00000000</t>
        </is>
      </c>
      <c r="O628" t="n">
        <v/>
      </c>
      <c r="R628" t="b">
        <v>1</v>
      </c>
      <c r="S628" t="inlineStr">
        <is>
          <t>G000144</t>
        </is>
      </c>
      <c r="T628" t="inlineStr">
        <is>
          <t>Horizontal</t>
        </is>
      </c>
      <c r="U628" t="n">
        <v>12</v>
      </c>
      <c r="V628" t="b">
        <v>1</v>
      </c>
      <c r="W628" t="inlineStr">
        <is>
          <t>Cost Matrix!D43:O43</t>
        </is>
      </c>
      <c r="X628">
        <f>SUM(R[-17]C[0],R[-15]C[0],R[-13]C[0],R[-11]C[0],R[-9]C[0],R[-8]C[0],R[-6]C[0],R[-4]C[0],R[-2]C[0])</f>
        <v/>
      </c>
    </row>
    <row r="629">
      <c r="A629" t="inlineStr">
        <is>
          <t>Cost Matrix</t>
        </is>
      </c>
      <c r="B629" t="inlineStr">
        <is>
          <t>O43</t>
        </is>
      </c>
      <c r="C629" t="n">
        <v>43</v>
      </c>
      <c r="D629" t="n">
        <v>15</v>
      </c>
      <c r="E629" t="inlineStr">
        <is>
          <t>Output</t>
        </is>
      </c>
      <c r="F629" t="inlineStr">
        <is>
          <t>'=SUM(O26,O28,O30,O32,O34,O35,O37,O39,O41)</t>
        </is>
      </c>
      <c r="G629" t="n">
        <v>434818.8629502482</v>
      </c>
      <c r="H629" t="inlineStr"/>
      <c r="I629" t="inlineStr">
        <is>
          <t>#,##0</t>
        </is>
      </c>
      <c r="J629" t="b">
        <v>0</v>
      </c>
      <c r="K629" t="b">
        <v>0</v>
      </c>
      <c r="L629" t="n">
        <v>11</v>
      </c>
      <c r="M629" t="inlineStr">
        <is>
          <t>Values must be of type &lt;class 'str'&gt;</t>
        </is>
      </c>
      <c r="N629" t="inlineStr">
        <is>
          <t>00000000</t>
        </is>
      </c>
      <c r="O629" t="n">
        <v/>
      </c>
      <c r="R629" t="b">
        <v>1</v>
      </c>
      <c r="S629" t="inlineStr">
        <is>
          <t>G000144</t>
        </is>
      </c>
      <c r="T629" t="inlineStr">
        <is>
          <t>Horizontal</t>
        </is>
      </c>
      <c r="U629" t="n">
        <v>12</v>
      </c>
      <c r="V629" t="b">
        <v>1</v>
      </c>
      <c r="W629" t="inlineStr">
        <is>
          <t>Cost Matrix!D43:O43</t>
        </is>
      </c>
      <c r="X629">
        <f>SUM(R[-17]C[0],R[-15]C[0],R[-13]C[0],R[-11]C[0],R[-9]C[0],R[-8]C[0],R[-6]C[0],R[-4]C[0],R[-2]C[0])</f>
        <v/>
      </c>
    </row>
    <row r="630">
      <c r="A630" t="inlineStr">
        <is>
          <t>Cost Matrix</t>
        </is>
      </c>
      <c r="B630" t="inlineStr">
        <is>
          <t>D44</t>
        </is>
      </c>
      <c r="C630" t="n">
        <v>44</v>
      </c>
      <c r="D630" t="n">
        <v>4</v>
      </c>
      <c r="E630" t="inlineStr">
        <is>
          <t>Input</t>
        </is>
      </c>
      <c r="F630" t="n">
        <v/>
      </c>
      <c r="H630" t="inlineStr"/>
      <c r="I630" t="inlineStr">
        <is>
          <t>#,##0</t>
        </is>
      </c>
      <c r="J630" t="b">
        <v>0</v>
      </c>
      <c r="K630" t="b">
        <v>0</v>
      </c>
      <c r="L630" t="n">
        <v>11</v>
      </c>
      <c r="M630" t="inlineStr">
        <is>
          <t>Values must be of type &lt;class 'str'&gt;</t>
        </is>
      </c>
      <c r="N630" t="inlineStr">
        <is>
          <t>00000000</t>
        </is>
      </c>
      <c r="O630" t="n">
        <v/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</row>
    <row r="631">
      <c r="A631" t="inlineStr">
        <is>
          <t>Cost Matrix</t>
        </is>
      </c>
      <c r="B631" t="inlineStr">
        <is>
          <t>E44</t>
        </is>
      </c>
      <c r="C631" t="n">
        <v>44</v>
      </c>
      <c r="D631" t="n">
        <v>5</v>
      </c>
      <c r="E631" t="inlineStr">
        <is>
          <t>Input</t>
        </is>
      </c>
      <c r="F631" t="n">
        <v/>
      </c>
      <c r="H631" t="inlineStr"/>
      <c r="I631" t="inlineStr">
        <is>
          <t>#,##0</t>
        </is>
      </c>
      <c r="J631" t="b">
        <v>0</v>
      </c>
      <c r="K631" t="b">
        <v>0</v>
      </c>
      <c r="L631" t="n">
        <v>11</v>
      </c>
      <c r="M631" t="inlineStr">
        <is>
          <t>Values must be of type &lt;class 'str'&gt;</t>
        </is>
      </c>
      <c r="N631" t="inlineStr">
        <is>
          <t>00000000</t>
        </is>
      </c>
      <c r="O631" t="n">
        <v/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</row>
    <row r="632">
      <c r="A632" t="inlineStr">
        <is>
          <t>Cost Matrix</t>
        </is>
      </c>
      <c r="B632" t="inlineStr">
        <is>
          <t>F44</t>
        </is>
      </c>
      <c r="C632" t="n">
        <v>44</v>
      </c>
      <c r="D632" t="n">
        <v>6</v>
      </c>
      <c r="E632" t="inlineStr">
        <is>
          <t>Input</t>
        </is>
      </c>
      <c r="F632" t="n">
        <v/>
      </c>
      <c r="H632" t="inlineStr"/>
      <c r="I632" t="inlineStr">
        <is>
          <t>#,##0</t>
        </is>
      </c>
      <c r="J632" t="b">
        <v>0</v>
      </c>
      <c r="K632" t="b">
        <v>0</v>
      </c>
      <c r="L632" t="n">
        <v>11</v>
      </c>
      <c r="M632" t="inlineStr">
        <is>
          <t>Values must be of type &lt;class 'str'&gt;</t>
        </is>
      </c>
      <c r="N632" t="inlineStr">
        <is>
          <t>00000000</t>
        </is>
      </c>
      <c r="O632" t="n">
        <v/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</row>
    <row r="633">
      <c r="A633" t="inlineStr">
        <is>
          <t>Cost Matrix</t>
        </is>
      </c>
      <c r="B633" t="inlineStr">
        <is>
          <t>G44</t>
        </is>
      </c>
      <c r="C633" t="n">
        <v>44</v>
      </c>
      <c r="D633" t="n">
        <v>7</v>
      </c>
      <c r="E633" t="inlineStr">
        <is>
          <t>Input</t>
        </is>
      </c>
      <c r="F633" t="n">
        <v/>
      </c>
      <c r="H633" t="inlineStr"/>
      <c r="I633" t="inlineStr">
        <is>
          <t>#,##0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00000000</t>
        </is>
      </c>
      <c r="O633" t="n">
        <v/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</row>
    <row r="634">
      <c r="A634" t="inlineStr">
        <is>
          <t>Cost Matrix</t>
        </is>
      </c>
      <c r="B634" t="inlineStr">
        <is>
          <t>H44</t>
        </is>
      </c>
      <c r="C634" t="n">
        <v>44</v>
      </c>
      <c r="D634" t="n">
        <v>8</v>
      </c>
      <c r="E634" t="inlineStr">
        <is>
          <t>Input</t>
        </is>
      </c>
      <c r="F634" t="n">
        <v/>
      </c>
      <c r="H634" t="inlineStr"/>
      <c r="I634" t="inlineStr">
        <is>
          <t>#,##0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n">
        <v/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</row>
    <row r="635">
      <c r="A635" t="inlineStr">
        <is>
          <t>Cost Matrix</t>
        </is>
      </c>
      <c r="B635" t="inlineStr">
        <is>
          <t>I44</t>
        </is>
      </c>
      <c r="C635" t="n">
        <v>44</v>
      </c>
      <c r="D635" t="n">
        <v>9</v>
      </c>
      <c r="E635" t="inlineStr">
        <is>
          <t>Input</t>
        </is>
      </c>
      <c r="F635" t="n">
        <v/>
      </c>
      <c r="H635" t="inlineStr"/>
      <c r="I635" t="inlineStr">
        <is>
          <t>#,##0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n">
        <v/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</row>
    <row r="636">
      <c r="A636" t="inlineStr">
        <is>
          <t>Cost Matrix</t>
        </is>
      </c>
      <c r="B636" t="inlineStr">
        <is>
          <t>J44</t>
        </is>
      </c>
      <c r="C636" t="n">
        <v>44</v>
      </c>
      <c r="D636" t="n">
        <v>10</v>
      </c>
      <c r="E636" t="inlineStr">
        <is>
          <t>Input</t>
        </is>
      </c>
      <c r="F636" t="n">
        <v/>
      </c>
      <c r="H636" t="inlineStr"/>
      <c r="I636" t="inlineStr">
        <is>
          <t>#,##0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n">
        <v/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</row>
    <row r="637">
      <c r="A637" t="inlineStr">
        <is>
          <t>Cost Matrix</t>
        </is>
      </c>
      <c r="B637" t="inlineStr">
        <is>
          <t>K44</t>
        </is>
      </c>
      <c r="C637" t="n">
        <v>44</v>
      </c>
      <c r="D637" t="n">
        <v>11</v>
      </c>
      <c r="E637" t="inlineStr">
        <is>
          <t>Input</t>
        </is>
      </c>
      <c r="F637" t="n">
        <v/>
      </c>
      <c r="H637" t="inlineStr"/>
      <c r="I637" t="inlineStr">
        <is>
          <t>0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00000000</t>
        </is>
      </c>
      <c r="O637" t="n">
        <v/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</row>
    <row r="638">
      <c r="A638" t="inlineStr">
        <is>
          <t>Cost Matrix</t>
        </is>
      </c>
      <c r="B638" t="inlineStr">
        <is>
          <t>L44</t>
        </is>
      </c>
      <c r="C638" t="n">
        <v>44</v>
      </c>
      <c r="D638" t="n">
        <v>12</v>
      </c>
      <c r="E638" t="inlineStr">
        <is>
          <t>Input</t>
        </is>
      </c>
      <c r="F638" t="n">
        <v/>
      </c>
      <c r="H638" t="inlineStr"/>
      <c r="I638" t="inlineStr">
        <is>
          <t>0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00000000</t>
        </is>
      </c>
      <c r="O638" t="n">
        <v/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</row>
    <row r="639">
      <c r="A639" t="inlineStr">
        <is>
          <t>Cost Matrix</t>
        </is>
      </c>
      <c r="B639" t="inlineStr">
        <is>
          <t>M44</t>
        </is>
      </c>
      <c r="C639" t="n">
        <v>44</v>
      </c>
      <c r="D639" t="n">
        <v>13</v>
      </c>
      <c r="E639" t="inlineStr">
        <is>
          <t>Input</t>
        </is>
      </c>
      <c r="F639" t="n">
        <v/>
      </c>
      <c r="H639" t="inlineStr"/>
      <c r="I639" t="inlineStr">
        <is>
          <t>0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00000000</t>
        </is>
      </c>
      <c r="O639" t="n">
        <v/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</row>
    <row r="640">
      <c r="A640" t="inlineStr">
        <is>
          <t>Cost Matrix</t>
        </is>
      </c>
      <c r="B640" t="inlineStr">
        <is>
          <t>N44</t>
        </is>
      </c>
      <c r="C640" t="n">
        <v>44</v>
      </c>
      <c r="D640" t="n">
        <v>14</v>
      </c>
      <c r="E640" t="inlineStr">
        <is>
          <t>Input</t>
        </is>
      </c>
      <c r="F640" t="n">
        <v/>
      </c>
      <c r="H640" t="inlineStr"/>
      <c r="I640" t="inlineStr">
        <is>
          <t>0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00000000</t>
        </is>
      </c>
      <c r="O640" t="n">
        <v/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</row>
    <row r="641">
      <c r="A641" t="inlineStr">
        <is>
          <t>Cost Matrix</t>
        </is>
      </c>
      <c r="B641" t="inlineStr">
        <is>
          <t>O44</t>
        </is>
      </c>
      <c r="C641" t="n">
        <v>44</v>
      </c>
      <c r="D641" t="n">
        <v>15</v>
      </c>
      <c r="E641" t="inlineStr">
        <is>
          <t>Input</t>
        </is>
      </c>
      <c r="F641" t="n">
        <v/>
      </c>
      <c r="H641" t="inlineStr"/>
      <c r="I641" t="inlineStr">
        <is>
          <t>0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00000000</t>
        </is>
      </c>
      <c r="O641" t="n">
        <v/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</row>
    <row r="642">
      <c r="A642" t="inlineStr">
        <is>
          <t>Cost Matrix</t>
        </is>
      </c>
      <c r="B642" t="inlineStr">
        <is>
          <t>D45</t>
        </is>
      </c>
      <c r="C642" t="n">
        <v>45</v>
      </c>
      <c r="D642" t="n">
        <v>4</v>
      </c>
      <c r="E642" t="inlineStr">
        <is>
          <t>Input</t>
        </is>
      </c>
      <c r="F642" t="n">
        <v/>
      </c>
      <c r="H642" t="inlineStr"/>
      <c r="I642" t="inlineStr">
        <is>
          <t>0%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00000000</t>
        </is>
      </c>
      <c r="O642" t="n">
        <v/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</row>
    <row r="643">
      <c r="A643" t="inlineStr">
        <is>
          <t>Cost Matrix</t>
        </is>
      </c>
      <c r="B643" t="inlineStr">
        <is>
          <t>E45</t>
        </is>
      </c>
      <c r="C643" t="n">
        <v>45</v>
      </c>
      <c r="D643" t="n">
        <v>5</v>
      </c>
      <c r="E643" t="inlineStr">
        <is>
          <t>Input</t>
        </is>
      </c>
      <c r="F643" t="n">
        <v/>
      </c>
      <c r="H643" t="inlineStr"/>
      <c r="I643" t="inlineStr">
        <is>
          <t>0%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00000000</t>
        </is>
      </c>
      <c r="O643" t="n">
        <v/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</row>
    <row r="644">
      <c r="A644" t="inlineStr">
        <is>
          <t>Cost Matrix</t>
        </is>
      </c>
      <c r="B644" t="inlineStr">
        <is>
          <t>F45</t>
        </is>
      </c>
      <c r="C644" t="n">
        <v>45</v>
      </c>
      <c r="D644" t="n">
        <v>6</v>
      </c>
      <c r="E644" t="inlineStr">
        <is>
          <t>Input</t>
        </is>
      </c>
      <c r="F644" t="n">
        <v/>
      </c>
      <c r="H644" t="inlineStr"/>
      <c r="I644" t="inlineStr">
        <is>
          <t>0%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n">
        <v/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</row>
    <row r="645">
      <c r="A645" t="inlineStr">
        <is>
          <t>Cost Matrix</t>
        </is>
      </c>
      <c r="B645" t="inlineStr">
        <is>
          <t>G45</t>
        </is>
      </c>
      <c r="C645" t="n">
        <v>45</v>
      </c>
      <c r="D645" t="n">
        <v>7</v>
      </c>
      <c r="E645" t="inlineStr">
        <is>
          <t>Input</t>
        </is>
      </c>
      <c r="F645" t="n">
        <v/>
      </c>
      <c r="H645" t="inlineStr"/>
      <c r="I645" t="inlineStr">
        <is>
          <t>0%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n">
        <v/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</row>
    <row r="646">
      <c r="A646" t="inlineStr">
        <is>
          <t>Cost Matrix</t>
        </is>
      </c>
      <c r="B646" t="inlineStr">
        <is>
          <t>H45</t>
        </is>
      </c>
      <c r="C646" t="n">
        <v>45</v>
      </c>
      <c r="D646" t="n">
        <v>8</v>
      </c>
      <c r="E646" t="inlineStr">
        <is>
          <t>Input</t>
        </is>
      </c>
      <c r="F646" t="n">
        <v/>
      </c>
      <c r="H646" t="inlineStr"/>
      <c r="I646" t="inlineStr">
        <is>
          <t>0%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n">
        <v/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</row>
    <row r="647">
      <c r="A647" t="inlineStr">
        <is>
          <t>Cost Matrix</t>
        </is>
      </c>
      <c r="B647" t="inlineStr">
        <is>
          <t>I45</t>
        </is>
      </c>
      <c r="C647" t="n">
        <v>45</v>
      </c>
      <c r="D647" t="n">
        <v>9</v>
      </c>
      <c r="E647" t="inlineStr">
        <is>
          <t>Input</t>
        </is>
      </c>
      <c r="F647" t="n">
        <v/>
      </c>
      <c r="H647" t="inlineStr"/>
      <c r="I647" t="inlineStr">
        <is>
          <t>0%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n">
        <v/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</row>
    <row r="648">
      <c r="A648" t="inlineStr">
        <is>
          <t>Cost Matrix</t>
        </is>
      </c>
      <c r="B648" t="inlineStr">
        <is>
          <t>J45</t>
        </is>
      </c>
      <c r="C648" t="n">
        <v>45</v>
      </c>
      <c r="D648" t="n">
        <v>10</v>
      </c>
      <c r="E648" t="inlineStr">
        <is>
          <t>Input</t>
        </is>
      </c>
      <c r="F648" t="n">
        <v/>
      </c>
      <c r="H648" t="inlineStr"/>
      <c r="I648" t="inlineStr">
        <is>
          <t>0%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n">
        <v/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</row>
    <row r="649">
      <c r="A649" t="inlineStr">
        <is>
          <t>Cost Matrix</t>
        </is>
      </c>
      <c r="B649" t="inlineStr">
        <is>
          <t>A46</t>
        </is>
      </c>
      <c r="C649" t="n">
        <v>46</v>
      </c>
      <c r="D649" t="n">
        <v>1</v>
      </c>
      <c r="E649" t="inlineStr">
        <is>
          <t>Input</t>
        </is>
      </c>
      <c r="F649" t="n">
        <v/>
      </c>
      <c r="G649" t="inlineStr">
        <is>
          <t>Dividend Paid</t>
        </is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00000000</t>
        </is>
      </c>
      <c r="O649" t="n">
        <v/>
      </c>
      <c r="R649" t="b">
        <v>1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</row>
    <row r="650">
      <c r="A650" t="inlineStr">
        <is>
          <t>Cost Matrix</t>
        </is>
      </c>
      <c r="B650" t="inlineStr">
        <is>
          <t>D46</t>
        </is>
      </c>
      <c r="C650" t="n">
        <v>46</v>
      </c>
      <c r="D650" t="n">
        <v>4</v>
      </c>
      <c r="E650" t="inlineStr">
        <is>
          <t>Calculation</t>
        </is>
      </c>
      <c r="F650" t="inlineStr">
        <is>
          <t>'=-'CashFlow Statement'!D46</t>
        </is>
      </c>
      <c r="G650" t="n">
        <v>0</v>
      </c>
      <c r="H650" t="inlineStr"/>
      <c r="I650" t="inlineStr">
        <is>
          <t>0</t>
        </is>
      </c>
      <c r="J650" t="b">
        <v>0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00000000</t>
        </is>
      </c>
      <c r="O650" t="n">
        <v/>
      </c>
      <c r="R650" t="b">
        <v>1</v>
      </c>
      <c r="S650" t="inlineStr">
        <is>
          <t>G000145</t>
        </is>
      </c>
      <c r="T650" t="inlineStr">
        <is>
          <t>Horizontal</t>
        </is>
      </c>
      <c r="U650" t="n">
        <v>7</v>
      </c>
      <c r="V650" t="b">
        <v>1</v>
      </c>
      <c r="W650" t="inlineStr">
        <is>
          <t>Cost Matrix!D46:J46</t>
        </is>
      </c>
      <c r="X650">
        <f>-'CashFlow Statement'!R[0]C[0]</f>
        <v/>
      </c>
    </row>
    <row r="651">
      <c r="A651" t="inlineStr">
        <is>
          <t>Cost Matrix</t>
        </is>
      </c>
      <c r="B651" t="inlineStr">
        <is>
          <t>E46</t>
        </is>
      </c>
      <c r="C651" t="n">
        <v>46</v>
      </c>
      <c r="D651" t="n">
        <v>5</v>
      </c>
      <c r="E651" t="inlineStr">
        <is>
          <t>Calculation</t>
        </is>
      </c>
      <c r="F651" t="inlineStr">
        <is>
          <t>'=-'CashFlow Statement'!E46</t>
        </is>
      </c>
      <c r="G651" t="n">
        <v>4904.31</v>
      </c>
      <c r="H651" t="inlineStr"/>
      <c r="I651" t="inlineStr">
        <is>
          <t>0</t>
        </is>
      </c>
      <c r="J651" t="b">
        <v>0</v>
      </c>
      <c r="K651" t="b">
        <v>0</v>
      </c>
      <c r="L651" t="n">
        <v>11</v>
      </c>
      <c r="M651" t="inlineStr">
        <is>
          <t>Values must be of type &lt;class 'str'&gt;</t>
        </is>
      </c>
      <c r="N651" t="inlineStr">
        <is>
          <t>00000000</t>
        </is>
      </c>
      <c r="O651" t="n">
        <v/>
      </c>
      <c r="R651" t="b">
        <v>1</v>
      </c>
      <c r="S651" t="inlineStr">
        <is>
          <t>G000145</t>
        </is>
      </c>
      <c r="T651" t="inlineStr">
        <is>
          <t>Horizontal</t>
        </is>
      </c>
      <c r="U651" t="n">
        <v>7</v>
      </c>
      <c r="V651" t="b">
        <v>1</v>
      </c>
      <c r="W651" t="inlineStr">
        <is>
          <t>Cost Matrix!D46:J46</t>
        </is>
      </c>
      <c r="X651">
        <f>-'CashFlow Statement'!R[0]C[0]</f>
        <v/>
      </c>
    </row>
    <row r="652">
      <c r="A652" t="inlineStr">
        <is>
          <t>Cost Matrix</t>
        </is>
      </c>
      <c r="B652" t="inlineStr">
        <is>
          <t>F46</t>
        </is>
      </c>
      <c r="C652" t="n">
        <v>46</v>
      </c>
      <c r="D652" t="n">
        <v>6</v>
      </c>
      <c r="E652" t="inlineStr">
        <is>
          <t>Calculation</t>
        </is>
      </c>
      <c r="F652" t="inlineStr">
        <is>
          <t>'=-'CashFlow Statement'!F46</t>
        </is>
      </c>
      <c r="G652" t="n">
        <v>5486.38</v>
      </c>
      <c r="H652" t="inlineStr"/>
      <c r="I652" t="inlineStr">
        <is>
          <t>0</t>
        </is>
      </c>
      <c r="J652" t="b">
        <v>0</v>
      </c>
      <c r="K652" t="b">
        <v>0</v>
      </c>
      <c r="L652" t="n">
        <v>11</v>
      </c>
      <c r="M652" t="inlineStr">
        <is>
          <t>Values must be of type &lt;class 'str'&gt;</t>
        </is>
      </c>
      <c r="N652" t="inlineStr">
        <is>
          <t>00000000</t>
        </is>
      </c>
      <c r="O652" t="n">
        <v/>
      </c>
      <c r="R652" t="b">
        <v>1</v>
      </c>
      <c r="S652" t="inlineStr">
        <is>
          <t>G000145</t>
        </is>
      </c>
      <c r="T652" t="inlineStr">
        <is>
          <t>Horizontal</t>
        </is>
      </c>
      <c r="U652" t="n">
        <v>7</v>
      </c>
      <c r="V652" t="b">
        <v>1</v>
      </c>
      <c r="W652" t="inlineStr">
        <is>
          <t>Cost Matrix!D46:J46</t>
        </is>
      </c>
      <c r="X652">
        <f>-'CashFlow Statement'!R[0]C[0]</f>
        <v/>
      </c>
    </row>
    <row r="653">
      <c r="A653" t="inlineStr">
        <is>
          <t>Cost Matrix</t>
        </is>
      </c>
      <c r="B653" t="inlineStr">
        <is>
          <t>G46</t>
        </is>
      </c>
      <c r="C653" t="n">
        <v>46</v>
      </c>
      <c r="D653" t="n">
        <v>7</v>
      </c>
      <c r="E653" t="inlineStr">
        <is>
          <t>Calculation</t>
        </is>
      </c>
      <c r="F653" t="inlineStr">
        <is>
          <t>'=-'CashFlow Statement'!G46</t>
        </is>
      </c>
      <c r="G653" t="n">
        <v>0</v>
      </c>
      <c r="H653" t="inlineStr"/>
      <c r="I653" t="inlineStr">
        <is>
          <t>0</t>
        </is>
      </c>
      <c r="J653" t="b">
        <v>0</v>
      </c>
      <c r="K653" t="b">
        <v>0</v>
      </c>
      <c r="L653" t="n">
        <v>11</v>
      </c>
      <c r="M653" t="inlineStr">
        <is>
          <t>Values must be of type &lt;class 'str'&gt;</t>
        </is>
      </c>
      <c r="N653" t="inlineStr">
        <is>
          <t>00000000</t>
        </is>
      </c>
      <c r="O653" t="n">
        <v/>
      </c>
      <c r="R653" t="b">
        <v>1</v>
      </c>
      <c r="S653" t="inlineStr">
        <is>
          <t>G000145</t>
        </is>
      </c>
      <c r="T653" t="inlineStr">
        <is>
          <t>Horizontal</t>
        </is>
      </c>
      <c r="U653" t="n">
        <v>7</v>
      </c>
      <c r="V653" t="b">
        <v>1</v>
      </c>
      <c r="W653" t="inlineStr">
        <is>
          <t>Cost Matrix!D46:J46</t>
        </is>
      </c>
      <c r="X653">
        <f>-'CashFlow Statement'!R[0]C[0]</f>
        <v/>
      </c>
    </row>
    <row r="654">
      <c r="A654" t="inlineStr">
        <is>
          <t>Cost Matrix</t>
        </is>
      </c>
      <c r="B654" t="inlineStr">
        <is>
          <t>H46</t>
        </is>
      </c>
      <c r="C654" t="n">
        <v>46</v>
      </c>
      <c r="D654" t="n">
        <v>8</v>
      </c>
      <c r="E654" t="inlineStr">
        <is>
          <t>Calculation</t>
        </is>
      </c>
      <c r="F654" t="inlineStr">
        <is>
          <t>'=-'CashFlow Statement'!H46</t>
        </is>
      </c>
      <c r="G654" t="n">
        <v>13575.3</v>
      </c>
      <c r="H654" t="inlineStr"/>
      <c r="I654" t="inlineStr">
        <is>
          <t>0</t>
        </is>
      </c>
      <c r="J654" t="b">
        <v>0</v>
      </c>
      <c r="K654" t="b">
        <v>0</v>
      </c>
      <c r="L654" t="n">
        <v>11</v>
      </c>
      <c r="M654" t="inlineStr">
        <is>
          <t>Values must be of type &lt;class 'str'&gt;</t>
        </is>
      </c>
      <c r="N654" t="inlineStr">
        <is>
          <t>00000000</t>
        </is>
      </c>
      <c r="O654" t="n">
        <v/>
      </c>
      <c r="R654" t="b">
        <v>1</v>
      </c>
      <c r="S654" t="inlineStr">
        <is>
          <t>G000145</t>
        </is>
      </c>
      <c r="T654" t="inlineStr">
        <is>
          <t>Horizontal</t>
        </is>
      </c>
      <c r="U654" t="n">
        <v>7</v>
      </c>
      <c r="V654" t="b">
        <v>1</v>
      </c>
      <c r="W654" t="inlineStr">
        <is>
          <t>Cost Matrix!D46:J46</t>
        </is>
      </c>
      <c r="X654">
        <f>-'CashFlow Statement'!R[0]C[0]</f>
        <v/>
      </c>
    </row>
    <row r="655">
      <c r="A655" t="inlineStr">
        <is>
          <t>Cost Matrix</t>
        </is>
      </c>
      <c r="B655" t="inlineStr">
        <is>
          <t>I46</t>
        </is>
      </c>
      <c r="C655" t="n">
        <v>46</v>
      </c>
      <c r="D655" t="n">
        <v>9</v>
      </c>
      <c r="E655" t="inlineStr">
        <is>
          <t>Calculation</t>
        </is>
      </c>
      <c r="F655" t="inlineStr">
        <is>
          <t>'=-'CashFlow Statement'!I46</t>
        </is>
      </c>
      <c r="G655" t="n">
        <v>11026.49</v>
      </c>
      <c r="H655" t="inlineStr"/>
      <c r="I655" t="inlineStr">
        <is>
          <t>0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00000000</t>
        </is>
      </c>
      <c r="O655" t="n">
        <v/>
      </c>
      <c r="R655" t="b">
        <v>1</v>
      </c>
      <c r="S655" t="inlineStr">
        <is>
          <t>G000145</t>
        </is>
      </c>
      <c r="T655" t="inlineStr">
        <is>
          <t>Horizontal</t>
        </is>
      </c>
      <c r="U655" t="n">
        <v>7</v>
      </c>
      <c r="V655" t="b">
        <v>1</v>
      </c>
      <c r="W655" t="inlineStr">
        <is>
          <t>Cost Matrix!D46:J46</t>
        </is>
      </c>
      <c r="X655">
        <f>-'CashFlow Statement'!R[0]C[0]</f>
        <v/>
      </c>
    </row>
    <row r="656">
      <c r="A656" t="inlineStr">
        <is>
          <t>Cost Matrix</t>
        </is>
      </c>
      <c r="B656" t="inlineStr">
        <is>
          <t>J46</t>
        </is>
      </c>
      <c r="C656" t="n">
        <v>46</v>
      </c>
      <c r="D656" t="n">
        <v>10</v>
      </c>
      <c r="E656" t="inlineStr">
        <is>
          <t>Calculation</t>
        </is>
      </c>
      <c r="F656" t="inlineStr">
        <is>
          <t>'=-'CashFlow Statement'!J46</t>
        </is>
      </c>
      <c r="G656" t="n">
        <v>5422.03</v>
      </c>
      <c r="H656" t="inlineStr"/>
      <c r="I656" t="inlineStr">
        <is>
          <t>0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00000000</t>
        </is>
      </c>
      <c r="O656" t="n">
        <v/>
      </c>
      <c r="R656" t="b">
        <v>1</v>
      </c>
      <c r="S656" t="inlineStr">
        <is>
          <t>G000145</t>
        </is>
      </c>
      <c r="T656" t="inlineStr">
        <is>
          <t>Horizontal</t>
        </is>
      </c>
      <c r="U656" t="n">
        <v>7</v>
      </c>
      <c r="V656" t="b">
        <v>1</v>
      </c>
      <c r="W656" t="inlineStr">
        <is>
          <t>Cost Matrix!D46:J46</t>
        </is>
      </c>
      <c r="X656">
        <f>-'CashFlow Statement'!R[0]C[0]</f>
        <v/>
      </c>
    </row>
    <row r="657">
      <c r="A657" t="inlineStr">
        <is>
          <t>Cost Matrix</t>
        </is>
      </c>
      <c r="B657" t="inlineStr">
        <is>
          <t>K46</t>
        </is>
      </c>
      <c r="C657" t="n">
        <v>46</v>
      </c>
      <c r="D657" t="n">
        <v>11</v>
      </c>
      <c r="E657" t="inlineStr">
        <is>
          <t>Calculation</t>
        </is>
      </c>
      <c r="F657" t="inlineStr">
        <is>
          <t>'=K48*'Income statement'!K31</t>
        </is>
      </c>
      <c r="G657" t="n">
        <v>12650.08602492177</v>
      </c>
      <c r="H657" t="inlineStr"/>
      <c r="I657" t="inlineStr">
        <is>
          <t>0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00000000</t>
        </is>
      </c>
      <c r="O657" t="n">
        <v/>
      </c>
      <c r="R657" t="b">
        <v>1</v>
      </c>
      <c r="S657" t="inlineStr">
        <is>
          <t>G000147</t>
        </is>
      </c>
      <c r="T657" t="inlineStr">
        <is>
          <t>Horizontal</t>
        </is>
      </c>
      <c r="U657" t="n">
        <v>5</v>
      </c>
      <c r="V657" t="b">
        <v>1</v>
      </c>
      <c r="W657" t="inlineStr">
        <is>
          <t>Cost Matrix!K46:O46</t>
        </is>
      </c>
      <c r="X657">
        <f>R[2]C[0]*'Income statement'!R[-15]C[0]</f>
        <v/>
      </c>
    </row>
    <row r="658">
      <c r="A658" t="inlineStr">
        <is>
          <t>Cost Matrix</t>
        </is>
      </c>
      <c r="B658" t="inlineStr">
        <is>
          <t>L46</t>
        </is>
      </c>
      <c r="C658" t="n">
        <v>46</v>
      </c>
      <c r="D658" t="n">
        <v>12</v>
      </c>
      <c r="E658" t="inlineStr">
        <is>
          <t>Calculation</t>
        </is>
      </c>
      <c r="F658" t="inlineStr">
        <is>
          <t>'=L48*'Income statement'!L31</t>
        </is>
      </c>
      <c r="G658" t="n">
        <v>14158.11766324755</v>
      </c>
      <c r="H658" t="inlineStr"/>
      <c r="I658" t="inlineStr">
        <is>
          <t>0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00000000</t>
        </is>
      </c>
      <c r="O658" t="n">
        <v/>
      </c>
      <c r="R658" t="b">
        <v>1</v>
      </c>
      <c r="S658" t="inlineStr">
        <is>
          <t>G000147</t>
        </is>
      </c>
      <c r="T658" t="inlineStr">
        <is>
          <t>Horizontal</t>
        </is>
      </c>
      <c r="U658" t="n">
        <v>5</v>
      </c>
      <c r="V658" t="b">
        <v>1</v>
      </c>
      <c r="W658" t="inlineStr">
        <is>
          <t>Cost Matrix!K46:O46</t>
        </is>
      </c>
      <c r="X658">
        <f>R[2]C[0]*'Income statement'!R[-15]C[0]</f>
        <v/>
      </c>
    </row>
    <row r="659">
      <c r="A659" t="inlineStr">
        <is>
          <t>Cost Matrix</t>
        </is>
      </c>
      <c r="B659" t="inlineStr">
        <is>
          <t>M46</t>
        </is>
      </c>
      <c r="C659" t="n">
        <v>46</v>
      </c>
      <c r="D659" t="n">
        <v>13</v>
      </c>
      <c r="E659" t="inlineStr">
        <is>
          <t>Calculation</t>
        </is>
      </c>
      <c r="F659" t="inlineStr">
        <is>
          <t>'=M48*'Income statement'!M31</t>
        </is>
      </c>
      <c r="G659" t="n">
        <v>17415.18086151407</v>
      </c>
      <c r="H659" t="inlineStr"/>
      <c r="I659" t="inlineStr">
        <is>
          <t>0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00000000</t>
        </is>
      </c>
      <c r="O659" t="n">
        <v/>
      </c>
      <c r="R659" t="b">
        <v>1</v>
      </c>
      <c r="S659" t="inlineStr">
        <is>
          <t>G000147</t>
        </is>
      </c>
      <c r="T659" t="inlineStr">
        <is>
          <t>Horizontal</t>
        </is>
      </c>
      <c r="U659" t="n">
        <v>5</v>
      </c>
      <c r="V659" t="b">
        <v>1</v>
      </c>
      <c r="W659" t="inlineStr">
        <is>
          <t>Cost Matrix!K46:O46</t>
        </is>
      </c>
      <c r="X659">
        <f>R[2]C[0]*'Income statement'!R[-15]C[0]</f>
        <v/>
      </c>
    </row>
    <row r="660">
      <c r="A660" t="inlineStr">
        <is>
          <t>Cost Matrix</t>
        </is>
      </c>
      <c r="B660" t="inlineStr">
        <is>
          <t>N46</t>
        </is>
      </c>
      <c r="C660" t="n">
        <v>46</v>
      </c>
      <c r="D660" t="n">
        <v>14</v>
      </c>
      <c r="E660" t="inlineStr">
        <is>
          <t>Calculation</t>
        </is>
      </c>
      <c r="F660" t="inlineStr">
        <is>
          <t>'=N48*'Income statement'!N31</t>
        </is>
      </c>
      <c r="G660" t="n">
        <v>20797.25261639633</v>
      </c>
      <c r="H660" t="inlineStr"/>
      <c r="I660" t="inlineStr">
        <is>
          <t>0</t>
        </is>
      </c>
      <c r="J660" t="b">
        <v>0</v>
      </c>
      <c r="K660" t="b">
        <v>0</v>
      </c>
      <c r="L660" t="n">
        <v>11</v>
      </c>
      <c r="M660" t="inlineStr">
        <is>
          <t>Values must be of type &lt;class 'str'&gt;</t>
        </is>
      </c>
      <c r="N660" t="inlineStr">
        <is>
          <t>00000000</t>
        </is>
      </c>
      <c r="O660" t="n">
        <v/>
      </c>
      <c r="R660" t="b">
        <v>1</v>
      </c>
      <c r="S660" t="inlineStr">
        <is>
          <t>G000147</t>
        </is>
      </c>
      <c r="T660" t="inlineStr">
        <is>
          <t>Horizontal</t>
        </is>
      </c>
      <c r="U660" t="n">
        <v>5</v>
      </c>
      <c r="V660" t="b">
        <v>1</v>
      </c>
      <c r="W660" t="inlineStr">
        <is>
          <t>Cost Matrix!K46:O46</t>
        </is>
      </c>
      <c r="X660">
        <f>R[2]C[0]*'Income statement'!R[-15]C[0]</f>
        <v/>
      </c>
    </row>
    <row r="661">
      <c r="A661" t="inlineStr">
        <is>
          <t>Cost Matrix</t>
        </is>
      </c>
      <c r="B661" t="inlineStr">
        <is>
          <t>O46</t>
        </is>
      </c>
      <c r="C661" t="n">
        <v>46</v>
      </c>
      <c r="D661" t="n">
        <v>15</v>
      </c>
      <c r="E661" t="inlineStr">
        <is>
          <t>Calculation</t>
        </is>
      </c>
      <c r="F661" t="inlineStr">
        <is>
          <t>'=O48*'Income statement'!O31</t>
        </is>
      </c>
      <c r="G661" t="n">
        <v>25031.65006213896</v>
      </c>
      <c r="H661" t="inlineStr"/>
      <c r="I661" t="inlineStr">
        <is>
          <t>0</t>
        </is>
      </c>
      <c r="J661" t="b">
        <v>0</v>
      </c>
      <c r="K661" t="b">
        <v>0</v>
      </c>
      <c r="L661" t="n">
        <v>11</v>
      </c>
      <c r="M661" t="inlineStr">
        <is>
          <t>Values must be of type &lt;class 'str'&gt;</t>
        </is>
      </c>
      <c r="N661" t="inlineStr">
        <is>
          <t>00000000</t>
        </is>
      </c>
      <c r="O661" t="n">
        <v/>
      </c>
      <c r="R661" t="b">
        <v>1</v>
      </c>
      <c r="S661" t="inlineStr">
        <is>
          <t>G000147</t>
        </is>
      </c>
      <c r="T661" t="inlineStr">
        <is>
          <t>Horizontal</t>
        </is>
      </c>
      <c r="U661" t="n">
        <v>5</v>
      </c>
      <c r="V661" t="b">
        <v>1</v>
      </c>
      <c r="W661" t="inlineStr">
        <is>
          <t>Cost Matrix!K46:O46</t>
        </is>
      </c>
      <c r="X661">
        <f>R[2]C[0]*'Income statement'!R[-15]C[0]</f>
        <v/>
      </c>
    </row>
    <row r="662">
      <c r="A662" t="inlineStr">
        <is>
          <t>Cost Matrix</t>
        </is>
      </c>
      <c r="B662" t="inlineStr">
        <is>
          <t>A47</t>
        </is>
      </c>
      <c r="C662" t="n">
        <v>47</v>
      </c>
      <c r="D662" t="n">
        <v>1</v>
      </c>
      <c r="E662" t="inlineStr">
        <is>
          <t>Input</t>
        </is>
      </c>
      <c r="F662" t="n">
        <v/>
      </c>
      <c r="G662" t="inlineStr">
        <is>
          <t>Dividend Tax</t>
        </is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11</v>
      </c>
      <c r="M662" t="inlineStr">
        <is>
          <t>Values must be of type &lt;class 'str'&gt;</t>
        </is>
      </c>
      <c r="N662" t="inlineStr">
        <is>
          <t>00000000</t>
        </is>
      </c>
      <c r="O662" t="n">
        <v/>
      </c>
      <c r="R662" t="b">
        <v>1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</row>
    <row r="663">
      <c r="A663" t="inlineStr">
        <is>
          <t>Cost Matrix</t>
        </is>
      </c>
      <c r="B663" t="inlineStr">
        <is>
          <t>D47</t>
        </is>
      </c>
      <c r="C663" t="n">
        <v>47</v>
      </c>
      <c r="D663" t="n">
        <v>4</v>
      </c>
      <c r="E663" t="inlineStr">
        <is>
          <t>Output</t>
        </is>
      </c>
      <c r="F663" t="inlineStr">
        <is>
          <t>'=-'CashFlow Statement'!D47</t>
        </is>
      </c>
      <c r="G663" t="n">
        <v>0</v>
      </c>
      <c r="H663" t="inlineStr"/>
      <c r="I663" t="inlineStr">
        <is>
          <t>0</t>
        </is>
      </c>
      <c r="J663" t="b">
        <v>0</v>
      </c>
      <c r="K663" t="b">
        <v>0</v>
      </c>
      <c r="L663" t="n">
        <v>11</v>
      </c>
      <c r="M663" t="inlineStr">
        <is>
          <t>Values must be of type &lt;class 'str'&gt;</t>
        </is>
      </c>
      <c r="N663" t="inlineStr">
        <is>
          <t>00000000</t>
        </is>
      </c>
      <c r="O663" t="n">
        <v/>
      </c>
      <c r="R663" t="b">
        <v>1</v>
      </c>
      <c r="S663" t="inlineStr">
        <is>
          <t>G000146</t>
        </is>
      </c>
      <c r="T663" t="inlineStr">
        <is>
          <t>Horizontal</t>
        </is>
      </c>
      <c r="U663" t="n">
        <v>7</v>
      </c>
      <c r="V663" t="b">
        <v>1</v>
      </c>
      <c r="W663" t="inlineStr">
        <is>
          <t>Cost Matrix!D47:J47</t>
        </is>
      </c>
      <c r="X663">
        <f>-'CashFlow Statement'!R[0]C[0]</f>
        <v/>
      </c>
    </row>
    <row r="664">
      <c r="A664" t="inlineStr">
        <is>
          <t>Cost Matrix</t>
        </is>
      </c>
      <c r="B664" t="inlineStr">
        <is>
          <t>E47</t>
        </is>
      </c>
      <c r="C664" t="n">
        <v>47</v>
      </c>
      <c r="D664" t="n">
        <v>5</v>
      </c>
      <c r="E664" t="inlineStr">
        <is>
          <t>Calculation</t>
        </is>
      </c>
      <c r="F664" t="inlineStr">
        <is>
          <t>'=-'CashFlow Statement'!E47</t>
        </is>
      </c>
      <c r="G664" t="n">
        <v>795.59</v>
      </c>
      <c r="H664" t="inlineStr"/>
      <c r="I664" t="inlineStr">
        <is>
          <t>0</t>
        </is>
      </c>
      <c r="J664" t="b">
        <v>0</v>
      </c>
      <c r="K664" t="b">
        <v>0</v>
      </c>
      <c r="L664" t="n">
        <v>11</v>
      </c>
      <c r="M664" t="inlineStr">
        <is>
          <t>Values must be of type &lt;class 'str'&gt;</t>
        </is>
      </c>
      <c r="N664" t="inlineStr">
        <is>
          <t>00000000</t>
        </is>
      </c>
      <c r="O664" t="n">
        <v/>
      </c>
      <c r="R664" t="b">
        <v>1</v>
      </c>
      <c r="S664" t="inlineStr">
        <is>
          <t>G000146</t>
        </is>
      </c>
      <c r="T664" t="inlineStr">
        <is>
          <t>Horizontal</t>
        </is>
      </c>
      <c r="U664" t="n">
        <v>7</v>
      </c>
      <c r="V664" t="b">
        <v>1</v>
      </c>
      <c r="W664" t="inlineStr">
        <is>
          <t>Cost Matrix!D47:J47</t>
        </is>
      </c>
      <c r="X664">
        <f>-'CashFlow Statement'!R[0]C[0]</f>
        <v/>
      </c>
    </row>
    <row r="665">
      <c r="A665" t="inlineStr">
        <is>
          <t>Cost Matrix</t>
        </is>
      </c>
      <c r="B665" t="inlineStr">
        <is>
          <t>F47</t>
        </is>
      </c>
      <c r="C665" t="n">
        <v>47</v>
      </c>
      <c r="D665" t="n">
        <v>6</v>
      </c>
      <c r="E665" t="inlineStr">
        <is>
          <t>Calculation</t>
        </is>
      </c>
      <c r="F665" t="inlineStr">
        <is>
          <t>'=-'CashFlow Statement'!F47</t>
        </is>
      </c>
      <c r="G665" t="n">
        <v>890.03</v>
      </c>
      <c r="H665" t="inlineStr"/>
      <c r="I665" t="inlineStr">
        <is>
          <t>0</t>
        </is>
      </c>
      <c r="J665" t="b">
        <v>0</v>
      </c>
      <c r="K665" t="b">
        <v>0</v>
      </c>
      <c r="L665" t="n">
        <v>11</v>
      </c>
      <c r="M665" t="inlineStr">
        <is>
          <t>Values must be of type &lt;class 'str'&gt;</t>
        </is>
      </c>
      <c r="N665" t="inlineStr">
        <is>
          <t>00000000</t>
        </is>
      </c>
      <c r="O665" t="n">
        <v/>
      </c>
      <c r="R665" t="b">
        <v>1</v>
      </c>
      <c r="S665" t="inlineStr">
        <is>
          <t>G000146</t>
        </is>
      </c>
      <c r="T665" t="inlineStr">
        <is>
          <t>Horizontal</t>
        </is>
      </c>
      <c r="U665" t="n">
        <v>7</v>
      </c>
      <c r="V665" t="b">
        <v>1</v>
      </c>
      <c r="W665" t="inlineStr">
        <is>
          <t>Cost Matrix!D47:J47</t>
        </is>
      </c>
      <c r="X665">
        <f>-'CashFlow Statement'!R[0]C[0]</f>
        <v/>
      </c>
    </row>
    <row r="666">
      <c r="A666" t="inlineStr">
        <is>
          <t>Cost Matrix</t>
        </is>
      </c>
      <c r="B666" t="inlineStr">
        <is>
          <t>G47</t>
        </is>
      </c>
      <c r="C666" t="n">
        <v>47</v>
      </c>
      <c r="D666" t="n">
        <v>7</v>
      </c>
      <c r="E666" t="inlineStr">
        <is>
          <t>Output</t>
        </is>
      </c>
      <c r="F666" t="inlineStr">
        <is>
          <t>'=-'CashFlow Statement'!G47</t>
        </is>
      </c>
      <c r="G666" t="n">
        <v>0</v>
      </c>
      <c r="H666" t="inlineStr"/>
      <c r="I666" t="inlineStr">
        <is>
          <t>0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00000000</t>
        </is>
      </c>
      <c r="O666" t="n">
        <v/>
      </c>
      <c r="R666" t="b">
        <v>1</v>
      </c>
      <c r="S666" t="inlineStr">
        <is>
          <t>G000146</t>
        </is>
      </c>
      <c r="T666" t="inlineStr">
        <is>
          <t>Horizontal</t>
        </is>
      </c>
      <c r="U666" t="n">
        <v>7</v>
      </c>
      <c r="V666" t="b">
        <v>1</v>
      </c>
      <c r="W666" t="inlineStr">
        <is>
          <t>Cost Matrix!D47:J47</t>
        </is>
      </c>
      <c r="X666">
        <f>-'CashFlow Statement'!R[0]C[0]</f>
        <v/>
      </c>
    </row>
    <row r="667">
      <c r="A667" t="inlineStr">
        <is>
          <t>Cost Matrix</t>
        </is>
      </c>
      <c r="B667" t="inlineStr">
        <is>
          <t>H47</t>
        </is>
      </c>
      <c r="C667" t="n">
        <v>47</v>
      </c>
      <c r="D667" t="n">
        <v>8</v>
      </c>
      <c r="E667" t="inlineStr">
        <is>
          <t>Calculation</t>
        </is>
      </c>
      <c r="F667" t="inlineStr">
        <is>
          <t>'=-'CashFlow Statement'!H47</t>
        </is>
      </c>
      <c r="G667" t="n">
        <v>2552.83</v>
      </c>
      <c r="H667" t="inlineStr"/>
      <c r="I667" t="inlineStr">
        <is>
          <t>0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00000000</t>
        </is>
      </c>
      <c r="O667" t="n">
        <v/>
      </c>
      <c r="R667" t="b">
        <v>1</v>
      </c>
      <c r="S667" t="inlineStr">
        <is>
          <t>G000146</t>
        </is>
      </c>
      <c r="T667" t="inlineStr">
        <is>
          <t>Horizontal</t>
        </is>
      </c>
      <c r="U667" t="n">
        <v>7</v>
      </c>
      <c r="V667" t="b">
        <v>1</v>
      </c>
      <c r="W667" t="inlineStr">
        <is>
          <t>Cost Matrix!D47:J47</t>
        </is>
      </c>
      <c r="X667">
        <f>-'CashFlow Statement'!R[0]C[0]</f>
        <v/>
      </c>
    </row>
    <row r="668">
      <c r="A668" t="inlineStr">
        <is>
          <t>Cost Matrix</t>
        </is>
      </c>
      <c r="B668" t="inlineStr">
        <is>
          <t>I47</t>
        </is>
      </c>
      <c r="C668" t="n">
        <v>47</v>
      </c>
      <c r="D668" t="n">
        <v>9</v>
      </c>
      <c r="E668" t="inlineStr">
        <is>
          <t>Calculation</t>
        </is>
      </c>
      <c r="F668" t="inlineStr">
        <is>
          <t>'=-'CashFlow Statement'!I47</t>
        </is>
      </c>
      <c r="G668" t="n">
        <v>2244.77</v>
      </c>
      <c r="H668" t="inlineStr"/>
      <c r="I668" t="inlineStr">
        <is>
          <t>0</t>
        </is>
      </c>
      <c r="J668" t="b">
        <v>0</v>
      </c>
      <c r="K668" t="b">
        <v>0</v>
      </c>
      <c r="L668" t="n">
        <v>11</v>
      </c>
      <c r="M668" t="inlineStr">
        <is>
          <t>Values must be of type &lt;class 'str'&gt;</t>
        </is>
      </c>
      <c r="N668" t="inlineStr">
        <is>
          <t>00000000</t>
        </is>
      </c>
      <c r="O668" t="n">
        <v/>
      </c>
      <c r="R668" t="b">
        <v>1</v>
      </c>
      <c r="S668" t="inlineStr">
        <is>
          <t>G000146</t>
        </is>
      </c>
      <c r="T668" t="inlineStr">
        <is>
          <t>Horizontal</t>
        </is>
      </c>
      <c r="U668" t="n">
        <v>7</v>
      </c>
      <c r="V668" t="b">
        <v>1</v>
      </c>
      <c r="W668" t="inlineStr">
        <is>
          <t>Cost Matrix!D47:J47</t>
        </is>
      </c>
      <c r="X668">
        <f>-'CashFlow Statement'!R[0]C[0]</f>
        <v/>
      </c>
    </row>
    <row r="669">
      <c r="A669" t="inlineStr">
        <is>
          <t>Cost Matrix</t>
        </is>
      </c>
      <c r="B669" t="inlineStr">
        <is>
          <t>J47</t>
        </is>
      </c>
      <c r="C669" t="n">
        <v>47</v>
      </c>
      <c r="D669" t="n">
        <v>10</v>
      </c>
      <c r="E669" t="inlineStr">
        <is>
          <t>Calculation</t>
        </is>
      </c>
      <c r="F669" t="inlineStr">
        <is>
          <t>'=-'CashFlow Statement'!J47</t>
        </is>
      </c>
      <c r="G669" t="n">
        <v>1103.8</v>
      </c>
      <c r="H669" t="inlineStr"/>
      <c r="I669" t="inlineStr">
        <is>
          <t>0</t>
        </is>
      </c>
      <c r="J669" t="b">
        <v>0</v>
      </c>
      <c r="K669" t="b">
        <v>0</v>
      </c>
      <c r="L669" t="n">
        <v>11</v>
      </c>
      <c r="M669" t="inlineStr">
        <is>
          <t>Values must be of type &lt;class 'str'&gt;</t>
        </is>
      </c>
      <c r="N669" t="inlineStr">
        <is>
          <t>00000000</t>
        </is>
      </c>
      <c r="O669" t="n">
        <v/>
      </c>
      <c r="R669" t="b">
        <v>1</v>
      </c>
      <c r="S669" t="inlineStr">
        <is>
          <t>G000146</t>
        </is>
      </c>
      <c r="T669" t="inlineStr">
        <is>
          <t>Horizontal</t>
        </is>
      </c>
      <c r="U669" t="n">
        <v>7</v>
      </c>
      <c r="V669" t="b">
        <v>1</v>
      </c>
      <c r="W669" t="inlineStr">
        <is>
          <t>Cost Matrix!D47:J47</t>
        </is>
      </c>
      <c r="X669">
        <f>-'CashFlow Statement'!R[0]C[0]</f>
        <v/>
      </c>
    </row>
    <row r="670">
      <c r="A670" t="inlineStr">
        <is>
          <t>Cost Matrix</t>
        </is>
      </c>
      <c r="B670" t="inlineStr">
        <is>
          <t>K47</t>
        </is>
      </c>
      <c r="C670" t="n">
        <v>47</v>
      </c>
      <c r="D670" t="n">
        <v>11</v>
      </c>
      <c r="E670" t="inlineStr">
        <is>
          <t>Calculation</t>
        </is>
      </c>
      <c r="F670" t="inlineStr">
        <is>
          <t>'=K46*K49</t>
        </is>
      </c>
      <c r="G670" t="n">
        <v>2575.265159784923</v>
      </c>
      <c r="H670" t="inlineStr"/>
      <c r="I670" t="inlineStr">
        <is>
          <t>0</t>
        </is>
      </c>
      <c r="J670" t="b">
        <v>0</v>
      </c>
      <c r="K670" t="b">
        <v>0</v>
      </c>
      <c r="L670" t="n">
        <v>11</v>
      </c>
      <c r="M670" t="inlineStr">
        <is>
          <t>Values must be of type &lt;class 'str'&gt;</t>
        </is>
      </c>
      <c r="N670" t="inlineStr">
        <is>
          <t>00000000</t>
        </is>
      </c>
      <c r="O670" t="n">
        <v/>
      </c>
      <c r="R670" t="b">
        <v>1</v>
      </c>
      <c r="S670" t="inlineStr">
        <is>
          <t>G000148</t>
        </is>
      </c>
      <c r="T670" t="inlineStr">
        <is>
          <t>Horizontal</t>
        </is>
      </c>
      <c r="U670" t="n">
        <v>5</v>
      </c>
      <c r="V670" t="b">
        <v>1</v>
      </c>
      <c r="W670" t="inlineStr">
        <is>
          <t>Cost Matrix!K47:O47</t>
        </is>
      </c>
      <c r="X670">
        <f>R[-1]C[0]*R[2]C[0]</f>
        <v/>
      </c>
    </row>
    <row r="671">
      <c r="A671" t="inlineStr">
        <is>
          <t>Cost Matrix</t>
        </is>
      </c>
      <c r="B671" t="inlineStr">
        <is>
          <t>L47</t>
        </is>
      </c>
      <c r="C671" t="n">
        <v>47</v>
      </c>
      <c r="D671" t="n">
        <v>12</v>
      </c>
      <c r="E671" t="inlineStr">
        <is>
          <t>Calculation</t>
        </is>
      </c>
      <c r="F671" t="inlineStr">
        <is>
          <t>'=L46*L49</t>
        </is>
      </c>
      <c r="G671" t="n">
        <v>2882.265549377751</v>
      </c>
      <c r="H671" t="inlineStr"/>
      <c r="I671" t="inlineStr">
        <is>
          <t>0</t>
        </is>
      </c>
      <c r="J671" t="b">
        <v>0</v>
      </c>
      <c r="K671" t="b">
        <v>0</v>
      </c>
      <c r="L671" t="n">
        <v>11</v>
      </c>
      <c r="M671" t="inlineStr">
        <is>
          <t>Values must be of type &lt;class 'str'&gt;</t>
        </is>
      </c>
      <c r="N671" t="inlineStr">
        <is>
          <t>00000000</t>
        </is>
      </c>
      <c r="O671" t="n">
        <v/>
      </c>
      <c r="R671" t="b">
        <v>1</v>
      </c>
      <c r="S671" t="inlineStr">
        <is>
          <t>G000148</t>
        </is>
      </c>
      <c r="T671" t="inlineStr">
        <is>
          <t>Horizontal</t>
        </is>
      </c>
      <c r="U671" t="n">
        <v>5</v>
      </c>
      <c r="V671" t="b">
        <v>1</v>
      </c>
      <c r="W671" t="inlineStr">
        <is>
          <t>Cost Matrix!K47:O47</t>
        </is>
      </c>
      <c r="X671">
        <f>R[-1]C[0]*R[2]C[0]</f>
        <v/>
      </c>
    </row>
    <row r="672">
      <c r="A672" t="inlineStr">
        <is>
          <t>Cost Matrix</t>
        </is>
      </c>
      <c r="B672" t="inlineStr">
        <is>
          <t>M47</t>
        </is>
      </c>
      <c r="C672" t="n">
        <v>47</v>
      </c>
      <c r="D672" t="n">
        <v>13</v>
      </c>
      <c r="E672" t="inlineStr">
        <is>
          <t>Calculation</t>
        </is>
      </c>
      <c r="F672" t="inlineStr">
        <is>
          <t>'=M46*M49</t>
        </is>
      </c>
      <c r="G672" t="n">
        <v>3545.328342878817</v>
      </c>
      <c r="H672" t="inlineStr"/>
      <c r="I672" t="inlineStr">
        <is>
          <t>0</t>
        </is>
      </c>
      <c r="J672" t="b">
        <v>0</v>
      </c>
      <c r="K672" t="b">
        <v>0</v>
      </c>
      <c r="L672" t="n">
        <v>11</v>
      </c>
      <c r="M672" t="inlineStr">
        <is>
          <t>Values must be of type &lt;class 'str'&gt;</t>
        </is>
      </c>
      <c r="N672" t="inlineStr">
        <is>
          <t>00000000</t>
        </is>
      </c>
      <c r="O672" t="n">
        <v/>
      </c>
      <c r="R672" t="b">
        <v>1</v>
      </c>
      <c r="S672" t="inlineStr">
        <is>
          <t>G000148</t>
        </is>
      </c>
      <c r="T672" t="inlineStr">
        <is>
          <t>Horizontal</t>
        </is>
      </c>
      <c r="U672" t="n">
        <v>5</v>
      </c>
      <c r="V672" t="b">
        <v>1</v>
      </c>
      <c r="W672" t="inlineStr">
        <is>
          <t>Cost Matrix!K47:O47</t>
        </is>
      </c>
      <c r="X672">
        <f>R[-1]C[0]*R[2]C[0]</f>
        <v/>
      </c>
    </row>
    <row r="673">
      <c r="A673" t="inlineStr">
        <is>
          <t>Cost Matrix</t>
        </is>
      </c>
      <c r="B673" t="inlineStr">
        <is>
          <t>N47</t>
        </is>
      </c>
      <c r="C673" t="n">
        <v>47</v>
      </c>
      <c r="D673" t="n">
        <v>14</v>
      </c>
      <c r="E673" t="inlineStr">
        <is>
          <t>Calculation</t>
        </is>
      </c>
      <c r="F673" t="inlineStr">
        <is>
          <t>'=N46*N49</t>
        </is>
      </c>
      <c r="G673" t="n">
        <v>4233.839989446438</v>
      </c>
      <c r="H673" t="inlineStr"/>
      <c r="I673" t="inlineStr">
        <is>
          <t>0</t>
        </is>
      </c>
      <c r="J673" t="b">
        <v>0</v>
      </c>
      <c r="K673" t="b">
        <v>0</v>
      </c>
      <c r="L673" t="n">
        <v>11</v>
      </c>
      <c r="M673" t="inlineStr">
        <is>
          <t>Values must be of type &lt;class 'str'&gt;</t>
        </is>
      </c>
      <c r="N673" t="inlineStr">
        <is>
          <t>00000000</t>
        </is>
      </c>
      <c r="O673" t="n">
        <v/>
      </c>
      <c r="R673" t="b">
        <v>1</v>
      </c>
      <c r="S673" t="inlineStr">
        <is>
          <t>G000148</t>
        </is>
      </c>
      <c r="T673" t="inlineStr">
        <is>
          <t>Horizontal</t>
        </is>
      </c>
      <c r="U673" t="n">
        <v>5</v>
      </c>
      <c r="V673" t="b">
        <v>1</v>
      </c>
      <c r="W673" t="inlineStr">
        <is>
          <t>Cost Matrix!K47:O47</t>
        </is>
      </c>
      <c r="X673">
        <f>R[-1]C[0]*R[2]C[0]</f>
        <v/>
      </c>
    </row>
    <row r="674">
      <c r="A674" t="inlineStr">
        <is>
          <t>Cost Matrix</t>
        </is>
      </c>
      <c r="B674" t="inlineStr">
        <is>
          <t>O47</t>
        </is>
      </c>
      <c r="C674" t="n">
        <v>47</v>
      </c>
      <c r="D674" t="n">
        <v>15</v>
      </c>
      <c r="E674" t="inlineStr">
        <is>
          <t>Calculation</t>
        </is>
      </c>
      <c r="F674" t="inlineStr">
        <is>
          <t>'=O46*O49</t>
        </is>
      </c>
      <c r="G674" t="n">
        <v>5095.865448658341</v>
      </c>
      <c r="H674" t="inlineStr"/>
      <c r="I674" t="inlineStr">
        <is>
          <t>0</t>
        </is>
      </c>
      <c r="J674" t="b">
        <v>0</v>
      </c>
      <c r="K674" t="b">
        <v>0</v>
      </c>
      <c r="L674" t="n">
        <v>11</v>
      </c>
      <c r="M674" t="inlineStr">
        <is>
          <t>Values must be of type &lt;class 'str'&gt;</t>
        </is>
      </c>
      <c r="N674" t="inlineStr">
        <is>
          <t>00000000</t>
        </is>
      </c>
      <c r="O674" t="n">
        <v/>
      </c>
      <c r="R674" t="b">
        <v>1</v>
      </c>
      <c r="S674" t="inlineStr">
        <is>
          <t>G000148</t>
        </is>
      </c>
      <c r="T674" t="inlineStr">
        <is>
          <t>Horizontal</t>
        </is>
      </c>
      <c r="U674" t="n">
        <v>5</v>
      </c>
      <c r="V674" t="b">
        <v>1</v>
      </c>
      <c r="W674" t="inlineStr">
        <is>
          <t>Cost Matrix!K47:O47</t>
        </is>
      </c>
      <c r="X674">
        <f>R[-1]C[0]*R[2]C[0]</f>
        <v/>
      </c>
    </row>
    <row r="675">
      <c r="A675" t="inlineStr">
        <is>
          <t>Cost Matrix</t>
        </is>
      </c>
      <c r="B675" t="inlineStr">
        <is>
          <t>A48</t>
        </is>
      </c>
      <c r="C675" t="n">
        <v>48</v>
      </c>
      <c r="D675" t="n">
        <v>1</v>
      </c>
      <c r="E675" t="inlineStr">
        <is>
          <t>Input</t>
        </is>
      </c>
      <c r="F675" t="n">
        <v/>
      </c>
      <c r="G675" t="inlineStr">
        <is>
          <t>Dividend Payout Ratio (Dividends paid)</t>
        </is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00000000</t>
        </is>
      </c>
      <c r="O675" t="n">
        <v/>
      </c>
      <c r="R675" t="b">
        <v>1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</row>
    <row r="676">
      <c r="A676" t="inlineStr">
        <is>
          <t>Cost Matrix</t>
        </is>
      </c>
      <c r="B676" t="inlineStr">
        <is>
          <t>D48</t>
        </is>
      </c>
      <c r="C676" t="n">
        <v>48</v>
      </c>
      <c r="D676" t="n">
        <v>4</v>
      </c>
      <c r="E676" t="inlineStr">
        <is>
          <t>Output</t>
        </is>
      </c>
      <c r="F676" t="inlineStr">
        <is>
          <t>'=D46/'Income statement'!D31</t>
        </is>
      </c>
      <c r="G676" t="n">
        <v>0</v>
      </c>
      <c r="H676" t="inlineStr"/>
      <c r="I676" t="inlineStr">
        <is>
          <t>0%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00000000</t>
        </is>
      </c>
      <c r="O676" t="n">
        <v/>
      </c>
      <c r="R676" t="b">
        <v>1</v>
      </c>
      <c r="S676" t="inlineStr">
        <is>
          <t>G000149</t>
        </is>
      </c>
      <c r="T676" t="inlineStr">
        <is>
          <t>Horizontal</t>
        </is>
      </c>
      <c r="U676" t="n">
        <v>7</v>
      </c>
      <c r="V676" t="b">
        <v>1</v>
      </c>
      <c r="W676" t="inlineStr">
        <is>
          <t>Cost Matrix!D48:J48</t>
        </is>
      </c>
      <c r="X676">
        <f>R[-2]C[0]/'Income statement'!R[-17]C[0]</f>
        <v/>
      </c>
    </row>
    <row r="677">
      <c r="A677" t="inlineStr">
        <is>
          <t>Cost Matrix</t>
        </is>
      </c>
      <c r="B677" t="inlineStr">
        <is>
          <t>E48</t>
        </is>
      </c>
      <c r="C677" t="n">
        <v>48</v>
      </c>
      <c r="D677" t="n">
        <v>5</v>
      </c>
      <c r="E677" t="inlineStr">
        <is>
          <t>Output</t>
        </is>
      </c>
      <c r="F677" t="inlineStr">
        <is>
          <t>'=E46/'Income statement'!E31</t>
        </is>
      </c>
      <c r="G677" t="n">
        <v>3.488278304906347</v>
      </c>
      <c r="H677" t="inlineStr"/>
      <c r="I677" t="inlineStr">
        <is>
          <t>0%</t>
        </is>
      </c>
      <c r="J677" t="b">
        <v>0</v>
      </c>
      <c r="K677" t="b">
        <v>0</v>
      </c>
      <c r="L677" t="n">
        <v>11</v>
      </c>
      <c r="M677" t="inlineStr">
        <is>
          <t>Values must be of type &lt;class 'str'&gt;</t>
        </is>
      </c>
      <c r="N677" t="inlineStr">
        <is>
          <t>00000000</t>
        </is>
      </c>
      <c r="O677" t="n">
        <v/>
      </c>
      <c r="R677" t="b">
        <v>1</v>
      </c>
      <c r="S677" t="inlineStr">
        <is>
          <t>G000149</t>
        </is>
      </c>
      <c r="T677" t="inlineStr">
        <is>
          <t>Horizontal</t>
        </is>
      </c>
      <c r="U677" t="n">
        <v>7</v>
      </c>
      <c r="V677" t="b">
        <v>1</v>
      </c>
      <c r="W677" t="inlineStr">
        <is>
          <t>Cost Matrix!D48:J48</t>
        </is>
      </c>
      <c r="X677">
        <f>R[-2]C[0]/'Income statement'!R[-17]C[0]</f>
        <v/>
      </c>
    </row>
    <row r="678">
      <c r="A678" t="inlineStr">
        <is>
          <t>Cost Matrix</t>
        </is>
      </c>
      <c r="B678" t="inlineStr">
        <is>
          <t>F48</t>
        </is>
      </c>
      <c r="C678" t="n">
        <v>48</v>
      </c>
      <c r="D678" t="n">
        <v>6</v>
      </c>
      <c r="E678" t="inlineStr">
        <is>
          <t>Output</t>
        </is>
      </c>
      <c r="F678" t="inlineStr">
        <is>
          <t>'=F46/'Income statement'!F31</t>
        </is>
      </c>
      <c r="G678" t="n">
        <v>0.7003677761225096</v>
      </c>
      <c r="H678" t="inlineStr"/>
      <c r="I678" t="inlineStr">
        <is>
          <t>0%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00000000</t>
        </is>
      </c>
      <c r="O678" t="n">
        <v/>
      </c>
      <c r="R678" t="b">
        <v>1</v>
      </c>
      <c r="S678" t="inlineStr">
        <is>
          <t>G000149</t>
        </is>
      </c>
      <c r="T678" t="inlineStr">
        <is>
          <t>Horizontal</t>
        </is>
      </c>
      <c r="U678" t="n">
        <v>7</v>
      </c>
      <c r="V678" t="b">
        <v>1</v>
      </c>
      <c r="W678" t="inlineStr">
        <is>
          <t>Cost Matrix!D48:J48</t>
        </is>
      </c>
      <c r="X678">
        <f>R[-2]C[0]/'Income statement'!R[-17]C[0]</f>
        <v/>
      </c>
    </row>
    <row r="679">
      <c r="A679" t="inlineStr">
        <is>
          <t>Cost Matrix</t>
        </is>
      </c>
      <c r="B679" t="inlineStr">
        <is>
          <t>G48</t>
        </is>
      </c>
      <c r="C679" t="n">
        <v>48</v>
      </c>
      <c r="D679" t="n">
        <v>7</v>
      </c>
      <c r="E679" t="inlineStr">
        <is>
          <t>Output</t>
        </is>
      </c>
      <c r="F679" t="inlineStr">
        <is>
          <t>'=G46/'Income statement'!G31</t>
        </is>
      </c>
      <c r="G679" t="n">
        <v>0</v>
      </c>
      <c r="H679" t="inlineStr"/>
      <c r="I679" t="inlineStr">
        <is>
          <t>0%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00000000</t>
        </is>
      </c>
      <c r="O679" t="n">
        <v/>
      </c>
      <c r="R679" t="b">
        <v>1</v>
      </c>
      <c r="S679" t="inlineStr">
        <is>
          <t>G000149</t>
        </is>
      </c>
      <c r="T679" t="inlineStr">
        <is>
          <t>Horizontal</t>
        </is>
      </c>
      <c r="U679" t="n">
        <v>7</v>
      </c>
      <c r="V679" t="b">
        <v>1</v>
      </c>
      <c r="W679" t="inlineStr">
        <is>
          <t>Cost Matrix!D48:J48</t>
        </is>
      </c>
      <c r="X679">
        <f>R[-2]C[0]/'Income statement'!R[-17]C[0]</f>
        <v/>
      </c>
    </row>
    <row r="680">
      <c r="A680" t="inlineStr">
        <is>
          <t>Cost Matrix</t>
        </is>
      </c>
      <c r="B680" t="inlineStr">
        <is>
          <t>H48</t>
        </is>
      </c>
      <c r="C680" t="n">
        <v>48</v>
      </c>
      <c r="D680" t="n">
        <v>8</v>
      </c>
      <c r="E680" t="inlineStr">
        <is>
          <t>Output</t>
        </is>
      </c>
      <c r="F680" t="inlineStr">
        <is>
          <t>'=H46/'Income statement'!H31</t>
        </is>
      </c>
      <c r="G680" t="n">
        <v>1.04091331511488</v>
      </c>
      <c r="H680" t="inlineStr"/>
      <c r="I680" t="inlineStr">
        <is>
          <t>0%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00000000</t>
        </is>
      </c>
      <c r="O680" t="n">
        <v/>
      </c>
      <c r="R680" t="b">
        <v>1</v>
      </c>
      <c r="S680" t="inlineStr">
        <is>
          <t>G000149</t>
        </is>
      </c>
      <c r="T680" t="inlineStr">
        <is>
          <t>Horizontal</t>
        </is>
      </c>
      <c r="U680" t="n">
        <v>7</v>
      </c>
      <c r="V680" t="b">
        <v>1</v>
      </c>
      <c r="W680" t="inlineStr">
        <is>
          <t>Cost Matrix!D48:J48</t>
        </is>
      </c>
      <c r="X680">
        <f>R[-2]C[0]/'Income statement'!R[-17]C[0]</f>
        <v/>
      </c>
    </row>
    <row r="681">
      <c r="A681" t="inlineStr">
        <is>
          <t>Cost Matrix</t>
        </is>
      </c>
      <c r="B681" t="inlineStr">
        <is>
          <t>I48</t>
        </is>
      </c>
      <c r="C681" t="n">
        <v>48</v>
      </c>
      <c r="D681" t="n">
        <v>9</v>
      </c>
      <c r="E681" t="inlineStr">
        <is>
          <t>Output</t>
        </is>
      </c>
      <c r="F681" t="inlineStr">
        <is>
          <t>'=I46/'Income statement'!I31</t>
        </is>
      </c>
      <c r="G681" t="n">
        <v>0.4995252320156712</v>
      </c>
      <c r="H681" t="inlineStr"/>
      <c r="I681" t="inlineStr">
        <is>
          <t>0%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00000000</t>
        </is>
      </c>
      <c r="O681" t="n">
        <v/>
      </c>
      <c r="R681" t="b">
        <v>1</v>
      </c>
      <c r="S681" t="inlineStr">
        <is>
          <t>G000149</t>
        </is>
      </c>
      <c r="T681" t="inlineStr">
        <is>
          <t>Horizontal</t>
        </is>
      </c>
      <c r="U681" t="n">
        <v>7</v>
      </c>
      <c r="V681" t="b">
        <v>1</v>
      </c>
      <c r="W681" t="inlineStr">
        <is>
          <t>Cost Matrix!D48:J48</t>
        </is>
      </c>
      <c r="X681">
        <f>R[-2]C[0]/'Income statement'!R[-17]C[0]</f>
        <v/>
      </c>
    </row>
    <row r="682">
      <c r="A682" t="inlineStr">
        <is>
          <t>Cost Matrix</t>
        </is>
      </c>
      <c r="B682" t="inlineStr">
        <is>
          <t>J48</t>
        </is>
      </c>
      <c r="C682" t="n">
        <v>48</v>
      </c>
      <c r="D682" t="n">
        <v>10</v>
      </c>
      <c r="E682" t="inlineStr">
        <is>
          <t>Calculation</t>
        </is>
      </c>
      <c r="F682" t="inlineStr">
        <is>
          <t>'=J46/'Income statement'!J31</t>
        </is>
      </c>
      <c r="G682" t="n">
        <v>0.3267962392723487</v>
      </c>
      <c r="H682" t="inlineStr"/>
      <c r="I682" t="inlineStr">
        <is>
          <t>0%</t>
        </is>
      </c>
      <c r="J682" t="b">
        <v>0</v>
      </c>
      <c r="K682" t="b">
        <v>0</v>
      </c>
      <c r="L682" t="n">
        <v>11</v>
      </c>
      <c r="M682" t="inlineStr">
        <is>
          <t>Values must be of type &lt;class 'str'&gt;</t>
        </is>
      </c>
      <c r="N682" t="inlineStr">
        <is>
          <t>00000000</t>
        </is>
      </c>
      <c r="O682" t="n">
        <v/>
      </c>
      <c r="R682" t="b">
        <v>1</v>
      </c>
      <c r="S682" t="inlineStr">
        <is>
          <t>G000149</t>
        </is>
      </c>
      <c r="T682" t="inlineStr">
        <is>
          <t>Horizontal</t>
        </is>
      </c>
      <c r="U682" t="n">
        <v>7</v>
      </c>
      <c r="V682" t="b">
        <v>1</v>
      </c>
      <c r="W682" t="inlineStr">
        <is>
          <t>Cost Matrix!D48:J48</t>
        </is>
      </c>
      <c r="X682">
        <f>R[-2]C[0]/'Income statement'!R[-17]C[0]</f>
        <v/>
      </c>
    </row>
    <row r="683">
      <c r="A683" t="inlineStr">
        <is>
          <t>Cost Matrix</t>
        </is>
      </c>
      <c r="B683" t="inlineStr">
        <is>
          <t>K48</t>
        </is>
      </c>
      <c r="C683" t="n">
        <v>48</v>
      </c>
      <c r="D683" t="n">
        <v>11</v>
      </c>
      <c r="E683" t="inlineStr">
        <is>
          <t>Calculation</t>
        </is>
      </c>
      <c r="F683" t="inlineStr">
        <is>
          <t>'=J48</t>
        </is>
      </c>
      <c r="G683" t="n">
        <v>0.3267962392723487</v>
      </c>
      <c r="H683" t="inlineStr"/>
      <c r="I683" t="inlineStr">
        <is>
          <t>0%</t>
        </is>
      </c>
      <c r="J683" t="b">
        <v>0</v>
      </c>
      <c r="K683" t="b">
        <v>0</v>
      </c>
      <c r="L683" t="n">
        <v>11</v>
      </c>
      <c r="M683" t="inlineStr">
        <is>
          <t>FFFF0000</t>
        </is>
      </c>
      <c r="N683" t="inlineStr">
        <is>
          <t>00000000</t>
        </is>
      </c>
      <c r="O683" t="n">
        <v/>
      </c>
      <c r="R683" t="b">
        <v>1</v>
      </c>
      <c r="S683" t="inlineStr">
        <is>
          <t>G000139</t>
        </is>
      </c>
      <c r="T683" t="inlineStr">
        <is>
          <t>Horizontal</t>
        </is>
      </c>
      <c r="U683" t="n">
        <v>5</v>
      </c>
      <c r="V683" t="b">
        <v>1</v>
      </c>
      <c r="W683" t="inlineStr">
        <is>
          <t>Cost Matrix!K48:O48</t>
        </is>
      </c>
      <c r="X683">
        <f>R[0]C[-1]</f>
        <v/>
      </c>
    </row>
    <row r="684">
      <c r="A684" t="inlineStr">
        <is>
          <t>Cost Matrix</t>
        </is>
      </c>
      <c r="B684" t="inlineStr">
        <is>
          <t>L48</t>
        </is>
      </c>
      <c r="C684" t="n">
        <v>48</v>
      </c>
      <c r="D684" t="n">
        <v>12</v>
      </c>
      <c r="E684" t="inlineStr">
        <is>
          <t>Calculation</t>
        </is>
      </c>
      <c r="F684" t="inlineStr">
        <is>
          <t>'=K48</t>
        </is>
      </c>
      <c r="G684" t="n">
        <v>0.3267962392723487</v>
      </c>
      <c r="H684" t="inlineStr"/>
      <c r="I684" t="inlineStr">
        <is>
          <t>0%</t>
        </is>
      </c>
      <c r="J684" t="b">
        <v>0</v>
      </c>
      <c r="K684" t="b">
        <v>0</v>
      </c>
      <c r="L684" t="n">
        <v>11</v>
      </c>
      <c r="M684" t="inlineStr">
        <is>
          <t>FFFF0000</t>
        </is>
      </c>
      <c r="N684" t="inlineStr">
        <is>
          <t>00000000</t>
        </is>
      </c>
      <c r="O684" t="n">
        <v/>
      </c>
      <c r="R684" t="b">
        <v>1</v>
      </c>
      <c r="S684" t="inlineStr">
        <is>
          <t>G000139</t>
        </is>
      </c>
      <c r="T684" t="inlineStr">
        <is>
          <t>Horizontal</t>
        </is>
      </c>
      <c r="U684" t="n">
        <v>5</v>
      </c>
      <c r="V684" t="b">
        <v>1</v>
      </c>
      <c r="W684" t="inlineStr">
        <is>
          <t>Cost Matrix!K48:O48</t>
        </is>
      </c>
      <c r="X684">
        <f>R[0]C[-1]</f>
        <v/>
      </c>
    </row>
    <row r="685">
      <c r="A685" t="inlineStr">
        <is>
          <t>Cost Matrix</t>
        </is>
      </c>
      <c r="B685" t="inlineStr">
        <is>
          <t>M48</t>
        </is>
      </c>
      <c r="C685" t="n">
        <v>48</v>
      </c>
      <c r="D685" t="n">
        <v>13</v>
      </c>
      <c r="E685" t="inlineStr">
        <is>
          <t>Calculation</t>
        </is>
      </c>
      <c r="F685" t="inlineStr">
        <is>
          <t>'=L48</t>
        </is>
      </c>
      <c r="G685" t="n">
        <v>0.3267962392723487</v>
      </c>
      <c r="H685" t="inlineStr"/>
      <c r="I685" t="inlineStr">
        <is>
          <t>0%</t>
        </is>
      </c>
      <c r="J685" t="b">
        <v>0</v>
      </c>
      <c r="K685" t="b">
        <v>0</v>
      </c>
      <c r="L685" t="n">
        <v>11</v>
      </c>
      <c r="M685" t="inlineStr">
        <is>
          <t>FFFF0000</t>
        </is>
      </c>
      <c r="N685" t="inlineStr">
        <is>
          <t>00000000</t>
        </is>
      </c>
      <c r="O685" t="n">
        <v/>
      </c>
      <c r="R685" t="b">
        <v>1</v>
      </c>
      <c r="S685" t="inlineStr">
        <is>
          <t>G000139</t>
        </is>
      </c>
      <c r="T685" t="inlineStr">
        <is>
          <t>Horizontal</t>
        </is>
      </c>
      <c r="U685" t="n">
        <v>5</v>
      </c>
      <c r="V685" t="b">
        <v>1</v>
      </c>
      <c r="W685" t="inlineStr">
        <is>
          <t>Cost Matrix!K48:O48</t>
        </is>
      </c>
      <c r="X685">
        <f>R[0]C[-1]</f>
        <v/>
      </c>
    </row>
    <row r="686">
      <c r="A686" t="inlineStr">
        <is>
          <t>Cost Matrix</t>
        </is>
      </c>
      <c r="B686" t="inlineStr">
        <is>
          <t>N48</t>
        </is>
      </c>
      <c r="C686" t="n">
        <v>48</v>
      </c>
      <c r="D686" t="n">
        <v>14</v>
      </c>
      <c r="E686" t="inlineStr">
        <is>
          <t>Calculation</t>
        </is>
      </c>
      <c r="F686" t="inlineStr">
        <is>
          <t>'=M48</t>
        </is>
      </c>
      <c r="G686" t="n">
        <v>0.3267962392723487</v>
      </c>
      <c r="H686" t="inlineStr"/>
      <c r="I686" t="inlineStr">
        <is>
          <t>0%</t>
        </is>
      </c>
      <c r="J686" t="b">
        <v>0</v>
      </c>
      <c r="K686" t="b">
        <v>0</v>
      </c>
      <c r="L686" t="n">
        <v>11</v>
      </c>
      <c r="M686" t="inlineStr">
        <is>
          <t>FFFF0000</t>
        </is>
      </c>
      <c r="N686" t="inlineStr">
        <is>
          <t>00000000</t>
        </is>
      </c>
      <c r="O686" t="n">
        <v/>
      </c>
      <c r="R686" t="b">
        <v>1</v>
      </c>
      <c r="S686" t="inlineStr">
        <is>
          <t>G000139</t>
        </is>
      </c>
      <c r="T686" t="inlineStr">
        <is>
          <t>Horizontal</t>
        </is>
      </c>
      <c r="U686" t="n">
        <v>5</v>
      </c>
      <c r="V686" t="b">
        <v>1</v>
      </c>
      <c r="W686" t="inlineStr">
        <is>
          <t>Cost Matrix!K48:O48</t>
        </is>
      </c>
      <c r="X686">
        <f>R[0]C[-1]</f>
        <v/>
      </c>
    </row>
    <row r="687">
      <c r="A687" t="inlineStr">
        <is>
          <t>Cost Matrix</t>
        </is>
      </c>
      <c r="B687" t="inlineStr">
        <is>
          <t>O48</t>
        </is>
      </c>
      <c r="C687" t="n">
        <v>48</v>
      </c>
      <c r="D687" t="n">
        <v>15</v>
      </c>
      <c r="E687" t="inlineStr">
        <is>
          <t>Calculation</t>
        </is>
      </c>
      <c r="F687" t="inlineStr">
        <is>
          <t>'=N48</t>
        </is>
      </c>
      <c r="G687" t="n">
        <v>0.3267962392723487</v>
      </c>
      <c r="H687" t="inlineStr"/>
      <c r="I687" t="inlineStr">
        <is>
          <t>0%</t>
        </is>
      </c>
      <c r="J687" t="b">
        <v>0</v>
      </c>
      <c r="K687" t="b">
        <v>0</v>
      </c>
      <c r="L687" t="n">
        <v>11</v>
      </c>
      <c r="M687" t="inlineStr">
        <is>
          <t>FFFF0000</t>
        </is>
      </c>
      <c r="N687" t="inlineStr">
        <is>
          <t>00000000</t>
        </is>
      </c>
      <c r="O687" t="n">
        <v/>
      </c>
      <c r="R687" t="b">
        <v>1</v>
      </c>
      <c r="S687" t="inlineStr">
        <is>
          <t>G000139</t>
        </is>
      </c>
      <c r="T687" t="inlineStr">
        <is>
          <t>Horizontal</t>
        </is>
      </c>
      <c r="U687" t="n">
        <v>5</v>
      </c>
      <c r="V687" t="b">
        <v>1</v>
      </c>
      <c r="W687" t="inlineStr">
        <is>
          <t>Cost Matrix!K48:O48</t>
        </is>
      </c>
      <c r="X687">
        <f>R[0]C[-1]</f>
        <v/>
      </c>
    </row>
    <row r="688">
      <c r="A688" t="inlineStr">
        <is>
          <t>Cost Matrix</t>
        </is>
      </c>
      <c r="B688" t="inlineStr">
        <is>
          <t>A49</t>
        </is>
      </c>
      <c r="C688" t="n">
        <v>49</v>
      </c>
      <c r="D688" t="n">
        <v>1</v>
      </c>
      <c r="E688" t="inlineStr">
        <is>
          <t>Input</t>
        </is>
      </c>
      <c r="F688" t="n">
        <v/>
      </c>
      <c r="G688" t="inlineStr">
        <is>
          <t>Dividend tax as a % of Dividends Paid</t>
        </is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11</v>
      </c>
      <c r="M688" t="inlineStr">
        <is>
          <t>Values must be of type &lt;class 'str'&gt;</t>
        </is>
      </c>
      <c r="N688" t="inlineStr">
        <is>
          <t>00000000</t>
        </is>
      </c>
      <c r="O688" t="n">
        <v/>
      </c>
      <c r="R688" t="b">
        <v>1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</row>
    <row r="689">
      <c r="A689" t="inlineStr">
        <is>
          <t>Cost Matrix</t>
        </is>
      </c>
      <c r="B689" t="inlineStr">
        <is>
          <t>D49</t>
        </is>
      </c>
      <c r="C689" t="n">
        <v>49</v>
      </c>
      <c r="D689" t="n">
        <v>4</v>
      </c>
      <c r="E689" t="inlineStr">
        <is>
          <t>Input</t>
        </is>
      </c>
      <c r="F689" t="n">
        <v/>
      </c>
      <c r="G689" t="n">
        <v>0</v>
      </c>
      <c r="H689" t="inlineStr"/>
      <c r="I689" t="inlineStr">
        <is>
          <t>0%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00000000</t>
        </is>
      </c>
      <c r="O689" t="n">
        <v/>
      </c>
      <c r="R689" t="b">
        <v>1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</row>
    <row r="690">
      <c r="A690" t="inlineStr">
        <is>
          <t>Cost Matrix</t>
        </is>
      </c>
      <c r="B690" t="inlineStr">
        <is>
          <t>E49</t>
        </is>
      </c>
      <c r="C690" t="n">
        <v>49</v>
      </c>
      <c r="D690" t="n">
        <v>5</v>
      </c>
      <c r="E690" t="inlineStr">
        <is>
          <t>Output</t>
        </is>
      </c>
      <c r="F690" t="inlineStr">
        <is>
          <t>'=E47/E46</t>
        </is>
      </c>
      <c r="G690" t="n">
        <v>0.1622226164333005</v>
      </c>
      <c r="H690" t="inlineStr"/>
      <c r="I690" t="inlineStr">
        <is>
          <t>0%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00000000</t>
        </is>
      </c>
      <c r="O690" t="n">
        <v/>
      </c>
      <c r="R690" t="b">
        <v>1</v>
      </c>
      <c r="S690" t="inlineStr">
        <is>
          <t>G000150</t>
        </is>
      </c>
      <c r="T690" t="inlineStr">
        <is>
          <t>Horizontal</t>
        </is>
      </c>
      <c r="U690" t="n">
        <v>2</v>
      </c>
      <c r="V690" t="b">
        <v>1</v>
      </c>
      <c r="W690" t="inlineStr">
        <is>
          <t>Cost Matrix!E49:F49</t>
        </is>
      </c>
      <c r="X690">
        <f>R[-2]C[0]/R[-3]C[0]</f>
        <v/>
      </c>
    </row>
    <row r="691">
      <c r="A691" t="inlineStr">
        <is>
          <t>Cost Matrix</t>
        </is>
      </c>
      <c r="B691" t="inlineStr">
        <is>
          <t>F49</t>
        </is>
      </c>
      <c r="C691" t="n">
        <v>49</v>
      </c>
      <c r="D691" t="n">
        <v>6</v>
      </c>
      <c r="E691" t="inlineStr">
        <is>
          <t>Output</t>
        </is>
      </c>
      <c r="F691" t="inlineStr">
        <is>
          <t>'=F47/F46</t>
        </is>
      </c>
      <c r="G691" t="n">
        <v>0.162225365359308</v>
      </c>
      <c r="H691" t="inlineStr"/>
      <c r="I691" t="inlineStr">
        <is>
          <t>0%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00000000</t>
        </is>
      </c>
      <c r="O691" t="n">
        <v/>
      </c>
      <c r="R691" t="b">
        <v>1</v>
      </c>
      <c r="S691" t="inlineStr">
        <is>
          <t>G000150</t>
        </is>
      </c>
      <c r="T691" t="inlineStr">
        <is>
          <t>Horizontal</t>
        </is>
      </c>
      <c r="U691" t="n">
        <v>2</v>
      </c>
      <c r="V691" t="b">
        <v>1</v>
      </c>
      <c r="W691" t="inlineStr">
        <is>
          <t>Cost Matrix!E49:F49</t>
        </is>
      </c>
      <c r="X691">
        <f>R[-2]C[0]/R[-3]C[0]</f>
        <v/>
      </c>
    </row>
    <row r="692">
      <c r="A692" t="inlineStr">
        <is>
          <t>Cost Matrix</t>
        </is>
      </c>
      <c r="B692" t="inlineStr">
        <is>
          <t>G49</t>
        </is>
      </c>
      <c r="C692" t="n">
        <v>49</v>
      </c>
      <c r="D692" t="n">
        <v>7</v>
      </c>
      <c r="E692" t="inlineStr">
        <is>
          <t>Input</t>
        </is>
      </c>
      <c r="F692" t="n">
        <v/>
      </c>
      <c r="G692" t="n">
        <v>0</v>
      </c>
      <c r="H692" t="inlineStr"/>
      <c r="I692" t="inlineStr">
        <is>
          <t>0%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00000000</t>
        </is>
      </c>
      <c r="O692" t="n">
        <v/>
      </c>
      <c r="R692" t="b">
        <v>1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</row>
    <row r="693">
      <c r="A693" t="inlineStr">
        <is>
          <t>Cost Matrix</t>
        </is>
      </c>
      <c r="B693" t="inlineStr">
        <is>
          <t>H49</t>
        </is>
      </c>
      <c r="C693" t="n">
        <v>49</v>
      </c>
      <c r="D693" t="n">
        <v>8</v>
      </c>
      <c r="E693" t="inlineStr">
        <is>
          <t>Output</t>
        </is>
      </c>
      <c r="F693" t="inlineStr">
        <is>
          <t>'=H47/H46</t>
        </is>
      </c>
      <c r="G693" t="n">
        <v>0.1880496195295868</v>
      </c>
      <c r="H693" t="inlineStr"/>
      <c r="I693" t="inlineStr">
        <is>
          <t>0%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00000000</t>
        </is>
      </c>
      <c r="O693" t="n">
        <v/>
      </c>
      <c r="R693" t="b">
        <v>1</v>
      </c>
      <c r="S693" t="inlineStr">
        <is>
          <t>G000151</t>
        </is>
      </c>
      <c r="T693" t="inlineStr">
        <is>
          <t>Horizontal</t>
        </is>
      </c>
      <c r="U693" t="n">
        <v>3</v>
      </c>
      <c r="V693" t="b">
        <v>1</v>
      </c>
      <c r="W693" t="inlineStr">
        <is>
          <t>Cost Matrix!H49:J49</t>
        </is>
      </c>
      <c r="X693">
        <f>R[-2]C[0]/R[-3]C[0]</f>
        <v/>
      </c>
    </row>
    <row r="694">
      <c r="A694" t="inlineStr">
        <is>
          <t>Cost Matrix</t>
        </is>
      </c>
      <c r="B694" t="inlineStr">
        <is>
          <t>I49</t>
        </is>
      </c>
      <c r="C694" t="n">
        <v>49</v>
      </c>
      <c r="D694" t="n">
        <v>9</v>
      </c>
      <c r="E694" t="inlineStr">
        <is>
          <t>Output</t>
        </is>
      </c>
      <c r="F694" t="inlineStr">
        <is>
          <t>'=I47/I46</t>
        </is>
      </c>
      <c r="G694" t="n">
        <v>0.2035797429644429</v>
      </c>
      <c r="H694" t="inlineStr"/>
      <c r="I694" t="inlineStr">
        <is>
          <t>0%</t>
        </is>
      </c>
      <c r="J694" t="b">
        <v>0</v>
      </c>
      <c r="K694" t="b">
        <v>0</v>
      </c>
      <c r="L694" t="n">
        <v>11</v>
      </c>
      <c r="M694" t="inlineStr">
        <is>
          <t>Values must be of type &lt;class 'str'&gt;</t>
        </is>
      </c>
      <c r="N694" t="inlineStr">
        <is>
          <t>00000000</t>
        </is>
      </c>
      <c r="O694" t="n">
        <v/>
      </c>
      <c r="R694" t="b">
        <v>1</v>
      </c>
      <c r="S694" t="inlineStr">
        <is>
          <t>G000151</t>
        </is>
      </c>
      <c r="T694" t="inlineStr">
        <is>
          <t>Horizontal</t>
        </is>
      </c>
      <c r="U694" t="n">
        <v>3</v>
      </c>
      <c r="V694" t="b">
        <v>1</v>
      </c>
      <c r="W694" t="inlineStr">
        <is>
          <t>Cost Matrix!H49:J49</t>
        </is>
      </c>
      <c r="X694">
        <f>R[-2]C[0]/R[-3]C[0]</f>
        <v/>
      </c>
    </row>
    <row r="695">
      <c r="A695" t="inlineStr">
        <is>
          <t>Cost Matrix</t>
        </is>
      </c>
      <c r="B695" t="inlineStr">
        <is>
          <t>J49</t>
        </is>
      </c>
      <c r="C695" t="n">
        <v>49</v>
      </c>
      <c r="D695" t="n">
        <v>10</v>
      </c>
      <c r="E695" t="inlineStr">
        <is>
          <t>Calculation</t>
        </is>
      </c>
      <c r="F695" t="inlineStr">
        <is>
          <t>'=J47/J46</t>
        </is>
      </c>
      <c r="G695" t="n">
        <v>0.2035768890987324</v>
      </c>
      <c r="H695" t="inlineStr"/>
      <c r="I695" t="inlineStr">
        <is>
          <t>0%</t>
        </is>
      </c>
      <c r="J695" t="b">
        <v>0</v>
      </c>
      <c r="K695" t="b">
        <v>0</v>
      </c>
      <c r="L695" t="n">
        <v>11</v>
      </c>
      <c r="M695" t="inlineStr">
        <is>
          <t>Values must be of type &lt;class 'str'&gt;</t>
        </is>
      </c>
      <c r="N695" t="inlineStr">
        <is>
          <t>00000000</t>
        </is>
      </c>
      <c r="O695" t="n">
        <v/>
      </c>
      <c r="R695" t="b">
        <v>1</v>
      </c>
      <c r="S695" t="inlineStr">
        <is>
          <t>G000151</t>
        </is>
      </c>
      <c r="T695" t="inlineStr">
        <is>
          <t>Horizontal</t>
        </is>
      </c>
      <c r="U695" t="n">
        <v>3</v>
      </c>
      <c r="V695" t="b">
        <v>1</v>
      </c>
      <c r="W695" t="inlineStr">
        <is>
          <t>Cost Matrix!H49:J49</t>
        </is>
      </c>
      <c r="X695">
        <f>R[-2]C[0]/R[-3]C[0]</f>
        <v/>
      </c>
    </row>
    <row r="696">
      <c r="A696" t="inlineStr">
        <is>
          <t>Cost Matrix</t>
        </is>
      </c>
      <c r="B696" t="inlineStr">
        <is>
          <t>K49</t>
        </is>
      </c>
      <c r="C696" t="n">
        <v>49</v>
      </c>
      <c r="D696" t="n">
        <v>11</v>
      </c>
      <c r="E696" t="inlineStr">
        <is>
          <t>Calculation</t>
        </is>
      </c>
      <c r="F696" t="inlineStr">
        <is>
          <t>'=J49</t>
        </is>
      </c>
      <c r="G696" t="n">
        <v>0.2035768890987324</v>
      </c>
      <c r="H696" t="inlineStr"/>
      <c r="I696" t="inlineStr">
        <is>
          <t>0%</t>
        </is>
      </c>
      <c r="J696" t="b">
        <v>0</v>
      </c>
      <c r="K696" t="b">
        <v>0</v>
      </c>
      <c r="L696" t="n">
        <v>11</v>
      </c>
      <c r="M696" t="inlineStr">
        <is>
          <t>FFFF0000</t>
        </is>
      </c>
      <c r="N696" t="inlineStr">
        <is>
          <t>00000000</t>
        </is>
      </c>
      <c r="O696" t="n">
        <v/>
      </c>
      <c r="R696" t="b">
        <v>1</v>
      </c>
      <c r="S696" t="inlineStr">
        <is>
          <t>G000140</t>
        </is>
      </c>
      <c r="T696" t="inlineStr">
        <is>
          <t>Horizontal</t>
        </is>
      </c>
      <c r="U696" t="n">
        <v>5</v>
      </c>
      <c r="V696" t="b">
        <v>1</v>
      </c>
      <c r="W696" t="inlineStr">
        <is>
          <t>Cost Matrix!K49:O49</t>
        </is>
      </c>
      <c r="X696">
        <f>R[0]C[-1]</f>
        <v/>
      </c>
    </row>
    <row r="697">
      <c r="A697" t="inlineStr">
        <is>
          <t>Cost Matrix</t>
        </is>
      </c>
      <c r="B697" t="inlineStr">
        <is>
          <t>L49</t>
        </is>
      </c>
      <c r="C697" t="n">
        <v>49</v>
      </c>
      <c r="D697" t="n">
        <v>12</v>
      </c>
      <c r="E697" t="inlineStr">
        <is>
          <t>Calculation</t>
        </is>
      </c>
      <c r="F697" t="inlineStr">
        <is>
          <t>'=K49</t>
        </is>
      </c>
      <c r="G697" t="n">
        <v>0.2035768890987324</v>
      </c>
      <c r="H697" t="inlineStr"/>
      <c r="I697" t="inlineStr">
        <is>
          <t>0%</t>
        </is>
      </c>
      <c r="J697" t="b">
        <v>0</v>
      </c>
      <c r="K697" t="b">
        <v>0</v>
      </c>
      <c r="L697" t="n">
        <v>11</v>
      </c>
      <c r="M697" t="inlineStr">
        <is>
          <t>FFFF0000</t>
        </is>
      </c>
      <c r="N697" t="inlineStr">
        <is>
          <t>00000000</t>
        </is>
      </c>
      <c r="O697" t="n">
        <v/>
      </c>
      <c r="R697" t="b">
        <v>1</v>
      </c>
      <c r="S697" t="inlineStr">
        <is>
          <t>G000140</t>
        </is>
      </c>
      <c r="T697" t="inlineStr">
        <is>
          <t>Horizontal</t>
        </is>
      </c>
      <c r="U697" t="n">
        <v>5</v>
      </c>
      <c r="V697" t="b">
        <v>1</v>
      </c>
      <c r="W697" t="inlineStr">
        <is>
          <t>Cost Matrix!K49:O49</t>
        </is>
      </c>
      <c r="X697">
        <f>R[0]C[-1]</f>
        <v/>
      </c>
    </row>
    <row r="698">
      <c r="A698" t="inlineStr">
        <is>
          <t>Cost Matrix</t>
        </is>
      </c>
      <c r="B698" t="inlineStr">
        <is>
          <t>M49</t>
        </is>
      </c>
      <c r="C698" t="n">
        <v>49</v>
      </c>
      <c r="D698" t="n">
        <v>13</v>
      </c>
      <c r="E698" t="inlineStr">
        <is>
          <t>Calculation</t>
        </is>
      </c>
      <c r="F698" t="inlineStr">
        <is>
          <t>'=L49</t>
        </is>
      </c>
      <c r="G698" t="n">
        <v>0.2035768890987324</v>
      </c>
      <c r="H698" t="inlineStr"/>
      <c r="I698" t="inlineStr">
        <is>
          <t>0%</t>
        </is>
      </c>
      <c r="J698" t="b">
        <v>0</v>
      </c>
      <c r="K698" t="b">
        <v>0</v>
      </c>
      <c r="L698" t="n">
        <v>11</v>
      </c>
      <c r="M698" t="inlineStr">
        <is>
          <t>FFFF0000</t>
        </is>
      </c>
      <c r="N698" t="inlineStr">
        <is>
          <t>00000000</t>
        </is>
      </c>
      <c r="O698" t="n">
        <v/>
      </c>
      <c r="R698" t="b">
        <v>1</v>
      </c>
      <c r="S698" t="inlineStr">
        <is>
          <t>G000140</t>
        </is>
      </c>
      <c r="T698" t="inlineStr">
        <is>
          <t>Horizontal</t>
        </is>
      </c>
      <c r="U698" t="n">
        <v>5</v>
      </c>
      <c r="V698" t="b">
        <v>1</v>
      </c>
      <c r="W698" t="inlineStr">
        <is>
          <t>Cost Matrix!K49:O49</t>
        </is>
      </c>
      <c r="X698">
        <f>R[0]C[-1]</f>
        <v/>
      </c>
    </row>
    <row r="699">
      <c r="A699" t="inlineStr">
        <is>
          <t>Cost Matrix</t>
        </is>
      </c>
      <c r="B699" t="inlineStr">
        <is>
          <t>N49</t>
        </is>
      </c>
      <c r="C699" t="n">
        <v>49</v>
      </c>
      <c r="D699" t="n">
        <v>14</v>
      </c>
      <c r="E699" t="inlineStr">
        <is>
          <t>Calculation</t>
        </is>
      </c>
      <c r="F699" t="inlineStr">
        <is>
          <t>'=M49</t>
        </is>
      </c>
      <c r="G699" t="n">
        <v>0.2035768890987324</v>
      </c>
      <c r="H699" t="inlineStr"/>
      <c r="I699" t="inlineStr">
        <is>
          <t>0%</t>
        </is>
      </c>
      <c r="J699" t="b">
        <v>0</v>
      </c>
      <c r="K699" t="b">
        <v>0</v>
      </c>
      <c r="L699" t="n">
        <v>11</v>
      </c>
      <c r="M699" t="inlineStr">
        <is>
          <t>FFFF0000</t>
        </is>
      </c>
      <c r="N699" t="inlineStr">
        <is>
          <t>00000000</t>
        </is>
      </c>
      <c r="O699" t="n">
        <v/>
      </c>
      <c r="R699" t="b">
        <v>1</v>
      </c>
      <c r="S699" t="inlineStr">
        <is>
          <t>G000140</t>
        </is>
      </c>
      <c r="T699" t="inlineStr">
        <is>
          <t>Horizontal</t>
        </is>
      </c>
      <c r="U699" t="n">
        <v>5</v>
      </c>
      <c r="V699" t="b">
        <v>1</v>
      </c>
      <c r="W699" t="inlineStr">
        <is>
          <t>Cost Matrix!K49:O49</t>
        </is>
      </c>
      <c r="X699">
        <f>R[0]C[-1]</f>
        <v/>
      </c>
    </row>
    <row r="700">
      <c r="A700" t="inlineStr">
        <is>
          <t>Cost Matrix</t>
        </is>
      </c>
      <c r="B700" t="inlineStr">
        <is>
          <t>O49</t>
        </is>
      </c>
      <c r="C700" t="n">
        <v>49</v>
      </c>
      <c r="D700" t="n">
        <v>15</v>
      </c>
      <c r="E700" t="inlineStr">
        <is>
          <t>Calculation</t>
        </is>
      </c>
      <c r="F700" t="inlineStr">
        <is>
          <t>'=N49</t>
        </is>
      </c>
      <c r="G700" t="n">
        <v>0.2035768890987324</v>
      </c>
      <c r="H700" t="inlineStr"/>
      <c r="I700" t="inlineStr">
        <is>
          <t>0%</t>
        </is>
      </c>
      <c r="J700" t="b">
        <v>0</v>
      </c>
      <c r="K700" t="b">
        <v>0</v>
      </c>
      <c r="L700" t="n">
        <v>11</v>
      </c>
      <c r="M700" t="inlineStr">
        <is>
          <t>FFFF0000</t>
        </is>
      </c>
      <c r="N700" t="inlineStr">
        <is>
          <t>00000000</t>
        </is>
      </c>
      <c r="O700" t="n">
        <v/>
      </c>
      <c r="R700" t="b">
        <v>1</v>
      </c>
      <c r="S700" t="inlineStr">
        <is>
          <t>G000140</t>
        </is>
      </c>
      <c r="T700" t="inlineStr">
        <is>
          <t>Horizontal</t>
        </is>
      </c>
      <c r="U700" t="n">
        <v>5</v>
      </c>
      <c r="V700" t="b">
        <v>1</v>
      </c>
      <c r="W700" t="inlineStr">
        <is>
          <t>Cost Matrix!K49:O49</t>
        </is>
      </c>
      <c r="X700">
        <f>R[0]C[-1]</f>
        <v/>
      </c>
    </row>
    <row r="701">
      <c r="A701" t="inlineStr">
        <is>
          <t>Cost Matrix</t>
        </is>
      </c>
      <c r="B701" t="inlineStr">
        <is>
          <t>D53</t>
        </is>
      </c>
      <c r="C701" t="n">
        <v>53</v>
      </c>
      <c r="D701" t="n">
        <v>4</v>
      </c>
      <c r="E701" t="inlineStr">
        <is>
          <t>Input</t>
        </is>
      </c>
      <c r="F701" t="n">
        <v/>
      </c>
      <c r="H701" t="inlineStr"/>
      <c r="I701" t="inlineStr">
        <is>
          <t>0%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00000000</t>
        </is>
      </c>
      <c r="O701" t="n">
        <v/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</row>
    <row r="702">
      <c r="A702" t="inlineStr">
        <is>
          <t>Cost Matrix</t>
        </is>
      </c>
      <c r="B702" t="inlineStr">
        <is>
          <t>E53</t>
        </is>
      </c>
      <c r="C702" t="n">
        <v>53</v>
      </c>
      <c r="D702" t="n">
        <v>5</v>
      </c>
      <c r="E702" t="inlineStr">
        <is>
          <t>Input</t>
        </is>
      </c>
      <c r="F702" t="n">
        <v/>
      </c>
      <c r="H702" t="inlineStr"/>
      <c r="I702" t="inlineStr">
        <is>
          <t>0%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00000000</t>
        </is>
      </c>
      <c r="O702" t="n">
        <v/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ATF Fuel 2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Date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FF686868</t>
        </is>
      </c>
      <c r="N2" t="inlineStr">
        <is>
          <t>00000000</t>
        </is>
      </c>
      <c r="O2" t="inlineStr">
        <is>
          <t>center</t>
        </is>
      </c>
      <c r="Q2" t="b">
        <v>1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ATF Fuel 2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inlineStr">
        <is>
          <t>ATF Price (Rs)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FF686868</t>
        </is>
      </c>
      <c r="N3" t="inlineStr">
        <is>
          <t>00000000</t>
        </is>
      </c>
      <c r="O3" t="inlineStr">
        <is>
          <t>center</t>
        </is>
      </c>
      <c r="Q3" t="b">
        <v>1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ATF Fuel 2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FF686868</t>
        </is>
      </c>
      <c r="N4" t="inlineStr">
        <is>
          <t>00000000</t>
        </is>
      </c>
      <c r="O4" t="inlineStr">
        <is>
          <t>center</t>
        </is>
      </c>
      <c r="Q4" t="b">
        <v>1</v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ATF Fuel 2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inlineStr">
        <is>
          <t>USD/INR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FF686868</t>
        </is>
      </c>
      <c r="N5" t="inlineStr">
        <is>
          <t>00000000</t>
        </is>
      </c>
      <c r="O5" t="inlineStr">
        <is>
          <t>center</t>
        </is>
      </c>
      <c r="Q5" t="b">
        <v>1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ATF Fuel 2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FF686868</t>
        </is>
      </c>
      <c r="N6" t="inlineStr">
        <is>
          <t>00000000</t>
        </is>
      </c>
      <c r="O6" t="inlineStr">
        <is>
          <t>center</t>
        </is>
      </c>
      <c r="Q6" t="b">
        <v>1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ATF Fuel 2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Brent ($)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FF686868</t>
        </is>
      </c>
      <c r="N7" t="inlineStr">
        <is>
          <t>00000000</t>
        </is>
      </c>
      <c r="O7" t="inlineStr">
        <is>
          <t>center</t>
        </is>
      </c>
      <c r="Q7" t="b">
        <v>1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ATF Fuel 2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FF686868</t>
        </is>
      </c>
      <c r="N8" t="inlineStr">
        <is>
          <t>00000000</t>
        </is>
      </c>
      <c r="O8" t="inlineStr">
        <is>
          <t>center</t>
        </is>
      </c>
      <c r="Q8" t="b">
        <v>1</v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ATF Fuel 2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MCX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FF686868</t>
        </is>
      </c>
      <c r="N9" t="inlineStr">
        <is>
          <t>00000000</t>
        </is>
      </c>
      <c r="O9" t="inlineStr">
        <is>
          <t>center</t>
        </is>
      </c>
      <c r="Q9" t="b">
        <v>1</v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ATF Fuel 2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0%</t>
        </is>
      </c>
      <c r="J10" t="b">
        <v>1</v>
      </c>
      <c r="K10" t="b">
        <v>0</v>
      </c>
      <c r="L10" t="n">
        <v>11</v>
      </c>
      <c r="M10" t="inlineStr">
        <is>
          <t>FF686868</t>
        </is>
      </c>
      <c r="N10" t="inlineStr">
        <is>
          <t>00000000</t>
        </is>
      </c>
      <c r="O10" t="inlineStr">
        <is>
          <t>center</t>
        </is>
      </c>
      <c r="Q10" t="b">
        <v>1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ATF Fuel 2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G11" t="inlineStr">
        <is>
          <t>US Oil ($)</t>
        </is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FF686868</t>
        </is>
      </c>
      <c r="N11" t="inlineStr">
        <is>
          <t>00000000</t>
        </is>
      </c>
      <c r="O11" t="inlineStr">
        <is>
          <t>center</t>
        </is>
      </c>
      <c r="Q11" t="b">
        <v>1</v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ATF Fuel 2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FF686868</t>
        </is>
      </c>
      <c r="N12" t="inlineStr">
        <is>
          <t>00000000</t>
        </is>
      </c>
      <c r="O12" t="inlineStr">
        <is>
          <t>center</t>
        </is>
      </c>
      <c r="Q12" t="b">
        <v>1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ATF Fuel 2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F13" t="n">
        <v/>
      </c>
      <c r="G13" t="inlineStr">
        <is>
          <t>Date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FF686868</t>
        </is>
      </c>
      <c r="N13" t="inlineStr">
        <is>
          <t>00000000</t>
        </is>
      </c>
      <c r="O13" t="inlineStr">
        <is>
          <t>left</t>
        </is>
      </c>
      <c r="Q13" t="b">
        <v>1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ATF Fuel 2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F14" t="n">
        <v/>
      </c>
      <c r="G14" t="inlineStr">
        <is>
          <t>ATF Price (Rs)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FF686868</t>
        </is>
      </c>
      <c r="N14" t="inlineStr">
        <is>
          <t>00000000</t>
        </is>
      </c>
      <c r="O14" t="inlineStr">
        <is>
          <t>left</t>
        </is>
      </c>
      <c r="Q14" t="b">
        <v>1</v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ATF Fuel 2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F15" t="n">
        <v/>
      </c>
      <c r="G15" t="inlineStr">
        <is>
          <t>Brent ($)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FF686868</t>
        </is>
      </c>
      <c r="N15" t="inlineStr">
        <is>
          <t>00000000</t>
        </is>
      </c>
      <c r="O15" t="inlineStr">
        <is>
          <t>left</t>
        </is>
      </c>
      <c r="Q15" t="b">
        <v>1</v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ATF Fuel 2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F16" t="n">
        <v/>
      </c>
      <c r="G16" t="inlineStr">
        <is>
          <t>US Oil ($)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FF686868</t>
        </is>
      </c>
      <c r="N16" t="inlineStr">
        <is>
          <t>00000000</t>
        </is>
      </c>
      <c r="O16" t="inlineStr">
        <is>
          <t>left</t>
        </is>
      </c>
      <c r="Q16" t="b">
        <v>1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ATF Fuel 2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F17" t="n">
        <v/>
      </c>
      <c r="G17" t="inlineStr">
        <is>
          <t>MCX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FF686868</t>
        </is>
      </c>
      <c r="N17" t="inlineStr">
        <is>
          <t>00000000</t>
        </is>
      </c>
      <c r="O17" t="inlineStr">
        <is>
          <t>left</t>
        </is>
      </c>
      <c r="Q17" t="b">
        <v>1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ATF Fuel 2</t>
        </is>
      </c>
      <c r="B18" t="inlineStr">
        <is>
          <t>Q1</t>
        </is>
      </c>
      <c r="C18" t="n">
        <v>1</v>
      </c>
      <c r="D18" t="n">
        <v>17</v>
      </c>
      <c r="E18" t="inlineStr">
        <is>
          <t>Input</t>
        </is>
      </c>
      <c r="F18" t="n">
        <v/>
      </c>
      <c r="G18" t="inlineStr">
        <is>
          <t>Premium</t>
        </is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FF686868</t>
        </is>
      </c>
      <c r="N18" t="inlineStr">
        <is>
          <t>00000000</t>
        </is>
      </c>
      <c r="O18" t="inlineStr">
        <is>
          <t>left</t>
        </is>
      </c>
      <c r="Q18" t="b">
        <v>1</v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ATF Fuel 2</t>
        </is>
      </c>
      <c r="B19" t="inlineStr">
        <is>
          <t>A2</t>
        </is>
      </c>
      <c r="C19" t="n">
        <v>2</v>
      </c>
      <c r="D19" t="n">
        <v>1</v>
      </c>
      <c r="E19" t="inlineStr">
        <is>
          <t>Input</t>
        </is>
      </c>
      <c r="F19" t="n">
        <v/>
      </c>
      <c r="G19" t="inlineStr">
        <is>
          <t>April 01, 2010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ATF Fuel 2</t>
        </is>
      </c>
      <c r="B20" t="inlineStr">
        <is>
          <t>B2</t>
        </is>
      </c>
      <c r="C20" t="n">
        <v>2</v>
      </c>
      <c r="D20" t="n">
        <v>2</v>
      </c>
      <c r="E20" t="inlineStr">
        <is>
          <t>Input</t>
        </is>
      </c>
      <c r="F20" t="n">
        <v/>
      </c>
      <c r="G20" t="n">
        <v>44361.80250000001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ATF Fuel 2</t>
        </is>
      </c>
      <c r="B21" t="inlineStr">
        <is>
          <t>C2</t>
        </is>
      </c>
      <c r="C21" t="n">
        <v>2</v>
      </c>
      <c r="D21" t="n">
        <v>3</v>
      </c>
      <c r="E21" t="inlineStr">
        <is>
          <t>Input</t>
        </is>
      </c>
      <c r="F21" t="n">
        <v/>
      </c>
      <c r="H21" t="inlineStr"/>
      <c r="I21" t="inlineStr">
        <is>
          <t>0%</t>
        </is>
      </c>
      <c r="J21" t="b">
        <v>0</v>
      </c>
      <c r="K21" t="b">
        <v>0</v>
      </c>
      <c r="L21" t="n">
        <v>11</v>
      </c>
      <c r="M21" t="n">
        <v/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ATF Fuel 2</t>
        </is>
      </c>
      <c r="B22" t="inlineStr">
        <is>
          <t>D2</t>
        </is>
      </c>
      <c r="C22" t="n">
        <v>2</v>
      </c>
      <c r="D22" t="n">
        <v>4</v>
      </c>
      <c r="E22" t="inlineStr">
        <is>
          <t>Input</t>
        </is>
      </c>
      <c r="F22" t="n">
        <v/>
      </c>
      <c r="G22" t="n">
        <v>44.76</v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ATF Fuel 2</t>
        </is>
      </c>
      <c r="B23" t="inlineStr">
        <is>
          <t>F2</t>
        </is>
      </c>
      <c r="C23" t="n">
        <v>2</v>
      </c>
      <c r="D23" t="n">
        <v>6</v>
      </c>
      <c r="E23" t="inlineStr">
        <is>
          <t>Input</t>
        </is>
      </c>
      <c r="F23" t="n">
        <v/>
      </c>
      <c r="G23" t="n">
        <v>82.63</v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ATF Fuel 2</t>
        </is>
      </c>
      <c r="B24" t="inlineStr">
        <is>
          <t>H2</t>
        </is>
      </c>
      <c r="C24" t="n">
        <v>2</v>
      </c>
      <c r="D24" t="n">
        <v>8</v>
      </c>
      <c r="E24" t="inlineStr">
        <is>
          <t>Calculation</t>
        </is>
      </c>
      <c r="F24" t="inlineStr">
        <is>
          <t>'=D2*F2</t>
        </is>
      </c>
      <c r="G24" t="n">
        <v>3698.5188</v>
      </c>
      <c r="H24" t="inlineStr"/>
      <c r="I24" t="inlineStr">
        <is>
          <t>0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1</v>
      </c>
      <c r="S24" t="inlineStr">
        <is>
          <t>G000152</t>
        </is>
      </c>
      <c r="T24" t="inlineStr">
        <is>
          <t>Vertical</t>
        </is>
      </c>
      <c r="U24" t="n">
        <v>98</v>
      </c>
      <c r="V24" t="b">
        <v>1</v>
      </c>
      <c r="W24" t="inlineStr">
        <is>
          <t>ATF Fuel 2!H2:H99</t>
        </is>
      </c>
      <c r="X24">
        <f>R[0]C[-4]*R[0]C[-2]</f>
        <v/>
      </c>
    </row>
    <row r="25">
      <c r="A25" t="inlineStr">
        <is>
          <t>ATF Fuel 2</t>
        </is>
      </c>
      <c r="B25" t="inlineStr">
        <is>
          <t>I2</t>
        </is>
      </c>
      <c r="C25" t="n">
        <v>2</v>
      </c>
      <c r="D25" t="n">
        <v>9</v>
      </c>
      <c r="E25" t="inlineStr">
        <is>
          <t>Input</t>
        </is>
      </c>
      <c r="F25" t="n">
        <v/>
      </c>
      <c r="H25" t="inlineStr"/>
      <c r="I25" t="inlineStr">
        <is>
          <t>0%</t>
        </is>
      </c>
      <c r="J25" t="b">
        <v>0</v>
      </c>
      <c r="K25" t="b">
        <v>0</v>
      </c>
      <c r="L25" t="n">
        <v>11</v>
      </c>
      <c r="M25" t="inlineStr">
        <is>
          <t>FFFF0000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ATF Fuel 2</t>
        </is>
      </c>
      <c r="B26" t="inlineStr">
        <is>
          <t>J2</t>
        </is>
      </c>
      <c r="C26" t="n">
        <v>2</v>
      </c>
      <c r="D26" t="n">
        <v>10</v>
      </c>
      <c r="E26" t="inlineStr">
        <is>
          <t>Input</t>
        </is>
      </c>
      <c r="F26" t="n">
        <v/>
      </c>
      <c r="G26" t="n">
        <v>84.53</v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ATF Fuel 2</t>
        </is>
      </c>
      <c r="B27" t="inlineStr">
        <is>
          <t>L2</t>
        </is>
      </c>
      <c r="C27" t="n">
        <v>2</v>
      </c>
      <c r="D27" t="n">
        <v>12</v>
      </c>
      <c r="E27" t="inlineStr">
        <is>
          <t>Input</t>
        </is>
      </c>
      <c r="F27" t="n">
        <v/>
      </c>
      <c r="G27" t="inlineStr">
        <is>
          <t>April 01, 2010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left</t>
        </is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ATF Fuel 2</t>
        </is>
      </c>
      <c r="B28" t="inlineStr">
        <is>
          <t>M2</t>
        </is>
      </c>
      <c r="C28" t="n">
        <v>2</v>
      </c>
      <c r="D28" t="n">
        <v>13</v>
      </c>
      <c r="E28" t="inlineStr">
        <is>
          <t>Input</t>
        </is>
      </c>
      <c r="F28" t="n">
        <v/>
      </c>
      <c r="G28" t="n">
        <v>100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inlineStr">
        <is>
          <t>left</t>
        </is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ATF Fuel 2</t>
        </is>
      </c>
      <c r="B29" t="inlineStr">
        <is>
          <t>N2</t>
        </is>
      </c>
      <c r="C29" t="n">
        <v>2</v>
      </c>
      <c r="D29" t="n">
        <v>14</v>
      </c>
      <c r="E29" t="inlineStr">
        <is>
          <t>Input</t>
        </is>
      </c>
      <c r="F29" t="n">
        <v/>
      </c>
      <c r="G29" t="n">
        <v>100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inlineStr">
        <is>
          <t>left</t>
        </is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ATF Fuel 2</t>
        </is>
      </c>
      <c r="B30" t="inlineStr">
        <is>
          <t>O2</t>
        </is>
      </c>
      <c r="C30" t="n">
        <v>2</v>
      </c>
      <c r="D30" t="n">
        <v>15</v>
      </c>
      <c r="E30" t="inlineStr">
        <is>
          <t>Input</t>
        </is>
      </c>
      <c r="F30" t="n">
        <v/>
      </c>
      <c r="G30" t="n">
        <v>100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inlineStr">
        <is>
          <t>left</t>
        </is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ATF Fuel 2</t>
        </is>
      </c>
      <c r="B31" t="inlineStr">
        <is>
          <t>P2</t>
        </is>
      </c>
      <c r="C31" t="n">
        <v>2</v>
      </c>
      <c r="D31" t="n">
        <v>16</v>
      </c>
      <c r="E31" t="inlineStr">
        <is>
          <t>Input</t>
        </is>
      </c>
      <c r="F31" t="n">
        <v/>
      </c>
      <c r="G31" t="n">
        <v>100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inlineStr">
        <is>
          <t>left</t>
        </is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ATF Fuel 2</t>
        </is>
      </c>
      <c r="B32" t="inlineStr">
        <is>
          <t>Q2</t>
        </is>
      </c>
      <c r="C32" t="n">
        <v>2</v>
      </c>
      <c r="D32" t="n">
        <v>17</v>
      </c>
      <c r="E32" t="inlineStr">
        <is>
          <t>Output</t>
        </is>
      </c>
      <c r="F32" t="inlineStr">
        <is>
          <t>'=M2/N2-1</t>
        </is>
      </c>
      <c r="G32" t="n">
        <v>0</v>
      </c>
      <c r="H32" t="inlineStr"/>
      <c r="I32" t="inlineStr">
        <is>
          <t>0.0%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G000153</t>
        </is>
      </c>
      <c r="T32" t="inlineStr">
        <is>
          <t>Vertical</t>
        </is>
      </c>
      <c r="U32" t="n">
        <v>93</v>
      </c>
      <c r="V32" t="b">
        <v>1</v>
      </c>
      <c r="W32" t="inlineStr">
        <is>
          <t>ATF Fuel 2!Q2:Q94</t>
        </is>
      </c>
      <c r="X32">
        <f>R[0]C[-4]/R[0]C[-3]-1</f>
        <v/>
      </c>
    </row>
    <row r="33">
      <c r="A33" t="inlineStr">
        <is>
          <t>ATF Fuel 2</t>
        </is>
      </c>
      <c r="B33" t="inlineStr">
        <is>
          <t>A3</t>
        </is>
      </c>
      <c r="C33" t="n">
        <v>3</v>
      </c>
      <c r="D33" t="n">
        <v>1</v>
      </c>
      <c r="E33" t="inlineStr">
        <is>
          <t>Input</t>
        </is>
      </c>
      <c r="F33" t="n">
        <v/>
      </c>
      <c r="G33" t="inlineStr">
        <is>
          <t>May 01, 2010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ATF Fuel 2</t>
        </is>
      </c>
      <c r="B34" t="inlineStr">
        <is>
          <t>B3</t>
        </is>
      </c>
      <c r="C34" t="n">
        <v>3</v>
      </c>
      <c r="D34" t="n">
        <v>2</v>
      </c>
      <c r="E34" t="inlineStr">
        <is>
          <t>Input</t>
        </is>
      </c>
      <c r="F34" t="n">
        <v/>
      </c>
      <c r="G34" t="n">
        <v>46016.395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ATF Fuel 2</t>
        </is>
      </c>
      <c r="B35" t="inlineStr">
        <is>
          <t>C3</t>
        </is>
      </c>
      <c r="C35" t="n">
        <v>3</v>
      </c>
      <c r="D35" t="n">
        <v>3</v>
      </c>
      <c r="E35" t="inlineStr">
        <is>
          <t>Output</t>
        </is>
      </c>
      <c r="F35" t="inlineStr">
        <is>
          <t>'=B3/B2-1</t>
        </is>
      </c>
      <c r="G35" t="n">
        <v>0.03729768419576707</v>
      </c>
      <c r="H35" t="inlineStr"/>
      <c r="I35" t="inlineStr">
        <is>
          <t>0%</t>
        </is>
      </c>
      <c r="J35" t="b">
        <v>0</v>
      </c>
      <c r="K35" t="b">
        <v>0</v>
      </c>
      <c r="L35" t="n">
        <v>11</v>
      </c>
      <c r="M35" t="n">
        <v/>
      </c>
      <c r="N35" t="inlineStr">
        <is>
          <t>00000000</t>
        </is>
      </c>
      <c r="O35" t="n">
        <v/>
      </c>
      <c r="R35" t="b">
        <v>1</v>
      </c>
      <c r="S35" t="inlineStr">
        <is>
          <t>G000154</t>
        </is>
      </c>
      <c r="T35" t="inlineStr">
        <is>
          <t>Vertical</t>
        </is>
      </c>
      <c r="U35" t="n">
        <v>92</v>
      </c>
      <c r="V35" t="b">
        <v>1</v>
      </c>
      <c r="W35" t="inlineStr">
        <is>
          <t>ATF Fuel 2!C3:C94</t>
        </is>
      </c>
      <c r="X35">
        <f>R[0]C[-1]/R[-1]C[-1]-1</f>
        <v/>
      </c>
    </row>
    <row r="36">
      <c r="A36" t="inlineStr">
        <is>
          <t>ATF Fuel 2</t>
        </is>
      </c>
      <c r="B36" t="inlineStr">
        <is>
          <t>D3</t>
        </is>
      </c>
      <c r="C36" t="n">
        <v>3</v>
      </c>
      <c r="D36" t="n">
        <v>4</v>
      </c>
      <c r="E36" t="inlineStr">
        <is>
          <t>Input</t>
        </is>
      </c>
      <c r="F36" t="n">
        <v/>
      </c>
      <c r="G36" t="n">
        <v>44.52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ATF Fuel 2</t>
        </is>
      </c>
      <c r="B37" t="inlineStr">
        <is>
          <t>E3</t>
        </is>
      </c>
      <c r="C37" t="n">
        <v>3</v>
      </c>
      <c r="D37" t="n">
        <v>5</v>
      </c>
      <c r="E37" t="inlineStr">
        <is>
          <t>Output</t>
        </is>
      </c>
      <c r="F37" t="inlineStr">
        <is>
          <t>'=B3/B2-1</t>
        </is>
      </c>
      <c r="G37" t="n">
        <v>0.03729768419576707</v>
      </c>
      <c r="H37" t="inlineStr"/>
      <c r="I37" t="inlineStr">
        <is>
          <t>0%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G000158</t>
        </is>
      </c>
      <c r="T37" t="inlineStr">
        <is>
          <t>Vertical</t>
        </is>
      </c>
      <c r="U37" t="n">
        <v>92</v>
      </c>
      <c r="V37" t="b">
        <v>1</v>
      </c>
      <c r="W37" t="inlineStr">
        <is>
          <t>ATF Fuel 2!E3:E94</t>
        </is>
      </c>
      <c r="X37">
        <f>R[0]C[-3]/R[-1]C[-3]-1</f>
        <v/>
      </c>
    </row>
    <row r="38">
      <c r="A38" t="inlineStr">
        <is>
          <t>ATF Fuel 2</t>
        </is>
      </c>
      <c r="B38" t="inlineStr">
        <is>
          <t>F3</t>
        </is>
      </c>
      <c r="C38" t="n">
        <v>3</v>
      </c>
      <c r="D38" t="n">
        <v>6</v>
      </c>
      <c r="E38" t="inlineStr">
        <is>
          <t>Input</t>
        </is>
      </c>
      <c r="F38" t="n">
        <v/>
      </c>
      <c r="G38" t="n">
        <v>88.09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ATF Fuel 2</t>
        </is>
      </c>
      <c r="B39" t="inlineStr">
        <is>
          <t>G3</t>
        </is>
      </c>
      <c r="C39" t="n">
        <v>3</v>
      </c>
      <c r="D39" t="n">
        <v>7</v>
      </c>
      <c r="E39" t="inlineStr">
        <is>
          <t>Output</t>
        </is>
      </c>
      <c r="F39" t="inlineStr">
        <is>
          <t>'=F3/F2-1</t>
        </is>
      </c>
      <c r="G39" t="n">
        <v>0.06607769575214828</v>
      </c>
      <c r="H39" t="inlineStr"/>
      <c r="I39" t="inlineStr">
        <is>
          <t>0%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G000155</t>
        </is>
      </c>
      <c r="T39" t="inlineStr">
        <is>
          <t>Vertical</t>
        </is>
      </c>
      <c r="U39" t="n">
        <v>93</v>
      </c>
      <c r="V39" t="b">
        <v>1</v>
      </c>
      <c r="W39" t="inlineStr">
        <is>
          <t>ATF Fuel 2!G3:G95</t>
        </is>
      </c>
      <c r="X39">
        <f>R[0]C[-1]/R[-1]C[-1]-1</f>
        <v/>
      </c>
    </row>
    <row r="40">
      <c r="A40" t="inlineStr">
        <is>
          <t>ATF Fuel 2</t>
        </is>
      </c>
      <c r="B40" t="inlineStr">
        <is>
          <t>H3</t>
        </is>
      </c>
      <c r="C40" t="n">
        <v>3</v>
      </c>
      <c r="D40" t="n">
        <v>8</v>
      </c>
      <c r="E40" t="inlineStr">
        <is>
          <t>Calculation</t>
        </is>
      </c>
      <c r="F40" t="inlineStr">
        <is>
          <t>'=D3*F3</t>
        </is>
      </c>
      <c r="G40" t="n">
        <v>3921.7668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inlineStr">
        <is>
          <t>G000152</t>
        </is>
      </c>
      <c r="T40" t="inlineStr">
        <is>
          <t>Vertical</t>
        </is>
      </c>
      <c r="U40" t="n">
        <v>98</v>
      </c>
      <c r="V40" t="b">
        <v>1</v>
      </c>
      <c r="W40" t="inlineStr">
        <is>
          <t>ATF Fuel 2!H2:H99</t>
        </is>
      </c>
      <c r="X40">
        <f>R[0]C[-4]*R[0]C[-2]</f>
        <v/>
      </c>
    </row>
    <row r="41">
      <c r="A41" t="inlineStr">
        <is>
          <t>ATF Fuel 2</t>
        </is>
      </c>
      <c r="B41" t="inlineStr">
        <is>
          <t>I3</t>
        </is>
      </c>
      <c r="C41" t="n">
        <v>3</v>
      </c>
      <c r="D41" t="n">
        <v>9</v>
      </c>
      <c r="E41" t="inlineStr">
        <is>
          <t>Output</t>
        </is>
      </c>
      <c r="F41" t="inlineStr">
        <is>
          <t>'=H3/H2-1</t>
        </is>
      </c>
      <c r="G41" t="n">
        <v>0.06036146145857102</v>
      </c>
      <c r="H41" t="inlineStr"/>
      <c r="I41" t="inlineStr">
        <is>
          <t>0%</t>
        </is>
      </c>
      <c r="J41" t="b">
        <v>0</v>
      </c>
      <c r="K41" t="b">
        <v>0</v>
      </c>
      <c r="L41" t="n">
        <v>11</v>
      </c>
      <c r="M41" t="inlineStr">
        <is>
          <t>FFFF0000</t>
        </is>
      </c>
      <c r="N41" t="inlineStr">
        <is>
          <t>00000000</t>
        </is>
      </c>
      <c r="O41" t="n">
        <v/>
      </c>
      <c r="R41" t="b">
        <v>1</v>
      </c>
      <c r="S41" t="inlineStr">
        <is>
          <t>G000156</t>
        </is>
      </c>
      <c r="T41" t="inlineStr">
        <is>
          <t>Vertical</t>
        </is>
      </c>
      <c r="U41" t="n">
        <v>97</v>
      </c>
      <c r="V41" t="b">
        <v>1</v>
      </c>
      <c r="W41" t="inlineStr">
        <is>
          <t>ATF Fuel 2!I3:I99</t>
        </is>
      </c>
      <c r="X41">
        <f>R[0]C[-1]/R[-1]C[-1]-1</f>
        <v/>
      </c>
    </row>
    <row r="42">
      <c r="A42" t="inlineStr">
        <is>
          <t>ATF Fuel 2</t>
        </is>
      </c>
      <c r="B42" t="inlineStr">
        <is>
          <t>J3</t>
        </is>
      </c>
      <c r="C42" t="n">
        <v>3</v>
      </c>
      <c r="D42" t="n">
        <v>10</v>
      </c>
      <c r="E42" t="inlineStr">
        <is>
          <t>Input</t>
        </is>
      </c>
      <c r="F42" t="n">
        <v/>
      </c>
      <c r="G42" t="n">
        <v>86.19</v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ATF Fuel 2</t>
        </is>
      </c>
      <c r="B43" t="inlineStr">
        <is>
          <t>K3</t>
        </is>
      </c>
      <c r="C43" t="n">
        <v>3</v>
      </c>
      <c r="D43" t="n">
        <v>11</v>
      </c>
      <c r="E43" t="inlineStr">
        <is>
          <t>Output</t>
        </is>
      </c>
      <c r="F43" t="inlineStr">
        <is>
          <t>'=J3/J2-1</t>
        </is>
      </c>
      <c r="G43" t="n">
        <v>0.01963799834378332</v>
      </c>
      <c r="H43" t="inlineStr"/>
      <c r="I43" t="inlineStr">
        <is>
          <t>0%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G000157</t>
        </is>
      </c>
      <c r="T43" t="inlineStr">
        <is>
          <t>Vertical</t>
        </is>
      </c>
      <c r="U43" t="n">
        <v>93</v>
      </c>
      <c r="V43" t="b">
        <v>1</v>
      </c>
      <c r="W43" t="inlineStr">
        <is>
          <t>ATF Fuel 2!K3:K95</t>
        </is>
      </c>
      <c r="X43">
        <f>R[0]C[-1]/R[-1]C[-1]-1</f>
        <v/>
      </c>
    </row>
    <row r="44">
      <c r="A44" t="inlineStr">
        <is>
          <t>ATF Fuel 2</t>
        </is>
      </c>
      <c r="B44" t="inlineStr">
        <is>
          <t>L3</t>
        </is>
      </c>
      <c r="C44" t="n">
        <v>3</v>
      </c>
      <c r="D44" t="n">
        <v>12</v>
      </c>
      <c r="E44" t="inlineStr">
        <is>
          <t>Input</t>
        </is>
      </c>
      <c r="F44" t="n">
        <v/>
      </c>
      <c r="G44" t="inlineStr">
        <is>
          <t>May 01, 2010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inlineStr">
        <is>
          <t>left</t>
        </is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ATF Fuel 2</t>
        </is>
      </c>
      <c r="B45" t="inlineStr">
        <is>
          <t>M3</t>
        </is>
      </c>
      <c r="C45" t="n">
        <v>3</v>
      </c>
      <c r="D45" t="n">
        <v>13</v>
      </c>
      <c r="E45" t="inlineStr">
        <is>
          <t>Calculation</t>
        </is>
      </c>
      <c r="F45" t="inlineStr">
        <is>
          <t>'=(1+(B3/B2)-1)*M2</t>
        </is>
      </c>
      <c r="G45" t="n">
        <v>103.7297684195767</v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inlineStr">
        <is>
          <t>left</t>
        </is>
      </c>
      <c r="R45" t="b">
        <v>1</v>
      </c>
      <c r="S45" t="inlineStr">
        <is>
          <t>G000159</t>
        </is>
      </c>
      <c r="T45" t="inlineStr">
        <is>
          <t>Vertical</t>
        </is>
      </c>
      <c r="U45" t="n">
        <v>92</v>
      </c>
      <c r="V45" t="b">
        <v>1</v>
      </c>
      <c r="W45" t="inlineStr">
        <is>
          <t>ATF Fuel 2!M3:M94</t>
        </is>
      </c>
      <c r="X45">
        <f>(1+(R[0]C[-11]/R[-1]C[-11])-1)*R[-1]C[0]</f>
        <v/>
      </c>
    </row>
    <row r="46">
      <c r="A46" t="inlineStr">
        <is>
          <t>ATF Fuel 2</t>
        </is>
      </c>
      <c r="B46" t="inlineStr">
        <is>
          <t>N3</t>
        </is>
      </c>
      <c r="C46" t="n">
        <v>3</v>
      </c>
      <c r="D46" t="n">
        <v>14</v>
      </c>
      <c r="E46" t="inlineStr">
        <is>
          <t>Calculation</t>
        </is>
      </c>
      <c r="F46" t="inlineStr">
        <is>
          <t>'=(1+(F3/F2)-1)*N2</t>
        </is>
      </c>
      <c r="G46" t="n">
        <v>106.6077695752148</v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inlineStr">
        <is>
          <t>left</t>
        </is>
      </c>
      <c r="R46" t="b">
        <v>1</v>
      </c>
      <c r="S46" t="inlineStr">
        <is>
          <t>G000160</t>
        </is>
      </c>
      <c r="T46" t="inlineStr">
        <is>
          <t>Vertical</t>
        </is>
      </c>
      <c r="U46" t="n">
        <v>92</v>
      </c>
      <c r="V46" t="b">
        <v>1</v>
      </c>
      <c r="W46" t="inlineStr">
        <is>
          <t>ATF Fuel 2!N3:N94</t>
        </is>
      </c>
      <c r="X46">
        <f>(1+(R[0]C[-8]/R[-1]C[-8])-1)*R[-1]C[0]</f>
        <v/>
      </c>
    </row>
    <row r="47">
      <c r="A47" t="inlineStr">
        <is>
          <t>ATF Fuel 2</t>
        </is>
      </c>
      <c r="B47" t="inlineStr">
        <is>
          <t>O3</t>
        </is>
      </c>
      <c r="C47" t="n">
        <v>3</v>
      </c>
      <c r="D47" t="n">
        <v>15</v>
      </c>
      <c r="E47" t="inlineStr">
        <is>
          <t>Calculation</t>
        </is>
      </c>
      <c r="F47" t="inlineStr">
        <is>
          <t>'=(1+(J3/J2)-1)*O2</t>
        </is>
      </c>
      <c r="G47" t="n">
        <v>101.9637998343783</v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inlineStr">
        <is>
          <t>left</t>
        </is>
      </c>
      <c r="R47" t="b">
        <v>1</v>
      </c>
      <c r="S47" t="inlineStr">
        <is>
          <t>G000162</t>
        </is>
      </c>
      <c r="T47" t="inlineStr">
        <is>
          <t>Vertical</t>
        </is>
      </c>
      <c r="U47" t="n">
        <v>92</v>
      </c>
      <c r="V47" t="b">
        <v>1</v>
      </c>
      <c r="W47" t="inlineStr">
        <is>
          <t>ATF Fuel 2!O3:O94</t>
        </is>
      </c>
      <c r="X47">
        <f>(1+(R[0]C[-5]/R[-1]C[-5])-1)*R[-1]C[0]</f>
        <v/>
      </c>
    </row>
    <row r="48">
      <c r="A48" t="inlineStr">
        <is>
          <t>ATF Fuel 2</t>
        </is>
      </c>
      <c r="B48" t="inlineStr">
        <is>
          <t>P3</t>
        </is>
      </c>
      <c r="C48" t="n">
        <v>3</v>
      </c>
      <c r="D48" t="n">
        <v>16</v>
      </c>
      <c r="E48" t="inlineStr">
        <is>
          <t>Calculation</t>
        </is>
      </c>
      <c r="F48" t="inlineStr">
        <is>
          <t>'=(1+(H3/H2)-1)*P2</t>
        </is>
      </c>
      <c r="G48" t="n">
        <v>106.0361461458571</v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inlineStr">
        <is>
          <t>left</t>
        </is>
      </c>
      <c r="R48" t="b">
        <v>1</v>
      </c>
      <c r="S48" t="inlineStr">
        <is>
          <t>G000161</t>
        </is>
      </c>
      <c r="T48" t="inlineStr">
        <is>
          <t>Vertical</t>
        </is>
      </c>
      <c r="U48" t="n">
        <v>92</v>
      </c>
      <c r="V48" t="b">
        <v>1</v>
      </c>
      <c r="W48" t="inlineStr">
        <is>
          <t>ATF Fuel 2!P3:P94</t>
        </is>
      </c>
      <c r="X48">
        <f>(1+(R[0]C[-8]/R[-1]C[-8])-1)*R[-1]C[0]</f>
        <v/>
      </c>
    </row>
    <row r="49">
      <c r="A49" t="inlineStr">
        <is>
          <t>ATF Fuel 2</t>
        </is>
      </c>
      <c r="B49" t="inlineStr">
        <is>
          <t>Q3</t>
        </is>
      </c>
      <c r="C49" t="n">
        <v>3</v>
      </c>
      <c r="D49" t="n">
        <v>17</v>
      </c>
      <c r="E49" t="inlineStr">
        <is>
          <t>Output</t>
        </is>
      </c>
      <c r="F49" t="inlineStr">
        <is>
          <t>'=M3/N3-1</t>
        </is>
      </c>
      <c r="G49" t="n">
        <v>-0.02699616704397512</v>
      </c>
      <c r="H49" t="inlineStr"/>
      <c r="I49" t="inlineStr">
        <is>
          <t>0.0%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G000153</t>
        </is>
      </c>
      <c r="T49" t="inlineStr">
        <is>
          <t>Vertical</t>
        </is>
      </c>
      <c r="U49" t="n">
        <v>93</v>
      </c>
      <c r="V49" t="b">
        <v>1</v>
      </c>
      <c r="W49" t="inlineStr">
        <is>
          <t>ATF Fuel 2!Q2:Q94</t>
        </is>
      </c>
      <c r="X49">
        <f>R[0]C[-4]/R[0]C[-3]-1</f>
        <v/>
      </c>
    </row>
    <row r="50">
      <c r="A50" t="inlineStr">
        <is>
          <t>ATF Fuel 2</t>
        </is>
      </c>
      <c r="B50" t="inlineStr">
        <is>
          <t>AN3</t>
        </is>
      </c>
      <c r="C50" t="n">
        <v>3</v>
      </c>
      <c r="D50" t="n">
        <v>40</v>
      </c>
      <c r="E50" t="inlineStr">
        <is>
          <t>Input</t>
        </is>
      </c>
      <c r="F50" t="n">
        <v/>
      </c>
      <c r="G50" t="inlineStr">
        <is>
          <t>Q2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ATF Fuel 2</t>
        </is>
      </c>
      <c r="B51" t="inlineStr">
        <is>
          <t>AO3</t>
        </is>
      </c>
      <c r="C51" t="n">
        <v>3</v>
      </c>
      <c r="D51" t="n">
        <v>41</v>
      </c>
      <c r="E51" t="inlineStr">
        <is>
          <t>Input</t>
        </is>
      </c>
      <c r="F51" t="n">
        <v/>
      </c>
      <c r="G51" t="inlineStr">
        <is>
          <t>Q1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ATF Fuel 2</t>
        </is>
      </c>
      <c r="B52" t="inlineStr">
        <is>
          <t>A4</t>
        </is>
      </c>
      <c r="C52" t="n">
        <v>4</v>
      </c>
      <c r="D52" t="n">
        <v>1</v>
      </c>
      <c r="E52" t="inlineStr">
        <is>
          <t>Input</t>
        </is>
      </c>
      <c r="F52" t="n">
        <v/>
      </c>
      <c r="G52" t="inlineStr">
        <is>
          <t>June 01, 2010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ATF Fuel 2</t>
        </is>
      </c>
      <c r="B53" t="inlineStr">
        <is>
          <t>B4</t>
        </is>
      </c>
      <c r="C53" t="n">
        <v>4</v>
      </c>
      <c r="D53" t="n">
        <v>2</v>
      </c>
      <c r="E53" t="inlineStr">
        <is>
          <t>Input</t>
        </is>
      </c>
      <c r="F53" t="n">
        <v/>
      </c>
      <c r="G53" t="n">
        <v>42951.23</v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ATF Fuel 2</t>
        </is>
      </c>
      <c r="B54" t="inlineStr">
        <is>
          <t>C4</t>
        </is>
      </c>
      <c r="C54" t="n">
        <v>4</v>
      </c>
      <c r="D54" t="n">
        <v>3</v>
      </c>
      <c r="E54" t="inlineStr">
        <is>
          <t>Output</t>
        </is>
      </c>
      <c r="F54" t="inlineStr">
        <is>
          <t>'=B4/B3-1</t>
        </is>
      </c>
      <c r="G54" t="n">
        <v>-0.06661028096616439</v>
      </c>
      <c r="H54" t="inlineStr"/>
      <c r="I54" t="inlineStr">
        <is>
          <t>0%</t>
        </is>
      </c>
      <c r="J54" t="b">
        <v>0</v>
      </c>
      <c r="K54" t="b">
        <v>0</v>
      </c>
      <c r="L54" t="n">
        <v>11</v>
      </c>
      <c r="M54" t="n">
        <v/>
      </c>
      <c r="N54" t="inlineStr">
        <is>
          <t>00000000</t>
        </is>
      </c>
      <c r="O54" t="n">
        <v/>
      </c>
      <c r="R54" t="b">
        <v>1</v>
      </c>
      <c r="S54" t="inlineStr">
        <is>
          <t>G000154</t>
        </is>
      </c>
      <c r="T54" t="inlineStr">
        <is>
          <t>Vertical</t>
        </is>
      </c>
      <c r="U54" t="n">
        <v>92</v>
      </c>
      <c r="V54" t="b">
        <v>1</v>
      </c>
      <c r="W54" t="inlineStr">
        <is>
          <t>ATF Fuel 2!C3:C94</t>
        </is>
      </c>
      <c r="X54">
        <f>R[0]C[-1]/R[-1]C[-1]-1</f>
        <v/>
      </c>
    </row>
    <row r="55">
      <c r="A55" t="inlineStr">
        <is>
          <t>ATF Fuel 2</t>
        </is>
      </c>
      <c r="B55" t="inlineStr">
        <is>
          <t>D4</t>
        </is>
      </c>
      <c r="C55" t="n">
        <v>4</v>
      </c>
      <c r="D55" t="n">
        <v>4</v>
      </c>
      <c r="E55" t="inlineStr">
        <is>
          <t>Input</t>
        </is>
      </c>
      <c r="F55" t="n">
        <v/>
      </c>
      <c r="G55" t="n">
        <v>46.5125</v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ATF Fuel 2</t>
        </is>
      </c>
      <c r="B56" t="inlineStr">
        <is>
          <t>E4</t>
        </is>
      </c>
      <c r="C56" t="n">
        <v>4</v>
      </c>
      <c r="D56" t="n">
        <v>5</v>
      </c>
      <c r="E56" t="inlineStr">
        <is>
          <t>Output</t>
        </is>
      </c>
      <c r="F56" t="inlineStr">
        <is>
          <t>'=B4/B3-1</t>
        </is>
      </c>
      <c r="G56" t="n">
        <v>-0.06661028096616439</v>
      </c>
      <c r="H56" t="inlineStr"/>
      <c r="I56" t="inlineStr">
        <is>
          <t>0%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1</v>
      </c>
      <c r="S56" t="inlineStr">
        <is>
          <t>G000158</t>
        </is>
      </c>
      <c r="T56" t="inlineStr">
        <is>
          <t>Vertical</t>
        </is>
      </c>
      <c r="U56" t="n">
        <v>92</v>
      </c>
      <c r="V56" t="b">
        <v>1</v>
      </c>
      <c r="W56" t="inlineStr">
        <is>
          <t>ATF Fuel 2!E3:E94</t>
        </is>
      </c>
      <c r="X56">
        <f>R[0]C[-3]/R[-1]C[-3]-1</f>
        <v/>
      </c>
    </row>
    <row r="57">
      <c r="A57" t="inlineStr">
        <is>
          <t>ATF Fuel 2</t>
        </is>
      </c>
      <c r="B57" t="inlineStr">
        <is>
          <t>F4</t>
        </is>
      </c>
      <c r="C57" t="n">
        <v>4</v>
      </c>
      <c r="D57" t="n">
        <v>6</v>
      </c>
      <c r="E57" t="inlineStr">
        <is>
          <t>Input</t>
        </is>
      </c>
      <c r="F57" t="n">
        <v/>
      </c>
      <c r="G57" t="n">
        <v>73.08</v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ATF Fuel 2</t>
        </is>
      </c>
      <c r="B58" t="inlineStr">
        <is>
          <t>G4</t>
        </is>
      </c>
      <c r="C58" t="n">
        <v>4</v>
      </c>
      <c r="D58" t="n">
        <v>7</v>
      </c>
      <c r="E58" t="inlineStr">
        <is>
          <t>Output</t>
        </is>
      </c>
      <c r="F58" t="inlineStr">
        <is>
          <t>'=F4/F3-1</t>
        </is>
      </c>
      <c r="G58" t="n">
        <v>-0.1703939153138836</v>
      </c>
      <c r="H58" t="inlineStr"/>
      <c r="I58" t="inlineStr">
        <is>
          <t>0%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1</v>
      </c>
      <c r="S58" t="inlineStr">
        <is>
          <t>G000155</t>
        </is>
      </c>
      <c r="T58" t="inlineStr">
        <is>
          <t>Vertical</t>
        </is>
      </c>
      <c r="U58" t="n">
        <v>93</v>
      </c>
      <c r="V58" t="b">
        <v>1</v>
      </c>
      <c r="W58" t="inlineStr">
        <is>
          <t>ATF Fuel 2!G3:G95</t>
        </is>
      </c>
      <c r="X58">
        <f>R[0]C[-1]/R[-1]C[-1]-1</f>
        <v/>
      </c>
    </row>
    <row r="59">
      <c r="A59" t="inlineStr">
        <is>
          <t>ATF Fuel 2</t>
        </is>
      </c>
      <c r="B59" t="inlineStr">
        <is>
          <t>H4</t>
        </is>
      </c>
      <c r="C59" t="n">
        <v>4</v>
      </c>
      <c r="D59" t="n">
        <v>8</v>
      </c>
      <c r="E59" t="inlineStr">
        <is>
          <t>Calculation</t>
        </is>
      </c>
      <c r="F59" t="inlineStr">
        <is>
          <t>'=D4*F4</t>
        </is>
      </c>
      <c r="G59" t="n">
        <v>3399.1335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1</v>
      </c>
      <c r="S59" t="inlineStr">
        <is>
          <t>G000152</t>
        </is>
      </c>
      <c r="T59" t="inlineStr">
        <is>
          <t>Vertical</t>
        </is>
      </c>
      <c r="U59" t="n">
        <v>98</v>
      </c>
      <c r="V59" t="b">
        <v>1</v>
      </c>
      <c r="W59" t="inlineStr">
        <is>
          <t>ATF Fuel 2!H2:H99</t>
        </is>
      </c>
      <c r="X59">
        <f>R[0]C[-4]*R[0]C[-2]</f>
        <v/>
      </c>
    </row>
    <row r="60">
      <c r="A60" t="inlineStr">
        <is>
          <t>ATF Fuel 2</t>
        </is>
      </c>
      <c r="B60" t="inlineStr">
        <is>
          <t>I4</t>
        </is>
      </c>
      <c r="C60" t="n">
        <v>4</v>
      </c>
      <c r="D60" t="n">
        <v>9</v>
      </c>
      <c r="E60" t="inlineStr">
        <is>
          <t>Output</t>
        </is>
      </c>
      <c r="F60" t="inlineStr">
        <is>
          <t>'=H4/H3-1</t>
        </is>
      </c>
      <c r="G60" t="n">
        <v>-0.1332647570987648</v>
      </c>
      <c r="H60" t="inlineStr"/>
      <c r="I60" t="inlineStr">
        <is>
          <t>0%</t>
        </is>
      </c>
      <c r="J60" t="b">
        <v>0</v>
      </c>
      <c r="K60" t="b">
        <v>0</v>
      </c>
      <c r="L60" t="n">
        <v>11</v>
      </c>
      <c r="M60" t="inlineStr">
        <is>
          <t>FFFF0000</t>
        </is>
      </c>
      <c r="N60" t="inlineStr">
        <is>
          <t>00000000</t>
        </is>
      </c>
      <c r="O60" t="n">
        <v/>
      </c>
      <c r="R60" t="b">
        <v>1</v>
      </c>
      <c r="S60" t="inlineStr">
        <is>
          <t>G000156</t>
        </is>
      </c>
      <c r="T60" t="inlineStr">
        <is>
          <t>Vertical</t>
        </is>
      </c>
      <c r="U60" t="n">
        <v>97</v>
      </c>
      <c r="V60" t="b">
        <v>1</v>
      </c>
      <c r="W60" t="inlineStr">
        <is>
          <t>ATF Fuel 2!I3:I99</t>
        </is>
      </c>
      <c r="X60">
        <f>R[0]C[-1]/R[-1]C[-1]-1</f>
        <v/>
      </c>
    </row>
    <row r="61">
      <c r="A61" t="inlineStr">
        <is>
          <t>ATF Fuel 2</t>
        </is>
      </c>
      <c r="B61" t="inlineStr">
        <is>
          <t>J4</t>
        </is>
      </c>
      <c r="C61" t="n">
        <v>4</v>
      </c>
      <c r="D61" t="n">
        <v>10</v>
      </c>
      <c r="E61" t="inlineStr">
        <is>
          <t>Input</t>
        </is>
      </c>
      <c r="F61" t="n">
        <v/>
      </c>
      <c r="G61" t="n">
        <v>72.7</v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ATF Fuel 2</t>
        </is>
      </c>
      <c r="B62" t="inlineStr">
        <is>
          <t>K4</t>
        </is>
      </c>
      <c r="C62" t="n">
        <v>4</v>
      </c>
      <c r="D62" t="n">
        <v>11</v>
      </c>
      <c r="E62" t="inlineStr">
        <is>
          <t>Output</t>
        </is>
      </c>
      <c r="F62" t="inlineStr">
        <is>
          <t>'=J4/J3-1</t>
        </is>
      </c>
      <c r="G62" t="n">
        <v>-0.1565146768766678</v>
      </c>
      <c r="H62" t="inlineStr"/>
      <c r="I62" t="inlineStr">
        <is>
          <t>0%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1</v>
      </c>
      <c r="S62" t="inlineStr">
        <is>
          <t>G000157</t>
        </is>
      </c>
      <c r="T62" t="inlineStr">
        <is>
          <t>Vertical</t>
        </is>
      </c>
      <c r="U62" t="n">
        <v>93</v>
      </c>
      <c r="V62" t="b">
        <v>1</v>
      </c>
      <c r="W62" t="inlineStr">
        <is>
          <t>ATF Fuel 2!K3:K95</t>
        </is>
      </c>
      <c r="X62">
        <f>R[0]C[-1]/R[-1]C[-1]-1</f>
        <v/>
      </c>
    </row>
    <row r="63">
      <c r="A63" t="inlineStr">
        <is>
          <t>ATF Fuel 2</t>
        </is>
      </c>
      <c r="B63" t="inlineStr">
        <is>
          <t>L4</t>
        </is>
      </c>
      <c r="C63" t="n">
        <v>4</v>
      </c>
      <c r="D63" t="n">
        <v>12</v>
      </c>
      <c r="E63" t="inlineStr">
        <is>
          <t>Input</t>
        </is>
      </c>
      <c r="F63" t="n">
        <v/>
      </c>
      <c r="G63" t="inlineStr">
        <is>
          <t>June 01, 2010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inlineStr">
        <is>
          <t>left</t>
        </is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ATF Fuel 2</t>
        </is>
      </c>
      <c r="B64" t="inlineStr">
        <is>
          <t>M4</t>
        </is>
      </c>
      <c r="C64" t="n">
        <v>4</v>
      </c>
      <c r="D64" t="n">
        <v>13</v>
      </c>
      <c r="E64" t="inlineStr">
        <is>
          <t>Calculation</t>
        </is>
      </c>
      <c r="F64" t="inlineStr">
        <is>
          <t>'=(1+(B4/B3)-1)*M3</t>
        </is>
      </c>
      <c r="G64" t="n">
        <v>96.82029940059356</v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inlineStr">
        <is>
          <t>left</t>
        </is>
      </c>
      <c r="R64" t="b">
        <v>1</v>
      </c>
      <c r="S64" t="inlineStr">
        <is>
          <t>G000159</t>
        </is>
      </c>
      <c r="T64" t="inlineStr">
        <is>
          <t>Vertical</t>
        </is>
      </c>
      <c r="U64" t="n">
        <v>92</v>
      </c>
      <c r="V64" t="b">
        <v>1</v>
      </c>
      <c r="W64" t="inlineStr">
        <is>
          <t>ATF Fuel 2!M3:M94</t>
        </is>
      </c>
      <c r="X64">
        <f>(1+(R[0]C[-11]/R[-1]C[-11])-1)*R[-1]C[0]</f>
        <v/>
      </c>
    </row>
    <row r="65">
      <c r="A65" t="inlineStr">
        <is>
          <t>ATF Fuel 2</t>
        </is>
      </c>
      <c r="B65" t="inlineStr">
        <is>
          <t>N4</t>
        </is>
      </c>
      <c r="C65" t="n">
        <v>4</v>
      </c>
      <c r="D65" t="n">
        <v>14</v>
      </c>
      <c r="E65" t="inlineStr">
        <is>
          <t>Calculation</t>
        </is>
      </c>
      <c r="F65" t="inlineStr">
        <is>
          <t>'=(1+(F4/F3)-1)*N3</t>
        </is>
      </c>
      <c r="G65" t="n">
        <v>88.44245431441367</v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inlineStr">
        <is>
          <t>left</t>
        </is>
      </c>
      <c r="R65" t="b">
        <v>1</v>
      </c>
      <c r="S65" t="inlineStr">
        <is>
          <t>G000160</t>
        </is>
      </c>
      <c r="T65" t="inlineStr">
        <is>
          <t>Vertical</t>
        </is>
      </c>
      <c r="U65" t="n">
        <v>92</v>
      </c>
      <c r="V65" t="b">
        <v>1</v>
      </c>
      <c r="W65" t="inlineStr">
        <is>
          <t>ATF Fuel 2!N3:N94</t>
        </is>
      </c>
      <c r="X65">
        <f>(1+(R[0]C[-8]/R[-1]C[-8])-1)*R[-1]C[0]</f>
        <v/>
      </c>
    </row>
    <row r="66">
      <c r="A66" t="inlineStr">
        <is>
          <t>ATF Fuel 2</t>
        </is>
      </c>
      <c r="B66" t="inlineStr">
        <is>
          <t>O4</t>
        </is>
      </c>
      <c r="C66" t="n">
        <v>4</v>
      </c>
      <c r="D66" t="n">
        <v>15</v>
      </c>
      <c r="E66" t="inlineStr">
        <is>
          <t>Calculation</t>
        </is>
      </c>
      <c r="F66" t="inlineStr">
        <is>
          <t>'=(1+(J4/J3)-1)*O3</t>
        </is>
      </c>
      <c r="G66" t="n">
        <v>86.00496865018337</v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inlineStr">
        <is>
          <t>left</t>
        </is>
      </c>
      <c r="R66" t="b">
        <v>1</v>
      </c>
      <c r="S66" t="inlineStr">
        <is>
          <t>G000162</t>
        </is>
      </c>
      <c r="T66" t="inlineStr">
        <is>
          <t>Vertical</t>
        </is>
      </c>
      <c r="U66" t="n">
        <v>92</v>
      </c>
      <c r="V66" t="b">
        <v>1</v>
      </c>
      <c r="W66" t="inlineStr">
        <is>
          <t>ATF Fuel 2!O3:O94</t>
        </is>
      </c>
      <c r="X66">
        <f>(1+(R[0]C[-5]/R[-1]C[-5])-1)*R[-1]C[0]</f>
        <v/>
      </c>
    </row>
    <row r="67">
      <c r="A67" t="inlineStr">
        <is>
          <t>ATF Fuel 2</t>
        </is>
      </c>
      <c r="B67" t="inlineStr">
        <is>
          <t>P4</t>
        </is>
      </c>
      <c r="C67" t="n">
        <v>4</v>
      </c>
      <c r="D67" t="n">
        <v>16</v>
      </c>
      <c r="E67" t="inlineStr">
        <is>
          <t>Calculation</t>
        </is>
      </c>
      <c r="F67" t="inlineStr">
        <is>
          <t>'=(1+(H4/H3)-1)*P3</t>
        </is>
      </c>
      <c r="G67" t="n">
        <v>91.90526488604034</v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inlineStr">
        <is>
          <t>left</t>
        </is>
      </c>
      <c r="R67" t="b">
        <v>1</v>
      </c>
      <c r="S67" t="inlineStr">
        <is>
          <t>G000161</t>
        </is>
      </c>
      <c r="T67" t="inlineStr">
        <is>
          <t>Vertical</t>
        </is>
      </c>
      <c r="U67" t="n">
        <v>92</v>
      </c>
      <c r="V67" t="b">
        <v>1</v>
      </c>
      <c r="W67" t="inlineStr">
        <is>
          <t>ATF Fuel 2!P3:P94</t>
        </is>
      </c>
      <c r="X67">
        <f>(1+(R[0]C[-8]/R[-1]C[-8])-1)*R[-1]C[0]</f>
        <v/>
      </c>
    </row>
    <row r="68">
      <c r="A68" t="inlineStr">
        <is>
          <t>ATF Fuel 2</t>
        </is>
      </c>
      <c r="B68" t="inlineStr">
        <is>
          <t>Q4</t>
        </is>
      </c>
      <c r="C68" t="n">
        <v>4</v>
      </c>
      <c r="D68" t="n">
        <v>17</v>
      </c>
      <c r="E68" t="inlineStr">
        <is>
          <t>Output</t>
        </is>
      </c>
      <c r="F68" t="inlineStr">
        <is>
          <t>'=M4/N4-1</t>
        </is>
      </c>
      <c r="G68" t="n">
        <v>0.09472651060085435</v>
      </c>
      <c r="H68" t="inlineStr"/>
      <c r="I68" t="inlineStr">
        <is>
          <t>0.0%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inlineStr">
        <is>
          <t>G000153</t>
        </is>
      </c>
      <c r="T68" t="inlineStr">
        <is>
          <t>Vertical</t>
        </is>
      </c>
      <c r="U68" t="n">
        <v>93</v>
      </c>
      <c r="V68" t="b">
        <v>1</v>
      </c>
      <c r="W68" t="inlineStr">
        <is>
          <t>ATF Fuel 2!Q2:Q94</t>
        </is>
      </c>
      <c r="X68">
        <f>R[0]C[-4]/R[0]C[-3]-1</f>
        <v/>
      </c>
    </row>
    <row r="69">
      <c r="A69" t="inlineStr">
        <is>
          <t>ATF Fuel 2</t>
        </is>
      </c>
      <c r="B69" t="inlineStr">
        <is>
          <t>AM4</t>
        </is>
      </c>
      <c r="C69" t="n">
        <v>4</v>
      </c>
      <c r="D69" t="n">
        <v>39</v>
      </c>
      <c r="E69" t="inlineStr">
        <is>
          <t>Input</t>
        </is>
      </c>
      <c r="F69" t="n">
        <v/>
      </c>
      <c r="G69" t="inlineStr">
        <is>
          <t>O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ATF Fuel 2</t>
        </is>
      </c>
      <c r="B70" t="inlineStr">
        <is>
          <t>AN4</t>
        </is>
      </c>
      <c r="C70" t="n">
        <v>4</v>
      </c>
      <c r="D70" t="n">
        <v>40</v>
      </c>
      <c r="E70" t="inlineStr">
        <is>
          <t>Input</t>
        </is>
      </c>
      <c r="F70" t="n">
        <v/>
      </c>
      <c r="G70" t="n">
        <v>64.685</v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ATF Fuel 2</t>
        </is>
      </c>
      <c r="B71" t="inlineStr">
        <is>
          <t>AO4</t>
        </is>
      </c>
      <c r="C71" t="n">
        <v>4</v>
      </c>
      <c r="D71" t="n">
        <v>41</v>
      </c>
      <c r="E71" t="inlineStr">
        <is>
          <t>Input</t>
        </is>
      </c>
      <c r="F71" t="n">
        <v/>
      </c>
      <c r="G71" t="n">
        <v>64.80500000000001</v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ATF Fuel 2</t>
        </is>
      </c>
      <c r="B72" t="inlineStr">
        <is>
          <t>A5</t>
        </is>
      </c>
      <c r="C72" t="n">
        <v>5</v>
      </c>
      <c r="D72" t="n">
        <v>1</v>
      </c>
      <c r="E72" t="inlineStr">
        <is>
          <t>Input</t>
        </is>
      </c>
      <c r="F72" t="n">
        <v/>
      </c>
      <c r="G72" t="inlineStr">
        <is>
          <t>July 01, 2010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ATF Fuel 2</t>
        </is>
      </c>
      <c r="B73" t="inlineStr">
        <is>
          <t>B5</t>
        </is>
      </c>
      <c r="C73" t="n">
        <v>5</v>
      </c>
      <c r="D73" t="n">
        <v>2</v>
      </c>
      <c r="E73" t="inlineStr">
        <is>
          <t>Input</t>
        </is>
      </c>
      <c r="F73" t="n">
        <v/>
      </c>
      <c r="G73" t="n">
        <v>45016.6925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ATF Fuel 2</t>
        </is>
      </c>
      <c r="B74" t="inlineStr">
        <is>
          <t>C5</t>
        </is>
      </c>
      <c r="C74" t="n">
        <v>5</v>
      </c>
      <c r="D74" t="n">
        <v>3</v>
      </c>
      <c r="E74" t="inlineStr">
        <is>
          <t>Output</t>
        </is>
      </c>
      <c r="F74" t="inlineStr">
        <is>
          <t>'=B5/B4-1</t>
        </is>
      </c>
      <c r="G74" t="n">
        <v>0.04808855299370962</v>
      </c>
      <c r="H74" t="inlineStr"/>
      <c r="I74" t="inlineStr">
        <is>
          <t>0%</t>
        </is>
      </c>
      <c r="J74" t="b">
        <v>0</v>
      </c>
      <c r="K74" t="b">
        <v>0</v>
      </c>
      <c r="L74" t="n">
        <v>11</v>
      </c>
      <c r="M74" t="n">
        <v/>
      </c>
      <c r="N74" t="inlineStr">
        <is>
          <t>00000000</t>
        </is>
      </c>
      <c r="O74" t="n">
        <v/>
      </c>
      <c r="R74" t="b">
        <v>1</v>
      </c>
      <c r="S74" t="inlineStr">
        <is>
          <t>G000154</t>
        </is>
      </c>
      <c r="T74" t="inlineStr">
        <is>
          <t>Vertical</t>
        </is>
      </c>
      <c r="U74" t="n">
        <v>92</v>
      </c>
      <c r="V74" t="b">
        <v>1</v>
      </c>
      <c r="W74" t="inlineStr">
        <is>
          <t>ATF Fuel 2!C3:C94</t>
        </is>
      </c>
      <c r="X74">
        <f>R[0]C[-1]/R[-1]C[-1]-1</f>
        <v/>
      </c>
    </row>
    <row r="75">
      <c r="A75" t="inlineStr">
        <is>
          <t>ATF Fuel 2</t>
        </is>
      </c>
      <c r="B75" t="inlineStr">
        <is>
          <t>D5</t>
        </is>
      </c>
      <c r="C75" t="n">
        <v>5</v>
      </c>
      <c r="D75" t="n">
        <v>4</v>
      </c>
      <c r="E75" t="inlineStr">
        <is>
          <t>Input</t>
        </is>
      </c>
      <c r="F75" t="n">
        <v/>
      </c>
      <c r="G75" t="n">
        <v>46.74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ATF Fuel 2</t>
        </is>
      </c>
      <c r="B76" t="inlineStr">
        <is>
          <t>E5</t>
        </is>
      </c>
      <c r="C76" t="n">
        <v>5</v>
      </c>
      <c r="D76" t="n">
        <v>5</v>
      </c>
      <c r="E76" t="inlineStr">
        <is>
          <t>Output</t>
        </is>
      </c>
      <c r="F76" t="inlineStr">
        <is>
          <t>'=B5/B4-1</t>
        </is>
      </c>
      <c r="G76" t="n">
        <v>0.04808855299370962</v>
      </c>
      <c r="H76" t="inlineStr"/>
      <c r="I76" t="inlineStr">
        <is>
          <t>0%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G000158</t>
        </is>
      </c>
      <c r="T76" t="inlineStr">
        <is>
          <t>Vertical</t>
        </is>
      </c>
      <c r="U76" t="n">
        <v>92</v>
      </c>
      <c r="V76" t="b">
        <v>1</v>
      </c>
      <c r="W76" t="inlineStr">
        <is>
          <t>ATF Fuel 2!E3:E94</t>
        </is>
      </c>
      <c r="X76">
        <f>R[0]C[-3]/R[-1]C[-3]-1</f>
        <v/>
      </c>
    </row>
    <row r="77">
      <c r="A77" t="inlineStr">
        <is>
          <t>ATF Fuel 2</t>
        </is>
      </c>
      <c r="B77" t="inlineStr">
        <is>
          <t>F5</t>
        </is>
      </c>
      <c r="C77" t="n">
        <v>5</v>
      </c>
      <c r="D77" t="n">
        <v>6</v>
      </c>
      <c r="E77" t="inlineStr">
        <is>
          <t>Input</t>
        </is>
      </c>
      <c r="F77" t="n">
        <v/>
      </c>
      <c r="G77" t="n">
        <v>71.73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ATF Fuel 2</t>
        </is>
      </c>
      <c r="B78" t="inlineStr">
        <is>
          <t>G5</t>
        </is>
      </c>
      <c r="C78" t="n">
        <v>5</v>
      </c>
      <c r="D78" t="n">
        <v>7</v>
      </c>
      <c r="E78" t="inlineStr">
        <is>
          <t>Output</t>
        </is>
      </c>
      <c r="F78" t="inlineStr">
        <is>
          <t>'=F5/F4-1</t>
        </is>
      </c>
      <c r="G78" t="n">
        <v>-0.01847290640394084</v>
      </c>
      <c r="H78" t="inlineStr"/>
      <c r="I78" t="inlineStr">
        <is>
          <t>0%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G000155</t>
        </is>
      </c>
      <c r="T78" t="inlineStr">
        <is>
          <t>Vertical</t>
        </is>
      </c>
      <c r="U78" t="n">
        <v>93</v>
      </c>
      <c r="V78" t="b">
        <v>1</v>
      </c>
      <c r="W78" t="inlineStr">
        <is>
          <t>ATF Fuel 2!G3:G95</t>
        </is>
      </c>
      <c r="X78">
        <f>R[0]C[-1]/R[-1]C[-1]-1</f>
        <v/>
      </c>
    </row>
    <row r="79">
      <c r="A79" t="inlineStr">
        <is>
          <t>ATF Fuel 2</t>
        </is>
      </c>
      <c r="B79" t="inlineStr">
        <is>
          <t>H5</t>
        </is>
      </c>
      <c r="C79" t="n">
        <v>5</v>
      </c>
      <c r="D79" t="n">
        <v>8</v>
      </c>
      <c r="E79" t="inlineStr">
        <is>
          <t>Calculation</t>
        </is>
      </c>
      <c r="F79" t="inlineStr">
        <is>
          <t>'=D5*F5</t>
        </is>
      </c>
      <c r="G79" t="n">
        <v>3352.6602</v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G000152</t>
        </is>
      </c>
      <c r="T79" t="inlineStr">
        <is>
          <t>Vertical</t>
        </is>
      </c>
      <c r="U79" t="n">
        <v>98</v>
      </c>
      <c r="V79" t="b">
        <v>1</v>
      </c>
      <c r="W79" t="inlineStr">
        <is>
          <t>ATF Fuel 2!H2:H99</t>
        </is>
      </c>
      <c r="X79">
        <f>R[0]C[-4]*R[0]C[-2]</f>
        <v/>
      </c>
    </row>
    <row r="80">
      <c r="A80" t="inlineStr">
        <is>
          <t>ATF Fuel 2</t>
        </is>
      </c>
      <c r="B80" t="inlineStr">
        <is>
          <t>I5</t>
        </is>
      </c>
      <c r="C80" t="n">
        <v>5</v>
      </c>
      <c r="D80" t="n">
        <v>9</v>
      </c>
      <c r="E80" t="inlineStr">
        <is>
          <t>Output</t>
        </is>
      </c>
      <c r="F80" t="inlineStr">
        <is>
          <t>'=H5/H4-1</t>
        </is>
      </c>
      <c r="G80" t="n">
        <v>-0.01367210202247127</v>
      </c>
      <c r="H80" t="inlineStr"/>
      <c r="I80" t="inlineStr">
        <is>
          <t>0%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G000156</t>
        </is>
      </c>
      <c r="T80" t="inlineStr">
        <is>
          <t>Vertical</t>
        </is>
      </c>
      <c r="U80" t="n">
        <v>97</v>
      </c>
      <c r="V80" t="b">
        <v>1</v>
      </c>
      <c r="W80" t="inlineStr">
        <is>
          <t>ATF Fuel 2!I3:I99</t>
        </is>
      </c>
      <c r="X80">
        <f>R[0]C[-1]/R[-1]C[-1]-1</f>
        <v/>
      </c>
    </row>
    <row r="81">
      <c r="A81" t="inlineStr">
        <is>
          <t>ATF Fuel 2</t>
        </is>
      </c>
      <c r="B81" t="inlineStr">
        <is>
          <t>J5</t>
        </is>
      </c>
      <c r="C81" t="n">
        <v>5</v>
      </c>
      <c r="D81" t="n">
        <v>10</v>
      </c>
      <c r="E81" t="inlineStr">
        <is>
          <t>Input</t>
        </is>
      </c>
      <c r="F81" t="n">
        <v/>
      </c>
      <c r="G81" t="n">
        <v>72.95</v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ATF Fuel 2</t>
        </is>
      </c>
      <c r="B82" t="inlineStr">
        <is>
          <t>K5</t>
        </is>
      </c>
      <c r="C82" t="n">
        <v>5</v>
      </c>
      <c r="D82" t="n">
        <v>11</v>
      </c>
      <c r="E82" t="inlineStr">
        <is>
          <t>Output</t>
        </is>
      </c>
      <c r="F82" t="inlineStr">
        <is>
          <t>'=J5/J4-1</t>
        </is>
      </c>
      <c r="G82" t="n">
        <v>0.003438789546079679</v>
      </c>
      <c r="H82" t="inlineStr"/>
      <c r="I82" t="inlineStr">
        <is>
          <t>0%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1</v>
      </c>
      <c r="S82" t="inlineStr">
        <is>
          <t>G000157</t>
        </is>
      </c>
      <c r="T82" t="inlineStr">
        <is>
          <t>Vertical</t>
        </is>
      </c>
      <c r="U82" t="n">
        <v>93</v>
      </c>
      <c r="V82" t="b">
        <v>1</v>
      </c>
      <c r="W82" t="inlineStr">
        <is>
          <t>ATF Fuel 2!K3:K95</t>
        </is>
      </c>
      <c r="X82">
        <f>R[0]C[-1]/R[-1]C[-1]-1</f>
        <v/>
      </c>
    </row>
    <row r="83">
      <c r="A83" t="inlineStr">
        <is>
          <t>ATF Fuel 2</t>
        </is>
      </c>
      <c r="B83" t="inlineStr">
        <is>
          <t>L5</t>
        </is>
      </c>
      <c r="C83" t="n">
        <v>5</v>
      </c>
      <c r="D83" t="n">
        <v>12</v>
      </c>
      <c r="E83" t="inlineStr">
        <is>
          <t>Input</t>
        </is>
      </c>
      <c r="F83" t="n">
        <v/>
      </c>
      <c r="G83" t="inlineStr">
        <is>
          <t>July 01, 2010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inlineStr">
        <is>
          <t>left</t>
        </is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ATF Fuel 2</t>
        </is>
      </c>
      <c r="B84" t="inlineStr">
        <is>
          <t>M5</t>
        </is>
      </c>
      <c r="C84" t="n">
        <v>5</v>
      </c>
      <c r="D84" t="n">
        <v>13</v>
      </c>
      <c r="E84" t="inlineStr">
        <is>
          <t>Calculation</t>
        </is>
      </c>
      <c r="F84" t="inlineStr">
        <is>
          <t>'=(1+(B5/B4)-1)*M4</t>
        </is>
      </c>
      <c r="G84" t="n">
        <v>101.4762474991858</v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inlineStr">
        <is>
          <t>left</t>
        </is>
      </c>
      <c r="R84" t="b">
        <v>1</v>
      </c>
      <c r="S84" t="inlineStr">
        <is>
          <t>G000159</t>
        </is>
      </c>
      <c r="T84" t="inlineStr">
        <is>
          <t>Vertical</t>
        </is>
      </c>
      <c r="U84" t="n">
        <v>92</v>
      </c>
      <c r="V84" t="b">
        <v>1</v>
      </c>
      <c r="W84" t="inlineStr">
        <is>
          <t>ATF Fuel 2!M3:M94</t>
        </is>
      </c>
      <c r="X84">
        <f>(1+(R[0]C[-11]/R[-1]C[-11])-1)*R[-1]C[0]</f>
        <v/>
      </c>
    </row>
    <row r="85">
      <c r="A85" t="inlineStr">
        <is>
          <t>ATF Fuel 2</t>
        </is>
      </c>
      <c r="B85" t="inlineStr">
        <is>
          <t>N5</t>
        </is>
      </c>
      <c r="C85" t="n">
        <v>5</v>
      </c>
      <c r="D85" t="n">
        <v>14</v>
      </c>
      <c r="E85" t="inlineStr">
        <is>
          <t>Calculation</t>
        </is>
      </c>
      <c r="F85" t="inlineStr">
        <is>
          <t>'=(1+(F5/F4)-1)*N4</t>
        </is>
      </c>
      <c r="G85" t="n">
        <v>86.8086651337287</v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inlineStr">
        <is>
          <t>left</t>
        </is>
      </c>
      <c r="R85" t="b">
        <v>1</v>
      </c>
      <c r="S85" t="inlineStr">
        <is>
          <t>G000160</t>
        </is>
      </c>
      <c r="T85" t="inlineStr">
        <is>
          <t>Vertical</t>
        </is>
      </c>
      <c r="U85" t="n">
        <v>92</v>
      </c>
      <c r="V85" t="b">
        <v>1</v>
      </c>
      <c r="W85" t="inlineStr">
        <is>
          <t>ATF Fuel 2!N3:N94</t>
        </is>
      </c>
      <c r="X85">
        <f>(1+(R[0]C[-8]/R[-1]C[-8])-1)*R[-1]C[0]</f>
        <v/>
      </c>
    </row>
    <row r="86">
      <c r="A86" t="inlineStr">
        <is>
          <t>ATF Fuel 2</t>
        </is>
      </c>
      <c r="B86" t="inlineStr">
        <is>
          <t>O5</t>
        </is>
      </c>
      <c r="C86" t="n">
        <v>5</v>
      </c>
      <c r="D86" t="n">
        <v>15</v>
      </c>
      <c r="E86" t="inlineStr">
        <is>
          <t>Calculation</t>
        </is>
      </c>
      <c r="F86" t="inlineStr">
        <is>
          <t>'=(1+(J5/J4)-1)*O4</t>
        </is>
      </c>
      <c r="G86" t="n">
        <v>86.30072163728853</v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inlineStr">
        <is>
          <t>left</t>
        </is>
      </c>
      <c r="R86" t="b">
        <v>1</v>
      </c>
      <c r="S86" t="inlineStr">
        <is>
          <t>G000162</t>
        </is>
      </c>
      <c r="T86" t="inlineStr">
        <is>
          <t>Vertical</t>
        </is>
      </c>
      <c r="U86" t="n">
        <v>92</v>
      </c>
      <c r="V86" t="b">
        <v>1</v>
      </c>
      <c r="W86" t="inlineStr">
        <is>
          <t>ATF Fuel 2!O3:O94</t>
        </is>
      </c>
      <c r="X86">
        <f>(1+(R[0]C[-5]/R[-1]C[-5])-1)*R[-1]C[0]</f>
        <v/>
      </c>
    </row>
    <row r="87">
      <c r="A87" t="inlineStr">
        <is>
          <t>ATF Fuel 2</t>
        </is>
      </c>
      <c r="B87" t="inlineStr">
        <is>
          <t>P5</t>
        </is>
      </c>
      <c r="C87" t="n">
        <v>5</v>
      </c>
      <c r="D87" t="n">
        <v>16</v>
      </c>
      <c r="E87" t="inlineStr">
        <is>
          <t>Calculation</t>
        </is>
      </c>
      <c r="F87" t="inlineStr">
        <is>
          <t>'=(1+(H5/H4)-1)*P4</t>
        </is>
      </c>
      <c r="G87" t="n">
        <v>90.64872672811616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inlineStr">
        <is>
          <t>left</t>
        </is>
      </c>
      <c r="R87" t="b">
        <v>1</v>
      </c>
      <c r="S87" t="inlineStr">
        <is>
          <t>G000161</t>
        </is>
      </c>
      <c r="T87" t="inlineStr">
        <is>
          <t>Vertical</t>
        </is>
      </c>
      <c r="U87" t="n">
        <v>92</v>
      </c>
      <c r="V87" t="b">
        <v>1</v>
      </c>
      <c r="W87" t="inlineStr">
        <is>
          <t>ATF Fuel 2!P3:P94</t>
        </is>
      </c>
      <c r="X87">
        <f>(1+(R[0]C[-8]/R[-1]C[-8])-1)*R[-1]C[0]</f>
        <v/>
      </c>
    </row>
    <row r="88">
      <c r="A88" t="inlineStr">
        <is>
          <t>ATF Fuel 2</t>
        </is>
      </c>
      <c r="B88" t="inlineStr">
        <is>
          <t>Q5</t>
        </is>
      </c>
      <c r="C88" t="n">
        <v>5</v>
      </c>
      <c r="D88" t="n">
        <v>17</v>
      </c>
      <c r="E88" t="inlineStr">
        <is>
          <t>Output</t>
        </is>
      </c>
      <c r="F88" t="inlineStr">
        <is>
          <t>'=M5/N5-1</t>
        </is>
      </c>
      <c r="G88" t="n">
        <v>0.1689644961463432</v>
      </c>
      <c r="H88" t="inlineStr"/>
      <c r="I88" t="inlineStr">
        <is>
          <t>0.0%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G000153</t>
        </is>
      </c>
      <c r="T88" t="inlineStr">
        <is>
          <t>Vertical</t>
        </is>
      </c>
      <c r="U88" t="n">
        <v>93</v>
      </c>
      <c r="V88" t="b">
        <v>1</v>
      </c>
      <c r="W88" t="inlineStr">
        <is>
          <t>ATF Fuel 2!Q2:Q94</t>
        </is>
      </c>
      <c r="X88">
        <f>R[0]C[-4]/R[0]C[-3]-1</f>
        <v/>
      </c>
    </row>
    <row r="89">
      <c r="A89" t="inlineStr">
        <is>
          <t>ATF Fuel 2</t>
        </is>
      </c>
      <c r="B89" t="inlineStr">
        <is>
          <t>AM5</t>
        </is>
      </c>
      <c r="C89" t="n">
        <v>5</v>
      </c>
      <c r="D89" t="n">
        <v>39</v>
      </c>
      <c r="E89" t="inlineStr">
        <is>
          <t>Input</t>
        </is>
      </c>
      <c r="F89" t="n">
        <v/>
      </c>
      <c r="G89" t="inlineStr">
        <is>
          <t>C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ATF Fuel 2</t>
        </is>
      </c>
      <c r="B90" t="inlineStr">
        <is>
          <t>AN5</t>
        </is>
      </c>
      <c r="C90" t="n">
        <v>5</v>
      </c>
      <c r="D90" t="n">
        <v>40</v>
      </c>
      <c r="E90" t="inlineStr">
        <is>
          <t>Input</t>
        </is>
      </c>
      <c r="F90" t="n">
        <v/>
      </c>
      <c r="G90" t="n">
        <v>65.28</v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ATF Fuel 2</t>
        </is>
      </c>
      <c r="B91" t="inlineStr">
        <is>
          <t>AO5</t>
        </is>
      </c>
      <c r="C91" t="n">
        <v>5</v>
      </c>
      <c r="D91" t="n">
        <v>41</v>
      </c>
      <c r="E91" t="inlineStr">
        <is>
          <t>Input</t>
        </is>
      </c>
      <c r="F91" t="n">
        <v/>
      </c>
      <c r="G91" t="n">
        <v>64.575</v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ATF Fuel 2</t>
        </is>
      </c>
      <c r="B92" t="inlineStr">
        <is>
          <t>A6</t>
        </is>
      </c>
      <c r="C92" t="n">
        <v>6</v>
      </c>
      <c r="D92" t="n">
        <v>1</v>
      </c>
      <c r="E92" t="inlineStr">
        <is>
          <t>Input</t>
        </is>
      </c>
      <c r="F92" t="n">
        <v/>
      </c>
      <c r="G92" t="inlineStr">
        <is>
          <t>August 01, 2010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ATF Fuel 2</t>
        </is>
      </c>
      <c r="B93" t="inlineStr">
        <is>
          <t>B6</t>
        </is>
      </c>
      <c r="C93" t="n">
        <v>6</v>
      </c>
      <c r="D93" t="n">
        <v>2</v>
      </c>
      <c r="E93" t="inlineStr">
        <is>
          <t>Input</t>
        </is>
      </c>
      <c r="F93" t="n">
        <v/>
      </c>
      <c r="G93" t="n">
        <v>44697.1475</v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ATF Fuel 2</t>
        </is>
      </c>
      <c r="B94" t="inlineStr">
        <is>
          <t>C6</t>
        </is>
      </c>
      <c r="C94" t="n">
        <v>6</v>
      </c>
      <c r="D94" t="n">
        <v>3</v>
      </c>
      <c r="E94" t="inlineStr">
        <is>
          <t>Output</t>
        </is>
      </c>
      <c r="F94" t="inlineStr">
        <is>
          <t>'=B6/B5-1</t>
        </is>
      </c>
      <c r="G94" t="n">
        <v>-0.007098366900233799</v>
      </c>
      <c r="H94" t="inlineStr"/>
      <c r="I94" t="inlineStr">
        <is>
          <t>0%</t>
        </is>
      </c>
      <c r="J94" t="b">
        <v>0</v>
      </c>
      <c r="K94" t="b">
        <v>0</v>
      </c>
      <c r="L94" t="n">
        <v>11</v>
      </c>
      <c r="M94" t="n">
        <v/>
      </c>
      <c r="N94" t="inlineStr">
        <is>
          <t>00000000</t>
        </is>
      </c>
      <c r="O94" t="n">
        <v/>
      </c>
      <c r="R94" t="b">
        <v>1</v>
      </c>
      <c r="S94" t="inlineStr">
        <is>
          <t>G000154</t>
        </is>
      </c>
      <c r="T94" t="inlineStr">
        <is>
          <t>Vertical</t>
        </is>
      </c>
      <c r="U94" t="n">
        <v>92</v>
      </c>
      <c r="V94" t="b">
        <v>1</v>
      </c>
      <c r="W94" t="inlineStr">
        <is>
          <t>ATF Fuel 2!C3:C94</t>
        </is>
      </c>
      <c r="X94">
        <f>R[0]C[-1]/R[-1]C[-1]-1</f>
        <v/>
      </c>
    </row>
    <row r="95">
      <c r="A95" t="inlineStr">
        <is>
          <t>ATF Fuel 2</t>
        </is>
      </c>
      <c r="B95" t="inlineStr">
        <is>
          <t>D6</t>
        </is>
      </c>
      <c r="C95" t="n">
        <v>6</v>
      </c>
      <c r="D95" t="n">
        <v>4</v>
      </c>
      <c r="E95" t="inlineStr">
        <is>
          <t>Input</t>
        </is>
      </c>
      <c r="F95" t="n">
        <v/>
      </c>
      <c r="G95" t="n">
        <v>46.19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ATF Fuel 2</t>
        </is>
      </c>
      <c r="B96" t="inlineStr">
        <is>
          <t>E6</t>
        </is>
      </c>
      <c r="C96" t="n">
        <v>6</v>
      </c>
      <c r="D96" t="n">
        <v>5</v>
      </c>
      <c r="E96" t="inlineStr">
        <is>
          <t>Output</t>
        </is>
      </c>
      <c r="F96" t="inlineStr">
        <is>
          <t>'=B6/B5-1</t>
        </is>
      </c>
      <c r="G96" t="n">
        <v>-0.007098366900233799</v>
      </c>
      <c r="H96" t="inlineStr"/>
      <c r="I96" t="inlineStr">
        <is>
          <t>0%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1</v>
      </c>
      <c r="S96" t="inlineStr">
        <is>
          <t>G000158</t>
        </is>
      </c>
      <c r="T96" t="inlineStr">
        <is>
          <t>Vertical</t>
        </is>
      </c>
      <c r="U96" t="n">
        <v>92</v>
      </c>
      <c r="V96" t="b">
        <v>1</v>
      </c>
      <c r="W96" t="inlineStr">
        <is>
          <t>ATF Fuel 2!E3:E94</t>
        </is>
      </c>
      <c r="X96">
        <f>R[0]C[-3]/R[-1]C[-3]-1</f>
        <v/>
      </c>
    </row>
    <row r="97">
      <c r="A97" t="inlineStr">
        <is>
          <t>ATF Fuel 2</t>
        </is>
      </c>
      <c r="B97" t="inlineStr">
        <is>
          <t>F6</t>
        </is>
      </c>
      <c r="C97" t="n">
        <v>6</v>
      </c>
      <c r="D97" t="n">
        <v>6</v>
      </c>
      <c r="E97" t="inlineStr">
        <is>
          <t>Input</t>
        </is>
      </c>
      <c r="F97" t="n">
        <v/>
      </c>
      <c r="G97" t="n">
        <v>81.93000000000001</v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ATF Fuel 2</t>
        </is>
      </c>
      <c r="B98" t="inlineStr">
        <is>
          <t>G6</t>
        </is>
      </c>
      <c r="C98" t="n">
        <v>6</v>
      </c>
      <c r="D98" t="n">
        <v>7</v>
      </c>
      <c r="E98" t="inlineStr">
        <is>
          <t>Output</t>
        </is>
      </c>
      <c r="F98" t="inlineStr">
        <is>
          <t>'=F6/F5-1</t>
        </is>
      </c>
      <c r="G98" t="n">
        <v>0.1421999163529903</v>
      </c>
      <c r="H98" t="inlineStr"/>
      <c r="I98" t="inlineStr">
        <is>
          <t>0%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1</v>
      </c>
      <c r="S98" t="inlineStr">
        <is>
          <t>G000155</t>
        </is>
      </c>
      <c r="T98" t="inlineStr">
        <is>
          <t>Vertical</t>
        </is>
      </c>
      <c r="U98" t="n">
        <v>93</v>
      </c>
      <c r="V98" t="b">
        <v>1</v>
      </c>
      <c r="W98" t="inlineStr">
        <is>
          <t>ATF Fuel 2!G3:G95</t>
        </is>
      </c>
      <c r="X98">
        <f>R[0]C[-1]/R[-1]C[-1]-1</f>
        <v/>
      </c>
    </row>
    <row r="99">
      <c r="A99" t="inlineStr">
        <is>
          <t>ATF Fuel 2</t>
        </is>
      </c>
      <c r="B99" t="inlineStr">
        <is>
          <t>H6</t>
        </is>
      </c>
      <c r="C99" t="n">
        <v>6</v>
      </c>
      <c r="D99" t="n">
        <v>8</v>
      </c>
      <c r="E99" t="inlineStr">
        <is>
          <t>Calculation</t>
        </is>
      </c>
      <c r="F99" t="inlineStr">
        <is>
          <t>'=D6*F6</t>
        </is>
      </c>
      <c r="G99" t="n">
        <v>3784.3467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G000152</t>
        </is>
      </c>
      <c r="T99" t="inlineStr">
        <is>
          <t>Vertical</t>
        </is>
      </c>
      <c r="U99" t="n">
        <v>98</v>
      </c>
      <c r="V99" t="b">
        <v>1</v>
      </c>
      <c r="W99" t="inlineStr">
        <is>
          <t>ATF Fuel 2!H2:H99</t>
        </is>
      </c>
      <c r="X99">
        <f>R[0]C[-4]*R[0]C[-2]</f>
        <v/>
      </c>
    </row>
    <row r="100">
      <c r="A100" t="inlineStr">
        <is>
          <t>ATF Fuel 2</t>
        </is>
      </c>
      <c r="B100" t="inlineStr">
        <is>
          <t>I6</t>
        </is>
      </c>
      <c r="C100" t="n">
        <v>6</v>
      </c>
      <c r="D100" t="n">
        <v>9</v>
      </c>
      <c r="E100" t="inlineStr">
        <is>
          <t>Output</t>
        </is>
      </c>
      <c r="F100" t="inlineStr">
        <is>
          <t>'=H6/H5-1</t>
        </is>
      </c>
      <c r="G100" t="n">
        <v>0.128759395300484</v>
      </c>
      <c r="H100" t="inlineStr"/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FFFF0000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G000156</t>
        </is>
      </c>
      <c r="T100" t="inlineStr">
        <is>
          <t>Vertical</t>
        </is>
      </c>
      <c r="U100" t="n">
        <v>97</v>
      </c>
      <c r="V100" t="b">
        <v>1</v>
      </c>
      <c r="W100" t="inlineStr">
        <is>
          <t>ATF Fuel 2!I3:I99</t>
        </is>
      </c>
      <c r="X100">
        <f>R[0]C[-1]/R[-1]C[-1]-1</f>
        <v/>
      </c>
    </row>
    <row r="101">
      <c r="A101" t="inlineStr">
        <is>
          <t>ATF Fuel 2</t>
        </is>
      </c>
      <c r="B101" t="inlineStr">
        <is>
          <t>J6</t>
        </is>
      </c>
      <c r="C101" t="n">
        <v>6</v>
      </c>
      <c r="D101" t="n">
        <v>10</v>
      </c>
      <c r="E101" t="inlineStr">
        <is>
          <t>Input</t>
        </is>
      </c>
      <c r="F101" t="n">
        <v/>
      </c>
      <c r="G101" t="n">
        <v>81.25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ATF Fuel 2</t>
        </is>
      </c>
      <c r="B102" t="inlineStr">
        <is>
          <t>K6</t>
        </is>
      </c>
      <c r="C102" t="n">
        <v>6</v>
      </c>
      <c r="D102" t="n">
        <v>11</v>
      </c>
      <c r="E102" t="inlineStr">
        <is>
          <t>Output</t>
        </is>
      </c>
      <c r="F102" t="inlineStr">
        <is>
          <t>'=J6/J5-1</t>
        </is>
      </c>
      <c r="G102" t="n">
        <v>0.1137765592871829</v>
      </c>
      <c r="H102" t="inlineStr"/>
      <c r="I102" t="inlineStr">
        <is>
          <t>0%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G000157</t>
        </is>
      </c>
      <c r="T102" t="inlineStr">
        <is>
          <t>Vertical</t>
        </is>
      </c>
      <c r="U102" t="n">
        <v>93</v>
      </c>
      <c r="V102" t="b">
        <v>1</v>
      </c>
      <c r="W102" t="inlineStr">
        <is>
          <t>ATF Fuel 2!K3:K95</t>
        </is>
      </c>
      <c r="X102">
        <f>R[0]C[-1]/R[-1]C[-1]-1</f>
        <v/>
      </c>
    </row>
    <row r="103">
      <c r="A103" t="inlineStr">
        <is>
          <t>ATF Fuel 2</t>
        </is>
      </c>
      <c r="B103" t="inlineStr">
        <is>
          <t>L6</t>
        </is>
      </c>
      <c r="C103" t="n">
        <v>6</v>
      </c>
      <c r="D103" t="n">
        <v>12</v>
      </c>
      <c r="E103" t="inlineStr">
        <is>
          <t>Input</t>
        </is>
      </c>
      <c r="F103" t="n">
        <v/>
      </c>
      <c r="G103" t="inlineStr">
        <is>
          <t>August 01, 2010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inlineStr">
        <is>
          <t>left</t>
        </is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ATF Fuel 2</t>
        </is>
      </c>
      <c r="B104" t="inlineStr">
        <is>
          <t>M6</t>
        </is>
      </c>
      <c r="C104" t="n">
        <v>6</v>
      </c>
      <c r="D104" t="n">
        <v>13</v>
      </c>
      <c r="E104" t="inlineStr">
        <is>
          <t>Calculation</t>
        </is>
      </c>
      <c r="F104" t="inlineStr">
        <is>
          <t>'=(1+(B6/B5)-1)*M5</t>
        </is>
      </c>
      <c r="G104" t="n">
        <v>100.7559318627776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inlineStr">
        <is>
          <t>left</t>
        </is>
      </c>
      <c r="R104" t="b">
        <v>1</v>
      </c>
      <c r="S104" t="inlineStr">
        <is>
          <t>G000159</t>
        </is>
      </c>
      <c r="T104" t="inlineStr">
        <is>
          <t>Vertical</t>
        </is>
      </c>
      <c r="U104" t="n">
        <v>92</v>
      </c>
      <c r="V104" t="b">
        <v>1</v>
      </c>
      <c r="W104" t="inlineStr">
        <is>
          <t>ATF Fuel 2!M3:M94</t>
        </is>
      </c>
      <c r="X104">
        <f>(1+(R[0]C[-11]/R[-1]C[-11])-1)*R[-1]C[0]</f>
        <v/>
      </c>
    </row>
    <row r="105">
      <c r="A105" t="inlineStr">
        <is>
          <t>ATF Fuel 2</t>
        </is>
      </c>
      <c r="B105" t="inlineStr">
        <is>
          <t>N6</t>
        </is>
      </c>
      <c r="C105" t="n">
        <v>6</v>
      </c>
      <c r="D105" t="n">
        <v>14</v>
      </c>
      <c r="E105" t="inlineStr">
        <is>
          <t>Calculation</t>
        </is>
      </c>
      <c r="F105" t="inlineStr">
        <is>
          <t>'=(1+(F6/F5)-1)*N5</t>
        </is>
      </c>
      <c r="G105" t="n">
        <v>99.15285005445969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inlineStr">
        <is>
          <t>left</t>
        </is>
      </c>
      <c r="R105" t="b">
        <v>1</v>
      </c>
      <c r="S105" t="inlineStr">
        <is>
          <t>G000160</t>
        </is>
      </c>
      <c r="T105" t="inlineStr">
        <is>
          <t>Vertical</t>
        </is>
      </c>
      <c r="U105" t="n">
        <v>92</v>
      </c>
      <c r="V105" t="b">
        <v>1</v>
      </c>
      <c r="W105" t="inlineStr">
        <is>
          <t>ATF Fuel 2!N3:N94</t>
        </is>
      </c>
      <c r="X105">
        <f>(1+(R[0]C[-8]/R[-1]C[-8])-1)*R[-1]C[0]</f>
        <v/>
      </c>
    </row>
    <row r="106">
      <c r="A106" t="inlineStr">
        <is>
          <t>ATF Fuel 2</t>
        </is>
      </c>
      <c r="B106" t="inlineStr">
        <is>
          <t>O6</t>
        </is>
      </c>
      <c r="C106" t="n">
        <v>6</v>
      </c>
      <c r="D106" t="n">
        <v>15</v>
      </c>
      <c r="E106" t="inlineStr">
        <is>
          <t>Calculation</t>
        </is>
      </c>
      <c r="F106" t="inlineStr">
        <is>
          <t>'=(1+(J6/J5)-1)*O5</t>
        </is>
      </c>
      <c r="G106" t="n">
        <v>96.11972080918015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inlineStr">
        <is>
          <t>left</t>
        </is>
      </c>
      <c r="R106" t="b">
        <v>1</v>
      </c>
      <c r="S106" t="inlineStr">
        <is>
          <t>G000162</t>
        </is>
      </c>
      <c r="T106" t="inlineStr">
        <is>
          <t>Vertical</t>
        </is>
      </c>
      <c r="U106" t="n">
        <v>92</v>
      </c>
      <c r="V106" t="b">
        <v>1</v>
      </c>
      <c r="W106" t="inlineStr">
        <is>
          <t>ATF Fuel 2!O3:O94</t>
        </is>
      </c>
      <c r="X106">
        <f>(1+(R[0]C[-5]/R[-1]C[-5])-1)*R[-1]C[0]</f>
        <v/>
      </c>
    </row>
    <row r="107">
      <c r="A107" t="inlineStr">
        <is>
          <t>ATF Fuel 2</t>
        </is>
      </c>
      <c r="B107" t="inlineStr">
        <is>
          <t>P6</t>
        </is>
      </c>
      <c r="C107" t="n">
        <v>6</v>
      </c>
      <c r="D107" t="n">
        <v>16</v>
      </c>
      <c r="E107" t="inlineStr">
        <is>
          <t>Calculation</t>
        </is>
      </c>
      <c r="F107" t="inlineStr">
        <is>
          <t>'=(1+(H6/H5)-1)*P5</t>
        </is>
      </c>
      <c r="G107" t="n">
        <v>102.3206019663872</v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inlineStr">
        <is>
          <t>left</t>
        </is>
      </c>
      <c r="R107" t="b">
        <v>1</v>
      </c>
      <c r="S107" t="inlineStr">
        <is>
          <t>G000161</t>
        </is>
      </c>
      <c r="T107" t="inlineStr">
        <is>
          <t>Vertical</t>
        </is>
      </c>
      <c r="U107" t="n">
        <v>92</v>
      </c>
      <c r="V107" t="b">
        <v>1</v>
      </c>
      <c r="W107" t="inlineStr">
        <is>
          <t>ATF Fuel 2!P3:P94</t>
        </is>
      </c>
      <c r="X107">
        <f>(1+(R[0]C[-8]/R[-1]C[-8])-1)*R[-1]C[0]</f>
        <v/>
      </c>
    </row>
    <row r="108">
      <c r="A108" t="inlineStr">
        <is>
          <t>ATF Fuel 2</t>
        </is>
      </c>
      <c r="B108" t="inlineStr">
        <is>
          <t>Q6</t>
        </is>
      </c>
      <c r="C108" t="n">
        <v>6</v>
      </c>
      <c r="D108" t="n">
        <v>17</v>
      </c>
      <c r="E108" t="inlineStr">
        <is>
          <t>Output</t>
        </is>
      </c>
      <c r="F108" t="inlineStr">
        <is>
          <t>'=M6/N6-1</t>
        </is>
      </c>
      <c r="G108" t="n">
        <v>0.01616778345188719</v>
      </c>
      <c r="H108" t="inlineStr"/>
      <c r="I108" t="inlineStr">
        <is>
          <t>0.0%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G000153</t>
        </is>
      </c>
      <c r="T108" t="inlineStr">
        <is>
          <t>Vertical</t>
        </is>
      </c>
      <c r="U108" t="n">
        <v>93</v>
      </c>
      <c r="V108" t="b">
        <v>1</v>
      </c>
      <c r="W108" t="inlineStr">
        <is>
          <t>ATF Fuel 2!Q2:Q94</t>
        </is>
      </c>
      <c r="X108">
        <f>R[0]C[-4]/R[0]C[-3]-1</f>
        <v/>
      </c>
    </row>
    <row r="109">
      <c r="A109" t="inlineStr">
        <is>
          <t>ATF Fuel 2</t>
        </is>
      </c>
      <c r="B109" t="inlineStr">
        <is>
          <t>AN6</t>
        </is>
      </c>
      <c r="C109" t="n">
        <v>6</v>
      </c>
      <c r="D109" t="n">
        <v>40</v>
      </c>
      <c r="E109" t="inlineStr">
        <is>
          <t>Input</t>
        </is>
      </c>
      <c r="F109" t="n">
        <v/>
      </c>
      <c r="G109" t="n">
        <v>1000</v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ATF Fuel 2</t>
        </is>
      </c>
      <c r="B110" t="inlineStr">
        <is>
          <t>AO6</t>
        </is>
      </c>
      <c r="C110" t="n">
        <v>6</v>
      </c>
      <c r="D110" t="n">
        <v>41</v>
      </c>
      <c r="E110" t="inlineStr">
        <is>
          <t>Input</t>
        </is>
      </c>
      <c r="F110" t="n">
        <v/>
      </c>
      <c r="G110" t="n">
        <v>1000</v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ATF Fuel 2</t>
        </is>
      </c>
      <c r="B111" t="inlineStr">
        <is>
          <t>A7</t>
        </is>
      </c>
      <c r="C111" t="n">
        <v>7</v>
      </c>
      <c r="D111" t="n">
        <v>1</v>
      </c>
      <c r="E111" t="inlineStr">
        <is>
          <t>Input</t>
        </is>
      </c>
      <c r="F111" t="n">
        <v/>
      </c>
      <c r="G111" t="inlineStr">
        <is>
          <t>September 01, 2010</t>
        </is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ATF Fuel 2</t>
        </is>
      </c>
      <c r="B112" t="inlineStr">
        <is>
          <t>B7</t>
        </is>
      </c>
      <c r="C112" t="n">
        <v>7</v>
      </c>
      <c r="D112" t="n">
        <v>2</v>
      </c>
      <c r="E112" t="inlineStr">
        <is>
          <t>Input</t>
        </is>
      </c>
      <c r="F112" t="n">
        <v/>
      </c>
      <c r="G112" t="n">
        <v>43596.4</v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ATF Fuel 2</t>
        </is>
      </c>
      <c r="B113" t="inlineStr">
        <is>
          <t>C7</t>
        </is>
      </c>
      <c r="C113" t="n">
        <v>7</v>
      </c>
      <c r="D113" t="n">
        <v>3</v>
      </c>
      <c r="E113" t="inlineStr">
        <is>
          <t>Output</t>
        </is>
      </c>
      <c r="F113" t="inlineStr">
        <is>
          <t>'=B7/B6-1</t>
        </is>
      </c>
      <c r="G113" t="n">
        <v>-0.02462679525578226</v>
      </c>
      <c r="H113" t="inlineStr"/>
      <c r="I113" t="inlineStr">
        <is>
          <t>0%</t>
        </is>
      </c>
      <c r="J113" t="b">
        <v>0</v>
      </c>
      <c r="K113" t="b">
        <v>0</v>
      </c>
      <c r="L113" t="n">
        <v>11</v>
      </c>
      <c r="M113" t="n">
        <v/>
      </c>
      <c r="N113" t="inlineStr">
        <is>
          <t>00000000</t>
        </is>
      </c>
      <c r="O113" t="n">
        <v/>
      </c>
      <c r="R113" t="b">
        <v>1</v>
      </c>
      <c r="S113" t="inlineStr">
        <is>
          <t>G000154</t>
        </is>
      </c>
      <c r="T113" t="inlineStr">
        <is>
          <t>Vertical</t>
        </is>
      </c>
      <c r="U113" t="n">
        <v>92</v>
      </c>
      <c r="V113" t="b">
        <v>1</v>
      </c>
      <c r="W113" t="inlineStr">
        <is>
          <t>ATF Fuel 2!C3:C94</t>
        </is>
      </c>
      <c r="X113">
        <f>R[0]C[-1]/R[-1]C[-1]-1</f>
        <v/>
      </c>
    </row>
    <row r="114">
      <c r="A114" t="inlineStr">
        <is>
          <t>ATF Fuel 2</t>
        </is>
      </c>
      <c r="B114" t="inlineStr">
        <is>
          <t>D7</t>
        </is>
      </c>
      <c r="C114" t="n">
        <v>7</v>
      </c>
      <c r="D114" t="n">
        <v>4</v>
      </c>
      <c r="E114" t="inlineStr">
        <is>
          <t>Input</t>
        </is>
      </c>
      <c r="F114" t="n">
        <v/>
      </c>
      <c r="G114" t="n">
        <v>46.92</v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ATF Fuel 2</t>
        </is>
      </c>
      <c r="B115" t="inlineStr">
        <is>
          <t>E7</t>
        </is>
      </c>
      <c r="C115" t="n">
        <v>7</v>
      </c>
      <c r="D115" t="n">
        <v>5</v>
      </c>
      <c r="E115" t="inlineStr">
        <is>
          <t>Output</t>
        </is>
      </c>
      <c r="F115" t="inlineStr">
        <is>
          <t>'=B7/B6-1</t>
        </is>
      </c>
      <c r="G115" t="n">
        <v>-0.02462679525578226</v>
      </c>
      <c r="H115" t="inlineStr"/>
      <c r="I115" t="inlineStr">
        <is>
          <t>0%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G000158</t>
        </is>
      </c>
      <c r="T115" t="inlineStr">
        <is>
          <t>Vertical</t>
        </is>
      </c>
      <c r="U115" t="n">
        <v>92</v>
      </c>
      <c r="V115" t="b">
        <v>1</v>
      </c>
      <c r="W115" t="inlineStr">
        <is>
          <t>ATF Fuel 2!E3:E94</t>
        </is>
      </c>
      <c r="X115">
        <f>R[0]C[-3]/R[-1]C[-3]-1</f>
        <v/>
      </c>
    </row>
    <row r="116">
      <c r="A116" t="inlineStr">
        <is>
          <t>ATF Fuel 2</t>
        </is>
      </c>
      <c r="B116" t="inlineStr">
        <is>
          <t>F7</t>
        </is>
      </c>
      <c r="C116" t="n">
        <v>7</v>
      </c>
      <c r="D116" t="n">
        <v>6</v>
      </c>
      <c r="E116" t="inlineStr">
        <is>
          <t>Input</t>
        </is>
      </c>
      <c r="F116" t="n">
        <v/>
      </c>
      <c r="G116" t="n">
        <v>75.53</v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ATF Fuel 2</t>
        </is>
      </c>
      <c r="B117" t="inlineStr">
        <is>
          <t>G7</t>
        </is>
      </c>
      <c r="C117" t="n">
        <v>7</v>
      </c>
      <c r="D117" t="n">
        <v>7</v>
      </c>
      <c r="E117" t="inlineStr">
        <is>
          <t>Output</t>
        </is>
      </c>
      <c r="F117" t="inlineStr">
        <is>
          <t>'=F7/F6-1</t>
        </is>
      </c>
      <c r="G117" t="n">
        <v>-0.07811546442084716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G000155</t>
        </is>
      </c>
      <c r="T117" t="inlineStr">
        <is>
          <t>Vertical</t>
        </is>
      </c>
      <c r="U117" t="n">
        <v>93</v>
      </c>
      <c r="V117" t="b">
        <v>1</v>
      </c>
      <c r="W117" t="inlineStr">
        <is>
          <t>ATF Fuel 2!G3:G95</t>
        </is>
      </c>
      <c r="X117">
        <f>R[0]C[-1]/R[-1]C[-1]-1</f>
        <v/>
      </c>
    </row>
    <row r="118">
      <c r="A118" t="inlineStr">
        <is>
          <t>ATF Fuel 2</t>
        </is>
      </c>
      <c r="B118" t="inlineStr">
        <is>
          <t>H7</t>
        </is>
      </c>
      <c r="C118" t="n">
        <v>7</v>
      </c>
      <c r="D118" t="n">
        <v>8</v>
      </c>
      <c r="E118" t="inlineStr">
        <is>
          <t>Calculation</t>
        </is>
      </c>
      <c r="F118" t="inlineStr">
        <is>
          <t>'=D7*F7</t>
        </is>
      </c>
      <c r="G118" t="n">
        <v>3543.8676</v>
      </c>
      <c r="H118" t="inlineStr"/>
      <c r="I118" t="inlineStr">
        <is>
          <t>0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G000152</t>
        </is>
      </c>
      <c r="T118" t="inlineStr">
        <is>
          <t>Vertical</t>
        </is>
      </c>
      <c r="U118" t="n">
        <v>98</v>
      </c>
      <c r="V118" t="b">
        <v>1</v>
      </c>
      <c r="W118" t="inlineStr">
        <is>
          <t>ATF Fuel 2!H2:H99</t>
        </is>
      </c>
      <c r="X118">
        <f>R[0]C[-4]*R[0]C[-2]</f>
        <v/>
      </c>
    </row>
    <row r="119">
      <c r="A119" t="inlineStr">
        <is>
          <t>ATF Fuel 2</t>
        </is>
      </c>
      <c r="B119" t="inlineStr">
        <is>
          <t>I7</t>
        </is>
      </c>
      <c r="C119" t="n">
        <v>7</v>
      </c>
      <c r="D119" t="n">
        <v>9</v>
      </c>
      <c r="E119" t="inlineStr">
        <is>
          <t>Output</t>
        </is>
      </c>
      <c r="F119" t="inlineStr">
        <is>
          <t>'=H7/H6-1</t>
        </is>
      </c>
      <c r="G119" t="n">
        <v>-0.06354573696960697</v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FFFF0000</t>
        </is>
      </c>
      <c r="N119" t="inlineStr">
        <is>
          <t>00000000</t>
        </is>
      </c>
      <c r="O119" t="n">
        <v/>
      </c>
      <c r="R119" t="b">
        <v>1</v>
      </c>
      <c r="S119" t="inlineStr">
        <is>
          <t>G000156</t>
        </is>
      </c>
      <c r="T119" t="inlineStr">
        <is>
          <t>Vertical</t>
        </is>
      </c>
      <c r="U119" t="n">
        <v>97</v>
      </c>
      <c r="V119" t="b">
        <v>1</v>
      </c>
      <c r="W119" t="inlineStr">
        <is>
          <t>ATF Fuel 2!I3:I99</t>
        </is>
      </c>
      <c r="X119">
        <f>R[0]C[-1]/R[-1]C[-1]-1</f>
        <v/>
      </c>
    </row>
    <row r="120">
      <c r="A120" t="inlineStr">
        <is>
          <t>ATF Fuel 2</t>
        </is>
      </c>
      <c r="B120" t="inlineStr">
        <is>
          <t>J7</t>
        </is>
      </c>
      <c r="C120" t="n">
        <v>7</v>
      </c>
      <c r="D120" t="n">
        <v>10</v>
      </c>
      <c r="E120" t="inlineStr">
        <is>
          <t>Input</t>
        </is>
      </c>
      <c r="F120" t="n">
        <v/>
      </c>
      <c r="G120" t="n">
        <v>73.97</v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ATF Fuel 2</t>
        </is>
      </c>
      <c r="B121" t="inlineStr">
        <is>
          <t>K7</t>
        </is>
      </c>
      <c r="C121" t="n">
        <v>7</v>
      </c>
      <c r="D121" t="n">
        <v>11</v>
      </c>
      <c r="E121" t="inlineStr">
        <is>
          <t>Output</t>
        </is>
      </c>
      <c r="F121" t="inlineStr">
        <is>
          <t>'=J7/J6-1</t>
        </is>
      </c>
      <c r="G121" t="n">
        <v>-0.08960000000000001</v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G000157</t>
        </is>
      </c>
      <c r="T121" t="inlineStr">
        <is>
          <t>Vertical</t>
        </is>
      </c>
      <c r="U121" t="n">
        <v>93</v>
      </c>
      <c r="V121" t="b">
        <v>1</v>
      </c>
      <c r="W121" t="inlineStr">
        <is>
          <t>ATF Fuel 2!K3:K95</t>
        </is>
      </c>
      <c r="X121">
        <f>R[0]C[-1]/R[-1]C[-1]-1</f>
        <v/>
      </c>
    </row>
    <row r="122">
      <c r="A122" t="inlineStr">
        <is>
          <t>ATF Fuel 2</t>
        </is>
      </c>
      <c r="B122" t="inlineStr">
        <is>
          <t>L7</t>
        </is>
      </c>
      <c r="C122" t="n">
        <v>7</v>
      </c>
      <c r="D122" t="n">
        <v>12</v>
      </c>
      <c r="E122" t="inlineStr">
        <is>
          <t>Input</t>
        </is>
      </c>
      <c r="F122" t="n">
        <v/>
      </c>
      <c r="G122" t="inlineStr">
        <is>
          <t>September 01, 2010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inlineStr">
        <is>
          <t>left</t>
        </is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ATF Fuel 2</t>
        </is>
      </c>
      <c r="B123" t="inlineStr">
        <is>
          <t>M7</t>
        </is>
      </c>
      <c r="C123" t="n">
        <v>7</v>
      </c>
      <c r="D123" t="n">
        <v>13</v>
      </c>
      <c r="E123" t="inlineStr">
        <is>
          <t>Calculation</t>
        </is>
      </c>
      <c r="F123" t="inlineStr">
        <is>
          <t>'=(1+(B7/B6)-1)*M6</t>
        </is>
      </c>
      <c r="G123" t="n">
        <v>98.27463615798749</v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inlineStr">
        <is>
          <t>left</t>
        </is>
      </c>
      <c r="R123" t="b">
        <v>1</v>
      </c>
      <c r="S123" t="inlineStr">
        <is>
          <t>G000159</t>
        </is>
      </c>
      <c r="T123" t="inlineStr">
        <is>
          <t>Vertical</t>
        </is>
      </c>
      <c r="U123" t="n">
        <v>92</v>
      </c>
      <c r="V123" t="b">
        <v>1</v>
      </c>
      <c r="W123" t="inlineStr">
        <is>
          <t>ATF Fuel 2!M3:M94</t>
        </is>
      </c>
      <c r="X123">
        <f>(1+(R[0]C[-11]/R[-1]C[-11])-1)*R[-1]C[0]</f>
        <v/>
      </c>
    </row>
    <row r="124">
      <c r="A124" t="inlineStr">
        <is>
          <t>ATF Fuel 2</t>
        </is>
      </c>
      <c r="B124" t="inlineStr">
        <is>
          <t>N7</t>
        </is>
      </c>
      <c r="C124" t="n">
        <v>7</v>
      </c>
      <c r="D124" t="n">
        <v>14</v>
      </c>
      <c r="E124" t="inlineStr">
        <is>
          <t>Calculation</t>
        </is>
      </c>
      <c r="F124" t="inlineStr">
        <is>
          <t>'=(1+(F7/F6)-1)*N6</t>
        </is>
      </c>
      <c r="G124" t="n">
        <v>91.40747912380496</v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inlineStr">
        <is>
          <t>left</t>
        </is>
      </c>
      <c r="R124" t="b">
        <v>1</v>
      </c>
      <c r="S124" t="inlineStr">
        <is>
          <t>G000160</t>
        </is>
      </c>
      <c r="T124" t="inlineStr">
        <is>
          <t>Vertical</t>
        </is>
      </c>
      <c r="U124" t="n">
        <v>92</v>
      </c>
      <c r="V124" t="b">
        <v>1</v>
      </c>
      <c r="W124" t="inlineStr">
        <is>
          <t>ATF Fuel 2!N3:N94</t>
        </is>
      </c>
      <c r="X124">
        <f>(1+(R[0]C[-8]/R[-1]C[-8])-1)*R[-1]C[0]</f>
        <v/>
      </c>
    </row>
    <row r="125">
      <c r="A125" t="inlineStr">
        <is>
          <t>ATF Fuel 2</t>
        </is>
      </c>
      <c r="B125" t="inlineStr">
        <is>
          <t>O7</t>
        </is>
      </c>
      <c r="C125" t="n">
        <v>7</v>
      </c>
      <c r="D125" t="n">
        <v>15</v>
      </c>
      <c r="E125" t="inlineStr">
        <is>
          <t>Calculation</t>
        </is>
      </c>
      <c r="F125" t="inlineStr">
        <is>
          <t>'=(1+(J7/J6)-1)*O6</t>
        </is>
      </c>
      <c r="G125" t="n">
        <v>87.50739382467762</v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00000000</t>
        </is>
      </c>
      <c r="O125" t="inlineStr">
        <is>
          <t>left</t>
        </is>
      </c>
      <c r="R125" t="b">
        <v>1</v>
      </c>
      <c r="S125" t="inlineStr">
        <is>
          <t>G000162</t>
        </is>
      </c>
      <c r="T125" t="inlineStr">
        <is>
          <t>Vertical</t>
        </is>
      </c>
      <c r="U125" t="n">
        <v>92</v>
      </c>
      <c r="V125" t="b">
        <v>1</v>
      </c>
      <c r="W125" t="inlineStr">
        <is>
          <t>ATF Fuel 2!O3:O94</t>
        </is>
      </c>
      <c r="X125">
        <f>(1+(R[0]C[-5]/R[-1]C[-5])-1)*R[-1]C[0]</f>
        <v/>
      </c>
    </row>
    <row r="126">
      <c r="A126" t="inlineStr">
        <is>
          <t>ATF Fuel 2</t>
        </is>
      </c>
      <c r="B126" t="inlineStr">
        <is>
          <t>P7</t>
        </is>
      </c>
      <c r="C126" t="n">
        <v>7</v>
      </c>
      <c r="D126" t="n">
        <v>16</v>
      </c>
      <c r="E126" t="inlineStr">
        <is>
          <t>Calculation</t>
        </is>
      </c>
      <c r="F126" t="inlineStr">
        <is>
          <t>'=(1+(H7/H6)-1)*P6</t>
        </is>
      </c>
      <c r="G126" t="n">
        <v>95.81856390725932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inlineStr">
        <is>
          <t>left</t>
        </is>
      </c>
      <c r="R126" t="b">
        <v>1</v>
      </c>
      <c r="S126" t="inlineStr">
        <is>
          <t>G000161</t>
        </is>
      </c>
      <c r="T126" t="inlineStr">
        <is>
          <t>Vertical</t>
        </is>
      </c>
      <c r="U126" t="n">
        <v>92</v>
      </c>
      <c r="V126" t="b">
        <v>1</v>
      </c>
      <c r="W126" t="inlineStr">
        <is>
          <t>ATF Fuel 2!P3:P94</t>
        </is>
      </c>
      <c r="X126">
        <f>(1+(R[0]C[-8]/R[-1]C[-8])-1)*R[-1]C[0]</f>
        <v/>
      </c>
    </row>
    <row r="127">
      <c r="A127" t="inlineStr">
        <is>
          <t>ATF Fuel 2</t>
        </is>
      </c>
      <c r="B127" t="inlineStr">
        <is>
          <t>Q7</t>
        </is>
      </c>
      <c r="C127" t="n">
        <v>7</v>
      </c>
      <c r="D127" t="n">
        <v>17</v>
      </c>
      <c r="E127" t="inlineStr">
        <is>
          <t>Output</t>
        </is>
      </c>
      <c r="F127" t="inlineStr">
        <is>
          <t>'=M7/N7-1</t>
        </is>
      </c>
      <c r="G127" t="n">
        <v>0.07512686160922843</v>
      </c>
      <c r="H127" t="inlineStr"/>
      <c r="I127" t="inlineStr">
        <is>
          <t>0.0%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G000153</t>
        </is>
      </c>
      <c r="T127" t="inlineStr">
        <is>
          <t>Vertical</t>
        </is>
      </c>
      <c r="U127" t="n">
        <v>93</v>
      </c>
      <c r="V127" t="b">
        <v>1</v>
      </c>
      <c r="W127" t="inlineStr">
        <is>
          <t>ATF Fuel 2!Q2:Q94</t>
        </is>
      </c>
      <c r="X127">
        <f>R[0]C[-4]/R[0]C[-3]-1</f>
        <v/>
      </c>
    </row>
    <row r="128">
      <c r="A128" t="inlineStr">
        <is>
          <t>ATF Fuel 2</t>
        </is>
      </c>
      <c r="B128" t="inlineStr">
        <is>
          <t>AN7</t>
        </is>
      </c>
      <c r="C128" t="n">
        <v>7</v>
      </c>
      <c r="D128" t="n">
        <v>40</v>
      </c>
      <c r="E128" t="inlineStr">
        <is>
          <t>Calculation</t>
        </is>
      </c>
      <c r="F128" t="inlineStr">
        <is>
          <t>'=AN4-AN5</t>
        </is>
      </c>
      <c r="G128" t="n">
        <v>-0.5949999999999989</v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G000163</t>
        </is>
      </c>
      <c r="T128" t="inlineStr">
        <is>
          <t>Horizontal</t>
        </is>
      </c>
      <c r="U128" t="n">
        <v>2</v>
      </c>
      <c r="V128" t="b">
        <v>1</v>
      </c>
      <c r="W128" t="inlineStr">
        <is>
          <t>ATF Fuel 2!AN7:AO7</t>
        </is>
      </c>
      <c r="X128">
        <f>R[-3]C[0]-R[-2]C[0]</f>
        <v/>
      </c>
    </row>
    <row r="129">
      <c r="A129" t="inlineStr">
        <is>
          <t>ATF Fuel 2</t>
        </is>
      </c>
      <c r="B129" t="inlineStr">
        <is>
          <t>AO7</t>
        </is>
      </c>
      <c r="C129" t="n">
        <v>7</v>
      </c>
      <c r="D129" t="n">
        <v>41</v>
      </c>
      <c r="E129" t="inlineStr">
        <is>
          <t>Calculation</t>
        </is>
      </c>
      <c r="F129" t="inlineStr">
        <is>
          <t>'=AO4-AO5</t>
        </is>
      </c>
      <c r="G129" t="n">
        <v>0.230000000000004</v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G000163</t>
        </is>
      </c>
      <c r="T129" t="inlineStr">
        <is>
          <t>Horizontal</t>
        </is>
      </c>
      <c r="U129" t="n">
        <v>2</v>
      </c>
      <c r="V129" t="b">
        <v>1</v>
      </c>
      <c r="W129" t="inlineStr">
        <is>
          <t>ATF Fuel 2!AN7:AO7</t>
        </is>
      </c>
      <c r="X129">
        <f>R[-3]C[0]-R[-2]C[0]</f>
        <v/>
      </c>
    </row>
    <row r="130">
      <c r="A130" t="inlineStr">
        <is>
          <t>ATF Fuel 2</t>
        </is>
      </c>
      <c r="B130" t="inlineStr">
        <is>
          <t>AR7</t>
        </is>
      </c>
      <c r="C130" t="n">
        <v>7</v>
      </c>
      <c r="D130" t="n">
        <v>44</v>
      </c>
      <c r="E130" t="inlineStr">
        <is>
          <t>Input</t>
        </is>
      </c>
      <c r="F130" t="n">
        <v/>
      </c>
      <c r="G130" t="n">
        <v>900</v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ATF Fuel 2</t>
        </is>
      </c>
      <c r="B131" t="inlineStr">
        <is>
          <t>AS7</t>
        </is>
      </c>
      <c r="C131" t="n">
        <v>7</v>
      </c>
      <c r="D131" t="n">
        <v>45</v>
      </c>
      <c r="E131" t="inlineStr">
        <is>
          <t>Input</t>
        </is>
      </c>
      <c r="F131" t="n">
        <v/>
      </c>
      <c r="G131" t="n">
        <v>48</v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ATF Fuel 2</t>
        </is>
      </c>
      <c r="B132" t="inlineStr">
        <is>
          <t>A8</t>
        </is>
      </c>
      <c r="C132" t="n">
        <v>8</v>
      </c>
      <c r="D132" t="n">
        <v>1</v>
      </c>
      <c r="E132" t="inlineStr">
        <is>
          <t>Input</t>
        </is>
      </c>
      <c r="F132" t="n">
        <v/>
      </c>
      <c r="G132" t="inlineStr">
        <is>
          <t>October 01, 2010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00000000</t>
        </is>
      </c>
      <c r="O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ATF Fuel 2</t>
        </is>
      </c>
      <c r="B133" t="inlineStr">
        <is>
          <t>B8</t>
        </is>
      </c>
      <c r="C133" t="n">
        <v>8</v>
      </c>
      <c r="D133" t="n">
        <v>2</v>
      </c>
      <c r="E133" t="inlineStr">
        <is>
          <t>Input</t>
        </is>
      </c>
      <c r="F133" t="n">
        <v/>
      </c>
      <c r="G133" t="n">
        <v>44195.2675</v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ATF Fuel 2</t>
        </is>
      </c>
      <c r="B134" t="inlineStr">
        <is>
          <t>C8</t>
        </is>
      </c>
      <c r="C134" t="n">
        <v>8</v>
      </c>
      <c r="D134" t="n">
        <v>3</v>
      </c>
      <c r="E134" t="inlineStr">
        <is>
          <t>Output</t>
        </is>
      </c>
      <c r="F134" t="inlineStr">
        <is>
          <t>'=B8/B7-1</t>
        </is>
      </c>
      <c r="G134" t="n">
        <v>0.01373662733620207</v>
      </c>
      <c r="H134" t="inlineStr"/>
      <c r="I134" t="inlineStr">
        <is>
          <t>0%</t>
        </is>
      </c>
      <c r="J134" t="b">
        <v>0</v>
      </c>
      <c r="K134" t="b">
        <v>0</v>
      </c>
      <c r="L134" t="n">
        <v>11</v>
      </c>
      <c r="M134" t="n">
        <v/>
      </c>
      <c r="N134" t="inlineStr">
        <is>
          <t>00000000</t>
        </is>
      </c>
      <c r="O134" t="n">
        <v/>
      </c>
      <c r="R134" t="b">
        <v>1</v>
      </c>
      <c r="S134" t="inlineStr">
        <is>
          <t>G000154</t>
        </is>
      </c>
      <c r="T134" t="inlineStr">
        <is>
          <t>Vertical</t>
        </is>
      </c>
      <c r="U134" t="n">
        <v>92</v>
      </c>
      <c r="V134" t="b">
        <v>1</v>
      </c>
      <c r="W134" t="inlineStr">
        <is>
          <t>ATF Fuel 2!C3:C94</t>
        </is>
      </c>
      <c r="X134">
        <f>R[0]C[-1]/R[-1]C[-1]-1</f>
        <v/>
      </c>
    </row>
    <row r="135">
      <c r="A135" t="inlineStr">
        <is>
          <t>ATF Fuel 2</t>
        </is>
      </c>
      <c r="B135" t="inlineStr">
        <is>
          <t>D8</t>
        </is>
      </c>
      <c r="C135" t="n">
        <v>8</v>
      </c>
      <c r="D135" t="n">
        <v>4</v>
      </c>
      <c r="E135" t="inlineStr">
        <is>
          <t>Input</t>
        </is>
      </c>
      <c r="F135" t="n">
        <v/>
      </c>
      <c r="G135" t="n">
        <v>44.77</v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ATF Fuel 2</t>
        </is>
      </c>
      <c r="B136" t="inlineStr">
        <is>
          <t>E8</t>
        </is>
      </c>
      <c r="C136" t="n">
        <v>8</v>
      </c>
      <c r="D136" t="n">
        <v>5</v>
      </c>
      <c r="E136" t="inlineStr">
        <is>
          <t>Output</t>
        </is>
      </c>
      <c r="F136" t="inlineStr">
        <is>
          <t>'=B8/B7-1</t>
        </is>
      </c>
      <c r="G136" t="n">
        <v>0.01373662733620207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1</v>
      </c>
      <c r="S136" t="inlineStr">
        <is>
          <t>G000158</t>
        </is>
      </c>
      <c r="T136" t="inlineStr">
        <is>
          <t>Vertical</t>
        </is>
      </c>
      <c r="U136" t="n">
        <v>92</v>
      </c>
      <c r="V136" t="b">
        <v>1</v>
      </c>
      <c r="W136" t="inlineStr">
        <is>
          <t>ATF Fuel 2!E3:E94</t>
        </is>
      </c>
      <c r="X136">
        <f>R[0]C[-3]/R[-1]C[-3]-1</f>
        <v/>
      </c>
    </row>
    <row r="137">
      <c r="A137" t="inlineStr">
        <is>
          <t>ATF Fuel 2</t>
        </is>
      </c>
      <c r="B137" t="inlineStr">
        <is>
          <t>F8</t>
        </is>
      </c>
      <c r="C137" t="n">
        <v>8</v>
      </c>
      <c r="D137" t="n">
        <v>6</v>
      </c>
      <c r="E137" t="inlineStr">
        <is>
          <t>Input</t>
        </is>
      </c>
      <c r="F137" t="n">
        <v/>
      </c>
      <c r="G137" t="n">
        <v>82.69</v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ATF Fuel 2</t>
        </is>
      </c>
      <c r="B138" t="inlineStr">
        <is>
          <t>G8</t>
        </is>
      </c>
      <c r="C138" t="n">
        <v>8</v>
      </c>
      <c r="D138" t="n">
        <v>7</v>
      </c>
      <c r="E138" t="inlineStr">
        <is>
          <t>Output</t>
        </is>
      </c>
      <c r="F138" t="inlineStr">
        <is>
          <t>'=F8/F7-1</t>
        </is>
      </c>
      <c r="G138" t="n">
        <v>0.0947967694955647</v>
      </c>
      <c r="H138" t="inlineStr"/>
      <c r="I138" t="inlineStr">
        <is>
          <t>0%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1</v>
      </c>
      <c r="S138" t="inlineStr">
        <is>
          <t>G000155</t>
        </is>
      </c>
      <c r="T138" t="inlineStr">
        <is>
          <t>Vertical</t>
        </is>
      </c>
      <c r="U138" t="n">
        <v>93</v>
      </c>
      <c r="V138" t="b">
        <v>1</v>
      </c>
      <c r="W138" t="inlineStr">
        <is>
          <t>ATF Fuel 2!G3:G95</t>
        </is>
      </c>
      <c r="X138">
        <f>R[0]C[-1]/R[-1]C[-1]-1</f>
        <v/>
      </c>
    </row>
    <row r="139">
      <c r="A139" t="inlineStr">
        <is>
          <t>ATF Fuel 2</t>
        </is>
      </c>
      <c r="B139" t="inlineStr">
        <is>
          <t>H8</t>
        </is>
      </c>
      <c r="C139" t="n">
        <v>8</v>
      </c>
      <c r="D139" t="n">
        <v>8</v>
      </c>
      <c r="E139" t="inlineStr">
        <is>
          <t>Calculation</t>
        </is>
      </c>
      <c r="F139" t="inlineStr">
        <is>
          <t>'=D8*F8</t>
        </is>
      </c>
      <c r="G139" t="n">
        <v>3702.0313</v>
      </c>
      <c r="H139" t="inlineStr"/>
      <c r="I139" t="inlineStr">
        <is>
          <t>0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n">
        <v/>
      </c>
      <c r="R139" t="b">
        <v>1</v>
      </c>
      <c r="S139" t="inlineStr">
        <is>
          <t>G000152</t>
        </is>
      </c>
      <c r="T139" t="inlineStr">
        <is>
          <t>Vertical</t>
        </is>
      </c>
      <c r="U139" t="n">
        <v>98</v>
      </c>
      <c r="V139" t="b">
        <v>1</v>
      </c>
      <c r="W139" t="inlineStr">
        <is>
          <t>ATF Fuel 2!H2:H99</t>
        </is>
      </c>
      <c r="X139">
        <f>R[0]C[-4]*R[0]C[-2]</f>
        <v/>
      </c>
    </row>
    <row r="140">
      <c r="A140" t="inlineStr">
        <is>
          <t>ATF Fuel 2</t>
        </is>
      </c>
      <c r="B140" t="inlineStr">
        <is>
          <t>I8</t>
        </is>
      </c>
      <c r="C140" t="n">
        <v>8</v>
      </c>
      <c r="D140" t="n">
        <v>9</v>
      </c>
      <c r="E140" t="inlineStr">
        <is>
          <t>Output</t>
        </is>
      </c>
      <c r="F140" t="inlineStr">
        <is>
          <t>'=H8/H7-1</t>
        </is>
      </c>
      <c r="G140" t="n">
        <v>0.04463025085925909</v>
      </c>
      <c r="H140" t="inlineStr"/>
      <c r="I140" t="inlineStr">
        <is>
          <t>0%</t>
        </is>
      </c>
      <c r="J140" t="b">
        <v>0</v>
      </c>
      <c r="K140" t="b">
        <v>0</v>
      </c>
      <c r="L140" t="n">
        <v>11</v>
      </c>
      <c r="M140" t="inlineStr">
        <is>
          <t>FFFF0000</t>
        </is>
      </c>
      <c r="N140" t="inlineStr">
        <is>
          <t>00000000</t>
        </is>
      </c>
      <c r="O140" t="n">
        <v/>
      </c>
      <c r="R140" t="b">
        <v>1</v>
      </c>
      <c r="S140" t="inlineStr">
        <is>
          <t>G000156</t>
        </is>
      </c>
      <c r="T140" t="inlineStr">
        <is>
          <t>Vertical</t>
        </is>
      </c>
      <c r="U140" t="n">
        <v>97</v>
      </c>
      <c r="V140" t="b">
        <v>1</v>
      </c>
      <c r="W140" t="inlineStr">
        <is>
          <t>ATF Fuel 2!I3:I99</t>
        </is>
      </c>
      <c r="X140">
        <f>R[0]C[-1]/R[-1]C[-1]-1</f>
        <v/>
      </c>
    </row>
    <row r="141">
      <c r="A141" t="inlineStr">
        <is>
          <t>ATF Fuel 2</t>
        </is>
      </c>
      <c r="B141" t="inlineStr">
        <is>
          <t>J8</t>
        </is>
      </c>
      <c r="C141" t="n">
        <v>8</v>
      </c>
      <c r="D141" t="n">
        <v>10</v>
      </c>
      <c r="E141" t="inlineStr">
        <is>
          <t>Input</t>
        </is>
      </c>
      <c r="F141" t="n">
        <v/>
      </c>
      <c r="G141" t="n">
        <v>81.56999999999999</v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ATF Fuel 2</t>
        </is>
      </c>
      <c r="B142" t="inlineStr">
        <is>
          <t>K8</t>
        </is>
      </c>
      <c r="C142" t="n">
        <v>8</v>
      </c>
      <c r="D142" t="n">
        <v>11</v>
      </c>
      <c r="E142" t="inlineStr">
        <is>
          <t>Output</t>
        </is>
      </c>
      <c r="F142" t="inlineStr">
        <is>
          <t>'=J8/J7-1</t>
        </is>
      </c>
      <c r="G142" t="n">
        <v>0.102744355819927</v>
      </c>
      <c r="H142" t="inlineStr"/>
      <c r="I142" t="inlineStr">
        <is>
          <t>0%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G000157</t>
        </is>
      </c>
      <c r="T142" t="inlineStr">
        <is>
          <t>Vertical</t>
        </is>
      </c>
      <c r="U142" t="n">
        <v>93</v>
      </c>
      <c r="V142" t="b">
        <v>1</v>
      </c>
      <c r="W142" t="inlineStr">
        <is>
          <t>ATF Fuel 2!K3:K95</t>
        </is>
      </c>
      <c r="X142">
        <f>R[0]C[-1]/R[-1]C[-1]-1</f>
        <v/>
      </c>
    </row>
    <row r="143">
      <c r="A143" t="inlineStr">
        <is>
          <t>ATF Fuel 2</t>
        </is>
      </c>
      <c r="B143" t="inlineStr">
        <is>
          <t>L8</t>
        </is>
      </c>
      <c r="C143" t="n">
        <v>8</v>
      </c>
      <c r="D143" t="n">
        <v>12</v>
      </c>
      <c r="E143" t="inlineStr">
        <is>
          <t>Input</t>
        </is>
      </c>
      <c r="F143" t="n">
        <v/>
      </c>
      <c r="G143" t="inlineStr">
        <is>
          <t>October 01, 2010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inlineStr">
        <is>
          <t>left</t>
        </is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ATF Fuel 2</t>
        </is>
      </c>
      <c r="B144" t="inlineStr">
        <is>
          <t>M8</t>
        </is>
      </c>
      <c r="C144" t="n">
        <v>8</v>
      </c>
      <c r="D144" t="n">
        <v>13</v>
      </c>
      <c r="E144" t="inlineStr">
        <is>
          <t>Calculation</t>
        </is>
      </c>
      <c r="F144" t="inlineStr">
        <is>
          <t>'=(1+(B8/B7)-1)*M7</t>
        </is>
      </c>
      <c r="G144" t="n">
        <v>99.62459821149064</v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inlineStr">
        <is>
          <t>left</t>
        </is>
      </c>
      <c r="R144" t="b">
        <v>1</v>
      </c>
      <c r="S144" t="inlineStr">
        <is>
          <t>G000159</t>
        </is>
      </c>
      <c r="T144" t="inlineStr">
        <is>
          <t>Vertical</t>
        </is>
      </c>
      <c r="U144" t="n">
        <v>92</v>
      </c>
      <c r="V144" t="b">
        <v>1</v>
      </c>
      <c r="W144" t="inlineStr">
        <is>
          <t>ATF Fuel 2!M3:M94</t>
        </is>
      </c>
      <c r="X144">
        <f>(1+(R[0]C[-11]/R[-1]C[-11])-1)*R[-1]C[0]</f>
        <v/>
      </c>
    </row>
    <row r="145">
      <c r="A145" t="inlineStr">
        <is>
          <t>ATF Fuel 2</t>
        </is>
      </c>
      <c r="B145" t="inlineStr">
        <is>
          <t>N8</t>
        </is>
      </c>
      <c r="C145" t="n">
        <v>8</v>
      </c>
      <c r="D145" t="n">
        <v>14</v>
      </c>
      <c r="E145" t="inlineStr">
        <is>
          <t>Calculation</t>
        </is>
      </c>
      <c r="F145" t="inlineStr">
        <is>
          <t>'=(1+(F8/F7)-1)*N7</t>
        </is>
      </c>
      <c r="G145" t="n">
        <v>100.0726128524749</v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inlineStr">
        <is>
          <t>left</t>
        </is>
      </c>
      <c r="R145" t="b">
        <v>1</v>
      </c>
      <c r="S145" t="inlineStr">
        <is>
          <t>G000160</t>
        </is>
      </c>
      <c r="T145" t="inlineStr">
        <is>
          <t>Vertical</t>
        </is>
      </c>
      <c r="U145" t="n">
        <v>92</v>
      </c>
      <c r="V145" t="b">
        <v>1</v>
      </c>
      <c r="W145" t="inlineStr">
        <is>
          <t>ATF Fuel 2!N3:N94</t>
        </is>
      </c>
      <c r="X145">
        <f>(1+(R[0]C[-8]/R[-1]C[-8])-1)*R[-1]C[0]</f>
        <v/>
      </c>
    </row>
    <row r="146">
      <c r="A146" t="inlineStr">
        <is>
          <t>ATF Fuel 2</t>
        </is>
      </c>
      <c r="B146" t="inlineStr">
        <is>
          <t>O8</t>
        </is>
      </c>
      <c r="C146" t="n">
        <v>8</v>
      </c>
      <c r="D146" t="n">
        <v>15</v>
      </c>
      <c r="E146" t="inlineStr">
        <is>
          <t>Calculation</t>
        </is>
      </c>
      <c r="F146" t="inlineStr">
        <is>
          <t>'=(1+(J8/J7)-1)*O7</t>
        </is>
      </c>
      <c r="G146" t="n">
        <v>96.49828463267477</v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00000000</t>
        </is>
      </c>
      <c r="O146" t="inlineStr">
        <is>
          <t>left</t>
        </is>
      </c>
      <c r="R146" t="b">
        <v>1</v>
      </c>
      <c r="S146" t="inlineStr">
        <is>
          <t>G000162</t>
        </is>
      </c>
      <c r="T146" t="inlineStr">
        <is>
          <t>Vertical</t>
        </is>
      </c>
      <c r="U146" t="n">
        <v>92</v>
      </c>
      <c r="V146" t="b">
        <v>1</v>
      </c>
      <c r="W146" t="inlineStr">
        <is>
          <t>ATF Fuel 2!O3:O94</t>
        </is>
      </c>
      <c r="X146">
        <f>(1+(R[0]C[-5]/R[-1]C[-5])-1)*R[-1]C[0]</f>
        <v/>
      </c>
    </row>
    <row r="147">
      <c r="A147" t="inlineStr">
        <is>
          <t>ATF Fuel 2</t>
        </is>
      </c>
      <c r="B147" t="inlineStr">
        <is>
          <t>P8</t>
        </is>
      </c>
      <c r="C147" t="n">
        <v>8</v>
      </c>
      <c r="D147" t="n">
        <v>16</v>
      </c>
      <c r="E147" t="inlineStr">
        <is>
          <t>Calculation</t>
        </is>
      </c>
      <c r="F147" t="inlineStr">
        <is>
          <t>'=(1+(H8/H7)-1)*P7</t>
        </is>
      </c>
      <c r="G147" t="n">
        <v>100.0949704514143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inlineStr">
        <is>
          <t>left</t>
        </is>
      </c>
      <c r="R147" t="b">
        <v>1</v>
      </c>
      <c r="S147" t="inlineStr">
        <is>
          <t>G000161</t>
        </is>
      </c>
      <c r="T147" t="inlineStr">
        <is>
          <t>Vertical</t>
        </is>
      </c>
      <c r="U147" t="n">
        <v>92</v>
      </c>
      <c r="V147" t="b">
        <v>1</v>
      </c>
      <c r="W147" t="inlineStr">
        <is>
          <t>ATF Fuel 2!P3:P94</t>
        </is>
      </c>
      <c r="X147">
        <f>(1+(R[0]C[-8]/R[-1]C[-8])-1)*R[-1]C[0]</f>
        <v/>
      </c>
    </row>
    <row r="148">
      <c r="A148" t="inlineStr">
        <is>
          <t>ATF Fuel 2</t>
        </is>
      </c>
      <c r="B148" t="inlineStr">
        <is>
          <t>Q8</t>
        </is>
      </c>
      <c r="C148" t="n">
        <v>8</v>
      </c>
      <c r="D148" t="n">
        <v>17</v>
      </c>
      <c r="E148" t="inlineStr">
        <is>
          <t>Output</t>
        </is>
      </c>
      <c r="F148" t="inlineStr">
        <is>
          <t>'=M8/N8-1</t>
        </is>
      </c>
      <c r="G148" t="n">
        <v>-0.004476895608239606</v>
      </c>
      <c r="H148" t="inlineStr"/>
      <c r="I148" t="inlineStr">
        <is>
          <t>0.0%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1</v>
      </c>
      <c r="S148" t="inlineStr">
        <is>
          <t>G000153</t>
        </is>
      </c>
      <c r="T148" t="inlineStr">
        <is>
          <t>Vertical</t>
        </is>
      </c>
      <c r="U148" t="n">
        <v>93</v>
      </c>
      <c r="V148" t="b">
        <v>1</v>
      </c>
      <c r="W148" t="inlineStr">
        <is>
          <t>ATF Fuel 2!Q2:Q94</t>
        </is>
      </c>
      <c r="X148">
        <f>R[0]C[-4]/R[0]C[-3]-1</f>
        <v/>
      </c>
    </row>
    <row r="149">
      <c r="A149" t="inlineStr">
        <is>
          <t>ATF Fuel 2</t>
        </is>
      </c>
      <c r="B149" t="inlineStr">
        <is>
          <t>AN8</t>
        </is>
      </c>
      <c r="C149" t="n">
        <v>8</v>
      </c>
      <c r="D149" t="n">
        <v>40</v>
      </c>
      <c r="E149" t="inlineStr">
        <is>
          <t>Calculation</t>
        </is>
      </c>
      <c r="F149" t="inlineStr">
        <is>
          <t>'=AN7*AN6</t>
        </is>
      </c>
      <c r="G149" t="n">
        <v>-594.9999999999989</v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G000164</t>
        </is>
      </c>
      <c r="T149" t="inlineStr">
        <is>
          <t>Horizontal</t>
        </is>
      </c>
      <c r="U149" t="n">
        <v>2</v>
      </c>
      <c r="V149" t="b">
        <v>1</v>
      </c>
      <c r="W149" t="inlineStr">
        <is>
          <t>ATF Fuel 2!AN8:AO8</t>
        </is>
      </c>
      <c r="X149">
        <f>R[-1]C[0]*R[-2]C[0]</f>
        <v/>
      </c>
    </row>
    <row r="150">
      <c r="A150" t="inlineStr">
        <is>
          <t>ATF Fuel 2</t>
        </is>
      </c>
      <c r="B150" t="inlineStr">
        <is>
          <t>AO8</t>
        </is>
      </c>
      <c r="C150" t="n">
        <v>8</v>
      </c>
      <c r="D150" t="n">
        <v>41</v>
      </c>
      <c r="E150" t="inlineStr">
        <is>
          <t>Calculation</t>
        </is>
      </c>
      <c r="F150" t="inlineStr">
        <is>
          <t>'=AO7*AO6</t>
        </is>
      </c>
      <c r="G150" t="n">
        <v>230.000000000004</v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G000164</t>
        </is>
      </c>
      <c r="T150" t="inlineStr">
        <is>
          <t>Horizontal</t>
        </is>
      </c>
      <c r="U150" t="n">
        <v>2</v>
      </c>
      <c r="V150" t="b">
        <v>1</v>
      </c>
      <c r="W150" t="inlineStr">
        <is>
          <t>ATF Fuel 2!AN8:AO8</t>
        </is>
      </c>
      <c r="X150">
        <f>R[-1]C[0]*R[-2]C[0]</f>
        <v/>
      </c>
    </row>
    <row r="151">
      <c r="A151" t="inlineStr">
        <is>
          <t>ATF Fuel 2</t>
        </is>
      </c>
      <c r="B151" t="inlineStr">
        <is>
          <t>AR8</t>
        </is>
      </c>
      <c r="C151" t="n">
        <v>8</v>
      </c>
      <c r="D151" t="n">
        <v>44</v>
      </c>
      <c r="E151" t="inlineStr">
        <is>
          <t>Input</t>
        </is>
      </c>
      <c r="F151" t="n">
        <v/>
      </c>
      <c r="G151" t="n">
        <v>270</v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ATF Fuel 2</t>
        </is>
      </c>
      <c r="B152" t="inlineStr">
        <is>
          <t>A9</t>
        </is>
      </c>
      <c r="C152" t="n">
        <v>9</v>
      </c>
      <c r="D152" t="n">
        <v>1</v>
      </c>
      <c r="E152" t="inlineStr">
        <is>
          <t>Input</t>
        </is>
      </c>
      <c r="F152" t="n">
        <v/>
      </c>
      <c r="G152" t="inlineStr">
        <is>
          <t>November 01, 2010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ATF Fuel 2</t>
        </is>
      </c>
      <c r="B153" t="inlineStr">
        <is>
          <t>B9</t>
        </is>
      </c>
      <c r="C153" t="n">
        <v>9</v>
      </c>
      <c r="D153" t="n">
        <v>2</v>
      </c>
      <c r="E153" t="inlineStr">
        <is>
          <t>Input</t>
        </is>
      </c>
      <c r="F153" t="n">
        <v/>
      </c>
      <c r="G153" t="n">
        <v>45777</v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ATF Fuel 2</t>
        </is>
      </c>
      <c r="B154" t="inlineStr">
        <is>
          <t>C9</t>
        </is>
      </c>
      <c r="C154" t="n">
        <v>9</v>
      </c>
      <c r="D154" t="n">
        <v>3</v>
      </c>
      <c r="E154" t="inlineStr">
        <is>
          <t>Output</t>
        </is>
      </c>
      <c r="F154" t="inlineStr">
        <is>
          <t>'=B9/B8-1</t>
        </is>
      </c>
      <c r="G154" t="n">
        <v>0.03578963516851652</v>
      </c>
      <c r="H154" t="inlineStr"/>
      <c r="I154" t="inlineStr">
        <is>
          <t>0%</t>
        </is>
      </c>
      <c r="J154" t="b">
        <v>0</v>
      </c>
      <c r="K154" t="b">
        <v>0</v>
      </c>
      <c r="L154" t="n">
        <v>11</v>
      </c>
      <c r="M154" t="n">
        <v/>
      </c>
      <c r="N154" t="inlineStr">
        <is>
          <t>00000000</t>
        </is>
      </c>
      <c r="O154" t="n">
        <v/>
      </c>
      <c r="R154" t="b">
        <v>1</v>
      </c>
      <c r="S154" t="inlineStr">
        <is>
          <t>G000154</t>
        </is>
      </c>
      <c r="T154" t="inlineStr">
        <is>
          <t>Vertical</t>
        </is>
      </c>
      <c r="U154" t="n">
        <v>92</v>
      </c>
      <c r="V154" t="b">
        <v>1</v>
      </c>
      <c r="W154" t="inlineStr">
        <is>
          <t>ATF Fuel 2!C3:C94</t>
        </is>
      </c>
      <c r="X154">
        <f>R[0]C[-1]/R[-1]C[-1]-1</f>
        <v/>
      </c>
    </row>
    <row r="155">
      <c r="A155" t="inlineStr">
        <is>
          <t>ATF Fuel 2</t>
        </is>
      </c>
      <c r="B155" t="inlineStr">
        <is>
          <t>D9</t>
        </is>
      </c>
      <c r="C155" t="n">
        <v>9</v>
      </c>
      <c r="D155" t="n">
        <v>4</v>
      </c>
      <c r="E155" t="inlineStr">
        <is>
          <t>Input</t>
        </is>
      </c>
      <c r="F155" t="n">
        <v/>
      </c>
      <c r="G155" t="n">
        <v>44.35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ATF Fuel 2</t>
        </is>
      </c>
      <c r="B156" t="inlineStr">
        <is>
          <t>E9</t>
        </is>
      </c>
      <c r="C156" t="n">
        <v>9</v>
      </c>
      <c r="D156" t="n">
        <v>5</v>
      </c>
      <c r="E156" t="inlineStr">
        <is>
          <t>Output</t>
        </is>
      </c>
      <c r="F156" t="inlineStr">
        <is>
          <t>'=B9/B8-1</t>
        </is>
      </c>
      <c r="G156" t="n">
        <v>0.03578963516851652</v>
      </c>
      <c r="H156" t="inlineStr"/>
      <c r="I156" t="inlineStr">
        <is>
          <t>0%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G000158</t>
        </is>
      </c>
      <c r="T156" t="inlineStr">
        <is>
          <t>Vertical</t>
        </is>
      </c>
      <c r="U156" t="n">
        <v>92</v>
      </c>
      <c r="V156" t="b">
        <v>1</v>
      </c>
      <c r="W156" t="inlineStr">
        <is>
          <t>ATF Fuel 2!E3:E94</t>
        </is>
      </c>
      <c r="X156">
        <f>R[0]C[-3]/R[-1]C[-3]-1</f>
        <v/>
      </c>
    </row>
    <row r="157">
      <c r="A157" t="inlineStr">
        <is>
          <t>ATF Fuel 2</t>
        </is>
      </c>
      <c r="B157" t="inlineStr">
        <is>
          <t>F9</t>
        </is>
      </c>
      <c r="C157" t="n">
        <v>9</v>
      </c>
      <c r="D157" t="n">
        <v>6</v>
      </c>
      <c r="E157" t="inlineStr">
        <is>
          <t>Input</t>
        </is>
      </c>
      <c r="F157" t="n">
        <v/>
      </c>
      <c r="G157" t="n">
        <v>84.06</v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ATF Fuel 2</t>
        </is>
      </c>
      <c r="B158" t="inlineStr">
        <is>
          <t>G9</t>
        </is>
      </c>
      <c r="C158" t="n">
        <v>9</v>
      </c>
      <c r="D158" t="n">
        <v>7</v>
      </c>
      <c r="E158" t="inlineStr">
        <is>
          <t>Output</t>
        </is>
      </c>
      <c r="F158" t="inlineStr">
        <is>
          <t>'=F9/F8-1</t>
        </is>
      </c>
      <c r="G158" t="n">
        <v>0.01656790422058285</v>
      </c>
      <c r="H158" t="inlineStr"/>
      <c r="I158" t="inlineStr">
        <is>
          <t>0%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G000155</t>
        </is>
      </c>
      <c r="T158" t="inlineStr">
        <is>
          <t>Vertical</t>
        </is>
      </c>
      <c r="U158" t="n">
        <v>93</v>
      </c>
      <c r="V158" t="b">
        <v>1</v>
      </c>
      <c r="W158" t="inlineStr">
        <is>
          <t>ATF Fuel 2!G3:G95</t>
        </is>
      </c>
      <c r="X158">
        <f>R[0]C[-1]/R[-1]C[-1]-1</f>
        <v/>
      </c>
    </row>
    <row r="159">
      <c r="A159" t="inlineStr">
        <is>
          <t>ATF Fuel 2</t>
        </is>
      </c>
      <c r="B159" t="inlineStr">
        <is>
          <t>H9</t>
        </is>
      </c>
      <c r="C159" t="n">
        <v>9</v>
      </c>
      <c r="D159" t="n">
        <v>8</v>
      </c>
      <c r="E159" t="inlineStr">
        <is>
          <t>Calculation</t>
        </is>
      </c>
      <c r="F159" t="inlineStr">
        <is>
          <t>'=D9*F9</t>
        </is>
      </c>
      <c r="G159" t="n">
        <v>3728.061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G000152</t>
        </is>
      </c>
      <c r="T159" t="inlineStr">
        <is>
          <t>Vertical</t>
        </is>
      </c>
      <c r="U159" t="n">
        <v>98</v>
      </c>
      <c r="V159" t="b">
        <v>1</v>
      </c>
      <c r="W159" t="inlineStr">
        <is>
          <t>ATF Fuel 2!H2:H99</t>
        </is>
      </c>
      <c r="X159">
        <f>R[0]C[-4]*R[0]C[-2]</f>
        <v/>
      </c>
    </row>
    <row r="160">
      <c r="A160" t="inlineStr">
        <is>
          <t>ATF Fuel 2</t>
        </is>
      </c>
      <c r="B160" t="inlineStr">
        <is>
          <t>I9</t>
        </is>
      </c>
      <c r="C160" t="n">
        <v>9</v>
      </c>
      <c r="D160" t="n">
        <v>9</v>
      </c>
      <c r="E160" t="inlineStr">
        <is>
          <t>Output</t>
        </is>
      </c>
      <c r="F160" t="inlineStr">
        <is>
          <t>'=H9/H8-1</t>
        </is>
      </c>
      <c r="G160" t="n">
        <v>0.007031193928587198</v>
      </c>
      <c r="H160" t="inlineStr"/>
      <c r="I160" t="inlineStr">
        <is>
          <t>0%</t>
        </is>
      </c>
      <c r="J160" t="b">
        <v>0</v>
      </c>
      <c r="K160" t="b">
        <v>0</v>
      </c>
      <c r="L160" t="n">
        <v>11</v>
      </c>
      <c r="M160" t="inlineStr">
        <is>
          <t>FFFF0000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G000156</t>
        </is>
      </c>
      <c r="T160" t="inlineStr">
        <is>
          <t>Vertical</t>
        </is>
      </c>
      <c r="U160" t="n">
        <v>97</v>
      </c>
      <c r="V160" t="b">
        <v>1</v>
      </c>
      <c r="W160" t="inlineStr">
        <is>
          <t>ATF Fuel 2!I3:I99</t>
        </is>
      </c>
      <c r="X160">
        <f>R[0]C[-1]/R[-1]C[-1]-1</f>
        <v/>
      </c>
    </row>
    <row r="161">
      <c r="A161" t="inlineStr">
        <is>
          <t>ATF Fuel 2</t>
        </is>
      </c>
      <c r="B161" t="inlineStr">
        <is>
          <t>J9</t>
        </is>
      </c>
      <c r="C161" t="n">
        <v>9</v>
      </c>
      <c r="D161" t="n">
        <v>10</v>
      </c>
      <c r="E161" t="inlineStr">
        <is>
          <t>Input</t>
        </is>
      </c>
      <c r="F161" t="n">
        <v/>
      </c>
      <c r="G161" t="n">
        <v>82.94</v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ATF Fuel 2</t>
        </is>
      </c>
      <c r="B162" t="inlineStr">
        <is>
          <t>K9</t>
        </is>
      </c>
      <c r="C162" t="n">
        <v>9</v>
      </c>
      <c r="D162" t="n">
        <v>11</v>
      </c>
      <c r="E162" t="inlineStr">
        <is>
          <t>Output</t>
        </is>
      </c>
      <c r="F162" t="inlineStr">
        <is>
          <t>'=J9/J8-1</t>
        </is>
      </c>
      <c r="G162" t="n">
        <v>0.01679539046217982</v>
      </c>
      <c r="H162" t="inlineStr"/>
      <c r="I162" t="inlineStr">
        <is>
          <t>0%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G000157</t>
        </is>
      </c>
      <c r="T162" t="inlineStr">
        <is>
          <t>Vertical</t>
        </is>
      </c>
      <c r="U162" t="n">
        <v>93</v>
      </c>
      <c r="V162" t="b">
        <v>1</v>
      </c>
      <c r="W162" t="inlineStr">
        <is>
          <t>ATF Fuel 2!K3:K95</t>
        </is>
      </c>
      <c r="X162">
        <f>R[0]C[-1]/R[-1]C[-1]-1</f>
        <v/>
      </c>
    </row>
    <row r="163">
      <c r="A163" t="inlineStr">
        <is>
          <t>ATF Fuel 2</t>
        </is>
      </c>
      <c r="B163" t="inlineStr">
        <is>
          <t>L9</t>
        </is>
      </c>
      <c r="C163" t="n">
        <v>9</v>
      </c>
      <c r="D163" t="n">
        <v>12</v>
      </c>
      <c r="E163" t="inlineStr">
        <is>
          <t>Input</t>
        </is>
      </c>
      <c r="F163" t="n">
        <v/>
      </c>
      <c r="G163" t="inlineStr">
        <is>
          <t>November 01, 2010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inlineStr">
        <is>
          <t>left</t>
        </is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ATF Fuel 2</t>
        </is>
      </c>
      <c r="B164" t="inlineStr">
        <is>
          <t>M9</t>
        </is>
      </c>
      <c r="C164" t="n">
        <v>9</v>
      </c>
      <c r="D164" t="n">
        <v>13</v>
      </c>
      <c r="E164" t="inlineStr">
        <is>
          <t>Calculation</t>
        </is>
      </c>
      <c r="F164" t="inlineStr">
        <is>
          <t>'=(1+(B9/B8)-1)*M8</t>
        </is>
      </c>
      <c r="G164" t="n">
        <v>103.1901262352899</v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inlineStr">
        <is>
          <t>left</t>
        </is>
      </c>
      <c r="R164" t="b">
        <v>1</v>
      </c>
      <c r="S164" t="inlineStr">
        <is>
          <t>G000159</t>
        </is>
      </c>
      <c r="T164" t="inlineStr">
        <is>
          <t>Vertical</t>
        </is>
      </c>
      <c r="U164" t="n">
        <v>92</v>
      </c>
      <c r="V164" t="b">
        <v>1</v>
      </c>
      <c r="W164" t="inlineStr">
        <is>
          <t>ATF Fuel 2!M3:M94</t>
        </is>
      </c>
      <c r="X164">
        <f>(1+(R[0]C[-11]/R[-1]C[-11])-1)*R[-1]C[0]</f>
        <v/>
      </c>
    </row>
    <row r="165">
      <c r="A165" t="inlineStr">
        <is>
          <t>ATF Fuel 2</t>
        </is>
      </c>
      <c r="B165" t="inlineStr">
        <is>
          <t>N9</t>
        </is>
      </c>
      <c r="C165" t="n">
        <v>9</v>
      </c>
      <c r="D165" t="n">
        <v>14</v>
      </c>
      <c r="E165" t="inlineStr">
        <is>
          <t>Calculation</t>
        </is>
      </c>
      <c r="F165" t="inlineStr">
        <is>
          <t>'=(1+(F9/F8)-1)*N8</t>
        </is>
      </c>
      <c r="G165" t="n">
        <v>101.7306063173182</v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inlineStr">
        <is>
          <t>left</t>
        </is>
      </c>
      <c r="R165" t="b">
        <v>1</v>
      </c>
      <c r="S165" t="inlineStr">
        <is>
          <t>G000160</t>
        </is>
      </c>
      <c r="T165" t="inlineStr">
        <is>
          <t>Vertical</t>
        </is>
      </c>
      <c r="U165" t="n">
        <v>92</v>
      </c>
      <c r="V165" t="b">
        <v>1</v>
      </c>
      <c r="W165" t="inlineStr">
        <is>
          <t>ATF Fuel 2!N3:N94</t>
        </is>
      </c>
      <c r="X165">
        <f>(1+(R[0]C[-8]/R[-1]C[-8])-1)*R[-1]C[0]</f>
        <v/>
      </c>
    </row>
    <row r="166">
      <c r="A166" t="inlineStr">
        <is>
          <t>ATF Fuel 2</t>
        </is>
      </c>
      <c r="B166" t="inlineStr">
        <is>
          <t>O9</t>
        </is>
      </c>
      <c r="C166" t="n">
        <v>9</v>
      </c>
      <c r="D166" t="n">
        <v>15</v>
      </c>
      <c r="E166" t="inlineStr">
        <is>
          <t>Calculation</t>
        </is>
      </c>
      <c r="F166" t="inlineStr">
        <is>
          <t>'=(1+(J9/J8)-1)*O8</t>
        </is>
      </c>
      <c r="G166" t="n">
        <v>98.11901100201113</v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inlineStr">
        <is>
          <t>left</t>
        </is>
      </c>
      <c r="R166" t="b">
        <v>1</v>
      </c>
      <c r="S166" t="inlineStr">
        <is>
          <t>G000162</t>
        </is>
      </c>
      <c r="T166" t="inlineStr">
        <is>
          <t>Vertical</t>
        </is>
      </c>
      <c r="U166" t="n">
        <v>92</v>
      </c>
      <c r="V166" t="b">
        <v>1</v>
      </c>
      <c r="W166" t="inlineStr">
        <is>
          <t>ATF Fuel 2!O3:O94</t>
        </is>
      </c>
      <c r="X166">
        <f>(1+(R[0]C[-5]/R[-1]C[-5])-1)*R[-1]C[0]</f>
        <v/>
      </c>
    </row>
    <row r="167">
      <c r="A167" t="inlineStr">
        <is>
          <t>ATF Fuel 2</t>
        </is>
      </c>
      <c r="B167" t="inlineStr">
        <is>
          <t>P9</t>
        </is>
      </c>
      <c r="C167" t="n">
        <v>9</v>
      </c>
      <c r="D167" t="n">
        <v>16</v>
      </c>
      <c r="E167" t="inlineStr">
        <is>
          <t>Calculation</t>
        </is>
      </c>
      <c r="F167" t="inlineStr">
        <is>
          <t>'=(1+(H9/H8)-1)*P8</t>
        </is>
      </c>
      <c r="G167" t="n">
        <v>100.7987575999344</v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inlineStr">
        <is>
          <t>left</t>
        </is>
      </c>
      <c r="R167" t="b">
        <v>1</v>
      </c>
      <c r="S167" t="inlineStr">
        <is>
          <t>G000161</t>
        </is>
      </c>
      <c r="T167" t="inlineStr">
        <is>
          <t>Vertical</t>
        </is>
      </c>
      <c r="U167" t="n">
        <v>92</v>
      </c>
      <c r="V167" t="b">
        <v>1</v>
      </c>
      <c r="W167" t="inlineStr">
        <is>
          <t>ATF Fuel 2!P3:P94</t>
        </is>
      </c>
      <c r="X167">
        <f>(1+(R[0]C[-8]/R[-1]C[-8])-1)*R[-1]C[0]</f>
        <v/>
      </c>
    </row>
    <row r="168">
      <c r="A168" t="inlineStr">
        <is>
          <t>ATF Fuel 2</t>
        </is>
      </c>
      <c r="B168" t="inlineStr">
        <is>
          <t>Q9</t>
        </is>
      </c>
      <c r="C168" t="n">
        <v>9</v>
      </c>
      <c r="D168" t="n">
        <v>17</v>
      </c>
      <c r="E168" t="inlineStr">
        <is>
          <t>Output</t>
        </is>
      </c>
      <c r="F168" t="inlineStr">
        <is>
          <t>'=M9/N9-1</t>
        </is>
      </c>
      <c r="G168" t="n">
        <v>0.01434691063787752</v>
      </c>
      <c r="H168" t="inlineStr"/>
      <c r="I168" t="inlineStr">
        <is>
          <t>0.0%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n">
        <v/>
      </c>
      <c r="R168" t="b">
        <v>1</v>
      </c>
      <c r="S168" t="inlineStr">
        <is>
          <t>G000153</t>
        </is>
      </c>
      <c r="T168" t="inlineStr">
        <is>
          <t>Vertical</t>
        </is>
      </c>
      <c r="U168" t="n">
        <v>93</v>
      </c>
      <c r="V168" t="b">
        <v>1</v>
      </c>
      <c r="W168" t="inlineStr">
        <is>
          <t>ATF Fuel 2!Q2:Q94</t>
        </is>
      </c>
      <c r="X168">
        <f>R[0]C[-4]/R[0]C[-3]-1</f>
        <v/>
      </c>
    </row>
    <row r="169">
      <c r="A169" t="inlineStr">
        <is>
          <t>ATF Fuel 2</t>
        </is>
      </c>
      <c r="B169" t="inlineStr">
        <is>
          <t>AN9</t>
        </is>
      </c>
      <c r="C169" t="n">
        <v>9</v>
      </c>
      <c r="D169" t="n">
        <v>40</v>
      </c>
      <c r="E169" t="inlineStr">
        <is>
          <t>Input</t>
        </is>
      </c>
      <c r="F169" t="n">
        <v/>
      </c>
      <c r="G169" t="n">
        <v>460000000</v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ATF Fuel 2</t>
        </is>
      </c>
      <c r="B170" t="inlineStr">
        <is>
          <t>AO9</t>
        </is>
      </c>
      <c r="C170" t="n">
        <v>9</v>
      </c>
      <c r="D170" t="n">
        <v>41</v>
      </c>
      <c r="E170" t="inlineStr">
        <is>
          <t>Input</t>
        </is>
      </c>
      <c r="F170" t="n">
        <v/>
      </c>
      <c r="G170" t="n">
        <v>346000000</v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ATF Fuel 2</t>
        </is>
      </c>
      <c r="B171" t="inlineStr">
        <is>
          <t>AR9</t>
        </is>
      </c>
      <c r="C171" t="n">
        <v>9</v>
      </c>
      <c r="D171" t="n">
        <v>44</v>
      </c>
      <c r="E171" t="inlineStr">
        <is>
          <t>Calculation</t>
        </is>
      </c>
      <c r="F171" t="inlineStr">
        <is>
          <t>'=AR7-AR8</t>
        </is>
      </c>
      <c r="G171" t="n">
        <v>630</v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>
        <f>R[-2]C[0]-R[-1]C[0]</f>
        <v/>
      </c>
    </row>
    <row r="172">
      <c r="A172" t="inlineStr">
        <is>
          <t>ATF Fuel 2</t>
        </is>
      </c>
      <c r="B172" t="inlineStr">
        <is>
          <t>AS9</t>
        </is>
      </c>
      <c r="C172" t="n">
        <v>9</v>
      </c>
      <c r="D172" t="n">
        <v>45</v>
      </c>
      <c r="E172" t="inlineStr">
        <is>
          <t>Output</t>
        </is>
      </c>
      <c r="F172" t="inlineStr">
        <is>
          <t>'=AR9/AS7</t>
        </is>
      </c>
      <c r="G172" t="n">
        <v>13.125</v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>
        <f>R[0]C[-1]/R[-2]C[0]</f>
        <v/>
      </c>
    </row>
    <row r="173">
      <c r="A173" t="inlineStr">
        <is>
          <t>ATF Fuel 2</t>
        </is>
      </c>
      <c r="B173" t="inlineStr">
        <is>
          <t>A10</t>
        </is>
      </c>
      <c r="C173" t="n">
        <v>10</v>
      </c>
      <c r="D173" t="n">
        <v>1</v>
      </c>
      <c r="E173" t="inlineStr">
        <is>
          <t>Input</t>
        </is>
      </c>
      <c r="F173" t="n">
        <v/>
      </c>
      <c r="G173" t="inlineStr">
        <is>
          <t>December 01, 2010</t>
        </is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ATF Fuel 2</t>
        </is>
      </c>
      <c r="B174" t="inlineStr">
        <is>
          <t>B10</t>
        </is>
      </c>
      <c r="C174" t="n">
        <v>10</v>
      </c>
      <c r="D174" t="n">
        <v>2</v>
      </c>
      <c r="E174" t="inlineStr">
        <is>
          <t>Input</t>
        </is>
      </c>
      <c r="F174" t="n">
        <v/>
      </c>
      <c r="G174" t="n">
        <v>47892.11500000001</v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ATF Fuel 2</t>
        </is>
      </c>
      <c r="B175" t="inlineStr">
        <is>
          <t>C10</t>
        </is>
      </c>
      <c r="C175" t="n">
        <v>10</v>
      </c>
      <c r="D175" t="n">
        <v>3</v>
      </c>
      <c r="E175" t="inlineStr">
        <is>
          <t>Output</t>
        </is>
      </c>
      <c r="F175" t="inlineStr">
        <is>
          <t>'=B10/B9-1</t>
        </is>
      </c>
      <c r="G175" t="n">
        <v>0.04620475347882125</v>
      </c>
      <c r="H175" t="inlineStr"/>
      <c r="I175" t="inlineStr">
        <is>
          <t>0%</t>
        </is>
      </c>
      <c r="J175" t="b">
        <v>0</v>
      </c>
      <c r="K175" t="b">
        <v>0</v>
      </c>
      <c r="L175" t="n">
        <v>11</v>
      </c>
      <c r="M175" t="n">
        <v/>
      </c>
      <c r="N175" t="inlineStr">
        <is>
          <t>00000000</t>
        </is>
      </c>
      <c r="O175" t="n">
        <v/>
      </c>
      <c r="R175" t="b">
        <v>1</v>
      </c>
      <c r="S175" t="inlineStr">
        <is>
          <t>G000154</t>
        </is>
      </c>
      <c r="T175" t="inlineStr">
        <is>
          <t>Vertical</t>
        </is>
      </c>
      <c r="U175" t="n">
        <v>92</v>
      </c>
      <c r="V175" t="b">
        <v>1</v>
      </c>
      <c r="W175" t="inlineStr">
        <is>
          <t>ATF Fuel 2!C3:C94</t>
        </is>
      </c>
      <c r="X175">
        <f>R[0]C[-1]/R[-1]C[-1]-1</f>
        <v/>
      </c>
    </row>
    <row r="176">
      <c r="A176" t="inlineStr">
        <is>
          <t>ATF Fuel 2</t>
        </is>
      </c>
      <c r="B176" t="inlineStr">
        <is>
          <t>D10</t>
        </is>
      </c>
      <c r="C176" t="n">
        <v>10</v>
      </c>
      <c r="D176" t="n">
        <v>4</v>
      </c>
      <c r="E176" t="inlineStr">
        <is>
          <t>Input</t>
        </is>
      </c>
      <c r="F176" t="n">
        <v/>
      </c>
      <c r="G176" t="n">
        <v>45.87</v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ATF Fuel 2</t>
        </is>
      </c>
      <c r="B177" t="inlineStr">
        <is>
          <t>E10</t>
        </is>
      </c>
      <c r="C177" t="n">
        <v>10</v>
      </c>
      <c r="D177" t="n">
        <v>5</v>
      </c>
      <c r="E177" t="inlineStr">
        <is>
          <t>Output</t>
        </is>
      </c>
      <c r="F177" t="inlineStr">
        <is>
          <t>'=B10/B9-1</t>
        </is>
      </c>
      <c r="G177" t="n">
        <v>0.04620475347882125</v>
      </c>
      <c r="H177" t="inlineStr"/>
      <c r="I177" t="inlineStr">
        <is>
          <t>0%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00000000</t>
        </is>
      </c>
      <c r="O177" t="n">
        <v/>
      </c>
      <c r="R177" t="b">
        <v>1</v>
      </c>
      <c r="S177" t="inlineStr">
        <is>
          <t>G000158</t>
        </is>
      </c>
      <c r="T177" t="inlineStr">
        <is>
          <t>Vertical</t>
        </is>
      </c>
      <c r="U177" t="n">
        <v>92</v>
      </c>
      <c r="V177" t="b">
        <v>1</v>
      </c>
      <c r="W177" t="inlineStr">
        <is>
          <t>ATF Fuel 2!E3:E94</t>
        </is>
      </c>
      <c r="X177">
        <f>R[0]C[-3]/R[-1]C[-3]-1</f>
        <v/>
      </c>
    </row>
    <row r="178">
      <c r="A178" t="inlineStr">
        <is>
          <t>ATF Fuel 2</t>
        </is>
      </c>
      <c r="B178" t="inlineStr">
        <is>
          <t>F10</t>
        </is>
      </c>
      <c r="C178" t="n">
        <v>10</v>
      </c>
      <c r="D178" t="n">
        <v>6</v>
      </c>
      <c r="E178" t="inlineStr">
        <is>
          <t>Input</t>
        </is>
      </c>
      <c r="F178" t="n">
        <v/>
      </c>
      <c r="G178" t="n">
        <v>88.56</v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00000000</t>
        </is>
      </c>
      <c r="O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ATF Fuel 2</t>
        </is>
      </c>
      <c r="B179" t="inlineStr">
        <is>
          <t>G10</t>
        </is>
      </c>
      <c r="C179" t="n">
        <v>10</v>
      </c>
      <c r="D179" t="n">
        <v>7</v>
      </c>
      <c r="E179" t="inlineStr">
        <is>
          <t>Output</t>
        </is>
      </c>
      <c r="F179" t="inlineStr">
        <is>
          <t>'=F10/F9-1</t>
        </is>
      </c>
      <c r="G179" t="n">
        <v>0.05353319057815842</v>
      </c>
      <c r="H179" t="inlineStr"/>
      <c r="I179" t="inlineStr">
        <is>
          <t>0%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G000155</t>
        </is>
      </c>
      <c r="T179" t="inlineStr">
        <is>
          <t>Vertical</t>
        </is>
      </c>
      <c r="U179" t="n">
        <v>93</v>
      </c>
      <c r="V179" t="b">
        <v>1</v>
      </c>
      <c r="W179" t="inlineStr">
        <is>
          <t>ATF Fuel 2!G3:G95</t>
        </is>
      </c>
      <c r="X179">
        <f>R[0]C[-1]/R[-1]C[-1]-1</f>
        <v/>
      </c>
    </row>
    <row r="180">
      <c r="A180" t="inlineStr">
        <is>
          <t>ATF Fuel 2</t>
        </is>
      </c>
      <c r="B180" t="inlineStr">
        <is>
          <t>H10</t>
        </is>
      </c>
      <c r="C180" t="n">
        <v>10</v>
      </c>
      <c r="D180" t="n">
        <v>8</v>
      </c>
      <c r="E180" t="inlineStr">
        <is>
          <t>Calculation</t>
        </is>
      </c>
      <c r="F180" t="inlineStr">
        <is>
          <t>'=D10*F10</t>
        </is>
      </c>
      <c r="G180" t="n">
        <v>4062.2472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G000152</t>
        </is>
      </c>
      <c r="T180" t="inlineStr">
        <is>
          <t>Vertical</t>
        </is>
      </c>
      <c r="U180" t="n">
        <v>98</v>
      </c>
      <c r="V180" t="b">
        <v>1</v>
      </c>
      <c r="W180" t="inlineStr">
        <is>
          <t>ATF Fuel 2!H2:H99</t>
        </is>
      </c>
      <c r="X180">
        <f>R[0]C[-4]*R[0]C[-2]</f>
        <v/>
      </c>
    </row>
    <row r="181">
      <c r="A181" t="inlineStr">
        <is>
          <t>ATF Fuel 2</t>
        </is>
      </c>
      <c r="B181" t="inlineStr">
        <is>
          <t>I10</t>
        </is>
      </c>
      <c r="C181" t="n">
        <v>10</v>
      </c>
      <c r="D181" t="n">
        <v>9</v>
      </c>
      <c r="E181" t="inlineStr">
        <is>
          <t>Output</t>
        </is>
      </c>
      <c r="F181" t="inlineStr">
        <is>
          <t>'=H10/H9-1</t>
        </is>
      </c>
      <c r="G181" t="n">
        <v>0.08964075426877383</v>
      </c>
      <c r="H181" t="inlineStr"/>
      <c r="I181" t="inlineStr">
        <is>
          <t>0%</t>
        </is>
      </c>
      <c r="J181" t="b">
        <v>0</v>
      </c>
      <c r="K181" t="b">
        <v>0</v>
      </c>
      <c r="L181" t="n">
        <v>11</v>
      </c>
      <c r="M181" t="inlineStr">
        <is>
          <t>FFFF0000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G000156</t>
        </is>
      </c>
      <c r="T181" t="inlineStr">
        <is>
          <t>Vertical</t>
        </is>
      </c>
      <c r="U181" t="n">
        <v>97</v>
      </c>
      <c r="V181" t="b">
        <v>1</v>
      </c>
      <c r="W181" t="inlineStr">
        <is>
          <t>ATF Fuel 2!I3:I99</t>
        </is>
      </c>
      <c r="X181">
        <f>R[0]C[-1]/R[-1]C[-1]-1</f>
        <v/>
      </c>
    </row>
    <row r="182">
      <c r="A182" t="inlineStr">
        <is>
          <t>ATF Fuel 2</t>
        </is>
      </c>
      <c r="B182" t="inlineStr">
        <is>
          <t>J10</t>
        </is>
      </c>
      <c r="C182" t="n">
        <v>10</v>
      </c>
      <c r="D182" t="n">
        <v>10</v>
      </c>
      <c r="E182" t="inlineStr">
        <is>
          <t>Input</t>
        </is>
      </c>
      <c r="F182" t="n">
        <v/>
      </c>
      <c r="G182" t="n">
        <v>86.75</v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ATF Fuel 2</t>
        </is>
      </c>
      <c r="B183" t="inlineStr">
        <is>
          <t>K10</t>
        </is>
      </c>
      <c r="C183" t="n">
        <v>10</v>
      </c>
      <c r="D183" t="n">
        <v>11</v>
      </c>
      <c r="E183" t="inlineStr">
        <is>
          <t>Output</t>
        </is>
      </c>
      <c r="F183" t="inlineStr">
        <is>
          <t>'=J10/J9-1</t>
        </is>
      </c>
      <c r="G183" t="n">
        <v>0.04593682179889069</v>
      </c>
      <c r="H183" t="inlineStr"/>
      <c r="I183" t="inlineStr">
        <is>
          <t>0%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R183" t="b">
        <v>1</v>
      </c>
      <c r="S183" t="inlineStr">
        <is>
          <t>G000157</t>
        </is>
      </c>
      <c r="T183" t="inlineStr">
        <is>
          <t>Vertical</t>
        </is>
      </c>
      <c r="U183" t="n">
        <v>93</v>
      </c>
      <c r="V183" t="b">
        <v>1</v>
      </c>
      <c r="W183" t="inlineStr">
        <is>
          <t>ATF Fuel 2!K3:K95</t>
        </is>
      </c>
      <c r="X183">
        <f>R[0]C[-1]/R[-1]C[-1]-1</f>
        <v/>
      </c>
    </row>
    <row r="184">
      <c r="A184" t="inlineStr">
        <is>
          <t>ATF Fuel 2</t>
        </is>
      </c>
      <c r="B184" t="inlineStr">
        <is>
          <t>L10</t>
        </is>
      </c>
      <c r="C184" t="n">
        <v>10</v>
      </c>
      <c r="D184" t="n">
        <v>12</v>
      </c>
      <c r="E184" t="inlineStr">
        <is>
          <t>Input</t>
        </is>
      </c>
      <c r="F184" t="n">
        <v/>
      </c>
      <c r="G184" t="inlineStr">
        <is>
          <t>December 01, 2010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inlineStr">
        <is>
          <t>left</t>
        </is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ATF Fuel 2</t>
        </is>
      </c>
      <c r="B185" t="inlineStr">
        <is>
          <t>M10</t>
        </is>
      </c>
      <c r="C185" t="n">
        <v>10</v>
      </c>
      <c r="D185" t="n">
        <v>13</v>
      </c>
      <c r="E185" t="inlineStr">
        <is>
          <t>Calculation</t>
        </is>
      </c>
      <c r="F185" t="inlineStr">
        <is>
          <t>'=(1+(B10/B9)-1)*M9</t>
        </is>
      </c>
      <c r="G185" t="n">
        <v>107.9580005794399</v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inlineStr">
        <is>
          <t>left</t>
        </is>
      </c>
      <c r="R185" t="b">
        <v>1</v>
      </c>
      <c r="S185" t="inlineStr">
        <is>
          <t>G000159</t>
        </is>
      </c>
      <c r="T185" t="inlineStr">
        <is>
          <t>Vertical</t>
        </is>
      </c>
      <c r="U185" t="n">
        <v>92</v>
      </c>
      <c r="V185" t="b">
        <v>1</v>
      </c>
      <c r="W185" t="inlineStr">
        <is>
          <t>ATF Fuel 2!M3:M94</t>
        </is>
      </c>
      <c r="X185">
        <f>(1+(R[0]C[-11]/R[-1]C[-11])-1)*R[-1]C[0]</f>
        <v/>
      </c>
    </row>
    <row r="186">
      <c r="A186" t="inlineStr">
        <is>
          <t>ATF Fuel 2</t>
        </is>
      </c>
      <c r="B186" t="inlineStr">
        <is>
          <t>N10</t>
        </is>
      </c>
      <c r="C186" t="n">
        <v>10</v>
      </c>
      <c r="D186" t="n">
        <v>14</v>
      </c>
      <c r="E186" t="inlineStr">
        <is>
          <t>Calculation</t>
        </is>
      </c>
      <c r="F186" t="inlineStr">
        <is>
          <t>'=(1+(F10/F9)-1)*N9</t>
        </is>
      </c>
      <c r="G186" t="n">
        <v>107.1765702529349</v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inlineStr">
        <is>
          <t>left</t>
        </is>
      </c>
      <c r="R186" t="b">
        <v>1</v>
      </c>
      <c r="S186" t="inlineStr">
        <is>
          <t>G000160</t>
        </is>
      </c>
      <c r="T186" t="inlineStr">
        <is>
          <t>Vertical</t>
        </is>
      </c>
      <c r="U186" t="n">
        <v>92</v>
      </c>
      <c r="V186" t="b">
        <v>1</v>
      </c>
      <c r="W186" t="inlineStr">
        <is>
          <t>ATF Fuel 2!N3:N94</t>
        </is>
      </c>
      <c r="X186">
        <f>(1+(R[0]C[-8]/R[-1]C[-8])-1)*R[-1]C[0]</f>
        <v/>
      </c>
    </row>
    <row r="187">
      <c r="A187" t="inlineStr">
        <is>
          <t>ATF Fuel 2</t>
        </is>
      </c>
      <c r="B187" t="inlineStr">
        <is>
          <t>O10</t>
        </is>
      </c>
      <c r="C187" t="n">
        <v>10</v>
      </c>
      <c r="D187" t="n">
        <v>15</v>
      </c>
      <c r="E187" t="inlineStr">
        <is>
          <t>Calculation</t>
        </is>
      </c>
      <c r="F187" t="inlineStr">
        <is>
          <t>'=(1+(J10/J9)-1)*O9</t>
        </is>
      </c>
      <c r="G187" t="n">
        <v>102.6262865254939</v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inlineStr">
        <is>
          <t>left</t>
        </is>
      </c>
      <c r="R187" t="b">
        <v>1</v>
      </c>
      <c r="S187" t="inlineStr">
        <is>
          <t>G000162</t>
        </is>
      </c>
      <c r="T187" t="inlineStr">
        <is>
          <t>Vertical</t>
        </is>
      </c>
      <c r="U187" t="n">
        <v>92</v>
      </c>
      <c r="V187" t="b">
        <v>1</v>
      </c>
      <c r="W187" t="inlineStr">
        <is>
          <t>ATF Fuel 2!O3:O94</t>
        </is>
      </c>
      <c r="X187">
        <f>(1+(R[0]C[-5]/R[-1]C[-5])-1)*R[-1]C[0]</f>
        <v/>
      </c>
    </row>
    <row r="188">
      <c r="A188" t="inlineStr">
        <is>
          <t>ATF Fuel 2</t>
        </is>
      </c>
      <c r="B188" t="inlineStr">
        <is>
          <t>P10</t>
        </is>
      </c>
      <c r="C188" t="n">
        <v>10</v>
      </c>
      <c r="D188" t="n">
        <v>16</v>
      </c>
      <c r="E188" t="inlineStr">
        <is>
          <t>Calculation</t>
        </is>
      </c>
      <c r="F188" t="inlineStr">
        <is>
          <t>'=(1+(H10/H9)-1)*P9</t>
        </is>
      </c>
      <c r="G188" t="n">
        <v>109.8344342605478</v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inlineStr">
        <is>
          <t>left</t>
        </is>
      </c>
      <c r="R188" t="b">
        <v>1</v>
      </c>
      <c r="S188" t="inlineStr">
        <is>
          <t>G000161</t>
        </is>
      </c>
      <c r="T188" t="inlineStr">
        <is>
          <t>Vertical</t>
        </is>
      </c>
      <c r="U188" t="n">
        <v>92</v>
      </c>
      <c r="V188" t="b">
        <v>1</v>
      </c>
      <c r="W188" t="inlineStr">
        <is>
          <t>ATF Fuel 2!P3:P94</t>
        </is>
      </c>
      <c r="X188">
        <f>(1+(R[0]C[-8]/R[-1]C[-8])-1)*R[-1]C[0]</f>
        <v/>
      </c>
    </row>
    <row r="189">
      <c r="A189" t="inlineStr">
        <is>
          <t>ATF Fuel 2</t>
        </is>
      </c>
      <c r="B189" t="inlineStr">
        <is>
          <t>Q10</t>
        </is>
      </c>
      <c r="C189" t="n">
        <v>10</v>
      </c>
      <c r="D189" t="n">
        <v>17</v>
      </c>
      <c r="E189" t="inlineStr">
        <is>
          <t>Output</t>
        </is>
      </c>
      <c r="F189" t="inlineStr">
        <is>
          <t>'=M10/N10-1</t>
        </is>
      </c>
      <c r="G189" t="n">
        <v>0.007291055541905234</v>
      </c>
      <c r="H189" t="inlineStr"/>
      <c r="I189" t="inlineStr">
        <is>
          <t>0.0%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R189" t="b">
        <v>1</v>
      </c>
      <c r="S189" t="inlineStr">
        <is>
          <t>G000153</t>
        </is>
      </c>
      <c r="T189" t="inlineStr">
        <is>
          <t>Vertical</t>
        </is>
      </c>
      <c r="U189" t="n">
        <v>93</v>
      </c>
      <c r="V189" t="b">
        <v>1</v>
      </c>
      <c r="W189" t="inlineStr">
        <is>
          <t>ATF Fuel 2!Q2:Q94</t>
        </is>
      </c>
      <c r="X189">
        <f>R[0]C[-4]/R[0]C[-3]-1</f>
        <v/>
      </c>
    </row>
    <row r="190">
      <c r="A190" t="inlineStr">
        <is>
          <t>ATF Fuel 2</t>
        </is>
      </c>
      <c r="B190" t="inlineStr">
        <is>
          <t>AN10</t>
        </is>
      </c>
      <c r="C190" t="n">
        <v>10</v>
      </c>
      <c r="D190" t="n">
        <v>40</v>
      </c>
      <c r="E190" t="inlineStr">
        <is>
          <t>Output</t>
        </is>
      </c>
      <c r="F190" t="inlineStr">
        <is>
          <t>'=AN9/AN8</t>
        </is>
      </c>
      <c r="G190" t="n">
        <v>-773109.2436974804</v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00000000</t>
        </is>
      </c>
      <c r="O190" t="n">
        <v/>
      </c>
      <c r="R190" t="b">
        <v>1</v>
      </c>
      <c r="S190" t="inlineStr">
        <is>
          <t>G000165</t>
        </is>
      </c>
      <c r="T190" t="inlineStr">
        <is>
          <t>Horizontal</t>
        </is>
      </c>
      <c r="U190" t="n">
        <v>2</v>
      </c>
      <c r="V190" t="b">
        <v>1</v>
      </c>
      <c r="W190" t="inlineStr">
        <is>
          <t>ATF Fuel 2!AN10:AO10</t>
        </is>
      </c>
      <c r="X190">
        <f>R[-1]C[0]/R[-2]C[0]</f>
        <v/>
      </c>
    </row>
    <row r="191">
      <c r="A191" t="inlineStr">
        <is>
          <t>ATF Fuel 2</t>
        </is>
      </c>
      <c r="B191" t="inlineStr">
        <is>
          <t>AO10</t>
        </is>
      </c>
      <c r="C191" t="n">
        <v>10</v>
      </c>
      <c r="D191" t="n">
        <v>41</v>
      </c>
      <c r="E191" t="inlineStr">
        <is>
          <t>Output</t>
        </is>
      </c>
      <c r="F191" t="inlineStr">
        <is>
          <t>'=AO9/AO8</t>
        </is>
      </c>
      <c r="G191" t="n">
        <v>1504347.82608693</v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00000000</t>
        </is>
      </c>
      <c r="O191" t="n">
        <v/>
      </c>
      <c r="R191" t="b">
        <v>1</v>
      </c>
      <c r="S191" t="inlineStr">
        <is>
          <t>G000165</t>
        </is>
      </c>
      <c r="T191" t="inlineStr">
        <is>
          <t>Horizontal</t>
        </is>
      </c>
      <c r="U191" t="n">
        <v>2</v>
      </c>
      <c r="V191" t="b">
        <v>1</v>
      </c>
      <c r="W191" t="inlineStr">
        <is>
          <t>ATF Fuel 2!AN10:AO10</t>
        </is>
      </c>
      <c r="X191">
        <f>R[-1]C[0]/R[-2]C[0]</f>
        <v/>
      </c>
    </row>
    <row r="192">
      <c r="A192" t="inlineStr">
        <is>
          <t>ATF Fuel 2</t>
        </is>
      </c>
      <c r="B192" t="inlineStr">
        <is>
          <t>A11</t>
        </is>
      </c>
      <c r="C192" t="n">
        <v>11</v>
      </c>
      <c r="D192" t="n">
        <v>1</v>
      </c>
      <c r="E192" t="inlineStr">
        <is>
          <t>Input</t>
        </is>
      </c>
      <c r="F192" t="n">
        <v/>
      </c>
      <c r="G192" t="inlineStr">
        <is>
          <t>January 01, 2011</t>
        </is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ATF Fuel 2</t>
        </is>
      </c>
      <c r="B193" t="inlineStr">
        <is>
          <t>B11</t>
        </is>
      </c>
      <c r="C193" t="n">
        <v>11</v>
      </c>
      <c r="D193" t="n">
        <v>2</v>
      </c>
      <c r="E193" t="inlineStr">
        <is>
          <t>Input</t>
        </is>
      </c>
      <c r="F193" t="n">
        <v/>
      </c>
      <c r="G193" t="n">
        <v>50576.88</v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n">
        <v/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ATF Fuel 2</t>
        </is>
      </c>
      <c r="B194" t="inlineStr">
        <is>
          <t>C11</t>
        </is>
      </c>
      <c r="C194" t="n">
        <v>11</v>
      </c>
      <c r="D194" t="n">
        <v>3</v>
      </c>
      <c r="E194" t="inlineStr">
        <is>
          <t>Output</t>
        </is>
      </c>
      <c r="F194" t="inlineStr">
        <is>
          <t>'=B11/B10-1</t>
        </is>
      </c>
      <c r="G194" t="n">
        <v>0.05605860171345523</v>
      </c>
      <c r="H194" t="inlineStr"/>
      <c r="I194" t="inlineStr">
        <is>
          <t>0%</t>
        </is>
      </c>
      <c r="J194" t="b">
        <v>0</v>
      </c>
      <c r="K194" t="b">
        <v>0</v>
      </c>
      <c r="L194" t="n">
        <v>11</v>
      </c>
      <c r="M194" t="n">
        <v/>
      </c>
      <c r="N194" t="inlineStr">
        <is>
          <t>00000000</t>
        </is>
      </c>
      <c r="O194" t="n">
        <v/>
      </c>
      <c r="R194" t="b">
        <v>1</v>
      </c>
      <c r="S194" t="inlineStr">
        <is>
          <t>G000154</t>
        </is>
      </c>
      <c r="T194" t="inlineStr">
        <is>
          <t>Vertical</t>
        </is>
      </c>
      <c r="U194" t="n">
        <v>92</v>
      </c>
      <c r="V194" t="b">
        <v>1</v>
      </c>
      <c r="W194" t="inlineStr">
        <is>
          <t>ATF Fuel 2!C3:C94</t>
        </is>
      </c>
      <c r="X194">
        <f>R[0]C[-1]/R[-1]C[-1]-1</f>
        <v/>
      </c>
    </row>
    <row r="195">
      <c r="A195" t="inlineStr">
        <is>
          <t>ATF Fuel 2</t>
        </is>
      </c>
      <c r="B195" t="inlineStr">
        <is>
          <t>D11</t>
        </is>
      </c>
      <c r="C195" t="n">
        <v>11</v>
      </c>
      <c r="D195" t="n">
        <v>4</v>
      </c>
      <c r="E195" t="inlineStr">
        <is>
          <t>Input</t>
        </is>
      </c>
      <c r="F195" t="n">
        <v/>
      </c>
      <c r="G195" t="n">
        <v>44.76</v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ATF Fuel 2</t>
        </is>
      </c>
      <c r="B196" t="inlineStr">
        <is>
          <t>E11</t>
        </is>
      </c>
      <c r="C196" t="n">
        <v>11</v>
      </c>
      <c r="D196" t="n">
        <v>5</v>
      </c>
      <c r="E196" t="inlineStr">
        <is>
          <t>Output</t>
        </is>
      </c>
      <c r="F196" t="inlineStr">
        <is>
          <t>'=B11/B10-1</t>
        </is>
      </c>
      <c r="G196" t="n">
        <v>0.05605860171345523</v>
      </c>
      <c r="H196" t="inlineStr"/>
      <c r="I196" t="inlineStr">
        <is>
          <t>0%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R196" t="b">
        <v>1</v>
      </c>
      <c r="S196" t="inlineStr">
        <is>
          <t>G000158</t>
        </is>
      </c>
      <c r="T196" t="inlineStr">
        <is>
          <t>Vertical</t>
        </is>
      </c>
      <c r="U196" t="n">
        <v>92</v>
      </c>
      <c r="V196" t="b">
        <v>1</v>
      </c>
      <c r="W196" t="inlineStr">
        <is>
          <t>ATF Fuel 2!E3:E94</t>
        </is>
      </c>
      <c r="X196">
        <f>R[0]C[-3]/R[-1]C[-3]-1</f>
        <v/>
      </c>
    </row>
    <row r="197">
      <c r="A197" t="inlineStr">
        <is>
          <t>ATF Fuel 2</t>
        </is>
      </c>
      <c r="B197" t="inlineStr">
        <is>
          <t>F11</t>
        </is>
      </c>
      <c r="C197" t="n">
        <v>11</v>
      </c>
      <c r="D197" t="n">
        <v>6</v>
      </c>
      <c r="E197" t="inlineStr">
        <is>
          <t>Input</t>
        </is>
      </c>
      <c r="F197" t="n">
        <v/>
      </c>
      <c r="G197" t="n">
        <v>95.81999999999999</v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ATF Fuel 2</t>
        </is>
      </c>
      <c r="B198" t="inlineStr">
        <is>
          <t>G11</t>
        </is>
      </c>
      <c r="C198" t="n">
        <v>11</v>
      </c>
      <c r="D198" t="n">
        <v>7</v>
      </c>
      <c r="E198" t="inlineStr">
        <is>
          <t>Output</t>
        </is>
      </c>
      <c r="F198" t="inlineStr">
        <is>
          <t>'=F11/F10-1</t>
        </is>
      </c>
      <c r="G198" t="n">
        <v>0.08197831978319781</v>
      </c>
      <c r="H198" t="inlineStr"/>
      <c r="I198" t="inlineStr">
        <is>
          <t>0%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inlineStr">
        <is>
          <t>G000155</t>
        </is>
      </c>
      <c r="T198" t="inlineStr">
        <is>
          <t>Vertical</t>
        </is>
      </c>
      <c r="U198" t="n">
        <v>93</v>
      </c>
      <c r="V198" t="b">
        <v>1</v>
      </c>
      <c r="W198" t="inlineStr">
        <is>
          <t>ATF Fuel 2!G3:G95</t>
        </is>
      </c>
      <c r="X198">
        <f>R[0]C[-1]/R[-1]C[-1]-1</f>
        <v/>
      </c>
    </row>
    <row r="199">
      <c r="A199" t="inlineStr">
        <is>
          <t>ATF Fuel 2</t>
        </is>
      </c>
      <c r="B199" t="inlineStr">
        <is>
          <t>H11</t>
        </is>
      </c>
      <c r="C199" t="n">
        <v>11</v>
      </c>
      <c r="D199" t="n">
        <v>8</v>
      </c>
      <c r="E199" t="inlineStr">
        <is>
          <t>Calculation</t>
        </is>
      </c>
      <c r="F199" t="inlineStr">
        <is>
          <t>'=D11*F11</t>
        </is>
      </c>
      <c r="G199" t="n">
        <v>4288.9032</v>
      </c>
      <c r="H199" t="inlineStr"/>
      <c r="I199" t="inlineStr">
        <is>
          <t>0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inlineStr">
        <is>
          <t>G000152</t>
        </is>
      </c>
      <c r="T199" t="inlineStr">
        <is>
          <t>Vertical</t>
        </is>
      </c>
      <c r="U199" t="n">
        <v>98</v>
      </c>
      <c r="V199" t="b">
        <v>1</v>
      </c>
      <c r="W199" t="inlineStr">
        <is>
          <t>ATF Fuel 2!H2:H99</t>
        </is>
      </c>
      <c r="X199">
        <f>R[0]C[-4]*R[0]C[-2]</f>
        <v/>
      </c>
    </row>
    <row r="200">
      <c r="A200" t="inlineStr">
        <is>
          <t>ATF Fuel 2</t>
        </is>
      </c>
      <c r="B200" t="inlineStr">
        <is>
          <t>I11</t>
        </is>
      </c>
      <c r="C200" t="n">
        <v>11</v>
      </c>
      <c r="D200" t="n">
        <v>9</v>
      </c>
      <c r="E200" t="inlineStr">
        <is>
          <t>Output</t>
        </is>
      </c>
      <c r="F200" t="inlineStr">
        <is>
          <t>'=H11/H10-1</t>
        </is>
      </c>
      <c r="G200" t="n">
        <v>0.05579571819262985</v>
      </c>
      <c r="H200" t="inlineStr"/>
      <c r="I200" t="inlineStr">
        <is>
          <t>0%</t>
        </is>
      </c>
      <c r="J200" t="b">
        <v>0</v>
      </c>
      <c r="K200" t="b">
        <v>0</v>
      </c>
      <c r="L200" t="n">
        <v>11</v>
      </c>
      <c r="M200" t="inlineStr">
        <is>
          <t>FFFF0000</t>
        </is>
      </c>
      <c r="N200" t="inlineStr">
        <is>
          <t>00000000</t>
        </is>
      </c>
      <c r="O200" t="n">
        <v/>
      </c>
      <c r="R200" t="b">
        <v>1</v>
      </c>
      <c r="S200" t="inlineStr">
        <is>
          <t>G000156</t>
        </is>
      </c>
      <c r="T200" t="inlineStr">
        <is>
          <t>Vertical</t>
        </is>
      </c>
      <c r="U200" t="n">
        <v>97</v>
      </c>
      <c r="V200" t="b">
        <v>1</v>
      </c>
      <c r="W200" t="inlineStr">
        <is>
          <t>ATF Fuel 2!I3:I99</t>
        </is>
      </c>
      <c r="X200">
        <f>R[0]C[-1]/R[-1]C[-1]-1</f>
        <v/>
      </c>
    </row>
    <row r="201">
      <c r="A201" t="inlineStr">
        <is>
          <t>ATF Fuel 2</t>
        </is>
      </c>
      <c r="B201" t="inlineStr">
        <is>
          <t>J11</t>
        </is>
      </c>
      <c r="C201" t="n">
        <v>11</v>
      </c>
      <c r="D201" t="n">
        <v>10</v>
      </c>
      <c r="E201" t="inlineStr">
        <is>
          <t>Input</t>
        </is>
      </c>
      <c r="F201" t="n">
        <v/>
      </c>
      <c r="G201" t="n">
        <v>91.59</v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ATF Fuel 2</t>
        </is>
      </c>
      <c r="B202" t="inlineStr">
        <is>
          <t>K11</t>
        </is>
      </c>
      <c r="C202" t="n">
        <v>11</v>
      </c>
      <c r="D202" t="n">
        <v>11</v>
      </c>
      <c r="E202" t="inlineStr">
        <is>
          <t>Output</t>
        </is>
      </c>
      <c r="F202" t="inlineStr">
        <is>
          <t>'=J11/J10-1</t>
        </is>
      </c>
      <c r="G202" t="n">
        <v>0.05579250720461104</v>
      </c>
      <c r="H202" t="inlineStr"/>
      <c r="I202" t="inlineStr">
        <is>
          <t>0%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00000000</t>
        </is>
      </c>
      <c r="O202" t="n">
        <v/>
      </c>
      <c r="R202" t="b">
        <v>1</v>
      </c>
      <c r="S202" t="inlineStr">
        <is>
          <t>G000157</t>
        </is>
      </c>
      <c r="T202" t="inlineStr">
        <is>
          <t>Vertical</t>
        </is>
      </c>
      <c r="U202" t="n">
        <v>93</v>
      </c>
      <c r="V202" t="b">
        <v>1</v>
      </c>
      <c r="W202" t="inlineStr">
        <is>
          <t>ATF Fuel 2!K3:K95</t>
        </is>
      </c>
      <c r="X202">
        <f>R[0]C[-1]/R[-1]C[-1]-1</f>
        <v/>
      </c>
    </row>
    <row r="203">
      <c r="A203" t="inlineStr">
        <is>
          <t>ATF Fuel 2</t>
        </is>
      </c>
      <c r="B203" t="inlineStr">
        <is>
          <t>L11</t>
        </is>
      </c>
      <c r="C203" t="n">
        <v>11</v>
      </c>
      <c r="D203" t="n">
        <v>12</v>
      </c>
      <c r="E203" t="inlineStr">
        <is>
          <t>Input</t>
        </is>
      </c>
      <c r="F203" t="n">
        <v/>
      </c>
      <c r="G203" t="inlineStr">
        <is>
          <t>January 01, 2011</t>
        </is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inlineStr">
        <is>
          <t>left</t>
        </is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ATF Fuel 2</t>
        </is>
      </c>
      <c r="B204" t="inlineStr">
        <is>
          <t>M11</t>
        </is>
      </c>
      <c r="C204" t="n">
        <v>11</v>
      </c>
      <c r="D204" t="n">
        <v>13</v>
      </c>
      <c r="E204" t="inlineStr">
        <is>
          <t>Calculation</t>
        </is>
      </c>
      <c r="F204" t="inlineStr">
        <is>
          <t>'=(1+(B11/B10)-1)*M10</t>
        </is>
      </c>
      <c r="G204" t="n">
        <v>114.0099751357037</v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inlineStr">
        <is>
          <t>left</t>
        </is>
      </c>
      <c r="R204" t="b">
        <v>1</v>
      </c>
      <c r="S204" t="inlineStr">
        <is>
          <t>G000159</t>
        </is>
      </c>
      <c r="T204" t="inlineStr">
        <is>
          <t>Vertical</t>
        </is>
      </c>
      <c r="U204" t="n">
        <v>92</v>
      </c>
      <c r="V204" t="b">
        <v>1</v>
      </c>
      <c r="W204" t="inlineStr">
        <is>
          <t>ATF Fuel 2!M3:M94</t>
        </is>
      </c>
      <c r="X204">
        <f>(1+(R[0]C[-11]/R[-1]C[-11])-1)*R[-1]C[0]</f>
        <v/>
      </c>
    </row>
    <row r="205">
      <c r="A205" t="inlineStr">
        <is>
          <t>ATF Fuel 2</t>
        </is>
      </c>
      <c r="B205" t="inlineStr">
        <is>
          <t>N11</t>
        </is>
      </c>
      <c r="C205" t="n">
        <v>11</v>
      </c>
      <c r="D205" t="n">
        <v>14</v>
      </c>
      <c r="E205" t="inlineStr">
        <is>
          <t>Calculation</t>
        </is>
      </c>
      <c r="F205" t="inlineStr">
        <is>
          <t>'=(1+(F11/F10)-1)*N10</t>
        </is>
      </c>
      <c r="G205" t="n">
        <v>115.9627254023963</v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00000000</t>
        </is>
      </c>
      <c r="O205" t="inlineStr">
        <is>
          <t>left</t>
        </is>
      </c>
      <c r="R205" t="b">
        <v>1</v>
      </c>
      <c r="S205" t="inlineStr">
        <is>
          <t>G000160</t>
        </is>
      </c>
      <c r="T205" t="inlineStr">
        <is>
          <t>Vertical</t>
        </is>
      </c>
      <c r="U205" t="n">
        <v>92</v>
      </c>
      <c r="V205" t="b">
        <v>1</v>
      </c>
      <c r="W205" t="inlineStr">
        <is>
          <t>ATF Fuel 2!N3:N94</t>
        </is>
      </c>
      <c r="X205">
        <f>(1+(R[0]C[-8]/R[-1]C[-8])-1)*R[-1]C[0]</f>
        <v/>
      </c>
    </row>
    <row r="206">
      <c r="A206" t="inlineStr">
        <is>
          <t>ATF Fuel 2</t>
        </is>
      </c>
      <c r="B206" t="inlineStr">
        <is>
          <t>O11</t>
        </is>
      </c>
      <c r="C206" t="n">
        <v>11</v>
      </c>
      <c r="D206" t="n">
        <v>15</v>
      </c>
      <c r="E206" t="inlineStr">
        <is>
          <t>Calculation</t>
        </is>
      </c>
      <c r="F206" t="inlineStr">
        <is>
          <t>'=(1+(J11/J10)-1)*O10</t>
        </is>
      </c>
      <c r="G206" t="n">
        <v>108.35206435585</v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00000000</t>
        </is>
      </c>
      <c r="O206" t="inlineStr">
        <is>
          <t>left</t>
        </is>
      </c>
      <c r="R206" t="b">
        <v>1</v>
      </c>
      <c r="S206" t="inlineStr">
        <is>
          <t>G000162</t>
        </is>
      </c>
      <c r="T206" t="inlineStr">
        <is>
          <t>Vertical</t>
        </is>
      </c>
      <c r="U206" t="n">
        <v>92</v>
      </c>
      <c r="V206" t="b">
        <v>1</v>
      </c>
      <c r="W206" t="inlineStr">
        <is>
          <t>ATF Fuel 2!O3:O94</t>
        </is>
      </c>
      <c r="X206">
        <f>(1+(R[0]C[-5]/R[-1]C[-5])-1)*R[-1]C[0]</f>
        <v/>
      </c>
    </row>
    <row r="207">
      <c r="A207" t="inlineStr">
        <is>
          <t>ATF Fuel 2</t>
        </is>
      </c>
      <c r="B207" t="inlineStr">
        <is>
          <t>P11</t>
        </is>
      </c>
      <c r="C207" t="n">
        <v>11</v>
      </c>
      <c r="D207" t="n">
        <v>16</v>
      </c>
      <c r="E207" t="inlineStr">
        <is>
          <t>Calculation</t>
        </is>
      </c>
      <c r="F207" t="inlineStr">
        <is>
          <t>'=(1+(H11/H10)-1)*P10</t>
        </is>
      </c>
      <c r="G207" t="n">
        <v>115.9627254023962</v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00000000</t>
        </is>
      </c>
      <c r="O207" t="inlineStr">
        <is>
          <t>left</t>
        </is>
      </c>
      <c r="R207" t="b">
        <v>1</v>
      </c>
      <c r="S207" t="inlineStr">
        <is>
          <t>G000161</t>
        </is>
      </c>
      <c r="T207" t="inlineStr">
        <is>
          <t>Vertical</t>
        </is>
      </c>
      <c r="U207" t="n">
        <v>92</v>
      </c>
      <c r="V207" t="b">
        <v>1</v>
      </c>
      <c r="W207" t="inlineStr">
        <is>
          <t>ATF Fuel 2!P3:P94</t>
        </is>
      </c>
      <c r="X207">
        <f>(1+(R[0]C[-8]/R[-1]C[-8])-1)*R[-1]C[0]</f>
        <v/>
      </c>
    </row>
    <row r="208">
      <c r="A208" t="inlineStr">
        <is>
          <t>ATF Fuel 2</t>
        </is>
      </c>
      <c r="B208" t="inlineStr">
        <is>
          <t>Q11</t>
        </is>
      </c>
      <c r="C208" t="n">
        <v>11</v>
      </c>
      <c r="D208" t="n">
        <v>17</v>
      </c>
      <c r="E208" t="inlineStr">
        <is>
          <t>Output</t>
        </is>
      </c>
      <c r="F208" t="inlineStr">
        <is>
          <t>'=M11/N11-1</t>
        </is>
      </c>
      <c r="G208" t="n">
        <v>-0.01683946509463674</v>
      </c>
      <c r="H208" t="inlineStr"/>
      <c r="I208" t="inlineStr">
        <is>
          <t>0.0%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00000000</t>
        </is>
      </c>
      <c r="O208" t="n">
        <v/>
      </c>
      <c r="R208" t="b">
        <v>1</v>
      </c>
      <c r="S208" t="inlineStr">
        <is>
          <t>G000153</t>
        </is>
      </c>
      <c r="T208" t="inlineStr">
        <is>
          <t>Vertical</t>
        </is>
      </c>
      <c r="U208" t="n">
        <v>93</v>
      </c>
      <c r="V208" t="b">
        <v>1</v>
      </c>
      <c r="W208" t="inlineStr">
        <is>
          <t>ATF Fuel 2!Q2:Q94</t>
        </is>
      </c>
      <c r="X208">
        <f>R[0]C[-4]/R[0]C[-3]-1</f>
        <v/>
      </c>
    </row>
    <row r="209">
      <c r="A209" t="inlineStr">
        <is>
          <t>ATF Fuel 2</t>
        </is>
      </c>
      <c r="B209" t="inlineStr">
        <is>
          <t>A12</t>
        </is>
      </c>
      <c r="C209" t="n">
        <v>12</v>
      </c>
      <c r="D209" t="n">
        <v>1</v>
      </c>
      <c r="E209" t="inlineStr">
        <is>
          <t>Input</t>
        </is>
      </c>
      <c r="F209" t="n">
        <v/>
      </c>
      <c r="G209" t="inlineStr">
        <is>
          <t>February 01, 2011</t>
        </is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00000000</t>
        </is>
      </c>
      <c r="O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ATF Fuel 2</t>
        </is>
      </c>
      <c r="B210" t="inlineStr">
        <is>
          <t>B12</t>
        </is>
      </c>
      <c r="C210" t="n">
        <v>12</v>
      </c>
      <c r="D210" t="n">
        <v>2</v>
      </c>
      <c r="E210" t="inlineStr">
        <is>
          <t>Input</t>
        </is>
      </c>
      <c r="F210" t="n">
        <v/>
      </c>
      <c r="G210" t="n">
        <v>53872.265</v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ATF Fuel 2</t>
        </is>
      </c>
      <c r="B211" t="inlineStr">
        <is>
          <t>C12</t>
        </is>
      </c>
      <c r="C211" t="n">
        <v>12</v>
      </c>
      <c r="D211" t="n">
        <v>3</v>
      </c>
      <c r="E211" t="inlineStr">
        <is>
          <t>Output</t>
        </is>
      </c>
      <c r="F211" t="inlineStr">
        <is>
          <t>'=B12/B11-1</t>
        </is>
      </c>
      <c r="G211" t="n">
        <v>0.06515595663473106</v>
      </c>
      <c r="H211" t="inlineStr"/>
      <c r="I211" t="inlineStr">
        <is>
          <t>0%</t>
        </is>
      </c>
      <c r="J211" t="b">
        <v>0</v>
      </c>
      <c r="K211" t="b">
        <v>0</v>
      </c>
      <c r="L211" t="n">
        <v>11</v>
      </c>
      <c r="M211" t="n">
        <v/>
      </c>
      <c r="N211" t="inlineStr">
        <is>
          <t>00000000</t>
        </is>
      </c>
      <c r="O211" t="n">
        <v/>
      </c>
      <c r="R211" t="b">
        <v>1</v>
      </c>
      <c r="S211" t="inlineStr">
        <is>
          <t>G000154</t>
        </is>
      </c>
      <c r="T211" t="inlineStr">
        <is>
          <t>Vertical</t>
        </is>
      </c>
      <c r="U211" t="n">
        <v>92</v>
      </c>
      <c r="V211" t="b">
        <v>1</v>
      </c>
      <c r="W211" t="inlineStr">
        <is>
          <t>ATF Fuel 2!C3:C94</t>
        </is>
      </c>
      <c r="X211">
        <f>R[0]C[-1]/R[-1]C[-1]-1</f>
        <v/>
      </c>
    </row>
    <row r="212">
      <c r="A212" t="inlineStr">
        <is>
          <t>ATF Fuel 2</t>
        </is>
      </c>
      <c r="B212" t="inlineStr">
        <is>
          <t>D12</t>
        </is>
      </c>
      <c r="C212" t="n">
        <v>12</v>
      </c>
      <c r="D212" t="n">
        <v>4</v>
      </c>
      <c r="E212" t="inlineStr">
        <is>
          <t>Input</t>
        </is>
      </c>
      <c r="F212" t="n">
        <v/>
      </c>
      <c r="G212" t="n">
        <v>45.85</v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ATF Fuel 2</t>
        </is>
      </c>
      <c r="B213" t="inlineStr">
        <is>
          <t>E12</t>
        </is>
      </c>
      <c r="C213" t="n">
        <v>12</v>
      </c>
      <c r="D213" t="n">
        <v>5</v>
      </c>
      <c r="E213" t="inlineStr">
        <is>
          <t>Output</t>
        </is>
      </c>
      <c r="F213" t="inlineStr">
        <is>
          <t>'=B12/B11-1</t>
        </is>
      </c>
      <c r="G213" t="n">
        <v>0.06515595663473106</v>
      </c>
      <c r="H213" t="inlineStr"/>
      <c r="I213" t="inlineStr">
        <is>
          <t>0%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00000000</t>
        </is>
      </c>
      <c r="O213" t="n">
        <v/>
      </c>
      <c r="R213" t="b">
        <v>1</v>
      </c>
      <c r="S213" t="inlineStr">
        <is>
          <t>G000158</t>
        </is>
      </c>
      <c r="T213" t="inlineStr">
        <is>
          <t>Vertical</t>
        </is>
      </c>
      <c r="U213" t="n">
        <v>92</v>
      </c>
      <c r="V213" t="b">
        <v>1</v>
      </c>
      <c r="W213" t="inlineStr">
        <is>
          <t>ATF Fuel 2!E3:E94</t>
        </is>
      </c>
      <c r="X213">
        <f>R[0]C[-3]/R[-1]C[-3]-1</f>
        <v/>
      </c>
    </row>
    <row r="214">
      <c r="A214" t="inlineStr">
        <is>
          <t>ATF Fuel 2</t>
        </is>
      </c>
      <c r="B214" t="inlineStr">
        <is>
          <t>F12</t>
        </is>
      </c>
      <c r="C214" t="n">
        <v>12</v>
      </c>
      <c r="D214" t="n">
        <v>6</v>
      </c>
      <c r="E214" t="inlineStr">
        <is>
          <t>Input</t>
        </is>
      </c>
      <c r="F214" t="n">
        <v/>
      </c>
      <c r="G214" t="n">
        <v>100.4</v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ATF Fuel 2</t>
        </is>
      </c>
      <c r="B215" t="inlineStr">
        <is>
          <t>G12</t>
        </is>
      </c>
      <c r="C215" t="n">
        <v>12</v>
      </c>
      <c r="D215" t="n">
        <v>7</v>
      </c>
      <c r="E215" t="inlineStr">
        <is>
          <t>Output</t>
        </is>
      </c>
      <c r="F215" t="inlineStr">
        <is>
          <t>'=F12/F11-1</t>
        </is>
      </c>
      <c r="G215" t="n">
        <v>0.04779795449801716</v>
      </c>
      <c r="H215" t="inlineStr"/>
      <c r="I215" t="inlineStr">
        <is>
          <t>0%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R215" t="b">
        <v>1</v>
      </c>
      <c r="S215" t="inlineStr">
        <is>
          <t>G000155</t>
        </is>
      </c>
      <c r="T215" t="inlineStr">
        <is>
          <t>Vertical</t>
        </is>
      </c>
      <c r="U215" t="n">
        <v>93</v>
      </c>
      <c r="V215" t="b">
        <v>1</v>
      </c>
      <c r="W215" t="inlineStr">
        <is>
          <t>ATF Fuel 2!G3:G95</t>
        </is>
      </c>
      <c r="X215">
        <f>R[0]C[-1]/R[-1]C[-1]-1</f>
        <v/>
      </c>
    </row>
    <row r="216">
      <c r="A216" t="inlineStr">
        <is>
          <t>ATF Fuel 2</t>
        </is>
      </c>
      <c r="B216" t="inlineStr">
        <is>
          <t>H12</t>
        </is>
      </c>
      <c r="C216" t="n">
        <v>12</v>
      </c>
      <c r="D216" t="n">
        <v>8</v>
      </c>
      <c r="E216" t="inlineStr">
        <is>
          <t>Calculation</t>
        </is>
      </c>
      <c r="F216" t="inlineStr">
        <is>
          <t>'=D12*F12</t>
        </is>
      </c>
      <c r="G216" t="n">
        <v>4603.34</v>
      </c>
      <c r="H216" t="inlineStr"/>
      <c r="I216" t="inlineStr">
        <is>
          <t>0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G000152</t>
        </is>
      </c>
      <c r="T216" t="inlineStr">
        <is>
          <t>Vertical</t>
        </is>
      </c>
      <c r="U216" t="n">
        <v>98</v>
      </c>
      <c r="V216" t="b">
        <v>1</v>
      </c>
      <c r="W216" t="inlineStr">
        <is>
          <t>ATF Fuel 2!H2:H99</t>
        </is>
      </c>
      <c r="X216">
        <f>R[0]C[-4]*R[0]C[-2]</f>
        <v/>
      </c>
    </row>
    <row r="217">
      <c r="A217" t="inlineStr">
        <is>
          <t>ATF Fuel 2</t>
        </is>
      </c>
      <c r="B217" t="inlineStr">
        <is>
          <t>I12</t>
        </is>
      </c>
      <c r="C217" t="n">
        <v>12</v>
      </c>
      <c r="D217" t="n">
        <v>9</v>
      </c>
      <c r="E217" t="inlineStr">
        <is>
          <t>Output</t>
        </is>
      </c>
      <c r="F217" t="inlineStr">
        <is>
          <t>'=H12/H11-1</t>
        </is>
      </c>
      <c r="G217" t="n">
        <v>0.07331403515938528</v>
      </c>
      <c r="H217" t="inlineStr"/>
      <c r="I217" t="inlineStr">
        <is>
          <t>0%</t>
        </is>
      </c>
      <c r="J217" t="b">
        <v>0</v>
      </c>
      <c r="K217" t="b">
        <v>0</v>
      </c>
      <c r="L217" t="n">
        <v>11</v>
      </c>
      <c r="M217" t="inlineStr">
        <is>
          <t>FFFF0000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G000156</t>
        </is>
      </c>
      <c r="T217" t="inlineStr">
        <is>
          <t>Vertical</t>
        </is>
      </c>
      <c r="U217" t="n">
        <v>97</v>
      </c>
      <c r="V217" t="b">
        <v>1</v>
      </c>
      <c r="W217" t="inlineStr">
        <is>
          <t>ATF Fuel 2!I3:I99</t>
        </is>
      </c>
      <c r="X217">
        <f>R[0]C[-1]/R[-1]C[-1]-1</f>
        <v/>
      </c>
    </row>
    <row r="218">
      <c r="A218" t="inlineStr">
        <is>
          <t>ATF Fuel 2</t>
        </is>
      </c>
      <c r="B218" t="inlineStr">
        <is>
          <t>J12</t>
        </is>
      </c>
      <c r="C218" t="n">
        <v>12</v>
      </c>
      <c r="D218" t="n">
        <v>10</v>
      </c>
      <c r="E218" t="inlineStr">
        <is>
          <t>Input</t>
        </is>
      </c>
      <c r="F218" t="n">
        <v/>
      </c>
      <c r="G218" t="n">
        <v>89.54000000000001</v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ATF Fuel 2</t>
        </is>
      </c>
      <c r="B219" t="inlineStr">
        <is>
          <t>K12</t>
        </is>
      </c>
      <c r="C219" t="n">
        <v>12</v>
      </c>
      <c r="D219" t="n">
        <v>11</v>
      </c>
      <c r="E219" t="inlineStr">
        <is>
          <t>Output</t>
        </is>
      </c>
      <c r="F219" t="inlineStr">
        <is>
          <t>'=J12/J11-1</t>
        </is>
      </c>
      <c r="G219" t="n">
        <v>-0.02238235615241835</v>
      </c>
      <c r="H219" t="inlineStr"/>
      <c r="I219" t="inlineStr">
        <is>
          <t>0%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R219" t="b">
        <v>1</v>
      </c>
      <c r="S219" t="inlineStr">
        <is>
          <t>G000157</t>
        </is>
      </c>
      <c r="T219" t="inlineStr">
        <is>
          <t>Vertical</t>
        </is>
      </c>
      <c r="U219" t="n">
        <v>93</v>
      </c>
      <c r="V219" t="b">
        <v>1</v>
      </c>
      <c r="W219" t="inlineStr">
        <is>
          <t>ATF Fuel 2!K3:K95</t>
        </is>
      </c>
      <c r="X219">
        <f>R[0]C[-1]/R[-1]C[-1]-1</f>
        <v/>
      </c>
    </row>
    <row r="220">
      <c r="A220" t="inlineStr">
        <is>
          <t>ATF Fuel 2</t>
        </is>
      </c>
      <c r="B220" t="inlineStr">
        <is>
          <t>L12</t>
        </is>
      </c>
      <c r="C220" t="n">
        <v>12</v>
      </c>
      <c r="D220" t="n">
        <v>12</v>
      </c>
      <c r="E220" t="inlineStr">
        <is>
          <t>Input</t>
        </is>
      </c>
      <c r="F220" t="n">
        <v/>
      </c>
      <c r="G220" t="inlineStr">
        <is>
          <t>February 01, 2011</t>
        </is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inlineStr">
        <is>
          <t>left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ATF Fuel 2</t>
        </is>
      </c>
      <c r="B221" t="inlineStr">
        <is>
          <t>M12</t>
        </is>
      </c>
      <c r="C221" t="n">
        <v>12</v>
      </c>
      <c r="D221" t="n">
        <v>13</v>
      </c>
      <c r="E221" t="inlineStr">
        <is>
          <t>Calculation</t>
        </is>
      </c>
      <c r="F221" t="inlineStr">
        <is>
          <t>'=(1+(B12/B11)-1)*M11</t>
        </is>
      </c>
      <c r="G221" t="n">
        <v>121.4384041315724</v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inlineStr">
        <is>
          <t>left</t>
        </is>
      </c>
      <c r="R221" t="b">
        <v>1</v>
      </c>
      <c r="S221" t="inlineStr">
        <is>
          <t>G000159</t>
        </is>
      </c>
      <c r="T221" t="inlineStr">
        <is>
          <t>Vertical</t>
        </is>
      </c>
      <c r="U221" t="n">
        <v>92</v>
      </c>
      <c r="V221" t="b">
        <v>1</v>
      </c>
      <c r="W221" t="inlineStr">
        <is>
          <t>ATF Fuel 2!M3:M94</t>
        </is>
      </c>
      <c r="X221">
        <f>(1+(R[0]C[-11]/R[-1]C[-11])-1)*R[-1]C[0]</f>
        <v/>
      </c>
    </row>
    <row r="222">
      <c r="A222" t="inlineStr">
        <is>
          <t>ATF Fuel 2</t>
        </is>
      </c>
      <c r="B222" t="inlineStr">
        <is>
          <t>N12</t>
        </is>
      </c>
      <c r="C222" t="n">
        <v>12</v>
      </c>
      <c r="D222" t="n">
        <v>14</v>
      </c>
      <c r="E222" t="inlineStr">
        <is>
          <t>Calculation</t>
        </is>
      </c>
      <c r="F222" t="inlineStr">
        <is>
          <t>'=(1+(F12/F11)-1)*N11</t>
        </is>
      </c>
      <c r="G222" t="n">
        <v>121.5055064746461</v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00000000</t>
        </is>
      </c>
      <c r="O222" t="inlineStr">
        <is>
          <t>left</t>
        </is>
      </c>
      <c r="R222" t="b">
        <v>1</v>
      </c>
      <c r="S222" t="inlineStr">
        <is>
          <t>G000160</t>
        </is>
      </c>
      <c r="T222" t="inlineStr">
        <is>
          <t>Vertical</t>
        </is>
      </c>
      <c r="U222" t="n">
        <v>92</v>
      </c>
      <c r="V222" t="b">
        <v>1</v>
      </c>
      <c r="W222" t="inlineStr">
        <is>
          <t>ATF Fuel 2!N3:N94</t>
        </is>
      </c>
      <c r="X222">
        <f>(1+(R[0]C[-8]/R[-1]C[-8])-1)*R[-1]C[0]</f>
        <v/>
      </c>
    </row>
    <row r="223">
      <c r="A223" t="inlineStr">
        <is>
          <t>ATF Fuel 2</t>
        </is>
      </c>
      <c r="B223" t="inlineStr">
        <is>
          <t>O12</t>
        </is>
      </c>
      <c r="C223" t="n">
        <v>12</v>
      </c>
      <c r="D223" t="n">
        <v>15</v>
      </c>
      <c r="E223" t="inlineStr">
        <is>
          <t>Calculation</t>
        </is>
      </c>
      <c r="F223" t="inlineStr">
        <is>
          <t>'=(1+(J12/J11)-1)*O11</t>
        </is>
      </c>
      <c r="G223" t="n">
        <v>105.9268898615876</v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Values must be of type &lt;class 'str'&gt;</t>
        </is>
      </c>
      <c r="N223" t="inlineStr">
        <is>
          <t>00000000</t>
        </is>
      </c>
      <c r="O223" t="inlineStr">
        <is>
          <t>left</t>
        </is>
      </c>
      <c r="R223" t="b">
        <v>1</v>
      </c>
      <c r="S223" t="inlineStr">
        <is>
          <t>G000162</t>
        </is>
      </c>
      <c r="T223" t="inlineStr">
        <is>
          <t>Vertical</t>
        </is>
      </c>
      <c r="U223" t="n">
        <v>92</v>
      </c>
      <c r="V223" t="b">
        <v>1</v>
      </c>
      <c r="W223" t="inlineStr">
        <is>
          <t>ATF Fuel 2!O3:O94</t>
        </is>
      </c>
      <c r="X223">
        <f>(1+(R[0]C[-5]/R[-1]C[-5])-1)*R[-1]C[0]</f>
        <v/>
      </c>
    </row>
    <row r="224">
      <c r="A224" t="inlineStr">
        <is>
          <t>ATF Fuel 2</t>
        </is>
      </c>
      <c r="B224" t="inlineStr">
        <is>
          <t>P12</t>
        </is>
      </c>
      <c r="C224" t="n">
        <v>12</v>
      </c>
      <c r="D224" t="n">
        <v>16</v>
      </c>
      <c r="E224" t="inlineStr">
        <is>
          <t>Calculation</t>
        </is>
      </c>
      <c r="F224" t="inlineStr">
        <is>
          <t>'=(1+(H12/H11)-1)*P11</t>
        </is>
      </c>
      <c r="G224" t="n">
        <v>124.4644207297257</v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Values must be of type &lt;class 'str'&gt;</t>
        </is>
      </c>
      <c r="N224" t="inlineStr">
        <is>
          <t>00000000</t>
        </is>
      </c>
      <c r="O224" t="inlineStr">
        <is>
          <t>left</t>
        </is>
      </c>
      <c r="R224" t="b">
        <v>1</v>
      </c>
      <c r="S224" t="inlineStr">
        <is>
          <t>G000161</t>
        </is>
      </c>
      <c r="T224" t="inlineStr">
        <is>
          <t>Vertical</t>
        </is>
      </c>
      <c r="U224" t="n">
        <v>92</v>
      </c>
      <c r="V224" t="b">
        <v>1</v>
      </c>
      <c r="W224" t="inlineStr">
        <is>
          <t>ATF Fuel 2!P3:P94</t>
        </is>
      </c>
      <c r="X224">
        <f>(1+(R[0]C[-8]/R[-1]C[-8])-1)*R[-1]C[0]</f>
        <v/>
      </c>
    </row>
    <row r="225">
      <c r="A225" t="inlineStr">
        <is>
          <t>ATF Fuel 2</t>
        </is>
      </c>
      <c r="B225" t="inlineStr">
        <is>
          <t>Q12</t>
        </is>
      </c>
      <c r="C225" t="n">
        <v>12</v>
      </c>
      <c r="D225" t="n">
        <v>17</v>
      </c>
      <c r="E225" t="inlineStr">
        <is>
          <t>Output</t>
        </is>
      </c>
      <c r="F225" t="inlineStr">
        <is>
          <t>'=M12/N12-1</t>
        </is>
      </c>
      <c r="G225" t="n">
        <v>-0.0005522576302967597</v>
      </c>
      <c r="H225" t="inlineStr"/>
      <c r="I225" t="inlineStr">
        <is>
          <t>0.0%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n">
        <v/>
      </c>
      <c r="R225" t="b">
        <v>1</v>
      </c>
      <c r="S225" t="inlineStr">
        <is>
          <t>G000153</t>
        </is>
      </c>
      <c r="T225" t="inlineStr">
        <is>
          <t>Vertical</t>
        </is>
      </c>
      <c r="U225" t="n">
        <v>93</v>
      </c>
      <c r="V225" t="b">
        <v>1</v>
      </c>
      <c r="W225" t="inlineStr">
        <is>
          <t>ATF Fuel 2!Q2:Q94</t>
        </is>
      </c>
      <c r="X225">
        <f>R[0]C[-4]/R[0]C[-3]-1</f>
        <v/>
      </c>
    </row>
    <row r="226">
      <c r="A226" t="inlineStr">
        <is>
          <t>ATF Fuel 2</t>
        </is>
      </c>
      <c r="B226" t="inlineStr">
        <is>
          <t>AO12</t>
        </is>
      </c>
      <c r="C226" t="n">
        <v>12</v>
      </c>
      <c r="D226" t="n">
        <v>41</v>
      </c>
      <c r="E226" t="inlineStr">
        <is>
          <t>Output</t>
        </is>
      </c>
      <c r="F226" t="inlineStr">
        <is>
          <t>'=1.1106^30</t>
        </is>
      </c>
      <c r="G226" t="n">
        <v>23.2664473482101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>
        <f>1.1106^30</f>
        <v/>
      </c>
    </row>
    <row r="227">
      <c r="A227" t="inlineStr">
        <is>
          <t>ATF Fuel 2</t>
        </is>
      </c>
      <c r="B227" t="inlineStr">
        <is>
          <t>A13</t>
        </is>
      </c>
      <c r="C227" t="n">
        <v>13</v>
      </c>
      <c r="D227" t="n">
        <v>1</v>
      </c>
      <c r="E227" t="inlineStr">
        <is>
          <t>Input</t>
        </is>
      </c>
      <c r="F227" t="n">
        <v/>
      </c>
      <c r="G227" t="inlineStr">
        <is>
          <t>March 01, 2011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ATF Fuel 2</t>
        </is>
      </c>
      <c r="B228" t="inlineStr">
        <is>
          <t>B13</t>
        </is>
      </c>
      <c r="C228" t="n">
        <v>13</v>
      </c>
      <c r="D228" t="n">
        <v>2</v>
      </c>
      <c r="E228" t="inlineStr">
        <is>
          <t>Input</t>
        </is>
      </c>
      <c r="F228" t="n">
        <v/>
      </c>
      <c r="G228" t="n">
        <v>58021.2925</v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00000000</t>
        </is>
      </c>
      <c r="O228" t="n">
        <v/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ATF Fuel 2</t>
        </is>
      </c>
      <c r="B229" t="inlineStr">
        <is>
          <t>C13</t>
        </is>
      </c>
      <c r="C229" t="n">
        <v>13</v>
      </c>
      <c r="D229" t="n">
        <v>3</v>
      </c>
      <c r="E229" t="inlineStr">
        <is>
          <t>Output</t>
        </is>
      </c>
      <c r="F229" t="inlineStr">
        <is>
          <t>'=B13/B12-1</t>
        </is>
      </c>
      <c r="G229" t="n">
        <v>0.07701602113814965</v>
      </c>
      <c r="H229" t="inlineStr"/>
      <c r="I229" t="inlineStr">
        <is>
          <t>0%</t>
        </is>
      </c>
      <c r="J229" t="b">
        <v>0</v>
      </c>
      <c r="K229" t="b">
        <v>0</v>
      </c>
      <c r="L229" t="n">
        <v>11</v>
      </c>
      <c r="M229" t="n">
        <v/>
      </c>
      <c r="N229" t="inlineStr">
        <is>
          <t>00000000</t>
        </is>
      </c>
      <c r="O229" t="n">
        <v/>
      </c>
      <c r="R229" t="b">
        <v>1</v>
      </c>
      <c r="S229" t="inlineStr">
        <is>
          <t>G000154</t>
        </is>
      </c>
      <c r="T229" t="inlineStr">
        <is>
          <t>Vertical</t>
        </is>
      </c>
      <c r="U229" t="n">
        <v>92</v>
      </c>
      <c r="V229" t="b">
        <v>1</v>
      </c>
      <c r="W229" t="inlineStr">
        <is>
          <t>ATF Fuel 2!C3:C94</t>
        </is>
      </c>
      <c r="X229">
        <f>R[0]C[-1]/R[-1]C[-1]-1</f>
        <v/>
      </c>
    </row>
    <row r="230">
      <c r="A230" t="inlineStr">
        <is>
          <t>ATF Fuel 2</t>
        </is>
      </c>
      <c r="B230" t="inlineStr">
        <is>
          <t>D13</t>
        </is>
      </c>
      <c r="C230" t="n">
        <v>13</v>
      </c>
      <c r="D230" t="n">
        <v>4</v>
      </c>
      <c r="E230" t="inlineStr">
        <is>
          <t>Input</t>
        </is>
      </c>
      <c r="F230" t="n">
        <v/>
      </c>
      <c r="G230" t="n">
        <v>45.18</v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ATF Fuel 2</t>
        </is>
      </c>
      <c r="B231" t="inlineStr">
        <is>
          <t>E13</t>
        </is>
      </c>
      <c r="C231" t="n">
        <v>13</v>
      </c>
      <c r="D231" t="n">
        <v>5</v>
      </c>
      <c r="E231" t="inlineStr">
        <is>
          <t>Output</t>
        </is>
      </c>
      <c r="F231" t="inlineStr">
        <is>
          <t>'=B13/B12-1</t>
        </is>
      </c>
      <c r="G231" t="n">
        <v>0.07701602113814965</v>
      </c>
      <c r="H231" t="inlineStr"/>
      <c r="I231" t="inlineStr">
        <is>
          <t>0%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00000000</t>
        </is>
      </c>
      <c r="O231" t="n">
        <v/>
      </c>
      <c r="R231" t="b">
        <v>1</v>
      </c>
      <c r="S231" t="inlineStr">
        <is>
          <t>G000158</t>
        </is>
      </c>
      <c r="T231" t="inlineStr">
        <is>
          <t>Vertical</t>
        </is>
      </c>
      <c r="U231" t="n">
        <v>92</v>
      </c>
      <c r="V231" t="b">
        <v>1</v>
      </c>
      <c r="W231" t="inlineStr">
        <is>
          <t>ATF Fuel 2!E3:E94</t>
        </is>
      </c>
      <c r="X231">
        <f>R[0]C[-3]/R[-1]C[-3]-1</f>
        <v/>
      </c>
    </row>
    <row r="232">
      <c r="A232" t="inlineStr">
        <is>
          <t>ATF Fuel 2</t>
        </is>
      </c>
      <c r="B232" t="inlineStr">
        <is>
          <t>F13</t>
        </is>
      </c>
      <c r="C232" t="n">
        <v>13</v>
      </c>
      <c r="D232" t="n">
        <v>6</v>
      </c>
      <c r="E232" t="inlineStr">
        <is>
          <t>Input</t>
        </is>
      </c>
      <c r="F232" t="n">
        <v/>
      </c>
      <c r="G232" t="n">
        <v>113.34</v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ATF Fuel 2</t>
        </is>
      </c>
      <c r="B233" t="inlineStr">
        <is>
          <t>G13</t>
        </is>
      </c>
      <c r="C233" t="n">
        <v>13</v>
      </c>
      <c r="D233" t="n">
        <v>7</v>
      </c>
      <c r="E233" t="inlineStr">
        <is>
          <t>Output</t>
        </is>
      </c>
      <c r="F233" t="inlineStr">
        <is>
          <t>'=F13/F12-1</t>
        </is>
      </c>
      <c r="G233" t="n">
        <v>0.1288844621513945</v>
      </c>
      <c r="H233" t="inlineStr"/>
      <c r="I233" t="inlineStr">
        <is>
          <t>0%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00000000</t>
        </is>
      </c>
      <c r="O233" t="n">
        <v/>
      </c>
      <c r="R233" t="b">
        <v>1</v>
      </c>
      <c r="S233" t="inlineStr">
        <is>
          <t>G000155</t>
        </is>
      </c>
      <c r="T233" t="inlineStr">
        <is>
          <t>Vertical</t>
        </is>
      </c>
      <c r="U233" t="n">
        <v>93</v>
      </c>
      <c r="V233" t="b">
        <v>1</v>
      </c>
      <c r="W233" t="inlineStr">
        <is>
          <t>ATF Fuel 2!G3:G95</t>
        </is>
      </c>
      <c r="X233">
        <f>R[0]C[-1]/R[-1]C[-1]-1</f>
        <v/>
      </c>
    </row>
    <row r="234">
      <c r="A234" t="inlineStr">
        <is>
          <t>ATF Fuel 2</t>
        </is>
      </c>
      <c r="B234" t="inlineStr">
        <is>
          <t>H13</t>
        </is>
      </c>
      <c r="C234" t="n">
        <v>13</v>
      </c>
      <c r="D234" t="n">
        <v>8</v>
      </c>
      <c r="E234" t="inlineStr">
        <is>
          <t>Calculation</t>
        </is>
      </c>
      <c r="F234" t="inlineStr">
        <is>
          <t>'=D13*F13</t>
        </is>
      </c>
      <c r="G234" t="n">
        <v>5120.7012</v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00000000</t>
        </is>
      </c>
      <c r="O234" t="n">
        <v/>
      </c>
      <c r="R234" t="b">
        <v>1</v>
      </c>
      <c r="S234" t="inlineStr">
        <is>
          <t>G000152</t>
        </is>
      </c>
      <c r="T234" t="inlineStr">
        <is>
          <t>Vertical</t>
        </is>
      </c>
      <c r="U234" t="n">
        <v>98</v>
      </c>
      <c r="V234" t="b">
        <v>1</v>
      </c>
      <c r="W234" t="inlineStr">
        <is>
          <t>ATF Fuel 2!H2:H99</t>
        </is>
      </c>
      <c r="X234">
        <f>R[0]C[-4]*R[0]C[-2]</f>
        <v/>
      </c>
    </row>
    <row r="235">
      <c r="A235" t="inlineStr">
        <is>
          <t>ATF Fuel 2</t>
        </is>
      </c>
      <c r="B235" t="inlineStr">
        <is>
          <t>I13</t>
        </is>
      </c>
      <c r="C235" t="n">
        <v>13</v>
      </c>
      <c r="D235" t="n">
        <v>9</v>
      </c>
      <c r="E235" t="inlineStr">
        <is>
          <t>Output</t>
        </is>
      </c>
      <c r="F235" t="inlineStr">
        <is>
          <t>'=H13/H12-1</t>
        </is>
      </c>
      <c r="G235" t="n">
        <v>0.1123882224645585</v>
      </c>
      <c r="H235" t="inlineStr"/>
      <c r="I235" t="inlineStr">
        <is>
          <t>0%</t>
        </is>
      </c>
      <c r="J235" t="b">
        <v>0</v>
      </c>
      <c r="K235" t="b">
        <v>0</v>
      </c>
      <c r="L235" t="n">
        <v>11</v>
      </c>
      <c r="M235" t="inlineStr">
        <is>
          <t>FFFF0000</t>
        </is>
      </c>
      <c r="N235" t="inlineStr">
        <is>
          <t>00000000</t>
        </is>
      </c>
      <c r="O235" t="n">
        <v/>
      </c>
      <c r="R235" t="b">
        <v>1</v>
      </c>
      <c r="S235" t="inlineStr">
        <is>
          <t>G000156</t>
        </is>
      </c>
      <c r="T235" t="inlineStr">
        <is>
          <t>Vertical</t>
        </is>
      </c>
      <c r="U235" t="n">
        <v>97</v>
      </c>
      <c r="V235" t="b">
        <v>1</v>
      </c>
      <c r="W235" t="inlineStr">
        <is>
          <t>ATF Fuel 2!I3:I99</t>
        </is>
      </c>
      <c r="X235">
        <f>R[0]C[-1]/R[-1]C[-1]-1</f>
        <v/>
      </c>
    </row>
    <row r="236">
      <c r="A236" t="inlineStr">
        <is>
          <t>ATF Fuel 2</t>
        </is>
      </c>
      <c r="B236" t="inlineStr">
        <is>
          <t>J13</t>
        </is>
      </c>
      <c r="C236" t="n">
        <v>13</v>
      </c>
      <c r="D236" t="n">
        <v>10</v>
      </c>
      <c r="E236" t="inlineStr">
        <is>
          <t>Input</t>
        </is>
      </c>
      <c r="F236" t="n">
        <v/>
      </c>
      <c r="G236" t="n">
        <v>99.63</v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n">
        <v/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ATF Fuel 2</t>
        </is>
      </c>
      <c r="B237" t="inlineStr">
        <is>
          <t>K13</t>
        </is>
      </c>
      <c r="C237" t="n">
        <v>13</v>
      </c>
      <c r="D237" t="n">
        <v>11</v>
      </c>
      <c r="E237" t="inlineStr">
        <is>
          <t>Output</t>
        </is>
      </c>
      <c r="F237" t="inlineStr">
        <is>
          <t>'=J13/J12-1</t>
        </is>
      </c>
      <c r="G237" t="n">
        <v>0.1126870672325218</v>
      </c>
      <c r="H237" t="inlineStr"/>
      <c r="I237" t="inlineStr">
        <is>
          <t>0%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n">
        <v/>
      </c>
      <c r="R237" t="b">
        <v>1</v>
      </c>
      <c r="S237" t="inlineStr">
        <is>
          <t>G000157</t>
        </is>
      </c>
      <c r="T237" t="inlineStr">
        <is>
          <t>Vertical</t>
        </is>
      </c>
      <c r="U237" t="n">
        <v>93</v>
      </c>
      <c r="V237" t="b">
        <v>1</v>
      </c>
      <c r="W237" t="inlineStr">
        <is>
          <t>ATF Fuel 2!K3:K95</t>
        </is>
      </c>
      <c r="X237">
        <f>R[0]C[-1]/R[-1]C[-1]-1</f>
        <v/>
      </c>
    </row>
    <row r="238">
      <c r="A238" t="inlineStr">
        <is>
          <t>ATF Fuel 2</t>
        </is>
      </c>
      <c r="B238" t="inlineStr">
        <is>
          <t>L13</t>
        </is>
      </c>
      <c r="C238" t="n">
        <v>13</v>
      </c>
      <c r="D238" t="n">
        <v>12</v>
      </c>
      <c r="E238" t="inlineStr">
        <is>
          <t>Input</t>
        </is>
      </c>
      <c r="F238" t="n">
        <v/>
      </c>
      <c r="G238" t="inlineStr">
        <is>
          <t>March 01, 2011</t>
        </is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inlineStr">
        <is>
          <t>left</t>
        </is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ATF Fuel 2</t>
        </is>
      </c>
      <c r="B239" t="inlineStr">
        <is>
          <t>M13</t>
        </is>
      </c>
      <c r="C239" t="n">
        <v>13</v>
      </c>
      <c r="D239" t="n">
        <v>13</v>
      </c>
      <c r="E239" t="inlineStr">
        <is>
          <t>Calculation</t>
        </is>
      </c>
      <c r="F239" t="inlineStr">
        <is>
          <t>'=(1+(B13/B12)-1)*M12</t>
        </is>
      </c>
      <c r="G239" t="n">
        <v>130.7911068311527</v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inlineStr">
        <is>
          <t>left</t>
        </is>
      </c>
      <c r="R239" t="b">
        <v>1</v>
      </c>
      <c r="S239" t="inlineStr">
        <is>
          <t>G000159</t>
        </is>
      </c>
      <c r="T239" t="inlineStr">
        <is>
          <t>Vertical</t>
        </is>
      </c>
      <c r="U239" t="n">
        <v>92</v>
      </c>
      <c r="V239" t="b">
        <v>1</v>
      </c>
      <c r="W239" t="inlineStr">
        <is>
          <t>ATF Fuel 2!M3:M94</t>
        </is>
      </c>
      <c r="X239">
        <f>(1+(R[0]C[-11]/R[-1]C[-11])-1)*R[-1]C[0]</f>
        <v/>
      </c>
    </row>
    <row r="240">
      <c r="A240" t="inlineStr">
        <is>
          <t>ATF Fuel 2</t>
        </is>
      </c>
      <c r="B240" t="inlineStr">
        <is>
          <t>N13</t>
        </is>
      </c>
      <c r="C240" t="n">
        <v>13</v>
      </c>
      <c r="D240" t="n">
        <v>14</v>
      </c>
      <c r="E240" t="inlineStr">
        <is>
          <t>Calculation</t>
        </is>
      </c>
      <c r="F240" t="inlineStr">
        <is>
          <t>'=(1+(F13/F12)-1)*N12</t>
        </is>
      </c>
      <c r="G240" t="n">
        <v>137.1656783250637</v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inlineStr">
        <is>
          <t>left</t>
        </is>
      </c>
      <c r="R240" t="b">
        <v>1</v>
      </c>
      <c r="S240" t="inlineStr">
        <is>
          <t>G000160</t>
        </is>
      </c>
      <c r="T240" t="inlineStr">
        <is>
          <t>Vertical</t>
        </is>
      </c>
      <c r="U240" t="n">
        <v>92</v>
      </c>
      <c r="V240" t="b">
        <v>1</v>
      </c>
      <c r="W240" t="inlineStr">
        <is>
          <t>ATF Fuel 2!N3:N94</t>
        </is>
      </c>
      <c r="X240">
        <f>(1+(R[0]C[-8]/R[-1]C[-8])-1)*R[-1]C[0]</f>
        <v/>
      </c>
    </row>
    <row r="241">
      <c r="A241" t="inlineStr">
        <is>
          <t>ATF Fuel 2</t>
        </is>
      </c>
      <c r="B241" t="inlineStr">
        <is>
          <t>O13</t>
        </is>
      </c>
      <c r="C241" t="n">
        <v>13</v>
      </c>
      <c r="D241" t="n">
        <v>15</v>
      </c>
      <c r="E241" t="inlineStr">
        <is>
          <t>Calculation</t>
        </is>
      </c>
      <c r="F241" t="inlineStr">
        <is>
          <t>'=(1+(J13/J12)-1)*O12</t>
        </is>
      </c>
      <c r="G241" t="n">
        <v>117.8634804211523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inlineStr">
        <is>
          <t>left</t>
        </is>
      </c>
      <c r="R241" t="b">
        <v>1</v>
      </c>
      <c r="S241" t="inlineStr">
        <is>
          <t>G000162</t>
        </is>
      </c>
      <c r="T241" t="inlineStr">
        <is>
          <t>Vertical</t>
        </is>
      </c>
      <c r="U241" t="n">
        <v>92</v>
      </c>
      <c r="V241" t="b">
        <v>1</v>
      </c>
      <c r="W241" t="inlineStr">
        <is>
          <t>ATF Fuel 2!O3:O94</t>
        </is>
      </c>
      <c r="X241">
        <f>(1+(R[0]C[-5]/R[-1]C[-5])-1)*R[-1]C[0]</f>
        <v/>
      </c>
    </row>
    <row r="242">
      <c r="A242" t="inlineStr">
        <is>
          <t>ATF Fuel 2</t>
        </is>
      </c>
      <c r="B242" t="inlineStr">
        <is>
          <t>P13</t>
        </is>
      </c>
      <c r="C242" t="n">
        <v>13</v>
      </c>
      <c r="D242" t="n">
        <v>16</v>
      </c>
      <c r="E242" t="inlineStr">
        <is>
          <t>Calculation</t>
        </is>
      </c>
      <c r="F242" t="inlineStr">
        <is>
          <t>'=(1+(H13/H12)-1)*P12</t>
        </is>
      </c>
      <c r="G242" t="n">
        <v>138.4527557356205</v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inlineStr">
        <is>
          <t>left</t>
        </is>
      </c>
      <c r="R242" t="b">
        <v>1</v>
      </c>
      <c r="S242" t="inlineStr">
        <is>
          <t>G000161</t>
        </is>
      </c>
      <c r="T242" t="inlineStr">
        <is>
          <t>Vertical</t>
        </is>
      </c>
      <c r="U242" t="n">
        <v>92</v>
      </c>
      <c r="V242" t="b">
        <v>1</v>
      </c>
      <c r="W242" t="inlineStr">
        <is>
          <t>ATF Fuel 2!P3:P94</t>
        </is>
      </c>
      <c r="X242">
        <f>(1+(R[0]C[-8]/R[-1]C[-8])-1)*R[-1]C[0]</f>
        <v/>
      </c>
    </row>
    <row r="243">
      <c r="A243" t="inlineStr">
        <is>
          <t>ATF Fuel 2</t>
        </is>
      </c>
      <c r="B243" t="inlineStr">
        <is>
          <t>Q13</t>
        </is>
      </c>
      <c r="C243" t="n">
        <v>13</v>
      </c>
      <c r="D243" t="n">
        <v>17</v>
      </c>
      <c r="E243" t="inlineStr">
        <is>
          <t>Output</t>
        </is>
      </c>
      <c r="F243" t="inlineStr">
        <is>
          <t>'=M13/N13-1</t>
        </is>
      </c>
      <c r="G243" t="n">
        <v>-0.04647351707621872</v>
      </c>
      <c r="H243" t="inlineStr"/>
      <c r="I243" t="inlineStr">
        <is>
          <t>0.0%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n">
        <v/>
      </c>
      <c r="R243" t="b">
        <v>1</v>
      </c>
      <c r="S243" t="inlineStr">
        <is>
          <t>G000153</t>
        </is>
      </c>
      <c r="T243" t="inlineStr">
        <is>
          <t>Vertical</t>
        </is>
      </c>
      <c r="U243" t="n">
        <v>93</v>
      </c>
      <c r="V243" t="b">
        <v>1</v>
      </c>
      <c r="W243" t="inlineStr">
        <is>
          <t>ATF Fuel 2!Q2:Q94</t>
        </is>
      </c>
      <c r="X243">
        <f>R[0]C[-4]/R[0]C[-3]-1</f>
        <v/>
      </c>
    </row>
    <row r="244">
      <c r="A244" t="inlineStr">
        <is>
          <t>ATF Fuel 2</t>
        </is>
      </c>
      <c r="B244" t="inlineStr">
        <is>
          <t>A14</t>
        </is>
      </c>
      <c r="C244" t="n">
        <v>14</v>
      </c>
      <c r="D244" t="n">
        <v>1</v>
      </c>
      <c r="E244" t="inlineStr">
        <is>
          <t>Input</t>
        </is>
      </c>
      <c r="F244" t="n">
        <v/>
      </c>
      <c r="G244" t="inlineStr">
        <is>
          <t>April 01, 2011</t>
        </is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ATF Fuel 2</t>
        </is>
      </c>
      <c r="B245" t="inlineStr">
        <is>
          <t>B14</t>
        </is>
      </c>
      <c r="C245" t="n">
        <v>14</v>
      </c>
      <c r="D245" t="n">
        <v>2</v>
      </c>
      <c r="E245" t="inlineStr">
        <is>
          <t>Input</t>
        </is>
      </c>
      <c r="F245" t="n">
        <v/>
      </c>
      <c r="G245" t="n">
        <v>62458.0975</v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00000000</t>
        </is>
      </c>
      <c r="O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ATF Fuel 2</t>
        </is>
      </c>
      <c r="B246" t="inlineStr">
        <is>
          <t>C14</t>
        </is>
      </c>
      <c r="C246" t="n">
        <v>14</v>
      </c>
      <c r="D246" t="n">
        <v>3</v>
      </c>
      <c r="E246" t="inlineStr">
        <is>
          <t>Output</t>
        </is>
      </c>
      <c r="F246" t="inlineStr">
        <is>
          <t>'=B14/B13-1</t>
        </is>
      </c>
      <c r="G246" t="n">
        <v>0.07646856539778057</v>
      </c>
      <c r="H246" t="inlineStr"/>
      <c r="I246" t="inlineStr">
        <is>
          <t>0%</t>
        </is>
      </c>
      <c r="J246" t="b">
        <v>0</v>
      </c>
      <c r="K246" t="b">
        <v>0</v>
      </c>
      <c r="L246" t="n">
        <v>11</v>
      </c>
      <c r="M246" t="n">
        <v/>
      </c>
      <c r="N246" t="inlineStr">
        <is>
          <t>00000000</t>
        </is>
      </c>
      <c r="O246" t="n">
        <v/>
      </c>
      <c r="R246" t="b">
        <v>1</v>
      </c>
      <c r="S246" t="inlineStr">
        <is>
          <t>G000154</t>
        </is>
      </c>
      <c r="T246" t="inlineStr">
        <is>
          <t>Vertical</t>
        </is>
      </c>
      <c r="U246" t="n">
        <v>92</v>
      </c>
      <c r="V246" t="b">
        <v>1</v>
      </c>
      <c r="W246" t="inlineStr">
        <is>
          <t>ATF Fuel 2!C3:C94</t>
        </is>
      </c>
      <c r="X246">
        <f>R[0]C[-1]/R[-1]C[-1]-1</f>
        <v/>
      </c>
    </row>
    <row r="247">
      <c r="A247" t="inlineStr">
        <is>
          <t>ATF Fuel 2</t>
        </is>
      </c>
      <c r="B247" t="inlineStr">
        <is>
          <t>D14</t>
        </is>
      </c>
      <c r="C247" t="n">
        <v>14</v>
      </c>
      <c r="D247" t="n">
        <v>4</v>
      </c>
      <c r="E247" t="inlineStr">
        <is>
          <t>Input</t>
        </is>
      </c>
      <c r="F247" t="n">
        <v/>
      </c>
      <c r="G247" t="n">
        <v>44.44</v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ATF Fuel 2</t>
        </is>
      </c>
      <c r="B248" t="inlineStr">
        <is>
          <t>E14</t>
        </is>
      </c>
      <c r="C248" t="n">
        <v>14</v>
      </c>
      <c r="D248" t="n">
        <v>5</v>
      </c>
      <c r="E248" t="inlineStr">
        <is>
          <t>Output</t>
        </is>
      </c>
      <c r="F248" t="inlineStr">
        <is>
          <t>'=B14/B13-1</t>
        </is>
      </c>
      <c r="G248" t="n">
        <v>0.07646856539778057</v>
      </c>
      <c r="H248" t="inlineStr"/>
      <c r="I248" t="inlineStr">
        <is>
          <t>0%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G000158</t>
        </is>
      </c>
      <c r="T248" t="inlineStr">
        <is>
          <t>Vertical</t>
        </is>
      </c>
      <c r="U248" t="n">
        <v>92</v>
      </c>
      <c r="V248" t="b">
        <v>1</v>
      </c>
      <c r="W248" t="inlineStr">
        <is>
          <t>ATF Fuel 2!E3:E94</t>
        </is>
      </c>
      <c r="X248">
        <f>R[0]C[-3]/R[-1]C[-3]-1</f>
        <v/>
      </c>
    </row>
    <row r="249">
      <c r="A249" t="inlineStr">
        <is>
          <t>ATF Fuel 2</t>
        </is>
      </c>
      <c r="B249" t="inlineStr">
        <is>
          <t>F14</t>
        </is>
      </c>
      <c r="C249" t="n">
        <v>14</v>
      </c>
      <c r="D249" t="n">
        <v>6</v>
      </c>
      <c r="E249" t="inlineStr">
        <is>
          <t>Input</t>
        </is>
      </c>
      <c r="F249" t="n">
        <v/>
      </c>
      <c r="G249" t="n">
        <v>118.63</v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ATF Fuel 2</t>
        </is>
      </c>
      <c r="B250" t="inlineStr">
        <is>
          <t>G14</t>
        </is>
      </c>
      <c r="C250" t="n">
        <v>14</v>
      </c>
      <c r="D250" t="n">
        <v>7</v>
      </c>
      <c r="E250" t="inlineStr">
        <is>
          <t>Output</t>
        </is>
      </c>
      <c r="F250" t="inlineStr">
        <is>
          <t>'=F14/F13-1</t>
        </is>
      </c>
      <c r="G250" t="n">
        <v>0.04667372507499556</v>
      </c>
      <c r="H250" t="inlineStr"/>
      <c r="I250" t="inlineStr">
        <is>
          <t>0%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00000000</t>
        </is>
      </c>
      <c r="O250" t="n">
        <v/>
      </c>
      <c r="R250" t="b">
        <v>1</v>
      </c>
      <c r="S250" t="inlineStr">
        <is>
          <t>G000155</t>
        </is>
      </c>
      <c r="T250" t="inlineStr">
        <is>
          <t>Vertical</t>
        </is>
      </c>
      <c r="U250" t="n">
        <v>93</v>
      </c>
      <c r="V250" t="b">
        <v>1</v>
      </c>
      <c r="W250" t="inlineStr">
        <is>
          <t>ATF Fuel 2!G3:G95</t>
        </is>
      </c>
      <c r="X250">
        <f>R[0]C[-1]/R[-1]C[-1]-1</f>
        <v/>
      </c>
    </row>
    <row r="251">
      <c r="A251" t="inlineStr">
        <is>
          <t>ATF Fuel 2</t>
        </is>
      </c>
      <c r="B251" t="inlineStr">
        <is>
          <t>H14</t>
        </is>
      </c>
      <c r="C251" t="n">
        <v>14</v>
      </c>
      <c r="D251" t="n">
        <v>8</v>
      </c>
      <c r="E251" t="inlineStr">
        <is>
          <t>Calculation</t>
        </is>
      </c>
      <c r="F251" t="inlineStr">
        <is>
          <t>'=D14*F14</t>
        </is>
      </c>
      <c r="G251" t="n">
        <v>5271.9172</v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00000000</t>
        </is>
      </c>
      <c r="O251" t="n">
        <v/>
      </c>
      <c r="R251" t="b">
        <v>1</v>
      </c>
      <c r="S251" t="inlineStr">
        <is>
          <t>G000152</t>
        </is>
      </c>
      <c r="T251" t="inlineStr">
        <is>
          <t>Vertical</t>
        </is>
      </c>
      <c r="U251" t="n">
        <v>98</v>
      </c>
      <c r="V251" t="b">
        <v>1</v>
      </c>
      <c r="W251" t="inlineStr">
        <is>
          <t>ATF Fuel 2!H2:H99</t>
        </is>
      </c>
      <c r="X251">
        <f>R[0]C[-4]*R[0]C[-2]</f>
        <v/>
      </c>
    </row>
    <row r="252">
      <c r="A252" t="inlineStr">
        <is>
          <t>ATF Fuel 2</t>
        </is>
      </c>
      <c r="B252" t="inlineStr">
        <is>
          <t>I14</t>
        </is>
      </c>
      <c r="C252" t="n">
        <v>14</v>
      </c>
      <c r="D252" t="n">
        <v>9</v>
      </c>
      <c r="E252" t="inlineStr">
        <is>
          <t>Output</t>
        </is>
      </c>
      <c r="F252" t="inlineStr">
        <is>
          <t>'=H14/H13-1</t>
        </is>
      </c>
      <c r="G252" t="n">
        <v>0.0295303307289243</v>
      </c>
      <c r="H252" t="inlineStr"/>
      <c r="I252" t="inlineStr">
        <is>
          <t>0%</t>
        </is>
      </c>
      <c r="J252" t="b">
        <v>0</v>
      </c>
      <c r="K252" t="b">
        <v>0</v>
      </c>
      <c r="L252" t="n">
        <v>11</v>
      </c>
      <c r="M252" t="inlineStr">
        <is>
          <t>FFFF0000</t>
        </is>
      </c>
      <c r="N252" t="inlineStr">
        <is>
          <t>00000000</t>
        </is>
      </c>
      <c r="O252" t="n">
        <v/>
      </c>
      <c r="R252" t="b">
        <v>1</v>
      </c>
      <c r="S252" t="inlineStr">
        <is>
          <t>G000156</t>
        </is>
      </c>
      <c r="T252" t="inlineStr">
        <is>
          <t>Vertical</t>
        </is>
      </c>
      <c r="U252" t="n">
        <v>97</v>
      </c>
      <c r="V252" t="b">
        <v>1</v>
      </c>
      <c r="W252" t="inlineStr">
        <is>
          <t>ATF Fuel 2!I3:I99</t>
        </is>
      </c>
      <c r="X252">
        <f>R[0]C[-1]/R[-1]C[-1]-1</f>
        <v/>
      </c>
    </row>
    <row r="253">
      <c r="A253" t="inlineStr">
        <is>
          <t>ATF Fuel 2</t>
        </is>
      </c>
      <c r="B253" t="inlineStr">
        <is>
          <t>J14</t>
        </is>
      </c>
      <c r="C253" t="n">
        <v>14</v>
      </c>
      <c r="D253" t="n">
        <v>10</v>
      </c>
      <c r="E253" t="inlineStr">
        <is>
          <t>Input</t>
        </is>
      </c>
      <c r="F253" t="n">
        <v/>
      </c>
      <c r="G253" t="n">
        <v>107.55</v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00000000</t>
        </is>
      </c>
      <c r="O253" t="n">
        <v/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ATF Fuel 2</t>
        </is>
      </c>
      <c r="B254" t="inlineStr">
        <is>
          <t>K14</t>
        </is>
      </c>
      <c r="C254" t="n">
        <v>14</v>
      </c>
      <c r="D254" t="n">
        <v>11</v>
      </c>
      <c r="E254" t="inlineStr">
        <is>
          <t>Output</t>
        </is>
      </c>
      <c r="F254" t="inlineStr">
        <is>
          <t>'=J14/J13-1</t>
        </is>
      </c>
      <c r="G254" t="n">
        <v>0.07949412827461599</v>
      </c>
      <c r="H254" t="inlineStr"/>
      <c r="I254" t="inlineStr">
        <is>
          <t>0%</t>
        </is>
      </c>
      <c r="J254" t="b">
        <v>0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00000000</t>
        </is>
      </c>
      <c r="O254" t="n">
        <v/>
      </c>
      <c r="R254" t="b">
        <v>1</v>
      </c>
      <c r="S254" t="inlineStr">
        <is>
          <t>G000157</t>
        </is>
      </c>
      <c r="T254" t="inlineStr">
        <is>
          <t>Vertical</t>
        </is>
      </c>
      <c r="U254" t="n">
        <v>93</v>
      </c>
      <c r="V254" t="b">
        <v>1</v>
      </c>
      <c r="W254" t="inlineStr">
        <is>
          <t>ATF Fuel 2!K3:K95</t>
        </is>
      </c>
      <c r="X254">
        <f>R[0]C[-1]/R[-1]C[-1]-1</f>
        <v/>
      </c>
    </row>
    <row r="255">
      <c r="A255" t="inlineStr">
        <is>
          <t>ATF Fuel 2</t>
        </is>
      </c>
      <c r="B255" t="inlineStr">
        <is>
          <t>L14</t>
        </is>
      </c>
      <c r="C255" t="n">
        <v>14</v>
      </c>
      <c r="D255" t="n">
        <v>12</v>
      </c>
      <c r="E255" t="inlineStr">
        <is>
          <t>Input</t>
        </is>
      </c>
      <c r="F255" t="n">
        <v/>
      </c>
      <c r="G255" t="inlineStr">
        <is>
          <t>April 01, 2011</t>
        </is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00000000</t>
        </is>
      </c>
      <c r="O255" t="inlineStr">
        <is>
          <t>left</t>
        </is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ATF Fuel 2</t>
        </is>
      </c>
      <c r="B256" t="inlineStr">
        <is>
          <t>M14</t>
        </is>
      </c>
      <c r="C256" t="n">
        <v>14</v>
      </c>
      <c r="D256" t="n">
        <v>13</v>
      </c>
      <c r="E256" t="inlineStr">
        <is>
          <t>Calculation</t>
        </is>
      </c>
      <c r="F256" t="inlineStr">
        <is>
          <t>'=(1+(B14/B13)-1)*M13</t>
        </is>
      </c>
      <c r="G256" t="n">
        <v>140.7925151373188</v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00000000</t>
        </is>
      </c>
      <c r="O256" t="inlineStr">
        <is>
          <t>left</t>
        </is>
      </c>
      <c r="R256" t="b">
        <v>1</v>
      </c>
      <c r="S256" t="inlineStr">
        <is>
          <t>G000159</t>
        </is>
      </c>
      <c r="T256" t="inlineStr">
        <is>
          <t>Vertical</t>
        </is>
      </c>
      <c r="U256" t="n">
        <v>92</v>
      </c>
      <c r="V256" t="b">
        <v>1</v>
      </c>
      <c r="W256" t="inlineStr">
        <is>
          <t>ATF Fuel 2!M3:M94</t>
        </is>
      </c>
      <c r="X256">
        <f>(1+(R[0]C[-11]/R[-1]C[-11])-1)*R[-1]C[0]</f>
        <v/>
      </c>
    </row>
    <row r="257">
      <c r="A257" t="inlineStr">
        <is>
          <t>ATF Fuel 2</t>
        </is>
      </c>
      <c r="B257" t="inlineStr">
        <is>
          <t>N14</t>
        </is>
      </c>
      <c r="C257" t="n">
        <v>14</v>
      </c>
      <c r="D257" t="n">
        <v>14</v>
      </c>
      <c r="E257" t="inlineStr">
        <is>
          <t>Calculation</t>
        </is>
      </c>
      <c r="F257" t="inlineStr">
        <is>
          <t>'=(1+(F14/F13)-1)*N13</t>
        </is>
      </c>
      <c r="G257" t="n">
        <v>143.567711484933</v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inlineStr">
        <is>
          <t>left</t>
        </is>
      </c>
      <c r="R257" t="b">
        <v>1</v>
      </c>
      <c r="S257" t="inlineStr">
        <is>
          <t>G000160</t>
        </is>
      </c>
      <c r="T257" t="inlineStr">
        <is>
          <t>Vertical</t>
        </is>
      </c>
      <c r="U257" t="n">
        <v>92</v>
      </c>
      <c r="V257" t="b">
        <v>1</v>
      </c>
      <c r="W257" t="inlineStr">
        <is>
          <t>ATF Fuel 2!N3:N94</t>
        </is>
      </c>
      <c r="X257">
        <f>(1+(R[0]C[-8]/R[-1]C[-8])-1)*R[-1]C[0]</f>
        <v/>
      </c>
    </row>
    <row r="258">
      <c r="A258" t="inlineStr">
        <is>
          <t>ATF Fuel 2</t>
        </is>
      </c>
      <c r="B258" t="inlineStr">
        <is>
          <t>O14</t>
        </is>
      </c>
      <c r="C258" t="n">
        <v>14</v>
      </c>
      <c r="D258" t="n">
        <v>15</v>
      </c>
      <c r="E258" t="inlineStr">
        <is>
          <t>Calculation</t>
        </is>
      </c>
      <c r="F258" t="inlineStr">
        <is>
          <t>'=(1+(J14/J13)-1)*O13</t>
        </is>
      </c>
      <c r="G258" t="n">
        <v>127.2329350526441</v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inlineStr">
        <is>
          <t>left</t>
        </is>
      </c>
      <c r="R258" t="b">
        <v>1</v>
      </c>
      <c r="S258" t="inlineStr">
        <is>
          <t>G000162</t>
        </is>
      </c>
      <c r="T258" t="inlineStr">
        <is>
          <t>Vertical</t>
        </is>
      </c>
      <c r="U258" t="n">
        <v>92</v>
      </c>
      <c r="V258" t="b">
        <v>1</v>
      </c>
      <c r="W258" t="inlineStr">
        <is>
          <t>ATF Fuel 2!O3:O94</t>
        </is>
      </c>
      <c r="X258">
        <f>(1+(R[0]C[-5]/R[-1]C[-5])-1)*R[-1]C[0]</f>
        <v/>
      </c>
    </row>
    <row r="259">
      <c r="A259" t="inlineStr">
        <is>
          <t>ATF Fuel 2</t>
        </is>
      </c>
      <c r="B259" t="inlineStr">
        <is>
          <t>P14</t>
        </is>
      </c>
      <c r="C259" t="n">
        <v>14</v>
      </c>
      <c r="D259" t="n">
        <v>16</v>
      </c>
      <c r="E259" t="inlineStr">
        <is>
          <t>Calculation</t>
        </is>
      </c>
      <c r="F259" t="inlineStr">
        <is>
          <t>'=(1+(H14/H13)-1)*P13</t>
        </is>
      </c>
      <c r="G259" t="n">
        <v>142.5413114028244</v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inlineStr">
        <is>
          <t>left</t>
        </is>
      </c>
      <c r="R259" t="b">
        <v>1</v>
      </c>
      <c r="S259" t="inlineStr">
        <is>
          <t>G000161</t>
        </is>
      </c>
      <c r="T259" t="inlineStr">
        <is>
          <t>Vertical</t>
        </is>
      </c>
      <c r="U259" t="n">
        <v>92</v>
      </c>
      <c r="V259" t="b">
        <v>1</v>
      </c>
      <c r="W259" t="inlineStr">
        <is>
          <t>ATF Fuel 2!P3:P94</t>
        </is>
      </c>
      <c r="X259">
        <f>(1+(R[0]C[-8]/R[-1]C[-8])-1)*R[-1]C[0]</f>
        <v/>
      </c>
    </row>
    <row r="260">
      <c r="A260" t="inlineStr">
        <is>
          <t>ATF Fuel 2</t>
        </is>
      </c>
      <c r="B260" t="inlineStr">
        <is>
          <t>Q14</t>
        </is>
      </c>
      <c r="C260" t="n">
        <v>14</v>
      </c>
      <c r="D260" t="n">
        <v>17</v>
      </c>
      <c r="E260" t="inlineStr">
        <is>
          <t>Output</t>
        </is>
      </c>
      <c r="F260" t="inlineStr">
        <is>
          <t>'=M14/N14-1</t>
        </is>
      </c>
      <c r="G260" t="n">
        <v>-0.01933022626682646</v>
      </c>
      <c r="H260" t="inlineStr"/>
      <c r="I260" t="inlineStr">
        <is>
          <t>0.0%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R260" t="b">
        <v>1</v>
      </c>
      <c r="S260" t="inlineStr">
        <is>
          <t>G000153</t>
        </is>
      </c>
      <c r="T260" t="inlineStr">
        <is>
          <t>Vertical</t>
        </is>
      </c>
      <c r="U260" t="n">
        <v>93</v>
      </c>
      <c r="V260" t="b">
        <v>1</v>
      </c>
      <c r="W260" t="inlineStr">
        <is>
          <t>ATF Fuel 2!Q2:Q94</t>
        </is>
      </c>
      <c r="X260">
        <f>R[0]C[-4]/R[0]C[-3]-1</f>
        <v/>
      </c>
    </row>
    <row r="261">
      <c r="A261" t="inlineStr">
        <is>
          <t>ATF Fuel 2</t>
        </is>
      </c>
      <c r="B261" t="inlineStr">
        <is>
          <t>A15</t>
        </is>
      </c>
      <c r="C261" t="n">
        <v>15</v>
      </c>
      <c r="D261" t="n">
        <v>1</v>
      </c>
      <c r="E261" t="inlineStr">
        <is>
          <t>Input</t>
        </is>
      </c>
      <c r="F261" t="n">
        <v/>
      </c>
      <c r="G261" t="inlineStr">
        <is>
          <t>May 01, 2011</t>
        </is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ATF Fuel 2</t>
        </is>
      </c>
      <c r="B262" t="inlineStr">
        <is>
          <t>B15</t>
        </is>
      </c>
      <c r="C262" t="n">
        <v>15</v>
      </c>
      <c r="D262" t="n">
        <v>2</v>
      </c>
      <c r="E262" t="inlineStr">
        <is>
          <t>Input</t>
        </is>
      </c>
      <c r="F262" t="n">
        <v/>
      </c>
      <c r="G262" t="n">
        <v>63967.75</v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ATF Fuel 2</t>
        </is>
      </c>
      <c r="B263" t="inlineStr">
        <is>
          <t>C15</t>
        </is>
      </c>
      <c r="C263" t="n">
        <v>15</v>
      </c>
      <c r="D263" t="n">
        <v>3</v>
      </c>
      <c r="E263" t="inlineStr">
        <is>
          <t>Output</t>
        </is>
      </c>
      <c r="F263" t="inlineStr">
        <is>
          <t>'=B15/B14-1</t>
        </is>
      </c>
      <c r="G263" t="n">
        <v>0.02417064496721189</v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n">
        <v/>
      </c>
      <c r="N263" t="inlineStr">
        <is>
          <t>00000000</t>
        </is>
      </c>
      <c r="O263" t="n">
        <v/>
      </c>
      <c r="R263" t="b">
        <v>1</v>
      </c>
      <c r="S263" t="inlineStr">
        <is>
          <t>G000154</t>
        </is>
      </c>
      <c r="T263" t="inlineStr">
        <is>
          <t>Vertical</t>
        </is>
      </c>
      <c r="U263" t="n">
        <v>92</v>
      </c>
      <c r="V263" t="b">
        <v>1</v>
      </c>
      <c r="W263" t="inlineStr">
        <is>
          <t>ATF Fuel 2!C3:C94</t>
        </is>
      </c>
      <c r="X263">
        <f>R[0]C[-1]/R[-1]C[-1]-1</f>
        <v/>
      </c>
    </row>
    <row r="264">
      <c r="A264" t="inlineStr">
        <is>
          <t>ATF Fuel 2</t>
        </is>
      </c>
      <c r="B264" t="inlineStr">
        <is>
          <t>D15</t>
        </is>
      </c>
      <c r="C264" t="n">
        <v>15</v>
      </c>
      <c r="D264" t="n">
        <v>4</v>
      </c>
      <c r="E264" t="inlineStr">
        <is>
          <t>Input</t>
        </is>
      </c>
      <c r="F264" t="n">
        <v/>
      </c>
      <c r="G264" t="n">
        <v>44.29</v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ATF Fuel 2</t>
        </is>
      </c>
      <c r="B265" t="inlineStr">
        <is>
          <t>E15</t>
        </is>
      </c>
      <c r="C265" t="n">
        <v>15</v>
      </c>
      <c r="D265" t="n">
        <v>5</v>
      </c>
      <c r="E265" t="inlineStr">
        <is>
          <t>Output</t>
        </is>
      </c>
      <c r="F265" t="inlineStr">
        <is>
          <t>'=B15/B14-1</t>
        </is>
      </c>
      <c r="G265" t="n">
        <v>0.02417064496721189</v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R265" t="b">
        <v>1</v>
      </c>
      <c r="S265" t="inlineStr">
        <is>
          <t>G000158</t>
        </is>
      </c>
      <c r="T265" t="inlineStr">
        <is>
          <t>Vertical</t>
        </is>
      </c>
      <c r="U265" t="n">
        <v>92</v>
      </c>
      <c r="V265" t="b">
        <v>1</v>
      </c>
      <c r="W265" t="inlineStr">
        <is>
          <t>ATF Fuel 2!E3:E94</t>
        </is>
      </c>
      <c r="X265">
        <f>R[0]C[-3]/R[-1]C[-3]-1</f>
        <v/>
      </c>
    </row>
    <row r="266">
      <c r="A266" t="inlineStr">
        <is>
          <t>ATF Fuel 2</t>
        </is>
      </c>
      <c r="B266" t="inlineStr">
        <is>
          <t>F15</t>
        </is>
      </c>
      <c r="C266" t="n">
        <v>15</v>
      </c>
      <c r="D266" t="n">
        <v>6</v>
      </c>
      <c r="E266" t="inlineStr">
        <is>
          <t>Input</t>
        </is>
      </c>
      <c r="F266" t="n">
        <v/>
      </c>
      <c r="G266" t="n">
        <v>121.55</v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ATF Fuel 2</t>
        </is>
      </c>
      <c r="B267" t="inlineStr">
        <is>
          <t>G15</t>
        </is>
      </c>
      <c r="C267" t="n">
        <v>15</v>
      </c>
      <c r="D267" t="n">
        <v>7</v>
      </c>
      <c r="E267" t="inlineStr">
        <is>
          <t>Output</t>
        </is>
      </c>
      <c r="F267" t="inlineStr">
        <is>
          <t>'=F15/F14-1</t>
        </is>
      </c>
      <c r="G267" t="n">
        <v>0.0246143471297311</v>
      </c>
      <c r="H267" t="inlineStr"/>
      <c r="I267" t="inlineStr">
        <is>
          <t>0%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n">
        <v/>
      </c>
      <c r="R267" t="b">
        <v>1</v>
      </c>
      <c r="S267" t="inlineStr">
        <is>
          <t>G000155</t>
        </is>
      </c>
      <c r="T267" t="inlineStr">
        <is>
          <t>Vertical</t>
        </is>
      </c>
      <c r="U267" t="n">
        <v>93</v>
      </c>
      <c r="V267" t="b">
        <v>1</v>
      </c>
      <c r="W267" t="inlineStr">
        <is>
          <t>ATF Fuel 2!G3:G95</t>
        </is>
      </c>
      <c r="X267">
        <f>R[0]C[-1]/R[-1]C[-1]-1</f>
        <v/>
      </c>
    </row>
    <row r="268">
      <c r="A268" t="inlineStr">
        <is>
          <t>ATF Fuel 2</t>
        </is>
      </c>
      <c r="B268" t="inlineStr">
        <is>
          <t>H15</t>
        </is>
      </c>
      <c r="C268" t="n">
        <v>15</v>
      </c>
      <c r="D268" t="n">
        <v>8</v>
      </c>
      <c r="E268" t="inlineStr">
        <is>
          <t>Calculation</t>
        </is>
      </c>
      <c r="F268" t="inlineStr">
        <is>
          <t>'=D15*F15</t>
        </is>
      </c>
      <c r="G268" t="n">
        <v>5383.4495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00000000</t>
        </is>
      </c>
      <c r="O268" t="n">
        <v/>
      </c>
      <c r="R268" t="b">
        <v>1</v>
      </c>
      <c r="S268" t="inlineStr">
        <is>
          <t>G000152</t>
        </is>
      </c>
      <c r="T268" t="inlineStr">
        <is>
          <t>Vertical</t>
        </is>
      </c>
      <c r="U268" t="n">
        <v>98</v>
      </c>
      <c r="V268" t="b">
        <v>1</v>
      </c>
      <c r="W268" t="inlineStr">
        <is>
          <t>ATF Fuel 2!H2:H99</t>
        </is>
      </c>
      <c r="X268">
        <f>R[0]C[-4]*R[0]C[-2]</f>
        <v/>
      </c>
    </row>
    <row r="269">
      <c r="A269" t="inlineStr">
        <is>
          <t>ATF Fuel 2</t>
        </is>
      </c>
      <c r="B269" t="inlineStr">
        <is>
          <t>I15</t>
        </is>
      </c>
      <c r="C269" t="n">
        <v>15</v>
      </c>
      <c r="D269" t="n">
        <v>9</v>
      </c>
      <c r="E269" t="inlineStr">
        <is>
          <t>Output</t>
        </is>
      </c>
      <c r="F269" t="inlineStr">
        <is>
          <t>'=H15/H14-1</t>
        </is>
      </c>
      <c r="G269" t="n">
        <v>0.02115592786624187</v>
      </c>
      <c r="H269" t="inlineStr"/>
      <c r="I269" t="inlineStr">
        <is>
          <t>0%</t>
        </is>
      </c>
      <c r="J269" t="b">
        <v>0</v>
      </c>
      <c r="K269" t="b">
        <v>0</v>
      </c>
      <c r="L269" t="n">
        <v>11</v>
      </c>
      <c r="M269" t="inlineStr">
        <is>
          <t>FFFF0000</t>
        </is>
      </c>
      <c r="N269" t="inlineStr">
        <is>
          <t>00000000</t>
        </is>
      </c>
      <c r="O269" t="n">
        <v/>
      </c>
      <c r="R269" t="b">
        <v>1</v>
      </c>
      <c r="S269" t="inlineStr">
        <is>
          <t>G000156</t>
        </is>
      </c>
      <c r="T269" t="inlineStr">
        <is>
          <t>Vertical</t>
        </is>
      </c>
      <c r="U269" t="n">
        <v>97</v>
      </c>
      <c r="V269" t="b">
        <v>1</v>
      </c>
      <c r="W269" t="inlineStr">
        <is>
          <t>ATF Fuel 2!I3:I99</t>
        </is>
      </c>
      <c r="X269">
        <f>R[0]C[-1]/R[-1]C[-1]-1</f>
        <v/>
      </c>
    </row>
    <row r="270">
      <c r="A270" t="inlineStr">
        <is>
          <t>ATF Fuel 2</t>
        </is>
      </c>
      <c r="B270" t="inlineStr">
        <is>
          <t>J15</t>
        </is>
      </c>
      <c r="C270" t="n">
        <v>15</v>
      </c>
      <c r="D270" t="n">
        <v>10</v>
      </c>
      <c r="E270" t="inlineStr">
        <is>
          <t>Input</t>
        </is>
      </c>
      <c r="F270" t="n">
        <v/>
      </c>
      <c r="G270" t="n">
        <v>113.03</v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ATF Fuel 2</t>
        </is>
      </c>
      <c r="B271" t="inlineStr">
        <is>
          <t>K15</t>
        </is>
      </c>
      <c r="C271" t="n">
        <v>15</v>
      </c>
      <c r="D271" t="n">
        <v>11</v>
      </c>
      <c r="E271" t="inlineStr">
        <is>
          <t>Output</t>
        </is>
      </c>
      <c r="F271" t="inlineStr">
        <is>
          <t>'=J15/J14-1</t>
        </is>
      </c>
      <c r="G271" t="n">
        <v>0.05095304509530463</v>
      </c>
      <c r="H271" t="inlineStr"/>
      <c r="I271" t="inlineStr">
        <is>
          <t>0%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n">
        <v/>
      </c>
      <c r="R271" t="b">
        <v>1</v>
      </c>
      <c r="S271" t="inlineStr">
        <is>
          <t>G000157</t>
        </is>
      </c>
      <c r="T271" t="inlineStr">
        <is>
          <t>Vertical</t>
        </is>
      </c>
      <c r="U271" t="n">
        <v>93</v>
      </c>
      <c r="V271" t="b">
        <v>1</v>
      </c>
      <c r="W271" t="inlineStr">
        <is>
          <t>ATF Fuel 2!K3:K95</t>
        </is>
      </c>
      <c r="X271">
        <f>R[0]C[-1]/R[-1]C[-1]-1</f>
        <v/>
      </c>
    </row>
    <row r="272">
      <c r="A272" t="inlineStr">
        <is>
          <t>ATF Fuel 2</t>
        </is>
      </c>
      <c r="B272" t="inlineStr">
        <is>
          <t>L15</t>
        </is>
      </c>
      <c r="C272" t="n">
        <v>15</v>
      </c>
      <c r="D272" t="n">
        <v>12</v>
      </c>
      <c r="E272" t="inlineStr">
        <is>
          <t>Input</t>
        </is>
      </c>
      <c r="F272" t="n">
        <v/>
      </c>
      <c r="G272" t="inlineStr">
        <is>
          <t>May 01, 2011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inlineStr">
        <is>
          <t>left</t>
        </is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ATF Fuel 2</t>
        </is>
      </c>
      <c r="B273" t="inlineStr">
        <is>
          <t>M15</t>
        </is>
      </c>
      <c r="C273" t="n">
        <v>15</v>
      </c>
      <c r="D273" t="n">
        <v>13</v>
      </c>
      <c r="E273" t="inlineStr">
        <is>
          <t>Calculation</t>
        </is>
      </c>
      <c r="F273" t="inlineStr">
        <is>
          <t>'=(1+(B15/B14)-1)*M14</t>
        </is>
      </c>
      <c r="G273" t="n">
        <v>144.1955610347437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inlineStr">
        <is>
          <t>left</t>
        </is>
      </c>
      <c r="R273" t="b">
        <v>1</v>
      </c>
      <c r="S273" t="inlineStr">
        <is>
          <t>G000159</t>
        </is>
      </c>
      <c r="T273" t="inlineStr">
        <is>
          <t>Vertical</t>
        </is>
      </c>
      <c r="U273" t="n">
        <v>92</v>
      </c>
      <c r="V273" t="b">
        <v>1</v>
      </c>
      <c r="W273" t="inlineStr">
        <is>
          <t>ATF Fuel 2!M3:M94</t>
        </is>
      </c>
      <c r="X273">
        <f>(1+(R[0]C[-11]/R[-1]C[-11])-1)*R[-1]C[0]</f>
        <v/>
      </c>
    </row>
    <row r="274">
      <c r="A274" t="inlineStr">
        <is>
          <t>ATF Fuel 2</t>
        </is>
      </c>
      <c r="B274" t="inlineStr">
        <is>
          <t>N15</t>
        </is>
      </c>
      <c r="C274" t="n">
        <v>15</v>
      </c>
      <c r="D274" t="n">
        <v>14</v>
      </c>
      <c r="E274" t="inlineStr">
        <is>
          <t>Calculation</t>
        </is>
      </c>
      <c r="F274" t="inlineStr">
        <is>
          <t>'=(1+(F15/F14)-1)*N14</t>
        </is>
      </c>
      <c r="G274" t="n">
        <v>147.1015369720442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inlineStr">
        <is>
          <t>left</t>
        </is>
      </c>
      <c r="R274" t="b">
        <v>1</v>
      </c>
      <c r="S274" t="inlineStr">
        <is>
          <t>G000160</t>
        </is>
      </c>
      <c r="T274" t="inlineStr">
        <is>
          <t>Vertical</t>
        </is>
      </c>
      <c r="U274" t="n">
        <v>92</v>
      </c>
      <c r="V274" t="b">
        <v>1</v>
      </c>
      <c r="W274" t="inlineStr">
        <is>
          <t>ATF Fuel 2!N3:N94</t>
        </is>
      </c>
      <c r="X274">
        <f>(1+(R[0]C[-8]/R[-1]C[-8])-1)*R[-1]C[0]</f>
        <v/>
      </c>
    </row>
    <row r="275">
      <c r="A275" t="inlineStr">
        <is>
          <t>ATF Fuel 2</t>
        </is>
      </c>
      <c r="B275" t="inlineStr">
        <is>
          <t>O15</t>
        </is>
      </c>
      <c r="C275" t="n">
        <v>15</v>
      </c>
      <c r="D275" t="n">
        <v>15</v>
      </c>
      <c r="E275" t="inlineStr">
        <is>
          <t>Calculation</t>
        </is>
      </c>
      <c r="F275" t="inlineStr">
        <is>
          <t>'=(1+(J15/J14)-1)*O14</t>
        </is>
      </c>
      <c r="G275" t="n">
        <v>133.7158405299894</v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00000000</t>
        </is>
      </c>
      <c r="O275" t="inlineStr">
        <is>
          <t>left</t>
        </is>
      </c>
      <c r="R275" t="b">
        <v>1</v>
      </c>
      <c r="S275" t="inlineStr">
        <is>
          <t>G000162</t>
        </is>
      </c>
      <c r="T275" t="inlineStr">
        <is>
          <t>Vertical</t>
        </is>
      </c>
      <c r="U275" t="n">
        <v>92</v>
      </c>
      <c r="V275" t="b">
        <v>1</v>
      </c>
      <c r="W275" t="inlineStr">
        <is>
          <t>ATF Fuel 2!O3:O94</t>
        </is>
      </c>
      <c r="X275">
        <f>(1+(R[0]C[-5]/R[-1]C[-5])-1)*R[-1]C[0]</f>
        <v/>
      </c>
    </row>
    <row r="276">
      <c r="A276" t="inlineStr">
        <is>
          <t>ATF Fuel 2</t>
        </is>
      </c>
      <c r="B276" t="inlineStr">
        <is>
          <t>P15</t>
        </is>
      </c>
      <c r="C276" t="n">
        <v>15</v>
      </c>
      <c r="D276" t="n">
        <v>16</v>
      </c>
      <c r="E276" t="inlineStr">
        <is>
          <t>Calculation</t>
        </is>
      </c>
      <c r="F276" t="inlineStr">
        <is>
          <t>'=(1+(H15/H14)-1)*P14</t>
        </is>
      </c>
      <c r="G276" t="n">
        <v>145.5569051048221</v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00000000</t>
        </is>
      </c>
      <c r="O276" t="inlineStr">
        <is>
          <t>left</t>
        </is>
      </c>
      <c r="R276" t="b">
        <v>1</v>
      </c>
      <c r="S276" t="inlineStr">
        <is>
          <t>G000161</t>
        </is>
      </c>
      <c r="T276" t="inlineStr">
        <is>
          <t>Vertical</t>
        </is>
      </c>
      <c r="U276" t="n">
        <v>92</v>
      </c>
      <c r="V276" t="b">
        <v>1</v>
      </c>
      <c r="W276" t="inlineStr">
        <is>
          <t>ATF Fuel 2!P3:P94</t>
        </is>
      </c>
      <c r="X276">
        <f>(1+(R[0]C[-8]/R[-1]C[-8])-1)*R[-1]C[0]</f>
        <v/>
      </c>
    </row>
    <row r="277">
      <c r="A277" t="inlineStr">
        <is>
          <t>ATF Fuel 2</t>
        </is>
      </c>
      <c r="B277" t="inlineStr">
        <is>
          <t>Q15</t>
        </is>
      </c>
      <c r="C277" t="n">
        <v>15</v>
      </c>
      <c r="D277" t="n">
        <v>17</v>
      </c>
      <c r="E277" t="inlineStr">
        <is>
          <t>Output</t>
        </is>
      </c>
      <c r="F277" t="inlineStr">
        <is>
          <t>'=M15/N15-1</t>
        </is>
      </c>
      <c r="G277" t="n">
        <v>-0.01975489853551116</v>
      </c>
      <c r="H277" t="inlineStr"/>
      <c r="I277" t="inlineStr">
        <is>
          <t>0.0%</t>
        </is>
      </c>
      <c r="J277" t="b">
        <v>0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00000000</t>
        </is>
      </c>
      <c r="O277" t="n">
        <v/>
      </c>
      <c r="R277" t="b">
        <v>1</v>
      </c>
      <c r="S277" t="inlineStr">
        <is>
          <t>G000153</t>
        </is>
      </c>
      <c r="T277" t="inlineStr">
        <is>
          <t>Vertical</t>
        </is>
      </c>
      <c r="U277" t="n">
        <v>93</v>
      </c>
      <c r="V277" t="b">
        <v>1</v>
      </c>
      <c r="W277" t="inlineStr">
        <is>
          <t>ATF Fuel 2!Q2:Q94</t>
        </is>
      </c>
      <c r="X277">
        <f>R[0]C[-4]/R[0]C[-3]-1</f>
        <v/>
      </c>
    </row>
    <row r="278">
      <c r="A278" t="inlineStr">
        <is>
          <t>ATF Fuel 2</t>
        </is>
      </c>
      <c r="B278" t="inlineStr">
        <is>
          <t>A16</t>
        </is>
      </c>
      <c r="C278" t="n">
        <v>16</v>
      </c>
      <c r="D278" t="n">
        <v>1</v>
      </c>
      <c r="E278" t="inlineStr">
        <is>
          <t>Input</t>
        </is>
      </c>
      <c r="F278" t="n">
        <v/>
      </c>
      <c r="G278" t="inlineStr">
        <is>
          <t>June 01, 2011</t>
        </is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00000000</t>
        </is>
      </c>
      <c r="O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ATF Fuel 2</t>
        </is>
      </c>
      <c r="B279" t="inlineStr">
        <is>
          <t>B16</t>
        </is>
      </c>
      <c r="C279" t="n">
        <v>16</v>
      </c>
      <c r="D279" t="n">
        <v>2</v>
      </c>
      <c r="E279" t="inlineStr">
        <is>
          <t>Input</t>
        </is>
      </c>
      <c r="F279" t="n">
        <v/>
      </c>
      <c r="G279" t="n">
        <v>59747.9725</v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00000000</t>
        </is>
      </c>
      <c r="O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ATF Fuel 2</t>
        </is>
      </c>
      <c r="B280" t="inlineStr">
        <is>
          <t>C16</t>
        </is>
      </c>
      <c r="C280" t="n">
        <v>16</v>
      </c>
      <c r="D280" t="n">
        <v>3</v>
      </c>
      <c r="E280" t="inlineStr">
        <is>
          <t>Output</t>
        </is>
      </c>
      <c r="F280" t="inlineStr">
        <is>
          <t>'=B16/B15-1</t>
        </is>
      </c>
      <c r="G280" t="n">
        <v>-0.06596726475450509</v>
      </c>
      <c r="H280" t="inlineStr"/>
      <c r="I280" t="inlineStr">
        <is>
          <t>0%</t>
        </is>
      </c>
      <c r="J280" t="b">
        <v>0</v>
      </c>
      <c r="K280" t="b">
        <v>0</v>
      </c>
      <c r="L280" t="n">
        <v>11</v>
      </c>
      <c r="M280" t="n">
        <v/>
      </c>
      <c r="N280" t="inlineStr">
        <is>
          <t>00000000</t>
        </is>
      </c>
      <c r="O280" t="n">
        <v/>
      </c>
      <c r="R280" t="b">
        <v>1</v>
      </c>
      <c r="S280" t="inlineStr">
        <is>
          <t>G000154</t>
        </is>
      </c>
      <c r="T280" t="inlineStr">
        <is>
          <t>Vertical</t>
        </is>
      </c>
      <c r="U280" t="n">
        <v>92</v>
      </c>
      <c r="V280" t="b">
        <v>1</v>
      </c>
      <c r="W280" t="inlineStr">
        <is>
          <t>ATF Fuel 2!C3:C94</t>
        </is>
      </c>
      <c r="X280">
        <f>R[0]C[-1]/R[-1]C[-1]-1</f>
        <v/>
      </c>
    </row>
    <row r="281">
      <c r="A281" t="inlineStr">
        <is>
          <t>ATF Fuel 2</t>
        </is>
      </c>
      <c r="B281" t="inlineStr">
        <is>
          <t>D16</t>
        </is>
      </c>
      <c r="C281" t="n">
        <v>16</v>
      </c>
      <c r="D281" t="n">
        <v>4</v>
      </c>
      <c r="E281" t="inlineStr">
        <is>
          <t>Input</t>
        </is>
      </c>
      <c r="F281" t="n">
        <v/>
      </c>
      <c r="G281" t="n">
        <v>44.985</v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00000000</t>
        </is>
      </c>
      <c r="O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ATF Fuel 2</t>
        </is>
      </c>
      <c r="B282" t="inlineStr">
        <is>
          <t>E16</t>
        </is>
      </c>
      <c r="C282" t="n">
        <v>16</v>
      </c>
      <c r="D282" t="n">
        <v>5</v>
      </c>
      <c r="E282" t="inlineStr">
        <is>
          <t>Output</t>
        </is>
      </c>
      <c r="F282" t="inlineStr">
        <is>
          <t>'=B16/B15-1</t>
        </is>
      </c>
      <c r="G282" t="n">
        <v>-0.06596726475450509</v>
      </c>
      <c r="H282" t="inlineStr"/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00000000</t>
        </is>
      </c>
      <c r="O282" t="n">
        <v/>
      </c>
      <c r="R282" t="b">
        <v>1</v>
      </c>
      <c r="S282" t="inlineStr">
        <is>
          <t>G000158</t>
        </is>
      </c>
      <c r="T282" t="inlineStr">
        <is>
          <t>Vertical</t>
        </is>
      </c>
      <c r="U282" t="n">
        <v>92</v>
      </c>
      <c r="V282" t="b">
        <v>1</v>
      </c>
      <c r="W282" t="inlineStr">
        <is>
          <t>ATF Fuel 2!E3:E94</t>
        </is>
      </c>
      <c r="X282">
        <f>R[0]C[-3]/R[-1]C[-3]-1</f>
        <v/>
      </c>
    </row>
    <row r="283">
      <c r="A283" t="inlineStr">
        <is>
          <t>ATF Fuel 2</t>
        </is>
      </c>
      <c r="B283" t="inlineStr">
        <is>
          <t>F16</t>
        </is>
      </c>
      <c r="C283" t="n">
        <v>16</v>
      </c>
      <c r="D283" t="n">
        <v>6</v>
      </c>
      <c r="E283" t="inlineStr">
        <is>
          <t>Input</t>
        </is>
      </c>
      <c r="F283" t="n">
        <v/>
      </c>
      <c r="G283" t="n">
        <v>115.09</v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00000000</t>
        </is>
      </c>
      <c r="O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ATF Fuel 2</t>
        </is>
      </c>
      <c r="B284" t="inlineStr">
        <is>
          <t>G16</t>
        </is>
      </c>
      <c r="C284" t="n">
        <v>16</v>
      </c>
      <c r="D284" t="n">
        <v>7</v>
      </c>
      <c r="E284" t="inlineStr">
        <is>
          <t>Output</t>
        </is>
      </c>
      <c r="F284" t="inlineStr">
        <is>
          <t>'=F16/F15-1</t>
        </is>
      </c>
      <c r="G284" t="n">
        <v>-0.05314685314685308</v>
      </c>
      <c r="H284" t="inlineStr"/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00000000</t>
        </is>
      </c>
      <c r="O284" t="n">
        <v/>
      </c>
      <c r="R284" t="b">
        <v>1</v>
      </c>
      <c r="S284" t="inlineStr">
        <is>
          <t>G000155</t>
        </is>
      </c>
      <c r="T284" t="inlineStr">
        <is>
          <t>Vertical</t>
        </is>
      </c>
      <c r="U284" t="n">
        <v>93</v>
      </c>
      <c r="V284" t="b">
        <v>1</v>
      </c>
      <c r="W284" t="inlineStr">
        <is>
          <t>ATF Fuel 2!G3:G95</t>
        </is>
      </c>
      <c r="X284">
        <f>R[0]C[-1]/R[-1]C[-1]-1</f>
        <v/>
      </c>
    </row>
    <row r="285">
      <c r="A285" t="inlineStr">
        <is>
          <t>ATF Fuel 2</t>
        </is>
      </c>
      <c r="B285" t="inlineStr">
        <is>
          <t>H16</t>
        </is>
      </c>
      <c r="C285" t="n">
        <v>16</v>
      </c>
      <c r="D285" t="n">
        <v>8</v>
      </c>
      <c r="E285" t="inlineStr">
        <is>
          <t>Calculation</t>
        </is>
      </c>
      <c r="F285" t="inlineStr">
        <is>
          <t>'=D16*F16</t>
        </is>
      </c>
      <c r="G285" t="n">
        <v>5177.32365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n">
        <v/>
      </c>
      <c r="R285" t="b">
        <v>1</v>
      </c>
      <c r="S285" t="inlineStr">
        <is>
          <t>G000152</t>
        </is>
      </c>
      <c r="T285" t="inlineStr">
        <is>
          <t>Vertical</t>
        </is>
      </c>
      <c r="U285" t="n">
        <v>98</v>
      </c>
      <c r="V285" t="b">
        <v>1</v>
      </c>
      <c r="W285" t="inlineStr">
        <is>
          <t>ATF Fuel 2!H2:H99</t>
        </is>
      </c>
      <c r="X285">
        <f>R[0]C[-4]*R[0]C[-2]</f>
        <v/>
      </c>
    </row>
    <row r="286">
      <c r="A286" t="inlineStr">
        <is>
          <t>ATF Fuel 2</t>
        </is>
      </c>
      <c r="B286" t="inlineStr">
        <is>
          <t>I16</t>
        </is>
      </c>
      <c r="C286" t="n">
        <v>16</v>
      </c>
      <c r="D286" t="n">
        <v>9</v>
      </c>
      <c r="E286" t="inlineStr">
        <is>
          <t>Output</t>
        </is>
      </c>
      <c r="F286" t="inlineStr">
        <is>
          <t>'=H16/H15-1</t>
        </is>
      </c>
      <c r="G286" t="n">
        <v>-0.03828880534683188</v>
      </c>
      <c r="H286" t="inlineStr"/>
      <c r="I286" t="inlineStr">
        <is>
          <t>0%</t>
        </is>
      </c>
      <c r="J286" t="b">
        <v>0</v>
      </c>
      <c r="K286" t="b">
        <v>0</v>
      </c>
      <c r="L286" t="n">
        <v>11</v>
      </c>
      <c r="M286" t="inlineStr">
        <is>
          <t>FFFF0000</t>
        </is>
      </c>
      <c r="N286" t="inlineStr">
        <is>
          <t>00000000</t>
        </is>
      </c>
      <c r="O286" t="n">
        <v/>
      </c>
      <c r="R286" t="b">
        <v>1</v>
      </c>
      <c r="S286" t="inlineStr">
        <is>
          <t>G000156</t>
        </is>
      </c>
      <c r="T286" t="inlineStr">
        <is>
          <t>Vertical</t>
        </is>
      </c>
      <c r="U286" t="n">
        <v>97</v>
      </c>
      <c r="V286" t="b">
        <v>1</v>
      </c>
      <c r="W286" t="inlineStr">
        <is>
          <t>ATF Fuel 2!I3:I99</t>
        </is>
      </c>
      <c r="X286">
        <f>R[0]C[-1]/R[-1]C[-1]-1</f>
        <v/>
      </c>
    </row>
    <row r="287">
      <c r="A287" t="inlineStr">
        <is>
          <t>ATF Fuel 2</t>
        </is>
      </c>
      <c r="B287" t="inlineStr">
        <is>
          <t>J16</t>
        </is>
      </c>
      <c r="C287" t="n">
        <v>16</v>
      </c>
      <c r="D287" t="n">
        <v>10</v>
      </c>
      <c r="E287" t="inlineStr">
        <is>
          <t>Input</t>
        </is>
      </c>
      <c r="F287" t="n">
        <v/>
      </c>
      <c r="G287" t="n">
        <v>100.3</v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ATF Fuel 2</t>
        </is>
      </c>
      <c r="B288" t="inlineStr">
        <is>
          <t>K16</t>
        </is>
      </c>
      <c r="C288" t="n">
        <v>16</v>
      </c>
      <c r="D288" t="n">
        <v>11</v>
      </c>
      <c r="E288" t="inlineStr">
        <is>
          <t>Output</t>
        </is>
      </c>
      <c r="F288" t="inlineStr">
        <is>
          <t>'=J16/J15-1</t>
        </is>
      </c>
      <c r="G288" t="n">
        <v>-0.1126249668229674</v>
      </c>
      <c r="H288" t="inlineStr"/>
      <c r="I288" t="inlineStr">
        <is>
          <t>0%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R288" t="b">
        <v>1</v>
      </c>
      <c r="S288" t="inlineStr">
        <is>
          <t>G000157</t>
        </is>
      </c>
      <c r="T288" t="inlineStr">
        <is>
          <t>Vertical</t>
        </is>
      </c>
      <c r="U288" t="n">
        <v>93</v>
      </c>
      <c r="V288" t="b">
        <v>1</v>
      </c>
      <c r="W288" t="inlineStr">
        <is>
          <t>ATF Fuel 2!K3:K95</t>
        </is>
      </c>
      <c r="X288">
        <f>R[0]C[-1]/R[-1]C[-1]-1</f>
        <v/>
      </c>
    </row>
    <row r="289">
      <c r="A289" t="inlineStr">
        <is>
          <t>ATF Fuel 2</t>
        </is>
      </c>
      <c r="B289" t="inlineStr">
        <is>
          <t>L16</t>
        </is>
      </c>
      <c r="C289" t="n">
        <v>16</v>
      </c>
      <c r="D289" t="n">
        <v>12</v>
      </c>
      <c r="E289" t="inlineStr">
        <is>
          <t>Input</t>
        </is>
      </c>
      <c r="F289" t="n">
        <v/>
      </c>
      <c r="G289" t="inlineStr">
        <is>
          <t>June 01, 2011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inlineStr">
        <is>
          <t>left</t>
        </is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ATF Fuel 2</t>
        </is>
      </c>
      <c r="B290" t="inlineStr">
        <is>
          <t>M16</t>
        </is>
      </c>
      <c r="C290" t="n">
        <v>16</v>
      </c>
      <c r="D290" t="n">
        <v>13</v>
      </c>
      <c r="E290" t="inlineStr">
        <is>
          <t>Calculation</t>
        </is>
      </c>
      <c r="F290" t="inlineStr">
        <is>
          <t>'=(1+(B16/B15)-1)*M15</t>
        </is>
      </c>
      <c r="G290" t="n">
        <v>134.6833742835404</v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inlineStr">
        <is>
          <t>left</t>
        </is>
      </c>
      <c r="R290" t="b">
        <v>1</v>
      </c>
      <c r="S290" t="inlineStr">
        <is>
          <t>G000159</t>
        </is>
      </c>
      <c r="T290" t="inlineStr">
        <is>
          <t>Vertical</t>
        </is>
      </c>
      <c r="U290" t="n">
        <v>92</v>
      </c>
      <c r="V290" t="b">
        <v>1</v>
      </c>
      <c r="W290" t="inlineStr">
        <is>
          <t>ATF Fuel 2!M3:M94</t>
        </is>
      </c>
      <c r="X290">
        <f>(1+(R[0]C[-11]/R[-1]C[-11])-1)*R[-1]C[0]</f>
        <v/>
      </c>
    </row>
    <row r="291">
      <c r="A291" t="inlineStr">
        <is>
          <t>ATF Fuel 2</t>
        </is>
      </c>
      <c r="B291" t="inlineStr">
        <is>
          <t>N16</t>
        </is>
      </c>
      <c r="C291" t="n">
        <v>16</v>
      </c>
      <c r="D291" t="n">
        <v>14</v>
      </c>
      <c r="E291" t="inlineStr">
        <is>
          <t>Calculation</t>
        </is>
      </c>
      <c r="F291" t="inlineStr">
        <is>
          <t>'=(1+(F16/F15)-1)*N15</t>
        </is>
      </c>
      <c r="G291" t="n">
        <v>139.2835531889145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inlineStr">
        <is>
          <t>left</t>
        </is>
      </c>
      <c r="R291" t="b">
        <v>1</v>
      </c>
      <c r="S291" t="inlineStr">
        <is>
          <t>G000160</t>
        </is>
      </c>
      <c r="T291" t="inlineStr">
        <is>
          <t>Vertical</t>
        </is>
      </c>
      <c r="U291" t="n">
        <v>92</v>
      </c>
      <c r="V291" t="b">
        <v>1</v>
      </c>
      <c r="W291" t="inlineStr">
        <is>
          <t>ATF Fuel 2!N3:N94</t>
        </is>
      </c>
      <c r="X291">
        <f>(1+(R[0]C[-8]/R[-1]C[-8])-1)*R[-1]C[0]</f>
        <v/>
      </c>
    </row>
    <row r="292">
      <c r="A292" t="inlineStr">
        <is>
          <t>ATF Fuel 2</t>
        </is>
      </c>
      <c r="B292" t="inlineStr">
        <is>
          <t>O16</t>
        </is>
      </c>
      <c r="C292" t="n">
        <v>16</v>
      </c>
      <c r="D292" t="n">
        <v>15</v>
      </c>
      <c r="E292" t="inlineStr">
        <is>
          <t>Calculation</t>
        </is>
      </c>
      <c r="F292" t="inlineStr">
        <is>
          <t>'=(1+(J16/J15)-1)*O15</t>
        </is>
      </c>
      <c r="G292" t="n">
        <v>118.6560984265942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inlineStr">
        <is>
          <t>left</t>
        </is>
      </c>
      <c r="R292" t="b">
        <v>1</v>
      </c>
      <c r="S292" t="inlineStr">
        <is>
          <t>G000162</t>
        </is>
      </c>
      <c r="T292" t="inlineStr">
        <is>
          <t>Vertical</t>
        </is>
      </c>
      <c r="U292" t="n">
        <v>92</v>
      </c>
      <c r="V292" t="b">
        <v>1</v>
      </c>
      <c r="W292" t="inlineStr">
        <is>
          <t>ATF Fuel 2!O3:O94</t>
        </is>
      </c>
      <c r="X292">
        <f>(1+(R[0]C[-5]/R[-1]C[-5])-1)*R[-1]C[0]</f>
        <v/>
      </c>
    </row>
    <row r="293">
      <c r="A293" t="inlineStr">
        <is>
          <t>ATF Fuel 2</t>
        </is>
      </c>
      <c r="B293" t="inlineStr">
        <is>
          <t>P16</t>
        </is>
      </c>
      <c r="C293" t="n">
        <v>16</v>
      </c>
      <c r="D293" t="n">
        <v>16</v>
      </c>
      <c r="E293" t="inlineStr">
        <is>
          <t>Calculation</t>
        </is>
      </c>
      <c r="F293" t="inlineStr">
        <is>
          <t>'=(1+(H16/H15)-1)*P15</t>
        </is>
      </c>
      <c r="G293" t="n">
        <v>139.9837050983762</v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inlineStr">
        <is>
          <t>left</t>
        </is>
      </c>
      <c r="R293" t="b">
        <v>1</v>
      </c>
      <c r="S293" t="inlineStr">
        <is>
          <t>G000161</t>
        </is>
      </c>
      <c r="T293" t="inlineStr">
        <is>
          <t>Vertical</t>
        </is>
      </c>
      <c r="U293" t="n">
        <v>92</v>
      </c>
      <c r="V293" t="b">
        <v>1</v>
      </c>
      <c r="W293" t="inlineStr">
        <is>
          <t>ATF Fuel 2!P3:P94</t>
        </is>
      </c>
      <c r="X293">
        <f>(1+(R[0]C[-8]/R[-1]C[-8])-1)*R[-1]C[0]</f>
        <v/>
      </c>
    </row>
    <row r="294">
      <c r="A294" t="inlineStr">
        <is>
          <t>ATF Fuel 2</t>
        </is>
      </c>
      <c r="B294" t="inlineStr">
        <is>
          <t>Q16</t>
        </is>
      </c>
      <c r="C294" t="n">
        <v>16</v>
      </c>
      <c r="D294" t="n">
        <v>17</v>
      </c>
      <c r="E294" t="inlineStr">
        <is>
          <t>Output</t>
        </is>
      </c>
      <c r="F294" t="inlineStr">
        <is>
          <t>'=M16/N16-1</t>
        </is>
      </c>
      <c r="G294" t="n">
        <v>-0.03302743791389939</v>
      </c>
      <c r="H294" t="inlineStr"/>
      <c r="I294" t="inlineStr">
        <is>
          <t>0.0%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n">
        <v/>
      </c>
      <c r="R294" t="b">
        <v>1</v>
      </c>
      <c r="S294" t="inlineStr">
        <is>
          <t>G000153</t>
        </is>
      </c>
      <c r="T294" t="inlineStr">
        <is>
          <t>Vertical</t>
        </is>
      </c>
      <c r="U294" t="n">
        <v>93</v>
      </c>
      <c r="V294" t="b">
        <v>1</v>
      </c>
      <c r="W294" t="inlineStr">
        <is>
          <t>ATF Fuel 2!Q2:Q94</t>
        </is>
      </c>
      <c r="X294">
        <f>R[0]C[-4]/R[0]C[-3]-1</f>
        <v/>
      </c>
    </row>
    <row r="295">
      <c r="A295" t="inlineStr">
        <is>
          <t>ATF Fuel 2</t>
        </is>
      </c>
      <c r="B295" t="inlineStr">
        <is>
          <t>A17</t>
        </is>
      </c>
      <c r="C295" t="n">
        <v>17</v>
      </c>
      <c r="D295" t="n">
        <v>1</v>
      </c>
      <c r="E295" t="inlineStr">
        <is>
          <t>Input</t>
        </is>
      </c>
      <c r="F295" t="n">
        <v/>
      </c>
      <c r="G295" t="inlineStr">
        <is>
          <t>July 01, 2011</t>
        </is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ATF Fuel 2</t>
        </is>
      </c>
      <c r="B296" t="inlineStr">
        <is>
          <t>B17</t>
        </is>
      </c>
      <c r="C296" t="n">
        <v>17</v>
      </c>
      <c r="D296" t="n">
        <v>2</v>
      </c>
      <c r="E296" t="inlineStr">
        <is>
          <t>Input</t>
        </is>
      </c>
      <c r="F296" t="n">
        <v/>
      </c>
      <c r="G296" t="n">
        <v>59498.0825</v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00000000</t>
        </is>
      </c>
      <c r="O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ATF Fuel 2</t>
        </is>
      </c>
      <c r="B297" t="inlineStr">
        <is>
          <t>C17</t>
        </is>
      </c>
      <c r="C297" t="n">
        <v>17</v>
      </c>
      <c r="D297" t="n">
        <v>3</v>
      </c>
      <c r="E297" t="inlineStr">
        <is>
          <t>Output</t>
        </is>
      </c>
      <c r="F297" t="inlineStr">
        <is>
          <t>'=B17/B16-1</t>
        </is>
      </c>
      <c r="G297" t="n">
        <v>-0.004182401335878105</v>
      </c>
      <c r="H297" t="inlineStr"/>
      <c r="I297" t="inlineStr">
        <is>
          <t>0%</t>
        </is>
      </c>
      <c r="J297" t="b">
        <v>0</v>
      </c>
      <c r="K297" t="b">
        <v>0</v>
      </c>
      <c r="L297" t="n">
        <v>11</v>
      </c>
      <c r="M297" t="n">
        <v/>
      </c>
      <c r="N297" t="inlineStr">
        <is>
          <t>00000000</t>
        </is>
      </c>
      <c r="O297" t="n">
        <v/>
      </c>
      <c r="R297" t="b">
        <v>1</v>
      </c>
      <c r="S297" t="inlineStr">
        <is>
          <t>G000154</t>
        </is>
      </c>
      <c r="T297" t="inlineStr">
        <is>
          <t>Vertical</t>
        </is>
      </c>
      <c r="U297" t="n">
        <v>92</v>
      </c>
      <c r="V297" t="b">
        <v>1</v>
      </c>
      <c r="W297" t="inlineStr">
        <is>
          <t>ATF Fuel 2!C3:C94</t>
        </is>
      </c>
      <c r="X297">
        <f>R[0]C[-1]/R[-1]C[-1]-1</f>
        <v/>
      </c>
    </row>
    <row r="298">
      <c r="A298" t="inlineStr">
        <is>
          <t>ATF Fuel 2</t>
        </is>
      </c>
      <c r="B298" t="inlineStr">
        <is>
          <t>D17</t>
        </is>
      </c>
      <c r="C298" t="n">
        <v>17</v>
      </c>
      <c r="D298" t="n">
        <v>4</v>
      </c>
      <c r="E298" t="inlineStr">
        <is>
          <t>Input</t>
        </is>
      </c>
      <c r="F298" t="n">
        <v/>
      </c>
      <c r="G298" t="n">
        <v>44.65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00000000</t>
        </is>
      </c>
      <c r="O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ATF Fuel 2</t>
        </is>
      </c>
      <c r="B299" t="inlineStr">
        <is>
          <t>E17</t>
        </is>
      </c>
      <c r="C299" t="n">
        <v>17</v>
      </c>
      <c r="D299" t="n">
        <v>5</v>
      </c>
      <c r="E299" t="inlineStr">
        <is>
          <t>Output</t>
        </is>
      </c>
      <c r="F299" t="inlineStr">
        <is>
          <t>'=B17/B16-1</t>
        </is>
      </c>
      <c r="G299" t="n">
        <v>-0.004182401335878105</v>
      </c>
      <c r="H299" t="inlineStr"/>
      <c r="I299" t="inlineStr">
        <is>
          <t>0%</t>
        </is>
      </c>
      <c r="J299" t="b">
        <v>0</v>
      </c>
      <c r="K299" t="b">
        <v>0</v>
      </c>
      <c r="L299" t="n">
        <v>11</v>
      </c>
      <c r="M299" t="inlineStr">
        <is>
          <t>Values must be of type &lt;class 'str'&gt;</t>
        </is>
      </c>
      <c r="N299" t="inlineStr">
        <is>
          <t>00000000</t>
        </is>
      </c>
      <c r="O299" t="n">
        <v/>
      </c>
      <c r="R299" t="b">
        <v>1</v>
      </c>
      <c r="S299" t="inlineStr">
        <is>
          <t>G000158</t>
        </is>
      </c>
      <c r="T299" t="inlineStr">
        <is>
          <t>Vertical</t>
        </is>
      </c>
      <c r="U299" t="n">
        <v>92</v>
      </c>
      <c r="V299" t="b">
        <v>1</v>
      </c>
      <c r="W299" t="inlineStr">
        <is>
          <t>ATF Fuel 2!E3:E94</t>
        </is>
      </c>
      <c r="X299">
        <f>R[0]C[-3]/R[-1]C[-3]-1</f>
        <v/>
      </c>
    </row>
    <row r="300">
      <c r="A300" t="inlineStr">
        <is>
          <t>ATF Fuel 2</t>
        </is>
      </c>
      <c r="B300" t="inlineStr">
        <is>
          <t>F17</t>
        </is>
      </c>
      <c r="C300" t="n">
        <v>17</v>
      </c>
      <c r="D300" t="n">
        <v>6</v>
      </c>
      <c r="E300" t="inlineStr">
        <is>
          <t>Input</t>
        </is>
      </c>
      <c r="F300" t="n">
        <v/>
      </c>
      <c r="G300" t="n">
        <v>113.55</v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Values must be of type &lt;class 'str'&gt;</t>
        </is>
      </c>
      <c r="N300" t="inlineStr">
        <is>
          <t>00000000</t>
        </is>
      </c>
      <c r="O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ATF Fuel 2</t>
        </is>
      </c>
      <c r="B301" t="inlineStr">
        <is>
          <t>G17</t>
        </is>
      </c>
      <c r="C301" t="n">
        <v>17</v>
      </c>
      <c r="D301" t="n">
        <v>7</v>
      </c>
      <c r="E301" t="inlineStr">
        <is>
          <t>Output</t>
        </is>
      </c>
      <c r="F301" t="inlineStr">
        <is>
          <t>'=F17/F16-1</t>
        </is>
      </c>
      <c r="G301" t="n">
        <v>-0.01338083239204102</v>
      </c>
      <c r="H301" t="inlineStr"/>
      <c r="I301" t="inlineStr">
        <is>
          <t>0%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00000000</t>
        </is>
      </c>
      <c r="O301" t="n">
        <v/>
      </c>
      <c r="R301" t="b">
        <v>1</v>
      </c>
      <c r="S301" t="inlineStr">
        <is>
          <t>G000155</t>
        </is>
      </c>
      <c r="T301" t="inlineStr">
        <is>
          <t>Vertical</t>
        </is>
      </c>
      <c r="U301" t="n">
        <v>93</v>
      </c>
      <c r="V301" t="b">
        <v>1</v>
      </c>
      <c r="W301" t="inlineStr">
        <is>
          <t>ATF Fuel 2!G3:G95</t>
        </is>
      </c>
      <c r="X301">
        <f>R[0]C[-1]/R[-1]C[-1]-1</f>
        <v/>
      </c>
    </row>
    <row r="302">
      <c r="A302" t="inlineStr">
        <is>
          <t>ATF Fuel 2</t>
        </is>
      </c>
      <c r="B302" t="inlineStr">
        <is>
          <t>H17</t>
        </is>
      </c>
      <c r="C302" t="n">
        <v>17</v>
      </c>
      <c r="D302" t="n">
        <v>8</v>
      </c>
      <c r="E302" t="inlineStr">
        <is>
          <t>Calculation</t>
        </is>
      </c>
      <c r="F302" t="inlineStr">
        <is>
          <t>'=D17*F17</t>
        </is>
      </c>
      <c r="G302" t="n">
        <v>5070.0075</v>
      </c>
      <c r="H302" t="inlineStr"/>
      <c r="I302" t="inlineStr">
        <is>
          <t>0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00000000</t>
        </is>
      </c>
      <c r="O302" t="n">
        <v/>
      </c>
      <c r="R302" t="b">
        <v>1</v>
      </c>
      <c r="S302" t="inlineStr">
        <is>
          <t>G000152</t>
        </is>
      </c>
      <c r="T302" t="inlineStr">
        <is>
          <t>Vertical</t>
        </is>
      </c>
      <c r="U302" t="n">
        <v>98</v>
      </c>
      <c r="V302" t="b">
        <v>1</v>
      </c>
      <c r="W302" t="inlineStr">
        <is>
          <t>ATF Fuel 2!H2:H99</t>
        </is>
      </c>
      <c r="X302">
        <f>R[0]C[-4]*R[0]C[-2]</f>
        <v/>
      </c>
    </row>
    <row r="303">
      <c r="A303" t="inlineStr">
        <is>
          <t>ATF Fuel 2</t>
        </is>
      </c>
      <c r="B303" t="inlineStr">
        <is>
          <t>I17</t>
        </is>
      </c>
      <c r="C303" t="n">
        <v>17</v>
      </c>
      <c r="D303" t="n">
        <v>9</v>
      </c>
      <c r="E303" t="inlineStr">
        <is>
          <t>Output</t>
        </is>
      </c>
      <c r="F303" t="inlineStr">
        <is>
          <t>'=H17/H16-1</t>
        </is>
      </c>
      <c r="G303" t="n">
        <v>-0.02072811306668076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FFFF0000</t>
        </is>
      </c>
      <c r="N303" t="inlineStr">
        <is>
          <t>00000000</t>
        </is>
      </c>
      <c r="O303" t="n">
        <v/>
      </c>
      <c r="R303" t="b">
        <v>1</v>
      </c>
      <c r="S303" t="inlineStr">
        <is>
          <t>G000156</t>
        </is>
      </c>
      <c r="T303" t="inlineStr">
        <is>
          <t>Vertical</t>
        </is>
      </c>
      <c r="U303" t="n">
        <v>97</v>
      </c>
      <c r="V303" t="b">
        <v>1</v>
      </c>
      <c r="W303" t="inlineStr">
        <is>
          <t>ATF Fuel 2!I3:I99</t>
        </is>
      </c>
      <c r="X303">
        <f>R[0]C[-1]/R[-1]C[-1]-1</f>
        <v/>
      </c>
    </row>
    <row r="304">
      <c r="A304" t="inlineStr">
        <is>
          <t>ATF Fuel 2</t>
        </is>
      </c>
      <c r="B304" t="inlineStr">
        <is>
          <t>J17</t>
        </is>
      </c>
      <c r="C304" t="n">
        <v>17</v>
      </c>
      <c r="D304" t="n">
        <v>10</v>
      </c>
      <c r="E304" t="inlineStr">
        <is>
          <t>Input</t>
        </is>
      </c>
      <c r="F304" t="n">
        <v/>
      </c>
      <c r="G304" t="n">
        <v>94.81</v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00000000</t>
        </is>
      </c>
      <c r="O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ATF Fuel 2</t>
        </is>
      </c>
      <c r="B305" t="inlineStr">
        <is>
          <t>K17</t>
        </is>
      </c>
      <c r="C305" t="n">
        <v>17</v>
      </c>
      <c r="D305" t="n">
        <v>11</v>
      </c>
      <c r="E305" t="inlineStr">
        <is>
          <t>Output</t>
        </is>
      </c>
      <c r="F305" t="inlineStr">
        <is>
          <t>'=J17/J16-1</t>
        </is>
      </c>
      <c r="G305" t="n">
        <v>-0.05473579262213357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00000000</t>
        </is>
      </c>
      <c r="O305" t="n">
        <v/>
      </c>
      <c r="R305" t="b">
        <v>1</v>
      </c>
      <c r="S305" t="inlineStr">
        <is>
          <t>G000157</t>
        </is>
      </c>
      <c r="T305" t="inlineStr">
        <is>
          <t>Vertical</t>
        </is>
      </c>
      <c r="U305" t="n">
        <v>93</v>
      </c>
      <c r="V305" t="b">
        <v>1</v>
      </c>
      <c r="W305" t="inlineStr">
        <is>
          <t>ATF Fuel 2!K3:K95</t>
        </is>
      </c>
      <c r="X305">
        <f>R[0]C[-1]/R[-1]C[-1]-1</f>
        <v/>
      </c>
    </row>
    <row r="306">
      <c r="A306" t="inlineStr">
        <is>
          <t>ATF Fuel 2</t>
        </is>
      </c>
      <c r="B306" t="inlineStr">
        <is>
          <t>L17</t>
        </is>
      </c>
      <c r="C306" t="n">
        <v>17</v>
      </c>
      <c r="D306" t="n">
        <v>12</v>
      </c>
      <c r="E306" t="inlineStr">
        <is>
          <t>Input</t>
        </is>
      </c>
      <c r="F306" t="n">
        <v/>
      </c>
      <c r="G306" t="inlineStr">
        <is>
          <t>July 01, 2011</t>
        </is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00000000</t>
        </is>
      </c>
      <c r="O306" t="inlineStr">
        <is>
          <t>left</t>
        </is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ATF Fuel 2</t>
        </is>
      </c>
      <c r="B307" t="inlineStr">
        <is>
          <t>M17</t>
        </is>
      </c>
      <c r="C307" t="n">
        <v>17</v>
      </c>
      <c r="D307" t="n">
        <v>13</v>
      </c>
      <c r="E307" t="inlineStr">
        <is>
          <t>Calculation</t>
        </is>
      </c>
      <c r="F307" t="inlineStr">
        <is>
          <t>'=(1+(B17/B16)-1)*M16</t>
        </is>
      </c>
      <c r="G307" t="n">
        <v>134.1200743590163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00000000</t>
        </is>
      </c>
      <c r="O307" t="inlineStr">
        <is>
          <t>left</t>
        </is>
      </c>
      <c r="R307" t="b">
        <v>1</v>
      </c>
      <c r="S307" t="inlineStr">
        <is>
          <t>G000159</t>
        </is>
      </c>
      <c r="T307" t="inlineStr">
        <is>
          <t>Vertical</t>
        </is>
      </c>
      <c r="U307" t="n">
        <v>92</v>
      </c>
      <c r="V307" t="b">
        <v>1</v>
      </c>
      <c r="W307" t="inlineStr">
        <is>
          <t>ATF Fuel 2!M3:M94</t>
        </is>
      </c>
      <c r="X307">
        <f>(1+(R[0]C[-11]/R[-1]C[-11])-1)*R[-1]C[0]</f>
        <v/>
      </c>
    </row>
    <row r="308">
      <c r="A308" t="inlineStr">
        <is>
          <t>ATF Fuel 2</t>
        </is>
      </c>
      <c r="B308" t="inlineStr">
        <is>
          <t>N17</t>
        </is>
      </c>
      <c r="C308" t="n">
        <v>17</v>
      </c>
      <c r="D308" t="n">
        <v>14</v>
      </c>
      <c r="E308" t="inlineStr">
        <is>
          <t>Calculation</t>
        </is>
      </c>
      <c r="F308" t="inlineStr">
        <is>
          <t>'=(1+(F17/F16)-1)*N16</t>
        </is>
      </c>
      <c r="G308" t="n">
        <v>137.4198233087257</v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00000000</t>
        </is>
      </c>
      <c r="O308" t="inlineStr">
        <is>
          <t>left</t>
        </is>
      </c>
      <c r="R308" t="b">
        <v>1</v>
      </c>
      <c r="S308" t="inlineStr">
        <is>
          <t>G000160</t>
        </is>
      </c>
      <c r="T308" t="inlineStr">
        <is>
          <t>Vertical</t>
        </is>
      </c>
      <c r="U308" t="n">
        <v>92</v>
      </c>
      <c r="V308" t="b">
        <v>1</v>
      </c>
      <c r="W308" t="inlineStr">
        <is>
          <t>ATF Fuel 2!N3:N94</t>
        </is>
      </c>
      <c r="X308">
        <f>(1+(R[0]C[-8]/R[-1]C[-8])-1)*R[-1]C[0]</f>
        <v/>
      </c>
    </row>
    <row r="309">
      <c r="A309" t="inlineStr">
        <is>
          <t>ATF Fuel 2</t>
        </is>
      </c>
      <c r="B309" t="inlineStr">
        <is>
          <t>O17</t>
        </is>
      </c>
      <c r="C309" t="n">
        <v>17</v>
      </c>
      <c r="D309" t="n">
        <v>15</v>
      </c>
      <c r="E309" t="inlineStr">
        <is>
          <t>Calculation</t>
        </is>
      </c>
      <c r="F309" t="inlineStr">
        <is>
          <t>'=(1+(J17/J16)-1)*O16</t>
        </is>
      </c>
      <c r="G309" t="n">
        <v>112.1613628297646</v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00000000</t>
        </is>
      </c>
      <c r="O309" t="inlineStr">
        <is>
          <t>left</t>
        </is>
      </c>
      <c r="R309" t="b">
        <v>1</v>
      </c>
      <c r="S309" t="inlineStr">
        <is>
          <t>G000162</t>
        </is>
      </c>
      <c r="T309" t="inlineStr">
        <is>
          <t>Vertical</t>
        </is>
      </c>
      <c r="U309" t="n">
        <v>92</v>
      </c>
      <c r="V309" t="b">
        <v>1</v>
      </c>
      <c r="W309" t="inlineStr">
        <is>
          <t>ATF Fuel 2!O3:O94</t>
        </is>
      </c>
      <c r="X309">
        <f>(1+(R[0]C[-5]/R[-1]C[-5])-1)*R[-1]C[0]</f>
        <v/>
      </c>
    </row>
    <row r="310">
      <c r="A310" t="inlineStr">
        <is>
          <t>ATF Fuel 2</t>
        </is>
      </c>
      <c r="B310" t="inlineStr">
        <is>
          <t>P17</t>
        </is>
      </c>
      <c r="C310" t="n">
        <v>17</v>
      </c>
      <c r="D310" t="n">
        <v>16</v>
      </c>
      <c r="E310" t="inlineStr">
        <is>
          <t>Calculation</t>
        </is>
      </c>
      <c r="F310" t="inlineStr">
        <is>
          <t>'=(1+(H17/H16)-1)*P16</t>
        </is>
      </c>
      <c r="G310" t="n">
        <v>137.0821070316042</v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00000000</t>
        </is>
      </c>
      <c r="O310" t="inlineStr">
        <is>
          <t>left</t>
        </is>
      </c>
      <c r="R310" t="b">
        <v>1</v>
      </c>
      <c r="S310" t="inlineStr">
        <is>
          <t>G000161</t>
        </is>
      </c>
      <c r="T310" t="inlineStr">
        <is>
          <t>Vertical</t>
        </is>
      </c>
      <c r="U310" t="n">
        <v>92</v>
      </c>
      <c r="V310" t="b">
        <v>1</v>
      </c>
      <c r="W310" t="inlineStr">
        <is>
          <t>ATF Fuel 2!P3:P94</t>
        </is>
      </c>
      <c r="X310">
        <f>(1+(R[0]C[-8]/R[-1]C[-8])-1)*R[-1]C[0]</f>
        <v/>
      </c>
    </row>
    <row r="311">
      <c r="A311" t="inlineStr">
        <is>
          <t>ATF Fuel 2</t>
        </is>
      </c>
      <c r="B311" t="inlineStr">
        <is>
          <t>Q17</t>
        </is>
      </c>
      <c r="C311" t="n">
        <v>17</v>
      </c>
      <c r="D311" t="n">
        <v>17</v>
      </c>
      <c r="E311" t="inlineStr">
        <is>
          <t>Output</t>
        </is>
      </c>
      <c r="F311" t="inlineStr">
        <is>
          <t>'=M17/N17-1</t>
        </is>
      </c>
      <c r="G311" t="n">
        <v>-0.02401217575644998</v>
      </c>
      <c r="H311" t="inlineStr"/>
      <c r="I311" t="inlineStr">
        <is>
          <t>0.0%</t>
        </is>
      </c>
      <c r="J311" t="b">
        <v>0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00000000</t>
        </is>
      </c>
      <c r="O311" t="n">
        <v/>
      </c>
      <c r="R311" t="b">
        <v>1</v>
      </c>
      <c r="S311" t="inlineStr">
        <is>
          <t>G000153</t>
        </is>
      </c>
      <c r="T311" t="inlineStr">
        <is>
          <t>Vertical</t>
        </is>
      </c>
      <c r="U311" t="n">
        <v>93</v>
      </c>
      <c r="V311" t="b">
        <v>1</v>
      </c>
      <c r="W311" t="inlineStr">
        <is>
          <t>ATF Fuel 2!Q2:Q94</t>
        </is>
      </c>
      <c r="X311">
        <f>R[0]C[-4]/R[0]C[-3]-1</f>
        <v/>
      </c>
    </row>
    <row r="312">
      <c r="A312" t="inlineStr">
        <is>
          <t>ATF Fuel 2</t>
        </is>
      </c>
      <c r="B312" t="inlineStr">
        <is>
          <t>A18</t>
        </is>
      </c>
      <c r="C312" t="n">
        <v>18</v>
      </c>
      <c r="D312" t="n">
        <v>1</v>
      </c>
      <c r="E312" t="inlineStr">
        <is>
          <t>Input</t>
        </is>
      </c>
      <c r="F312" t="n">
        <v/>
      </c>
      <c r="G312" t="inlineStr">
        <is>
          <t>August 01, 2011</t>
        </is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00000000</t>
        </is>
      </c>
      <c r="O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ATF Fuel 2</t>
        </is>
      </c>
      <c r="B313" t="inlineStr">
        <is>
          <t>B18</t>
        </is>
      </c>
      <c r="C313" t="n">
        <v>18</v>
      </c>
      <c r="D313" t="n">
        <v>2</v>
      </c>
      <c r="E313" t="inlineStr">
        <is>
          <t>Input</t>
        </is>
      </c>
      <c r="F313" t="n">
        <v/>
      </c>
      <c r="G313" t="n">
        <v>61142.5</v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n">
        <v/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ATF Fuel 2</t>
        </is>
      </c>
      <c r="B314" t="inlineStr">
        <is>
          <t>C18</t>
        </is>
      </c>
      <c r="C314" t="n">
        <v>18</v>
      </c>
      <c r="D314" t="n">
        <v>3</v>
      </c>
      <c r="E314" t="inlineStr">
        <is>
          <t>Output</t>
        </is>
      </c>
      <c r="F314" t="inlineStr">
        <is>
          <t>'=B18/B17-1</t>
        </is>
      </c>
      <c r="G314" t="n">
        <v>0.02763815959951321</v>
      </c>
      <c r="H314" t="inlineStr"/>
      <c r="I314" t="inlineStr">
        <is>
          <t>0%</t>
        </is>
      </c>
      <c r="J314" t="b">
        <v>0</v>
      </c>
      <c r="K314" t="b">
        <v>0</v>
      </c>
      <c r="L314" t="n">
        <v>11</v>
      </c>
      <c r="M314" t="n">
        <v/>
      </c>
      <c r="N314" t="inlineStr">
        <is>
          <t>00000000</t>
        </is>
      </c>
      <c r="O314" t="n">
        <v/>
      </c>
      <c r="R314" t="b">
        <v>1</v>
      </c>
      <c r="S314" t="inlineStr">
        <is>
          <t>G000154</t>
        </is>
      </c>
      <c r="T314" t="inlineStr">
        <is>
          <t>Vertical</t>
        </is>
      </c>
      <c r="U314" t="n">
        <v>92</v>
      </c>
      <c r="V314" t="b">
        <v>1</v>
      </c>
      <c r="W314" t="inlineStr">
        <is>
          <t>ATF Fuel 2!C3:C94</t>
        </is>
      </c>
      <c r="X314">
        <f>R[0]C[-1]/R[-1]C[-1]-1</f>
        <v/>
      </c>
    </row>
    <row r="315">
      <c r="A315" t="inlineStr">
        <is>
          <t>ATF Fuel 2</t>
        </is>
      </c>
      <c r="B315" t="inlineStr">
        <is>
          <t>D18</t>
        </is>
      </c>
      <c r="C315" t="n">
        <v>18</v>
      </c>
      <c r="D315" t="n">
        <v>4</v>
      </c>
      <c r="E315" t="inlineStr">
        <is>
          <t>Input</t>
        </is>
      </c>
      <c r="F315" t="n">
        <v/>
      </c>
      <c r="G315" t="n">
        <v>44.04</v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ATF Fuel 2</t>
        </is>
      </c>
      <c r="B316" t="inlineStr">
        <is>
          <t>E18</t>
        </is>
      </c>
      <c r="C316" t="n">
        <v>18</v>
      </c>
      <c r="D316" t="n">
        <v>5</v>
      </c>
      <c r="E316" t="inlineStr">
        <is>
          <t>Output</t>
        </is>
      </c>
      <c r="F316" t="inlineStr">
        <is>
          <t>'=B18/B17-1</t>
        </is>
      </c>
      <c r="G316" t="n">
        <v>0.02763815959951321</v>
      </c>
      <c r="H316" t="inlineStr"/>
      <c r="I316" t="inlineStr">
        <is>
          <t>0%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R316" t="b">
        <v>1</v>
      </c>
      <c r="S316" t="inlineStr">
        <is>
          <t>G000158</t>
        </is>
      </c>
      <c r="T316" t="inlineStr">
        <is>
          <t>Vertical</t>
        </is>
      </c>
      <c r="U316" t="n">
        <v>92</v>
      </c>
      <c r="V316" t="b">
        <v>1</v>
      </c>
      <c r="W316" t="inlineStr">
        <is>
          <t>ATF Fuel 2!E3:E94</t>
        </is>
      </c>
      <c r="X316">
        <f>R[0]C[-3]/R[-1]C[-3]-1</f>
        <v/>
      </c>
    </row>
    <row r="317">
      <c r="A317" t="inlineStr">
        <is>
          <t>ATF Fuel 2</t>
        </is>
      </c>
      <c r="B317" t="inlineStr">
        <is>
          <t>F18</t>
        </is>
      </c>
      <c r="C317" t="n">
        <v>18</v>
      </c>
      <c r="D317" t="n">
        <v>6</v>
      </c>
      <c r="E317" t="inlineStr">
        <is>
          <t>Input</t>
        </is>
      </c>
      <c r="F317" t="n">
        <v/>
      </c>
      <c r="G317" t="n">
        <v>113.74</v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ATF Fuel 2</t>
        </is>
      </c>
      <c r="B318" t="inlineStr">
        <is>
          <t>G18</t>
        </is>
      </c>
      <c r="C318" t="n">
        <v>18</v>
      </c>
      <c r="D318" t="n">
        <v>7</v>
      </c>
      <c r="E318" t="inlineStr">
        <is>
          <t>Output</t>
        </is>
      </c>
      <c r="F318" t="inlineStr">
        <is>
          <t>'=F18/F17-1</t>
        </is>
      </c>
      <c r="G318" t="n">
        <v>0.001673271686481792</v>
      </c>
      <c r="H318" t="inlineStr"/>
      <c r="I318" t="inlineStr">
        <is>
          <t>0%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R318" t="b">
        <v>1</v>
      </c>
      <c r="S318" t="inlineStr">
        <is>
          <t>G000155</t>
        </is>
      </c>
      <c r="T318" t="inlineStr">
        <is>
          <t>Vertical</t>
        </is>
      </c>
      <c r="U318" t="n">
        <v>93</v>
      </c>
      <c r="V318" t="b">
        <v>1</v>
      </c>
      <c r="W318" t="inlineStr">
        <is>
          <t>ATF Fuel 2!G3:G95</t>
        </is>
      </c>
      <c r="X318">
        <f>R[0]C[-1]/R[-1]C[-1]-1</f>
        <v/>
      </c>
    </row>
    <row r="319">
      <c r="A319" t="inlineStr">
        <is>
          <t>ATF Fuel 2</t>
        </is>
      </c>
      <c r="B319" t="inlineStr">
        <is>
          <t>H18</t>
        </is>
      </c>
      <c r="C319" t="n">
        <v>18</v>
      </c>
      <c r="D319" t="n">
        <v>8</v>
      </c>
      <c r="E319" t="inlineStr">
        <is>
          <t>Calculation</t>
        </is>
      </c>
      <c r="F319" t="inlineStr">
        <is>
          <t>'=D18*F18</t>
        </is>
      </c>
      <c r="G319" t="n">
        <v>5009.1096</v>
      </c>
      <c r="H319" t="inlineStr"/>
      <c r="I319" t="inlineStr">
        <is>
          <t>0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00000000</t>
        </is>
      </c>
      <c r="O319" t="n">
        <v/>
      </c>
      <c r="R319" t="b">
        <v>1</v>
      </c>
      <c r="S319" t="inlineStr">
        <is>
          <t>G000152</t>
        </is>
      </c>
      <c r="T319" t="inlineStr">
        <is>
          <t>Vertical</t>
        </is>
      </c>
      <c r="U319" t="n">
        <v>98</v>
      </c>
      <c r="V319" t="b">
        <v>1</v>
      </c>
      <c r="W319" t="inlineStr">
        <is>
          <t>ATF Fuel 2!H2:H99</t>
        </is>
      </c>
      <c r="X319">
        <f>R[0]C[-4]*R[0]C[-2]</f>
        <v/>
      </c>
    </row>
    <row r="320">
      <c r="A320" t="inlineStr">
        <is>
          <t>ATF Fuel 2</t>
        </is>
      </c>
      <c r="B320" t="inlineStr">
        <is>
          <t>I18</t>
        </is>
      </c>
      <c r="C320" t="n">
        <v>18</v>
      </c>
      <c r="D320" t="n">
        <v>9</v>
      </c>
      <c r="E320" t="inlineStr">
        <is>
          <t>Output</t>
        </is>
      </c>
      <c r="F320" t="inlineStr">
        <is>
          <t>'=H18/H17-1</t>
        </is>
      </c>
      <c r="G320" t="n">
        <v>-0.01201140234999654</v>
      </c>
      <c r="H320" t="inlineStr"/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FFFF0000</t>
        </is>
      </c>
      <c r="N320" t="inlineStr">
        <is>
          <t>00000000</t>
        </is>
      </c>
      <c r="O320" t="n">
        <v/>
      </c>
      <c r="R320" t="b">
        <v>1</v>
      </c>
      <c r="S320" t="inlineStr">
        <is>
          <t>G000156</t>
        </is>
      </c>
      <c r="T320" t="inlineStr">
        <is>
          <t>Vertical</t>
        </is>
      </c>
      <c r="U320" t="n">
        <v>97</v>
      </c>
      <c r="V320" t="b">
        <v>1</v>
      </c>
      <c r="W320" t="inlineStr">
        <is>
          <t>ATF Fuel 2!I3:I99</t>
        </is>
      </c>
      <c r="X320">
        <f>R[0]C[-1]/R[-1]C[-1]-1</f>
        <v/>
      </c>
    </row>
    <row r="321">
      <c r="A321" t="inlineStr">
        <is>
          <t>ATF Fuel 2</t>
        </is>
      </c>
      <c r="B321" t="inlineStr">
        <is>
          <t>J18</t>
        </is>
      </c>
      <c r="C321" t="n">
        <v>18</v>
      </c>
      <c r="D321" t="n">
        <v>10</v>
      </c>
      <c r="E321" t="inlineStr">
        <is>
          <t>Input</t>
        </is>
      </c>
      <c r="F321" t="n">
        <v/>
      </c>
      <c r="G321" t="n">
        <v>94.98</v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00000000</t>
        </is>
      </c>
      <c r="O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ATF Fuel 2</t>
        </is>
      </c>
      <c r="B322" t="inlineStr">
        <is>
          <t>K18</t>
        </is>
      </c>
      <c r="C322" t="n">
        <v>18</v>
      </c>
      <c r="D322" t="n">
        <v>11</v>
      </c>
      <c r="E322" t="inlineStr">
        <is>
          <t>Output</t>
        </is>
      </c>
      <c r="F322" t="inlineStr">
        <is>
          <t>'=J18/J17-1</t>
        </is>
      </c>
      <c r="G322" t="n">
        <v>0.001793059803818275</v>
      </c>
      <c r="H322" t="inlineStr"/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00000000</t>
        </is>
      </c>
      <c r="O322" t="n">
        <v/>
      </c>
      <c r="R322" t="b">
        <v>1</v>
      </c>
      <c r="S322" t="inlineStr">
        <is>
          <t>G000157</t>
        </is>
      </c>
      <c r="T322" t="inlineStr">
        <is>
          <t>Vertical</t>
        </is>
      </c>
      <c r="U322" t="n">
        <v>93</v>
      </c>
      <c r="V322" t="b">
        <v>1</v>
      </c>
      <c r="W322" t="inlineStr">
        <is>
          <t>ATF Fuel 2!K3:K95</t>
        </is>
      </c>
      <c r="X322">
        <f>R[0]C[-1]/R[-1]C[-1]-1</f>
        <v/>
      </c>
    </row>
    <row r="323">
      <c r="A323" t="inlineStr">
        <is>
          <t>ATF Fuel 2</t>
        </is>
      </c>
      <c r="B323" t="inlineStr">
        <is>
          <t>L18</t>
        </is>
      </c>
      <c r="C323" t="n">
        <v>18</v>
      </c>
      <c r="D323" t="n">
        <v>12</v>
      </c>
      <c r="E323" t="inlineStr">
        <is>
          <t>Input</t>
        </is>
      </c>
      <c r="F323" t="n">
        <v/>
      </c>
      <c r="G323" t="inlineStr">
        <is>
          <t>August 01, 2011</t>
        </is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00000000</t>
        </is>
      </c>
      <c r="O323" t="inlineStr">
        <is>
          <t>left</t>
        </is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ATF Fuel 2</t>
        </is>
      </c>
      <c r="B324" t="inlineStr">
        <is>
          <t>M18</t>
        </is>
      </c>
      <c r="C324" t="n">
        <v>18</v>
      </c>
      <c r="D324" t="n">
        <v>13</v>
      </c>
      <c r="E324" t="inlineStr">
        <is>
          <t>Calculation</t>
        </is>
      </c>
      <c r="F324" t="inlineStr">
        <is>
          <t>'=(1+(B18/B17)-1)*M17</t>
        </is>
      </c>
      <c r="G324" t="n">
        <v>137.8269063796494</v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inlineStr">
        <is>
          <t>left</t>
        </is>
      </c>
      <c r="R324" t="b">
        <v>1</v>
      </c>
      <c r="S324" t="inlineStr">
        <is>
          <t>G000159</t>
        </is>
      </c>
      <c r="T324" t="inlineStr">
        <is>
          <t>Vertical</t>
        </is>
      </c>
      <c r="U324" t="n">
        <v>92</v>
      </c>
      <c r="V324" t="b">
        <v>1</v>
      </c>
      <c r="W324" t="inlineStr">
        <is>
          <t>ATF Fuel 2!M3:M94</t>
        </is>
      </c>
      <c r="X324">
        <f>(1+(R[0]C[-11]/R[-1]C[-11])-1)*R[-1]C[0]</f>
        <v/>
      </c>
    </row>
    <row r="325">
      <c r="A325" t="inlineStr">
        <is>
          <t>ATF Fuel 2</t>
        </is>
      </c>
      <c r="B325" t="inlineStr">
        <is>
          <t>N18</t>
        </is>
      </c>
      <c r="C325" t="n">
        <v>18</v>
      </c>
      <c r="D325" t="n">
        <v>14</v>
      </c>
      <c r="E325" t="inlineStr">
        <is>
          <t>Calculation</t>
        </is>
      </c>
      <c r="F325" t="inlineStr">
        <is>
          <t>'=(1+(F18/F17)-1)*N17</t>
        </is>
      </c>
      <c r="G325" t="n">
        <v>137.6497640082295</v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inlineStr">
        <is>
          <t>left</t>
        </is>
      </c>
      <c r="R325" t="b">
        <v>1</v>
      </c>
      <c r="S325" t="inlineStr">
        <is>
          <t>G000160</t>
        </is>
      </c>
      <c r="T325" t="inlineStr">
        <is>
          <t>Vertical</t>
        </is>
      </c>
      <c r="U325" t="n">
        <v>92</v>
      </c>
      <c r="V325" t="b">
        <v>1</v>
      </c>
      <c r="W325" t="inlineStr">
        <is>
          <t>ATF Fuel 2!N3:N94</t>
        </is>
      </c>
      <c r="X325">
        <f>(1+(R[0]C[-8]/R[-1]C[-8])-1)*R[-1]C[0]</f>
        <v/>
      </c>
    </row>
    <row r="326">
      <c r="A326" t="inlineStr">
        <is>
          <t>ATF Fuel 2</t>
        </is>
      </c>
      <c r="B326" t="inlineStr">
        <is>
          <t>O18</t>
        </is>
      </c>
      <c r="C326" t="n">
        <v>18</v>
      </c>
      <c r="D326" t="n">
        <v>15</v>
      </c>
      <c r="E326" t="inlineStr">
        <is>
          <t>Calculation</t>
        </is>
      </c>
      <c r="F326" t="inlineStr">
        <is>
          <t>'=(1+(J18/J17)-1)*O17</t>
        </is>
      </c>
      <c r="G326" t="n">
        <v>112.3624748609961</v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00000000</t>
        </is>
      </c>
      <c r="O326" t="inlineStr">
        <is>
          <t>left</t>
        </is>
      </c>
      <c r="R326" t="b">
        <v>1</v>
      </c>
      <c r="S326" t="inlineStr">
        <is>
          <t>G000162</t>
        </is>
      </c>
      <c r="T326" t="inlineStr">
        <is>
          <t>Vertical</t>
        </is>
      </c>
      <c r="U326" t="n">
        <v>92</v>
      </c>
      <c r="V326" t="b">
        <v>1</v>
      </c>
      <c r="W326" t="inlineStr">
        <is>
          <t>ATF Fuel 2!O3:O94</t>
        </is>
      </c>
      <c r="X326">
        <f>(1+(R[0]C[-5]/R[-1]C[-5])-1)*R[-1]C[0]</f>
        <v/>
      </c>
    </row>
    <row r="327">
      <c r="A327" t="inlineStr">
        <is>
          <t>ATF Fuel 2</t>
        </is>
      </c>
      <c r="B327" t="inlineStr">
        <is>
          <t>P18</t>
        </is>
      </c>
      <c r="C327" t="n">
        <v>18</v>
      </c>
      <c r="D327" t="n">
        <v>16</v>
      </c>
      <c r="E327" t="inlineStr">
        <is>
          <t>Calculation</t>
        </is>
      </c>
      <c r="F327" t="inlineStr">
        <is>
          <t>'=(1+(H18/H17)-1)*P17</t>
        </is>
      </c>
      <c r="G327" t="n">
        <v>135.4355586890623</v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inlineStr">
        <is>
          <t>left</t>
        </is>
      </c>
      <c r="R327" t="b">
        <v>1</v>
      </c>
      <c r="S327" t="inlineStr">
        <is>
          <t>G000161</t>
        </is>
      </c>
      <c r="T327" t="inlineStr">
        <is>
          <t>Vertical</t>
        </is>
      </c>
      <c r="U327" t="n">
        <v>92</v>
      </c>
      <c r="V327" t="b">
        <v>1</v>
      </c>
      <c r="W327" t="inlineStr">
        <is>
          <t>ATF Fuel 2!P3:P94</t>
        </is>
      </c>
      <c r="X327">
        <f>(1+(R[0]C[-8]/R[-1]C[-8])-1)*R[-1]C[0]</f>
        <v/>
      </c>
    </row>
    <row r="328">
      <c r="A328" t="inlineStr">
        <is>
          <t>ATF Fuel 2</t>
        </is>
      </c>
      <c r="B328" t="inlineStr">
        <is>
          <t>Q18</t>
        </is>
      </c>
      <c r="C328" t="n">
        <v>18</v>
      </c>
      <c r="D328" t="n">
        <v>17</v>
      </c>
      <c r="E328" t="inlineStr">
        <is>
          <t>Output</t>
        </is>
      </c>
      <c r="F328" t="inlineStr">
        <is>
          <t>'=M18/N18-1</t>
        </is>
      </c>
      <c r="G328" t="n">
        <v>0.001286906466539728</v>
      </c>
      <c r="H328" t="inlineStr"/>
      <c r="I328" t="inlineStr">
        <is>
          <t>0.0%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n">
        <v/>
      </c>
      <c r="R328" t="b">
        <v>1</v>
      </c>
      <c r="S328" t="inlineStr">
        <is>
          <t>G000153</t>
        </is>
      </c>
      <c r="T328" t="inlineStr">
        <is>
          <t>Vertical</t>
        </is>
      </c>
      <c r="U328" t="n">
        <v>93</v>
      </c>
      <c r="V328" t="b">
        <v>1</v>
      </c>
      <c r="W328" t="inlineStr">
        <is>
          <t>ATF Fuel 2!Q2:Q94</t>
        </is>
      </c>
      <c r="X328">
        <f>R[0]C[-4]/R[0]C[-3]-1</f>
        <v/>
      </c>
    </row>
    <row r="329">
      <c r="A329" t="inlineStr">
        <is>
          <t>ATF Fuel 2</t>
        </is>
      </c>
      <c r="B329" t="inlineStr">
        <is>
          <t>A19</t>
        </is>
      </c>
      <c r="C329" t="n">
        <v>19</v>
      </c>
      <c r="D329" t="n">
        <v>1</v>
      </c>
      <c r="E329" t="inlineStr">
        <is>
          <t>Input</t>
        </is>
      </c>
      <c r="F329" t="n">
        <v/>
      </c>
      <c r="G329" t="inlineStr">
        <is>
          <t>September 01, 2011</t>
        </is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ATF Fuel 2</t>
        </is>
      </c>
      <c r="B330" t="inlineStr">
        <is>
          <t>B19</t>
        </is>
      </c>
      <c r="C330" t="n">
        <v>19</v>
      </c>
      <c r="D330" t="n">
        <v>2</v>
      </c>
      <c r="E330" t="inlineStr">
        <is>
          <t>Input</t>
        </is>
      </c>
      <c r="F330" t="n">
        <v/>
      </c>
      <c r="G330" t="n">
        <v>59492</v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ATF Fuel 2</t>
        </is>
      </c>
      <c r="B331" t="inlineStr">
        <is>
          <t>C19</t>
        </is>
      </c>
      <c r="C331" t="n">
        <v>19</v>
      </c>
      <c r="D331" t="n">
        <v>3</v>
      </c>
      <c r="E331" t="inlineStr">
        <is>
          <t>Output</t>
        </is>
      </c>
      <c r="F331" t="inlineStr">
        <is>
          <t>'=B19/B18-1</t>
        </is>
      </c>
      <c r="G331" t="n">
        <v>-0.02699431655558737</v>
      </c>
      <c r="H331" t="inlineStr"/>
      <c r="I331" t="inlineStr">
        <is>
          <t>0%</t>
        </is>
      </c>
      <c r="J331" t="b">
        <v>0</v>
      </c>
      <c r="K331" t="b">
        <v>0</v>
      </c>
      <c r="L331" t="n">
        <v>11</v>
      </c>
      <c r="M331" t="n">
        <v/>
      </c>
      <c r="N331" t="inlineStr">
        <is>
          <t>00000000</t>
        </is>
      </c>
      <c r="O331" t="n">
        <v/>
      </c>
      <c r="R331" t="b">
        <v>1</v>
      </c>
      <c r="S331" t="inlineStr">
        <is>
          <t>G000154</t>
        </is>
      </c>
      <c r="T331" t="inlineStr">
        <is>
          <t>Vertical</t>
        </is>
      </c>
      <c r="U331" t="n">
        <v>92</v>
      </c>
      <c r="V331" t="b">
        <v>1</v>
      </c>
      <c r="W331" t="inlineStr">
        <is>
          <t>ATF Fuel 2!C3:C94</t>
        </is>
      </c>
      <c r="X331">
        <f>R[0]C[-1]/R[-1]C[-1]-1</f>
        <v/>
      </c>
    </row>
    <row r="332">
      <c r="A332" t="inlineStr">
        <is>
          <t>ATF Fuel 2</t>
        </is>
      </c>
      <c r="B332" t="inlineStr">
        <is>
          <t>D19</t>
        </is>
      </c>
      <c r="C332" t="n">
        <v>19</v>
      </c>
      <c r="D332" t="n">
        <v>4</v>
      </c>
      <c r="E332" t="inlineStr">
        <is>
          <t>Input</t>
        </is>
      </c>
      <c r="F332" t="n">
        <v/>
      </c>
      <c r="G332" t="n">
        <v>45.98</v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ATF Fuel 2</t>
        </is>
      </c>
      <c r="B333" t="inlineStr">
        <is>
          <t>E19</t>
        </is>
      </c>
      <c r="C333" t="n">
        <v>19</v>
      </c>
      <c r="D333" t="n">
        <v>5</v>
      </c>
      <c r="E333" t="inlineStr">
        <is>
          <t>Output</t>
        </is>
      </c>
      <c r="F333" t="inlineStr">
        <is>
          <t>'=B19/B18-1</t>
        </is>
      </c>
      <c r="G333" t="n">
        <v>-0.02699431655558737</v>
      </c>
      <c r="H333" t="inlineStr"/>
      <c r="I333" t="inlineStr">
        <is>
          <t>0%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00000000</t>
        </is>
      </c>
      <c r="O333" t="n">
        <v/>
      </c>
      <c r="R333" t="b">
        <v>1</v>
      </c>
      <c r="S333" t="inlineStr">
        <is>
          <t>G000158</t>
        </is>
      </c>
      <c r="T333" t="inlineStr">
        <is>
          <t>Vertical</t>
        </is>
      </c>
      <c r="U333" t="n">
        <v>92</v>
      </c>
      <c r="V333" t="b">
        <v>1</v>
      </c>
      <c r="W333" t="inlineStr">
        <is>
          <t>ATF Fuel 2!E3:E94</t>
        </is>
      </c>
      <c r="X333">
        <f>R[0]C[-3]/R[-1]C[-3]-1</f>
        <v/>
      </c>
    </row>
    <row r="334">
      <c r="A334" t="inlineStr">
        <is>
          <t>ATF Fuel 2</t>
        </is>
      </c>
      <c r="B334" t="inlineStr">
        <is>
          <t>F19</t>
        </is>
      </c>
      <c r="C334" t="n">
        <v>19</v>
      </c>
      <c r="D334" t="n">
        <v>6</v>
      </c>
      <c r="E334" t="inlineStr">
        <is>
          <t>Input</t>
        </is>
      </c>
      <c r="F334" t="n">
        <v/>
      </c>
      <c r="G334" t="n">
        <v>117.5</v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00000000</t>
        </is>
      </c>
      <c r="O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ATF Fuel 2</t>
        </is>
      </c>
      <c r="B335" t="inlineStr">
        <is>
          <t>G19</t>
        </is>
      </c>
      <c r="C335" t="n">
        <v>19</v>
      </c>
      <c r="D335" t="n">
        <v>7</v>
      </c>
      <c r="E335" t="inlineStr">
        <is>
          <t>Output</t>
        </is>
      </c>
      <c r="F335" t="inlineStr">
        <is>
          <t>'=F19/F18-1</t>
        </is>
      </c>
      <c r="G335" t="n">
        <v>0.03305785123966953</v>
      </c>
      <c r="H335" t="inlineStr"/>
      <c r="I335" t="inlineStr">
        <is>
          <t>0%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n">
        <v/>
      </c>
      <c r="R335" t="b">
        <v>1</v>
      </c>
      <c r="S335" t="inlineStr">
        <is>
          <t>G000155</t>
        </is>
      </c>
      <c r="T335" t="inlineStr">
        <is>
          <t>Vertical</t>
        </is>
      </c>
      <c r="U335" t="n">
        <v>93</v>
      </c>
      <c r="V335" t="b">
        <v>1</v>
      </c>
      <c r="W335" t="inlineStr">
        <is>
          <t>ATF Fuel 2!G3:G95</t>
        </is>
      </c>
      <c r="X335">
        <f>R[0]C[-1]/R[-1]C[-1]-1</f>
        <v/>
      </c>
    </row>
    <row r="336">
      <c r="A336" t="inlineStr">
        <is>
          <t>ATF Fuel 2</t>
        </is>
      </c>
      <c r="B336" t="inlineStr">
        <is>
          <t>H19</t>
        </is>
      </c>
      <c r="C336" t="n">
        <v>19</v>
      </c>
      <c r="D336" t="n">
        <v>8</v>
      </c>
      <c r="E336" t="inlineStr">
        <is>
          <t>Calculation</t>
        </is>
      </c>
      <c r="F336" t="inlineStr">
        <is>
          <t>'=D19*F19</t>
        </is>
      </c>
      <c r="G336" t="n">
        <v>5402.65</v>
      </c>
      <c r="H336" t="inlineStr"/>
      <c r="I336" t="inlineStr">
        <is>
          <t>0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n">
        <v/>
      </c>
      <c r="R336" t="b">
        <v>1</v>
      </c>
      <c r="S336" t="inlineStr">
        <is>
          <t>G000152</t>
        </is>
      </c>
      <c r="T336" t="inlineStr">
        <is>
          <t>Vertical</t>
        </is>
      </c>
      <c r="U336" t="n">
        <v>98</v>
      </c>
      <c r="V336" t="b">
        <v>1</v>
      </c>
      <c r="W336" t="inlineStr">
        <is>
          <t>ATF Fuel 2!H2:H99</t>
        </is>
      </c>
      <c r="X336">
        <f>R[0]C[-4]*R[0]C[-2]</f>
        <v/>
      </c>
    </row>
    <row r="337">
      <c r="A337" t="inlineStr">
        <is>
          <t>ATF Fuel 2</t>
        </is>
      </c>
      <c r="B337" t="inlineStr">
        <is>
          <t>I19</t>
        </is>
      </c>
      <c r="C337" t="n">
        <v>19</v>
      </c>
      <c r="D337" t="n">
        <v>9</v>
      </c>
      <c r="E337" t="inlineStr">
        <is>
          <t>Output</t>
        </is>
      </c>
      <c r="F337" t="inlineStr">
        <is>
          <t>'=H19/H18-1</t>
        </is>
      </c>
      <c r="G337" t="n">
        <v>0.07856494096276112</v>
      </c>
      <c r="H337" t="inlineStr"/>
      <c r="I337" t="inlineStr">
        <is>
          <t>0%</t>
        </is>
      </c>
      <c r="J337" t="b">
        <v>0</v>
      </c>
      <c r="K337" t="b">
        <v>0</v>
      </c>
      <c r="L337" t="n">
        <v>11</v>
      </c>
      <c r="M337" t="inlineStr">
        <is>
          <t>FFFF0000</t>
        </is>
      </c>
      <c r="N337" t="inlineStr">
        <is>
          <t>00000000</t>
        </is>
      </c>
      <c r="O337" t="n">
        <v/>
      </c>
      <c r="R337" t="b">
        <v>1</v>
      </c>
      <c r="S337" t="inlineStr">
        <is>
          <t>G000156</t>
        </is>
      </c>
      <c r="T337" t="inlineStr">
        <is>
          <t>Vertical</t>
        </is>
      </c>
      <c r="U337" t="n">
        <v>97</v>
      </c>
      <c r="V337" t="b">
        <v>1</v>
      </c>
      <c r="W337" t="inlineStr">
        <is>
          <t>ATF Fuel 2!I3:I99</t>
        </is>
      </c>
      <c r="X337">
        <f>R[0]C[-1]/R[-1]C[-1]-1</f>
        <v/>
      </c>
    </row>
    <row r="338">
      <c r="A338" t="inlineStr">
        <is>
          <t>ATF Fuel 2</t>
        </is>
      </c>
      <c r="B338" t="inlineStr">
        <is>
          <t>J19</t>
        </is>
      </c>
      <c r="C338" t="n">
        <v>19</v>
      </c>
      <c r="D338" t="n">
        <v>10</v>
      </c>
      <c r="E338" t="inlineStr">
        <is>
          <t>Input</t>
        </is>
      </c>
      <c r="F338" t="n">
        <v/>
      </c>
      <c r="G338" t="n">
        <v>88.93000000000001</v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00000000</t>
        </is>
      </c>
      <c r="O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ATF Fuel 2</t>
        </is>
      </c>
      <c r="B339" t="inlineStr">
        <is>
          <t>K19</t>
        </is>
      </c>
      <c r="C339" t="n">
        <v>19</v>
      </c>
      <c r="D339" t="n">
        <v>11</v>
      </c>
      <c r="E339" t="inlineStr">
        <is>
          <t>Output</t>
        </is>
      </c>
      <c r="F339" t="inlineStr">
        <is>
          <t>'=J19/J18-1</t>
        </is>
      </c>
      <c r="G339" t="n">
        <v>-0.06369762055169503</v>
      </c>
      <c r="H339" t="inlineStr"/>
      <c r="I339" t="inlineStr">
        <is>
          <t>0%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R339" t="b">
        <v>1</v>
      </c>
      <c r="S339" t="inlineStr">
        <is>
          <t>G000157</t>
        </is>
      </c>
      <c r="T339" t="inlineStr">
        <is>
          <t>Vertical</t>
        </is>
      </c>
      <c r="U339" t="n">
        <v>93</v>
      </c>
      <c r="V339" t="b">
        <v>1</v>
      </c>
      <c r="W339" t="inlineStr">
        <is>
          <t>ATF Fuel 2!K3:K95</t>
        </is>
      </c>
      <c r="X339">
        <f>R[0]C[-1]/R[-1]C[-1]-1</f>
        <v/>
      </c>
    </row>
    <row r="340">
      <c r="A340" t="inlineStr">
        <is>
          <t>ATF Fuel 2</t>
        </is>
      </c>
      <c r="B340" t="inlineStr">
        <is>
          <t>L19</t>
        </is>
      </c>
      <c r="C340" t="n">
        <v>19</v>
      </c>
      <c r="D340" t="n">
        <v>12</v>
      </c>
      <c r="E340" t="inlineStr">
        <is>
          <t>Input</t>
        </is>
      </c>
      <c r="F340" t="n">
        <v/>
      </c>
      <c r="G340" t="inlineStr">
        <is>
          <t>September 01, 2011</t>
        </is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inlineStr">
        <is>
          <t>left</t>
        </is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ATF Fuel 2</t>
        </is>
      </c>
      <c r="B341" t="inlineStr">
        <is>
          <t>M19</t>
        </is>
      </c>
      <c r="C341" t="n">
        <v>19</v>
      </c>
      <c r="D341" t="n">
        <v>13</v>
      </c>
      <c r="E341" t="inlineStr">
        <is>
          <t>Calculation</t>
        </is>
      </c>
      <c r="F341" t="inlineStr">
        <is>
          <t>'=(1+(B19/B18)-1)*M18</t>
        </is>
      </c>
      <c r="G341" t="n">
        <v>134.1063632389598</v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inlineStr">
        <is>
          <t>left</t>
        </is>
      </c>
      <c r="R341" t="b">
        <v>1</v>
      </c>
      <c r="S341" t="inlineStr">
        <is>
          <t>G000159</t>
        </is>
      </c>
      <c r="T341" t="inlineStr">
        <is>
          <t>Vertical</t>
        </is>
      </c>
      <c r="U341" t="n">
        <v>92</v>
      </c>
      <c r="V341" t="b">
        <v>1</v>
      </c>
      <c r="W341" t="inlineStr">
        <is>
          <t>ATF Fuel 2!M3:M94</t>
        </is>
      </c>
      <c r="X341">
        <f>(1+(R[0]C[-11]/R[-1]C[-11])-1)*R[-1]C[0]</f>
        <v/>
      </c>
    </row>
    <row r="342">
      <c r="A342" t="inlineStr">
        <is>
          <t>ATF Fuel 2</t>
        </is>
      </c>
      <c r="B342" t="inlineStr">
        <is>
          <t>N19</t>
        </is>
      </c>
      <c r="C342" t="n">
        <v>19</v>
      </c>
      <c r="D342" t="n">
        <v>14</v>
      </c>
      <c r="E342" t="inlineStr">
        <is>
          <t>Calculation</t>
        </is>
      </c>
      <c r="F342" t="inlineStr">
        <is>
          <t>'=(1+(F19/F18)-1)*N18</t>
        </is>
      </c>
      <c r="G342" t="n">
        <v>142.2001694299892</v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inlineStr">
        <is>
          <t>left</t>
        </is>
      </c>
      <c r="R342" t="b">
        <v>1</v>
      </c>
      <c r="S342" t="inlineStr">
        <is>
          <t>G000160</t>
        </is>
      </c>
      <c r="T342" t="inlineStr">
        <is>
          <t>Vertical</t>
        </is>
      </c>
      <c r="U342" t="n">
        <v>92</v>
      </c>
      <c r="V342" t="b">
        <v>1</v>
      </c>
      <c r="W342" t="inlineStr">
        <is>
          <t>ATF Fuel 2!N3:N94</t>
        </is>
      </c>
      <c r="X342">
        <f>(1+(R[0]C[-8]/R[-1]C[-8])-1)*R[-1]C[0]</f>
        <v/>
      </c>
    </row>
    <row r="343">
      <c r="A343" t="inlineStr">
        <is>
          <t>ATF Fuel 2</t>
        </is>
      </c>
      <c r="B343" t="inlineStr">
        <is>
          <t>O19</t>
        </is>
      </c>
      <c r="C343" t="n">
        <v>19</v>
      </c>
      <c r="D343" t="n">
        <v>15</v>
      </c>
      <c r="E343" t="inlineStr">
        <is>
          <t>Calculation</t>
        </is>
      </c>
      <c r="F343" t="inlineStr">
        <is>
          <t>'=(1+(J19/J18)-1)*O18</t>
        </is>
      </c>
      <c r="G343" t="n">
        <v>105.205252573051</v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inlineStr">
        <is>
          <t>left</t>
        </is>
      </c>
      <c r="R343" t="b">
        <v>1</v>
      </c>
      <c r="S343" t="inlineStr">
        <is>
          <t>G000162</t>
        </is>
      </c>
      <c r="T343" t="inlineStr">
        <is>
          <t>Vertical</t>
        </is>
      </c>
      <c r="U343" t="n">
        <v>92</v>
      </c>
      <c r="V343" t="b">
        <v>1</v>
      </c>
      <c r="W343" t="inlineStr">
        <is>
          <t>ATF Fuel 2!O3:O94</t>
        </is>
      </c>
      <c r="X343">
        <f>(1+(R[0]C[-5]/R[-1]C[-5])-1)*R[-1]C[0]</f>
        <v/>
      </c>
    </row>
    <row r="344">
      <c r="A344" t="inlineStr">
        <is>
          <t>ATF Fuel 2</t>
        </is>
      </c>
      <c r="B344" t="inlineStr">
        <is>
          <t>P19</t>
        </is>
      </c>
      <c r="C344" t="n">
        <v>19</v>
      </c>
      <c r="D344" t="n">
        <v>16</v>
      </c>
      <c r="E344" t="inlineStr">
        <is>
          <t>Calculation</t>
        </is>
      </c>
      <c r="F344" t="inlineStr">
        <is>
          <t>'=(1+(H19/H18)-1)*P18</t>
        </is>
      </c>
      <c r="G344" t="n">
        <v>146.076045361727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inlineStr">
        <is>
          <t>left</t>
        </is>
      </c>
      <c r="R344" t="b">
        <v>1</v>
      </c>
      <c r="S344" t="inlineStr">
        <is>
          <t>G000161</t>
        </is>
      </c>
      <c r="T344" t="inlineStr">
        <is>
          <t>Vertical</t>
        </is>
      </c>
      <c r="U344" t="n">
        <v>92</v>
      </c>
      <c r="V344" t="b">
        <v>1</v>
      </c>
      <c r="W344" t="inlineStr">
        <is>
          <t>ATF Fuel 2!P3:P94</t>
        </is>
      </c>
      <c r="X344">
        <f>(1+(R[0]C[-8]/R[-1]C[-8])-1)*R[-1]C[0]</f>
        <v/>
      </c>
    </row>
    <row r="345">
      <c r="A345" t="inlineStr">
        <is>
          <t>ATF Fuel 2</t>
        </is>
      </c>
      <c r="B345" t="inlineStr">
        <is>
          <t>Q19</t>
        </is>
      </c>
      <c r="C345" t="n">
        <v>19</v>
      </c>
      <c r="D345" t="n">
        <v>17</v>
      </c>
      <c r="E345" t="inlineStr">
        <is>
          <t>Output</t>
        </is>
      </c>
      <c r="F345" t="inlineStr">
        <is>
          <t>'=M19/N19-1</t>
        </is>
      </c>
      <c r="G345" t="n">
        <v>-0.0569184004735962</v>
      </c>
      <c r="H345" t="inlineStr"/>
      <c r="I345" t="inlineStr">
        <is>
          <t>0.0%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R345" t="b">
        <v>1</v>
      </c>
      <c r="S345" t="inlineStr">
        <is>
          <t>G000153</t>
        </is>
      </c>
      <c r="T345" t="inlineStr">
        <is>
          <t>Vertical</t>
        </is>
      </c>
      <c r="U345" t="n">
        <v>93</v>
      </c>
      <c r="V345" t="b">
        <v>1</v>
      </c>
      <c r="W345" t="inlineStr">
        <is>
          <t>ATF Fuel 2!Q2:Q94</t>
        </is>
      </c>
      <c r="X345">
        <f>R[0]C[-4]/R[0]C[-3]-1</f>
        <v/>
      </c>
    </row>
    <row r="346">
      <c r="A346" t="inlineStr">
        <is>
          <t>ATF Fuel 2</t>
        </is>
      </c>
      <c r="B346" t="inlineStr">
        <is>
          <t>A20</t>
        </is>
      </c>
      <c r="C346" t="n">
        <v>20</v>
      </c>
      <c r="D346" t="n">
        <v>1</v>
      </c>
      <c r="E346" t="inlineStr">
        <is>
          <t>Input</t>
        </is>
      </c>
      <c r="F346" t="n">
        <v/>
      </c>
      <c r="G346" t="inlineStr">
        <is>
          <t>October 01, 2011</t>
        </is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ATF Fuel 2</t>
        </is>
      </c>
      <c r="B347" t="inlineStr">
        <is>
          <t>B20</t>
        </is>
      </c>
      <c r="C347" t="n">
        <v>20</v>
      </c>
      <c r="D347" t="n">
        <v>2</v>
      </c>
      <c r="E347" t="inlineStr">
        <is>
          <t>Input</t>
        </is>
      </c>
      <c r="F347" t="n">
        <v/>
      </c>
      <c r="G347" t="n">
        <v>61886.75</v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ATF Fuel 2</t>
        </is>
      </c>
      <c r="B348" t="inlineStr">
        <is>
          <t>C20</t>
        </is>
      </c>
      <c r="C348" t="n">
        <v>20</v>
      </c>
      <c r="D348" t="n">
        <v>3</v>
      </c>
      <c r="E348" t="inlineStr">
        <is>
          <t>Output</t>
        </is>
      </c>
      <c r="F348" t="inlineStr">
        <is>
          <t>'=B20/B19-1</t>
        </is>
      </c>
      <c r="G348" t="n">
        <v>0.04025331136959598</v>
      </c>
      <c r="H348" t="inlineStr"/>
      <c r="I348" t="inlineStr">
        <is>
          <t>0%</t>
        </is>
      </c>
      <c r="J348" t="b">
        <v>0</v>
      </c>
      <c r="K348" t="b">
        <v>0</v>
      </c>
      <c r="L348" t="n">
        <v>11</v>
      </c>
      <c r="M348" t="n">
        <v/>
      </c>
      <c r="N348" t="inlineStr">
        <is>
          <t>00000000</t>
        </is>
      </c>
      <c r="O348" t="n">
        <v/>
      </c>
      <c r="R348" t="b">
        <v>1</v>
      </c>
      <c r="S348" t="inlineStr">
        <is>
          <t>G000154</t>
        </is>
      </c>
      <c r="T348" t="inlineStr">
        <is>
          <t>Vertical</t>
        </is>
      </c>
      <c r="U348" t="n">
        <v>92</v>
      </c>
      <c r="V348" t="b">
        <v>1</v>
      </c>
      <c r="W348" t="inlineStr">
        <is>
          <t>ATF Fuel 2!C3:C94</t>
        </is>
      </c>
      <c r="X348">
        <f>R[0]C[-1]/R[-1]C[-1]-1</f>
        <v/>
      </c>
    </row>
    <row r="349">
      <c r="A349" t="inlineStr">
        <is>
          <t>ATF Fuel 2</t>
        </is>
      </c>
      <c r="B349" t="inlineStr">
        <is>
          <t>D20</t>
        </is>
      </c>
      <c r="C349" t="n">
        <v>20</v>
      </c>
      <c r="D349" t="n">
        <v>4</v>
      </c>
      <c r="E349" t="inlineStr">
        <is>
          <t>Input</t>
        </is>
      </c>
      <c r="F349" t="n">
        <v/>
      </c>
      <c r="G349" t="n">
        <v>49.48</v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ATF Fuel 2</t>
        </is>
      </c>
      <c r="B350" t="inlineStr">
        <is>
          <t>E20</t>
        </is>
      </c>
      <c r="C350" t="n">
        <v>20</v>
      </c>
      <c r="D350" t="n">
        <v>5</v>
      </c>
      <c r="E350" t="inlineStr">
        <is>
          <t>Output</t>
        </is>
      </c>
      <c r="F350" t="inlineStr">
        <is>
          <t>'=B20/B19-1</t>
        </is>
      </c>
      <c r="G350" t="n">
        <v>0.04025331136959598</v>
      </c>
      <c r="H350" t="inlineStr"/>
      <c r="I350" t="inlineStr">
        <is>
          <t>0%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00000000</t>
        </is>
      </c>
      <c r="O350" t="n">
        <v/>
      </c>
      <c r="R350" t="b">
        <v>1</v>
      </c>
      <c r="S350" t="inlineStr">
        <is>
          <t>G000158</t>
        </is>
      </c>
      <c r="T350" t="inlineStr">
        <is>
          <t>Vertical</t>
        </is>
      </c>
      <c r="U350" t="n">
        <v>92</v>
      </c>
      <c r="V350" t="b">
        <v>1</v>
      </c>
      <c r="W350" t="inlineStr">
        <is>
          <t>ATF Fuel 2!E3:E94</t>
        </is>
      </c>
      <c r="X350">
        <f>R[0]C[-3]/R[-1]C[-3]-1</f>
        <v/>
      </c>
    </row>
    <row r="351">
      <c r="A351" t="inlineStr">
        <is>
          <t>ATF Fuel 2</t>
        </is>
      </c>
      <c r="B351" t="inlineStr">
        <is>
          <t>F20</t>
        </is>
      </c>
      <c r="C351" t="n">
        <v>20</v>
      </c>
      <c r="D351" t="n">
        <v>6</v>
      </c>
      <c r="E351" t="inlineStr">
        <is>
          <t>Input</t>
        </is>
      </c>
      <c r="F351" t="n">
        <v/>
      </c>
      <c r="G351" t="n">
        <v>104.38</v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00000000</t>
        </is>
      </c>
      <c r="O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ATF Fuel 2</t>
        </is>
      </c>
      <c r="B352" t="inlineStr">
        <is>
          <t>G20</t>
        </is>
      </c>
      <c r="C352" t="n">
        <v>20</v>
      </c>
      <c r="D352" t="n">
        <v>7</v>
      </c>
      <c r="E352" t="inlineStr">
        <is>
          <t>Output</t>
        </is>
      </c>
      <c r="F352" t="inlineStr">
        <is>
          <t>'=F20/F19-1</t>
        </is>
      </c>
      <c r="G352" t="n">
        <v>-0.1116595744680852</v>
      </c>
      <c r="H352" t="inlineStr"/>
      <c r="I352" t="inlineStr">
        <is>
          <t>0%</t>
        </is>
      </c>
      <c r="J352" t="b">
        <v>0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00000000</t>
        </is>
      </c>
      <c r="O352" t="n">
        <v/>
      </c>
      <c r="R352" t="b">
        <v>1</v>
      </c>
      <c r="S352" t="inlineStr">
        <is>
          <t>G000155</t>
        </is>
      </c>
      <c r="T352" t="inlineStr">
        <is>
          <t>Vertical</t>
        </is>
      </c>
      <c r="U352" t="n">
        <v>93</v>
      </c>
      <c r="V352" t="b">
        <v>1</v>
      </c>
      <c r="W352" t="inlineStr">
        <is>
          <t>ATF Fuel 2!G3:G95</t>
        </is>
      </c>
      <c r="X352">
        <f>R[0]C[-1]/R[-1]C[-1]-1</f>
        <v/>
      </c>
    </row>
    <row r="353">
      <c r="A353" t="inlineStr">
        <is>
          <t>ATF Fuel 2</t>
        </is>
      </c>
      <c r="B353" t="inlineStr">
        <is>
          <t>H20</t>
        </is>
      </c>
      <c r="C353" t="n">
        <v>20</v>
      </c>
      <c r="D353" t="n">
        <v>8</v>
      </c>
      <c r="E353" t="inlineStr">
        <is>
          <t>Calculation</t>
        </is>
      </c>
      <c r="F353" t="inlineStr">
        <is>
          <t>'=D20*F20</t>
        </is>
      </c>
      <c r="G353" t="n">
        <v>5164.7224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00000000</t>
        </is>
      </c>
      <c r="O353" t="n">
        <v/>
      </c>
      <c r="R353" t="b">
        <v>1</v>
      </c>
      <c r="S353" t="inlineStr">
        <is>
          <t>G000152</t>
        </is>
      </c>
      <c r="T353" t="inlineStr">
        <is>
          <t>Vertical</t>
        </is>
      </c>
      <c r="U353" t="n">
        <v>98</v>
      </c>
      <c r="V353" t="b">
        <v>1</v>
      </c>
      <c r="W353" t="inlineStr">
        <is>
          <t>ATF Fuel 2!H2:H99</t>
        </is>
      </c>
      <c r="X353">
        <f>R[0]C[-4]*R[0]C[-2]</f>
        <v/>
      </c>
    </row>
    <row r="354">
      <c r="A354" t="inlineStr">
        <is>
          <t>ATF Fuel 2</t>
        </is>
      </c>
      <c r="B354" t="inlineStr">
        <is>
          <t>I20</t>
        </is>
      </c>
      <c r="C354" t="n">
        <v>20</v>
      </c>
      <c r="D354" t="n">
        <v>9</v>
      </c>
      <c r="E354" t="inlineStr">
        <is>
          <t>Output</t>
        </is>
      </c>
      <c r="F354" t="inlineStr">
        <is>
          <t>'=H20/H19-1</t>
        </is>
      </c>
      <c r="G354" t="n">
        <v>-0.04403905490823945</v>
      </c>
      <c r="H354" t="inlineStr"/>
      <c r="I354" t="inlineStr">
        <is>
          <t>0%</t>
        </is>
      </c>
      <c r="J354" t="b">
        <v>0</v>
      </c>
      <c r="K354" t="b">
        <v>0</v>
      </c>
      <c r="L354" t="n">
        <v>11</v>
      </c>
      <c r="M354" t="inlineStr">
        <is>
          <t>FFFF0000</t>
        </is>
      </c>
      <c r="N354" t="inlineStr">
        <is>
          <t>00000000</t>
        </is>
      </c>
      <c r="O354" t="n">
        <v/>
      </c>
      <c r="R354" t="b">
        <v>1</v>
      </c>
      <c r="S354" t="inlineStr">
        <is>
          <t>G000156</t>
        </is>
      </c>
      <c r="T354" t="inlineStr">
        <is>
          <t>Vertical</t>
        </is>
      </c>
      <c r="U354" t="n">
        <v>97</v>
      </c>
      <c r="V354" t="b">
        <v>1</v>
      </c>
      <c r="W354" t="inlineStr">
        <is>
          <t>ATF Fuel 2!I3:I99</t>
        </is>
      </c>
      <c r="X354">
        <f>R[0]C[-1]/R[-1]C[-1]-1</f>
        <v/>
      </c>
    </row>
    <row r="355">
      <c r="A355" t="inlineStr">
        <is>
          <t>ATF Fuel 2</t>
        </is>
      </c>
      <c r="B355" t="inlineStr">
        <is>
          <t>J20</t>
        </is>
      </c>
      <c r="C355" t="n">
        <v>20</v>
      </c>
      <c r="D355" t="n">
        <v>10</v>
      </c>
      <c r="E355" t="inlineStr">
        <is>
          <t>Input</t>
        </is>
      </c>
      <c r="F355" t="n">
        <v/>
      </c>
      <c r="G355" t="n">
        <v>77.34</v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00000000</t>
        </is>
      </c>
      <c r="O355" t="n">
        <v/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ATF Fuel 2</t>
        </is>
      </c>
      <c r="B356" t="inlineStr">
        <is>
          <t>K20</t>
        </is>
      </c>
      <c r="C356" t="n">
        <v>20</v>
      </c>
      <c r="D356" t="n">
        <v>11</v>
      </c>
      <c r="E356" t="inlineStr">
        <is>
          <t>Output</t>
        </is>
      </c>
      <c r="F356" t="inlineStr">
        <is>
          <t>'=J20/J19-1</t>
        </is>
      </c>
      <c r="G356" t="n">
        <v>-0.1303272236590577</v>
      </c>
      <c r="H356" t="inlineStr"/>
      <c r="I356" t="inlineStr">
        <is>
          <t>0%</t>
        </is>
      </c>
      <c r="J356" t="b">
        <v>0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00000000</t>
        </is>
      </c>
      <c r="O356" t="n">
        <v/>
      </c>
      <c r="R356" t="b">
        <v>1</v>
      </c>
      <c r="S356" t="inlineStr">
        <is>
          <t>G000157</t>
        </is>
      </c>
      <c r="T356" t="inlineStr">
        <is>
          <t>Vertical</t>
        </is>
      </c>
      <c r="U356" t="n">
        <v>93</v>
      </c>
      <c r="V356" t="b">
        <v>1</v>
      </c>
      <c r="W356" t="inlineStr">
        <is>
          <t>ATF Fuel 2!K3:K95</t>
        </is>
      </c>
      <c r="X356">
        <f>R[0]C[-1]/R[-1]C[-1]-1</f>
        <v/>
      </c>
    </row>
    <row r="357">
      <c r="A357" t="inlineStr">
        <is>
          <t>ATF Fuel 2</t>
        </is>
      </c>
      <c r="B357" t="inlineStr">
        <is>
          <t>L20</t>
        </is>
      </c>
      <c r="C357" t="n">
        <v>20</v>
      </c>
      <c r="D357" t="n">
        <v>12</v>
      </c>
      <c r="E357" t="inlineStr">
        <is>
          <t>Input</t>
        </is>
      </c>
      <c r="F357" t="n">
        <v/>
      </c>
      <c r="G357" t="inlineStr">
        <is>
          <t>October 01, 2011</t>
        </is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00000000</t>
        </is>
      </c>
      <c r="O357" t="inlineStr">
        <is>
          <t>left</t>
        </is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ATF Fuel 2</t>
        </is>
      </c>
      <c r="B358" t="inlineStr">
        <is>
          <t>M20</t>
        </is>
      </c>
      <c r="C358" t="n">
        <v>20</v>
      </c>
      <c r="D358" t="n">
        <v>13</v>
      </c>
      <c r="E358" t="inlineStr">
        <is>
          <t>Calculation</t>
        </is>
      </c>
      <c r="F358" t="inlineStr">
        <is>
          <t>'=(1+(B20/B19)-1)*M19</t>
        </is>
      </c>
      <c r="G358" t="n">
        <v>139.5045884350618</v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00000000</t>
        </is>
      </c>
      <c r="O358" t="inlineStr">
        <is>
          <t>left</t>
        </is>
      </c>
      <c r="R358" t="b">
        <v>1</v>
      </c>
      <c r="S358" t="inlineStr">
        <is>
          <t>G000159</t>
        </is>
      </c>
      <c r="T358" t="inlineStr">
        <is>
          <t>Vertical</t>
        </is>
      </c>
      <c r="U358" t="n">
        <v>92</v>
      </c>
      <c r="V358" t="b">
        <v>1</v>
      </c>
      <c r="W358" t="inlineStr">
        <is>
          <t>ATF Fuel 2!M3:M94</t>
        </is>
      </c>
      <c r="X358">
        <f>(1+(R[0]C[-11]/R[-1]C[-11])-1)*R[-1]C[0]</f>
        <v/>
      </c>
    </row>
    <row r="359">
      <c r="A359" t="inlineStr">
        <is>
          <t>ATF Fuel 2</t>
        </is>
      </c>
      <c r="B359" t="inlineStr">
        <is>
          <t>N20</t>
        </is>
      </c>
      <c r="C359" t="n">
        <v>20</v>
      </c>
      <c r="D359" t="n">
        <v>14</v>
      </c>
      <c r="E359" t="inlineStr">
        <is>
          <t>Calculation</t>
        </is>
      </c>
      <c r="F359" t="inlineStr">
        <is>
          <t>'=(1+(F20/F19)-1)*N19</t>
        </is>
      </c>
      <c r="G359" t="n">
        <v>126.322159022147</v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00000000</t>
        </is>
      </c>
      <c r="O359" t="inlineStr">
        <is>
          <t>left</t>
        </is>
      </c>
      <c r="R359" t="b">
        <v>1</v>
      </c>
      <c r="S359" t="inlineStr">
        <is>
          <t>G000160</t>
        </is>
      </c>
      <c r="T359" t="inlineStr">
        <is>
          <t>Vertical</t>
        </is>
      </c>
      <c r="U359" t="n">
        <v>92</v>
      </c>
      <c r="V359" t="b">
        <v>1</v>
      </c>
      <c r="W359" t="inlineStr">
        <is>
          <t>ATF Fuel 2!N3:N94</t>
        </is>
      </c>
      <c r="X359">
        <f>(1+(R[0]C[-8]/R[-1]C[-8])-1)*R[-1]C[0]</f>
        <v/>
      </c>
    </row>
    <row r="360">
      <c r="A360" t="inlineStr">
        <is>
          <t>ATF Fuel 2</t>
        </is>
      </c>
      <c r="B360" t="inlineStr">
        <is>
          <t>O20</t>
        </is>
      </c>
      <c r="C360" t="n">
        <v>20</v>
      </c>
      <c r="D360" t="n">
        <v>15</v>
      </c>
      <c r="E360" t="inlineStr">
        <is>
          <t>Calculation</t>
        </is>
      </c>
      <c r="F360" t="inlineStr">
        <is>
          <t>'=(1+(J20/J19)-1)*O19</t>
        </is>
      </c>
      <c r="G360" t="n">
        <v>91.49414409085534</v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00000000</t>
        </is>
      </c>
      <c r="O360" t="inlineStr">
        <is>
          <t>left</t>
        </is>
      </c>
      <c r="R360" t="b">
        <v>1</v>
      </c>
      <c r="S360" t="inlineStr">
        <is>
          <t>G000162</t>
        </is>
      </c>
      <c r="T360" t="inlineStr">
        <is>
          <t>Vertical</t>
        </is>
      </c>
      <c r="U360" t="n">
        <v>92</v>
      </c>
      <c r="V360" t="b">
        <v>1</v>
      </c>
      <c r="W360" t="inlineStr">
        <is>
          <t>ATF Fuel 2!O3:O94</t>
        </is>
      </c>
      <c r="X360">
        <f>(1+(R[0]C[-5]/R[-1]C[-5])-1)*R[-1]C[0]</f>
        <v/>
      </c>
    </row>
    <row r="361">
      <c r="A361" t="inlineStr">
        <is>
          <t>ATF Fuel 2</t>
        </is>
      </c>
      <c r="B361" t="inlineStr">
        <is>
          <t>P20</t>
        </is>
      </c>
      <c r="C361" t="n">
        <v>20</v>
      </c>
      <c r="D361" t="n">
        <v>16</v>
      </c>
      <c r="E361" t="inlineStr">
        <is>
          <t>Calculation</t>
        </is>
      </c>
      <c r="F361" t="inlineStr">
        <is>
          <t>'=(1+(H20/H19)-1)*P19</t>
        </is>
      </c>
      <c r="G361" t="n">
        <v>139.6429943792634</v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00000000</t>
        </is>
      </c>
      <c r="O361" t="inlineStr">
        <is>
          <t>left</t>
        </is>
      </c>
      <c r="R361" t="b">
        <v>1</v>
      </c>
      <c r="S361" t="inlineStr">
        <is>
          <t>G000161</t>
        </is>
      </c>
      <c r="T361" t="inlineStr">
        <is>
          <t>Vertical</t>
        </is>
      </c>
      <c r="U361" t="n">
        <v>92</v>
      </c>
      <c r="V361" t="b">
        <v>1</v>
      </c>
      <c r="W361" t="inlineStr">
        <is>
          <t>ATF Fuel 2!P3:P94</t>
        </is>
      </c>
      <c r="X361">
        <f>(1+(R[0]C[-8]/R[-1]C[-8])-1)*R[-1]C[0]</f>
        <v/>
      </c>
    </row>
    <row r="362">
      <c r="A362" t="inlineStr">
        <is>
          <t>ATF Fuel 2</t>
        </is>
      </c>
      <c r="B362" t="inlineStr">
        <is>
          <t>Q20</t>
        </is>
      </c>
      <c r="C362" t="n">
        <v>20</v>
      </c>
      <c r="D362" t="n">
        <v>17</v>
      </c>
      <c r="E362" t="inlineStr">
        <is>
          <t>Output</t>
        </is>
      </c>
      <c r="F362" t="inlineStr">
        <is>
          <t>'=M20/N20-1</t>
        </is>
      </c>
      <c r="G362" t="n">
        <v>0.1043556373241183</v>
      </c>
      <c r="H362" t="inlineStr"/>
      <c r="I362" t="inlineStr">
        <is>
          <t>0.0%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00000000</t>
        </is>
      </c>
      <c r="O362" t="n">
        <v/>
      </c>
      <c r="R362" t="b">
        <v>1</v>
      </c>
      <c r="S362" t="inlineStr">
        <is>
          <t>G000153</t>
        </is>
      </c>
      <c r="T362" t="inlineStr">
        <is>
          <t>Vertical</t>
        </is>
      </c>
      <c r="U362" t="n">
        <v>93</v>
      </c>
      <c r="V362" t="b">
        <v>1</v>
      </c>
      <c r="W362" t="inlineStr">
        <is>
          <t>ATF Fuel 2!Q2:Q94</t>
        </is>
      </c>
      <c r="X362">
        <f>R[0]C[-4]/R[0]C[-3]-1</f>
        <v/>
      </c>
    </row>
    <row r="363">
      <c r="A363" t="inlineStr">
        <is>
          <t>ATF Fuel 2</t>
        </is>
      </c>
      <c r="B363" t="inlineStr">
        <is>
          <t>A21</t>
        </is>
      </c>
      <c r="C363" t="n">
        <v>21</v>
      </c>
      <c r="D363" t="n">
        <v>1</v>
      </c>
      <c r="E363" t="inlineStr">
        <is>
          <t>Input</t>
        </is>
      </c>
      <c r="F363" t="n">
        <v/>
      </c>
      <c r="G363" t="inlineStr">
        <is>
          <t>November 01, 2011</t>
        </is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00000000</t>
        </is>
      </c>
      <c r="O363" t="n">
        <v/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ATF Fuel 2</t>
        </is>
      </c>
      <c r="B364" t="inlineStr">
        <is>
          <t>B21</t>
        </is>
      </c>
      <c r="C364" t="n">
        <v>21</v>
      </c>
      <c r="D364" t="n">
        <v>2</v>
      </c>
      <c r="E364" t="inlineStr">
        <is>
          <t>Input</t>
        </is>
      </c>
      <c r="F364" t="n">
        <v/>
      </c>
      <c r="G364" t="n">
        <v>64490.41500000001</v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Values must be of type &lt;class 'str'&gt;</t>
        </is>
      </c>
      <c r="N364" t="inlineStr">
        <is>
          <t>00000000</t>
        </is>
      </c>
      <c r="O364" t="n">
        <v/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ATF Fuel 2</t>
        </is>
      </c>
      <c r="B365" t="inlineStr">
        <is>
          <t>C21</t>
        </is>
      </c>
      <c r="C365" t="n">
        <v>21</v>
      </c>
      <c r="D365" t="n">
        <v>3</v>
      </c>
      <c r="E365" t="inlineStr">
        <is>
          <t>Output</t>
        </is>
      </c>
      <c r="F365" t="inlineStr">
        <is>
          <t>'=B21/B20-1</t>
        </is>
      </c>
      <c r="G365" t="n">
        <v>0.04207144501852178</v>
      </c>
      <c r="H365" t="inlineStr"/>
      <c r="I365" t="inlineStr">
        <is>
          <t>0%</t>
        </is>
      </c>
      <c r="J365" t="b">
        <v>0</v>
      </c>
      <c r="K365" t="b">
        <v>0</v>
      </c>
      <c r="L365" t="n">
        <v>11</v>
      </c>
      <c r="M365" t="n">
        <v/>
      </c>
      <c r="N365" t="inlineStr">
        <is>
          <t>00000000</t>
        </is>
      </c>
      <c r="O365" t="n">
        <v/>
      </c>
      <c r="R365" t="b">
        <v>1</v>
      </c>
      <c r="S365" t="inlineStr">
        <is>
          <t>G000154</t>
        </is>
      </c>
      <c r="T365" t="inlineStr">
        <is>
          <t>Vertical</t>
        </is>
      </c>
      <c r="U365" t="n">
        <v>92</v>
      </c>
      <c r="V365" t="b">
        <v>1</v>
      </c>
      <c r="W365" t="inlineStr">
        <is>
          <t>ATF Fuel 2!C3:C94</t>
        </is>
      </c>
      <c r="X365">
        <f>R[0]C[-1]/R[-1]C[-1]-1</f>
        <v/>
      </c>
    </row>
    <row r="366">
      <c r="A366" t="inlineStr">
        <is>
          <t>ATF Fuel 2</t>
        </is>
      </c>
      <c r="B366" t="inlineStr">
        <is>
          <t>D21</t>
        </is>
      </c>
      <c r="C366" t="n">
        <v>21</v>
      </c>
      <c r="D366" t="n">
        <v>4</v>
      </c>
      <c r="E366" t="inlineStr">
        <is>
          <t>Input</t>
        </is>
      </c>
      <c r="F366" t="n">
        <v/>
      </c>
      <c r="G366" t="n">
        <v>48.83</v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n">
        <v/>
      </c>
      <c r="R366" t="b">
        <v>1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ATF Fuel 2</t>
        </is>
      </c>
      <c r="B367" t="inlineStr">
        <is>
          <t>E21</t>
        </is>
      </c>
      <c r="C367" t="n">
        <v>21</v>
      </c>
      <c r="D367" t="n">
        <v>5</v>
      </c>
      <c r="E367" t="inlineStr">
        <is>
          <t>Output</t>
        </is>
      </c>
      <c r="F367" t="inlineStr">
        <is>
          <t>'=B21/B20-1</t>
        </is>
      </c>
      <c r="G367" t="n">
        <v>0.04207144501852178</v>
      </c>
      <c r="H367" t="inlineStr"/>
      <c r="I367" t="inlineStr">
        <is>
          <t>0%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n">
        <v/>
      </c>
      <c r="R367" t="b">
        <v>1</v>
      </c>
      <c r="S367" t="inlineStr">
        <is>
          <t>G000158</t>
        </is>
      </c>
      <c r="T367" t="inlineStr">
        <is>
          <t>Vertical</t>
        </is>
      </c>
      <c r="U367" t="n">
        <v>92</v>
      </c>
      <c r="V367" t="b">
        <v>1</v>
      </c>
      <c r="W367" t="inlineStr">
        <is>
          <t>ATF Fuel 2!E3:E94</t>
        </is>
      </c>
      <c r="X367">
        <f>R[0]C[-3]/R[-1]C[-3]-1</f>
        <v/>
      </c>
    </row>
    <row r="368">
      <c r="A368" t="inlineStr">
        <is>
          <t>ATF Fuel 2</t>
        </is>
      </c>
      <c r="B368" t="inlineStr">
        <is>
          <t>F21</t>
        </is>
      </c>
      <c r="C368" t="n">
        <v>21</v>
      </c>
      <c r="D368" t="n">
        <v>6</v>
      </c>
      <c r="E368" t="inlineStr">
        <is>
          <t>Input</t>
        </is>
      </c>
      <c r="F368" t="n">
        <v/>
      </c>
      <c r="G368" t="n">
        <v>112.22</v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ATF Fuel 2</t>
        </is>
      </c>
      <c r="B369" t="inlineStr">
        <is>
          <t>G21</t>
        </is>
      </c>
      <c r="C369" t="n">
        <v>21</v>
      </c>
      <c r="D369" t="n">
        <v>7</v>
      </c>
      <c r="E369" t="inlineStr">
        <is>
          <t>Output</t>
        </is>
      </c>
      <c r="F369" t="inlineStr">
        <is>
          <t>'=F21/F20-1</t>
        </is>
      </c>
      <c r="G369" t="n">
        <v>0.07511017436290479</v>
      </c>
      <c r="H369" t="inlineStr"/>
      <c r="I369" t="inlineStr">
        <is>
          <t>0%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R369" t="b">
        <v>1</v>
      </c>
      <c r="S369" t="inlineStr">
        <is>
          <t>G000155</t>
        </is>
      </c>
      <c r="T369" t="inlineStr">
        <is>
          <t>Vertical</t>
        </is>
      </c>
      <c r="U369" t="n">
        <v>93</v>
      </c>
      <c r="V369" t="b">
        <v>1</v>
      </c>
      <c r="W369" t="inlineStr">
        <is>
          <t>ATF Fuel 2!G3:G95</t>
        </is>
      </c>
      <c r="X369">
        <f>R[0]C[-1]/R[-1]C[-1]-1</f>
        <v/>
      </c>
    </row>
    <row r="370">
      <c r="A370" t="inlineStr">
        <is>
          <t>ATF Fuel 2</t>
        </is>
      </c>
      <c r="B370" t="inlineStr">
        <is>
          <t>H21</t>
        </is>
      </c>
      <c r="C370" t="n">
        <v>21</v>
      </c>
      <c r="D370" t="n">
        <v>8</v>
      </c>
      <c r="E370" t="inlineStr">
        <is>
          <t>Calculation</t>
        </is>
      </c>
      <c r="F370" t="inlineStr">
        <is>
          <t>'=D21*F21</t>
        </is>
      </c>
      <c r="G370" t="n">
        <v>5479.7026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n">
        <v/>
      </c>
      <c r="R370" t="b">
        <v>1</v>
      </c>
      <c r="S370" t="inlineStr">
        <is>
          <t>G000152</t>
        </is>
      </c>
      <c r="T370" t="inlineStr">
        <is>
          <t>Vertical</t>
        </is>
      </c>
      <c r="U370" t="n">
        <v>98</v>
      </c>
      <c r="V370" t="b">
        <v>1</v>
      </c>
      <c r="W370" t="inlineStr">
        <is>
          <t>ATF Fuel 2!H2:H99</t>
        </is>
      </c>
      <c r="X370">
        <f>R[0]C[-4]*R[0]C[-2]</f>
        <v/>
      </c>
    </row>
    <row r="371">
      <c r="A371" t="inlineStr">
        <is>
          <t>ATF Fuel 2</t>
        </is>
      </c>
      <c r="B371" t="inlineStr">
        <is>
          <t>I21</t>
        </is>
      </c>
      <c r="C371" t="n">
        <v>21</v>
      </c>
      <c r="D371" t="n">
        <v>9</v>
      </c>
      <c r="E371" t="inlineStr">
        <is>
          <t>Output</t>
        </is>
      </c>
      <c r="F371" t="inlineStr">
        <is>
          <t>'=H21/H20-1</t>
        </is>
      </c>
      <c r="G371" t="n">
        <v>0.06098685962289085</v>
      </c>
      <c r="H371" t="inlineStr"/>
      <c r="I371" t="inlineStr">
        <is>
          <t>0%</t>
        </is>
      </c>
      <c r="J371" t="b">
        <v>0</v>
      </c>
      <c r="K371" t="b">
        <v>0</v>
      </c>
      <c r="L371" t="n">
        <v>11</v>
      </c>
      <c r="M371" t="inlineStr">
        <is>
          <t>FFFF0000</t>
        </is>
      </c>
      <c r="N371" t="inlineStr">
        <is>
          <t>00000000</t>
        </is>
      </c>
      <c r="O371" t="n">
        <v/>
      </c>
      <c r="R371" t="b">
        <v>1</v>
      </c>
      <c r="S371" t="inlineStr">
        <is>
          <t>G000156</t>
        </is>
      </c>
      <c r="T371" t="inlineStr">
        <is>
          <t>Vertical</t>
        </is>
      </c>
      <c r="U371" t="n">
        <v>97</v>
      </c>
      <c r="V371" t="b">
        <v>1</v>
      </c>
      <c r="W371" t="inlineStr">
        <is>
          <t>ATF Fuel 2!I3:I99</t>
        </is>
      </c>
      <c r="X371">
        <f>R[0]C[-1]/R[-1]C[-1]-1</f>
        <v/>
      </c>
    </row>
    <row r="372">
      <c r="A372" t="inlineStr">
        <is>
          <t>ATF Fuel 2</t>
        </is>
      </c>
      <c r="B372" t="inlineStr">
        <is>
          <t>J21</t>
        </is>
      </c>
      <c r="C372" t="n">
        <v>21</v>
      </c>
      <c r="D372" t="n">
        <v>10</v>
      </c>
      <c r="E372" t="inlineStr">
        <is>
          <t>Input</t>
        </is>
      </c>
      <c r="F372" t="n">
        <v/>
      </c>
      <c r="G372" t="n">
        <v>92.19</v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11</v>
      </c>
      <c r="M372" t="inlineStr">
        <is>
          <t>Values must be of type &lt;class 'str'&gt;</t>
        </is>
      </c>
      <c r="N372" t="inlineStr">
        <is>
          <t>00000000</t>
        </is>
      </c>
      <c r="O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ATF Fuel 2</t>
        </is>
      </c>
      <c r="B373" t="inlineStr">
        <is>
          <t>K21</t>
        </is>
      </c>
      <c r="C373" t="n">
        <v>21</v>
      </c>
      <c r="D373" t="n">
        <v>11</v>
      </c>
      <c r="E373" t="inlineStr">
        <is>
          <t>Output</t>
        </is>
      </c>
      <c r="F373" t="inlineStr">
        <is>
          <t>'=J21/J20-1</t>
        </is>
      </c>
      <c r="G373" t="n">
        <v>0.1920093095422808</v>
      </c>
      <c r="H373" t="inlineStr"/>
      <c r="I373" t="inlineStr">
        <is>
          <t>0%</t>
        </is>
      </c>
      <c r="J373" t="b">
        <v>0</v>
      </c>
      <c r="K373" t="b">
        <v>0</v>
      </c>
      <c r="L373" t="n">
        <v>11</v>
      </c>
      <c r="M373" t="inlineStr">
        <is>
          <t>Values must be of type &lt;class 'str'&gt;</t>
        </is>
      </c>
      <c r="N373" t="inlineStr">
        <is>
          <t>00000000</t>
        </is>
      </c>
      <c r="O373" t="n">
        <v/>
      </c>
      <c r="R373" t="b">
        <v>1</v>
      </c>
      <c r="S373" t="inlineStr">
        <is>
          <t>G000157</t>
        </is>
      </c>
      <c r="T373" t="inlineStr">
        <is>
          <t>Vertical</t>
        </is>
      </c>
      <c r="U373" t="n">
        <v>93</v>
      </c>
      <c r="V373" t="b">
        <v>1</v>
      </c>
      <c r="W373" t="inlineStr">
        <is>
          <t>ATF Fuel 2!K3:K95</t>
        </is>
      </c>
      <c r="X373">
        <f>R[0]C[-1]/R[-1]C[-1]-1</f>
        <v/>
      </c>
    </row>
    <row r="374">
      <c r="A374" t="inlineStr">
        <is>
          <t>ATF Fuel 2</t>
        </is>
      </c>
      <c r="B374" t="inlineStr">
        <is>
          <t>L21</t>
        </is>
      </c>
      <c r="C374" t="n">
        <v>21</v>
      </c>
      <c r="D374" t="n">
        <v>12</v>
      </c>
      <c r="E374" t="inlineStr">
        <is>
          <t>Input</t>
        </is>
      </c>
      <c r="F374" t="n">
        <v/>
      </c>
      <c r="G374" t="inlineStr">
        <is>
          <t>November 01, 2011</t>
        </is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Values must be of type &lt;class 'str'&gt;</t>
        </is>
      </c>
      <c r="N374" t="inlineStr">
        <is>
          <t>00000000</t>
        </is>
      </c>
      <c r="O374" t="inlineStr">
        <is>
          <t>left</t>
        </is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ATF Fuel 2</t>
        </is>
      </c>
      <c r="B375" t="inlineStr">
        <is>
          <t>M21</t>
        </is>
      </c>
      <c r="C375" t="n">
        <v>21</v>
      </c>
      <c r="D375" t="n">
        <v>13</v>
      </c>
      <c r="E375" t="inlineStr">
        <is>
          <t>Calculation</t>
        </is>
      </c>
      <c r="F375" t="inlineStr">
        <is>
          <t>'=(1+(B21/B20)-1)*M20</t>
        </is>
      </c>
      <c r="G375" t="n">
        <v>145.373748057239</v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Values must be of type &lt;class 'str'&gt;</t>
        </is>
      </c>
      <c r="N375" t="inlineStr">
        <is>
          <t>00000000</t>
        </is>
      </c>
      <c r="O375" t="inlineStr">
        <is>
          <t>left</t>
        </is>
      </c>
      <c r="R375" t="b">
        <v>1</v>
      </c>
      <c r="S375" t="inlineStr">
        <is>
          <t>G000159</t>
        </is>
      </c>
      <c r="T375" t="inlineStr">
        <is>
          <t>Vertical</t>
        </is>
      </c>
      <c r="U375" t="n">
        <v>92</v>
      </c>
      <c r="V375" t="b">
        <v>1</v>
      </c>
      <c r="W375" t="inlineStr">
        <is>
          <t>ATF Fuel 2!M3:M94</t>
        </is>
      </c>
      <c r="X375">
        <f>(1+(R[0]C[-11]/R[-1]C[-11])-1)*R[-1]C[0]</f>
        <v/>
      </c>
    </row>
    <row r="376">
      <c r="A376" t="inlineStr">
        <is>
          <t>ATF Fuel 2</t>
        </is>
      </c>
      <c r="B376" t="inlineStr">
        <is>
          <t>N21</t>
        </is>
      </c>
      <c r="C376" t="n">
        <v>21</v>
      </c>
      <c r="D376" t="n">
        <v>14</v>
      </c>
      <c r="E376" t="inlineStr">
        <is>
          <t>Calculation</t>
        </is>
      </c>
      <c r="F376" t="inlineStr">
        <is>
          <t>'=(1+(F21/F20)-1)*N20</t>
        </is>
      </c>
      <c r="G376" t="n">
        <v>135.8102384121991</v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Values must be of type &lt;class 'str'&gt;</t>
        </is>
      </c>
      <c r="N376" t="inlineStr">
        <is>
          <t>00000000</t>
        </is>
      </c>
      <c r="O376" t="inlineStr">
        <is>
          <t>left</t>
        </is>
      </c>
      <c r="R376" t="b">
        <v>1</v>
      </c>
      <c r="S376" t="inlineStr">
        <is>
          <t>G000160</t>
        </is>
      </c>
      <c r="T376" t="inlineStr">
        <is>
          <t>Vertical</t>
        </is>
      </c>
      <c r="U376" t="n">
        <v>92</v>
      </c>
      <c r="V376" t="b">
        <v>1</v>
      </c>
      <c r="W376" t="inlineStr">
        <is>
          <t>ATF Fuel 2!N3:N94</t>
        </is>
      </c>
      <c r="X376">
        <f>(1+(R[0]C[-8]/R[-1]C[-8])-1)*R[-1]C[0]</f>
        <v/>
      </c>
    </row>
    <row r="377">
      <c r="A377" t="inlineStr">
        <is>
          <t>ATF Fuel 2</t>
        </is>
      </c>
      <c r="B377" t="inlineStr">
        <is>
          <t>O21</t>
        </is>
      </c>
      <c r="C377" t="n">
        <v>21</v>
      </c>
      <c r="D377" t="n">
        <v>15</v>
      </c>
      <c r="E377" t="inlineStr">
        <is>
          <t>Calculation</t>
        </is>
      </c>
      <c r="F377" t="inlineStr">
        <is>
          <t>'=(1+(J21/J20)-1)*O20</t>
        </is>
      </c>
      <c r="G377" t="n">
        <v>109.0618715249024</v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00000000</t>
        </is>
      </c>
      <c r="O377" t="inlineStr">
        <is>
          <t>left</t>
        </is>
      </c>
      <c r="R377" t="b">
        <v>1</v>
      </c>
      <c r="S377" t="inlineStr">
        <is>
          <t>G000162</t>
        </is>
      </c>
      <c r="T377" t="inlineStr">
        <is>
          <t>Vertical</t>
        </is>
      </c>
      <c r="U377" t="n">
        <v>92</v>
      </c>
      <c r="V377" t="b">
        <v>1</v>
      </c>
      <c r="W377" t="inlineStr">
        <is>
          <t>ATF Fuel 2!O3:O94</t>
        </is>
      </c>
      <c r="X377">
        <f>(1+(R[0]C[-5]/R[-1]C[-5])-1)*R[-1]C[0]</f>
        <v/>
      </c>
    </row>
    <row r="378">
      <c r="A378" t="inlineStr">
        <is>
          <t>ATF Fuel 2</t>
        </is>
      </c>
      <c r="B378" t="inlineStr">
        <is>
          <t>P21</t>
        </is>
      </c>
      <c r="C378" t="n">
        <v>21</v>
      </c>
      <c r="D378" t="n">
        <v>16</v>
      </c>
      <c r="E378" t="inlineStr">
        <is>
          <t>Calculation</t>
        </is>
      </c>
      <c r="F378" t="inlineStr">
        <is>
          <t>'=(1+(H21/H20)-1)*P20</t>
        </is>
      </c>
      <c r="G378" t="n">
        <v>148.1593820747917</v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00000000</t>
        </is>
      </c>
      <c r="O378" t="inlineStr">
        <is>
          <t>left</t>
        </is>
      </c>
      <c r="R378" t="b">
        <v>1</v>
      </c>
      <c r="S378" t="inlineStr">
        <is>
          <t>G000161</t>
        </is>
      </c>
      <c r="T378" t="inlineStr">
        <is>
          <t>Vertical</t>
        </is>
      </c>
      <c r="U378" t="n">
        <v>92</v>
      </c>
      <c r="V378" t="b">
        <v>1</v>
      </c>
      <c r="W378" t="inlineStr">
        <is>
          <t>ATF Fuel 2!P3:P94</t>
        </is>
      </c>
      <c r="X378">
        <f>(1+(R[0]C[-8]/R[-1]C[-8])-1)*R[-1]C[0]</f>
        <v/>
      </c>
    </row>
    <row r="379">
      <c r="A379" t="inlineStr">
        <is>
          <t>ATF Fuel 2</t>
        </is>
      </c>
      <c r="B379" t="inlineStr">
        <is>
          <t>Q21</t>
        </is>
      </c>
      <c r="C379" t="n">
        <v>21</v>
      </c>
      <c r="D379" t="n">
        <v>17</v>
      </c>
      <c r="E379" t="inlineStr">
        <is>
          <t>Output</t>
        </is>
      </c>
      <c r="F379" t="inlineStr">
        <is>
          <t>'=M21/N21-1</t>
        </is>
      </c>
      <c r="G379" t="n">
        <v>0.07041817875331002</v>
      </c>
      <c r="H379" t="inlineStr"/>
      <c r="I379" t="inlineStr">
        <is>
          <t>0.0%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00000000</t>
        </is>
      </c>
      <c r="O379" t="n">
        <v/>
      </c>
      <c r="R379" t="b">
        <v>1</v>
      </c>
      <c r="S379" t="inlineStr">
        <is>
          <t>G000153</t>
        </is>
      </c>
      <c r="T379" t="inlineStr">
        <is>
          <t>Vertical</t>
        </is>
      </c>
      <c r="U379" t="n">
        <v>93</v>
      </c>
      <c r="V379" t="b">
        <v>1</v>
      </c>
      <c r="W379" t="inlineStr">
        <is>
          <t>ATF Fuel 2!Q2:Q94</t>
        </is>
      </c>
      <c r="X379">
        <f>R[0]C[-4]/R[0]C[-3]-1</f>
        <v/>
      </c>
    </row>
    <row r="380">
      <c r="A380" t="inlineStr">
        <is>
          <t>ATF Fuel 2</t>
        </is>
      </c>
      <c r="B380" t="inlineStr">
        <is>
          <t>A22</t>
        </is>
      </c>
      <c r="C380" t="n">
        <v>22</v>
      </c>
      <c r="D380" t="n">
        <v>1</v>
      </c>
      <c r="E380" t="inlineStr">
        <is>
          <t>Input</t>
        </is>
      </c>
      <c r="F380" t="n">
        <v/>
      </c>
      <c r="G380" t="inlineStr">
        <is>
          <t>December 01, 2011</t>
        </is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00000000</t>
        </is>
      </c>
      <c r="O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ATF Fuel 2</t>
        </is>
      </c>
      <c r="B381" t="inlineStr">
        <is>
          <t>B22</t>
        </is>
      </c>
      <c r="C381" t="n">
        <v>22</v>
      </c>
      <c r="D381" t="n">
        <v>2</v>
      </c>
      <c r="E381" t="inlineStr">
        <is>
          <t>Input</t>
        </is>
      </c>
      <c r="F381" t="n">
        <v/>
      </c>
      <c r="G381" t="n">
        <v>68172.64999999999</v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00000000</t>
        </is>
      </c>
      <c r="O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ATF Fuel 2</t>
        </is>
      </c>
      <c r="B382" t="inlineStr">
        <is>
          <t>C22</t>
        </is>
      </c>
      <c r="C382" t="n">
        <v>22</v>
      </c>
      <c r="D382" t="n">
        <v>3</v>
      </c>
      <c r="E382" t="inlineStr">
        <is>
          <t>Output</t>
        </is>
      </c>
      <c r="F382" t="inlineStr">
        <is>
          <t>'=B22/B21-1</t>
        </is>
      </c>
      <c r="G382" t="n">
        <v>0.05709739966784189</v>
      </c>
      <c r="H382" t="inlineStr"/>
      <c r="I382" t="inlineStr">
        <is>
          <t>0%</t>
        </is>
      </c>
      <c r="J382" t="b">
        <v>0</v>
      </c>
      <c r="K382" t="b">
        <v>0</v>
      </c>
      <c r="L382" t="n">
        <v>11</v>
      </c>
      <c r="M382" t="n">
        <v/>
      </c>
      <c r="N382" t="inlineStr">
        <is>
          <t>00000000</t>
        </is>
      </c>
      <c r="O382" t="n">
        <v/>
      </c>
      <c r="R382" t="b">
        <v>1</v>
      </c>
      <c r="S382" t="inlineStr">
        <is>
          <t>G000154</t>
        </is>
      </c>
      <c r="T382" t="inlineStr">
        <is>
          <t>Vertical</t>
        </is>
      </c>
      <c r="U382" t="n">
        <v>92</v>
      </c>
      <c r="V382" t="b">
        <v>1</v>
      </c>
      <c r="W382" t="inlineStr">
        <is>
          <t>ATF Fuel 2!C3:C94</t>
        </is>
      </c>
      <c r="X382">
        <f>R[0]C[-1]/R[-1]C[-1]-1</f>
        <v/>
      </c>
    </row>
    <row r="383">
      <c r="A383" t="inlineStr">
        <is>
          <t>ATF Fuel 2</t>
        </is>
      </c>
      <c r="B383" t="inlineStr">
        <is>
          <t>D22</t>
        </is>
      </c>
      <c r="C383" t="n">
        <v>22</v>
      </c>
      <c r="D383" t="n">
        <v>4</v>
      </c>
      <c r="E383" t="inlineStr">
        <is>
          <t>Input</t>
        </is>
      </c>
      <c r="F383" t="n">
        <v/>
      </c>
      <c r="G383" t="n">
        <v>51.85</v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00000000</t>
        </is>
      </c>
      <c r="O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ATF Fuel 2</t>
        </is>
      </c>
      <c r="B384" t="inlineStr">
        <is>
          <t>E22</t>
        </is>
      </c>
      <c r="C384" t="n">
        <v>22</v>
      </c>
      <c r="D384" t="n">
        <v>5</v>
      </c>
      <c r="E384" t="inlineStr">
        <is>
          <t>Output</t>
        </is>
      </c>
      <c r="F384" t="inlineStr">
        <is>
          <t>'=B22/B21-1</t>
        </is>
      </c>
      <c r="G384" t="n">
        <v>0.05709739966784189</v>
      </c>
      <c r="H384" t="inlineStr"/>
      <c r="I384" t="inlineStr">
        <is>
          <t>0%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00000000</t>
        </is>
      </c>
      <c r="O384" t="n">
        <v/>
      </c>
      <c r="R384" t="b">
        <v>1</v>
      </c>
      <c r="S384" t="inlineStr">
        <is>
          <t>G000158</t>
        </is>
      </c>
      <c r="T384" t="inlineStr">
        <is>
          <t>Vertical</t>
        </is>
      </c>
      <c r="U384" t="n">
        <v>92</v>
      </c>
      <c r="V384" t="b">
        <v>1</v>
      </c>
      <c r="W384" t="inlineStr">
        <is>
          <t>ATF Fuel 2!E3:E94</t>
        </is>
      </c>
      <c r="X384">
        <f>R[0]C[-3]/R[-1]C[-3]-1</f>
        <v/>
      </c>
    </row>
    <row r="385">
      <c r="A385" t="inlineStr">
        <is>
          <t>ATF Fuel 2</t>
        </is>
      </c>
      <c r="B385" t="inlineStr">
        <is>
          <t>F22</t>
        </is>
      </c>
      <c r="C385" t="n">
        <v>22</v>
      </c>
      <c r="D385" t="n">
        <v>6</v>
      </c>
      <c r="E385" t="inlineStr">
        <is>
          <t>Input</t>
        </is>
      </c>
      <c r="F385" t="n">
        <v/>
      </c>
      <c r="G385" t="n">
        <v>110.16</v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11</v>
      </c>
      <c r="M385" t="inlineStr">
        <is>
          <t>Values must be of type &lt;class 'str'&gt;</t>
        </is>
      </c>
      <c r="N385" t="inlineStr">
        <is>
          <t>00000000</t>
        </is>
      </c>
      <c r="O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ATF Fuel 2</t>
        </is>
      </c>
      <c r="B386" t="inlineStr">
        <is>
          <t>G22</t>
        </is>
      </c>
      <c r="C386" t="n">
        <v>22</v>
      </c>
      <c r="D386" t="n">
        <v>7</v>
      </c>
      <c r="E386" t="inlineStr">
        <is>
          <t>Output</t>
        </is>
      </c>
      <c r="F386" t="inlineStr">
        <is>
          <t>'=F22/F21-1</t>
        </is>
      </c>
      <c r="G386" t="n">
        <v>-0.01835679914453758</v>
      </c>
      <c r="H386" t="inlineStr"/>
      <c r="I386" t="inlineStr">
        <is>
          <t>0%</t>
        </is>
      </c>
      <c r="J386" t="b">
        <v>0</v>
      </c>
      <c r="K386" t="b">
        <v>0</v>
      </c>
      <c r="L386" t="n">
        <v>11</v>
      </c>
      <c r="M386" t="inlineStr">
        <is>
          <t>Values must be of type &lt;class 'str'&gt;</t>
        </is>
      </c>
      <c r="N386" t="inlineStr">
        <is>
          <t>00000000</t>
        </is>
      </c>
      <c r="O386" t="n">
        <v/>
      </c>
      <c r="R386" t="b">
        <v>1</v>
      </c>
      <c r="S386" t="inlineStr">
        <is>
          <t>G000155</t>
        </is>
      </c>
      <c r="T386" t="inlineStr">
        <is>
          <t>Vertical</t>
        </is>
      </c>
      <c r="U386" t="n">
        <v>93</v>
      </c>
      <c r="V386" t="b">
        <v>1</v>
      </c>
      <c r="W386" t="inlineStr">
        <is>
          <t>ATF Fuel 2!G3:G95</t>
        </is>
      </c>
      <c r="X386">
        <f>R[0]C[-1]/R[-1]C[-1]-1</f>
        <v/>
      </c>
    </row>
    <row r="387">
      <c r="A387" t="inlineStr">
        <is>
          <t>ATF Fuel 2</t>
        </is>
      </c>
      <c r="B387" t="inlineStr">
        <is>
          <t>H22</t>
        </is>
      </c>
      <c r="C387" t="n">
        <v>22</v>
      </c>
      <c r="D387" t="n">
        <v>8</v>
      </c>
      <c r="E387" t="inlineStr">
        <is>
          <t>Calculation</t>
        </is>
      </c>
      <c r="F387" t="inlineStr">
        <is>
          <t>'=D22*F22</t>
        </is>
      </c>
      <c r="G387" t="n">
        <v>5711.796</v>
      </c>
      <c r="H387" t="inlineStr"/>
      <c r="I387" t="inlineStr">
        <is>
          <t>0</t>
        </is>
      </c>
      <c r="J387" t="b">
        <v>0</v>
      </c>
      <c r="K387" t="b">
        <v>0</v>
      </c>
      <c r="L387" t="n">
        <v>11</v>
      </c>
      <c r="M387" t="inlineStr">
        <is>
          <t>Values must be of type &lt;class 'str'&gt;</t>
        </is>
      </c>
      <c r="N387" t="inlineStr">
        <is>
          <t>00000000</t>
        </is>
      </c>
      <c r="O387" t="n">
        <v/>
      </c>
      <c r="R387" t="b">
        <v>1</v>
      </c>
      <c r="S387" t="inlineStr">
        <is>
          <t>G000152</t>
        </is>
      </c>
      <c r="T387" t="inlineStr">
        <is>
          <t>Vertical</t>
        </is>
      </c>
      <c r="U387" t="n">
        <v>98</v>
      </c>
      <c r="V387" t="b">
        <v>1</v>
      </c>
      <c r="W387" t="inlineStr">
        <is>
          <t>ATF Fuel 2!H2:H99</t>
        </is>
      </c>
      <c r="X387">
        <f>R[0]C[-4]*R[0]C[-2]</f>
        <v/>
      </c>
    </row>
    <row r="388">
      <c r="A388" t="inlineStr">
        <is>
          <t>ATF Fuel 2</t>
        </is>
      </c>
      <c r="B388" t="inlineStr">
        <is>
          <t>I22</t>
        </is>
      </c>
      <c r="C388" t="n">
        <v>22</v>
      </c>
      <c r="D388" t="n">
        <v>9</v>
      </c>
      <c r="E388" t="inlineStr">
        <is>
          <t>Output</t>
        </is>
      </c>
      <c r="F388" t="inlineStr">
        <is>
          <t>'=H22/H21-1</t>
        </is>
      </c>
      <c r="G388" t="n">
        <v>0.04235510883382632</v>
      </c>
      <c r="H388" t="inlineStr"/>
      <c r="I388" t="inlineStr">
        <is>
          <t>0%</t>
        </is>
      </c>
      <c r="J388" t="b">
        <v>0</v>
      </c>
      <c r="K388" t="b">
        <v>0</v>
      </c>
      <c r="L388" t="n">
        <v>11</v>
      </c>
      <c r="M388" t="inlineStr">
        <is>
          <t>FFFF0000</t>
        </is>
      </c>
      <c r="N388" t="inlineStr">
        <is>
          <t>00000000</t>
        </is>
      </c>
      <c r="O388" t="n">
        <v/>
      </c>
      <c r="R388" t="b">
        <v>1</v>
      </c>
      <c r="S388" t="inlineStr">
        <is>
          <t>G000156</t>
        </is>
      </c>
      <c r="T388" t="inlineStr">
        <is>
          <t>Vertical</t>
        </is>
      </c>
      <c r="U388" t="n">
        <v>97</v>
      </c>
      <c r="V388" t="b">
        <v>1</v>
      </c>
      <c r="W388" t="inlineStr">
        <is>
          <t>ATF Fuel 2!I3:I99</t>
        </is>
      </c>
      <c r="X388">
        <f>R[0]C[-1]/R[-1]C[-1]-1</f>
        <v/>
      </c>
    </row>
    <row r="389">
      <c r="A389" t="inlineStr">
        <is>
          <t>ATF Fuel 2</t>
        </is>
      </c>
      <c r="B389" t="inlineStr">
        <is>
          <t>J22</t>
        </is>
      </c>
      <c r="C389" t="n">
        <v>22</v>
      </c>
      <c r="D389" t="n">
        <v>10</v>
      </c>
      <c r="E389" t="inlineStr">
        <is>
          <t>Input</t>
        </is>
      </c>
      <c r="F389" t="n">
        <v/>
      </c>
      <c r="G389" t="n">
        <v>100.2</v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Values must be of type &lt;class 'str'&gt;</t>
        </is>
      </c>
      <c r="N389" t="inlineStr">
        <is>
          <t>00000000</t>
        </is>
      </c>
      <c r="O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ATF Fuel 2</t>
        </is>
      </c>
      <c r="B390" t="inlineStr">
        <is>
          <t>K22</t>
        </is>
      </c>
      <c r="C390" t="n">
        <v>22</v>
      </c>
      <c r="D390" t="n">
        <v>11</v>
      </c>
      <c r="E390" t="inlineStr">
        <is>
          <t>Output</t>
        </is>
      </c>
      <c r="F390" t="inlineStr">
        <is>
          <t>'=J22/J21-1</t>
        </is>
      </c>
      <c r="G390" t="n">
        <v>0.08688577936869524</v>
      </c>
      <c r="H390" t="inlineStr"/>
      <c r="I390" t="inlineStr">
        <is>
          <t>0%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00000000</t>
        </is>
      </c>
      <c r="O390" t="n">
        <v/>
      </c>
      <c r="R390" t="b">
        <v>1</v>
      </c>
      <c r="S390" t="inlineStr">
        <is>
          <t>G000157</t>
        </is>
      </c>
      <c r="T390" t="inlineStr">
        <is>
          <t>Vertical</t>
        </is>
      </c>
      <c r="U390" t="n">
        <v>93</v>
      </c>
      <c r="V390" t="b">
        <v>1</v>
      </c>
      <c r="W390" t="inlineStr">
        <is>
          <t>ATF Fuel 2!K3:K95</t>
        </is>
      </c>
      <c r="X390">
        <f>R[0]C[-1]/R[-1]C[-1]-1</f>
        <v/>
      </c>
    </row>
    <row r="391">
      <c r="A391" t="inlineStr">
        <is>
          <t>ATF Fuel 2</t>
        </is>
      </c>
      <c r="B391" t="inlineStr">
        <is>
          <t>L22</t>
        </is>
      </c>
      <c r="C391" t="n">
        <v>22</v>
      </c>
      <c r="D391" t="n">
        <v>12</v>
      </c>
      <c r="E391" t="inlineStr">
        <is>
          <t>Input</t>
        </is>
      </c>
      <c r="F391" t="n">
        <v/>
      </c>
      <c r="G391" t="inlineStr">
        <is>
          <t>December 01, 2011</t>
        </is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11</v>
      </c>
      <c r="M391" t="inlineStr">
        <is>
          <t>Values must be of type &lt;class 'str'&gt;</t>
        </is>
      </c>
      <c r="N391" t="inlineStr">
        <is>
          <t>00000000</t>
        </is>
      </c>
      <c r="O391" t="inlineStr">
        <is>
          <t>left</t>
        </is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ATF Fuel 2</t>
        </is>
      </c>
      <c r="B392" t="inlineStr">
        <is>
          <t>M22</t>
        </is>
      </c>
      <c r="C392" t="n">
        <v>22</v>
      </c>
      <c r="D392" t="n">
        <v>13</v>
      </c>
      <c r="E392" t="inlineStr">
        <is>
          <t>Calculation</t>
        </is>
      </c>
      <c r="F392" t="inlineStr">
        <is>
          <t>'=(1+(B22/B21)-1)*M21</t>
        </is>
      </c>
      <c r="G392" t="n">
        <v>153.6742110512753</v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inlineStr">
        <is>
          <t>left</t>
        </is>
      </c>
      <c r="R392" t="b">
        <v>1</v>
      </c>
      <c r="S392" t="inlineStr">
        <is>
          <t>G000159</t>
        </is>
      </c>
      <c r="T392" t="inlineStr">
        <is>
          <t>Vertical</t>
        </is>
      </c>
      <c r="U392" t="n">
        <v>92</v>
      </c>
      <c r="V392" t="b">
        <v>1</v>
      </c>
      <c r="W392" t="inlineStr">
        <is>
          <t>ATF Fuel 2!M3:M94</t>
        </is>
      </c>
      <c r="X392">
        <f>(1+(R[0]C[-11]/R[-1]C[-11])-1)*R[-1]C[0]</f>
        <v/>
      </c>
    </row>
    <row r="393">
      <c r="A393" t="inlineStr">
        <is>
          <t>ATF Fuel 2</t>
        </is>
      </c>
      <c r="B393" t="inlineStr">
        <is>
          <t>N22</t>
        </is>
      </c>
      <c r="C393" t="n">
        <v>22</v>
      </c>
      <c r="D393" t="n">
        <v>14</v>
      </c>
      <c r="E393" t="inlineStr">
        <is>
          <t>Calculation</t>
        </is>
      </c>
      <c r="F393" t="inlineStr">
        <is>
          <t>'=(1+(F22/F21)-1)*N21</t>
        </is>
      </c>
      <c r="G393" t="n">
        <v>133.3171971438946</v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inlineStr">
        <is>
          <t>left</t>
        </is>
      </c>
      <c r="R393" t="b">
        <v>1</v>
      </c>
      <c r="S393" t="inlineStr">
        <is>
          <t>G000160</t>
        </is>
      </c>
      <c r="T393" t="inlineStr">
        <is>
          <t>Vertical</t>
        </is>
      </c>
      <c r="U393" t="n">
        <v>92</v>
      </c>
      <c r="V393" t="b">
        <v>1</v>
      </c>
      <c r="W393" t="inlineStr">
        <is>
          <t>ATF Fuel 2!N3:N94</t>
        </is>
      </c>
      <c r="X393">
        <f>(1+(R[0]C[-8]/R[-1]C[-8])-1)*R[-1]C[0]</f>
        <v/>
      </c>
    </row>
    <row r="394">
      <c r="A394" t="inlineStr">
        <is>
          <t>ATF Fuel 2</t>
        </is>
      </c>
      <c r="B394" t="inlineStr">
        <is>
          <t>O22</t>
        </is>
      </c>
      <c r="C394" t="n">
        <v>22</v>
      </c>
      <c r="D394" t="n">
        <v>15</v>
      </c>
      <c r="E394" t="inlineStr">
        <is>
          <t>Calculation</t>
        </is>
      </c>
      <c r="F394" t="inlineStr">
        <is>
          <t>'=(1+(J22/J21)-1)*O21</t>
        </is>
      </c>
      <c r="G394" t="n">
        <v>118.5377972317521</v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inlineStr">
        <is>
          <t>left</t>
        </is>
      </c>
      <c r="R394" t="b">
        <v>1</v>
      </c>
      <c r="S394" t="inlineStr">
        <is>
          <t>G000162</t>
        </is>
      </c>
      <c r="T394" t="inlineStr">
        <is>
          <t>Vertical</t>
        </is>
      </c>
      <c r="U394" t="n">
        <v>92</v>
      </c>
      <c r="V394" t="b">
        <v>1</v>
      </c>
      <c r="W394" t="inlineStr">
        <is>
          <t>ATF Fuel 2!O3:O94</t>
        </is>
      </c>
      <c r="X394">
        <f>(1+(R[0]C[-5]/R[-1]C[-5])-1)*R[-1]C[0]</f>
        <v/>
      </c>
    </row>
    <row r="395">
      <c r="A395" t="inlineStr">
        <is>
          <t>ATF Fuel 2</t>
        </is>
      </c>
      <c r="B395" t="inlineStr">
        <is>
          <t>P22</t>
        </is>
      </c>
      <c r="C395" t="n">
        <v>22</v>
      </c>
      <c r="D395" t="n">
        <v>16</v>
      </c>
      <c r="E395" t="inlineStr">
        <is>
          <t>Calculation</t>
        </is>
      </c>
      <c r="F395" t="inlineStr">
        <is>
          <t>'=(1+(H22/H21)-1)*P21</t>
        </is>
      </c>
      <c r="G395" t="n">
        <v>154.4346888273219</v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00000000</t>
        </is>
      </c>
      <c r="O395" t="inlineStr">
        <is>
          <t>left</t>
        </is>
      </c>
      <c r="R395" t="b">
        <v>1</v>
      </c>
      <c r="S395" t="inlineStr">
        <is>
          <t>G000161</t>
        </is>
      </c>
      <c r="T395" t="inlineStr">
        <is>
          <t>Vertical</t>
        </is>
      </c>
      <c r="U395" t="n">
        <v>92</v>
      </c>
      <c r="V395" t="b">
        <v>1</v>
      </c>
      <c r="W395" t="inlineStr">
        <is>
          <t>ATF Fuel 2!P3:P94</t>
        </is>
      </c>
      <c r="X395">
        <f>(1+(R[0]C[-8]/R[-1]C[-8])-1)*R[-1]C[0]</f>
        <v/>
      </c>
    </row>
    <row r="396">
      <c r="A396" t="inlineStr">
        <is>
          <t>ATF Fuel 2</t>
        </is>
      </c>
      <c r="B396" t="inlineStr">
        <is>
          <t>Q22</t>
        </is>
      </c>
      <c r="C396" t="n">
        <v>22</v>
      </c>
      <c r="D396" t="n">
        <v>17</v>
      </c>
      <c r="E396" t="inlineStr">
        <is>
          <t>Output</t>
        </is>
      </c>
      <c r="F396" t="inlineStr">
        <is>
          <t>'=M22/N22-1</t>
        </is>
      </c>
      <c r="G396" t="n">
        <v>0.1526960838023659</v>
      </c>
      <c r="H396" t="inlineStr"/>
      <c r="I396" t="inlineStr">
        <is>
          <t>0.0%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00000000</t>
        </is>
      </c>
      <c r="O396" t="n">
        <v/>
      </c>
      <c r="R396" t="b">
        <v>1</v>
      </c>
      <c r="S396" t="inlineStr">
        <is>
          <t>G000153</t>
        </is>
      </c>
      <c r="T396" t="inlineStr">
        <is>
          <t>Vertical</t>
        </is>
      </c>
      <c r="U396" t="n">
        <v>93</v>
      </c>
      <c r="V396" t="b">
        <v>1</v>
      </c>
      <c r="W396" t="inlineStr">
        <is>
          <t>ATF Fuel 2!Q2:Q94</t>
        </is>
      </c>
      <c r="X396">
        <f>R[0]C[-4]/R[0]C[-3]-1</f>
        <v/>
      </c>
    </row>
    <row r="397">
      <c r="A397" t="inlineStr">
        <is>
          <t>ATF Fuel 2</t>
        </is>
      </c>
      <c r="B397" t="inlineStr">
        <is>
          <t>A23</t>
        </is>
      </c>
      <c r="C397" t="n">
        <v>23</v>
      </c>
      <c r="D397" t="n">
        <v>1</v>
      </c>
      <c r="E397" t="inlineStr">
        <is>
          <t>Input</t>
        </is>
      </c>
      <c r="F397" t="n">
        <v/>
      </c>
      <c r="G397" t="inlineStr">
        <is>
          <t>January 01, 2012</t>
        </is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00000000</t>
        </is>
      </c>
      <c r="O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ATF Fuel 2</t>
        </is>
      </c>
      <c r="B398" t="inlineStr">
        <is>
          <t>B23</t>
        </is>
      </c>
      <c r="C398" t="n">
        <v>23</v>
      </c>
      <c r="D398" t="n">
        <v>2</v>
      </c>
      <c r="E398" t="inlineStr">
        <is>
          <t>Input</t>
        </is>
      </c>
      <c r="F398" t="n">
        <v/>
      </c>
      <c r="G398" t="n">
        <v>66600.0575</v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00000000</t>
        </is>
      </c>
      <c r="O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ATF Fuel 2</t>
        </is>
      </c>
      <c r="B399" t="inlineStr">
        <is>
          <t>C23</t>
        </is>
      </c>
      <c r="C399" t="n">
        <v>23</v>
      </c>
      <c r="D399" t="n">
        <v>3</v>
      </c>
      <c r="E399" t="inlineStr">
        <is>
          <t>Output</t>
        </is>
      </c>
      <c r="F399" t="inlineStr">
        <is>
          <t>'=B23/B22-1</t>
        </is>
      </c>
      <c r="G399" t="n">
        <v>-0.02306779184907726</v>
      </c>
      <c r="H399" t="inlineStr"/>
      <c r="I399" t="inlineStr">
        <is>
          <t>0%</t>
        </is>
      </c>
      <c r="J399" t="b">
        <v>0</v>
      </c>
      <c r="K399" t="b">
        <v>0</v>
      </c>
      <c r="L399" t="n">
        <v>11</v>
      </c>
      <c r="M399" t="n">
        <v/>
      </c>
      <c r="N399" t="inlineStr">
        <is>
          <t>00000000</t>
        </is>
      </c>
      <c r="O399" t="n">
        <v/>
      </c>
      <c r="R399" t="b">
        <v>1</v>
      </c>
      <c r="S399" t="inlineStr">
        <is>
          <t>G000154</t>
        </is>
      </c>
      <c r="T399" t="inlineStr">
        <is>
          <t>Vertical</t>
        </is>
      </c>
      <c r="U399" t="n">
        <v>92</v>
      </c>
      <c r="V399" t="b">
        <v>1</v>
      </c>
      <c r="W399" t="inlineStr">
        <is>
          <t>ATF Fuel 2!C3:C94</t>
        </is>
      </c>
      <c r="X399">
        <f>R[0]C[-1]/R[-1]C[-1]-1</f>
        <v/>
      </c>
    </row>
    <row r="400">
      <c r="A400" t="inlineStr">
        <is>
          <t>ATF Fuel 2</t>
        </is>
      </c>
      <c r="B400" t="inlineStr">
        <is>
          <t>D23</t>
        </is>
      </c>
      <c r="C400" t="n">
        <v>23</v>
      </c>
      <c r="D400" t="n">
        <v>4</v>
      </c>
      <c r="E400" t="inlineStr">
        <is>
          <t>Input</t>
        </is>
      </c>
      <c r="F400" t="n">
        <v/>
      </c>
      <c r="G400" t="n">
        <v>53.3</v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00000000</t>
        </is>
      </c>
      <c r="O400" t="n">
        <v/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ATF Fuel 2</t>
        </is>
      </c>
      <c r="B401" t="inlineStr">
        <is>
          <t>E23</t>
        </is>
      </c>
      <c r="C401" t="n">
        <v>23</v>
      </c>
      <c r="D401" t="n">
        <v>5</v>
      </c>
      <c r="E401" t="inlineStr">
        <is>
          <t>Output</t>
        </is>
      </c>
      <c r="F401" t="inlineStr">
        <is>
          <t>'=B23/B22-1</t>
        </is>
      </c>
      <c r="G401" t="n">
        <v>-0.02306779184907726</v>
      </c>
      <c r="H401" t="inlineStr"/>
      <c r="I401" t="inlineStr">
        <is>
          <t>0%</t>
        </is>
      </c>
      <c r="J401" t="b">
        <v>0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n">
        <v/>
      </c>
      <c r="R401" t="b">
        <v>1</v>
      </c>
      <c r="S401" t="inlineStr">
        <is>
          <t>G000158</t>
        </is>
      </c>
      <c r="T401" t="inlineStr">
        <is>
          <t>Vertical</t>
        </is>
      </c>
      <c r="U401" t="n">
        <v>92</v>
      </c>
      <c r="V401" t="b">
        <v>1</v>
      </c>
      <c r="W401" t="inlineStr">
        <is>
          <t>ATF Fuel 2!E3:E94</t>
        </is>
      </c>
      <c r="X401">
        <f>R[0]C[-3]/R[-1]C[-3]-1</f>
        <v/>
      </c>
    </row>
    <row r="402">
      <c r="A402" t="inlineStr">
        <is>
          <t>ATF Fuel 2</t>
        </is>
      </c>
      <c r="B402" t="inlineStr">
        <is>
          <t>F23</t>
        </is>
      </c>
      <c r="C402" t="n">
        <v>23</v>
      </c>
      <c r="D402" t="n">
        <v>6</v>
      </c>
      <c r="E402" t="inlineStr">
        <is>
          <t>Input</t>
        </is>
      </c>
      <c r="F402" t="n">
        <v/>
      </c>
      <c r="G402" t="n">
        <v>111.07</v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</row>
    <row r="403">
      <c r="A403" t="inlineStr">
        <is>
          <t>ATF Fuel 2</t>
        </is>
      </c>
      <c r="B403" t="inlineStr">
        <is>
          <t>G23</t>
        </is>
      </c>
      <c r="C403" t="n">
        <v>23</v>
      </c>
      <c r="D403" t="n">
        <v>7</v>
      </c>
      <c r="E403" t="inlineStr">
        <is>
          <t>Output</t>
        </is>
      </c>
      <c r="F403" t="inlineStr">
        <is>
          <t>'=F23/F22-1</t>
        </is>
      </c>
      <c r="G403" t="n">
        <v>0.00826071169208431</v>
      </c>
      <c r="H403" t="inlineStr"/>
      <c r="I403" t="inlineStr">
        <is>
          <t>0%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R403" t="b">
        <v>1</v>
      </c>
      <c r="S403" t="inlineStr">
        <is>
          <t>G000155</t>
        </is>
      </c>
      <c r="T403" t="inlineStr">
        <is>
          <t>Vertical</t>
        </is>
      </c>
      <c r="U403" t="n">
        <v>93</v>
      </c>
      <c r="V403" t="b">
        <v>1</v>
      </c>
      <c r="W403" t="inlineStr">
        <is>
          <t>ATF Fuel 2!G3:G95</t>
        </is>
      </c>
      <c r="X403">
        <f>R[0]C[-1]/R[-1]C[-1]-1</f>
        <v/>
      </c>
    </row>
    <row r="404">
      <c r="A404" t="inlineStr">
        <is>
          <t>ATF Fuel 2</t>
        </is>
      </c>
      <c r="B404" t="inlineStr">
        <is>
          <t>H23</t>
        </is>
      </c>
      <c r="C404" t="n">
        <v>23</v>
      </c>
      <c r="D404" t="n">
        <v>8</v>
      </c>
      <c r="E404" t="inlineStr">
        <is>
          <t>Calculation</t>
        </is>
      </c>
      <c r="F404" t="inlineStr">
        <is>
          <t>'=D23*F23</t>
        </is>
      </c>
      <c r="G404" t="n">
        <v>5920.030999999999</v>
      </c>
      <c r="H404" t="inlineStr"/>
      <c r="I404" t="inlineStr">
        <is>
          <t>0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R404" t="b">
        <v>1</v>
      </c>
      <c r="S404" t="inlineStr">
        <is>
          <t>G000152</t>
        </is>
      </c>
      <c r="T404" t="inlineStr">
        <is>
          <t>Vertical</t>
        </is>
      </c>
      <c r="U404" t="n">
        <v>98</v>
      </c>
      <c r="V404" t="b">
        <v>1</v>
      </c>
      <c r="W404" t="inlineStr">
        <is>
          <t>ATF Fuel 2!H2:H99</t>
        </is>
      </c>
      <c r="X404">
        <f>R[0]C[-4]*R[0]C[-2]</f>
        <v/>
      </c>
    </row>
    <row r="405">
      <c r="A405" t="inlineStr">
        <is>
          <t>ATF Fuel 2</t>
        </is>
      </c>
      <c r="B405" t="inlineStr">
        <is>
          <t>I23</t>
        </is>
      </c>
      <c r="C405" t="n">
        <v>23</v>
      </c>
      <c r="D405" t="n">
        <v>9</v>
      </c>
      <c r="E405" t="inlineStr">
        <is>
          <t>Output</t>
        </is>
      </c>
      <c r="F405" t="inlineStr">
        <is>
          <t>'=H23/H22-1</t>
        </is>
      </c>
      <c r="G405" t="n">
        <v>0.03645700931896001</v>
      </c>
      <c r="H405" t="inlineStr"/>
      <c r="I405" t="inlineStr">
        <is>
          <t>0%</t>
        </is>
      </c>
      <c r="J405" t="b">
        <v>0</v>
      </c>
      <c r="K405" t="b">
        <v>0</v>
      </c>
      <c r="L405" t="n">
        <v>11</v>
      </c>
      <c r="M405" t="inlineStr">
        <is>
          <t>FFFF0000</t>
        </is>
      </c>
      <c r="N405" t="inlineStr">
        <is>
          <t>00000000</t>
        </is>
      </c>
      <c r="O405" t="n">
        <v/>
      </c>
      <c r="R405" t="b">
        <v>1</v>
      </c>
      <c r="S405" t="inlineStr">
        <is>
          <t>G000156</t>
        </is>
      </c>
      <c r="T405" t="inlineStr">
        <is>
          <t>Vertical</t>
        </is>
      </c>
      <c r="U405" t="n">
        <v>97</v>
      </c>
      <c r="V405" t="b">
        <v>1</v>
      </c>
      <c r="W405" t="inlineStr">
        <is>
          <t>ATF Fuel 2!I3:I99</t>
        </is>
      </c>
      <c r="X405">
        <f>R[0]C[-1]/R[-1]C[-1]-1</f>
        <v/>
      </c>
    </row>
    <row r="406">
      <c r="A406" t="inlineStr">
        <is>
          <t>ATF Fuel 2</t>
        </is>
      </c>
      <c r="B406" t="inlineStr">
        <is>
          <t>J23</t>
        </is>
      </c>
      <c r="C406" t="n">
        <v>23</v>
      </c>
      <c r="D406" t="n">
        <v>10</v>
      </c>
      <c r="E406" t="inlineStr">
        <is>
          <t>Input</t>
        </is>
      </c>
      <c r="F406" t="n">
        <v/>
      </c>
      <c r="G406" t="n">
        <v>102.96</v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n">
        <v/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ATF Fuel 2</t>
        </is>
      </c>
      <c r="B407" t="inlineStr">
        <is>
          <t>K23</t>
        </is>
      </c>
      <c r="C407" t="n">
        <v>23</v>
      </c>
      <c r="D407" t="n">
        <v>11</v>
      </c>
      <c r="E407" t="inlineStr">
        <is>
          <t>Output</t>
        </is>
      </c>
      <c r="F407" t="inlineStr">
        <is>
          <t>'=J23/J22-1</t>
        </is>
      </c>
      <c r="G407" t="n">
        <v>0.02754491017964056</v>
      </c>
      <c r="H407" t="inlineStr"/>
      <c r="I407" t="inlineStr">
        <is>
          <t>0%</t>
        </is>
      </c>
      <c r="J407" t="b">
        <v>0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00000000</t>
        </is>
      </c>
      <c r="O407" t="n">
        <v/>
      </c>
      <c r="R407" t="b">
        <v>1</v>
      </c>
      <c r="S407" t="inlineStr">
        <is>
          <t>G000157</t>
        </is>
      </c>
      <c r="T407" t="inlineStr">
        <is>
          <t>Vertical</t>
        </is>
      </c>
      <c r="U407" t="n">
        <v>93</v>
      </c>
      <c r="V407" t="b">
        <v>1</v>
      </c>
      <c r="W407" t="inlineStr">
        <is>
          <t>ATF Fuel 2!K3:K95</t>
        </is>
      </c>
      <c r="X407">
        <f>R[0]C[-1]/R[-1]C[-1]-1</f>
        <v/>
      </c>
    </row>
    <row r="408">
      <c r="A408" t="inlineStr">
        <is>
          <t>ATF Fuel 2</t>
        </is>
      </c>
      <c r="B408" t="inlineStr">
        <is>
          <t>L23</t>
        </is>
      </c>
      <c r="C408" t="n">
        <v>23</v>
      </c>
      <c r="D408" t="n">
        <v>12</v>
      </c>
      <c r="E408" t="inlineStr">
        <is>
          <t>Input</t>
        </is>
      </c>
      <c r="F408" t="n">
        <v/>
      </c>
      <c r="G408" t="inlineStr">
        <is>
          <t>January 01, 2012</t>
        </is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00000000</t>
        </is>
      </c>
      <c r="O408" t="inlineStr">
        <is>
          <t>left</t>
        </is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ATF Fuel 2</t>
        </is>
      </c>
      <c r="B409" t="inlineStr">
        <is>
          <t>M23</t>
        </is>
      </c>
      <c r="C409" t="n">
        <v>23</v>
      </c>
      <c r="D409" t="n">
        <v>13</v>
      </c>
      <c r="E409" t="inlineStr">
        <is>
          <t>Calculation</t>
        </is>
      </c>
      <c r="F409" t="inlineStr">
        <is>
          <t>'=(1+(B23/B22)-1)*M22</t>
        </is>
      </c>
      <c r="G409" t="n">
        <v>150.1292863381733</v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00000000</t>
        </is>
      </c>
      <c r="O409" t="inlineStr">
        <is>
          <t>left</t>
        </is>
      </c>
      <c r="R409" t="b">
        <v>1</v>
      </c>
      <c r="S409" t="inlineStr">
        <is>
          <t>G000159</t>
        </is>
      </c>
      <c r="T409" t="inlineStr">
        <is>
          <t>Vertical</t>
        </is>
      </c>
      <c r="U409" t="n">
        <v>92</v>
      </c>
      <c r="V409" t="b">
        <v>1</v>
      </c>
      <c r="W409" t="inlineStr">
        <is>
          <t>ATF Fuel 2!M3:M94</t>
        </is>
      </c>
      <c r="X409">
        <f>(1+(R[0]C[-11]/R[-1]C[-11])-1)*R[-1]C[0]</f>
        <v/>
      </c>
    </row>
    <row r="410">
      <c r="A410" t="inlineStr">
        <is>
          <t>ATF Fuel 2</t>
        </is>
      </c>
      <c r="B410" t="inlineStr">
        <is>
          <t>N23</t>
        </is>
      </c>
      <c r="C410" t="n">
        <v>23</v>
      </c>
      <c r="D410" t="n">
        <v>14</v>
      </c>
      <c r="E410" t="inlineStr">
        <is>
          <t>Calculation</t>
        </is>
      </c>
      <c r="F410" t="inlineStr">
        <is>
          <t>'=(1+(F23/F22)-1)*N22</t>
        </is>
      </c>
      <c r="G410" t="n">
        <v>134.4184920730971</v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00000000</t>
        </is>
      </c>
      <c r="O410" t="inlineStr">
        <is>
          <t>left</t>
        </is>
      </c>
      <c r="R410" t="b">
        <v>1</v>
      </c>
      <c r="S410" t="inlineStr">
        <is>
          <t>G000160</t>
        </is>
      </c>
      <c r="T410" t="inlineStr">
        <is>
          <t>Vertical</t>
        </is>
      </c>
      <c r="U410" t="n">
        <v>92</v>
      </c>
      <c r="V410" t="b">
        <v>1</v>
      </c>
      <c r="W410" t="inlineStr">
        <is>
          <t>ATF Fuel 2!N3:N94</t>
        </is>
      </c>
      <c r="X410">
        <f>(1+(R[0]C[-8]/R[-1]C[-8])-1)*R[-1]C[0]</f>
        <v/>
      </c>
    </row>
    <row r="411">
      <c r="A411" t="inlineStr">
        <is>
          <t>ATF Fuel 2</t>
        </is>
      </c>
      <c r="B411" t="inlineStr">
        <is>
          <t>O23</t>
        </is>
      </c>
      <c r="C411" t="n">
        <v>23</v>
      </c>
      <c r="D411" t="n">
        <v>15</v>
      </c>
      <c r="E411" t="inlineStr">
        <is>
          <t>Calculation</t>
        </is>
      </c>
      <c r="F411" t="inlineStr">
        <is>
          <t>'=(1+(J23/J22)-1)*O22</t>
        </is>
      </c>
      <c r="G411" t="n">
        <v>121.8029102093932</v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00000000</t>
        </is>
      </c>
      <c r="O411" t="inlineStr">
        <is>
          <t>left</t>
        </is>
      </c>
      <c r="R411" t="b">
        <v>1</v>
      </c>
      <c r="S411" t="inlineStr">
        <is>
          <t>G000162</t>
        </is>
      </c>
      <c r="T411" t="inlineStr">
        <is>
          <t>Vertical</t>
        </is>
      </c>
      <c r="U411" t="n">
        <v>92</v>
      </c>
      <c r="V411" t="b">
        <v>1</v>
      </c>
      <c r="W411" t="inlineStr">
        <is>
          <t>ATF Fuel 2!O3:O94</t>
        </is>
      </c>
      <c r="X411">
        <f>(1+(R[0]C[-5]/R[-1]C[-5])-1)*R[-1]C[0]</f>
        <v/>
      </c>
    </row>
    <row r="412">
      <c r="A412" t="inlineStr">
        <is>
          <t>ATF Fuel 2</t>
        </is>
      </c>
      <c r="B412" t="inlineStr">
        <is>
          <t>P23</t>
        </is>
      </c>
      <c r="C412" t="n">
        <v>23</v>
      </c>
      <c r="D412" t="n">
        <v>16</v>
      </c>
      <c r="E412" t="inlineStr">
        <is>
          <t>Calculation</t>
        </is>
      </c>
      <c r="F412" t="inlineStr">
        <is>
          <t>'=(1+(H23/H22)-1)*P22</t>
        </is>
      </c>
      <c r="G412" t="n">
        <v>160.0649157170703</v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00000000</t>
        </is>
      </c>
      <c r="O412" t="inlineStr">
        <is>
          <t>left</t>
        </is>
      </c>
      <c r="R412" t="b">
        <v>1</v>
      </c>
      <c r="S412" t="inlineStr">
        <is>
          <t>G000161</t>
        </is>
      </c>
      <c r="T412" t="inlineStr">
        <is>
          <t>Vertical</t>
        </is>
      </c>
      <c r="U412" t="n">
        <v>92</v>
      </c>
      <c r="V412" t="b">
        <v>1</v>
      </c>
      <c r="W412" t="inlineStr">
        <is>
          <t>ATF Fuel 2!P3:P94</t>
        </is>
      </c>
      <c r="X412">
        <f>(1+(R[0]C[-8]/R[-1]C[-8])-1)*R[-1]C[0]</f>
        <v/>
      </c>
    </row>
    <row r="413">
      <c r="A413" t="inlineStr">
        <is>
          <t>ATF Fuel 2</t>
        </is>
      </c>
      <c r="B413" t="inlineStr">
        <is>
          <t>Q23</t>
        </is>
      </c>
      <c r="C413" t="n">
        <v>23</v>
      </c>
      <c r="D413" t="n">
        <v>17</v>
      </c>
      <c r="E413" t="inlineStr">
        <is>
          <t>Output</t>
        </is>
      </c>
      <c r="F413" t="inlineStr">
        <is>
          <t>'=M23/N23-1</t>
        </is>
      </c>
      <c r="G413" t="n">
        <v>0.1168797092034974</v>
      </c>
      <c r="H413" t="inlineStr"/>
      <c r="I413" t="inlineStr">
        <is>
          <t>0.0%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00000000</t>
        </is>
      </c>
      <c r="O413" t="n">
        <v/>
      </c>
      <c r="R413" t="b">
        <v>1</v>
      </c>
      <c r="S413" t="inlineStr">
        <is>
          <t>G000153</t>
        </is>
      </c>
      <c r="T413" t="inlineStr">
        <is>
          <t>Vertical</t>
        </is>
      </c>
      <c r="U413" t="n">
        <v>93</v>
      </c>
      <c r="V413" t="b">
        <v>1</v>
      </c>
      <c r="W413" t="inlineStr">
        <is>
          <t>ATF Fuel 2!Q2:Q94</t>
        </is>
      </c>
      <c r="X413">
        <f>R[0]C[-4]/R[0]C[-3]-1</f>
        <v/>
      </c>
    </row>
    <row r="414">
      <c r="A414" t="inlineStr">
        <is>
          <t>ATF Fuel 2</t>
        </is>
      </c>
      <c r="B414" t="inlineStr">
        <is>
          <t>A24</t>
        </is>
      </c>
      <c r="C414" t="n">
        <v>24</v>
      </c>
      <c r="D414" t="n">
        <v>1</v>
      </c>
      <c r="E414" t="inlineStr">
        <is>
          <t>Input</t>
        </is>
      </c>
      <c r="F414" t="n">
        <v/>
      </c>
      <c r="G414" t="inlineStr">
        <is>
          <t>February 01, 2012</t>
        </is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00000000</t>
        </is>
      </c>
      <c r="O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ATF Fuel 2</t>
        </is>
      </c>
      <c r="B415" t="inlineStr">
        <is>
          <t>B24</t>
        </is>
      </c>
      <c r="C415" t="n">
        <v>24</v>
      </c>
      <c r="D415" t="n">
        <v>2</v>
      </c>
      <c r="E415" t="inlineStr">
        <is>
          <t>Input</t>
        </is>
      </c>
      <c r="F415" t="n">
        <v/>
      </c>
      <c r="G415" t="n">
        <v>66407.39</v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00000000</t>
        </is>
      </c>
      <c r="O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ATF Fuel 2</t>
        </is>
      </c>
      <c r="B416" t="inlineStr">
        <is>
          <t>C24</t>
        </is>
      </c>
      <c r="C416" t="n">
        <v>24</v>
      </c>
      <c r="D416" t="n">
        <v>3</v>
      </c>
      <c r="E416" t="inlineStr">
        <is>
          <t>Output</t>
        </is>
      </c>
      <c r="F416" t="inlineStr">
        <is>
          <t>'=B24/B23-1</t>
        </is>
      </c>
      <c r="G416" t="n">
        <v>-0.002892902907778994</v>
      </c>
      <c r="H416" t="inlineStr"/>
      <c r="I416" t="inlineStr">
        <is>
          <t>0%</t>
        </is>
      </c>
      <c r="J416" t="b">
        <v>0</v>
      </c>
      <c r="K416" t="b">
        <v>0</v>
      </c>
      <c r="L416" t="n">
        <v>11</v>
      </c>
      <c r="M416" t="n">
        <v/>
      </c>
      <c r="N416" t="inlineStr">
        <is>
          <t>00000000</t>
        </is>
      </c>
      <c r="O416" t="n">
        <v/>
      </c>
      <c r="R416" t="b">
        <v>1</v>
      </c>
      <c r="S416" t="inlineStr">
        <is>
          <t>G000154</t>
        </is>
      </c>
      <c r="T416" t="inlineStr">
        <is>
          <t>Vertical</t>
        </is>
      </c>
      <c r="U416" t="n">
        <v>92</v>
      </c>
      <c r="V416" t="b">
        <v>1</v>
      </c>
      <c r="W416" t="inlineStr">
        <is>
          <t>ATF Fuel 2!C3:C94</t>
        </is>
      </c>
      <c r="X416">
        <f>R[0]C[-1]/R[-1]C[-1]-1</f>
        <v/>
      </c>
    </row>
    <row r="417">
      <c r="A417" t="inlineStr">
        <is>
          <t>ATF Fuel 2</t>
        </is>
      </c>
      <c r="B417" t="inlineStr">
        <is>
          <t>D24</t>
        </is>
      </c>
      <c r="C417" t="n">
        <v>24</v>
      </c>
      <c r="D417" t="n">
        <v>4</v>
      </c>
      <c r="E417" t="inlineStr">
        <is>
          <t>Input</t>
        </is>
      </c>
      <c r="F417" t="n">
        <v/>
      </c>
      <c r="G417" t="n">
        <v>49.59</v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11</v>
      </c>
      <c r="M417" t="inlineStr">
        <is>
          <t>Values must be of type &lt;class 'str'&gt;</t>
        </is>
      </c>
      <c r="N417" t="inlineStr">
        <is>
          <t>00000000</t>
        </is>
      </c>
      <c r="O417" t="n">
        <v/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ATF Fuel 2</t>
        </is>
      </c>
      <c r="B418" t="inlineStr">
        <is>
          <t>E24</t>
        </is>
      </c>
      <c r="C418" t="n">
        <v>24</v>
      </c>
      <c r="D418" t="n">
        <v>5</v>
      </c>
      <c r="E418" t="inlineStr">
        <is>
          <t>Output</t>
        </is>
      </c>
      <c r="F418" t="inlineStr">
        <is>
          <t>'=B24/B23-1</t>
        </is>
      </c>
      <c r="G418" t="n">
        <v>-0.002892902907778994</v>
      </c>
      <c r="H418" t="inlineStr"/>
      <c r="I418" t="inlineStr">
        <is>
          <t>0%</t>
        </is>
      </c>
      <c r="J418" t="b">
        <v>0</v>
      </c>
      <c r="K418" t="b">
        <v>0</v>
      </c>
      <c r="L418" t="n">
        <v>11</v>
      </c>
      <c r="M418" t="inlineStr">
        <is>
          <t>Values must be of type &lt;class 'str'&gt;</t>
        </is>
      </c>
      <c r="N418" t="inlineStr">
        <is>
          <t>00000000</t>
        </is>
      </c>
      <c r="O418" t="n">
        <v/>
      </c>
      <c r="R418" t="b">
        <v>1</v>
      </c>
      <c r="S418" t="inlineStr">
        <is>
          <t>G000158</t>
        </is>
      </c>
      <c r="T418" t="inlineStr">
        <is>
          <t>Vertical</t>
        </is>
      </c>
      <c r="U418" t="n">
        <v>92</v>
      </c>
      <c r="V418" t="b">
        <v>1</v>
      </c>
      <c r="W418" t="inlineStr">
        <is>
          <t>ATF Fuel 2!E3:E94</t>
        </is>
      </c>
      <c r="X418">
        <f>R[0]C[-3]/R[-1]C[-3]-1</f>
        <v/>
      </c>
    </row>
    <row r="419">
      <c r="A419" t="inlineStr">
        <is>
          <t>ATF Fuel 2</t>
        </is>
      </c>
      <c r="B419" t="inlineStr">
        <is>
          <t>F24</t>
        </is>
      </c>
      <c r="C419" t="n">
        <v>24</v>
      </c>
      <c r="D419" t="n">
        <v>6</v>
      </c>
      <c r="E419" t="inlineStr">
        <is>
          <t>Input</t>
        </is>
      </c>
      <c r="F419" t="n">
        <v/>
      </c>
      <c r="G419" t="n">
        <v>116.86</v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00000000</t>
        </is>
      </c>
      <c r="O419" t="n">
        <v/>
      </c>
      <c r="R419" t="b">
        <v>1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ATF Fuel 2</t>
        </is>
      </c>
      <c r="B420" t="inlineStr">
        <is>
          <t>G24</t>
        </is>
      </c>
      <c r="C420" t="n">
        <v>24</v>
      </c>
      <c r="D420" t="n">
        <v>7</v>
      </c>
      <c r="E420" t="inlineStr">
        <is>
          <t>Output</t>
        </is>
      </c>
      <c r="F420" t="inlineStr">
        <is>
          <t>'=F24/F23-1</t>
        </is>
      </c>
      <c r="G420" t="n">
        <v>0.05212928783649962</v>
      </c>
      <c r="H420" t="inlineStr"/>
      <c r="I420" t="inlineStr">
        <is>
          <t>0%</t>
        </is>
      </c>
      <c r="J420" t="b">
        <v>0</v>
      </c>
      <c r="K420" t="b">
        <v>0</v>
      </c>
      <c r="L420" t="n">
        <v>11</v>
      </c>
      <c r="M420" t="inlineStr">
        <is>
          <t>Values must be of type &lt;class 'str'&gt;</t>
        </is>
      </c>
      <c r="N420" t="inlineStr">
        <is>
          <t>00000000</t>
        </is>
      </c>
      <c r="O420" t="n">
        <v/>
      </c>
      <c r="R420" t="b">
        <v>1</v>
      </c>
      <c r="S420" t="inlineStr">
        <is>
          <t>G000155</t>
        </is>
      </c>
      <c r="T420" t="inlineStr">
        <is>
          <t>Vertical</t>
        </is>
      </c>
      <c r="U420" t="n">
        <v>93</v>
      </c>
      <c r="V420" t="b">
        <v>1</v>
      </c>
      <c r="W420" t="inlineStr">
        <is>
          <t>ATF Fuel 2!G3:G95</t>
        </is>
      </c>
      <c r="X420">
        <f>R[0]C[-1]/R[-1]C[-1]-1</f>
        <v/>
      </c>
    </row>
    <row r="421">
      <c r="A421" t="inlineStr">
        <is>
          <t>ATF Fuel 2</t>
        </is>
      </c>
      <c r="B421" t="inlineStr">
        <is>
          <t>H24</t>
        </is>
      </c>
      <c r="C421" t="n">
        <v>24</v>
      </c>
      <c r="D421" t="n">
        <v>8</v>
      </c>
      <c r="E421" t="inlineStr">
        <is>
          <t>Calculation</t>
        </is>
      </c>
      <c r="F421" t="inlineStr">
        <is>
          <t>'=D24*F24</t>
        </is>
      </c>
      <c r="G421" t="n">
        <v>5795.0874</v>
      </c>
      <c r="H421" t="inlineStr"/>
      <c r="I421" t="inlineStr">
        <is>
          <t>0</t>
        </is>
      </c>
      <c r="J421" t="b">
        <v>0</v>
      </c>
      <c r="K421" t="b">
        <v>0</v>
      </c>
      <c r="L421" t="n">
        <v>11</v>
      </c>
      <c r="M421" t="inlineStr">
        <is>
          <t>Values must be of type &lt;class 'str'&gt;</t>
        </is>
      </c>
      <c r="N421" t="inlineStr">
        <is>
          <t>00000000</t>
        </is>
      </c>
      <c r="O421" t="n">
        <v/>
      </c>
      <c r="R421" t="b">
        <v>1</v>
      </c>
      <c r="S421" t="inlineStr">
        <is>
          <t>G000152</t>
        </is>
      </c>
      <c r="T421" t="inlineStr">
        <is>
          <t>Vertical</t>
        </is>
      </c>
      <c r="U421" t="n">
        <v>98</v>
      </c>
      <c r="V421" t="b">
        <v>1</v>
      </c>
      <c r="W421" t="inlineStr">
        <is>
          <t>ATF Fuel 2!H2:H99</t>
        </is>
      </c>
      <c r="X421">
        <f>R[0]C[-4]*R[0]C[-2]</f>
        <v/>
      </c>
    </row>
    <row r="422">
      <c r="A422" t="inlineStr">
        <is>
          <t>ATF Fuel 2</t>
        </is>
      </c>
      <c r="B422" t="inlineStr">
        <is>
          <t>I24</t>
        </is>
      </c>
      <c r="C422" t="n">
        <v>24</v>
      </c>
      <c r="D422" t="n">
        <v>9</v>
      </c>
      <c r="E422" t="inlineStr">
        <is>
          <t>Output</t>
        </is>
      </c>
      <c r="F422" t="inlineStr">
        <is>
          <t>'=H24/H23-1</t>
        </is>
      </c>
      <c r="G422" t="n">
        <v>-0.02110522732059994</v>
      </c>
      <c r="H422" t="inlineStr"/>
      <c r="I422" t="inlineStr">
        <is>
          <t>0%</t>
        </is>
      </c>
      <c r="J422" t="b">
        <v>0</v>
      </c>
      <c r="K422" t="b">
        <v>0</v>
      </c>
      <c r="L422" t="n">
        <v>11</v>
      </c>
      <c r="M422" t="inlineStr">
        <is>
          <t>FFFF0000</t>
        </is>
      </c>
      <c r="N422" t="inlineStr">
        <is>
          <t>00000000</t>
        </is>
      </c>
      <c r="O422" t="n">
        <v/>
      </c>
      <c r="R422" t="b">
        <v>1</v>
      </c>
      <c r="S422" t="inlineStr">
        <is>
          <t>G000156</t>
        </is>
      </c>
      <c r="T422" t="inlineStr">
        <is>
          <t>Vertical</t>
        </is>
      </c>
      <c r="U422" t="n">
        <v>97</v>
      </c>
      <c r="V422" t="b">
        <v>1</v>
      </c>
      <c r="W422" t="inlineStr">
        <is>
          <t>ATF Fuel 2!I3:I99</t>
        </is>
      </c>
      <c r="X422">
        <f>R[0]C[-1]/R[-1]C[-1]-1</f>
        <v/>
      </c>
    </row>
    <row r="423">
      <c r="A423" t="inlineStr">
        <is>
          <t>ATF Fuel 2</t>
        </is>
      </c>
      <c r="B423" t="inlineStr">
        <is>
          <t>J24</t>
        </is>
      </c>
      <c r="C423" t="n">
        <v>24</v>
      </c>
      <c r="D423" t="n">
        <v>10</v>
      </c>
      <c r="E423" t="inlineStr">
        <is>
          <t>Input</t>
        </is>
      </c>
      <c r="F423" t="n">
        <v/>
      </c>
      <c r="G423" t="n">
        <v>97.63</v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n">
        <v/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</row>
    <row r="424">
      <c r="A424" t="inlineStr">
        <is>
          <t>ATF Fuel 2</t>
        </is>
      </c>
      <c r="B424" t="inlineStr">
        <is>
          <t>K24</t>
        </is>
      </c>
      <c r="C424" t="n">
        <v>24</v>
      </c>
      <c r="D424" t="n">
        <v>11</v>
      </c>
      <c r="E424" t="inlineStr">
        <is>
          <t>Output</t>
        </is>
      </c>
      <c r="F424" t="inlineStr">
        <is>
          <t>'=J24/J23-1</t>
        </is>
      </c>
      <c r="G424" t="n">
        <v>-0.0517676767676768</v>
      </c>
      <c r="H424" t="inlineStr"/>
      <c r="I424" t="inlineStr">
        <is>
          <t>0%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n">
        <v/>
      </c>
      <c r="R424" t="b">
        <v>1</v>
      </c>
      <c r="S424" t="inlineStr">
        <is>
          <t>G000157</t>
        </is>
      </c>
      <c r="T424" t="inlineStr">
        <is>
          <t>Vertical</t>
        </is>
      </c>
      <c r="U424" t="n">
        <v>93</v>
      </c>
      <c r="V424" t="b">
        <v>1</v>
      </c>
      <c r="W424" t="inlineStr">
        <is>
          <t>ATF Fuel 2!K3:K95</t>
        </is>
      </c>
      <c r="X424">
        <f>R[0]C[-1]/R[-1]C[-1]-1</f>
        <v/>
      </c>
    </row>
    <row r="425">
      <c r="A425" t="inlineStr">
        <is>
          <t>ATF Fuel 2</t>
        </is>
      </c>
      <c r="B425" t="inlineStr">
        <is>
          <t>L24</t>
        </is>
      </c>
      <c r="C425" t="n">
        <v>24</v>
      </c>
      <c r="D425" t="n">
        <v>12</v>
      </c>
      <c r="E425" t="inlineStr">
        <is>
          <t>Input</t>
        </is>
      </c>
      <c r="F425" t="n">
        <v/>
      </c>
      <c r="G425" t="inlineStr">
        <is>
          <t>February 01, 2012</t>
        </is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00000000</t>
        </is>
      </c>
      <c r="O425" t="inlineStr">
        <is>
          <t>left</t>
        </is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</row>
    <row r="426">
      <c r="A426" t="inlineStr">
        <is>
          <t>ATF Fuel 2</t>
        </is>
      </c>
      <c r="B426" t="inlineStr">
        <is>
          <t>M24</t>
        </is>
      </c>
      <c r="C426" t="n">
        <v>24</v>
      </c>
      <c r="D426" t="n">
        <v>13</v>
      </c>
      <c r="E426" t="inlineStr">
        <is>
          <t>Calculation</t>
        </is>
      </c>
      <c r="F426" t="inlineStr">
        <is>
          <t>'=(1+(B24/B23)-1)*M23</t>
        </is>
      </c>
      <c r="G426" t="n">
        <v>149.6949768891828</v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inlineStr">
        <is>
          <t>left</t>
        </is>
      </c>
      <c r="R426" t="b">
        <v>1</v>
      </c>
      <c r="S426" t="inlineStr">
        <is>
          <t>G000159</t>
        </is>
      </c>
      <c r="T426" t="inlineStr">
        <is>
          <t>Vertical</t>
        </is>
      </c>
      <c r="U426" t="n">
        <v>92</v>
      </c>
      <c r="V426" t="b">
        <v>1</v>
      </c>
      <c r="W426" t="inlineStr">
        <is>
          <t>ATF Fuel 2!M3:M94</t>
        </is>
      </c>
      <c r="X426">
        <f>(1+(R[0]C[-11]/R[-1]C[-11])-1)*R[-1]C[0]</f>
        <v/>
      </c>
    </row>
    <row r="427">
      <c r="A427" t="inlineStr">
        <is>
          <t>ATF Fuel 2</t>
        </is>
      </c>
      <c r="B427" t="inlineStr">
        <is>
          <t>N24</t>
        </is>
      </c>
      <c r="C427" t="n">
        <v>24</v>
      </c>
      <c r="D427" t="n">
        <v>14</v>
      </c>
      <c r="E427" t="inlineStr">
        <is>
          <t>Calculation</t>
        </is>
      </c>
      <c r="F427" t="inlineStr">
        <is>
          <t>'=(1+(F24/F23)-1)*N23</t>
        </is>
      </c>
      <c r="G427" t="n">
        <v>141.4256323369238</v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inlineStr">
        <is>
          <t>left</t>
        </is>
      </c>
      <c r="R427" t="b">
        <v>1</v>
      </c>
      <c r="S427" t="inlineStr">
        <is>
          <t>G000160</t>
        </is>
      </c>
      <c r="T427" t="inlineStr">
        <is>
          <t>Vertical</t>
        </is>
      </c>
      <c r="U427" t="n">
        <v>92</v>
      </c>
      <c r="V427" t="b">
        <v>1</v>
      </c>
      <c r="W427" t="inlineStr">
        <is>
          <t>ATF Fuel 2!N3:N94</t>
        </is>
      </c>
      <c r="X427">
        <f>(1+(R[0]C[-8]/R[-1]C[-8])-1)*R[-1]C[0]</f>
        <v/>
      </c>
    </row>
    <row r="428">
      <c r="A428" t="inlineStr">
        <is>
          <t>ATF Fuel 2</t>
        </is>
      </c>
      <c r="B428" t="inlineStr">
        <is>
          <t>O24</t>
        </is>
      </c>
      <c r="C428" t="n">
        <v>24</v>
      </c>
      <c r="D428" t="n">
        <v>15</v>
      </c>
      <c r="E428" t="inlineStr">
        <is>
          <t>Calculation</t>
        </is>
      </c>
      <c r="F428" t="inlineStr">
        <is>
          <t>'=(1+(J24/J23)-1)*O23</t>
        </is>
      </c>
      <c r="G428" t="n">
        <v>115.4974565243109</v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inlineStr">
        <is>
          <t>left</t>
        </is>
      </c>
      <c r="R428" t="b">
        <v>1</v>
      </c>
      <c r="S428" t="inlineStr">
        <is>
          <t>G000162</t>
        </is>
      </c>
      <c r="T428" t="inlineStr">
        <is>
          <t>Vertical</t>
        </is>
      </c>
      <c r="U428" t="n">
        <v>92</v>
      </c>
      <c r="V428" t="b">
        <v>1</v>
      </c>
      <c r="W428" t="inlineStr">
        <is>
          <t>ATF Fuel 2!O3:O94</t>
        </is>
      </c>
      <c r="X428">
        <f>(1+(R[0]C[-5]/R[-1]C[-5])-1)*R[-1]C[0]</f>
        <v/>
      </c>
    </row>
    <row r="429">
      <c r="A429" t="inlineStr">
        <is>
          <t>ATF Fuel 2</t>
        </is>
      </c>
      <c r="B429" t="inlineStr">
        <is>
          <t>P24</t>
        </is>
      </c>
      <c r="C429" t="n">
        <v>24</v>
      </c>
      <c r="D429" t="n">
        <v>16</v>
      </c>
      <c r="E429" t="inlineStr">
        <is>
          <t>Calculation</t>
        </is>
      </c>
      <c r="F429" t="inlineStr">
        <is>
          <t>'=(1+(H24/H23)-1)*P23</t>
        </is>
      </c>
      <c r="G429" t="n">
        <v>156.6867092848088</v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00000000</t>
        </is>
      </c>
      <c r="O429" t="inlineStr">
        <is>
          <t>left</t>
        </is>
      </c>
      <c r="R429" t="b">
        <v>1</v>
      </c>
      <c r="S429" t="inlineStr">
        <is>
          <t>G000161</t>
        </is>
      </c>
      <c r="T429" t="inlineStr">
        <is>
          <t>Vertical</t>
        </is>
      </c>
      <c r="U429" t="n">
        <v>92</v>
      </c>
      <c r="V429" t="b">
        <v>1</v>
      </c>
      <c r="W429" t="inlineStr">
        <is>
          <t>ATF Fuel 2!P3:P94</t>
        </is>
      </c>
      <c r="X429">
        <f>(1+(R[0]C[-8]/R[-1]C[-8])-1)*R[-1]C[0]</f>
        <v/>
      </c>
    </row>
    <row r="430">
      <c r="A430" t="inlineStr">
        <is>
          <t>ATF Fuel 2</t>
        </is>
      </c>
      <c r="B430" t="inlineStr">
        <is>
          <t>Q24</t>
        </is>
      </c>
      <c r="C430" t="n">
        <v>24</v>
      </c>
      <c r="D430" t="n">
        <v>17</v>
      </c>
      <c r="E430" t="inlineStr">
        <is>
          <t>Output</t>
        </is>
      </c>
      <c r="F430" t="inlineStr">
        <is>
          <t>'=M24/N24-1</t>
        </is>
      </c>
      <c r="G430" t="n">
        <v>0.05847132811510902</v>
      </c>
      <c r="H430" t="inlineStr"/>
      <c r="I430" t="inlineStr">
        <is>
          <t>0.0%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00000000</t>
        </is>
      </c>
      <c r="O430" t="n">
        <v/>
      </c>
      <c r="R430" t="b">
        <v>1</v>
      </c>
      <c r="S430" t="inlineStr">
        <is>
          <t>G000153</t>
        </is>
      </c>
      <c r="T430" t="inlineStr">
        <is>
          <t>Vertical</t>
        </is>
      </c>
      <c r="U430" t="n">
        <v>93</v>
      </c>
      <c r="V430" t="b">
        <v>1</v>
      </c>
      <c r="W430" t="inlineStr">
        <is>
          <t>ATF Fuel 2!Q2:Q94</t>
        </is>
      </c>
      <c r="X430">
        <f>R[0]C[-4]/R[0]C[-3]-1</f>
        <v/>
      </c>
    </row>
    <row r="431">
      <c r="A431" t="inlineStr">
        <is>
          <t>ATF Fuel 2</t>
        </is>
      </c>
      <c r="B431" t="inlineStr">
        <is>
          <t>A25</t>
        </is>
      </c>
      <c r="C431" t="n">
        <v>25</v>
      </c>
      <c r="D431" t="n">
        <v>1</v>
      </c>
      <c r="E431" t="inlineStr">
        <is>
          <t>Input</t>
        </is>
      </c>
      <c r="F431" t="n">
        <v/>
      </c>
      <c r="G431" t="inlineStr">
        <is>
          <t>March 01, 2012</t>
        </is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00000000</t>
        </is>
      </c>
      <c r="O431" t="n">
        <v/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ATF Fuel 2</t>
        </is>
      </c>
      <c r="B432" t="inlineStr">
        <is>
          <t>B25</t>
        </is>
      </c>
      <c r="C432" t="n">
        <v>25</v>
      </c>
      <c r="D432" t="n">
        <v>2</v>
      </c>
      <c r="E432" t="inlineStr">
        <is>
          <t>Input</t>
        </is>
      </c>
      <c r="F432" t="n">
        <v/>
      </c>
      <c r="G432" t="n">
        <v>68179.9025</v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n">
        <v/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ATF Fuel 2</t>
        </is>
      </c>
      <c r="B433" t="inlineStr">
        <is>
          <t>C25</t>
        </is>
      </c>
      <c r="C433" t="n">
        <v>25</v>
      </c>
      <c r="D433" t="n">
        <v>3</v>
      </c>
      <c r="E433" t="inlineStr">
        <is>
          <t>Output</t>
        </is>
      </c>
      <c r="F433" t="inlineStr">
        <is>
          <t>'=B25/B24-1</t>
        </is>
      </c>
      <c r="G433" t="n">
        <v>0.02669149472671628</v>
      </c>
      <c r="H433" t="inlineStr"/>
      <c r="I433" t="inlineStr">
        <is>
          <t>0%</t>
        </is>
      </c>
      <c r="J433" t="b">
        <v>0</v>
      </c>
      <c r="K433" t="b">
        <v>0</v>
      </c>
      <c r="L433" t="n">
        <v>11</v>
      </c>
      <c r="M433" t="n">
        <v/>
      </c>
      <c r="N433" t="inlineStr">
        <is>
          <t>00000000</t>
        </is>
      </c>
      <c r="O433" t="n">
        <v/>
      </c>
      <c r="R433" t="b">
        <v>1</v>
      </c>
      <c r="S433" t="inlineStr">
        <is>
          <t>G000154</t>
        </is>
      </c>
      <c r="T433" t="inlineStr">
        <is>
          <t>Vertical</t>
        </is>
      </c>
      <c r="U433" t="n">
        <v>92</v>
      </c>
      <c r="V433" t="b">
        <v>1</v>
      </c>
      <c r="W433" t="inlineStr">
        <is>
          <t>ATF Fuel 2!C3:C94</t>
        </is>
      </c>
      <c r="X433">
        <f>R[0]C[-1]/R[-1]C[-1]-1</f>
        <v/>
      </c>
    </row>
    <row r="434">
      <c r="A434" t="inlineStr">
        <is>
          <t>ATF Fuel 2</t>
        </is>
      </c>
      <c r="B434" t="inlineStr">
        <is>
          <t>D25</t>
        </is>
      </c>
      <c r="C434" t="n">
        <v>25</v>
      </c>
      <c r="D434" t="n">
        <v>4</v>
      </c>
      <c r="E434" t="inlineStr">
        <is>
          <t>Input</t>
        </is>
      </c>
      <c r="F434" t="n">
        <v/>
      </c>
      <c r="G434" t="n">
        <v>49.075</v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n">
        <v/>
      </c>
      <c r="R434" t="b">
        <v>1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</row>
    <row r="435">
      <c r="A435" t="inlineStr">
        <is>
          <t>ATF Fuel 2</t>
        </is>
      </c>
      <c r="B435" t="inlineStr">
        <is>
          <t>E25</t>
        </is>
      </c>
      <c r="C435" t="n">
        <v>25</v>
      </c>
      <c r="D435" t="n">
        <v>5</v>
      </c>
      <c r="E435" t="inlineStr">
        <is>
          <t>Output</t>
        </is>
      </c>
      <c r="F435" t="inlineStr">
        <is>
          <t>'=B25/B24-1</t>
        </is>
      </c>
      <c r="G435" t="n">
        <v>0.02669149472671628</v>
      </c>
      <c r="H435" t="inlineStr"/>
      <c r="I435" t="inlineStr">
        <is>
          <t>0%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n">
        <v/>
      </c>
      <c r="R435" t="b">
        <v>1</v>
      </c>
      <c r="S435" t="inlineStr">
        <is>
          <t>G000158</t>
        </is>
      </c>
      <c r="T435" t="inlineStr">
        <is>
          <t>Vertical</t>
        </is>
      </c>
      <c r="U435" t="n">
        <v>92</v>
      </c>
      <c r="V435" t="b">
        <v>1</v>
      </c>
      <c r="W435" t="inlineStr">
        <is>
          <t>ATF Fuel 2!E3:E94</t>
        </is>
      </c>
      <c r="X435">
        <f>R[0]C[-3]/R[-1]C[-3]-1</f>
        <v/>
      </c>
    </row>
    <row r="436">
      <c r="A436" t="inlineStr">
        <is>
          <t>ATF Fuel 2</t>
        </is>
      </c>
      <c r="B436" t="inlineStr">
        <is>
          <t>F25</t>
        </is>
      </c>
      <c r="C436" t="n">
        <v>25</v>
      </c>
      <c r="D436" t="n">
        <v>6</v>
      </c>
      <c r="E436" t="inlineStr">
        <is>
          <t>Input</t>
        </is>
      </c>
      <c r="F436" t="n">
        <v/>
      </c>
      <c r="G436" t="n">
        <v>125.37</v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</row>
    <row r="437">
      <c r="A437" t="inlineStr">
        <is>
          <t>ATF Fuel 2</t>
        </is>
      </c>
      <c r="B437" t="inlineStr">
        <is>
          <t>G25</t>
        </is>
      </c>
      <c r="C437" t="n">
        <v>25</v>
      </c>
      <c r="D437" t="n">
        <v>7</v>
      </c>
      <c r="E437" t="inlineStr">
        <is>
          <t>Output</t>
        </is>
      </c>
      <c r="F437" t="inlineStr">
        <is>
          <t>'=F25/F24-1</t>
        </is>
      </c>
      <c r="G437" t="n">
        <v>0.07282218038678767</v>
      </c>
      <c r="H437" t="inlineStr"/>
      <c r="I437" t="inlineStr">
        <is>
          <t>0%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n">
        <v/>
      </c>
      <c r="R437" t="b">
        <v>1</v>
      </c>
      <c r="S437" t="inlineStr">
        <is>
          <t>G000155</t>
        </is>
      </c>
      <c r="T437" t="inlineStr">
        <is>
          <t>Vertical</t>
        </is>
      </c>
      <c r="U437" t="n">
        <v>93</v>
      </c>
      <c r="V437" t="b">
        <v>1</v>
      </c>
      <c r="W437" t="inlineStr">
        <is>
          <t>ATF Fuel 2!G3:G95</t>
        </is>
      </c>
      <c r="X437">
        <f>R[0]C[-1]/R[-1]C[-1]-1</f>
        <v/>
      </c>
    </row>
    <row r="438">
      <c r="A438" t="inlineStr">
        <is>
          <t>ATF Fuel 2</t>
        </is>
      </c>
      <c r="B438" t="inlineStr">
        <is>
          <t>H25</t>
        </is>
      </c>
      <c r="C438" t="n">
        <v>25</v>
      </c>
      <c r="D438" t="n">
        <v>8</v>
      </c>
      <c r="E438" t="inlineStr">
        <is>
          <t>Calculation</t>
        </is>
      </c>
      <c r="F438" t="inlineStr">
        <is>
          <t>'=D25*F25</t>
        </is>
      </c>
      <c r="G438" t="n">
        <v>6152.53275</v>
      </c>
      <c r="H438" t="inlineStr"/>
      <c r="I438" t="inlineStr">
        <is>
          <t>0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00000000</t>
        </is>
      </c>
      <c r="O438" t="n">
        <v/>
      </c>
      <c r="R438" t="b">
        <v>1</v>
      </c>
      <c r="S438" t="inlineStr">
        <is>
          <t>G000152</t>
        </is>
      </c>
      <c r="T438" t="inlineStr">
        <is>
          <t>Vertical</t>
        </is>
      </c>
      <c r="U438" t="n">
        <v>98</v>
      </c>
      <c r="V438" t="b">
        <v>1</v>
      </c>
      <c r="W438" t="inlineStr">
        <is>
          <t>ATF Fuel 2!H2:H99</t>
        </is>
      </c>
      <c r="X438">
        <f>R[0]C[-4]*R[0]C[-2]</f>
        <v/>
      </c>
    </row>
    <row r="439">
      <c r="A439" t="inlineStr">
        <is>
          <t>ATF Fuel 2</t>
        </is>
      </c>
      <c r="B439" t="inlineStr">
        <is>
          <t>I25</t>
        </is>
      </c>
      <c r="C439" t="n">
        <v>25</v>
      </c>
      <c r="D439" t="n">
        <v>9</v>
      </c>
      <c r="E439" t="inlineStr">
        <is>
          <t>Output</t>
        </is>
      </c>
      <c r="F439" t="inlineStr">
        <is>
          <t>'=H25/H24-1</t>
        </is>
      </c>
      <c r="G439" t="n">
        <v>0.06168075221781821</v>
      </c>
      <c r="H439" t="inlineStr"/>
      <c r="I439" t="inlineStr">
        <is>
          <t>0%</t>
        </is>
      </c>
      <c r="J439" t="b">
        <v>0</v>
      </c>
      <c r="K439" t="b">
        <v>0</v>
      </c>
      <c r="L439" t="n">
        <v>11</v>
      </c>
      <c r="M439" t="inlineStr">
        <is>
          <t>FFFF0000</t>
        </is>
      </c>
      <c r="N439" t="inlineStr">
        <is>
          <t>00000000</t>
        </is>
      </c>
      <c r="O439" t="n">
        <v/>
      </c>
      <c r="R439" t="b">
        <v>1</v>
      </c>
      <c r="S439" t="inlineStr">
        <is>
          <t>G000156</t>
        </is>
      </c>
      <c r="T439" t="inlineStr">
        <is>
          <t>Vertical</t>
        </is>
      </c>
      <c r="U439" t="n">
        <v>97</v>
      </c>
      <c r="V439" t="b">
        <v>1</v>
      </c>
      <c r="W439" t="inlineStr">
        <is>
          <t>ATF Fuel 2!I3:I99</t>
        </is>
      </c>
      <c r="X439">
        <f>R[0]C[-1]/R[-1]C[-1]-1</f>
        <v/>
      </c>
    </row>
    <row r="440">
      <c r="A440" t="inlineStr">
        <is>
          <t>ATF Fuel 2</t>
        </is>
      </c>
      <c r="B440" t="inlineStr">
        <is>
          <t>J25</t>
        </is>
      </c>
      <c r="C440" t="n">
        <v>25</v>
      </c>
      <c r="D440" t="n">
        <v>10</v>
      </c>
      <c r="E440" t="inlineStr">
        <is>
          <t>Input</t>
        </is>
      </c>
      <c r="F440" t="n">
        <v/>
      </c>
      <c r="G440" t="n">
        <v>108.76</v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11</v>
      </c>
      <c r="M440" t="inlineStr">
        <is>
          <t>Values must be of type &lt;class 'str'&gt;</t>
        </is>
      </c>
      <c r="N440" t="inlineStr">
        <is>
          <t>00000000</t>
        </is>
      </c>
      <c r="O440" t="n">
        <v/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ATF Fuel 2</t>
        </is>
      </c>
      <c r="B441" t="inlineStr">
        <is>
          <t>K25</t>
        </is>
      </c>
      <c r="C441" t="n">
        <v>25</v>
      </c>
      <c r="D441" t="n">
        <v>11</v>
      </c>
      <c r="E441" t="inlineStr">
        <is>
          <t>Output</t>
        </is>
      </c>
      <c r="F441" t="inlineStr">
        <is>
          <t>'=J25/J24-1</t>
        </is>
      </c>
      <c r="G441" t="n">
        <v>0.1140018436955854</v>
      </c>
      <c r="H441" t="inlineStr"/>
      <c r="I441" t="inlineStr">
        <is>
          <t>0%</t>
        </is>
      </c>
      <c r="J441" t="b">
        <v>0</v>
      </c>
      <c r="K441" t="b">
        <v>0</v>
      </c>
      <c r="L441" t="n">
        <v>11</v>
      </c>
      <c r="M441" t="inlineStr">
        <is>
          <t>Values must be of type &lt;class 'str'&gt;</t>
        </is>
      </c>
      <c r="N441" t="inlineStr">
        <is>
          <t>00000000</t>
        </is>
      </c>
      <c r="O441" t="n">
        <v/>
      </c>
      <c r="R441" t="b">
        <v>1</v>
      </c>
      <c r="S441" t="inlineStr">
        <is>
          <t>G000157</t>
        </is>
      </c>
      <c r="T441" t="inlineStr">
        <is>
          <t>Vertical</t>
        </is>
      </c>
      <c r="U441" t="n">
        <v>93</v>
      </c>
      <c r="V441" t="b">
        <v>1</v>
      </c>
      <c r="W441" t="inlineStr">
        <is>
          <t>ATF Fuel 2!K3:K95</t>
        </is>
      </c>
      <c r="X441">
        <f>R[0]C[-1]/R[-1]C[-1]-1</f>
        <v/>
      </c>
    </row>
    <row r="442">
      <c r="A442" t="inlineStr">
        <is>
          <t>ATF Fuel 2</t>
        </is>
      </c>
      <c r="B442" t="inlineStr">
        <is>
          <t>L25</t>
        </is>
      </c>
      <c r="C442" t="n">
        <v>25</v>
      </c>
      <c r="D442" t="n">
        <v>12</v>
      </c>
      <c r="E442" t="inlineStr">
        <is>
          <t>Input</t>
        </is>
      </c>
      <c r="F442" t="n">
        <v/>
      </c>
      <c r="G442" t="inlineStr">
        <is>
          <t>March 01, 2012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00000000</t>
        </is>
      </c>
      <c r="O442" t="inlineStr">
        <is>
          <t>left</t>
        </is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ATF Fuel 2</t>
        </is>
      </c>
      <c r="B443" t="inlineStr">
        <is>
          <t>M25</t>
        </is>
      </c>
      <c r="C443" t="n">
        <v>25</v>
      </c>
      <c r="D443" t="n">
        <v>13</v>
      </c>
      <c r="E443" t="inlineStr">
        <is>
          <t>Calculation</t>
        </is>
      </c>
      <c r="F443" t="inlineStr">
        <is>
          <t>'=(1+(B25/B24)-1)*M24</t>
        </is>
      </c>
      <c r="G443" t="n">
        <v>153.6905595754363</v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11</v>
      </c>
      <c r="M443" t="inlineStr">
        <is>
          <t>Values must be of type &lt;class 'str'&gt;</t>
        </is>
      </c>
      <c r="N443" t="inlineStr">
        <is>
          <t>00000000</t>
        </is>
      </c>
      <c r="O443" t="inlineStr">
        <is>
          <t>left</t>
        </is>
      </c>
      <c r="R443" t="b">
        <v>1</v>
      </c>
      <c r="S443" t="inlineStr">
        <is>
          <t>G000159</t>
        </is>
      </c>
      <c r="T443" t="inlineStr">
        <is>
          <t>Vertical</t>
        </is>
      </c>
      <c r="U443" t="n">
        <v>92</v>
      </c>
      <c r="V443" t="b">
        <v>1</v>
      </c>
      <c r="W443" t="inlineStr">
        <is>
          <t>ATF Fuel 2!M3:M94</t>
        </is>
      </c>
      <c r="X443">
        <f>(1+(R[0]C[-11]/R[-1]C[-11])-1)*R[-1]C[0]</f>
        <v/>
      </c>
    </row>
    <row r="444">
      <c r="A444" t="inlineStr">
        <is>
          <t>ATF Fuel 2</t>
        </is>
      </c>
      <c r="B444" t="inlineStr">
        <is>
          <t>N25</t>
        </is>
      </c>
      <c r="C444" t="n">
        <v>25</v>
      </c>
      <c r="D444" t="n">
        <v>14</v>
      </c>
      <c r="E444" t="inlineStr">
        <is>
          <t>Calculation</t>
        </is>
      </c>
      <c r="F444" t="inlineStr">
        <is>
          <t>'=(1+(F25/F24)-1)*N24</t>
        </is>
      </c>
      <c r="G444" t="n">
        <v>151.7245552462788</v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11</v>
      </c>
      <c r="M444" t="inlineStr">
        <is>
          <t>Values must be of type &lt;class 'str'&gt;</t>
        </is>
      </c>
      <c r="N444" t="inlineStr">
        <is>
          <t>00000000</t>
        </is>
      </c>
      <c r="O444" t="inlineStr">
        <is>
          <t>left</t>
        </is>
      </c>
      <c r="R444" t="b">
        <v>1</v>
      </c>
      <c r="S444" t="inlineStr">
        <is>
          <t>G000160</t>
        </is>
      </c>
      <c r="T444" t="inlineStr">
        <is>
          <t>Vertical</t>
        </is>
      </c>
      <c r="U444" t="n">
        <v>92</v>
      </c>
      <c r="V444" t="b">
        <v>1</v>
      </c>
      <c r="W444" t="inlineStr">
        <is>
          <t>ATF Fuel 2!N3:N94</t>
        </is>
      </c>
      <c r="X444">
        <f>(1+(R[0]C[-8]/R[-1]C[-8])-1)*R[-1]C[0]</f>
        <v/>
      </c>
    </row>
    <row r="445">
      <c r="A445" t="inlineStr">
        <is>
          <t>ATF Fuel 2</t>
        </is>
      </c>
      <c r="B445" t="inlineStr">
        <is>
          <t>O25</t>
        </is>
      </c>
      <c r="C445" t="n">
        <v>25</v>
      </c>
      <c r="D445" t="n">
        <v>15</v>
      </c>
      <c r="E445" t="inlineStr">
        <is>
          <t>Calculation</t>
        </is>
      </c>
      <c r="F445" t="inlineStr">
        <is>
          <t>'=(1+(J25/J24)-1)*O24</t>
        </is>
      </c>
      <c r="G445" t="n">
        <v>128.6643795102331</v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inlineStr">
        <is>
          <t>left</t>
        </is>
      </c>
      <c r="R445" t="b">
        <v>1</v>
      </c>
      <c r="S445" t="inlineStr">
        <is>
          <t>G000162</t>
        </is>
      </c>
      <c r="T445" t="inlineStr">
        <is>
          <t>Vertical</t>
        </is>
      </c>
      <c r="U445" t="n">
        <v>92</v>
      </c>
      <c r="V445" t="b">
        <v>1</v>
      </c>
      <c r="W445" t="inlineStr">
        <is>
          <t>ATF Fuel 2!O3:O94</t>
        </is>
      </c>
      <c r="X445">
        <f>(1+(R[0]C[-5]/R[-1]C[-5])-1)*R[-1]C[0]</f>
        <v/>
      </c>
    </row>
    <row r="446">
      <c r="A446" t="inlineStr">
        <is>
          <t>ATF Fuel 2</t>
        </is>
      </c>
      <c r="B446" t="inlineStr">
        <is>
          <t>P25</t>
        </is>
      </c>
      <c r="C446" t="n">
        <v>25</v>
      </c>
      <c r="D446" t="n">
        <v>16</v>
      </c>
      <c r="E446" t="inlineStr">
        <is>
          <t>Calculation</t>
        </is>
      </c>
      <c r="F446" t="inlineStr">
        <is>
          <t>'=(1+(H25/H24)-1)*P24</t>
        </is>
      </c>
      <c r="G446" t="n">
        <v>166.3512633760305</v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inlineStr">
        <is>
          <t>left</t>
        </is>
      </c>
      <c r="R446" t="b">
        <v>1</v>
      </c>
      <c r="S446" t="inlineStr">
        <is>
          <t>G000161</t>
        </is>
      </c>
      <c r="T446" t="inlineStr">
        <is>
          <t>Vertical</t>
        </is>
      </c>
      <c r="U446" t="n">
        <v>92</v>
      </c>
      <c r="V446" t="b">
        <v>1</v>
      </c>
      <c r="W446" t="inlineStr">
        <is>
          <t>ATF Fuel 2!P3:P94</t>
        </is>
      </c>
      <c r="X446">
        <f>(1+(R[0]C[-8]/R[-1]C[-8])-1)*R[-1]C[0]</f>
        <v/>
      </c>
    </row>
    <row r="447">
      <c r="A447" t="inlineStr">
        <is>
          <t>ATF Fuel 2</t>
        </is>
      </c>
      <c r="B447" t="inlineStr">
        <is>
          <t>Q25</t>
        </is>
      </c>
      <c r="C447" t="n">
        <v>25</v>
      </c>
      <c r="D447" t="n">
        <v>17</v>
      </c>
      <c r="E447" t="inlineStr">
        <is>
          <t>Output</t>
        </is>
      </c>
      <c r="F447" t="inlineStr">
        <is>
          <t>'=M25/N25-1</t>
        </is>
      </c>
      <c r="G447" t="n">
        <v>0.01295772016577246</v>
      </c>
      <c r="H447" t="inlineStr"/>
      <c r="I447" t="inlineStr">
        <is>
          <t>0.0%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n">
        <v/>
      </c>
      <c r="R447" t="b">
        <v>1</v>
      </c>
      <c r="S447" t="inlineStr">
        <is>
          <t>G000153</t>
        </is>
      </c>
      <c r="T447" t="inlineStr">
        <is>
          <t>Vertical</t>
        </is>
      </c>
      <c r="U447" t="n">
        <v>93</v>
      </c>
      <c r="V447" t="b">
        <v>1</v>
      </c>
      <c r="W447" t="inlineStr">
        <is>
          <t>ATF Fuel 2!Q2:Q94</t>
        </is>
      </c>
      <c r="X447">
        <f>R[0]C[-4]/R[0]C[-3]-1</f>
        <v/>
      </c>
    </row>
    <row r="448">
      <c r="A448" t="inlineStr">
        <is>
          <t>ATF Fuel 2</t>
        </is>
      </c>
      <c r="B448" t="inlineStr">
        <is>
          <t>A26</t>
        </is>
      </c>
      <c r="C448" t="n">
        <v>26</v>
      </c>
      <c r="D448" t="n">
        <v>1</v>
      </c>
      <c r="E448" t="inlineStr">
        <is>
          <t>Input</t>
        </is>
      </c>
      <c r="F448" t="n">
        <v/>
      </c>
      <c r="G448" t="inlineStr">
        <is>
          <t>April 01, 2012</t>
        </is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n">
        <v/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</row>
    <row r="449">
      <c r="A449" t="inlineStr">
        <is>
          <t>ATF Fuel 2</t>
        </is>
      </c>
      <c r="B449" t="inlineStr">
        <is>
          <t>B26</t>
        </is>
      </c>
      <c r="C449" t="n">
        <v>26</v>
      </c>
      <c r="D449" t="n">
        <v>2</v>
      </c>
      <c r="E449" t="inlineStr">
        <is>
          <t>Input</t>
        </is>
      </c>
      <c r="F449" t="n">
        <v/>
      </c>
      <c r="G449" t="n">
        <v>71514.10250000001</v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n">
        <v/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ATF Fuel 2</t>
        </is>
      </c>
      <c r="B450" t="inlineStr">
        <is>
          <t>C26</t>
        </is>
      </c>
      <c r="C450" t="n">
        <v>26</v>
      </c>
      <c r="D450" t="n">
        <v>3</v>
      </c>
      <c r="E450" t="inlineStr">
        <is>
          <t>Output</t>
        </is>
      </c>
      <c r="F450" t="inlineStr">
        <is>
          <t>'=B26/B25-1</t>
        </is>
      </c>
      <c r="G450" t="n">
        <v>0.04890297401055999</v>
      </c>
      <c r="H450" t="inlineStr"/>
      <c r="I450" t="inlineStr">
        <is>
          <t>0%</t>
        </is>
      </c>
      <c r="J450" t="b">
        <v>0</v>
      </c>
      <c r="K450" t="b">
        <v>0</v>
      </c>
      <c r="L450" t="n">
        <v>11</v>
      </c>
      <c r="M450" t="n">
        <v/>
      </c>
      <c r="N450" t="inlineStr">
        <is>
          <t>00000000</t>
        </is>
      </c>
      <c r="O450" t="n">
        <v/>
      </c>
      <c r="R450" t="b">
        <v>1</v>
      </c>
      <c r="S450" t="inlineStr">
        <is>
          <t>G000154</t>
        </is>
      </c>
      <c r="T450" t="inlineStr">
        <is>
          <t>Vertical</t>
        </is>
      </c>
      <c r="U450" t="n">
        <v>92</v>
      </c>
      <c r="V450" t="b">
        <v>1</v>
      </c>
      <c r="W450" t="inlineStr">
        <is>
          <t>ATF Fuel 2!C3:C94</t>
        </is>
      </c>
      <c r="X450">
        <f>R[0]C[-1]/R[-1]C[-1]-1</f>
        <v/>
      </c>
    </row>
    <row r="451">
      <c r="A451" t="inlineStr">
        <is>
          <t>ATF Fuel 2</t>
        </is>
      </c>
      <c r="B451" t="inlineStr">
        <is>
          <t>D26</t>
        </is>
      </c>
      <c r="C451" t="n">
        <v>26</v>
      </c>
      <c r="D451" t="n">
        <v>4</v>
      </c>
      <c r="E451" t="inlineStr">
        <is>
          <t>Input</t>
        </is>
      </c>
      <c r="F451" t="n">
        <v/>
      </c>
      <c r="G451" t="n">
        <v>50.61</v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00000000</t>
        </is>
      </c>
      <c r="O451" t="n">
        <v/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ATF Fuel 2</t>
        </is>
      </c>
      <c r="B452" t="inlineStr">
        <is>
          <t>E26</t>
        </is>
      </c>
      <c r="C452" t="n">
        <v>26</v>
      </c>
      <c r="D452" t="n">
        <v>5</v>
      </c>
      <c r="E452" t="inlineStr">
        <is>
          <t>Output</t>
        </is>
      </c>
      <c r="F452" t="inlineStr">
        <is>
          <t>'=B26/B25-1</t>
        </is>
      </c>
      <c r="G452" t="n">
        <v>0.04890297401055999</v>
      </c>
      <c r="H452" t="inlineStr"/>
      <c r="I452" t="inlineStr">
        <is>
          <t>0%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00000000</t>
        </is>
      </c>
      <c r="O452" t="n">
        <v/>
      </c>
      <c r="R452" t="b">
        <v>1</v>
      </c>
      <c r="S452" t="inlineStr">
        <is>
          <t>G000158</t>
        </is>
      </c>
      <c r="T452" t="inlineStr">
        <is>
          <t>Vertical</t>
        </is>
      </c>
      <c r="U452" t="n">
        <v>92</v>
      </c>
      <c r="V452" t="b">
        <v>1</v>
      </c>
      <c r="W452" t="inlineStr">
        <is>
          <t>ATF Fuel 2!E3:E94</t>
        </is>
      </c>
      <c r="X452">
        <f>R[0]C[-3]/R[-1]C[-3]-1</f>
        <v/>
      </c>
    </row>
    <row r="453">
      <c r="A453" t="inlineStr">
        <is>
          <t>ATF Fuel 2</t>
        </is>
      </c>
      <c r="B453" t="inlineStr">
        <is>
          <t>F26</t>
        </is>
      </c>
      <c r="C453" t="n">
        <v>26</v>
      </c>
      <c r="D453" t="n">
        <v>6</v>
      </c>
      <c r="E453" t="inlineStr">
        <is>
          <t>Input</t>
        </is>
      </c>
      <c r="F453" t="n">
        <v/>
      </c>
      <c r="G453" t="n">
        <v>121.89</v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ATF Fuel 2</t>
        </is>
      </c>
      <c r="B454" t="inlineStr">
        <is>
          <t>G26</t>
        </is>
      </c>
      <c r="C454" t="n">
        <v>26</v>
      </c>
      <c r="D454" t="n">
        <v>7</v>
      </c>
      <c r="E454" t="inlineStr">
        <is>
          <t>Output</t>
        </is>
      </c>
      <c r="F454" t="inlineStr">
        <is>
          <t>'=F26/F25-1</t>
        </is>
      </c>
      <c r="G454" t="n">
        <v>-0.02775783680306299</v>
      </c>
      <c r="H454" t="inlineStr"/>
      <c r="I454" t="inlineStr">
        <is>
          <t>0%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n">
        <v/>
      </c>
      <c r="R454" t="b">
        <v>1</v>
      </c>
      <c r="S454" t="inlineStr">
        <is>
          <t>G000155</t>
        </is>
      </c>
      <c r="T454" t="inlineStr">
        <is>
          <t>Vertical</t>
        </is>
      </c>
      <c r="U454" t="n">
        <v>93</v>
      </c>
      <c r="V454" t="b">
        <v>1</v>
      </c>
      <c r="W454" t="inlineStr">
        <is>
          <t>ATF Fuel 2!G3:G95</t>
        </is>
      </c>
      <c r="X454">
        <f>R[0]C[-1]/R[-1]C[-1]-1</f>
        <v/>
      </c>
    </row>
    <row r="455">
      <c r="A455" t="inlineStr">
        <is>
          <t>ATF Fuel 2</t>
        </is>
      </c>
      <c r="B455" t="inlineStr">
        <is>
          <t>H26</t>
        </is>
      </c>
      <c r="C455" t="n">
        <v>26</v>
      </c>
      <c r="D455" t="n">
        <v>8</v>
      </c>
      <c r="E455" t="inlineStr">
        <is>
          <t>Calculation</t>
        </is>
      </c>
      <c r="F455" t="inlineStr">
        <is>
          <t>'=D26*F26</t>
        </is>
      </c>
      <c r="G455" t="n">
        <v>6168.8529</v>
      </c>
      <c r="H455" t="inlineStr"/>
      <c r="I455" t="inlineStr">
        <is>
          <t>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n">
        <v/>
      </c>
      <c r="R455" t="b">
        <v>1</v>
      </c>
      <c r="S455" t="inlineStr">
        <is>
          <t>G000152</t>
        </is>
      </c>
      <c r="T455" t="inlineStr">
        <is>
          <t>Vertical</t>
        </is>
      </c>
      <c r="U455" t="n">
        <v>98</v>
      </c>
      <c r="V455" t="b">
        <v>1</v>
      </c>
      <c r="W455" t="inlineStr">
        <is>
          <t>ATF Fuel 2!H2:H99</t>
        </is>
      </c>
      <c r="X455">
        <f>R[0]C[-4]*R[0]C[-2]</f>
        <v/>
      </c>
    </row>
    <row r="456">
      <c r="A456" t="inlineStr">
        <is>
          <t>ATF Fuel 2</t>
        </is>
      </c>
      <c r="B456" t="inlineStr">
        <is>
          <t>I26</t>
        </is>
      </c>
      <c r="C456" t="n">
        <v>26</v>
      </c>
      <c r="D456" t="n">
        <v>9</v>
      </c>
      <c r="E456" t="inlineStr">
        <is>
          <t>Output</t>
        </is>
      </c>
      <c r="F456" t="inlineStr">
        <is>
          <t>'=H26/H25-1</t>
        </is>
      </c>
      <c r="G456" t="n">
        <v>0.002652590512419284</v>
      </c>
      <c r="H456" t="inlineStr"/>
      <c r="I456" t="inlineStr">
        <is>
          <t>0%</t>
        </is>
      </c>
      <c r="J456" t="b">
        <v>0</v>
      </c>
      <c r="K456" t="b">
        <v>0</v>
      </c>
      <c r="L456" t="n">
        <v>11</v>
      </c>
      <c r="M456" t="inlineStr">
        <is>
          <t>FFFF0000</t>
        </is>
      </c>
      <c r="N456" t="inlineStr">
        <is>
          <t>00000000</t>
        </is>
      </c>
      <c r="O456" t="n">
        <v/>
      </c>
      <c r="R456" t="b">
        <v>1</v>
      </c>
      <c r="S456" t="inlineStr">
        <is>
          <t>G000156</t>
        </is>
      </c>
      <c r="T456" t="inlineStr">
        <is>
          <t>Vertical</t>
        </is>
      </c>
      <c r="U456" t="n">
        <v>97</v>
      </c>
      <c r="V456" t="b">
        <v>1</v>
      </c>
      <c r="W456" t="inlineStr">
        <is>
          <t>ATF Fuel 2!I3:I99</t>
        </is>
      </c>
      <c r="X456">
        <f>R[0]C[-1]/R[-1]C[-1]-1</f>
        <v/>
      </c>
    </row>
    <row r="457">
      <c r="A457" t="inlineStr">
        <is>
          <t>ATF Fuel 2</t>
        </is>
      </c>
      <c r="B457" t="inlineStr">
        <is>
          <t>J26</t>
        </is>
      </c>
      <c r="C457" t="n">
        <v>26</v>
      </c>
      <c r="D457" t="n">
        <v>10</v>
      </c>
      <c r="E457" t="inlineStr">
        <is>
          <t>Input</t>
        </is>
      </c>
      <c r="F457" t="n">
        <v/>
      </c>
      <c r="G457" t="n">
        <v>105.25</v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ATF Fuel 2</t>
        </is>
      </c>
      <c r="B458" t="inlineStr">
        <is>
          <t>K26</t>
        </is>
      </c>
      <c r="C458" t="n">
        <v>26</v>
      </c>
      <c r="D458" t="n">
        <v>11</v>
      </c>
      <c r="E458" t="inlineStr">
        <is>
          <t>Output</t>
        </is>
      </c>
      <c r="F458" t="inlineStr">
        <is>
          <t>'=J26/J25-1</t>
        </is>
      </c>
      <c r="G458" t="n">
        <v>-0.03227289444648773</v>
      </c>
      <c r="H458" t="inlineStr"/>
      <c r="I458" t="inlineStr">
        <is>
          <t>0%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R458" t="b">
        <v>1</v>
      </c>
      <c r="S458" t="inlineStr">
        <is>
          <t>G000157</t>
        </is>
      </c>
      <c r="T458" t="inlineStr">
        <is>
          <t>Vertical</t>
        </is>
      </c>
      <c r="U458" t="n">
        <v>93</v>
      </c>
      <c r="V458" t="b">
        <v>1</v>
      </c>
      <c r="W458" t="inlineStr">
        <is>
          <t>ATF Fuel 2!K3:K95</t>
        </is>
      </c>
      <c r="X458">
        <f>R[0]C[-1]/R[-1]C[-1]-1</f>
        <v/>
      </c>
    </row>
    <row r="459">
      <c r="A459" t="inlineStr">
        <is>
          <t>ATF Fuel 2</t>
        </is>
      </c>
      <c r="B459" t="inlineStr">
        <is>
          <t>L26</t>
        </is>
      </c>
      <c r="C459" t="n">
        <v>26</v>
      </c>
      <c r="D459" t="n">
        <v>12</v>
      </c>
      <c r="E459" t="inlineStr">
        <is>
          <t>Input</t>
        </is>
      </c>
      <c r="F459" t="n">
        <v/>
      </c>
      <c r="G459" t="inlineStr">
        <is>
          <t>April 01, 2012</t>
        </is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inlineStr">
        <is>
          <t>left</t>
        </is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ATF Fuel 2</t>
        </is>
      </c>
      <c r="B460" t="inlineStr">
        <is>
          <t>M26</t>
        </is>
      </c>
      <c r="C460" t="n">
        <v>26</v>
      </c>
      <c r="D460" t="n">
        <v>13</v>
      </c>
      <c r="E460" t="inlineStr">
        <is>
          <t>Calculation</t>
        </is>
      </c>
      <c r="F460" t="inlineStr">
        <is>
          <t>'=(1+(B26/B25)-1)*M25</t>
        </is>
      </c>
      <c r="G460" t="n">
        <v>161.2064850160223</v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inlineStr">
        <is>
          <t>left</t>
        </is>
      </c>
      <c r="R460" t="b">
        <v>1</v>
      </c>
      <c r="S460" t="inlineStr">
        <is>
          <t>G000159</t>
        </is>
      </c>
      <c r="T460" t="inlineStr">
        <is>
          <t>Vertical</t>
        </is>
      </c>
      <c r="U460" t="n">
        <v>92</v>
      </c>
      <c r="V460" t="b">
        <v>1</v>
      </c>
      <c r="W460" t="inlineStr">
        <is>
          <t>ATF Fuel 2!M3:M94</t>
        </is>
      </c>
      <c r="X460">
        <f>(1+(R[0]C[-11]/R[-1]C[-11])-1)*R[-1]C[0]</f>
        <v/>
      </c>
    </row>
    <row r="461">
      <c r="A461" t="inlineStr">
        <is>
          <t>ATF Fuel 2</t>
        </is>
      </c>
      <c r="B461" t="inlineStr">
        <is>
          <t>N26</t>
        </is>
      </c>
      <c r="C461" t="n">
        <v>26</v>
      </c>
      <c r="D461" t="n">
        <v>14</v>
      </c>
      <c r="E461" t="inlineStr">
        <is>
          <t>Calculation</t>
        </is>
      </c>
      <c r="F461" t="inlineStr">
        <is>
          <t>'=(1+(F26/F25)-1)*N25</t>
        </is>
      </c>
      <c r="G461" t="n">
        <v>147.5130098027352</v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inlineStr">
        <is>
          <t>left</t>
        </is>
      </c>
      <c r="R461" t="b">
        <v>1</v>
      </c>
      <c r="S461" t="inlineStr">
        <is>
          <t>G000160</t>
        </is>
      </c>
      <c r="T461" t="inlineStr">
        <is>
          <t>Vertical</t>
        </is>
      </c>
      <c r="U461" t="n">
        <v>92</v>
      </c>
      <c r="V461" t="b">
        <v>1</v>
      </c>
      <c r="W461" t="inlineStr">
        <is>
          <t>ATF Fuel 2!N3:N94</t>
        </is>
      </c>
      <c r="X461">
        <f>(1+(R[0]C[-8]/R[-1]C[-8])-1)*R[-1]C[0]</f>
        <v/>
      </c>
    </row>
    <row r="462">
      <c r="A462" t="inlineStr">
        <is>
          <t>ATF Fuel 2</t>
        </is>
      </c>
      <c r="B462" t="inlineStr">
        <is>
          <t>O26</t>
        </is>
      </c>
      <c r="C462" t="n">
        <v>26</v>
      </c>
      <c r="D462" t="n">
        <v>15</v>
      </c>
      <c r="E462" t="inlineStr">
        <is>
          <t>Calculation</t>
        </is>
      </c>
      <c r="F462" t="inlineStr">
        <is>
          <t>'=(1+(J26/J25)-1)*O25</t>
        </is>
      </c>
      <c r="G462" t="n">
        <v>124.5120075712765</v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00000000</t>
        </is>
      </c>
      <c r="O462" t="inlineStr">
        <is>
          <t>left</t>
        </is>
      </c>
      <c r="R462" t="b">
        <v>1</v>
      </c>
      <c r="S462" t="inlineStr">
        <is>
          <t>G000162</t>
        </is>
      </c>
      <c r="T462" t="inlineStr">
        <is>
          <t>Vertical</t>
        </is>
      </c>
      <c r="U462" t="n">
        <v>92</v>
      </c>
      <c r="V462" t="b">
        <v>1</v>
      </c>
      <c r="W462" t="inlineStr">
        <is>
          <t>ATF Fuel 2!O3:O94</t>
        </is>
      </c>
      <c r="X462">
        <f>(1+(R[0]C[-5]/R[-1]C[-5])-1)*R[-1]C[0]</f>
        <v/>
      </c>
    </row>
    <row r="463">
      <c r="A463" t="inlineStr">
        <is>
          <t>ATF Fuel 2</t>
        </is>
      </c>
      <c r="B463" t="inlineStr">
        <is>
          <t>P26</t>
        </is>
      </c>
      <c r="C463" t="n">
        <v>26</v>
      </c>
      <c r="D463" t="n">
        <v>16</v>
      </c>
      <c r="E463" t="inlineStr">
        <is>
          <t>Calculation</t>
        </is>
      </c>
      <c r="F463" t="inlineStr">
        <is>
          <t>'=(1+(H26/H25)-1)*P25</t>
        </is>
      </c>
      <c r="G463" t="n">
        <v>166.7925251589907</v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00000000</t>
        </is>
      </c>
      <c r="O463" t="inlineStr">
        <is>
          <t>left</t>
        </is>
      </c>
      <c r="R463" t="b">
        <v>1</v>
      </c>
      <c r="S463" t="inlineStr">
        <is>
          <t>G000161</t>
        </is>
      </c>
      <c r="T463" t="inlineStr">
        <is>
          <t>Vertical</t>
        </is>
      </c>
      <c r="U463" t="n">
        <v>92</v>
      </c>
      <c r="V463" t="b">
        <v>1</v>
      </c>
      <c r="W463" t="inlineStr">
        <is>
          <t>ATF Fuel 2!P3:P94</t>
        </is>
      </c>
      <c r="X463">
        <f>(1+(R[0]C[-8]/R[-1]C[-8])-1)*R[-1]C[0]</f>
        <v/>
      </c>
    </row>
    <row r="464">
      <c r="A464" t="inlineStr">
        <is>
          <t>ATF Fuel 2</t>
        </is>
      </c>
      <c r="B464" t="inlineStr">
        <is>
          <t>Q26</t>
        </is>
      </c>
      <c r="C464" t="n">
        <v>26</v>
      </c>
      <c r="D464" t="n">
        <v>17</v>
      </c>
      <c r="E464" t="inlineStr">
        <is>
          <t>Output</t>
        </is>
      </c>
      <c r="F464" t="inlineStr">
        <is>
          <t>'=M26/N26-1</t>
        </is>
      </c>
      <c r="G464" t="n">
        <v>0.09282893238771961</v>
      </c>
      <c r="H464" t="inlineStr"/>
      <c r="I464" t="inlineStr">
        <is>
          <t>0.0%</t>
        </is>
      </c>
      <c r="J464" t="b">
        <v>0</v>
      </c>
      <c r="K464" t="b">
        <v>0</v>
      </c>
      <c r="L464" t="n">
        <v>11</v>
      </c>
      <c r="M464" t="inlineStr">
        <is>
          <t>Values must be of type &lt;class 'str'&gt;</t>
        </is>
      </c>
      <c r="N464" t="inlineStr">
        <is>
          <t>00000000</t>
        </is>
      </c>
      <c r="O464" t="n">
        <v/>
      </c>
      <c r="R464" t="b">
        <v>1</v>
      </c>
      <c r="S464" t="inlineStr">
        <is>
          <t>G000153</t>
        </is>
      </c>
      <c r="T464" t="inlineStr">
        <is>
          <t>Vertical</t>
        </is>
      </c>
      <c r="U464" t="n">
        <v>93</v>
      </c>
      <c r="V464" t="b">
        <v>1</v>
      </c>
      <c r="W464" t="inlineStr">
        <is>
          <t>ATF Fuel 2!Q2:Q94</t>
        </is>
      </c>
      <c r="X464">
        <f>R[0]C[-4]/R[0]C[-3]-1</f>
        <v/>
      </c>
    </row>
    <row r="465">
      <c r="A465" t="inlineStr">
        <is>
          <t>ATF Fuel 2</t>
        </is>
      </c>
      <c r="B465" t="inlineStr">
        <is>
          <t>A27</t>
        </is>
      </c>
      <c r="C465" t="n">
        <v>27</v>
      </c>
      <c r="D465" t="n">
        <v>1</v>
      </c>
      <c r="E465" t="inlineStr">
        <is>
          <t>Input</t>
        </is>
      </c>
      <c r="F465" t="n">
        <v/>
      </c>
      <c r="G465" t="inlineStr">
        <is>
          <t>May 01, 2012</t>
        </is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11</v>
      </c>
      <c r="M465" t="inlineStr">
        <is>
          <t>Values must be of type &lt;class 'str'&gt;</t>
        </is>
      </c>
      <c r="N465" t="inlineStr">
        <is>
          <t>FFFFFF00</t>
        </is>
      </c>
      <c r="O465" t="n">
        <v/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ATF Fuel 2</t>
        </is>
      </c>
      <c r="B466" t="inlineStr">
        <is>
          <t>B27</t>
        </is>
      </c>
      <c r="C466" t="n">
        <v>27</v>
      </c>
      <c r="D466" t="n">
        <v>2</v>
      </c>
      <c r="E466" t="inlineStr">
        <is>
          <t>Input</t>
        </is>
      </c>
      <c r="F466" t="n">
        <v/>
      </c>
      <c r="G466" t="n">
        <v>71028.2375</v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11</v>
      </c>
      <c r="M466" t="inlineStr">
        <is>
          <t>Values must be of type &lt;class 'str'&gt;</t>
        </is>
      </c>
      <c r="N466" t="inlineStr">
        <is>
          <t>FFFFFF00</t>
        </is>
      </c>
      <c r="O466" t="n">
        <v/>
      </c>
      <c r="R466" t="b">
        <v>1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ATF Fuel 2</t>
        </is>
      </c>
      <c r="B467" t="inlineStr">
        <is>
          <t>C27</t>
        </is>
      </c>
      <c r="C467" t="n">
        <v>27</v>
      </c>
      <c r="D467" t="n">
        <v>3</v>
      </c>
      <c r="E467" t="inlineStr">
        <is>
          <t>Output</t>
        </is>
      </c>
      <c r="F467" t="inlineStr">
        <is>
          <t>'=B27/B26-1</t>
        </is>
      </c>
      <c r="G467" t="n">
        <v>-0.006793974656956747</v>
      </c>
      <c r="H467" t="inlineStr"/>
      <c r="I467" t="inlineStr">
        <is>
          <t>0%</t>
        </is>
      </c>
      <c r="J467" t="b">
        <v>0</v>
      </c>
      <c r="K467" t="b">
        <v>0</v>
      </c>
      <c r="L467" t="n">
        <v>11</v>
      </c>
      <c r="M467" t="n">
        <v/>
      </c>
      <c r="N467" t="inlineStr">
        <is>
          <t>00000000</t>
        </is>
      </c>
      <c r="O467" t="n">
        <v/>
      </c>
      <c r="R467" t="b">
        <v>1</v>
      </c>
      <c r="S467" t="inlineStr">
        <is>
          <t>G000154</t>
        </is>
      </c>
      <c r="T467" t="inlineStr">
        <is>
          <t>Vertical</t>
        </is>
      </c>
      <c r="U467" t="n">
        <v>92</v>
      </c>
      <c r="V467" t="b">
        <v>1</v>
      </c>
      <c r="W467" t="inlineStr">
        <is>
          <t>ATF Fuel 2!C3:C94</t>
        </is>
      </c>
      <c r="X467">
        <f>R[0]C[-1]/R[-1]C[-1]-1</f>
        <v/>
      </c>
    </row>
    <row r="468">
      <c r="A468" t="inlineStr">
        <is>
          <t>ATF Fuel 2</t>
        </is>
      </c>
      <c r="B468" t="inlineStr">
        <is>
          <t>D27</t>
        </is>
      </c>
      <c r="C468" t="n">
        <v>27</v>
      </c>
      <c r="D468" t="n">
        <v>4</v>
      </c>
      <c r="E468" t="inlineStr">
        <is>
          <t>Input</t>
        </is>
      </c>
      <c r="F468" t="n">
        <v/>
      </c>
      <c r="G468" t="n">
        <v>52.65</v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00000000</t>
        </is>
      </c>
      <c r="O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ATF Fuel 2</t>
        </is>
      </c>
      <c r="B469" t="inlineStr">
        <is>
          <t>E27</t>
        </is>
      </c>
      <c r="C469" t="n">
        <v>27</v>
      </c>
      <c r="D469" t="n">
        <v>5</v>
      </c>
      <c r="E469" t="inlineStr">
        <is>
          <t>Output</t>
        </is>
      </c>
      <c r="F469" t="inlineStr">
        <is>
          <t>'=B27/B26-1</t>
        </is>
      </c>
      <c r="G469" t="n">
        <v>-0.006793974656956747</v>
      </c>
      <c r="H469" t="inlineStr"/>
      <c r="I469" t="inlineStr">
        <is>
          <t>0%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00000000</t>
        </is>
      </c>
      <c r="O469" t="n">
        <v/>
      </c>
      <c r="R469" t="b">
        <v>1</v>
      </c>
      <c r="S469" t="inlineStr">
        <is>
          <t>G000158</t>
        </is>
      </c>
      <c r="T469" t="inlineStr">
        <is>
          <t>Vertical</t>
        </is>
      </c>
      <c r="U469" t="n">
        <v>92</v>
      </c>
      <c r="V469" t="b">
        <v>1</v>
      </c>
      <c r="W469" t="inlineStr">
        <is>
          <t>ATF Fuel 2!E3:E94</t>
        </is>
      </c>
      <c r="X469">
        <f>R[0]C[-3]/R[-1]C[-3]-1</f>
        <v/>
      </c>
    </row>
    <row r="470">
      <c r="A470" t="inlineStr">
        <is>
          <t>ATF Fuel 2</t>
        </is>
      </c>
      <c r="B470" t="inlineStr">
        <is>
          <t>F27</t>
        </is>
      </c>
      <c r="C470" t="n">
        <v>27</v>
      </c>
      <c r="D470" t="n">
        <v>6</v>
      </c>
      <c r="E470" t="inlineStr">
        <is>
          <t>Input</t>
        </is>
      </c>
      <c r="F470" t="n">
        <v/>
      </c>
      <c r="G470" t="n">
        <v>111.89</v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11</v>
      </c>
      <c r="M470" t="inlineStr">
        <is>
          <t>Values must be of type &lt;class 'str'&gt;</t>
        </is>
      </c>
      <c r="N470" t="inlineStr">
        <is>
          <t>FFFFFF00</t>
        </is>
      </c>
      <c r="O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ATF Fuel 2</t>
        </is>
      </c>
      <c r="B471" t="inlineStr">
        <is>
          <t>G27</t>
        </is>
      </c>
      <c r="C471" t="n">
        <v>27</v>
      </c>
      <c r="D471" t="n">
        <v>7</v>
      </c>
      <c r="E471" t="inlineStr">
        <is>
          <t>Output</t>
        </is>
      </c>
      <c r="F471" t="inlineStr">
        <is>
          <t>'=F27/F26-1</t>
        </is>
      </c>
      <c r="G471" t="n">
        <v>-0.08204118467470667</v>
      </c>
      <c r="H471" t="inlineStr"/>
      <c r="I471" t="inlineStr">
        <is>
          <t>0%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R471" t="b">
        <v>1</v>
      </c>
      <c r="S471" t="inlineStr">
        <is>
          <t>G000155</t>
        </is>
      </c>
      <c r="T471" t="inlineStr">
        <is>
          <t>Vertical</t>
        </is>
      </c>
      <c r="U471" t="n">
        <v>93</v>
      </c>
      <c r="V471" t="b">
        <v>1</v>
      </c>
      <c r="W471" t="inlineStr">
        <is>
          <t>ATF Fuel 2!G3:G95</t>
        </is>
      </c>
      <c r="X471">
        <f>R[0]C[-1]/R[-1]C[-1]-1</f>
        <v/>
      </c>
    </row>
    <row r="472">
      <c r="A472" t="inlineStr">
        <is>
          <t>ATF Fuel 2</t>
        </is>
      </c>
      <c r="B472" t="inlineStr">
        <is>
          <t>H27</t>
        </is>
      </c>
      <c r="C472" t="n">
        <v>27</v>
      </c>
      <c r="D472" t="n">
        <v>8</v>
      </c>
      <c r="E472" t="inlineStr">
        <is>
          <t>Calculation</t>
        </is>
      </c>
      <c r="F472" t="inlineStr">
        <is>
          <t>'=D27*F27</t>
        </is>
      </c>
      <c r="G472" t="n">
        <v>5891.0085</v>
      </c>
      <c r="H472" t="inlineStr"/>
      <c r="I472" t="inlineStr">
        <is>
          <t>0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n">
        <v/>
      </c>
      <c r="R472" t="b">
        <v>1</v>
      </c>
      <c r="S472" t="inlineStr">
        <is>
          <t>G000152</t>
        </is>
      </c>
      <c r="T472" t="inlineStr">
        <is>
          <t>Vertical</t>
        </is>
      </c>
      <c r="U472" t="n">
        <v>98</v>
      </c>
      <c r="V472" t="b">
        <v>1</v>
      </c>
      <c r="W472" t="inlineStr">
        <is>
          <t>ATF Fuel 2!H2:H99</t>
        </is>
      </c>
      <c r="X472">
        <f>R[0]C[-4]*R[0]C[-2]</f>
        <v/>
      </c>
    </row>
    <row r="473">
      <c r="A473" t="inlineStr">
        <is>
          <t>ATF Fuel 2</t>
        </is>
      </c>
      <c r="B473" t="inlineStr">
        <is>
          <t>I27</t>
        </is>
      </c>
      <c r="C473" t="n">
        <v>27</v>
      </c>
      <c r="D473" t="n">
        <v>9</v>
      </c>
      <c r="E473" t="inlineStr">
        <is>
          <t>Output</t>
        </is>
      </c>
      <c r="F473" t="inlineStr">
        <is>
          <t>'=H27/H26-1</t>
        </is>
      </c>
      <c r="G473" t="n">
        <v>-0.04503988091529953</v>
      </c>
      <c r="H473" t="inlineStr"/>
      <c r="I473" t="inlineStr">
        <is>
          <t>0%</t>
        </is>
      </c>
      <c r="J473" t="b">
        <v>0</v>
      </c>
      <c r="K473" t="b">
        <v>0</v>
      </c>
      <c r="L473" t="n">
        <v>11</v>
      </c>
      <c r="M473" t="inlineStr">
        <is>
          <t>FFFF0000</t>
        </is>
      </c>
      <c r="N473" t="inlineStr">
        <is>
          <t>00000000</t>
        </is>
      </c>
      <c r="O473" t="n">
        <v/>
      </c>
      <c r="R473" t="b">
        <v>1</v>
      </c>
      <c r="S473" t="inlineStr">
        <is>
          <t>G000156</t>
        </is>
      </c>
      <c r="T473" t="inlineStr">
        <is>
          <t>Vertical</t>
        </is>
      </c>
      <c r="U473" t="n">
        <v>97</v>
      </c>
      <c r="V473" t="b">
        <v>1</v>
      </c>
      <c r="W473" t="inlineStr">
        <is>
          <t>ATF Fuel 2!I3:I99</t>
        </is>
      </c>
      <c r="X473">
        <f>R[0]C[-1]/R[-1]C[-1]-1</f>
        <v/>
      </c>
    </row>
    <row r="474">
      <c r="A474" t="inlineStr">
        <is>
          <t>ATF Fuel 2</t>
        </is>
      </c>
      <c r="B474" t="inlineStr">
        <is>
          <t>J27</t>
        </is>
      </c>
      <c r="C474" t="n">
        <v>27</v>
      </c>
      <c r="D474" t="n">
        <v>10</v>
      </c>
      <c r="E474" t="inlineStr">
        <is>
          <t>Input</t>
        </is>
      </c>
      <c r="F474" t="n">
        <v/>
      </c>
      <c r="G474" t="n">
        <v>106.17</v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Values must be of type &lt;class 'str'&gt;</t>
        </is>
      </c>
      <c r="N474" t="inlineStr">
        <is>
          <t>FFFFFF00</t>
        </is>
      </c>
      <c r="O474" t="n">
        <v/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</row>
    <row r="475">
      <c r="A475" t="inlineStr">
        <is>
          <t>ATF Fuel 2</t>
        </is>
      </c>
      <c r="B475" t="inlineStr">
        <is>
          <t>K27</t>
        </is>
      </c>
      <c r="C475" t="n">
        <v>27</v>
      </c>
      <c r="D475" t="n">
        <v>11</v>
      </c>
      <c r="E475" t="inlineStr">
        <is>
          <t>Output</t>
        </is>
      </c>
      <c r="F475" t="inlineStr">
        <is>
          <t>'=J27/J26-1</t>
        </is>
      </c>
      <c r="G475" t="n">
        <v>0.008741092636579628</v>
      </c>
      <c r="H475" t="inlineStr"/>
      <c r="I475" t="inlineStr">
        <is>
          <t>0%</t>
        </is>
      </c>
      <c r="J475" t="b">
        <v>0</v>
      </c>
      <c r="K475" t="b">
        <v>0</v>
      </c>
      <c r="L475" t="n">
        <v>11</v>
      </c>
      <c r="M475" t="inlineStr">
        <is>
          <t>Values must be of type &lt;class 'str'&gt;</t>
        </is>
      </c>
      <c r="N475" t="inlineStr">
        <is>
          <t>00000000</t>
        </is>
      </c>
      <c r="O475" t="n">
        <v/>
      </c>
      <c r="R475" t="b">
        <v>1</v>
      </c>
      <c r="S475" t="inlineStr">
        <is>
          <t>G000157</t>
        </is>
      </c>
      <c r="T475" t="inlineStr">
        <is>
          <t>Vertical</t>
        </is>
      </c>
      <c r="U475" t="n">
        <v>93</v>
      </c>
      <c r="V475" t="b">
        <v>1</v>
      </c>
      <c r="W475" t="inlineStr">
        <is>
          <t>ATF Fuel 2!K3:K95</t>
        </is>
      </c>
      <c r="X475">
        <f>R[0]C[-1]/R[-1]C[-1]-1</f>
        <v/>
      </c>
    </row>
    <row r="476">
      <c r="A476" t="inlineStr">
        <is>
          <t>ATF Fuel 2</t>
        </is>
      </c>
      <c r="B476" t="inlineStr">
        <is>
          <t>L27</t>
        </is>
      </c>
      <c r="C476" t="n">
        <v>27</v>
      </c>
      <c r="D476" t="n">
        <v>12</v>
      </c>
      <c r="E476" t="inlineStr">
        <is>
          <t>Input</t>
        </is>
      </c>
      <c r="F476" t="n">
        <v/>
      </c>
      <c r="G476" t="inlineStr">
        <is>
          <t>May 01, 2012</t>
        </is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FFFFFF00</t>
        </is>
      </c>
      <c r="O476" t="inlineStr">
        <is>
          <t>left</t>
        </is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ATF Fuel 2</t>
        </is>
      </c>
      <c r="B477" t="inlineStr">
        <is>
          <t>M27</t>
        </is>
      </c>
      <c r="C477" t="n">
        <v>27</v>
      </c>
      <c r="D477" t="n">
        <v>13</v>
      </c>
      <c r="E477" t="inlineStr">
        <is>
          <t>Calculation</t>
        </is>
      </c>
      <c r="F477" t="inlineStr">
        <is>
          <t>'=(1+(B27/B26)-1)*M26</t>
        </is>
      </c>
      <c r="G477" t="n">
        <v>160.1112522422864</v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FFFFFF00</t>
        </is>
      </c>
      <c r="O477" t="inlineStr">
        <is>
          <t>left</t>
        </is>
      </c>
      <c r="R477" t="b">
        <v>1</v>
      </c>
      <c r="S477" t="inlineStr">
        <is>
          <t>G000159</t>
        </is>
      </c>
      <c r="T477" t="inlineStr">
        <is>
          <t>Vertical</t>
        </is>
      </c>
      <c r="U477" t="n">
        <v>92</v>
      </c>
      <c r="V477" t="b">
        <v>1</v>
      </c>
      <c r="W477" t="inlineStr">
        <is>
          <t>ATF Fuel 2!M3:M94</t>
        </is>
      </c>
      <c r="X477">
        <f>(1+(R[0]C[-11]/R[-1]C[-11])-1)*R[-1]C[0]</f>
        <v/>
      </c>
    </row>
    <row r="478">
      <c r="A478" t="inlineStr">
        <is>
          <t>ATF Fuel 2</t>
        </is>
      </c>
      <c r="B478" t="inlineStr">
        <is>
          <t>N27</t>
        </is>
      </c>
      <c r="C478" t="n">
        <v>27</v>
      </c>
      <c r="D478" t="n">
        <v>14</v>
      </c>
      <c r="E478" t="inlineStr">
        <is>
          <t>Calculation</t>
        </is>
      </c>
      <c r="F478" t="inlineStr">
        <is>
          <t>'=(1+(F27/F26)-1)*N26</t>
        </is>
      </c>
      <c r="G478" t="n">
        <v>135.4108677235872</v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FFFFFF00</t>
        </is>
      </c>
      <c r="O478" t="inlineStr">
        <is>
          <t>left</t>
        </is>
      </c>
      <c r="R478" t="b">
        <v>1</v>
      </c>
      <c r="S478" t="inlineStr">
        <is>
          <t>G000160</t>
        </is>
      </c>
      <c r="T478" t="inlineStr">
        <is>
          <t>Vertical</t>
        </is>
      </c>
      <c r="U478" t="n">
        <v>92</v>
      </c>
      <c r="V478" t="b">
        <v>1</v>
      </c>
      <c r="W478" t="inlineStr">
        <is>
          <t>ATF Fuel 2!N3:N94</t>
        </is>
      </c>
      <c r="X478">
        <f>(1+(R[0]C[-8]/R[-1]C[-8])-1)*R[-1]C[0]</f>
        <v/>
      </c>
    </row>
    <row r="479">
      <c r="A479" t="inlineStr">
        <is>
          <t>ATF Fuel 2</t>
        </is>
      </c>
      <c r="B479" t="inlineStr">
        <is>
          <t>O27</t>
        </is>
      </c>
      <c r="C479" t="n">
        <v>27</v>
      </c>
      <c r="D479" t="n">
        <v>15</v>
      </c>
      <c r="E479" t="inlineStr">
        <is>
          <t>Calculation</t>
        </is>
      </c>
      <c r="F479" t="inlineStr">
        <is>
          <t>'=(1+(J27/J26)-1)*O26</t>
        </is>
      </c>
      <c r="G479" t="n">
        <v>125.6003785638236</v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FFFFFF00</t>
        </is>
      </c>
      <c r="O479" t="inlineStr">
        <is>
          <t>left</t>
        </is>
      </c>
      <c r="R479" t="b">
        <v>1</v>
      </c>
      <c r="S479" t="inlineStr">
        <is>
          <t>G000162</t>
        </is>
      </c>
      <c r="T479" t="inlineStr">
        <is>
          <t>Vertical</t>
        </is>
      </c>
      <c r="U479" t="n">
        <v>92</v>
      </c>
      <c r="V479" t="b">
        <v>1</v>
      </c>
      <c r="W479" t="inlineStr">
        <is>
          <t>ATF Fuel 2!O3:O94</t>
        </is>
      </c>
      <c r="X479">
        <f>(1+(R[0]C[-5]/R[-1]C[-5])-1)*R[-1]C[0]</f>
        <v/>
      </c>
    </row>
    <row r="480">
      <c r="A480" t="inlineStr">
        <is>
          <t>ATF Fuel 2</t>
        </is>
      </c>
      <c r="B480" t="inlineStr">
        <is>
          <t>P27</t>
        </is>
      </c>
      <c r="C480" t="n">
        <v>27</v>
      </c>
      <c r="D480" t="n">
        <v>16</v>
      </c>
      <c r="E480" t="inlineStr">
        <is>
          <t>Calculation</t>
        </is>
      </c>
      <c r="F480" t="inlineStr">
        <is>
          <t>'=(1+(H27/H26)-1)*P26</t>
        </is>
      </c>
      <c r="G480" t="n">
        <v>159.2802096882677</v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inlineStr">
        <is>
          <t>left</t>
        </is>
      </c>
      <c r="R480" t="b">
        <v>1</v>
      </c>
      <c r="S480" t="inlineStr">
        <is>
          <t>G000161</t>
        </is>
      </c>
      <c r="T480" t="inlineStr">
        <is>
          <t>Vertical</t>
        </is>
      </c>
      <c r="U480" t="n">
        <v>92</v>
      </c>
      <c r="V480" t="b">
        <v>1</v>
      </c>
      <c r="W480" t="inlineStr">
        <is>
          <t>ATF Fuel 2!P3:P94</t>
        </is>
      </c>
      <c r="X480">
        <f>(1+(R[0]C[-8]/R[-1]C[-8])-1)*R[-1]C[0]</f>
        <v/>
      </c>
    </row>
    <row r="481">
      <c r="A481" t="inlineStr">
        <is>
          <t>ATF Fuel 2</t>
        </is>
      </c>
      <c r="B481" t="inlineStr">
        <is>
          <t>Q27</t>
        </is>
      </c>
      <c r="C481" t="n">
        <v>27</v>
      </c>
      <c r="D481" t="n">
        <v>17</v>
      </c>
      <c r="E481" t="inlineStr">
        <is>
          <t>Output</t>
        </is>
      </c>
      <c r="F481" t="inlineStr">
        <is>
          <t>'=M27/N27-1</t>
        </is>
      </c>
      <c r="G481" t="n">
        <v>0.1824106508874888</v>
      </c>
      <c r="H481" t="inlineStr"/>
      <c r="I481" t="inlineStr">
        <is>
          <t>0.0%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FFFFFF00</t>
        </is>
      </c>
      <c r="O481" t="n">
        <v/>
      </c>
      <c r="R481" t="b">
        <v>1</v>
      </c>
      <c r="S481" t="inlineStr">
        <is>
          <t>G000153</t>
        </is>
      </c>
      <c r="T481" t="inlineStr">
        <is>
          <t>Vertical</t>
        </is>
      </c>
      <c r="U481" t="n">
        <v>93</v>
      </c>
      <c r="V481" t="b">
        <v>1</v>
      </c>
      <c r="W481" t="inlineStr">
        <is>
          <t>ATF Fuel 2!Q2:Q94</t>
        </is>
      </c>
      <c r="X481">
        <f>R[0]C[-4]/R[0]C[-3]-1</f>
        <v/>
      </c>
    </row>
    <row r="482">
      <c r="A482" t="inlineStr">
        <is>
          <t>ATF Fuel 2</t>
        </is>
      </c>
      <c r="B482" t="inlineStr">
        <is>
          <t>A28</t>
        </is>
      </c>
      <c r="C482" t="n">
        <v>28</v>
      </c>
      <c r="D482" t="n">
        <v>1</v>
      </c>
      <c r="E482" t="inlineStr">
        <is>
          <t>Input</t>
        </is>
      </c>
      <c r="F482" t="n">
        <v/>
      </c>
      <c r="G482" t="inlineStr">
        <is>
          <t>June 01, 2012</t>
        </is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</row>
    <row r="483">
      <c r="A483" t="inlineStr">
        <is>
          <t>ATF Fuel 2</t>
        </is>
      </c>
      <c r="B483" t="inlineStr">
        <is>
          <t>B28</t>
        </is>
      </c>
      <c r="C483" t="n">
        <v>28</v>
      </c>
      <c r="D483" t="n">
        <v>2</v>
      </c>
      <c r="E483" t="inlineStr">
        <is>
          <t>Input</t>
        </is>
      </c>
      <c r="F483" t="n">
        <v/>
      </c>
      <c r="G483" t="n">
        <v>69315.495</v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n">
        <v/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</row>
    <row r="484">
      <c r="A484" t="inlineStr">
        <is>
          <t>ATF Fuel 2</t>
        </is>
      </c>
      <c r="B484" t="inlineStr">
        <is>
          <t>C28</t>
        </is>
      </c>
      <c r="C484" t="n">
        <v>28</v>
      </c>
      <c r="D484" t="n">
        <v>3</v>
      </c>
      <c r="E484" t="inlineStr">
        <is>
          <t>Output</t>
        </is>
      </c>
      <c r="F484" t="inlineStr">
        <is>
          <t>'=B28/B27-1</t>
        </is>
      </c>
      <c r="G484" t="n">
        <v>-0.02411354357483542</v>
      </c>
      <c r="H484" t="inlineStr"/>
      <c r="I484" t="inlineStr">
        <is>
          <t>0%</t>
        </is>
      </c>
      <c r="J484" t="b">
        <v>0</v>
      </c>
      <c r="K484" t="b">
        <v>0</v>
      </c>
      <c r="L484" t="n">
        <v>11</v>
      </c>
      <c r="M484" t="n">
        <v/>
      </c>
      <c r="N484" t="inlineStr">
        <is>
          <t>00000000</t>
        </is>
      </c>
      <c r="O484" t="n">
        <v/>
      </c>
      <c r="R484" t="b">
        <v>1</v>
      </c>
      <c r="S484" t="inlineStr">
        <is>
          <t>G000154</t>
        </is>
      </c>
      <c r="T484" t="inlineStr">
        <is>
          <t>Vertical</t>
        </is>
      </c>
      <c r="U484" t="n">
        <v>92</v>
      </c>
      <c r="V484" t="b">
        <v>1</v>
      </c>
      <c r="W484" t="inlineStr">
        <is>
          <t>ATF Fuel 2!C3:C94</t>
        </is>
      </c>
      <c r="X484">
        <f>R[0]C[-1]/R[-1]C[-1]-1</f>
        <v/>
      </c>
    </row>
    <row r="485">
      <c r="A485" t="inlineStr">
        <is>
          <t>ATF Fuel 2</t>
        </is>
      </c>
      <c r="B485" t="inlineStr">
        <is>
          <t>D28</t>
        </is>
      </c>
      <c r="C485" t="n">
        <v>28</v>
      </c>
      <c r="D485" t="n">
        <v>4</v>
      </c>
      <c r="E485" t="inlineStr">
        <is>
          <t>Input</t>
        </is>
      </c>
      <c r="F485" t="n">
        <v/>
      </c>
      <c r="G485" t="n">
        <v>56.24</v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00000000</t>
        </is>
      </c>
      <c r="O485" t="n">
        <v/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ATF Fuel 2</t>
        </is>
      </c>
      <c r="B486" t="inlineStr">
        <is>
          <t>E28</t>
        </is>
      </c>
      <c r="C486" t="n">
        <v>28</v>
      </c>
      <c r="D486" t="n">
        <v>5</v>
      </c>
      <c r="E486" t="inlineStr">
        <is>
          <t>Output</t>
        </is>
      </c>
      <c r="F486" t="inlineStr">
        <is>
          <t>'=B28/B27-1</t>
        </is>
      </c>
      <c r="G486" t="n">
        <v>-0.02411354357483542</v>
      </c>
      <c r="H486" t="inlineStr"/>
      <c r="I486" t="inlineStr">
        <is>
          <t>0%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00000000</t>
        </is>
      </c>
      <c r="O486" t="n">
        <v/>
      </c>
      <c r="R486" t="b">
        <v>1</v>
      </c>
      <c r="S486" t="inlineStr">
        <is>
          <t>G000158</t>
        </is>
      </c>
      <c r="T486" t="inlineStr">
        <is>
          <t>Vertical</t>
        </is>
      </c>
      <c r="U486" t="n">
        <v>92</v>
      </c>
      <c r="V486" t="b">
        <v>1</v>
      </c>
      <c r="W486" t="inlineStr">
        <is>
          <t>ATF Fuel 2!E3:E94</t>
        </is>
      </c>
      <c r="X486">
        <f>R[0]C[-3]/R[-1]C[-3]-1</f>
        <v/>
      </c>
    </row>
    <row r="487">
      <c r="A487" t="inlineStr">
        <is>
          <t>ATF Fuel 2</t>
        </is>
      </c>
      <c r="B487" t="inlineStr">
        <is>
          <t>F28</t>
        </is>
      </c>
      <c r="C487" t="n">
        <v>28</v>
      </c>
      <c r="D487" t="n">
        <v>6</v>
      </c>
      <c r="E487" t="inlineStr">
        <is>
          <t>Input</t>
        </is>
      </c>
      <c r="F487" t="n">
        <v/>
      </c>
      <c r="G487" t="n">
        <v>98.59999999999999</v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00000000</t>
        </is>
      </c>
      <c r="O487" t="n">
        <v/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ATF Fuel 2</t>
        </is>
      </c>
      <c r="B488" t="inlineStr">
        <is>
          <t>G28</t>
        </is>
      </c>
      <c r="C488" t="n">
        <v>28</v>
      </c>
      <c r="D488" t="n">
        <v>7</v>
      </c>
      <c r="E488" t="inlineStr">
        <is>
          <t>Output</t>
        </is>
      </c>
      <c r="F488" t="inlineStr">
        <is>
          <t>'=F28/F27-1</t>
        </is>
      </c>
      <c r="G488" t="n">
        <v>-0.1187773706318707</v>
      </c>
      <c r="H488" t="inlineStr"/>
      <c r="I488" t="inlineStr">
        <is>
          <t>0%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00000000</t>
        </is>
      </c>
      <c r="O488" t="n">
        <v/>
      </c>
      <c r="R488" t="b">
        <v>1</v>
      </c>
      <c r="S488" t="inlineStr">
        <is>
          <t>G000155</t>
        </is>
      </c>
      <c r="T488" t="inlineStr">
        <is>
          <t>Vertical</t>
        </is>
      </c>
      <c r="U488" t="n">
        <v>93</v>
      </c>
      <c r="V488" t="b">
        <v>1</v>
      </c>
      <c r="W488" t="inlineStr">
        <is>
          <t>ATF Fuel 2!G3:G95</t>
        </is>
      </c>
      <c r="X488">
        <f>R[0]C[-1]/R[-1]C[-1]-1</f>
        <v/>
      </c>
    </row>
    <row r="489">
      <c r="A489" t="inlineStr">
        <is>
          <t>ATF Fuel 2</t>
        </is>
      </c>
      <c r="B489" t="inlineStr">
        <is>
          <t>H28</t>
        </is>
      </c>
      <c r="C489" t="n">
        <v>28</v>
      </c>
      <c r="D489" t="n">
        <v>8</v>
      </c>
      <c r="E489" t="inlineStr">
        <is>
          <t>Calculation</t>
        </is>
      </c>
      <c r="F489" t="inlineStr">
        <is>
          <t>'=D28*F28</t>
        </is>
      </c>
      <c r="G489" t="n">
        <v>5545.264</v>
      </c>
      <c r="H489" t="inlineStr"/>
      <c r="I489" t="inlineStr">
        <is>
          <t>0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00000000</t>
        </is>
      </c>
      <c r="O489" t="n">
        <v/>
      </c>
      <c r="R489" t="b">
        <v>1</v>
      </c>
      <c r="S489" t="inlineStr">
        <is>
          <t>G000152</t>
        </is>
      </c>
      <c r="T489" t="inlineStr">
        <is>
          <t>Vertical</t>
        </is>
      </c>
      <c r="U489" t="n">
        <v>98</v>
      </c>
      <c r="V489" t="b">
        <v>1</v>
      </c>
      <c r="W489" t="inlineStr">
        <is>
          <t>ATF Fuel 2!H2:H99</t>
        </is>
      </c>
      <c r="X489">
        <f>R[0]C[-4]*R[0]C[-2]</f>
        <v/>
      </c>
    </row>
    <row r="490">
      <c r="A490" t="inlineStr">
        <is>
          <t>ATF Fuel 2</t>
        </is>
      </c>
      <c r="B490" t="inlineStr">
        <is>
          <t>I28</t>
        </is>
      </c>
      <c r="C490" t="n">
        <v>28</v>
      </c>
      <c r="D490" t="n">
        <v>9</v>
      </c>
      <c r="E490" t="inlineStr">
        <is>
          <t>Output</t>
        </is>
      </c>
      <c r="F490" t="inlineStr">
        <is>
          <t>'=H28/H27-1</t>
        </is>
      </c>
      <c r="G490" t="n">
        <v>-0.05869020559043492</v>
      </c>
      <c r="H490" t="inlineStr"/>
      <c r="I490" t="inlineStr">
        <is>
          <t>0%</t>
        </is>
      </c>
      <c r="J490" t="b">
        <v>0</v>
      </c>
      <c r="K490" t="b">
        <v>0</v>
      </c>
      <c r="L490" t="n">
        <v>11</v>
      </c>
      <c r="M490" t="inlineStr">
        <is>
          <t>FFFF0000</t>
        </is>
      </c>
      <c r="N490" t="inlineStr">
        <is>
          <t>00000000</t>
        </is>
      </c>
      <c r="O490" t="n">
        <v/>
      </c>
      <c r="R490" t="b">
        <v>1</v>
      </c>
      <c r="S490" t="inlineStr">
        <is>
          <t>G000156</t>
        </is>
      </c>
      <c r="T490" t="inlineStr">
        <is>
          <t>Vertical</t>
        </is>
      </c>
      <c r="U490" t="n">
        <v>97</v>
      </c>
      <c r="V490" t="b">
        <v>1</v>
      </c>
      <c r="W490" t="inlineStr">
        <is>
          <t>ATF Fuel 2!I3:I99</t>
        </is>
      </c>
      <c r="X490">
        <f>R[0]C[-1]/R[-1]C[-1]-1</f>
        <v/>
      </c>
    </row>
    <row r="491">
      <c r="A491" t="inlineStr">
        <is>
          <t>ATF Fuel 2</t>
        </is>
      </c>
      <c r="B491" t="inlineStr">
        <is>
          <t>J28</t>
        </is>
      </c>
      <c r="C491" t="n">
        <v>28</v>
      </c>
      <c r="D491" t="n">
        <v>10</v>
      </c>
      <c r="E491" t="inlineStr">
        <is>
          <t>Input</t>
        </is>
      </c>
      <c r="F491" t="n">
        <v/>
      </c>
      <c r="G491" t="n">
        <v>83.17</v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00000000</t>
        </is>
      </c>
      <c r="O491" t="n">
        <v/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</row>
    <row r="492">
      <c r="A492" t="inlineStr">
        <is>
          <t>ATF Fuel 2</t>
        </is>
      </c>
      <c r="B492" t="inlineStr">
        <is>
          <t>K28</t>
        </is>
      </c>
      <c r="C492" t="n">
        <v>28</v>
      </c>
      <c r="D492" t="n">
        <v>11</v>
      </c>
      <c r="E492" t="inlineStr">
        <is>
          <t>Output</t>
        </is>
      </c>
      <c r="F492" t="inlineStr">
        <is>
          <t>'=J28/J27-1</t>
        </is>
      </c>
      <c r="G492" t="n">
        <v>-0.2166337006687388</v>
      </c>
      <c r="H492" t="inlineStr"/>
      <c r="I492" t="inlineStr">
        <is>
          <t>0%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00000000</t>
        </is>
      </c>
      <c r="O492" t="n">
        <v/>
      </c>
      <c r="R492" t="b">
        <v>1</v>
      </c>
      <c r="S492" t="inlineStr">
        <is>
          <t>G000157</t>
        </is>
      </c>
      <c r="T492" t="inlineStr">
        <is>
          <t>Vertical</t>
        </is>
      </c>
      <c r="U492" t="n">
        <v>93</v>
      </c>
      <c r="V492" t="b">
        <v>1</v>
      </c>
      <c r="W492" t="inlineStr">
        <is>
          <t>ATF Fuel 2!K3:K95</t>
        </is>
      </c>
      <c r="X492">
        <f>R[0]C[-1]/R[-1]C[-1]-1</f>
        <v/>
      </c>
    </row>
    <row r="493">
      <c r="A493" t="inlineStr">
        <is>
          <t>ATF Fuel 2</t>
        </is>
      </c>
      <c r="B493" t="inlineStr">
        <is>
          <t>L28</t>
        </is>
      </c>
      <c r="C493" t="n">
        <v>28</v>
      </c>
      <c r="D493" t="n">
        <v>12</v>
      </c>
      <c r="E493" t="inlineStr">
        <is>
          <t>Input</t>
        </is>
      </c>
      <c r="F493" t="n">
        <v/>
      </c>
      <c r="G493" t="inlineStr">
        <is>
          <t>June 01, 2012</t>
        </is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00000000</t>
        </is>
      </c>
      <c r="O493" t="inlineStr">
        <is>
          <t>left</t>
        </is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</row>
    <row r="494">
      <c r="A494" t="inlineStr">
        <is>
          <t>ATF Fuel 2</t>
        </is>
      </c>
      <c r="B494" t="inlineStr">
        <is>
          <t>M28</t>
        </is>
      </c>
      <c r="C494" t="n">
        <v>28</v>
      </c>
      <c r="D494" t="n">
        <v>13</v>
      </c>
      <c r="E494" t="inlineStr">
        <is>
          <t>Calculation</t>
        </is>
      </c>
      <c r="F494" t="inlineStr">
        <is>
          <t>'=(1+(B28/B27)-1)*M27</t>
        </is>
      </c>
      <c r="G494" t="n">
        <v>156.2504025845205</v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00000000</t>
        </is>
      </c>
      <c r="O494" t="inlineStr">
        <is>
          <t>left</t>
        </is>
      </c>
      <c r="R494" t="b">
        <v>1</v>
      </c>
      <c r="S494" t="inlineStr">
        <is>
          <t>G000159</t>
        </is>
      </c>
      <c r="T494" t="inlineStr">
        <is>
          <t>Vertical</t>
        </is>
      </c>
      <c r="U494" t="n">
        <v>92</v>
      </c>
      <c r="V494" t="b">
        <v>1</v>
      </c>
      <c r="W494" t="inlineStr">
        <is>
          <t>ATF Fuel 2!M3:M94</t>
        </is>
      </c>
      <c r="X494">
        <f>(1+(R[0]C[-11]/R[-1]C[-11])-1)*R[-1]C[0]</f>
        <v/>
      </c>
    </row>
    <row r="495">
      <c r="A495" t="inlineStr">
        <is>
          <t>ATF Fuel 2</t>
        </is>
      </c>
      <c r="B495" t="inlineStr">
        <is>
          <t>N28</t>
        </is>
      </c>
      <c r="C495" t="n">
        <v>28</v>
      </c>
      <c r="D495" t="n">
        <v>14</v>
      </c>
      <c r="E495" t="inlineStr">
        <is>
          <t>Calculation</t>
        </is>
      </c>
      <c r="F495" t="inlineStr">
        <is>
          <t>'=(1+(F28/F27)-1)*N27</t>
        </is>
      </c>
      <c r="G495" t="n">
        <v>119.3271209003995</v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00000000</t>
        </is>
      </c>
      <c r="O495" t="inlineStr">
        <is>
          <t>left</t>
        </is>
      </c>
      <c r="R495" t="b">
        <v>1</v>
      </c>
      <c r="S495" t="inlineStr">
        <is>
          <t>G000160</t>
        </is>
      </c>
      <c r="T495" t="inlineStr">
        <is>
          <t>Vertical</t>
        </is>
      </c>
      <c r="U495" t="n">
        <v>92</v>
      </c>
      <c r="V495" t="b">
        <v>1</v>
      </c>
      <c r="W495" t="inlineStr">
        <is>
          <t>ATF Fuel 2!N3:N94</t>
        </is>
      </c>
      <c r="X495">
        <f>(1+(R[0]C[-8]/R[-1]C[-8])-1)*R[-1]C[0]</f>
        <v/>
      </c>
    </row>
    <row r="496">
      <c r="A496" t="inlineStr">
        <is>
          <t>ATF Fuel 2</t>
        </is>
      </c>
      <c r="B496" t="inlineStr">
        <is>
          <t>O28</t>
        </is>
      </c>
      <c r="C496" t="n">
        <v>28</v>
      </c>
      <c r="D496" t="n">
        <v>15</v>
      </c>
      <c r="E496" t="inlineStr">
        <is>
          <t>Calculation</t>
        </is>
      </c>
      <c r="F496" t="inlineStr">
        <is>
          <t>'=(1+(J28/J27)-1)*O27</t>
        </is>
      </c>
      <c r="G496" t="n">
        <v>98.39110375014792</v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00000000</t>
        </is>
      </c>
      <c r="O496" t="inlineStr">
        <is>
          <t>left</t>
        </is>
      </c>
      <c r="R496" t="b">
        <v>1</v>
      </c>
      <c r="S496" t="inlineStr">
        <is>
          <t>G000162</t>
        </is>
      </c>
      <c r="T496" t="inlineStr">
        <is>
          <t>Vertical</t>
        </is>
      </c>
      <c r="U496" t="n">
        <v>92</v>
      </c>
      <c r="V496" t="b">
        <v>1</v>
      </c>
      <c r="W496" t="inlineStr">
        <is>
          <t>ATF Fuel 2!O3:O94</t>
        </is>
      </c>
      <c r="X496">
        <f>(1+(R[0]C[-5]/R[-1]C[-5])-1)*R[-1]C[0]</f>
        <v/>
      </c>
    </row>
    <row r="497">
      <c r="A497" t="inlineStr">
        <is>
          <t>ATF Fuel 2</t>
        </is>
      </c>
      <c r="B497" t="inlineStr">
        <is>
          <t>P28</t>
        </is>
      </c>
      <c r="C497" t="n">
        <v>28</v>
      </c>
      <c r="D497" t="n">
        <v>16</v>
      </c>
      <c r="E497" t="inlineStr">
        <is>
          <t>Calculation</t>
        </is>
      </c>
      <c r="F497" t="inlineStr">
        <is>
          <t>'=(1+(H28/H27)-1)*P27</t>
        </is>
      </c>
      <c r="G497" t="n">
        <v>149.9320214351757</v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00000000</t>
        </is>
      </c>
      <c r="O497" t="inlineStr">
        <is>
          <t>left</t>
        </is>
      </c>
      <c r="R497" t="b">
        <v>1</v>
      </c>
      <c r="S497" t="inlineStr">
        <is>
          <t>G000161</t>
        </is>
      </c>
      <c r="T497" t="inlineStr">
        <is>
          <t>Vertical</t>
        </is>
      </c>
      <c r="U497" t="n">
        <v>92</v>
      </c>
      <c r="V497" t="b">
        <v>1</v>
      </c>
      <c r="W497" t="inlineStr">
        <is>
          <t>ATF Fuel 2!P3:P94</t>
        </is>
      </c>
      <c r="X497">
        <f>(1+(R[0]C[-8]/R[-1]C[-8])-1)*R[-1]C[0]</f>
        <v/>
      </c>
    </row>
    <row r="498">
      <c r="A498" t="inlineStr">
        <is>
          <t>ATF Fuel 2</t>
        </is>
      </c>
      <c r="B498" t="inlineStr">
        <is>
          <t>Q28</t>
        </is>
      </c>
      <c r="C498" t="n">
        <v>28</v>
      </c>
      <c r="D498" t="n">
        <v>17</v>
      </c>
      <c r="E498" t="inlineStr">
        <is>
          <t>Output</t>
        </is>
      </c>
      <c r="F498" t="inlineStr">
        <is>
          <t>'=M28/N28-1</t>
        </is>
      </c>
      <c r="G498" t="n">
        <v>0.3094290837280855</v>
      </c>
      <c r="H498" t="inlineStr"/>
      <c r="I498" t="inlineStr">
        <is>
          <t>0.0%</t>
        </is>
      </c>
      <c r="J498" t="b">
        <v>0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00000000</t>
        </is>
      </c>
      <c r="O498" t="n">
        <v/>
      </c>
      <c r="R498" t="b">
        <v>1</v>
      </c>
      <c r="S498" t="inlineStr">
        <is>
          <t>G000153</t>
        </is>
      </c>
      <c r="T498" t="inlineStr">
        <is>
          <t>Vertical</t>
        </is>
      </c>
      <c r="U498" t="n">
        <v>93</v>
      </c>
      <c r="V498" t="b">
        <v>1</v>
      </c>
      <c r="W498" t="inlineStr">
        <is>
          <t>ATF Fuel 2!Q2:Q94</t>
        </is>
      </c>
      <c r="X498">
        <f>R[0]C[-4]/R[0]C[-3]-1</f>
        <v/>
      </c>
    </row>
    <row r="499">
      <c r="A499" t="inlineStr">
        <is>
          <t>ATF Fuel 2</t>
        </is>
      </c>
      <c r="B499" t="inlineStr">
        <is>
          <t>A29</t>
        </is>
      </c>
      <c r="C499" t="n">
        <v>29</v>
      </c>
      <c r="D499" t="n">
        <v>1</v>
      </c>
      <c r="E499" t="inlineStr">
        <is>
          <t>Input</t>
        </is>
      </c>
      <c r="F499" t="n">
        <v/>
      </c>
      <c r="G499" t="inlineStr">
        <is>
          <t>July 01, 2012</t>
        </is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Values must be of type &lt;class 'str'&gt;</t>
        </is>
      </c>
      <c r="N499" t="inlineStr">
        <is>
          <t>00000000</t>
        </is>
      </c>
      <c r="O499" t="n">
        <v/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</row>
    <row r="500">
      <c r="A500" t="inlineStr">
        <is>
          <t>ATF Fuel 2</t>
        </is>
      </c>
      <c r="B500" t="inlineStr">
        <is>
          <t>B29</t>
        </is>
      </c>
      <c r="C500" t="n">
        <v>29</v>
      </c>
      <c r="D500" t="n">
        <v>2</v>
      </c>
      <c r="E500" t="inlineStr">
        <is>
          <t>Input</t>
        </is>
      </c>
      <c r="F500" t="n">
        <v/>
      </c>
      <c r="G500" t="n">
        <v>64652</v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Values must be of type &lt;class 'str'&gt;</t>
        </is>
      </c>
      <c r="N500" t="inlineStr">
        <is>
          <t>00000000</t>
        </is>
      </c>
      <c r="O500" t="n">
        <v/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</row>
    <row r="501">
      <c r="A501" t="inlineStr">
        <is>
          <t>ATF Fuel 2</t>
        </is>
      </c>
      <c r="B501" t="inlineStr">
        <is>
          <t>C29</t>
        </is>
      </c>
      <c r="C501" t="n">
        <v>29</v>
      </c>
      <c r="D501" t="n">
        <v>3</v>
      </c>
      <c r="E501" t="inlineStr">
        <is>
          <t>Output</t>
        </is>
      </c>
      <c r="F501" t="inlineStr">
        <is>
          <t>'=B29/B28-1</t>
        </is>
      </c>
      <c r="G501" t="n">
        <v>-0.0672792569684455</v>
      </c>
      <c r="H501" t="inlineStr"/>
      <c r="I501" t="inlineStr">
        <is>
          <t>0%</t>
        </is>
      </c>
      <c r="J501" t="b">
        <v>0</v>
      </c>
      <c r="K501" t="b">
        <v>0</v>
      </c>
      <c r="L501" t="n">
        <v>11</v>
      </c>
      <c r="M501" t="n">
        <v/>
      </c>
      <c r="N501" t="inlineStr">
        <is>
          <t>00000000</t>
        </is>
      </c>
      <c r="O501" t="n">
        <v/>
      </c>
      <c r="R501" t="b">
        <v>1</v>
      </c>
      <c r="S501" t="inlineStr">
        <is>
          <t>G000154</t>
        </is>
      </c>
      <c r="T501" t="inlineStr">
        <is>
          <t>Vertical</t>
        </is>
      </c>
      <c r="U501" t="n">
        <v>92</v>
      </c>
      <c r="V501" t="b">
        <v>1</v>
      </c>
      <c r="W501" t="inlineStr">
        <is>
          <t>ATF Fuel 2!C3:C94</t>
        </is>
      </c>
      <c r="X501">
        <f>R[0]C[-1]/R[-1]C[-1]-1</f>
        <v/>
      </c>
    </row>
    <row r="502">
      <c r="A502" t="inlineStr">
        <is>
          <t>ATF Fuel 2</t>
        </is>
      </c>
      <c r="B502" t="inlineStr">
        <is>
          <t>D29</t>
        </is>
      </c>
      <c r="C502" t="n">
        <v>29</v>
      </c>
      <c r="D502" t="n">
        <v>4</v>
      </c>
      <c r="E502" t="inlineStr">
        <is>
          <t>Input</t>
        </is>
      </c>
      <c r="F502" t="n">
        <v/>
      </c>
      <c r="G502" t="n">
        <v>55.5</v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n">
        <v/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</row>
    <row r="503">
      <c r="A503" t="inlineStr">
        <is>
          <t>ATF Fuel 2</t>
        </is>
      </c>
      <c r="B503" t="inlineStr">
        <is>
          <t>E29</t>
        </is>
      </c>
      <c r="C503" t="n">
        <v>29</v>
      </c>
      <c r="D503" t="n">
        <v>5</v>
      </c>
      <c r="E503" t="inlineStr">
        <is>
          <t>Output</t>
        </is>
      </c>
      <c r="F503" t="inlineStr">
        <is>
          <t>'=B29/B28-1</t>
        </is>
      </c>
      <c r="G503" t="n">
        <v>-0.0672792569684455</v>
      </c>
      <c r="H503" t="inlineStr"/>
      <c r="I503" t="inlineStr">
        <is>
          <t>0%</t>
        </is>
      </c>
      <c r="J503" t="b">
        <v>0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n">
        <v/>
      </c>
      <c r="R503" t="b">
        <v>1</v>
      </c>
      <c r="S503" t="inlineStr">
        <is>
          <t>G000158</t>
        </is>
      </c>
      <c r="T503" t="inlineStr">
        <is>
          <t>Vertical</t>
        </is>
      </c>
      <c r="U503" t="n">
        <v>92</v>
      </c>
      <c r="V503" t="b">
        <v>1</v>
      </c>
      <c r="W503" t="inlineStr">
        <is>
          <t>ATF Fuel 2!E3:E94</t>
        </is>
      </c>
      <c r="X503">
        <f>R[0]C[-3]/R[-1]C[-3]-1</f>
        <v/>
      </c>
    </row>
    <row r="504">
      <c r="A504" t="inlineStr">
        <is>
          <t>ATF Fuel 2</t>
        </is>
      </c>
      <c r="B504" t="inlineStr">
        <is>
          <t>F29</t>
        </is>
      </c>
      <c r="C504" t="n">
        <v>29</v>
      </c>
      <c r="D504" t="n">
        <v>6</v>
      </c>
      <c r="E504" t="inlineStr">
        <is>
          <t>Input</t>
        </is>
      </c>
      <c r="F504" t="n">
        <v/>
      </c>
      <c r="G504" t="n">
        <v>99.23</v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n">
        <v/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</row>
    <row r="505">
      <c r="A505" t="inlineStr">
        <is>
          <t>ATF Fuel 2</t>
        </is>
      </c>
      <c r="B505" t="inlineStr">
        <is>
          <t>G29</t>
        </is>
      </c>
      <c r="C505" t="n">
        <v>29</v>
      </c>
      <c r="D505" t="n">
        <v>7</v>
      </c>
      <c r="E505" t="inlineStr">
        <is>
          <t>Output</t>
        </is>
      </c>
      <c r="F505" t="inlineStr">
        <is>
          <t>'=F29/F28-1</t>
        </is>
      </c>
      <c r="G505" t="n">
        <v>0.006389452332657308</v>
      </c>
      <c r="H505" t="inlineStr"/>
      <c r="I505" t="inlineStr">
        <is>
          <t>0%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n">
        <v/>
      </c>
      <c r="R505" t="b">
        <v>1</v>
      </c>
      <c r="S505" t="inlineStr">
        <is>
          <t>G000155</t>
        </is>
      </c>
      <c r="T505" t="inlineStr">
        <is>
          <t>Vertical</t>
        </is>
      </c>
      <c r="U505" t="n">
        <v>93</v>
      </c>
      <c r="V505" t="b">
        <v>1</v>
      </c>
      <c r="W505" t="inlineStr">
        <is>
          <t>ATF Fuel 2!G3:G95</t>
        </is>
      </c>
      <c r="X505">
        <f>R[0]C[-1]/R[-1]C[-1]-1</f>
        <v/>
      </c>
    </row>
    <row r="506">
      <c r="A506" t="inlineStr">
        <is>
          <t>ATF Fuel 2</t>
        </is>
      </c>
      <c r="B506" t="inlineStr">
        <is>
          <t>H29</t>
        </is>
      </c>
      <c r="C506" t="n">
        <v>29</v>
      </c>
      <c r="D506" t="n">
        <v>8</v>
      </c>
      <c r="E506" t="inlineStr">
        <is>
          <t>Calculation</t>
        </is>
      </c>
      <c r="F506" t="inlineStr">
        <is>
          <t>'=D29*F29</t>
        </is>
      </c>
      <c r="G506" t="n">
        <v>5507.265</v>
      </c>
      <c r="H506" t="inlineStr"/>
      <c r="I506" t="inlineStr">
        <is>
          <t>0</t>
        </is>
      </c>
      <c r="J506" t="b">
        <v>0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00000000</t>
        </is>
      </c>
      <c r="O506" t="n">
        <v/>
      </c>
      <c r="R506" t="b">
        <v>1</v>
      </c>
      <c r="S506" t="inlineStr">
        <is>
          <t>G000152</t>
        </is>
      </c>
      <c r="T506" t="inlineStr">
        <is>
          <t>Vertical</t>
        </is>
      </c>
      <c r="U506" t="n">
        <v>98</v>
      </c>
      <c r="V506" t="b">
        <v>1</v>
      </c>
      <c r="W506" t="inlineStr">
        <is>
          <t>ATF Fuel 2!H2:H99</t>
        </is>
      </c>
      <c r="X506">
        <f>R[0]C[-4]*R[0]C[-2]</f>
        <v/>
      </c>
    </row>
    <row r="507">
      <c r="A507" t="inlineStr">
        <is>
          <t>ATF Fuel 2</t>
        </is>
      </c>
      <c r="B507" t="inlineStr">
        <is>
          <t>I29</t>
        </is>
      </c>
      <c r="C507" t="n">
        <v>29</v>
      </c>
      <c r="D507" t="n">
        <v>9</v>
      </c>
      <c r="E507" t="inlineStr">
        <is>
          <t>Output</t>
        </is>
      </c>
      <c r="F507" t="inlineStr">
        <is>
          <t>'=H29/H28-1</t>
        </is>
      </c>
      <c r="G507" t="n">
        <v>-0.006852514145403998</v>
      </c>
      <c r="H507" t="inlineStr"/>
      <c r="I507" t="inlineStr">
        <is>
          <t>0%</t>
        </is>
      </c>
      <c r="J507" t="b">
        <v>0</v>
      </c>
      <c r="K507" t="b">
        <v>0</v>
      </c>
      <c r="L507" t="n">
        <v>11</v>
      </c>
      <c r="M507" t="inlineStr">
        <is>
          <t>FFFF0000</t>
        </is>
      </c>
      <c r="N507" t="inlineStr">
        <is>
          <t>00000000</t>
        </is>
      </c>
      <c r="O507" t="n">
        <v/>
      </c>
      <c r="R507" t="b">
        <v>1</v>
      </c>
      <c r="S507" t="inlineStr">
        <is>
          <t>G000156</t>
        </is>
      </c>
      <c r="T507" t="inlineStr">
        <is>
          <t>Vertical</t>
        </is>
      </c>
      <c r="U507" t="n">
        <v>97</v>
      </c>
      <c r="V507" t="b">
        <v>1</v>
      </c>
      <c r="W507" t="inlineStr">
        <is>
          <t>ATF Fuel 2!I3:I99</t>
        </is>
      </c>
      <c r="X507">
        <f>R[0]C[-1]/R[-1]C[-1]-1</f>
        <v/>
      </c>
    </row>
    <row r="508">
      <c r="A508" t="inlineStr">
        <is>
          <t>ATF Fuel 2</t>
        </is>
      </c>
      <c r="B508" t="inlineStr">
        <is>
          <t>J29</t>
        </is>
      </c>
      <c r="C508" t="n">
        <v>29</v>
      </c>
      <c r="D508" t="n">
        <v>10</v>
      </c>
      <c r="E508" t="inlineStr">
        <is>
          <t>Input</t>
        </is>
      </c>
      <c r="F508" t="n">
        <v/>
      </c>
      <c r="G508" t="n">
        <v>83.72</v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n">
        <v/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</row>
    <row r="509">
      <c r="A509" t="inlineStr">
        <is>
          <t>ATF Fuel 2</t>
        </is>
      </c>
      <c r="B509" t="inlineStr">
        <is>
          <t>K29</t>
        </is>
      </c>
      <c r="C509" t="n">
        <v>29</v>
      </c>
      <c r="D509" t="n">
        <v>11</v>
      </c>
      <c r="E509" t="inlineStr">
        <is>
          <t>Output</t>
        </is>
      </c>
      <c r="F509" t="inlineStr">
        <is>
          <t>'=J29/J28-1</t>
        </is>
      </c>
      <c r="G509" t="n">
        <v>0.006612961404352413</v>
      </c>
      <c r="H509" t="inlineStr"/>
      <c r="I509" t="inlineStr">
        <is>
          <t>0%</t>
        </is>
      </c>
      <c r="J509" t="b">
        <v>0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n">
        <v/>
      </c>
      <c r="R509" t="b">
        <v>1</v>
      </c>
      <c r="S509" t="inlineStr">
        <is>
          <t>G000157</t>
        </is>
      </c>
      <c r="T509" t="inlineStr">
        <is>
          <t>Vertical</t>
        </is>
      </c>
      <c r="U509" t="n">
        <v>93</v>
      </c>
      <c r="V509" t="b">
        <v>1</v>
      </c>
      <c r="W509" t="inlineStr">
        <is>
          <t>ATF Fuel 2!K3:K95</t>
        </is>
      </c>
      <c r="X509">
        <f>R[0]C[-1]/R[-1]C[-1]-1</f>
        <v/>
      </c>
    </row>
    <row r="510">
      <c r="A510" t="inlineStr">
        <is>
          <t>ATF Fuel 2</t>
        </is>
      </c>
      <c r="B510" t="inlineStr">
        <is>
          <t>L29</t>
        </is>
      </c>
      <c r="C510" t="n">
        <v>29</v>
      </c>
      <c r="D510" t="n">
        <v>12</v>
      </c>
      <c r="E510" t="inlineStr">
        <is>
          <t>Input</t>
        </is>
      </c>
      <c r="F510" t="n">
        <v/>
      </c>
      <c r="G510" t="inlineStr">
        <is>
          <t>July 01, 2012</t>
        </is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inlineStr">
        <is>
          <t>left</t>
        </is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ATF Fuel 2</t>
        </is>
      </c>
      <c r="B511" t="inlineStr">
        <is>
          <t>M29</t>
        </is>
      </c>
      <c r="C511" t="n">
        <v>29</v>
      </c>
      <c r="D511" t="n">
        <v>13</v>
      </c>
      <c r="E511" t="inlineStr">
        <is>
          <t>Calculation</t>
        </is>
      </c>
      <c r="F511" t="inlineStr">
        <is>
          <t>'=(1+(B29/B28)-1)*M28</t>
        </is>
      </c>
      <c r="G511" t="n">
        <v>145.7379915976135</v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00000000</t>
        </is>
      </c>
      <c r="O511" t="inlineStr">
        <is>
          <t>left</t>
        </is>
      </c>
      <c r="R511" t="b">
        <v>1</v>
      </c>
      <c r="S511" t="inlineStr">
        <is>
          <t>G000159</t>
        </is>
      </c>
      <c r="T511" t="inlineStr">
        <is>
          <t>Vertical</t>
        </is>
      </c>
      <c r="U511" t="n">
        <v>92</v>
      </c>
      <c r="V511" t="b">
        <v>1</v>
      </c>
      <c r="W511" t="inlineStr">
        <is>
          <t>ATF Fuel 2!M3:M94</t>
        </is>
      </c>
      <c r="X511">
        <f>(1+(R[0]C[-11]/R[-1]C[-11])-1)*R[-1]C[0]</f>
        <v/>
      </c>
    </row>
    <row r="512">
      <c r="A512" t="inlineStr">
        <is>
          <t>ATF Fuel 2</t>
        </is>
      </c>
      <c r="B512" t="inlineStr">
        <is>
          <t>N29</t>
        </is>
      </c>
      <c r="C512" t="n">
        <v>29</v>
      </c>
      <c r="D512" t="n">
        <v>14</v>
      </c>
      <c r="E512" t="inlineStr">
        <is>
          <t>Calculation</t>
        </is>
      </c>
      <c r="F512" t="inlineStr">
        <is>
          <t>'=(1+(F29/F28)-1)*N28</t>
        </is>
      </c>
      <c r="G512" t="n">
        <v>120.0895558513858</v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00000000</t>
        </is>
      </c>
      <c r="O512" t="inlineStr">
        <is>
          <t>left</t>
        </is>
      </c>
      <c r="R512" t="b">
        <v>1</v>
      </c>
      <c r="S512" t="inlineStr">
        <is>
          <t>G000160</t>
        </is>
      </c>
      <c r="T512" t="inlineStr">
        <is>
          <t>Vertical</t>
        </is>
      </c>
      <c r="U512" t="n">
        <v>92</v>
      </c>
      <c r="V512" t="b">
        <v>1</v>
      </c>
      <c r="W512" t="inlineStr">
        <is>
          <t>ATF Fuel 2!N3:N94</t>
        </is>
      </c>
      <c r="X512">
        <f>(1+(R[0]C[-8]/R[-1]C[-8])-1)*R[-1]C[0]</f>
        <v/>
      </c>
    </row>
    <row r="513">
      <c r="A513" t="inlineStr">
        <is>
          <t>ATF Fuel 2</t>
        </is>
      </c>
      <c r="B513" t="inlineStr">
        <is>
          <t>O29</t>
        </is>
      </c>
      <c r="C513" t="n">
        <v>29</v>
      </c>
      <c r="D513" t="n">
        <v>15</v>
      </c>
      <c r="E513" t="inlineStr">
        <is>
          <t>Calculation</t>
        </is>
      </c>
      <c r="F513" t="inlineStr">
        <is>
          <t>'=(1+(J29/J28)-1)*O28</t>
        </is>
      </c>
      <c r="G513" t="n">
        <v>99.04176032177926</v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00000000</t>
        </is>
      </c>
      <c r="O513" t="inlineStr">
        <is>
          <t>left</t>
        </is>
      </c>
      <c r="R513" t="b">
        <v>1</v>
      </c>
      <c r="S513" t="inlineStr">
        <is>
          <t>G000162</t>
        </is>
      </c>
      <c r="T513" t="inlineStr">
        <is>
          <t>Vertical</t>
        </is>
      </c>
      <c r="U513" t="n">
        <v>92</v>
      </c>
      <c r="V513" t="b">
        <v>1</v>
      </c>
      <c r="W513" t="inlineStr">
        <is>
          <t>ATF Fuel 2!O3:O94</t>
        </is>
      </c>
      <c r="X513">
        <f>(1+(R[0]C[-5]/R[-1]C[-5])-1)*R[-1]C[0]</f>
        <v/>
      </c>
    </row>
    <row r="514">
      <c r="A514" t="inlineStr">
        <is>
          <t>ATF Fuel 2</t>
        </is>
      </c>
      <c r="B514" t="inlineStr">
        <is>
          <t>P29</t>
        </is>
      </c>
      <c r="C514" t="n">
        <v>29</v>
      </c>
      <c r="D514" t="n">
        <v>16</v>
      </c>
      <c r="E514" t="inlineStr">
        <is>
          <t>Calculation</t>
        </is>
      </c>
      <c r="F514" t="inlineStr">
        <is>
          <t>'=(1+(H29/H28)-1)*P28</t>
        </is>
      </c>
      <c r="G514" t="n">
        <v>148.9046101374421</v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00000000</t>
        </is>
      </c>
      <c r="O514" t="inlineStr">
        <is>
          <t>left</t>
        </is>
      </c>
      <c r="R514" t="b">
        <v>1</v>
      </c>
      <c r="S514" t="inlineStr">
        <is>
          <t>G000161</t>
        </is>
      </c>
      <c r="T514" t="inlineStr">
        <is>
          <t>Vertical</t>
        </is>
      </c>
      <c r="U514" t="n">
        <v>92</v>
      </c>
      <c r="V514" t="b">
        <v>1</v>
      </c>
      <c r="W514" t="inlineStr">
        <is>
          <t>ATF Fuel 2!P3:P94</t>
        </is>
      </c>
      <c r="X514">
        <f>(1+(R[0]C[-8]/R[-1]C[-8])-1)*R[-1]C[0]</f>
        <v/>
      </c>
    </row>
    <row r="515">
      <c r="A515" t="inlineStr">
        <is>
          <t>ATF Fuel 2</t>
        </is>
      </c>
      <c r="B515" t="inlineStr">
        <is>
          <t>Q29</t>
        </is>
      </c>
      <c r="C515" t="n">
        <v>29</v>
      </c>
      <c r="D515" t="n">
        <v>17</v>
      </c>
      <c r="E515" t="inlineStr">
        <is>
          <t>Output</t>
        </is>
      </c>
      <c r="F515" t="inlineStr">
        <is>
          <t>'=M29/N29-1</t>
        </is>
      </c>
      <c r="G515" t="n">
        <v>0.2135775718745134</v>
      </c>
      <c r="H515" t="inlineStr"/>
      <c r="I515" t="inlineStr">
        <is>
          <t>0.0%</t>
        </is>
      </c>
      <c r="J515" t="b">
        <v>0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00000000</t>
        </is>
      </c>
      <c r="O515" t="n">
        <v/>
      </c>
      <c r="R515" t="b">
        <v>1</v>
      </c>
      <c r="S515" t="inlineStr">
        <is>
          <t>G000153</t>
        </is>
      </c>
      <c r="T515" t="inlineStr">
        <is>
          <t>Vertical</t>
        </is>
      </c>
      <c r="U515" t="n">
        <v>93</v>
      </c>
      <c r="V515" t="b">
        <v>1</v>
      </c>
      <c r="W515" t="inlineStr">
        <is>
          <t>ATF Fuel 2!Q2:Q94</t>
        </is>
      </c>
      <c r="X515">
        <f>R[0]C[-4]/R[0]C[-3]-1</f>
        <v/>
      </c>
    </row>
    <row r="516">
      <c r="A516" t="inlineStr">
        <is>
          <t>ATF Fuel 2</t>
        </is>
      </c>
      <c r="B516" t="inlineStr">
        <is>
          <t>A30</t>
        </is>
      </c>
      <c r="C516" t="n">
        <v>30</v>
      </c>
      <c r="D516" t="n">
        <v>1</v>
      </c>
      <c r="E516" t="inlineStr">
        <is>
          <t>Input</t>
        </is>
      </c>
      <c r="F516" t="n">
        <v/>
      </c>
      <c r="G516" t="inlineStr">
        <is>
          <t>August 01, 2012</t>
        </is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00000000</t>
        </is>
      </c>
      <c r="O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</row>
    <row r="517">
      <c r="A517" t="inlineStr">
        <is>
          <t>ATF Fuel 2</t>
        </is>
      </c>
      <c r="B517" t="inlineStr">
        <is>
          <t>B30</t>
        </is>
      </c>
      <c r="C517" t="n">
        <v>30</v>
      </c>
      <c r="D517" t="n">
        <v>2</v>
      </c>
      <c r="E517" t="inlineStr">
        <is>
          <t>Input</t>
        </is>
      </c>
      <c r="F517" t="n">
        <v/>
      </c>
      <c r="G517" t="n">
        <v>68561.29000000001</v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Values must be of type &lt;class 'str'&gt;</t>
        </is>
      </c>
      <c r="N517" t="inlineStr">
        <is>
          <t>00000000</t>
        </is>
      </c>
      <c r="O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</row>
    <row r="518">
      <c r="A518" t="inlineStr">
        <is>
          <t>ATF Fuel 2</t>
        </is>
      </c>
      <c r="B518" t="inlineStr">
        <is>
          <t>C30</t>
        </is>
      </c>
      <c r="C518" t="n">
        <v>30</v>
      </c>
      <c r="D518" t="n">
        <v>3</v>
      </c>
      <c r="E518" t="inlineStr">
        <is>
          <t>Output</t>
        </is>
      </c>
      <c r="F518" t="inlineStr">
        <is>
          <t>'=B30/B29-1</t>
        </is>
      </c>
      <c r="G518" t="n">
        <v>0.06046665223040293</v>
      </c>
      <c r="H518" t="inlineStr"/>
      <c r="I518" t="inlineStr">
        <is>
          <t>0%</t>
        </is>
      </c>
      <c r="J518" t="b">
        <v>0</v>
      </c>
      <c r="K518" t="b">
        <v>0</v>
      </c>
      <c r="L518" t="n">
        <v>11</v>
      </c>
      <c r="M518" t="n">
        <v/>
      </c>
      <c r="N518" t="inlineStr">
        <is>
          <t>00000000</t>
        </is>
      </c>
      <c r="O518" t="n">
        <v/>
      </c>
      <c r="R518" t="b">
        <v>1</v>
      </c>
      <c r="S518" t="inlineStr">
        <is>
          <t>G000154</t>
        </is>
      </c>
      <c r="T518" t="inlineStr">
        <is>
          <t>Vertical</t>
        </is>
      </c>
      <c r="U518" t="n">
        <v>92</v>
      </c>
      <c r="V518" t="b">
        <v>1</v>
      </c>
      <c r="W518" t="inlineStr">
        <is>
          <t>ATF Fuel 2!C3:C94</t>
        </is>
      </c>
      <c r="X518">
        <f>R[0]C[-1]/R[-1]C[-1]-1</f>
        <v/>
      </c>
    </row>
    <row r="519">
      <c r="A519" t="inlineStr">
        <is>
          <t>ATF Fuel 2</t>
        </is>
      </c>
      <c r="B519" t="inlineStr">
        <is>
          <t>D30</t>
        </is>
      </c>
      <c r="C519" t="n">
        <v>30</v>
      </c>
      <c r="D519" t="n">
        <v>4</v>
      </c>
      <c r="E519" t="inlineStr">
        <is>
          <t>Input</t>
        </is>
      </c>
      <c r="F519" t="n">
        <v/>
      </c>
      <c r="G519" t="n">
        <v>55.65</v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00000000</t>
        </is>
      </c>
      <c r="O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</row>
    <row r="520">
      <c r="A520" t="inlineStr">
        <is>
          <t>ATF Fuel 2</t>
        </is>
      </c>
      <c r="B520" t="inlineStr">
        <is>
          <t>E30</t>
        </is>
      </c>
      <c r="C520" t="n">
        <v>30</v>
      </c>
      <c r="D520" t="n">
        <v>5</v>
      </c>
      <c r="E520" t="inlineStr">
        <is>
          <t>Output</t>
        </is>
      </c>
      <c r="F520" t="inlineStr">
        <is>
          <t>'=B30/B29-1</t>
        </is>
      </c>
      <c r="G520" t="n">
        <v>0.06046665223040293</v>
      </c>
      <c r="H520" t="inlineStr"/>
      <c r="I520" t="inlineStr">
        <is>
          <t>0%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00000000</t>
        </is>
      </c>
      <c r="O520" t="n">
        <v/>
      </c>
      <c r="R520" t="b">
        <v>1</v>
      </c>
      <c r="S520" t="inlineStr">
        <is>
          <t>G000158</t>
        </is>
      </c>
      <c r="T520" t="inlineStr">
        <is>
          <t>Vertical</t>
        </is>
      </c>
      <c r="U520" t="n">
        <v>92</v>
      </c>
      <c r="V520" t="b">
        <v>1</v>
      </c>
      <c r="W520" t="inlineStr">
        <is>
          <t>ATF Fuel 2!E3:E94</t>
        </is>
      </c>
      <c r="X520">
        <f>R[0]C[-3]/R[-1]C[-3]-1</f>
        <v/>
      </c>
    </row>
    <row r="521">
      <c r="A521" t="inlineStr">
        <is>
          <t>ATF Fuel 2</t>
        </is>
      </c>
      <c r="B521" t="inlineStr">
        <is>
          <t>F30</t>
        </is>
      </c>
      <c r="C521" t="n">
        <v>30</v>
      </c>
      <c r="D521" t="n">
        <v>6</v>
      </c>
      <c r="E521" t="inlineStr">
        <is>
          <t>Input</t>
        </is>
      </c>
      <c r="F521" t="n">
        <v/>
      </c>
      <c r="G521" t="n">
        <v>113.52</v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00000000</t>
        </is>
      </c>
      <c r="O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</row>
    <row r="522">
      <c r="A522" t="inlineStr">
        <is>
          <t>ATF Fuel 2</t>
        </is>
      </c>
      <c r="B522" t="inlineStr">
        <is>
          <t>G30</t>
        </is>
      </c>
      <c r="C522" t="n">
        <v>30</v>
      </c>
      <c r="D522" t="n">
        <v>7</v>
      </c>
      <c r="E522" t="inlineStr">
        <is>
          <t>Output</t>
        </is>
      </c>
      <c r="F522" t="inlineStr">
        <is>
          <t>'=F30/F29-1</t>
        </is>
      </c>
      <c r="G522" t="n">
        <v>0.1440088682858005</v>
      </c>
      <c r="H522" t="inlineStr"/>
      <c r="I522" t="inlineStr">
        <is>
          <t>0%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00000000</t>
        </is>
      </c>
      <c r="O522" t="n">
        <v/>
      </c>
      <c r="R522" t="b">
        <v>1</v>
      </c>
      <c r="S522" t="inlineStr">
        <is>
          <t>G000155</t>
        </is>
      </c>
      <c r="T522" t="inlineStr">
        <is>
          <t>Vertical</t>
        </is>
      </c>
      <c r="U522" t="n">
        <v>93</v>
      </c>
      <c r="V522" t="b">
        <v>1</v>
      </c>
      <c r="W522" t="inlineStr">
        <is>
          <t>ATF Fuel 2!G3:G95</t>
        </is>
      </c>
      <c r="X522">
        <f>R[0]C[-1]/R[-1]C[-1]-1</f>
        <v/>
      </c>
    </row>
    <row r="523">
      <c r="A523" t="inlineStr">
        <is>
          <t>ATF Fuel 2</t>
        </is>
      </c>
      <c r="B523" t="inlineStr">
        <is>
          <t>H30</t>
        </is>
      </c>
      <c r="C523" t="n">
        <v>30</v>
      </c>
      <c r="D523" t="n">
        <v>8</v>
      </c>
      <c r="E523" t="inlineStr">
        <is>
          <t>Calculation</t>
        </is>
      </c>
      <c r="F523" t="inlineStr">
        <is>
          <t>'=D30*F30</t>
        </is>
      </c>
      <c r="G523" t="n">
        <v>6317.388</v>
      </c>
      <c r="H523" t="inlineStr"/>
      <c r="I523" t="inlineStr">
        <is>
          <t>0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00000000</t>
        </is>
      </c>
      <c r="O523" t="n">
        <v/>
      </c>
      <c r="R523" t="b">
        <v>1</v>
      </c>
      <c r="S523" t="inlineStr">
        <is>
          <t>G000152</t>
        </is>
      </c>
      <c r="T523" t="inlineStr">
        <is>
          <t>Vertical</t>
        </is>
      </c>
      <c r="U523" t="n">
        <v>98</v>
      </c>
      <c r="V523" t="b">
        <v>1</v>
      </c>
      <c r="W523" t="inlineStr">
        <is>
          <t>ATF Fuel 2!H2:H99</t>
        </is>
      </c>
      <c r="X523">
        <f>R[0]C[-4]*R[0]C[-2]</f>
        <v/>
      </c>
    </row>
    <row r="524">
      <c r="A524" t="inlineStr">
        <is>
          <t>ATF Fuel 2</t>
        </is>
      </c>
      <c r="B524" t="inlineStr">
        <is>
          <t>I30</t>
        </is>
      </c>
      <c r="C524" t="n">
        <v>30</v>
      </c>
      <c r="D524" t="n">
        <v>9</v>
      </c>
      <c r="E524" t="inlineStr">
        <is>
          <t>Output</t>
        </is>
      </c>
      <c r="F524" t="inlineStr">
        <is>
          <t>'=H30/H29-1</t>
        </is>
      </c>
      <c r="G524" t="n">
        <v>0.1471007841460326</v>
      </c>
      <c r="H524" t="inlineStr"/>
      <c r="I524" t="inlineStr">
        <is>
          <t>0%</t>
        </is>
      </c>
      <c r="J524" t="b">
        <v>0</v>
      </c>
      <c r="K524" t="b">
        <v>0</v>
      </c>
      <c r="L524" t="n">
        <v>11</v>
      </c>
      <c r="M524" t="inlineStr">
        <is>
          <t>FFFF0000</t>
        </is>
      </c>
      <c r="N524" t="inlineStr">
        <is>
          <t>00000000</t>
        </is>
      </c>
      <c r="O524" t="n">
        <v/>
      </c>
      <c r="R524" t="b">
        <v>1</v>
      </c>
      <c r="S524" t="inlineStr">
        <is>
          <t>G000156</t>
        </is>
      </c>
      <c r="T524" t="inlineStr">
        <is>
          <t>Vertical</t>
        </is>
      </c>
      <c r="U524" t="n">
        <v>97</v>
      </c>
      <c r="V524" t="b">
        <v>1</v>
      </c>
      <c r="W524" t="inlineStr">
        <is>
          <t>ATF Fuel 2!I3:I99</t>
        </is>
      </c>
      <c r="X524">
        <f>R[0]C[-1]/R[-1]C[-1]-1</f>
        <v/>
      </c>
    </row>
    <row r="525">
      <c r="A525" t="inlineStr">
        <is>
          <t>ATF Fuel 2</t>
        </is>
      </c>
      <c r="B525" t="inlineStr">
        <is>
          <t>J30</t>
        </is>
      </c>
      <c r="C525" t="n">
        <v>30</v>
      </c>
      <c r="D525" t="n">
        <v>10</v>
      </c>
      <c r="E525" t="inlineStr">
        <is>
          <t>Input</t>
        </is>
      </c>
      <c r="F525" t="n">
        <v/>
      </c>
      <c r="G525" t="n">
        <v>88.98999999999999</v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11</v>
      </c>
      <c r="M525" t="inlineStr">
        <is>
          <t>Values must be of type &lt;class 'str'&gt;</t>
        </is>
      </c>
      <c r="N525" t="inlineStr">
        <is>
          <t>00000000</t>
        </is>
      </c>
      <c r="O525" t="n">
        <v/>
      </c>
      <c r="R525" t="b">
        <v>1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</row>
    <row r="526">
      <c r="A526" t="inlineStr">
        <is>
          <t>ATF Fuel 2</t>
        </is>
      </c>
      <c r="B526" t="inlineStr">
        <is>
          <t>K30</t>
        </is>
      </c>
      <c r="C526" t="n">
        <v>30</v>
      </c>
      <c r="D526" t="n">
        <v>11</v>
      </c>
      <c r="E526" t="inlineStr">
        <is>
          <t>Output</t>
        </is>
      </c>
      <c r="F526" t="inlineStr">
        <is>
          <t>'=J30/J29-1</t>
        </is>
      </c>
      <c r="G526" t="n">
        <v>0.06294792164357377</v>
      </c>
      <c r="H526" t="inlineStr"/>
      <c r="I526" t="inlineStr">
        <is>
          <t>0%</t>
        </is>
      </c>
      <c r="J526" t="b">
        <v>0</v>
      </c>
      <c r="K526" t="b">
        <v>0</v>
      </c>
      <c r="L526" t="n">
        <v>11</v>
      </c>
      <c r="M526" t="inlineStr">
        <is>
          <t>Values must be of type &lt;class 'str'&gt;</t>
        </is>
      </c>
      <c r="N526" t="inlineStr">
        <is>
          <t>00000000</t>
        </is>
      </c>
      <c r="O526" t="n">
        <v/>
      </c>
      <c r="R526" t="b">
        <v>1</v>
      </c>
      <c r="S526" t="inlineStr">
        <is>
          <t>G000157</t>
        </is>
      </c>
      <c r="T526" t="inlineStr">
        <is>
          <t>Vertical</t>
        </is>
      </c>
      <c r="U526" t="n">
        <v>93</v>
      </c>
      <c r="V526" t="b">
        <v>1</v>
      </c>
      <c r="W526" t="inlineStr">
        <is>
          <t>ATF Fuel 2!K3:K95</t>
        </is>
      </c>
      <c r="X526">
        <f>R[0]C[-1]/R[-1]C[-1]-1</f>
        <v/>
      </c>
    </row>
    <row r="527">
      <c r="A527" t="inlineStr">
        <is>
          <t>ATF Fuel 2</t>
        </is>
      </c>
      <c r="B527" t="inlineStr">
        <is>
          <t>L30</t>
        </is>
      </c>
      <c r="C527" t="n">
        <v>30</v>
      </c>
      <c r="D527" t="n">
        <v>12</v>
      </c>
      <c r="E527" t="inlineStr">
        <is>
          <t>Input</t>
        </is>
      </c>
      <c r="F527" t="n">
        <v/>
      </c>
      <c r="G527" t="inlineStr">
        <is>
          <t>August 01, 2012</t>
        </is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Values must be of type &lt;class 'str'&gt;</t>
        </is>
      </c>
      <c r="N527" t="inlineStr">
        <is>
          <t>00000000</t>
        </is>
      </c>
      <c r="O527" t="inlineStr">
        <is>
          <t>left</t>
        </is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</row>
    <row r="528">
      <c r="A528" t="inlineStr">
        <is>
          <t>ATF Fuel 2</t>
        </is>
      </c>
      <c r="B528" t="inlineStr">
        <is>
          <t>M30</t>
        </is>
      </c>
      <c r="C528" t="n">
        <v>30</v>
      </c>
      <c r="D528" t="n">
        <v>13</v>
      </c>
      <c r="E528" t="inlineStr">
        <is>
          <t>Calculation</t>
        </is>
      </c>
      <c r="F528" t="inlineStr">
        <is>
          <t>'=(1+(B30/B29)-1)*M29</t>
        </is>
      </c>
      <c r="G528" t="n">
        <v>154.5502800523038</v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Values must be of type &lt;class 'str'&gt;</t>
        </is>
      </c>
      <c r="N528" t="inlineStr">
        <is>
          <t>00000000</t>
        </is>
      </c>
      <c r="O528" t="inlineStr">
        <is>
          <t>left</t>
        </is>
      </c>
      <c r="R528" t="b">
        <v>1</v>
      </c>
      <c r="S528" t="inlineStr">
        <is>
          <t>G000159</t>
        </is>
      </c>
      <c r="T528" t="inlineStr">
        <is>
          <t>Vertical</t>
        </is>
      </c>
      <c r="U528" t="n">
        <v>92</v>
      </c>
      <c r="V528" t="b">
        <v>1</v>
      </c>
      <c r="W528" t="inlineStr">
        <is>
          <t>ATF Fuel 2!M3:M94</t>
        </is>
      </c>
      <c r="X528">
        <f>(1+(R[0]C[-11]/R[-1]C[-11])-1)*R[-1]C[0]</f>
        <v/>
      </c>
    </row>
    <row r="529">
      <c r="A529" t="inlineStr">
        <is>
          <t>ATF Fuel 2</t>
        </is>
      </c>
      <c r="B529" t="inlineStr">
        <is>
          <t>N30</t>
        </is>
      </c>
      <c r="C529" t="n">
        <v>30</v>
      </c>
      <c r="D529" t="n">
        <v>14</v>
      </c>
      <c r="E529" t="inlineStr">
        <is>
          <t>Calculation</t>
        </is>
      </c>
      <c r="F529" t="inlineStr">
        <is>
          <t>'=(1+(F30/F29)-1)*N29</t>
        </is>
      </c>
      <c r="G529" t="n">
        <v>137.3835168824883</v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11</v>
      </c>
      <c r="M529" t="inlineStr">
        <is>
          <t>Values must be of type &lt;class 'str'&gt;</t>
        </is>
      </c>
      <c r="N529" t="inlineStr">
        <is>
          <t>00000000</t>
        </is>
      </c>
      <c r="O529" t="inlineStr">
        <is>
          <t>left</t>
        </is>
      </c>
      <c r="R529" t="b">
        <v>1</v>
      </c>
      <c r="S529" t="inlineStr">
        <is>
          <t>G000160</t>
        </is>
      </c>
      <c r="T529" t="inlineStr">
        <is>
          <t>Vertical</t>
        </is>
      </c>
      <c r="U529" t="n">
        <v>92</v>
      </c>
      <c r="V529" t="b">
        <v>1</v>
      </c>
      <c r="W529" t="inlineStr">
        <is>
          <t>ATF Fuel 2!N3:N94</t>
        </is>
      </c>
      <c r="X529">
        <f>(1+(R[0]C[-8]/R[-1]C[-8])-1)*R[-1]C[0]</f>
        <v/>
      </c>
    </row>
    <row r="530">
      <c r="A530" t="inlineStr">
        <is>
          <t>ATF Fuel 2</t>
        </is>
      </c>
      <c r="B530" t="inlineStr">
        <is>
          <t>O30</t>
        </is>
      </c>
      <c r="C530" t="n">
        <v>30</v>
      </c>
      <c r="D530" t="n">
        <v>15</v>
      </c>
      <c r="E530" t="inlineStr">
        <is>
          <t>Calculation</t>
        </is>
      </c>
      <c r="F530" t="inlineStr">
        <is>
          <t>'=(1+(J30/J29)-1)*O29</t>
        </is>
      </c>
      <c r="G530" t="n">
        <v>105.2762332899562</v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11</v>
      </c>
      <c r="M530" t="inlineStr">
        <is>
          <t>Values must be of type &lt;class 'str'&gt;</t>
        </is>
      </c>
      <c r="N530" t="inlineStr">
        <is>
          <t>00000000</t>
        </is>
      </c>
      <c r="O530" t="inlineStr">
        <is>
          <t>left</t>
        </is>
      </c>
      <c r="R530" t="b">
        <v>1</v>
      </c>
      <c r="S530" t="inlineStr">
        <is>
          <t>G000162</t>
        </is>
      </c>
      <c r="T530" t="inlineStr">
        <is>
          <t>Vertical</t>
        </is>
      </c>
      <c r="U530" t="n">
        <v>92</v>
      </c>
      <c r="V530" t="b">
        <v>1</v>
      </c>
      <c r="W530" t="inlineStr">
        <is>
          <t>ATF Fuel 2!O3:O94</t>
        </is>
      </c>
      <c r="X530">
        <f>(1+(R[0]C[-5]/R[-1]C[-5])-1)*R[-1]C[0]</f>
        <v/>
      </c>
    </row>
    <row r="531">
      <c r="A531" t="inlineStr">
        <is>
          <t>ATF Fuel 2</t>
        </is>
      </c>
      <c r="B531" t="inlineStr">
        <is>
          <t>P30</t>
        </is>
      </c>
      <c r="C531" t="n">
        <v>30</v>
      </c>
      <c r="D531" t="n">
        <v>16</v>
      </c>
      <c r="E531" t="inlineStr">
        <is>
          <t>Calculation</t>
        </is>
      </c>
      <c r="F531" t="inlineStr">
        <is>
          <t>'=(1+(H30/H29)-1)*P29</t>
        </is>
      </c>
      <c r="G531" t="n">
        <v>170.8085950516191</v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00000000</t>
        </is>
      </c>
      <c r="O531" t="inlineStr">
        <is>
          <t>left</t>
        </is>
      </c>
      <c r="R531" t="b">
        <v>1</v>
      </c>
      <c r="S531" t="inlineStr">
        <is>
          <t>G000161</t>
        </is>
      </c>
      <c r="T531" t="inlineStr">
        <is>
          <t>Vertical</t>
        </is>
      </c>
      <c r="U531" t="n">
        <v>92</v>
      </c>
      <c r="V531" t="b">
        <v>1</v>
      </c>
      <c r="W531" t="inlineStr">
        <is>
          <t>ATF Fuel 2!P3:P94</t>
        </is>
      </c>
      <c r="X531">
        <f>(1+(R[0]C[-8]/R[-1]C[-8])-1)*R[-1]C[0]</f>
        <v/>
      </c>
    </row>
    <row r="532">
      <c r="A532" t="inlineStr">
        <is>
          <t>ATF Fuel 2</t>
        </is>
      </c>
      <c r="B532" t="inlineStr">
        <is>
          <t>Q30</t>
        </is>
      </c>
      <c r="C532" t="n">
        <v>30</v>
      </c>
      <c r="D532" t="n">
        <v>17</v>
      </c>
      <c r="E532" t="inlineStr">
        <is>
          <t>Output</t>
        </is>
      </c>
      <c r="F532" t="inlineStr">
        <is>
          <t>'=M30/N30-1</t>
        </is>
      </c>
      <c r="G532" t="n">
        <v>0.1249550423468864</v>
      </c>
      <c r="H532" t="inlineStr"/>
      <c r="I532" t="inlineStr">
        <is>
          <t>0.0%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00000000</t>
        </is>
      </c>
      <c r="O532" t="n">
        <v/>
      </c>
      <c r="R532" t="b">
        <v>1</v>
      </c>
      <c r="S532" t="inlineStr">
        <is>
          <t>G000153</t>
        </is>
      </c>
      <c r="T532" t="inlineStr">
        <is>
          <t>Vertical</t>
        </is>
      </c>
      <c r="U532" t="n">
        <v>93</v>
      </c>
      <c r="V532" t="b">
        <v>1</v>
      </c>
      <c r="W532" t="inlineStr">
        <is>
          <t>ATF Fuel 2!Q2:Q94</t>
        </is>
      </c>
      <c r="X532">
        <f>R[0]C[-4]/R[0]C[-3]-1</f>
        <v/>
      </c>
    </row>
    <row r="533">
      <c r="A533" t="inlineStr">
        <is>
          <t>ATF Fuel 2</t>
        </is>
      </c>
      <c r="B533" t="inlineStr">
        <is>
          <t>A31</t>
        </is>
      </c>
      <c r="C533" t="n">
        <v>31</v>
      </c>
      <c r="D533" t="n">
        <v>1</v>
      </c>
      <c r="E533" t="inlineStr">
        <is>
          <t>Input</t>
        </is>
      </c>
      <c r="F533" t="n">
        <v/>
      </c>
      <c r="G533" t="inlineStr">
        <is>
          <t>September 01, 2012</t>
        </is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n">
        <v/>
      </c>
      <c r="R533" t="b">
        <v>1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</row>
    <row r="534">
      <c r="A534" t="inlineStr">
        <is>
          <t>ATF Fuel 2</t>
        </is>
      </c>
      <c r="B534" t="inlineStr">
        <is>
          <t>B31</t>
        </is>
      </c>
      <c r="C534" t="n">
        <v>31</v>
      </c>
      <c r="D534" t="n">
        <v>2</v>
      </c>
      <c r="E534" t="inlineStr">
        <is>
          <t>Input</t>
        </is>
      </c>
      <c r="F534" t="n">
        <v/>
      </c>
      <c r="G534" t="n">
        <v>75263.3425</v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n">
        <v/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</row>
    <row r="535">
      <c r="A535" t="inlineStr">
        <is>
          <t>ATF Fuel 2</t>
        </is>
      </c>
      <c r="B535" t="inlineStr">
        <is>
          <t>C31</t>
        </is>
      </c>
      <c r="C535" t="n">
        <v>31</v>
      </c>
      <c r="D535" t="n">
        <v>3</v>
      </c>
      <c r="E535" t="inlineStr">
        <is>
          <t>Output</t>
        </is>
      </c>
      <c r="F535" t="inlineStr">
        <is>
          <t>'=B31/B30-1</t>
        </is>
      </c>
      <c r="G535" t="n">
        <v>0.09775271877177327</v>
      </c>
      <c r="H535" t="inlineStr"/>
      <c r="I535" t="inlineStr">
        <is>
          <t>0%</t>
        </is>
      </c>
      <c r="J535" t="b">
        <v>0</v>
      </c>
      <c r="K535" t="b">
        <v>0</v>
      </c>
      <c r="L535" t="n">
        <v>11</v>
      </c>
      <c r="M535" t="n">
        <v/>
      </c>
      <c r="N535" t="inlineStr">
        <is>
          <t>00000000</t>
        </is>
      </c>
      <c r="O535" t="n">
        <v/>
      </c>
      <c r="R535" t="b">
        <v>1</v>
      </c>
      <c r="S535" t="inlineStr">
        <is>
          <t>G000154</t>
        </is>
      </c>
      <c r="T535" t="inlineStr">
        <is>
          <t>Vertical</t>
        </is>
      </c>
      <c r="U535" t="n">
        <v>92</v>
      </c>
      <c r="V535" t="b">
        <v>1</v>
      </c>
      <c r="W535" t="inlineStr">
        <is>
          <t>ATF Fuel 2!C3:C94</t>
        </is>
      </c>
      <c r="X535">
        <f>R[0]C[-1]/R[-1]C[-1]-1</f>
        <v/>
      </c>
    </row>
    <row r="536">
      <c r="A536" t="inlineStr">
        <is>
          <t>ATF Fuel 2</t>
        </is>
      </c>
      <c r="B536" t="inlineStr">
        <is>
          <t>D31</t>
        </is>
      </c>
      <c r="C536" t="n">
        <v>31</v>
      </c>
      <c r="D536" t="n">
        <v>4</v>
      </c>
      <c r="E536" t="inlineStr">
        <is>
          <t>Input</t>
        </is>
      </c>
      <c r="F536" t="n">
        <v/>
      </c>
      <c r="G536" t="n">
        <v>55.525</v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00000000</t>
        </is>
      </c>
      <c r="O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ATF Fuel 2</t>
        </is>
      </c>
      <c r="B537" t="inlineStr">
        <is>
          <t>E31</t>
        </is>
      </c>
      <c r="C537" t="n">
        <v>31</v>
      </c>
      <c r="D537" t="n">
        <v>5</v>
      </c>
      <c r="E537" t="inlineStr">
        <is>
          <t>Output</t>
        </is>
      </c>
      <c r="F537" t="inlineStr">
        <is>
          <t>'=B31/B30-1</t>
        </is>
      </c>
      <c r="G537" t="n">
        <v>0.09775271877177327</v>
      </c>
      <c r="H537" t="inlineStr"/>
      <c r="I537" t="inlineStr">
        <is>
          <t>0%</t>
        </is>
      </c>
      <c r="J537" t="b">
        <v>0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00000000</t>
        </is>
      </c>
      <c r="O537" t="n">
        <v/>
      </c>
      <c r="R537" t="b">
        <v>1</v>
      </c>
      <c r="S537" t="inlineStr">
        <is>
          <t>G000158</t>
        </is>
      </c>
      <c r="T537" t="inlineStr">
        <is>
          <t>Vertical</t>
        </is>
      </c>
      <c r="U537" t="n">
        <v>92</v>
      </c>
      <c r="V537" t="b">
        <v>1</v>
      </c>
      <c r="W537" t="inlineStr">
        <is>
          <t>ATF Fuel 2!E3:E94</t>
        </is>
      </c>
      <c r="X537">
        <f>R[0]C[-3]/R[-1]C[-3]-1</f>
        <v/>
      </c>
    </row>
    <row r="538">
      <c r="A538" t="inlineStr">
        <is>
          <t>ATF Fuel 2</t>
        </is>
      </c>
      <c r="B538" t="inlineStr">
        <is>
          <t>F31</t>
        </is>
      </c>
      <c r="C538" t="n">
        <v>31</v>
      </c>
      <c r="D538" t="n">
        <v>6</v>
      </c>
      <c r="E538" t="inlineStr">
        <is>
          <t>Input</t>
        </is>
      </c>
      <c r="F538" t="n">
        <v/>
      </c>
      <c r="G538" t="n">
        <v>114.86</v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00000000</t>
        </is>
      </c>
      <c r="O538" t="n">
        <v/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ATF Fuel 2</t>
        </is>
      </c>
      <c r="B539" t="inlineStr">
        <is>
          <t>G31</t>
        </is>
      </c>
      <c r="C539" t="n">
        <v>31</v>
      </c>
      <c r="D539" t="n">
        <v>7</v>
      </c>
      <c r="E539" t="inlineStr">
        <is>
          <t>Output</t>
        </is>
      </c>
      <c r="F539" t="inlineStr">
        <is>
          <t>'=F31/F30-1</t>
        </is>
      </c>
      <c r="G539" t="n">
        <v>0.01180408738548278</v>
      </c>
      <c r="H539" t="inlineStr"/>
      <c r="I539" t="inlineStr">
        <is>
          <t>0%</t>
        </is>
      </c>
      <c r="J539" t="b">
        <v>0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00000000</t>
        </is>
      </c>
      <c r="O539" t="n">
        <v/>
      </c>
      <c r="R539" t="b">
        <v>1</v>
      </c>
      <c r="S539" t="inlineStr">
        <is>
          <t>G000155</t>
        </is>
      </c>
      <c r="T539" t="inlineStr">
        <is>
          <t>Vertical</t>
        </is>
      </c>
      <c r="U539" t="n">
        <v>93</v>
      </c>
      <c r="V539" t="b">
        <v>1</v>
      </c>
      <c r="W539" t="inlineStr">
        <is>
          <t>ATF Fuel 2!G3:G95</t>
        </is>
      </c>
      <c r="X539">
        <f>R[0]C[-1]/R[-1]C[-1]-1</f>
        <v/>
      </c>
    </row>
    <row r="540">
      <c r="A540" t="inlineStr">
        <is>
          <t>ATF Fuel 2</t>
        </is>
      </c>
      <c r="B540" t="inlineStr">
        <is>
          <t>H31</t>
        </is>
      </c>
      <c r="C540" t="n">
        <v>31</v>
      </c>
      <c r="D540" t="n">
        <v>8</v>
      </c>
      <c r="E540" t="inlineStr">
        <is>
          <t>Calculation</t>
        </is>
      </c>
      <c r="F540" t="inlineStr">
        <is>
          <t>'=D31*F31</t>
        </is>
      </c>
      <c r="G540" t="n">
        <v>6377.6015</v>
      </c>
      <c r="H540" t="inlineStr"/>
      <c r="I540" t="inlineStr">
        <is>
          <t>0</t>
        </is>
      </c>
      <c r="J540" t="b">
        <v>0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00000000</t>
        </is>
      </c>
      <c r="O540" t="n">
        <v/>
      </c>
      <c r="R540" t="b">
        <v>1</v>
      </c>
      <c r="S540" t="inlineStr">
        <is>
          <t>G000152</t>
        </is>
      </c>
      <c r="T540" t="inlineStr">
        <is>
          <t>Vertical</t>
        </is>
      </c>
      <c r="U540" t="n">
        <v>98</v>
      </c>
      <c r="V540" t="b">
        <v>1</v>
      </c>
      <c r="W540" t="inlineStr">
        <is>
          <t>ATF Fuel 2!H2:H99</t>
        </is>
      </c>
      <c r="X540">
        <f>R[0]C[-4]*R[0]C[-2]</f>
        <v/>
      </c>
    </row>
    <row r="541">
      <c r="A541" t="inlineStr">
        <is>
          <t>ATF Fuel 2</t>
        </is>
      </c>
      <c r="B541" t="inlineStr">
        <is>
          <t>I31</t>
        </is>
      </c>
      <c r="C541" t="n">
        <v>31</v>
      </c>
      <c r="D541" t="n">
        <v>9</v>
      </c>
      <c r="E541" t="inlineStr">
        <is>
          <t>Output</t>
        </is>
      </c>
      <c r="F541" t="inlineStr">
        <is>
          <t>'=H31/H30-1</t>
        </is>
      </c>
      <c r="G541" t="n">
        <v>0.00953139177140927</v>
      </c>
      <c r="H541" t="inlineStr"/>
      <c r="I541" t="inlineStr">
        <is>
          <t>0%</t>
        </is>
      </c>
      <c r="J541" t="b">
        <v>0</v>
      </c>
      <c r="K541" t="b">
        <v>0</v>
      </c>
      <c r="L541" t="n">
        <v>11</v>
      </c>
      <c r="M541" t="inlineStr">
        <is>
          <t>FFFF0000</t>
        </is>
      </c>
      <c r="N541" t="inlineStr">
        <is>
          <t>00000000</t>
        </is>
      </c>
      <c r="O541" t="n">
        <v/>
      </c>
      <c r="R541" t="b">
        <v>1</v>
      </c>
      <c r="S541" t="inlineStr">
        <is>
          <t>G000156</t>
        </is>
      </c>
      <c r="T541" t="inlineStr">
        <is>
          <t>Vertical</t>
        </is>
      </c>
      <c r="U541" t="n">
        <v>97</v>
      </c>
      <c r="V541" t="b">
        <v>1</v>
      </c>
      <c r="W541" t="inlineStr">
        <is>
          <t>ATF Fuel 2!I3:I99</t>
        </is>
      </c>
      <c r="X541">
        <f>R[0]C[-1]/R[-1]C[-1]-1</f>
        <v/>
      </c>
    </row>
    <row r="542">
      <c r="A542" t="inlineStr">
        <is>
          <t>ATF Fuel 2</t>
        </is>
      </c>
      <c r="B542" t="inlineStr">
        <is>
          <t>J31</t>
        </is>
      </c>
      <c r="C542" t="n">
        <v>31</v>
      </c>
      <c r="D542" t="n">
        <v>10</v>
      </c>
      <c r="E542" t="inlineStr">
        <is>
          <t>Input</t>
        </is>
      </c>
      <c r="F542" t="n">
        <v/>
      </c>
      <c r="G542" t="n">
        <v>95.34</v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00000000</t>
        </is>
      </c>
      <c r="O542" t="n">
        <v/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ATF Fuel 2</t>
        </is>
      </c>
      <c r="B543" t="inlineStr">
        <is>
          <t>K31</t>
        </is>
      </c>
      <c r="C543" t="n">
        <v>31</v>
      </c>
      <c r="D543" t="n">
        <v>11</v>
      </c>
      <c r="E543" t="inlineStr">
        <is>
          <t>Output</t>
        </is>
      </c>
      <c r="F543" t="inlineStr">
        <is>
          <t>'=J31/J30-1</t>
        </is>
      </c>
      <c r="G543" t="n">
        <v>0.0713563321721542</v>
      </c>
      <c r="H543" t="inlineStr"/>
      <c r="I543" t="inlineStr">
        <is>
          <t>0%</t>
        </is>
      </c>
      <c r="J543" t="b">
        <v>0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00000000</t>
        </is>
      </c>
      <c r="O543" t="n">
        <v/>
      </c>
      <c r="R543" t="b">
        <v>1</v>
      </c>
      <c r="S543" t="inlineStr">
        <is>
          <t>G000157</t>
        </is>
      </c>
      <c r="T543" t="inlineStr">
        <is>
          <t>Vertical</t>
        </is>
      </c>
      <c r="U543" t="n">
        <v>93</v>
      </c>
      <c r="V543" t="b">
        <v>1</v>
      </c>
      <c r="W543" t="inlineStr">
        <is>
          <t>ATF Fuel 2!K3:K95</t>
        </is>
      </c>
      <c r="X543">
        <f>R[0]C[-1]/R[-1]C[-1]-1</f>
        <v/>
      </c>
    </row>
    <row r="544">
      <c r="A544" t="inlineStr">
        <is>
          <t>ATF Fuel 2</t>
        </is>
      </c>
      <c r="B544" t="inlineStr">
        <is>
          <t>L31</t>
        </is>
      </c>
      <c r="C544" t="n">
        <v>31</v>
      </c>
      <c r="D544" t="n">
        <v>12</v>
      </c>
      <c r="E544" t="inlineStr">
        <is>
          <t>Input</t>
        </is>
      </c>
      <c r="F544" t="n">
        <v/>
      </c>
      <c r="G544" t="inlineStr">
        <is>
          <t>September 01, 2012</t>
        </is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inlineStr">
        <is>
          <t>left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</row>
    <row r="545">
      <c r="A545" t="inlineStr">
        <is>
          <t>ATF Fuel 2</t>
        </is>
      </c>
      <c r="B545" t="inlineStr">
        <is>
          <t>M31</t>
        </is>
      </c>
      <c r="C545" t="n">
        <v>31</v>
      </c>
      <c r="D545" t="n">
        <v>13</v>
      </c>
      <c r="E545" t="inlineStr">
        <is>
          <t>Calculation</t>
        </is>
      </c>
      <c r="F545" t="inlineStr">
        <is>
          <t>'=(1+(B31/B30)-1)*M30</t>
        </is>
      </c>
      <c r="G545" t="n">
        <v>169.6579901143555</v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00000000</t>
        </is>
      </c>
      <c r="O545" t="inlineStr">
        <is>
          <t>left</t>
        </is>
      </c>
      <c r="R545" t="b">
        <v>1</v>
      </c>
      <c r="S545" t="inlineStr">
        <is>
          <t>G000159</t>
        </is>
      </c>
      <c r="T545" t="inlineStr">
        <is>
          <t>Vertical</t>
        </is>
      </c>
      <c r="U545" t="n">
        <v>92</v>
      </c>
      <c r="V545" t="b">
        <v>1</v>
      </c>
      <c r="W545" t="inlineStr">
        <is>
          <t>ATF Fuel 2!M3:M94</t>
        </is>
      </c>
      <c r="X545">
        <f>(1+(R[0]C[-11]/R[-1]C[-11])-1)*R[-1]C[0]</f>
        <v/>
      </c>
    </row>
    <row r="546">
      <c r="A546" t="inlineStr">
        <is>
          <t>ATF Fuel 2</t>
        </is>
      </c>
      <c r="B546" t="inlineStr">
        <is>
          <t>N31</t>
        </is>
      </c>
      <c r="C546" t="n">
        <v>31</v>
      </c>
      <c r="D546" t="n">
        <v>14</v>
      </c>
      <c r="E546" t="inlineStr">
        <is>
          <t>Calculation</t>
        </is>
      </c>
      <c r="F546" t="inlineStr">
        <is>
          <t>'=(1+(F31/F30)-1)*N30</t>
        </is>
      </c>
      <c r="G546" t="n">
        <v>139.0052039210941</v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00000000</t>
        </is>
      </c>
      <c r="O546" t="inlineStr">
        <is>
          <t>left</t>
        </is>
      </c>
      <c r="R546" t="b">
        <v>1</v>
      </c>
      <c r="S546" t="inlineStr">
        <is>
          <t>G000160</t>
        </is>
      </c>
      <c r="T546" t="inlineStr">
        <is>
          <t>Vertical</t>
        </is>
      </c>
      <c r="U546" t="n">
        <v>92</v>
      </c>
      <c r="V546" t="b">
        <v>1</v>
      </c>
      <c r="W546" t="inlineStr">
        <is>
          <t>ATF Fuel 2!N3:N94</t>
        </is>
      </c>
      <c r="X546">
        <f>(1+(R[0]C[-8]/R[-1]C[-8])-1)*R[-1]C[0]</f>
        <v/>
      </c>
    </row>
    <row r="547">
      <c r="A547" t="inlineStr">
        <is>
          <t>ATF Fuel 2</t>
        </is>
      </c>
      <c r="B547" t="inlineStr">
        <is>
          <t>O31</t>
        </is>
      </c>
      <c r="C547" t="n">
        <v>31</v>
      </c>
      <c r="D547" t="n">
        <v>15</v>
      </c>
      <c r="E547" t="inlineStr">
        <is>
          <t>Calculation</t>
        </is>
      </c>
      <c r="F547" t="inlineStr">
        <is>
          <t>'=(1+(J31/J30)-1)*O30</t>
        </is>
      </c>
      <c r="G547" t="n">
        <v>112.7883591624276</v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inlineStr">
        <is>
          <t>left</t>
        </is>
      </c>
      <c r="R547" t="b">
        <v>1</v>
      </c>
      <c r="S547" t="inlineStr">
        <is>
          <t>G000162</t>
        </is>
      </c>
      <c r="T547" t="inlineStr">
        <is>
          <t>Vertical</t>
        </is>
      </c>
      <c r="U547" t="n">
        <v>92</v>
      </c>
      <c r="V547" t="b">
        <v>1</v>
      </c>
      <c r="W547" t="inlineStr">
        <is>
          <t>ATF Fuel 2!O3:O94</t>
        </is>
      </c>
      <c r="X547">
        <f>(1+(R[0]C[-5]/R[-1]C[-5])-1)*R[-1]C[0]</f>
        <v/>
      </c>
    </row>
    <row r="548">
      <c r="A548" t="inlineStr">
        <is>
          <t>ATF Fuel 2</t>
        </is>
      </c>
      <c r="B548" t="inlineStr">
        <is>
          <t>P31</t>
        </is>
      </c>
      <c r="C548" t="n">
        <v>31</v>
      </c>
      <c r="D548" t="n">
        <v>16</v>
      </c>
      <c r="E548" t="inlineStr">
        <is>
          <t>Calculation</t>
        </is>
      </c>
      <c r="F548" t="inlineStr">
        <is>
          <t>'=(1+(H31/H30)-1)*P30</t>
        </is>
      </c>
      <c r="G548" t="n">
        <v>172.4366386889801</v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inlineStr">
        <is>
          <t>left</t>
        </is>
      </c>
      <c r="R548" t="b">
        <v>1</v>
      </c>
      <c r="S548" t="inlineStr">
        <is>
          <t>G000161</t>
        </is>
      </c>
      <c r="T548" t="inlineStr">
        <is>
          <t>Vertical</t>
        </is>
      </c>
      <c r="U548" t="n">
        <v>92</v>
      </c>
      <c r="V548" t="b">
        <v>1</v>
      </c>
      <c r="W548" t="inlineStr">
        <is>
          <t>ATF Fuel 2!P3:P94</t>
        </is>
      </c>
      <c r="X548">
        <f>(1+(R[0]C[-8]/R[-1]C[-8])-1)*R[-1]C[0]</f>
        <v/>
      </c>
    </row>
    <row r="549">
      <c r="A549" t="inlineStr">
        <is>
          <t>ATF Fuel 2</t>
        </is>
      </c>
      <c r="B549" t="inlineStr">
        <is>
          <t>Q31</t>
        </is>
      </c>
      <c r="C549" t="n">
        <v>31</v>
      </c>
      <c r="D549" t="n">
        <v>17</v>
      </c>
      <c r="E549" t="inlineStr">
        <is>
          <t>Output</t>
        </is>
      </c>
      <c r="F549" t="inlineStr">
        <is>
          <t>'=M31/N31-1</t>
        </is>
      </c>
      <c r="G549" t="n">
        <v>0.2205153859610993</v>
      </c>
      <c r="H549" t="inlineStr"/>
      <c r="I549" t="inlineStr">
        <is>
          <t>0.0%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00000000</t>
        </is>
      </c>
      <c r="O549" t="n">
        <v/>
      </c>
      <c r="R549" t="b">
        <v>1</v>
      </c>
      <c r="S549" t="inlineStr">
        <is>
          <t>G000153</t>
        </is>
      </c>
      <c r="T549" t="inlineStr">
        <is>
          <t>Vertical</t>
        </is>
      </c>
      <c r="U549" t="n">
        <v>93</v>
      </c>
      <c r="V549" t="b">
        <v>1</v>
      </c>
      <c r="W549" t="inlineStr">
        <is>
          <t>ATF Fuel 2!Q2:Q94</t>
        </is>
      </c>
      <c r="X549">
        <f>R[0]C[-4]/R[0]C[-3]-1</f>
        <v/>
      </c>
    </row>
    <row r="550">
      <c r="A550" t="inlineStr">
        <is>
          <t>ATF Fuel 2</t>
        </is>
      </c>
      <c r="B550" t="inlineStr">
        <is>
          <t>A32</t>
        </is>
      </c>
      <c r="C550" t="n">
        <v>32</v>
      </c>
      <c r="D550" t="n">
        <v>1</v>
      </c>
      <c r="E550" t="inlineStr">
        <is>
          <t>Input</t>
        </is>
      </c>
      <c r="F550" t="n">
        <v/>
      </c>
      <c r="G550" t="inlineStr">
        <is>
          <t>October 01, 2012</t>
        </is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00000000</t>
        </is>
      </c>
      <c r="O550" t="n">
        <v/>
      </c>
      <c r="R550" t="b">
        <v>1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ATF Fuel 2</t>
        </is>
      </c>
      <c r="B551" t="inlineStr">
        <is>
          <t>B32</t>
        </is>
      </c>
      <c r="C551" t="n">
        <v>32</v>
      </c>
      <c r="D551" t="n">
        <v>2</v>
      </c>
      <c r="E551" t="inlineStr">
        <is>
          <t>Input</t>
        </is>
      </c>
      <c r="F551" t="n">
        <v/>
      </c>
      <c r="G551" t="n">
        <v>73406.565</v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Values must be of type &lt;class 'str'&gt;</t>
        </is>
      </c>
      <c r="N551" t="inlineStr">
        <is>
          <t>00000000</t>
        </is>
      </c>
      <c r="O551" t="n">
        <v/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</row>
    <row r="552">
      <c r="A552" t="inlineStr">
        <is>
          <t>ATF Fuel 2</t>
        </is>
      </c>
      <c r="B552" t="inlineStr">
        <is>
          <t>C32</t>
        </is>
      </c>
      <c r="C552" t="n">
        <v>32</v>
      </c>
      <c r="D552" t="n">
        <v>3</v>
      </c>
      <c r="E552" t="inlineStr">
        <is>
          <t>Output</t>
        </is>
      </c>
      <c r="F552" t="inlineStr">
        <is>
          <t>'=B32/B31-1</t>
        </is>
      </c>
      <c r="G552" t="n">
        <v>-0.02467040976820811</v>
      </c>
      <c r="H552" t="inlineStr"/>
      <c r="I552" t="inlineStr">
        <is>
          <t>0%</t>
        </is>
      </c>
      <c r="J552" t="b">
        <v>0</v>
      </c>
      <c r="K552" t="b">
        <v>0</v>
      </c>
      <c r="L552" t="n">
        <v>11</v>
      </c>
      <c r="M552" t="n">
        <v/>
      </c>
      <c r="N552" t="inlineStr">
        <is>
          <t>00000000</t>
        </is>
      </c>
      <c r="O552" t="n">
        <v/>
      </c>
      <c r="R552" t="b">
        <v>1</v>
      </c>
      <c r="S552" t="inlineStr">
        <is>
          <t>G000154</t>
        </is>
      </c>
      <c r="T552" t="inlineStr">
        <is>
          <t>Vertical</t>
        </is>
      </c>
      <c r="U552" t="n">
        <v>92</v>
      </c>
      <c r="V552" t="b">
        <v>1</v>
      </c>
      <c r="W552" t="inlineStr">
        <is>
          <t>ATF Fuel 2!C3:C94</t>
        </is>
      </c>
      <c r="X552">
        <f>R[0]C[-1]/R[-1]C[-1]-1</f>
        <v/>
      </c>
    </row>
    <row r="553">
      <c r="A553" t="inlineStr">
        <is>
          <t>ATF Fuel 2</t>
        </is>
      </c>
      <c r="B553" t="inlineStr">
        <is>
          <t>D32</t>
        </is>
      </c>
      <c r="C553" t="n">
        <v>32</v>
      </c>
      <c r="D553" t="n">
        <v>4</v>
      </c>
      <c r="E553" t="inlineStr">
        <is>
          <t>Input</t>
        </is>
      </c>
      <c r="F553" t="n">
        <v/>
      </c>
      <c r="G553" t="n">
        <v>52.995</v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Values must be of type &lt;class 'str'&gt;</t>
        </is>
      </c>
      <c r="N553" t="inlineStr">
        <is>
          <t>00000000</t>
        </is>
      </c>
      <c r="O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</row>
    <row r="554">
      <c r="A554" t="inlineStr">
        <is>
          <t>ATF Fuel 2</t>
        </is>
      </c>
      <c r="B554" t="inlineStr">
        <is>
          <t>E32</t>
        </is>
      </c>
      <c r="C554" t="n">
        <v>32</v>
      </c>
      <c r="D554" t="n">
        <v>5</v>
      </c>
      <c r="E554" t="inlineStr">
        <is>
          <t>Output</t>
        </is>
      </c>
      <c r="F554" t="inlineStr">
        <is>
          <t>'=B32/B31-1</t>
        </is>
      </c>
      <c r="G554" t="n">
        <v>-0.02467040976820811</v>
      </c>
      <c r="H554" t="inlineStr"/>
      <c r="I554" t="inlineStr">
        <is>
          <t>0%</t>
        </is>
      </c>
      <c r="J554" t="b">
        <v>0</v>
      </c>
      <c r="K554" t="b">
        <v>0</v>
      </c>
      <c r="L554" t="n">
        <v>11</v>
      </c>
      <c r="M554" t="inlineStr">
        <is>
          <t>Values must be of type &lt;class 'str'&gt;</t>
        </is>
      </c>
      <c r="N554" t="inlineStr">
        <is>
          <t>00000000</t>
        </is>
      </c>
      <c r="O554" t="n">
        <v/>
      </c>
      <c r="R554" t="b">
        <v>1</v>
      </c>
      <c r="S554" t="inlineStr">
        <is>
          <t>G000158</t>
        </is>
      </c>
      <c r="T554" t="inlineStr">
        <is>
          <t>Vertical</t>
        </is>
      </c>
      <c r="U554" t="n">
        <v>92</v>
      </c>
      <c r="V554" t="b">
        <v>1</v>
      </c>
      <c r="W554" t="inlineStr">
        <is>
          <t>ATF Fuel 2!E3:E94</t>
        </is>
      </c>
      <c r="X554">
        <f>R[0]C[-3]/R[-1]C[-3]-1</f>
        <v/>
      </c>
    </row>
    <row r="555">
      <c r="A555" t="inlineStr">
        <is>
          <t>ATF Fuel 2</t>
        </is>
      </c>
      <c r="B555" t="inlineStr">
        <is>
          <t>F32</t>
        </is>
      </c>
      <c r="C555" t="n">
        <v>32</v>
      </c>
      <c r="D555" t="n">
        <v>6</v>
      </c>
      <c r="E555" t="inlineStr">
        <is>
          <t>Input</t>
        </is>
      </c>
      <c r="F555" t="n">
        <v/>
      </c>
      <c r="G555" t="n">
        <v>114.32</v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11</v>
      </c>
      <c r="M555" t="inlineStr">
        <is>
          <t>Values must be of type &lt;class 'str'&gt;</t>
        </is>
      </c>
      <c r="N555" t="inlineStr">
        <is>
          <t>00000000</t>
        </is>
      </c>
      <c r="O555" t="n">
        <v/>
      </c>
      <c r="R555" t="b">
        <v>1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</row>
    <row r="556">
      <c r="A556" t="inlineStr">
        <is>
          <t>ATF Fuel 2</t>
        </is>
      </c>
      <c r="B556" t="inlineStr">
        <is>
          <t>G32</t>
        </is>
      </c>
      <c r="C556" t="n">
        <v>32</v>
      </c>
      <c r="D556" t="n">
        <v>7</v>
      </c>
      <c r="E556" t="inlineStr">
        <is>
          <t>Output</t>
        </is>
      </c>
      <c r="F556" t="inlineStr">
        <is>
          <t>'=F32/F31-1</t>
        </is>
      </c>
      <c r="G556" t="n">
        <v>-0.00470137558767203</v>
      </c>
      <c r="H556" t="inlineStr"/>
      <c r="I556" t="inlineStr">
        <is>
          <t>0%</t>
        </is>
      </c>
      <c r="J556" t="b">
        <v>0</v>
      </c>
      <c r="K556" t="b">
        <v>0</v>
      </c>
      <c r="L556" t="n">
        <v>11</v>
      </c>
      <c r="M556" t="inlineStr">
        <is>
          <t>Values must be of type &lt;class 'str'&gt;</t>
        </is>
      </c>
      <c r="N556" t="inlineStr">
        <is>
          <t>00000000</t>
        </is>
      </c>
      <c r="O556" t="n">
        <v/>
      </c>
      <c r="R556" t="b">
        <v>1</v>
      </c>
      <c r="S556" t="inlineStr">
        <is>
          <t>G000155</t>
        </is>
      </c>
      <c r="T556" t="inlineStr">
        <is>
          <t>Vertical</t>
        </is>
      </c>
      <c r="U556" t="n">
        <v>93</v>
      </c>
      <c r="V556" t="b">
        <v>1</v>
      </c>
      <c r="W556" t="inlineStr">
        <is>
          <t>ATF Fuel 2!G3:G95</t>
        </is>
      </c>
      <c r="X556">
        <f>R[0]C[-1]/R[-1]C[-1]-1</f>
        <v/>
      </c>
    </row>
    <row r="557">
      <c r="A557" t="inlineStr">
        <is>
          <t>ATF Fuel 2</t>
        </is>
      </c>
      <c r="B557" t="inlineStr">
        <is>
          <t>H32</t>
        </is>
      </c>
      <c r="C557" t="n">
        <v>32</v>
      </c>
      <c r="D557" t="n">
        <v>8</v>
      </c>
      <c r="E557" t="inlineStr">
        <is>
          <t>Calculation</t>
        </is>
      </c>
      <c r="F557" t="inlineStr">
        <is>
          <t>'=D32*F32</t>
        </is>
      </c>
      <c r="G557" t="n">
        <v>6058.388399999999</v>
      </c>
      <c r="H557" t="inlineStr"/>
      <c r="I557" t="inlineStr">
        <is>
          <t>0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n">
        <v/>
      </c>
      <c r="R557" t="b">
        <v>1</v>
      </c>
      <c r="S557" t="inlineStr">
        <is>
          <t>G000152</t>
        </is>
      </c>
      <c r="T557" t="inlineStr">
        <is>
          <t>Vertical</t>
        </is>
      </c>
      <c r="U557" t="n">
        <v>98</v>
      </c>
      <c r="V557" t="b">
        <v>1</v>
      </c>
      <c r="W557" t="inlineStr">
        <is>
          <t>ATF Fuel 2!H2:H99</t>
        </is>
      </c>
      <c r="X557">
        <f>R[0]C[-4]*R[0]C[-2]</f>
        <v/>
      </c>
    </row>
    <row r="558">
      <c r="A558" t="inlineStr">
        <is>
          <t>ATF Fuel 2</t>
        </is>
      </c>
      <c r="B558" t="inlineStr">
        <is>
          <t>I32</t>
        </is>
      </c>
      <c r="C558" t="n">
        <v>32</v>
      </c>
      <c r="D558" t="n">
        <v>9</v>
      </c>
      <c r="E558" t="inlineStr">
        <is>
          <t>Output</t>
        </is>
      </c>
      <c r="F558" t="inlineStr">
        <is>
          <t>'=H32/H31-1</t>
        </is>
      </c>
      <c r="G558" t="n">
        <v>-0.05005221790668501</v>
      </c>
      <c r="H558" t="inlineStr"/>
      <c r="I558" t="inlineStr">
        <is>
          <t>0%</t>
        </is>
      </c>
      <c r="J558" t="b">
        <v>0</v>
      </c>
      <c r="K558" t="b">
        <v>0</v>
      </c>
      <c r="L558" t="n">
        <v>11</v>
      </c>
      <c r="M558" t="inlineStr">
        <is>
          <t>FFFF0000</t>
        </is>
      </c>
      <c r="N558" t="inlineStr">
        <is>
          <t>00000000</t>
        </is>
      </c>
      <c r="O558" t="n">
        <v/>
      </c>
      <c r="R558" t="b">
        <v>1</v>
      </c>
      <c r="S558" t="inlineStr">
        <is>
          <t>G000156</t>
        </is>
      </c>
      <c r="T558" t="inlineStr">
        <is>
          <t>Vertical</t>
        </is>
      </c>
      <c r="U558" t="n">
        <v>97</v>
      </c>
      <c r="V558" t="b">
        <v>1</v>
      </c>
      <c r="W558" t="inlineStr">
        <is>
          <t>ATF Fuel 2!I3:I99</t>
        </is>
      </c>
      <c r="X558">
        <f>R[0]C[-1]/R[-1]C[-1]-1</f>
        <v/>
      </c>
    </row>
    <row r="559">
      <c r="A559" t="inlineStr">
        <is>
          <t>ATF Fuel 2</t>
        </is>
      </c>
      <c r="B559" t="inlineStr">
        <is>
          <t>J32</t>
        </is>
      </c>
      <c r="C559" t="n">
        <v>32</v>
      </c>
      <c r="D559" t="n">
        <v>10</v>
      </c>
      <c r="E559" t="inlineStr">
        <is>
          <t>Input</t>
        </is>
      </c>
      <c r="F559" t="n">
        <v/>
      </c>
      <c r="G559" t="n">
        <v>92.44</v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n">
        <v/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</row>
    <row r="560">
      <c r="A560" t="inlineStr">
        <is>
          <t>ATF Fuel 2</t>
        </is>
      </c>
      <c r="B560" t="inlineStr">
        <is>
          <t>K32</t>
        </is>
      </c>
      <c r="C560" t="n">
        <v>32</v>
      </c>
      <c r="D560" t="n">
        <v>11</v>
      </c>
      <c r="E560" t="inlineStr">
        <is>
          <t>Output</t>
        </is>
      </c>
      <c r="F560" t="inlineStr">
        <is>
          <t>'=J32/J31-1</t>
        </is>
      </c>
      <c r="G560" t="n">
        <v>-0.03041745332494239</v>
      </c>
      <c r="H560" t="inlineStr"/>
      <c r="I560" t="inlineStr">
        <is>
          <t>0%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n">
        <v/>
      </c>
      <c r="R560" t="b">
        <v>1</v>
      </c>
      <c r="S560" t="inlineStr">
        <is>
          <t>G000157</t>
        </is>
      </c>
      <c r="T560" t="inlineStr">
        <is>
          <t>Vertical</t>
        </is>
      </c>
      <c r="U560" t="n">
        <v>93</v>
      </c>
      <c r="V560" t="b">
        <v>1</v>
      </c>
      <c r="W560" t="inlineStr">
        <is>
          <t>ATF Fuel 2!K3:K95</t>
        </is>
      </c>
      <c r="X560">
        <f>R[0]C[-1]/R[-1]C[-1]-1</f>
        <v/>
      </c>
    </row>
    <row r="561">
      <c r="A561" t="inlineStr">
        <is>
          <t>ATF Fuel 2</t>
        </is>
      </c>
      <c r="B561" t="inlineStr">
        <is>
          <t>L32</t>
        </is>
      </c>
      <c r="C561" t="n">
        <v>32</v>
      </c>
      <c r="D561" t="n">
        <v>12</v>
      </c>
      <c r="E561" t="inlineStr">
        <is>
          <t>Input</t>
        </is>
      </c>
      <c r="F561" t="n">
        <v/>
      </c>
      <c r="G561" t="inlineStr">
        <is>
          <t>October 01, 2012</t>
        </is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00000000</t>
        </is>
      </c>
      <c r="O561" t="inlineStr">
        <is>
          <t>left</t>
        </is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</row>
    <row r="562">
      <c r="A562" t="inlineStr">
        <is>
          <t>ATF Fuel 2</t>
        </is>
      </c>
      <c r="B562" t="inlineStr">
        <is>
          <t>M32</t>
        </is>
      </c>
      <c r="C562" t="n">
        <v>32</v>
      </c>
      <c r="D562" t="n">
        <v>13</v>
      </c>
      <c r="E562" t="inlineStr">
        <is>
          <t>Calculation</t>
        </is>
      </c>
      <c r="F562" t="inlineStr">
        <is>
          <t>'=(1+(B32/B31)-1)*M31</t>
        </is>
      </c>
      <c r="G562" t="n">
        <v>165.4724579777837</v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Values must be of type &lt;class 'str'&gt;</t>
        </is>
      </c>
      <c r="N562" t="inlineStr">
        <is>
          <t>00000000</t>
        </is>
      </c>
      <c r="O562" t="inlineStr">
        <is>
          <t>left</t>
        </is>
      </c>
      <c r="R562" t="b">
        <v>1</v>
      </c>
      <c r="S562" t="inlineStr">
        <is>
          <t>G000159</t>
        </is>
      </c>
      <c r="T562" t="inlineStr">
        <is>
          <t>Vertical</t>
        </is>
      </c>
      <c r="U562" t="n">
        <v>92</v>
      </c>
      <c r="V562" t="b">
        <v>1</v>
      </c>
      <c r="W562" t="inlineStr">
        <is>
          <t>ATF Fuel 2!M3:M94</t>
        </is>
      </c>
      <c r="X562">
        <f>(1+(R[0]C[-11]/R[-1]C[-11])-1)*R[-1]C[0]</f>
        <v/>
      </c>
    </row>
    <row r="563">
      <c r="A563" t="inlineStr">
        <is>
          <t>ATF Fuel 2</t>
        </is>
      </c>
      <c r="B563" t="inlineStr">
        <is>
          <t>N32</t>
        </is>
      </c>
      <c r="C563" t="n">
        <v>32</v>
      </c>
      <c r="D563" t="n">
        <v>14</v>
      </c>
      <c r="E563" t="inlineStr">
        <is>
          <t>Calculation</t>
        </is>
      </c>
      <c r="F563" t="inlineStr">
        <is>
          <t>'=(1+(F32/F31)-1)*N31</t>
        </is>
      </c>
      <c r="G563" t="n">
        <v>138.3516882488201</v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Values must be of type &lt;class 'str'&gt;</t>
        </is>
      </c>
      <c r="N563" t="inlineStr">
        <is>
          <t>00000000</t>
        </is>
      </c>
      <c r="O563" t="inlineStr">
        <is>
          <t>left</t>
        </is>
      </c>
      <c r="R563" t="b">
        <v>1</v>
      </c>
      <c r="S563" t="inlineStr">
        <is>
          <t>G000160</t>
        </is>
      </c>
      <c r="T563" t="inlineStr">
        <is>
          <t>Vertical</t>
        </is>
      </c>
      <c r="U563" t="n">
        <v>92</v>
      </c>
      <c r="V563" t="b">
        <v>1</v>
      </c>
      <c r="W563" t="inlineStr">
        <is>
          <t>ATF Fuel 2!N3:N94</t>
        </is>
      </c>
      <c r="X563">
        <f>(1+(R[0]C[-8]/R[-1]C[-8])-1)*R[-1]C[0]</f>
        <v/>
      </c>
    </row>
    <row r="564">
      <c r="A564" t="inlineStr">
        <is>
          <t>ATF Fuel 2</t>
        </is>
      </c>
      <c r="B564" t="inlineStr">
        <is>
          <t>O32</t>
        </is>
      </c>
      <c r="C564" t="n">
        <v>32</v>
      </c>
      <c r="D564" t="n">
        <v>15</v>
      </c>
      <c r="E564" t="inlineStr">
        <is>
          <t>Calculation</t>
        </is>
      </c>
      <c r="F564" t="inlineStr">
        <is>
          <t>'=(1+(J32/J31)-1)*O31</t>
        </is>
      </c>
      <c r="G564" t="n">
        <v>109.3576245120076</v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11</v>
      </c>
      <c r="M564" t="inlineStr">
        <is>
          <t>Values must be of type &lt;class 'str'&gt;</t>
        </is>
      </c>
      <c r="N564" t="inlineStr">
        <is>
          <t>00000000</t>
        </is>
      </c>
      <c r="O564" t="inlineStr">
        <is>
          <t>left</t>
        </is>
      </c>
      <c r="R564" t="b">
        <v>1</v>
      </c>
      <c r="S564" t="inlineStr">
        <is>
          <t>G000162</t>
        </is>
      </c>
      <c r="T564" t="inlineStr">
        <is>
          <t>Vertical</t>
        </is>
      </c>
      <c r="U564" t="n">
        <v>92</v>
      </c>
      <c r="V564" t="b">
        <v>1</v>
      </c>
      <c r="W564" t="inlineStr">
        <is>
          <t>ATF Fuel 2!O3:O94</t>
        </is>
      </c>
      <c r="X564">
        <f>(1+(R[0]C[-5]/R[-1]C[-5])-1)*R[-1]C[0]</f>
        <v/>
      </c>
    </row>
    <row r="565">
      <c r="A565" t="inlineStr">
        <is>
          <t>ATF Fuel 2</t>
        </is>
      </c>
      <c r="B565" t="inlineStr">
        <is>
          <t>P32</t>
        </is>
      </c>
      <c r="C565" t="n">
        <v>32</v>
      </c>
      <c r="D565" t="n">
        <v>16</v>
      </c>
      <c r="E565" t="inlineStr">
        <is>
          <t>Calculation</t>
        </is>
      </c>
      <c r="F565" t="inlineStr">
        <is>
          <t>'=(1+(H32/H31)-1)*P31</t>
        </is>
      </c>
      <c r="G565" t="n">
        <v>163.8058024742229</v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Values must be of type &lt;class 'str'&gt;</t>
        </is>
      </c>
      <c r="N565" t="inlineStr">
        <is>
          <t>00000000</t>
        </is>
      </c>
      <c r="O565" t="inlineStr">
        <is>
          <t>left</t>
        </is>
      </c>
      <c r="R565" t="b">
        <v>1</v>
      </c>
      <c r="S565" t="inlineStr">
        <is>
          <t>G000161</t>
        </is>
      </c>
      <c r="T565" t="inlineStr">
        <is>
          <t>Vertical</t>
        </is>
      </c>
      <c r="U565" t="n">
        <v>92</v>
      </c>
      <c r="V565" t="b">
        <v>1</v>
      </c>
      <c r="W565" t="inlineStr">
        <is>
          <t>ATF Fuel 2!P3:P94</t>
        </is>
      </c>
      <c r="X565">
        <f>(1+(R[0]C[-8]/R[-1]C[-8])-1)*R[-1]C[0]</f>
        <v/>
      </c>
    </row>
    <row r="566">
      <c r="A566" t="inlineStr">
        <is>
          <t>ATF Fuel 2</t>
        </is>
      </c>
      <c r="B566" t="inlineStr">
        <is>
          <t>Q32</t>
        </is>
      </c>
      <c r="C566" t="n">
        <v>32</v>
      </c>
      <c r="D566" t="n">
        <v>17</v>
      </c>
      <c r="E566" t="inlineStr">
        <is>
          <t>Output</t>
        </is>
      </c>
      <c r="F566" t="inlineStr">
        <is>
          <t>'=M32/N32-1</t>
        </is>
      </c>
      <c r="G566" t="n">
        <v>0.1960277469125491</v>
      </c>
      <c r="H566" t="inlineStr"/>
      <c r="I566" t="inlineStr">
        <is>
          <t>0.0%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00000000</t>
        </is>
      </c>
      <c r="O566" t="n">
        <v/>
      </c>
      <c r="R566" t="b">
        <v>1</v>
      </c>
      <c r="S566" t="inlineStr">
        <is>
          <t>G000153</t>
        </is>
      </c>
      <c r="T566" t="inlineStr">
        <is>
          <t>Vertical</t>
        </is>
      </c>
      <c r="U566" t="n">
        <v>93</v>
      </c>
      <c r="V566" t="b">
        <v>1</v>
      </c>
      <c r="W566" t="inlineStr">
        <is>
          <t>ATF Fuel 2!Q2:Q94</t>
        </is>
      </c>
      <c r="X566">
        <f>R[0]C[-4]/R[0]C[-3]-1</f>
        <v/>
      </c>
    </row>
    <row r="567">
      <c r="A567" t="inlineStr">
        <is>
          <t>ATF Fuel 2</t>
        </is>
      </c>
      <c r="B567" t="inlineStr">
        <is>
          <t>A33</t>
        </is>
      </c>
      <c r="C567" t="n">
        <v>33</v>
      </c>
      <c r="D567" t="n">
        <v>1</v>
      </c>
      <c r="E567" t="inlineStr">
        <is>
          <t>Input</t>
        </is>
      </c>
      <c r="F567" t="n">
        <v/>
      </c>
      <c r="G567" t="inlineStr">
        <is>
          <t>November 01, 2012</t>
        </is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00000000</t>
        </is>
      </c>
      <c r="O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ATF Fuel 2</t>
        </is>
      </c>
      <c r="B568" t="inlineStr">
        <is>
          <t>B33</t>
        </is>
      </c>
      <c r="C568" t="n">
        <v>33</v>
      </c>
      <c r="D568" t="n">
        <v>2</v>
      </c>
      <c r="E568" t="inlineStr">
        <is>
          <t>Input</t>
        </is>
      </c>
      <c r="F568" t="n">
        <v/>
      </c>
      <c r="G568" t="n">
        <v>71455.92999999999</v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00000000</t>
        </is>
      </c>
      <c r="O568" t="n">
        <v/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ATF Fuel 2</t>
        </is>
      </c>
      <c r="B569" t="inlineStr">
        <is>
          <t>C33</t>
        </is>
      </c>
      <c r="C569" t="n">
        <v>33</v>
      </c>
      <c r="D569" t="n">
        <v>3</v>
      </c>
      <c r="E569" t="inlineStr">
        <is>
          <t>Output</t>
        </is>
      </c>
      <c r="F569" t="inlineStr">
        <is>
          <t>'=B33/B32-1</t>
        </is>
      </c>
      <c r="G569" t="n">
        <v>-0.02657303198971384</v>
      </c>
      <c r="H569" t="inlineStr"/>
      <c r="I569" t="inlineStr">
        <is>
          <t>0%</t>
        </is>
      </c>
      <c r="J569" t="b">
        <v>0</v>
      </c>
      <c r="K569" t="b">
        <v>0</v>
      </c>
      <c r="L569" t="n">
        <v>11</v>
      </c>
      <c r="M569" t="n">
        <v/>
      </c>
      <c r="N569" t="inlineStr">
        <is>
          <t>00000000</t>
        </is>
      </c>
      <c r="O569" t="n">
        <v/>
      </c>
      <c r="R569" t="b">
        <v>1</v>
      </c>
      <c r="S569" t="inlineStr">
        <is>
          <t>G000154</t>
        </is>
      </c>
      <c r="T569" t="inlineStr">
        <is>
          <t>Vertical</t>
        </is>
      </c>
      <c r="U569" t="n">
        <v>92</v>
      </c>
      <c r="V569" t="b">
        <v>1</v>
      </c>
      <c r="W569" t="inlineStr">
        <is>
          <t>ATF Fuel 2!C3:C94</t>
        </is>
      </c>
      <c r="X569">
        <f>R[0]C[-1]/R[-1]C[-1]-1</f>
        <v/>
      </c>
    </row>
    <row r="570">
      <c r="A570" t="inlineStr">
        <is>
          <t>ATF Fuel 2</t>
        </is>
      </c>
      <c r="B570" t="inlineStr">
        <is>
          <t>D33</t>
        </is>
      </c>
      <c r="C570" t="n">
        <v>33</v>
      </c>
      <c r="D570" t="n">
        <v>4</v>
      </c>
      <c r="E570" t="inlineStr">
        <is>
          <t>Input</t>
        </is>
      </c>
      <c r="F570" t="n">
        <v/>
      </c>
      <c r="G570" t="n">
        <v>53.805</v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n">
        <v/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</row>
    <row r="571">
      <c r="A571" t="inlineStr">
        <is>
          <t>ATF Fuel 2</t>
        </is>
      </c>
      <c r="B571" t="inlineStr">
        <is>
          <t>E33</t>
        </is>
      </c>
      <c r="C571" t="n">
        <v>33</v>
      </c>
      <c r="D571" t="n">
        <v>5</v>
      </c>
      <c r="E571" t="inlineStr">
        <is>
          <t>Output</t>
        </is>
      </c>
      <c r="F571" t="inlineStr">
        <is>
          <t>'=B33/B32-1</t>
        </is>
      </c>
      <c r="G571" t="n">
        <v>-0.02657303198971384</v>
      </c>
      <c r="H571" t="inlineStr"/>
      <c r="I571" t="inlineStr">
        <is>
          <t>0%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n">
        <v/>
      </c>
      <c r="R571" t="b">
        <v>1</v>
      </c>
      <c r="S571" t="inlineStr">
        <is>
          <t>G000158</t>
        </is>
      </c>
      <c r="T571" t="inlineStr">
        <is>
          <t>Vertical</t>
        </is>
      </c>
      <c r="U571" t="n">
        <v>92</v>
      </c>
      <c r="V571" t="b">
        <v>1</v>
      </c>
      <c r="W571" t="inlineStr">
        <is>
          <t>ATF Fuel 2!E3:E94</t>
        </is>
      </c>
      <c r="X571">
        <f>R[0]C[-3]/R[-1]C[-3]-1</f>
        <v/>
      </c>
    </row>
    <row r="572">
      <c r="A572" t="inlineStr">
        <is>
          <t>ATF Fuel 2</t>
        </is>
      </c>
      <c r="B572" t="inlineStr">
        <is>
          <t>F33</t>
        </is>
      </c>
      <c r="C572" t="n">
        <v>33</v>
      </c>
      <c r="D572" t="n">
        <v>6</v>
      </c>
      <c r="E572" t="inlineStr">
        <is>
          <t>Input</t>
        </is>
      </c>
      <c r="F572" t="n">
        <v/>
      </c>
      <c r="G572" t="n">
        <v>108.61</v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00000000</t>
        </is>
      </c>
      <c r="O572" t="n">
        <v/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</row>
    <row r="573">
      <c r="A573" t="inlineStr">
        <is>
          <t>ATF Fuel 2</t>
        </is>
      </c>
      <c r="B573" t="inlineStr">
        <is>
          <t>G33</t>
        </is>
      </c>
      <c r="C573" t="n">
        <v>33</v>
      </c>
      <c r="D573" t="n">
        <v>7</v>
      </c>
      <c r="E573" t="inlineStr">
        <is>
          <t>Output</t>
        </is>
      </c>
      <c r="F573" t="inlineStr">
        <is>
          <t>'=F33/F32-1</t>
        </is>
      </c>
      <c r="G573" t="n">
        <v>-0.04994751574527634</v>
      </c>
      <c r="H573" t="inlineStr"/>
      <c r="I573" t="inlineStr">
        <is>
          <t>0%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00000000</t>
        </is>
      </c>
      <c r="O573" t="n">
        <v/>
      </c>
      <c r="R573" t="b">
        <v>1</v>
      </c>
      <c r="S573" t="inlineStr">
        <is>
          <t>G000155</t>
        </is>
      </c>
      <c r="T573" t="inlineStr">
        <is>
          <t>Vertical</t>
        </is>
      </c>
      <c r="U573" t="n">
        <v>93</v>
      </c>
      <c r="V573" t="b">
        <v>1</v>
      </c>
      <c r="W573" t="inlineStr">
        <is>
          <t>ATF Fuel 2!G3:G95</t>
        </is>
      </c>
      <c r="X573">
        <f>R[0]C[-1]/R[-1]C[-1]-1</f>
        <v/>
      </c>
    </row>
    <row r="574">
      <c r="A574" t="inlineStr">
        <is>
          <t>ATF Fuel 2</t>
        </is>
      </c>
      <c r="B574" t="inlineStr">
        <is>
          <t>H33</t>
        </is>
      </c>
      <c r="C574" t="n">
        <v>33</v>
      </c>
      <c r="D574" t="n">
        <v>8</v>
      </c>
      <c r="E574" t="inlineStr">
        <is>
          <t>Calculation</t>
        </is>
      </c>
      <c r="F574" t="inlineStr">
        <is>
          <t>'=D33*F33</t>
        </is>
      </c>
      <c r="G574" t="n">
        <v>5843.76105</v>
      </c>
      <c r="H574" t="inlineStr"/>
      <c r="I574" t="inlineStr">
        <is>
          <t>0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00000000</t>
        </is>
      </c>
      <c r="O574" t="n">
        <v/>
      </c>
      <c r="R574" t="b">
        <v>1</v>
      </c>
      <c r="S574" t="inlineStr">
        <is>
          <t>G000152</t>
        </is>
      </c>
      <c r="T574" t="inlineStr">
        <is>
          <t>Vertical</t>
        </is>
      </c>
      <c r="U574" t="n">
        <v>98</v>
      </c>
      <c r="V574" t="b">
        <v>1</v>
      </c>
      <c r="W574" t="inlineStr">
        <is>
          <t>ATF Fuel 2!H2:H99</t>
        </is>
      </c>
      <c r="X574">
        <f>R[0]C[-4]*R[0]C[-2]</f>
        <v/>
      </c>
    </row>
    <row r="575">
      <c r="A575" t="inlineStr">
        <is>
          <t>ATF Fuel 2</t>
        </is>
      </c>
      <c r="B575" t="inlineStr">
        <is>
          <t>I33</t>
        </is>
      </c>
      <c r="C575" t="n">
        <v>33</v>
      </c>
      <c r="D575" t="n">
        <v>9</v>
      </c>
      <c r="E575" t="inlineStr">
        <is>
          <t>Output</t>
        </is>
      </c>
      <c r="F575" t="inlineStr">
        <is>
          <t>'=H33/H32-1</t>
        </is>
      </c>
      <c r="G575" t="n">
        <v>-0.03542647579346325</v>
      </c>
      <c r="H575" t="inlineStr"/>
      <c r="I575" t="inlineStr">
        <is>
          <t>0%</t>
        </is>
      </c>
      <c r="J575" t="b">
        <v>0</v>
      </c>
      <c r="K575" t="b">
        <v>0</v>
      </c>
      <c r="L575" t="n">
        <v>11</v>
      </c>
      <c r="M575" t="inlineStr">
        <is>
          <t>FFFF0000</t>
        </is>
      </c>
      <c r="N575" t="inlineStr">
        <is>
          <t>00000000</t>
        </is>
      </c>
      <c r="O575" t="n">
        <v/>
      </c>
      <c r="R575" t="b">
        <v>1</v>
      </c>
      <c r="S575" t="inlineStr">
        <is>
          <t>G000156</t>
        </is>
      </c>
      <c r="T575" t="inlineStr">
        <is>
          <t>Vertical</t>
        </is>
      </c>
      <c r="U575" t="n">
        <v>97</v>
      </c>
      <c r="V575" t="b">
        <v>1</v>
      </c>
      <c r="W575" t="inlineStr">
        <is>
          <t>ATF Fuel 2!I3:I99</t>
        </is>
      </c>
      <c r="X575">
        <f>R[0]C[-1]/R[-1]C[-1]-1</f>
        <v/>
      </c>
    </row>
    <row r="576">
      <c r="A576" t="inlineStr">
        <is>
          <t>ATF Fuel 2</t>
        </is>
      </c>
      <c r="B576" t="inlineStr">
        <is>
          <t>J33</t>
        </is>
      </c>
      <c r="C576" t="n">
        <v>33</v>
      </c>
      <c r="D576" t="n">
        <v>10</v>
      </c>
      <c r="E576" t="inlineStr">
        <is>
          <t>Input</t>
        </is>
      </c>
      <c r="F576" t="n">
        <v/>
      </c>
      <c r="G576" t="n">
        <v>87.05</v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00000000</t>
        </is>
      </c>
      <c r="O576" t="n">
        <v/>
      </c>
      <c r="R576" t="b">
        <v>1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</row>
    <row r="577">
      <c r="A577" t="inlineStr">
        <is>
          <t>ATF Fuel 2</t>
        </is>
      </c>
      <c r="B577" t="inlineStr">
        <is>
          <t>K33</t>
        </is>
      </c>
      <c r="C577" t="n">
        <v>33</v>
      </c>
      <c r="D577" t="n">
        <v>11</v>
      </c>
      <c r="E577" t="inlineStr">
        <is>
          <t>Output</t>
        </is>
      </c>
      <c r="F577" t="inlineStr">
        <is>
          <t>'=J33/J32-1</t>
        </is>
      </c>
      <c r="G577" t="n">
        <v>-0.05830809173517959</v>
      </c>
      <c r="H577" t="inlineStr"/>
      <c r="I577" t="inlineStr">
        <is>
          <t>0%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n">
        <v/>
      </c>
      <c r="R577" t="b">
        <v>1</v>
      </c>
      <c r="S577" t="inlineStr">
        <is>
          <t>G000157</t>
        </is>
      </c>
      <c r="T577" t="inlineStr">
        <is>
          <t>Vertical</t>
        </is>
      </c>
      <c r="U577" t="n">
        <v>93</v>
      </c>
      <c r="V577" t="b">
        <v>1</v>
      </c>
      <c r="W577" t="inlineStr">
        <is>
          <t>ATF Fuel 2!K3:K95</t>
        </is>
      </c>
      <c r="X577">
        <f>R[0]C[-1]/R[-1]C[-1]-1</f>
        <v/>
      </c>
    </row>
    <row r="578">
      <c r="A578" t="inlineStr">
        <is>
          <t>ATF Fuel 2</t>
        </is>
      </c>
      <c r="B578" t="inlineStr">
        <is>
          <t>L33</t>
        </is>
      </c>
      <c r="C578" t="n">
        <v>33</v>
      </c>
      <c r="D578" t="n">
        <v>12</v>
      </c>
      <c r="E578" t="inlineStr">
        <is>
          <t>Input</t>
        </is>
      </c>
      <c r="F578" t="n">
        <v/>
      </c>
      <c r="G578" t="inlineStr">
        <is>
          <t>November 01, 2012</t>
        </is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00000000</t>
        </is>
      </c>
      <c r="O578" t="inlineStr">
        <is>
          <t>left</t>
        </is>
      </c>
      <c r="R578" t="b">
        <v>1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</row>
    <row r="579">
      <c r="A579" t="inlineStr">
        <is>
          <t>ATF Fuel 2</t>
        </is>
      </c>
      <c r="B579" t="inlineStr">
        <is>
          <t>M33</t>
        </is>
      </c>
      <c r="C579" t="n">
        <v>33</v>
      </c>
      <c r="D579" t="n">
        <v>13</v>
      </c>
      <c r="E579" t="inlineStr">
        <is>
          <t>Calculation</t>
        </is>
      </c>
      <c r="F579" t="inlineStr">
        <is>
          <t>'=(1+(B33/B32)-1)*M32</t>
        </is>
      </c>
      <c r="G579" t="n">
        <v>161.0753530585235</v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00000000</t>
        </is>
      </c>
      <c r="O579" t="inlineStr">
        <is>
          <t>left</t>
        </is>
      </c>
      <c r="R579" t="b">
        <v>1</v>
      </c>
      <c r="S579" t="inlineStr">
        <is>
          <t>G000159</t>
        </is>
      </c>
      <c r="T579" t="inlineStr">
        <is>
          <t>Vertical</t>
        </is>
      </c>
      <c r="U579" t="n">
        <v>92</v>
      </c>
      <c r="V579" t="b">
        <v>1</v>
      </c>
      <c r="W579" t="inlineStr">
        <is>
          <t>ATF Fuel 2!M3:M94</t>
        </is>
      </c>
      <c r="X579">
        <f>(1+(R[0]C[-11]/R[-1]C[-11])-1)*R[-1]C[0]</f>
        <v/>
      </c>
    </row>
    <row r="580">
      <c r="A580" t="inlineStr">
        <is>
          <t>ATF Fuel 2</t>
        </is>
      </c>
      <c r="B580" t="inlineStr">
        <is>
          <t>N33</t>
        </is>
      </c>
      <c r="C580" t="n">
        <v>33</v>
      </c>
      <c r="D580" t="n">
        <v>14</v>
      </c>
      <c r="E580" t="inlineStr">
        <is>
          <t>Calculation</t>
        </is>
      </c>
      <c r="F580" t="inlineStr">
        <is>
          <t>'=(1+(F33/F32)-1)*N32</t>
        </is>
      </c>
      <c r="G580" t="n">
        <v>131.4413651216266</v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inlineStr">
        <is>
          <t>left</t>
        </is>
      </c>
      <c r="R580" t="b">
        <v>1</v>
      </c>
      <c r="S580" t="inlineStr">
        <is>
          <t>G000160</t>
        </is>
      </c>
      <c r="T580" t="inlineStr">
        <is>
          <t>Vertical</t>
        </is>
      </c>
      <c r="U580" t="n">
        <v>92</v>
      </c>
      <c r="V580" t="b">
        <v>1</v>
      </c>
      <c r="W580" t="inlineStr">
        <is>
          <t>ATF Fuel 2!N3:N94</t>
        </is>
      </c>
      <c r="X580">
        <f>(1+(R[0]C[-8]/R[-1]C[-8])-1)*R[-1]C[0]</f>
        <v/>
      </c>
    </row>
    <row r="581">
      <c r="A581" t="inlineStr">
        <is>
          <t>ATF Fuel 2</t>
        </is>
      </c>
      <c r="B581" t="inlineStr">
        <is>
          <t>O33</t>
        </is>
      </c>
      <c r="C581" t="n">
        <v>33</v>
      </c>
      <c r="D581" t="n">
        <v>15</v>
      </c>
      <c r="E581" t="inlineStr">
        <is>
          <t>Calculation</t>
        </is>
      </c>
      <c r="F581" t="inlineStr">
        <is>
          <t>'=(1+(J33/J32)-1)*O32</t>
        </is>
      </c>
      <c r="G581" t="n">
        <v>102.9811901100201</v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inlineStr">
        <is>
          <t>left</t>
        </is>
      </c>
      <c r="R581" t="b">
        <v>1</v>
      </c>
      <c r="S581" t="inlineStr">
        <is>
          <t>G000162</t>
        </is>
      </c>
      <c r="T581" t="inlineStr">
        <is>
          <t>Vertical</t>
        </is>
      </c>
      <c r="U581" t="n">
        <v>92</v>
      </c>
      <c r="V581" t="b">
        <v>1</v>
      </c>
      <c r="W581" t="inlineStr">
        <is>
          <t>ATF Fuel 2!O3:O94</t>
        </is>
      </c>
      <c r="X581">
        <f>(1+(R[0]C[-5]/R[-1]C[-5])-1)*R[-1]C[0]</f>
        <v/>
      </c>
    </row>
    <row r="582">
      <c r="A582" t="inlineStr">
        <is>
          <t>ATF Fuel 2</t>
        </is>
      </c>
      <c r="B582" t="inlineStr">
        <is>
          <t>P33</t>
        </is>
      </c>
      <c r="C582" t="n">
        <v>33</v>
      </c>
      <c r="D582" t="n">
        <v>16</v>
      </c>
      <c r="E582" t="inlineStr">
        <is>
          <t>Calculation</t>
        </is>
      </c>
      <c r="F582" t="inlineStr">
        <is>
          <t>'=(1+(H33/H32)-1)*P32</t>
        </is>
      </c>
      <c r="G582" t="n">
        <v>158.0027401780411</v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inlineStr">
        <is>
          <t>left</t>
        </is>
      </c>
      <c r="R582" t="b">
        <v>1</v>
      </c>
      <c r="S582" t="inlineStr">
        <is>
          <t>G000161</t>
        </is>
      </c>
      <c r="T582" t="inlineStr">
        <is>
          <t>Vertical</t>
        </is>
      </c>
      <c r="U582" t="n">
        <v>92</v>
      </c>
      <c r="V582" t="b">
        <v>1</v>
      </c>
      <c r="W582" t="inlineStr">
        <is>
          <t>ATF Fuel 2!P3:P94</t>
        </is>
      </c>
      <c r="X582">
        <f>(1+(R[0]C[-8]/R[-1]C[-8])-1)*R[-1]C[0]</f>
        <v/>
      </c>
    </row>
    <row r="583">
      <c r="A583" t="inlineStr">
        <is>
          <t>ATF Fuel 2</t>
        </is>
      </c>
      <c r="B583" t="inlineStr">
        <is>
          <t>Q33</t>
        </is>
      </c>
      <c r="C583" t="n">
        <v>33</v>
      </c>
      <c r="D583" t="n">
        <v>17</v>
      </c>
      <c r="E583" t="inlineStr">
        <is>
          <t>Output</t>
        </is>
      </c>
      <c r="F583" t="inlineStr">
        <is>
          <t>'=M33/N33-1</t>
        </is>
      </c>
      <c r="G583" t="n">
        <v>0.2254540487271692</v>
      </c>
      <c r="H583" t="inlineStr"/>
      <c r="I583" t="inlineStr">
        <is>
          <t>0.0%</t>
        </is>
      </c>
      <c r="J583" t="b">
        <v>0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00000000</t>
        </is>
      </c>
      <c r="O583" t="n">
        <v/>
      </c>
      <c r="R583" t="b">
        <v>1</v>
      </c>
      <c r="S583" t="inlineStr">
        <is>
          <t>G000153</t>
        </is>
      </c>
      <c r="T583" t="inlineStr">
        <is>
          <t>Vertical</t>
        </is>
      </c>
      <c r="U583" t="n">
        <v>93</v>
      </c>
      <c r="V583" t="b">
        <v>1</v>
      </c>
      <c r="W583" t="inlineStr">
        <is>
          <t>ATF Fuel 2!Q2:Q94</t>
        </is>
      </c>
      <c r="X583">
        <f>R[0]C[-4]/R[0]C[-3]-1</f>
        <v/>
      </c>
    </row>
    <row r="584">
      <c r="A584" t="inlineStr">
        <is>
          <t>ATF Fuel 2</t>
        </is>
      </c>
      <c r="B584" t="inlineStr">
        <is>
          <t>A34</t>
        </is>
      </c>
      <c r="C584" t="n">
        <v>34</v>
      </c>
      <c r="D584" t="n">
        <v>1</v>
      </c>
      <c r="E584" t="inlineStr">
        <is>
          <t>Input</t>
        </is>
      </c>
      <c r="F584" t="n">
        <v/>
      </c>
      <c r="G584" t="inlineStr">
        <is>
          <t>December 01, 2012</t>
        </is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00000000</t>
        </is>
      </c>
      <c r="O584" t="n">
        <v/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</row>
    <row r="585">
      <c r="A585" t="inlineStr">
        <is>
          <t>ATF Fuel 2</t>
        </is>
      </c>
      <c r="B585" t="inlineStr">
        <is>
          <t>B34</t>
        </is>
      </c>
      <c r="C585" t="n">
        <v>34</v>
      </c>
      <c r="D585" t="n">
        <v>2</v>
      </c>
      <c r="E585" t="inlineStr">
        <is>
          <t>Input</t>
        </is>
      </c>
      <c r="F585" t="n">
        <v/>
      </c>
      <c r="G585" t="n">
        <v>70760.785</v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00000000</t>
        </is>
      </c>
      <c r="O585" t="n">
        <v/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</row>
    <row r="586">
      <c r="A586" t="inlineStr">
        <is>
          <t>ATF Fuel 2</t>
        </is>
      </c>
      <c r="B586" t="inlineStr">
        <is>
          <t>C34</t>
        </is>
      </c>
      <c r="C586" t="n">
        <v>34</v>
      </c>
      <c r="D586" t="n">
        <v>3</v>
      </c>
      <c r="E586" t="inlineStr">
        <is>
          <t>Output</t>
        </is>
      </c>
      <c r="F586" t="inlineStr">
        <is>
          <t>'=B34/B33-1</t>
        </is>
      </c>
      <c r="G586" t="n">
        <v>-0.009728303865053411</v>
      </c>
      <c r="H586" t="inlineStr"/>
      <c r="I586" t="inlineStr">
        <is>
          <t>0%</t>
        </is>
      </c>
      <c r="J586" t="b">
        <v>0</v>
      </c>
      <c r="K586" t="b">
        <v>0</v>
      </c>
      <c r="L586" t="n">
        <v>11</v>
      </c>
      <c r="M586" t="n">
        <v/>
      </c>
      <c r="N586" t="inlineStr">
        <is>
          <t>00000000</t>
        </is>
      </c>
      <c r="O586" t="n">
        <v/>
      </c>
      <c r="R586" t="b">
        <v>1</v>
      </c>
      <c r="S586" t="inlineStr">
        <is>
          <t>G000154</t>
        </is>
      </c>
      <c r="T586" t="inlineStr">
        <is>
          <t>Vertical</t>
        </is>
      </c>
      <c r="U586" t="n">
        <v>92</v>
      </c>
      <c r="V586" t="b">
        <v>1</v>
      </c>
      <c r="W586" t="inlineStr">
        <is>
          <t>ATF Fuel 2!C3:C94</t>
        </is>
      </c>
      <c r="X586">
        <f>R[0]C[-1]/R[-1]C[-1]-1</f>
        <v/>
      </c>
    </row>
    <row r="587">
      <c r="A587" t="inlineStr">
        <is>
          <t>ATF Fuel 2</t>
        </is>
      </c>
      <c r="B587" t="inlineStr">
        <is>
          <t>D34</t>
        </is>
      </c>
      <c r="C587" t="n">
        <v>34</v>
      </c>
      <c r="D587" t="n">
        <v>4</v>
      </c>
      <c r="E587" t="inlineStr">
        <is>
          <t>Input</t>
        </is>
      </c>
      <c r="F587" t="n">
        <v/>
      </c>
      <c r="G587" t="n">
        <v>54.265</v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00000000</t>
        </is>
      </c>
      <c r="O587" t="n">
        <v/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</row>
    <row r="588">
      <c r="A588" t="inlineStr">
        <is>
          <t>ATF Fuel 2</t>
        </is>
      </c>
      <c r="B588" t="inlineStr">
        <is>
          <t>E34</t>
        </is>
      </c>
      <c r="C588" t="n">
        <v>34</v>
      </c>
      <c r="D588" t="n">
        <v>5</v>
      </c>
      <c r="E588" t="inlineStr">
        <is>
          <t>Output</t>
        </is>
      </c>
      <c r="F588" t="inlineStr">
        <is>
          <t>'=B34/B33-1</t>
        </is>
      </c>
      <c r="G588" t="n">
        <v>-0.009728303865053411</v>
      </c>
      <c r="H588" t="inlineStr"/>
      <c r="I588" t="inlineStr">
        <is>
          <t>0%</t>
        </is>
      </c>
      <c r="J588" t="b">
        <v>0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00000000</t>
        </is>
      </c>
      <c r="O588" t="n">
        <v/>
      </c>
      <c r="R588" t="b">
        <v>1</v>
      </c>
      <c r="S588" t="inlineStr">
        <is>
          <t>G000158</t>
        </is>
      </c>
      <c r="T588" t="inlineStr">
        <is>
          <t>Vertical</t>
        </is>
      </c>
      <c r="U588" t="n">
        <v>92</v>
      </c>
      <c r="V588" t="b">
        <v>1</v>
      </c>
      <c r="W588" t="inlineStr">
        <is>
          <t>ATF Fuel 2!E3:E94</t>
        </is>
      </c>
      <c r="X588">
        <f>R[0]C[-3]/R[-1]C[-3]-1</f>
        <v/>
      </c>
    </row>
    <row r="589">
      <c r="A589" t="inlineStr">
        <is>
          <t>ATF Fuel 2</t>
        </is>
      </c>
      <c r="B589" t="inlineStr">
        <is>
          <t>F34</t>
        </is>
      </c>
      <c r="C589" t="n">
        <v>34</v>
      </c>
      <c r="D589" t="n">
        <v>6</v>
      </c>
      <c r="E589" t="inlineStr">
        <is>
          <t>Input</t>
        </is>
      </c>
      <c r="F589" t="n">
        <v/>
      </c>
      <c r="G589" t="n">
        <v>107.6</v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00000000</t>
        </is>
      </c>
      <c r="O589" t="n">
        <v/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</row>
    <row r="590">
      <c r="A590" t="inlineStr">
        <is>
          <t>ATF Fuel 2</t>
        </is>
      </c>
      <c r="B590" t="inlineStr">
        <is>
          <t>G34</t>
        </is>
      </c>
      <c r="C590" t="n">
        <v>34</v>
      </c>
      <c r="D590" t="n">
        <v>7</v>
      </c>
      <c r="E590" t="inlineStr">
        <is>
          <t>Output</t>
        </is>
      </c>
      <c r="F590" t="inlineStr">
        <is>
          <t>'=F34/F33-1</t>
        </is>
      </c>
      <c r="G590" t="n">
        <v>-0.009299327870361918</v>
      </c>
      <c r="H590" t="inlineStr"/>
      <c r="I590" t="inlineStr">
        <is>
          <t>0%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00000000</t>
        </is>
      </c>
      <c r="O590" t="n">
        <v/>
      </c>
      <c r="R590" t="b">
        <v>1</v>
      </c>
      <c r="S590" t="inlineStr">
        <is>
          <t>G000155</t>
        </is>
      </c>
      <c r="T590" t="inlineStr">
        <is>
          <t>Vertical</t>
        </is>
      </c>
      <c r="U590" t="n">
        <v>93</v>
      </c>
      <c r="V590" t="b">
        <v>1</v>
      </c>
      <c r="W590" t="inlineStr">
        <is>
          <t>ATF Fuel 2!G3:G95</t>
        </is>
      </c>
      <c r="X590">
        <f>R[0]C[-1]/R[-1]C[-1]-1</f>
        <v/>
      </c>
    </row>
    <row r="591">
      <c r="A591" t="inlineStr">
        <is>
          <t>ATF Fuel 2</t>
        </is>
      </c>
      <c r="B591" t="inlineStr">
        <is>
          <t>H34</t>
        </is>
      </c>
      <c r="C591" t="n">
        <v>34</v>
      </c>
      <c r="D591" t="n">
        <v>8</v>
      </c>
      <c r="E591" t="inlineStr">
        <is>
          <t>Calculation</t>
        </is>
      </c>
      <c r="F591" t="inlineStr">
        <is>
          <t>'=D34*F34</t>
        </is>
      </c>
      <c r="G591" t="n">
        <v>5838.914</v>
      </c>
      <c r="H591" t="inlineStr"/>
      <c r="I591" t="inlineStr">
        <is>
          <t>0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00000000</t>
        </is>
      </c>
      <c r="O591" t="n">
        <v/>
      </c>
      <c r="R591" t="b">
        <v>1</v>
      </c>
      <c r="S591" t="inlineStr">
        <is>
          <t>G000152</t>
        </is>
      </c>
      <c r="T591" t="inlineStr">
        <is>
          <t>Vertical</t>
        </is>
      </c>
      <c r="U591" t="n">
        <v>98</v>
      </c>
      <c r="V591" t="b">
        <v>1</v>
      </c>
      <c r="W591" t="inlineStr">
        <is>
          <t>ATF Fuel 2!H2:H99</t>
        </is>
      </c>
      <c r="X591">
        <f>R[0]C[-4]*R[0]C[-2]</f>
        <v/>
      </c>
    </row>
    <row r="592">
      <c r="A592" t="inlineStr">
        <is>
          <t>ATF Fuel 2</t>
        </is>
      </c>
      <c r="B592" t="inlineStr">
        <is>
          <t>I34</t>
        </is>
      </c>
      <c r="C592" t="n">
        <v>34</v>
      </c>
      <c r="D592" t="n">
        <v>9</v>
      </c>
      <c r="E592" t="inlineStr">
        <is>
          <t>Output</t>
        </is>
      </c>
      <c r="F592" t="inlineStr">
        <is>
          <t>'=H34/H33-1</t>
        </is>
      </c>
      <c r="G592" t="n">
        <v>-0.000829440142834148</v>
      </c>
      <c r="H592" t="inlineStr"/>
      <c r="I592" t="inlineStr">
        <is>
          <t>0%</t>
        </is>
      </c>
      <c r="J592" t="b">
        <v>0</v>
      </c>
      <c r="K592" t="b">
        <v>0</v>
      </c>
      <c r="L592" t="n">
        <v>11</v>
      </c>
      <c r="M592" t="inlineStr">
        <is>
          <t>FFFF0000</t>
        </is>
      </c>
      <c r="N592" t="inlineStr">
        <is>
          <t>00000000</t>
        </is>
      </c>
      <c r="O592" t="n">
        <v/>
      </c>
      <c r="R592" t="b">
        <v>1</v>
      </c>
      <c r="S592" t="inlineStr">
        <is>
          <t>G000156</t>
        </is>
      </c>
      <c r="T592" t="inlineStr">
        <is>
          <t>Vertical</t>
        </is>
      </c>
      <c r="U592" t="n">
        <v>97</v>
      </c>
      <c r="V592" t="b">
        <v>1</v>
      </c>
      <c r="W592" t="inlineStr">
        <is>
          <t>ATF Fuel 2!I3:I99</t>
        </is>
      </c>
      <c r="X592">
        <f>R[0]C[-1]/R[-1]C[-1]-1</f>
        <v/>
      </c>
    </row>
    <row r="593">
      <c r="A593" t="inlineStr">
        <is>
          <t>ATF Fuel 2</t>
        </is>
      </c>
      <c r="B593" t="inlineStr">
        <is>
          <t>J34</t>
        </is>
      </c>
      <c r="C593" t="n">
        <v>34</v>
      </c>
      <c r="D593" t="n">
        <v>10</v>
      </c>
      <c r="E593" t="inlineStr">
        <is>
          <t>Input</t>
        </is>
      </c>
      <c r="F593" t="n">
        <v/>
      </c>
      <c r="G593" t="n">
        <v>88.69</v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n">
        <v/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</row>
    <row r="594">
      <c r="A594" t="inlineStr">
        <is>
          <t>ATF Fuel 2</t>
        </is>
      </c>
      <c r="B594" t="inlineStr">
        <is>
          <t>K34</t>
        </is>
      </c>
      <c r="C594" t="n">
        <v>34</v>
      </c>
      <c r="D594" t="n">
        <v>11</v>
      </c>
      <c r="E594" t="inlineStr">
        <is>
          <t>Output</t>
        </is>
      </c>
      <c r="F594" t="inlineStr">
        <is>
          <t>'=J34/J33-1</t>
        </is>
      </c>
      <c r="G594" t="n">
        <v>0.01883974727168303</v>
      </c>
      <c r="H594" t="inlineStr"/>
      <c r="I594" t="inlineStr">
        <is>
          <t>0%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00000000</t>
        </is>
      </c>
      <c r="O594" t="n">
        <v/>
      </c>
      <c r="R594" t="b">
        <v>1</v>
      </c>
      <c r="S594" t="inlineStr">
        <is>
          <t>G000157</t>
        </is>
      </c>
      <c r="T594" t="inlineStr">
        <is>
          <t>Vertical</t>
        </is>
      </c>
      <c r="U594" t="n">
        <v>93</v>
      </c>
      <c r="V594" t="b">
        <v>1</v>
      </c>
      <c r="W594" t="inlineStr">
        <is>
          <t>ATF Fuel 2!K3:K95</t>
        </is>
      </c>
      <c r="X594">
        <f>R[0]C[-1]/R[-1]C[-1]-1</f>
        <v/>
      </c>
    </row>
    <row r="595">
      <c r="A595" t="inlineStr">
        <is>
          <t>ATF Fuel 2</t>
        </is>
      </c>
      <c r="B595" t="inlineStr">
        <is>
          <t>L34</t>
        </is>
      </c>
      <c r="C595" t="n">
        <v>34</v>
      </c>
      <c r="D595" t="n">
        <v>12</v>
      </c>
      <c r="E595" t="inlineStr">
        <is>
          <t>Input</t>
        </is>
      </c>
      <c r="F595" t="n">
        <v/>
      </c>
      <c r="G595" t="inlineStr">
        <is>
          <t>December 01, 2012</t>
        </is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00000000</t>
        </is>
      </c>
      <c r="O595" t="inlineStr">
        <is>
          <t>left</t>
        </is>
      </c>
      <c r="R595" t="b">
        <v>1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</row>
    <row r="596">
      <c r="A596" t="inlineStr">
        <is>
          <t>ATF Fuel 2</t>
        </is>
      </c>
      <c r="B596" t="inlineStr">
        <is>
          <t>M34</t>
        </is>
      </c>
      <c r="C596" t="n">
        <v>34</v>
      </c>
      <c r="D596" t="n">
        <v>13</v>
      </c>
      <c r="E596" t="inlineStr">
        <is>
          <t>Calculation</t>
        </is>
      </c>
      <c r="F596" t="inlineStr">
        <is>
          <t>'=(1+(B34/B33)-1)*M33</t>
        </is>
      </c>
      <c r="G596" t="n">
        <v>159.5083630787994</v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inlineStr">
        <is>
          <t>left</t>
        </is>
      </c>
      <c r="R596" t="b">
        <v>1</v>
      </c>
      <c r="S596" t="inlineStr">
        <is>
          <t>G000159</t>
        </is>
      </c>
      <c r="T596" t="inlineStr">
        <is>
          <t>Vertical</t>
        </is>
      </c>
      <c r="U596" t="n">
        <v>92</v>
      </c>
      <c r="V596" t="b">
        <v>1</v>
      </c>
      <c r="W596" t="inlineStr">
        <is>
          <t>ATF Fuel 2!M3:M94</t>
        </is>
      </c>
      <c r="X596">
        <f>(1+(R[0]C[-11]/R[-1]C[-11])-1)*R[-1]C[0]</f>
        <v/>
      </c>
    </row>
    <row r="597">
      <c r="A597" t="inlineStr">
        <is>
          <t>ATF Fuel 2</t>
        </is>
      </c>
      <c r="B597" t="inlineStr">
        <is>
          <t>N34</t>
        </is>
      </c>
      <c r="C597" t="n">
        <v>34</v>
      </c>
      <c r="D597" t="n">
        <v>14</v>
      </c>
      <c r="E597" t="inlineStr">
        <is>
          <t>Calculation</t>
        </is>
      </c>
      <c r="F597" t="inlineStr">
        <is>
          <t>'=(1+(F34/F33)-1)*N33</t>
        </is>
      </c>
      <c r="G597" t="n">
        <v>130.2190487716327</v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inlineStr">
        <is>
          <t>left</t>
        </is>
      </c>
      <c r="R597" t="b">
        <v>1</v>
      </c>
      <c r="S597" t="inlineStr">
        <is>
          <t>G000160</t>
        </is>
      </c>
      <c r="T597" t="inlineStr">
        <is>
          <t>Vertical</t>
        </is>
      </c>
      <c r="U597" t="n">
        <v>92</v>
      </c>
      <c r="V597" t="b">
        <v>1</v>
      </c>
      <c r="W597" t="inlineStr">
        <is>
          <t>ATF Fuel 2!N3:N94</t>
        </is>
      </c>
      <c r="X597">
        <f>(1+(R[0]C[-8]/R[-1]C[-8])-1)*R[-1]C[0]</f>
        <v/>
      </c>
    </row>
    <row r="598">
      <c r="A598" t="inlineStr">
        <is>
          <t>ATF Fuel 2</t>
        </is>
      </c>
      <c r="B598" t="inlineStr">
        <is>
          <t>O34</t>
        </is>
      </c>
      <c r="C598" t="n">
        <v>34</v>
      </c>
      <c r="D598" t="n">
        <v>15</v>
      </c>
      <c r="E598" t="inlineStr">
        <is>
          <t>Calculation</t>
        </is>
      </c>
      <c r="F598" t="inlineStr">
        <is>
          <t>'=(1+(J34/J33)-1)*O33</t>
        </is>
      </c>
      <c r="G598" t="n">
        <v>104.92132970543</v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inlineStr">
        <is>
          <t>left</t>
        </is>
      </c>
      <c r="R598" t="b">
        <v>1</v>
      </c>
      <c r="S598" t="inlineStr">
        <is>
          <t>G000162</t>
        </is>
      </c>
      <c r="T598" t="inlineStr">
        <is>
          <t>Vertical</t>
        </is>
      </c>
      <c r="U598" t="n">
        <v>92</v>
      </c>
      <c r="V598" t="b">
        <v>1</v>
      </c>
      <c r="W598" t="inlineStr">
        <is>
          <t>ATF Fuel 2!O3:O94</t>
        </is>
      </c>
      <c r="X598">
        <f>(1+(R[0]C[-5]/R[-1]C[-5])-1)*R[-1]C[0]</f>
        <v/>
      </c>
    </row>
    <row r="599">
      <c r="A599" t="inlineStr">
        <is>
          <t>ATF Fuel 2</t>
        </is>
      </c>
      <c r="B599" t="inlineStr">
        <is>
          <t>P34</t>
        </is>
      </c>
      <c r="C599" t="n">
        <v>34</v>
      </c>
      <c r="D599" t="n">
        <v>16</v>
      </c>
      <c r="E599" t="inlineStr">
        <is>
          <t>Calculation</t>
        </is>
      </c>
      <c r="F599" t="inlineStr">
        <is>
          <t>'=(1+(H34/H33)-1)*P33</t>
        </is>
      </c>
      <c r="G599" t="n">
        <v>157.8716863626596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inlineStr">
        <is>
          <t>left</t>
        </is>
      </c>
      <c r="R599" t="b">
        <v>1</v>
      </c>
      <c r="S599" t="inlineStr">
        <is>
          <t>G000161</t>
        </is>
      </c>
      <c r="T599" t="inlineStr">
        <is>
          <t>Vertical</t>
        </is>
      </c>
      <c r="U599" t="n">
        <v>92</v>
      </c>
      <c r="V599" t="b">
        <v>1</v>
      </c>
      <c r="W599" t="inlineStr">
        <is>
          <t>ATF Fuel 2!P3:P94</t>
        </is>
      </c>
      <c r="X599">
        <f>(1+(R[0]C[-8]/R[-1]C[-8])-1)*R[-1]C[0]</f>
        <v/>
      </c>
    </row>
    <row r="600">
      <c r="A600" t="inlineStr">
        <is>
          <t>ATF Fuel 2</t>
        </is>
      </c>
      <c r="B600" t="inlineStr">
        <is>
          <t>Q34</t>
        </is>
      </c>
      <c r="C600" t="n">
        <v>34</v>
      </c>
      <c r="D600" t="n">
        <v>17</v>
      </c>
      <c r="E600" t="inlineStr">
        <is>
          <t>Output</t>
        </is>
      </c>
      <c r="F600" t="inlineStr">
        <is>
          <t>'=M34/N34-1</t>
        </is>
      </c>
      <c r="G600" t="n">
        <v>0.2249234239034557</v>
      </c>
      <c r="H600" t="inlineStr"/>
      <c r="I600" t="inlineStr">
        <is>
          <t>0.0%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R600" t="b">
        <v>1</v>
      </c>
      <c r="S600" t="inlineStr">
        <is>
          <t>G000153</t>
        </is>
      </c>
      <c r="T600" t="inlineStr">
        <is>
          <t>Vertical</t>
        </is>
      </c>
      <c r="U600" t="n">
        <v>93</v>
      </c>
      <c r="V600" t="b">
        <v>1</v>
      </c>
      <c r="W600" t="inlineStr">
        <is>
          <t>ATF Fuel 2!Q2:Q94</t>
        </is>
      </c>
      <c r="X600">
        <f>R[0]C[-4]/R[0]C[-3]-1</f>
        <v/>
      </c>
    </row>
    <row r="601">
      <c r="A601" t="inlineStr">
        <is>
          <t>ATF Fuel 2</t>
        </is>
      </c>
      <c r="B601" t="inlineStr">
        <is>
          <t>A35</t>
        </is>
      </c>
      <c r="C601" t="n">
        <v>35</v>
      </c>
      <c r="D601" t="n">
        <v>1</v>
      </c>
      <c r="E601" t="inlineStr">
        <is>
          <t>Input</t>
        </is>
      </c>
      <c r="F601" t="n">
        <v/>
      </c>
      <c r="G601" t="inlineStr">
        <is>
          <t>January 01, 2013</t>
        </is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n">
        <v/>
      </c>
      <c r="R601" t="b">
        <v>1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</row>
    <row r="602">
      <c r="A602" t="inlineStr">
        <is>
          <t>ATF Fuel 2</t>
        </is>
      </c>
      <c r="B602" t="inlineStr">
        <is>
          <t>B35</t>
        </is>
      </c>
      <c r="C602" t="n">
        <v>35</v>
      </c>
      <c r="D602" t="n">
        <v>2</v>
      </c>
      <c r="E602" t="inlineStr">
        <is>
          <t>Input</t>
        </is>
      </c>
      <c r="F602" t="n">
        <v/>
      </c>
      <c r="G602" t="n">
        <v>70473.55</v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n">
        <v/>
      </c>
      <c r="R602" t="b">
        <v>1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</row>
    <row r="603">
      <c r="A603" t="inlineStr">
        <is>
          <t>ATF Fuel 2</t>
        </is>
      </c>
      <c r="B603" t="inlineStr">
        <is>
          <t>C35</t>
        </is>
      </c>
      <c r="C603" t="n">
        <v>35</v>
      </c>
      <c r="D603" t="n">
        <v>3</v>
      </c>
      <c r="E603" t="inlineStr">
        <is>
          <t>Output</t>
        </is>
      </c>
      <c r="F603" t="inlineStr">
        <is>
          <t>'=B35/B34-1</t>
        </is>
      </c>
      <c r="G603" t="n">
        <v>-0.004059239874176113</v>
      </c>
      <c r="H603" t="inlineStr"/>
      <c r="I603" t="inlineStr">
        <is>
          <t>0%</t>
        </is>
      </c>
      <c r="J603" t="b">
        <v>0</v>
      </c>
      <c r="K603" t="b">
        <v>0</v>
      </c>
      <c r="L603" t="n">
        <v>11</v>
      </c>
      <c r="M603" t="n">
        <v/>
      </c>
      <c r="N603" t="inlineStr">
        <is>
          <t>00000000</t>
        </is>
      </c>
      <c r="O603" t="n">
        <v/>
      </c>
      <c r="R603" t="b">
        <v>1</v>
      </c>
      <c r="S603" t="inlineStr">
        <is>
          <t>G000154</t>
        </is>
      </c>
      <c r="T603" t="inlineStr">
        <is>
          <t>Vertical</t>
        </is>
      </c>
      <c r="U603" t="n">
        <v>92</v>
      </c>
      <c r="V603" t="b">
        <v>1</v>
      </c>
      <c r="W603" t="inlineStr">
        <is>
          <t>ATF Fuel 2!C3:C94</t>
        </is>
      </c>
      <c r="X603">
        <f>R[0]C[-1]/R[-1]C[-1]-1</f>
        <v/>
      </c>
    </row>
    <row r="604">
      <c r="A604" t="inlineStr">
        <is>
          <t>ATF Fuel 2</t>
        </is>
      </c>
      <c r="B604" t="inlineStr">
        <is>
          <t>D35</t>
        </is>
      </c>
      <c r="C604" t="n">
        <v>35</v>
      </c>
      <c r="D604" t="n">
        <v>4</v>
      </c>
      <c r="E604" t="inlineStr">
        <is>
          <t>Input</t>
        </is>
      </c>
      <c r="F604" t="n">
        <v/>
      </c>
      <c r="G604" t="n">
        <v>54.84</v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00000000</t>
        </is>
      </c>
      <c r="O604" t="n">
        <v/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</row>
    <row r="605">
      <c r="A605" t="inlineStr">
        <is>
          <t>ATF Fuel 2</t>
        </is>
      </c>
      <c r="B605" t="inlineStr">
        <is>
          <t>E35</t>
        </is>
      </c>
      <c r="C605" t="n">
        <v>35</v>
      </c>
      <c r="D605" t="n">
        <v>5</v>
      </c>
      <c r="E605" t="inlineStr">
        <is>
          <t>Output</t>
        </is>
      </c>
      <c r="F605" t="inlineStr">
        <is>
          <t>'=B35/B34-1</t>
        </is>
      </c>
      <c r="G605" t="n">
        <v>-0.004059239874176113</v>
      </c>
      <c r="H605" t="inlineStr"/>
      <c r="I605" t="inlineStr">
        <is>
          <t>0%</t>
        </is>
      </c>
      <c r="J605" t="b">
        <v>0</v>
      </c>
      <c r="K605" t="b">
        <v>0</v>
      </c>
      <c r="L605" t="n">
        <v>11</v>
      </c>
      <c r="M605" t="inlineStr">
        <is>
          <t>Values must be of type &lt;class 'str'&gt;</t>
        </is>
      </c>
      <c r="N605" t="inlineStr">
        <is>
          <t>00000000</t>
        </is>
      </c>
      <c r="O605" t="n">
        <v/>
      </c>
      <c r="R605" t="b">
        <v>1</v>
      </c>
      <c r="S605" t="inlineStr">
        <is>
          <t>G000158</t>
        </is>
      </c>
      <c r="T605" t="inlineStr">
        <is>
          <t>Vertical</t>
        </is>
      </c>
      <c r="U605" t="n">
        <v>92</v>
      </c>
      <c r="V605" t="b">
        <v>1</v>
      </c>
      <c r="W605" t="inlineStr">
        <is>
          <t>ATF Fuel 2!E3:E94</t>
        </is>
      </c>
      <c r="X605">
        <f>R[0]C[-3]/R[-1]C[-3]-1</f>
        <v/>
      </c>
    </row>
    <row r="606">
      <c r="A606" t="inlineStr">
        <is>
          <t>ATF Fuel 2</t>
        </is>
      </c>
      <c r="B606" t="inlineStr">
        <is>
          <t>F35</t>
        </is>
      </c>
      <c r="C606" t="n">
        <v>35</v>
      </c>
      <c r="D606" t="n">
        <v>6</v>
      </c>
      <c r="E606" t="inlineStr">
        <is>
          <t>Input</t>
        </is>
      </c>
      <c r="F606" t="n">
        <v/>
      </c>
      <c r="G606" t="n">
        <v>112.97</v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00000000</t>
        </is>
      </c>
      <c r="O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</row>
    <row r="607">
      <c r="A607" t="inlineStr">
        <is>
          <t>ATF Fuel 2</t>
        </is>
      </c>
      <c r="B607" t="inlineStr">
        <is>
          <t>G35</t>
        </is>
      </c>
      <c r="C607" t="n">
        <v>35</v>
      </c>
      <c r="D607" t="n">
        <v>7</v>
      </c>
      <c r="E607" t="inlineStr">
        <is>
          <t>Output</t>
        </is>
      </c>
      <c r="F607" t="inlineStr">
        <is>
          <t>'=F35/F34-1</t>
        </is>
      </c>
      <c r="G607" t="n">
        <v>0.04990706319702598</v>
      </c>
      <c r="H607" t="inlineStr"/>
      <c r="I607" t="inlineStr">
        <is>
          <t>0%</t>
        </is>
      </c>
      <c r="J607" t="b">
        <v>0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00000000</t>
        </is>
      </c>
      <c r="O607" t="n">
        <v/>
      </c>
      <c r="R607" t="b">
        <v>1</v>
      </c>
      <c r="S607" t="inlineStr">
        <is>
          <t>G000155</t>
        </is>
      </c>
      <c r="T607" t="inlineStr">
        <is>
          <t>Vertical</t>
        </is>
      </c>
      <c r="U607" t="n">
        <v>93</v>
      </c>
      <c r="V607" t="b">
        <v>1</v>
      </c>
      <c r="W607" t="inlineStr">
        <is>
          <t>ATF Fuel 2!G3:G95</t>
        </is>
      </c>
      <c r="X607">
        <f>R[0]C[-1]/R[-1]C[-1]-1</f>
        <v/>
      </c>
    </row>
    <row r="608">
      <c r="A608" t="inlineStr">
        <is>
          <t>ATF Fuel 2</t>
        </is>
      </c>
      <c r="B608" t="inlineStr">
        <is>
          <t>H35</t>
        </is>
      </c>
      <c r="C608" t="n">
        <v>35</v>
      </c>
      <c r="D608" t="n">
        <v>8</v>
      </c>
      <c r="E608" t="inlineStr">
        <is>
          <t>Calculation</t>
        </is>
      </c>
      <c r="F608" t="inlineStr">
        <is>
          <t>'=D35*F35</t>
        </is>
      </c>
      <c r="G608" t="n">
        <v>6195.2748</v>
      </c>
      <c r="H608" t="inlineStr"/>
      <c r="I608" t="inlineStr">
        <is>
          <t>0</t>
        </is>
      </c>
      <c r="J608" t="b">
        <v>0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00000000</t>
        </is>
      </c>
      <c r="O608" t="n">
        <v/>
      </c>
      <c r="R608" t="b">
        <v>1</v>
      </c>
      <c r="S608" t="inlineStr">
        <is>
          <t>G000152</t>
        </is>
      </c>
      <c r="T608" t="inlineStr">
        <is>
          <t>Vertical</t>
        </is>
      </c>
      <c r="U608" t="n">
        <v>98</v>
      </c>
      <c r="V608" t="b">
        <v>1</v>
      </c>
      <c r="W608" t="inlineStr">
        <is>
          <t>ATF Fuel 2!H2:H99</t>
        </is>
      </c>
      <c r="X608">
        <f>R[0]C[-4]*R[0]C[-2]</f>
        <v/>
      </c>
    </row>
    <row r="609">
      <c r="A609" t="inlineStr">
        <is>
          <t>ATF Fuel 2</t>
        </is>
      </c>
      <c r="B609" t="inlineStr">
        <is>
          <t>I35</t>
        </is>
      </c>
      <c r="C609" t="n">
        <v>35</v>
      </c>
      <c r="D609" t="n">
        <v>9</v>
      </c>
      <c r="E609" t="inlineStr">
        <is>
          <t>Output</t>
        </is>
      </c>
      <c r="F609" t="inlineStr">
        <is>
          <t>'=H35/H34-1</t>
        </is>
      </c>
      <c r="G609" t="n">
        <v>0.0610320343817361</v>
      </c>
      <c r="H609" t="inlineStr"/>
      <c r="I609" t="inlineStr">
        <is>
          <t>0%</t>
        </is>
      </c>
      <c r="J609" t="b">
        <v>0</v>
      </c>
      <c r="K609" t="b">
        <v>0</v>
      </c>
      <c r="L609" t="n">
        <v>11</v>
      </c>
      <c r="M609" t="inlineStr">
        <is>
          <t>FFFF0000</t>
        </is>
      </c>
      <c r="N609" t="inlineStr">
        <is>
          <t>00000000</t>
        </is>
      </c>
      <c r="O609" t="n">
        <v/>
      </c>
      <c r="R609" t="b">
        <v>1</v>
      </c>
      <c r="S609" t="inlineStr">
        <is>
          <t>G000156</t>
        </is>
      </c>
      <c r="T609" t="inlineStr">
        <is>
          <t>Vertical</t>
        </is>
      </c>
      <c r="U609" t="n">
        <v>97</v>
      </c>
      <c r="V609" t="b">
        <v>1</v>
      </c>
      <c r="W609" t="inlineStr">
        <is>
          <t>ATF Fuel 2!I3:I99</t>
        </is>
      </c>
      <c r="X609">
        <f>R[0]C[-1]/R[-1]C[-1]-1</f>
        <v/>
      </c>
    </row>
    <row r="610">
      <c r="A610" t="inlineStr">
        <is>
          <t>ATF Fuel 2</t>
        </is>
      </c>
      <c r="B610" t="inlineStr">
        <is>
          <t>J35</t>
        </is>
      </c>
      <c r="C610" t="n">
        <v>35</v>
      </c>
      <c r="D610" t="n">
        <v>10</v>
      </c>
      <c r="E610" t="inlineStr">
        <is>
          <t>Input</t>
        </is>
      </c>
      <c r="F610" t="n">
        <v/>
      </c>
      <c r="G610" t="n">
        <v>93.14</v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</row>
    <row r="611">
      <c r="A611" t="inlineStr">
        <is>
          <t>ATF Fuel 2</t>
        </is>
      </c>
      <c r="B611" t="inlineStr">
        <is>
          <t>K35</t>
        </is>
      </c>
      <c r="C611" t="n">
        <v>35</v>
      </c>
      <c r="D611" t="n">
        <v>11</v>
      </c>
      <c r="E611" t="inlineStr">
        <is>
          <t>Output</t>
        </is>
      </c>
      <c r="F611" t="inlineStr">
        <is>
          <t>'=J35/J34-1</t>
        </is>
      </c>
      <c r="G611" t="n">
        <v>0.05017476603901239</v>
      </c>
      <c r="H611" t="inlineStr"/>
      <c r="I611" t="inlineStr">
        <is>
          <t>0%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n">
        <v/>
      </c>
      <c r="R611" t="b">
        <v>1</v>
      </c>
      <c r="S611" t="inlineStr">
        <is>
          <t>G000157</t>
        </is>
      </c>
      <c r="T611" t="inlineStr">
        <is>
          <t>Vertical</t>
        </is>
      </c>
      <c r="U611" t="n">
        <v>93</v>
      </c>
      <c r="V611" t="b">
        <v>1</v>
      </c>
      <c r="W611" t="inlineStr">
        <is>
          <t>ATF Fuel 2!K3:K95</t>
        </is>
      </c>
      <c r="X611">
        <f>R[0]C[-1]/R[-1]C[-1]-1</f>
        <v/>
      </c>
    </row>
    <row r="612">
      <c r="A612" t="inlineStr">
        <is>
          <t>ATF Fuel 2</t>
        </is>
      </c>
      <c r="B612" t="inlineStr">
        <is>
          <t>L35</t>
        </is>
      </c>
      <c r="C612" t="n">
        <v>35</v>
      </c>
      <c r="D612" t="n">
        <v>12</v>
      </c>
      <c r="E612" t="inlineStr">
        <is>
          <t>Input</t>
        </is>
      </c>
      <c r="F612" t="n">
        <v/>
      </c>
      <c r="G612" t="inlineStr">
        <is>
          <t>January 01, 2013</t>
        </is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inlineStr">
        <is>
          <t>left</t>
        </is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</row>
    <row r="613">
      <c r="A613" t="inlineStr">
        <is>
          <t>ATF Fuel 2</t>
        </is>
      </c>
      <c r="B613" t="inlineStr">
        <is>
          <t>M35</t>
        </is>
      </c>
      <c r="C613" t="n">
        <v>35</v>
      </c>
      <c r="D613" t="n">
        <v>13</v>
      </c>
      <c r="E613" t="inlineStr">
        <is>
          <t>Calculation</t>
        </is>
      </c>
      <c r="F613" t="inlineStr">
        <is>
          <t>'=(1+(B35/B34)-1)*M34</t>
        </is>
      </c>
      <c r="G613" t="n">
        <v>158.8608803711254</v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inlineStr">
        <is>
          <t>left</t>
        </is>
      </c>
      <c r="R613" t="b">
        <v>1</v>
      </c>
      <c r="S613" t="inlineStr">
        <is>
          <t>G000159</t>
        </is>
      </c>
      <c r="T613" t="inlineStr">
        <is>
          <t>Vertical</t>
        </is>
      </c>
      <c r="U613" t="n">
        <v>92</v>
      </c>
      <c r="V613" t="b">
        <v>1</v>
      </c>
      <c r="W613" t="inlineStr">
        <is>
          <t>ATF Fuel 2!M3:M94</t>
        </is>
      </c>
      <c r="X613">
        <f>(1+(R[0]C[-11]/R[-1]C[-11])-1)*R[-1]C[0]</f>
        <v/>
      </c>
    </row>
    <row r="614">
      <c r="A614" t="inlineStr">
        <is>
          <t>ATF Fuel 2</t>
        </is>
      </c>
      <c r="B614" t="inlineStr">
        <is>
          <t>N35</t>
        </is>
      </c>
      <c r="C614" t="n">
        <v>35</v>
      </c>
      <c r="D614" t="n">
        <v>14</v>
      </c>
      <c r="E614" t="inlineStr">
        <is>
          <t>Calculation</t>
        </is>
      </c>
      <c r="F614" t="inlineStr">
        <is>
          <t>'=(1+(F35/F34)-1)*N34</t>
        </is>
      </c>
      <c r="G614" t="n">
        <v>136.7178990681352</v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11</v>
      </c>
      <c r="M614" t="inlineStr">
        <is>
          <t>Values must be of type &lt;class 'str'&gt;</t>
        </is>
      </c>
      <c r="N614" t="inlineStr">
        <is>
          <t>00000000</t>
        </is>
      </c>
      <c r="O614" t="inlineStr">
        <is>
          <t>left</t>
        </is>
      </c>
      <c r="R614" t="b">
        <v>1</v>
      </c>
      <c r="S614" t="inlineStr">
        <is>
          <t>G000160</t>
        </is>
      </c>
      <c r="T614" t="inlineStr">
        <is>
          <t>Vertical</t>
        </is>
      </c>
      <c r="U614" t="n">
        <v>92</v>
      </c>
      <c r="V614" t="b">
        <v>1</v>
      </c>
      <c r="W614" t="inlineStr">
        <is>
          <t>ATF Fuel 2!N3:N94</t>
        </is>
      </c>
      <c r="X614">
        <f>(1+(R[0]C[-8]/R[-1]C[-8])-1)*R[-1]C[0]</f>
        <v/>
      </c>
    </row>
    <row r="615">
      <c r="A615" t="inlineStr">
        <is>
          <t>ATF Fuel 2</t>
        </is>
      </c>
      <c r="B615" t="inlineStr">
        <is>
          <t>O35</t>
        </is>
      </c>
      <c r="C615" t="n">
        <v>35</v>
      </c>
      <c r="D615" t="n">
        <v>15</v>
      </c>
      <c r="E615" t="inlineStr">
        <is>
          <t>Calculation</t>
        </is>
      </c>
      <c r="F615" t="inlineStr">
        <is>
          <t>'=(1+(J35/J34)-1)*O34</t>
        </is>
      </c>
      <c r="G615" t="n">
        <v>110.1857328759021</v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inlineStr">
        <is>
          <t>left</t>
        </is>
      </c>
      <c r="R615" t="b">
        <v>1</v>
      </c>
      <c r="S615" t="inlineStr">
        <is>
          <t>G000162</t>
        </is>
      </c>
      <c r="T615" t="inlineStr">
        <is>
          <t>Vertical</t>
        </is>
      </c>
      <c r="U615" t="n">
        <v>92</v>
      </c>
      <c r="V615" t="b">
        <v>1</v>
      </c>
      <c r="W615" t="inlineStr">
        <is>
          <t>ATF Fuel 2!O3:O94</t>
        </is>
      </c>
      <c r="X615">
        <f>(1+(R[0]C[-5]/R[-1]C[-5])-1)*R[-1]C[0]</f>
        <v/>
      </c>
    </row>
    <row r="616">
      <c r="A616" t="inlineStr">
        <is>
          <t>ATF Fuel 2</t>
        </is>
      </c>
      <c r="B616" t="inlineStr">
        <is>
          <t>P35</t>
        </is>
      </c>
      <c r="C616" t="n">
        <v>35</v>
      </c>
      <c r="D616" t="n">
        <v>16</v>
      </c>
      <c r="E616" t="inlineStr">
        <is>
          <t>Calculation</t>
        </is>
      </c>
      <c r="F616" t="inlineStr">
        <is>
          <t>'=(1+(H35/H34)-1)*P34</t>
        </is>
      </c>
      <c r="G616" t="n">
        <v>167.5069165526481</v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11</v>
      </c>
      <c r="M616" t="inlineStr">
        <is>
          <t>Values must be of type &lt;class 'str'&gt;</t>
        </is>
      </c>
      <c r="N616" t="inlineStr">
        <is>
          <t>00000000</t>
        </is>
      </c>
      <c r="O616" t="inlineStr">
        <is>
          <t>left</t>
        </is>
      </c>
      <c r="R616" t="b">
        <v>1</v>
      </c>
      <c r="S616" t="inlineStr">
        <is>
          <t>G000161</t>
        </is>
      </c>
      <c r="T616" t="inlineStr">
        <is>
          <t>Vertical</t>
        </is>
      </c>
      <c r="U616" t="n">
        <v>92</v>
      </c>
      <c r="V616" t="b">
        <v>1</v>
      </c>
      <c r="W616" t="inlineStr">
        <is>
          <t>ATF Fuel 2!P3:P94</t>
        </is>
      </c>
      <c r="X616">
        <f>(1+(R[0]C[-8]/R[-1]C[-8])-1)*R[-1]C[0]</f>
        <v/>
      </c>
    </row>
    <row r="617">
      <c r="A617" t="inlineStr">
        <is>
          <t>ATF Fuel 2</t>
        </is>
      </c>
      <c r="B617" t="inlineStr">
        <is>
          <t>Q35</t>
        </is>
      </c>
      <c r="C617" t="n">
        <v>35</v>
      </c>
      <c r="D617" t="n">
        <v>17</v>
      </c>
      <c r="E617" t="inlineStr">
        <is>
          <t>Output</t>
        </is>
      </c>
      <c r="F617" t="inlineStr">
        <is>
          <t>'=M35/N35-1</t>
        </is>
      </c>
      <c r="G617" t="n">
        <v>0.1619610998553669</v>
      </c>
      <c r="H617" t="inlineStr"/>
      <c r="I617" t="inlineStr">
        <is>
          <t>0.0%</t>
        </is>
      </c>
      <c r="J617" t="b">
        <v>0</v>
      </c>
      <c r="K617" t="b">
        <v>0</v>
      </c>
      <c r="L617" t="n">
        <v>11</v>
      </c>
      <c r="M617" t="inlineStr">
        <is>
          <t>Values must be of type &lt;class 'str'&gt;</t>
        </is>
      </c>
      <c r="N617" t="inlineStr">
        <is>
          <t>00000000</t>
        </is>
      </c>
      <c r="O617" t="n">
        <v/>
      </c>
      <c r="R617" t="b">
        <v>1</v>
      </c>
      <c r="S617" t="inlineStr">
        <is>
          <t>G000153</t>
        </is>
      </c>
      <c r="T617" t="inlineStr">
        <is>
          <t>Vertical</t>
        </is>
      </c>
      <c r="U617" t="n">
        <v>93</v>
      </c>
      <c r="V617" t="b">
        <v>1</v>
      </c>
      <c r="W617" t="inlineStr">
        <is>
          <t>ATF Fuel 2!Q2:Q94</t>
        </is>
      </c>
      <c r="X617">
        <f>R[0]C[-4]/R[0]C[-3]-1</f>
        <v/>
      </c>
    </row>
    <row r="618">
      <c r="A618" t="inlineStr">
        <is>
          <t>ATF Fuel 2</t>
        </is>
      </c>
      <c r="B618" t="inlineStr">
        <is>
          <t>A36</t>
        </is>
      </c>
      <c r="C618" t="n">
        <v>36</v>
      </c>
      <c r="D618" t="n">
        <v>1</v>
      </c>
      <c r="E618" t="inlineStr">
        <is>
          <t>Input</t>
        </is>
      </c>
      <c r="F618" t="n">
        <v/>
      </c>
      <c r="G618" t="inlineStr">
        <is>
          <t>February 01, 2013</t>
        </is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11</v>
      </c>
      <c r="M618" t="inlineStr">
        <is>
          <t>Values must be of type &lt;class 'str'&gt;</t>
        </is>
      </c>
      <c r="N618" t="inlineStr">
        <is>
          <t>00000000</t>
        </is>
      </c>
      <c r="O618" t="n">
        <v/>
      </c>
      <c r="R618" t="b">
        <v>1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</row>
    <row r="619">
      <c r="A619" t="inlineStr">
        <is>
          <t>ATF Fuel 2</t>
        </is>
      </c>
      <c r="B619" t="inlineStr">
        <is>
          <t>B36</t>
        </is>
      </c>
      <c r="C619" t="n">
        <v>36</v>
      </c>
      <c r="D619" t="n">
        <v>2</v>
      </c>
      <c r="E619" t="inlineStr">
        <is>
          <t>Input</t>
        </is>
      </c>
      <c r="F619" t="n">
        <v/>
      </c>
      <c r="G619" t="n">
        <v>71872.72249999999</v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</row>
    <row r="620">
      <c r="A620" t="inlineStr">
        <is>
          <t>ATF Fuel 2</t>
        </is>
      </c>
      <c r="B620" t="inlineStr">
        <is>
          <t>C36</t>
        </is>
      </c>
      <c r="C620" t="n">
        <v>36</v>
      </c>
      <c r="D620" t="n">
        <v>3</v>
      </c>
      <c r="E620" t="inlineStr">
        <is>
          <t>Output</t>
        </is>
      </c>
      <c r="F620" t="inlineStr">
        <is>
          <t>'=B36/B35-1</t>
        </is>
      </c>
      <c r="G620" t="n">
        <v>0.0198538671600903</v>
      </c>
      <c r="H620" t="inlineStr"/>
      <c r="I620" t="inlineStr">
        <is>
          <t>0%</t>
        </is>
      </c>
      <c r="J620" t="b">
        <v>0</v>
      </c>
      <c r="K620" t="b">
        <v>0</v>
      </c>
      <c r="L620" t="n">
        <v>11</v>
      </c>
      <c r="M620" t="n">
        <v/>
      </c>
      <c r="N620" t="inlineStr">
        <is>
          <t>00000000</t>
        </is>
      </c>
      <c r="O620" t="n">
        <v/>
      </c>
      <c r="R620" t="b">
        <v>1</v>
      </c>
      <c r="S620" t="inlineStr">
        <is>
          <t>G000154</t>
        </is>
      </c>
      <c r="T620" t="inlineStr">
        <is>
          <t>Vertical</t>
        </is>
      </c>
      <c r="U620" t="n">
        <v>92</v>
      </c>
      <c r="V620" t="b">
        <v>1</v>
      </c>
      <c r="W620" t="inlineStr">
        <is>
          <t>ATF Fuel 2!C3:C94</t>
        </is>
      </c>
      <c r="X620">
        <f>R[0]C[-1]/R[-1]C[-1]-1</f>
        <v/>
      </c>
    </row>
    <row r="621">
      <c r="A621" t="inlineStr">
        <is>
          <t>ATF Fuel 2</t>
        </is>
      </c>
      <c r="B621" t="inlineStr">
        <is>
          <t>D36</t>
        </is>
      </c>
      <c r="C621" t="n">
        <v>36</v>
      </c>
      <c r="D621" t="n">
        <v>4</v>
      </c>
      <c r="E621" t="inlineStr">
        <is>
          <t>Input</t>
        </is>
      </c>
      <c r="F621" t="n">
        <v/>
      </c>
      <c r="G621" t="n">
        <v>53.225</v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n">
        <v/>
      </c>
      <c r="R621" t="b">
        <v>1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</row>
    <row r="622">
      <c r="A622" t="inlineStr">
        <is>
          <t>ATF Fuel 2</t>
        </is>
      </c>
      <c r="B622" t="inlineStr">
        <is>
          <t>E36</t>
        </is>
      </c>
      <c r="C622" t="n">
        <v>36</v>
      </c>
      <c r="D622" t="n">
        <v>5</v>
      </c>
      <c r="E622" t="inlineStr">
        <is>
          <t>Output</t>
        </is>
      </c>
      <c r="F622" t="inlineStr">
        <is>
          <t>'=B36/B35-1</t>
        </is>
      </c>
      <c r="G622" t="n">
        <v>0.0198538671600903</v>
      </c>
      <c r="H622" t="inlineStr"/>
      <c r="I622" t="inlineStr">
        <is>
          <t>0%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n">
        <v/>
      </c>
      <c r="R622" t="b">
        <v>1</v>
      </c>
      <c r="S622" t="inlineStr">
        <is>
          <t>G000158</t>
        </is>
      </c>
      <c r="T622" t="inlineStr">
        <is>
          <t>Vertical</t>
        </is>
      </c>
      <c r="U622" t="n">
        <v>92</v>
      </c>
      <c r="V622" t="b">
        <v>1</v>
      </c>
      <c r="W622" t="inlineStr">
        <is>
          <t>ATF Fuel 2!E3:E94</t>
        </is>
      </c>
      <c r="X622">
        <f>R[0]C[-3]/R[-1]C[-3]-1</f>
        <v/>
      </c>
    </row>
    <row r="623">
      <c r="A623" t="inlineStr">
        <is>
          <t>ATF Fuel 2</t>
        </is>
      </c>
      <c r="B623" t="inlineStr">
        <is>
          <t>F36</t>
        </is>
      </c>
      <c r="C623" t="n">
        <v>36</v>
      </c>
      <c r="D623" t="n">
        <v>6</v>
      </c>
      <c r="E623" t="inlineStr">
        <is>
          <t>Input</t>
        </is>
      </c>
      <c r="F623" t="n">
        <v/>
      </c>
      <c r="G623" t="n">
        <v>118.29</v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n">
        <v/>
      </c>
      <c r="R623" t="b">
        <v>1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</row>
    <row r="624">
      <c r="A624" t="inlineStr">
        <is>
          <t>ATF Fuel 2</t>
        </is>
      </c>
      <c r="B624" t="inlineStr">
        <is>
          <t>G36</t>
        </is>
      </c>
      <c r="C624" t="n">
        <v>36</v>
      </c>
      <c r="D624" t="n">
        <v>7</v>
      </c>
      <c r="E624" t="inlineStr">
        <is>
          <t>Output</t>
        </is>
      </c>
      <c r="F624" t="inlineStr">
        <is>
          <t>'=F36/F35-1</t>
        </is>
      </c>
      <c r="G624" t="n">
        <v>0.04709214835797115</v>
      </c>
      <c r="H624" t="inlineStr"/>
      <c r="I624" t="inlineStr">
        <is>
          <t>0%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R624" t="b">
        <v>1</v>
      </c>
      <c r="S624" t="inlineStr">
        <is>
          <t>G000155</t>
        </is>
      </c>
      <c r="T624" t="inlineStr">
        <is>
          <t>Vertical</t>
        </is>
      </c>
      <c r="U624" t="n">
        <v>93</v>
      </c>
      <c r="V624" t="b">
        <v>1</v>
      </c>
      <c r="W624" t="inlineStr">
        <is>
          <t>ATF Fuel 2!G3:G95</t>
        </is>
      </c>
      <c r="X624">
        <f>R[0]C[-1]/R[-1]C[-1]-1</f>
        <v/>
      </c>
    </row>
    <row r="625">
      <c r="A625" t="inlineStr">
        <is>
          <t>ATF Fuel 2</t>
        </is>
      </c>
      <c r="B625" t="inlineStr">
        <is>
          <t>H36</t>
        </is>
      </c>
      <c r="C625" t="n">
        <v>36</v>
      </c>
      <c r="D625" t="n">
        <v>8</v>
      </c>
      <c r="E625" t="inlineStr">
        <is>
          <t>Calculation</t>
        </is>
      </c>
      <c r="F625" t="inlineStr">
        <is>
          <t>'=D36*F36</t>
        </is>
      </c>
      <c r="G625" t="n">
        <v>6295.985250000001</v>
      </c>
      <c r="H625" t="inlineStr"/>
      <c r="I625" t="inlineStr">
        <is>
          <t>0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n">
        <v/>
      </c>
      <c r="R625" t="b">
        <v>1</v>
      </c>
      <c r="S625" t="inlineStr">
        <is>
          <t>G000152</t>
        </is>
      </c>
      <c r="T625" t="inlineStr">
        <is>
          <t>Vertical</t>
        </is>
      </c>
      <c r="U625" t="n">
        <v>98</v>
      </c>
      <c r="V625" t="b">
        <v>1</v>
      </c>
      <c r="W625" t="inlineStr">
        <is>
          <t>ATF Fuel 2!H2:H99</t>
        </is>
      </c>
      <c r="X625">
        <f>R[0]C[-4]*R[0]C[-2]</f>
        <v/>
      </c>
    </row>
    <row r="626">
      <c r="A626" t="inlineStr">
        <is>
          <t>ATF Fuel 2</t>
        </is>
      </c>
      <c r="B626" t="inlineStr">
        <is>
          <t>I36</t>
        </is>
      </c>
      <c r="C626" t="n">
        <v>36</v>
      </c>
      <c r="D626" t="n">
        <v>9</v>
      </c>
      <c r="E626" t="inlineStr">
        <is>
          <t>Output</t>
        </is>
      </c>
      <c r="F626" t="inlineStr">
        <is>
          <t>'=H36/H35-1</t>
        </is>
      </c>
      <c r="G626" t="n">
        <v>0.0162560101450222</v>
      </c>
      <c r="H626" t="inlineStr"/>
      <c r="I626" t="inlineStr">
        <is>
          <t>0%</t>
        </is>
      </c>
      <c r="J626" t="b">
        <v>0</v>
      </c>
      <c r="K626" t="b">
        <v>0</v>
      </c>
      <c r="L626" t="n">
        <v>11</v>
      </c>
      <c r="M626" t="inlineStr">
        <is>
          <t>FFFF0000</t>
        </is>
      </c>
      <c r="N626" t="inlineStr">
        <is>
          <t>00000000</t>
        </is>
      </c>
      <c r="O626" t="n">
        <v/>
      </c>
      <c r="R626" t="b">
        <v>1</v>
      </c>
      <c r="S626" t="inlineStr">
        <is>
          <t>G000156</t>
        </is>
      </c>
      <c r="T626" t="inlineStr">
        <is>
          <t>Vertical</t>
        </is>
      </c>
      <c r="U626" t="n">
        <v>97</v>
      </c>
      <c r="V626" t="b">
        <v>1</v>
      </c>
      <c r="W626" t="inlineStr">
        <is>
          <t>ATF Fuel 2!I3:I99</t>
        </is>
      </c>
      <c r="X626">
        <f>R[0]C[-1]/R[-1]C[-1]-1</f>
        <v/>
      </c>
    </row>
    <row r="627">
      <c r="A627" t="inlineStr">
        <is>
          <t>ATF Fuel 2</t>
        </is>
      </c>
      <c r="B627" t="inlineStr">
        <is>
          <t>J36</t>
        </is>
      </c>
      <c r="C627" t="n">
        <v>36</v>
      </c>
      <c r="D627" t="n">
        <v>10</v>
      </c>
      <c r="E627" t="inlineStr">
        <is>
          <t>Input</t>
        </is>
      </c>
      <c r="F627" t="n">
        <v/>
      </c>
      <c r="G627" t="n">
        <v>97.45999999999999</v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11</v>
      </c>
      <c r="M627" t="inlineStr">
        <is>
          <t>Values must be of type &lt;class 'str'&gt;</t>
        </is>
      </c>
      <c r="N627" t="inlineStr">
        <is>
          <t>00000000</t>
        </is>
      </c>
      <c r="O627" t="n">
        <v/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</row>
    <row r="628">
      <c r="A628" t="inlineStr">
        <is>
          <t>ATF Fuel 2</t>
        </is>
      </c>
      <c r="B628" t="inlineStr">
        <is>
          <t>K36</t>
        </is>
      </c>
      <c r="C628" t="n">
        <v>36</v>
      </c>
      <c r="D628" t="n">
        <v>11</v>
      </c>
      <c r="E628" t="inlineStr">
        <is>
          <t>Output</t>
        </is>
      </c>
      <c r="F628" t="inlineStr">
        <is>
          <t>'=J36/J35-1</t>
        </is>
      </c>
      <c r="G628" t="n">
        <v>0.04638179085247995</v>
      </c>
      <c r="H628" t="inlineStr"/>
      <c r="I628" t="inlineStr">
        <is>
          <t>0%</t>
        </is>
      </c>
      <c r="J628" t="b">
        <v>0</v>
      </c>
      <c r="K628" t="b">
        <v>0</v>
      </c>
      <c r="L628" t="n">
        <v>11</v>
      </c>
      <c r="M628" t="inlineStr">
        <is>
          <t>Values must be of type &lt;class 'str'&gt;</t>
        </is>
      </c>
      <c r="N628" t="inlineStr">
        <is>
          <t>00000000</t>
        </is>
      </c>
      <c r="O628" t="n">
        <v/>
      </c>
      <c r="R628" t="b">
        <v>1</v>
      </c>
      <c r="S628" t="inlineStr">
        <is>
          <t>G000157</t>
        </is>
      </c>
      <c r="T628" t="inlineStr">
        <is>
          <t>Vertical</t>
        </is>
      </c>
      <c r="U628" t="n">
        <v>93</v>
      </c>
      <c r="V628" t="b">
        <v>1</v>
      </c>
      <c r="W628" t="inlineStr">
        <is>
          <t>ATF Fuel 2!K3:K95</t>
        </is>
      </c>
      <c r="X628">
        <f>R[0]C[-1]/R[-1]C[-1]-1</f>
        <v/>
      </c>
    </row>
    <row r="629">
      <c r="A629" t="inlineStr">
        <is>
          <t>ATF Fuel 2</t>
        </is>
      </c>
      <c r="B629" t="inlineStr">
        <is>
          <t>L36</t>
        </is>
      </c>
      <c r="C629" t="n">
        <v>36</v>
      </c>
      <c r="D629" t="n">
        <v>12</v>
      </c>
      <c r="E629" t="inlineStr">
        <is>
          <t>Input</t>
        </is>
      </c>
      <c r="F629" t="n">
        <v/>
      </c>
      <c r="G629" t="inlineStr">
        <is>
          <t>February 01, 2013</t>
        </is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11</v>
      </c>
      <c r="M629" t="inlineStr">
        <is>
          <t>Values must be of type &lt;class 'str'&gt;</t>
        </is>
      </c>
      <c r="N629" t="inlineStr">
        <is>
          <t>00000000</t>
        </is>
      </c>
      <c r="O629" t="inlineStr">
        <is>
          <t>left</t>
        </is>
      </c>
      <c r="R629" t="b">
        <v>1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</row>
    <row r="630">
      <c r="A630" t="inlineStr">
        <is>
          <t>ATF Fuel 2</t>
        </is>
      </c>
      <c r="B630" t="inlineStr">
        <is>
          <t>M36</t>
        </is>
      </c>
      <c r="C630" t="n">
        <v>36</v>
      </c>
      <c r="D630" t="n">
        <v>13</v>
      </c>
      <c r="E630" t="inlineStr">
        <is>
          <t>Calculation</t>
        </is>
      </c>
      <c r="F630" t="inlineStr">
        <is>
          <t>'=(1+(B36/B35)-1)*M35</t>
        </is>
      </c>
      <c r="G630" t="n">
        <v>162.0148831869487</v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11</v>
      </c>
      <c r="M630" t="inlineStr">
        <is>
          <t>Values must be of type &lt;class 'str'&gt;</t>
        </is>
      </c>
      <c r="N630" t="inlineStr">
        <is>
          <t>00000000</t>
        </is>
      </c>
      <c r="O630" t="inlineStr">
        <is>
          <t>left</t>
        </is>
      </c>
      <c r="R630" t="b">
        <v>1</v>
      </c>
      <c r="S630" t="inlineStr">
        <is>
          <t>G000159</t>
        </is>
      </c>
      <c r="T630" t="inlineStr">
        <is>
          <t>Vertical</t>
        </is>
      </c>
      <c r="U630" t="n">
        <v>92</v>
      </c>
      <c r="V630" t="b">
        <v>1</v>
      </c>
      <c r="W630" t="inlineStr">
        <is>
          <t>ATF Fuel 2!M3:M94</t>
        </is>
      </c>
      <c r="X630">
        <f>(1+(R[0]C[-11]/R[-1]C[-11])-1)*R[-1]C[0]</f>
        <v/>
      </c>
    </row>
    <row r="631">
      <c r="A631" t="inlineStr">
        <is>
          <t>ATF Fuel 2</t>
        </is>
      </c>
      <c r="B631" t="inlineStr">
        <is>
          <t>N36</t>
        </is>
      </c>
      <c r="C631" t="n">
        <v>36</v>
      </c>
      <c r="D631" t="n">
        <v>14</v>
      </c>
      <c r="E631" t="inlineStr">
        <is>
          <t>Calculation</t>
        </is>
      </c>
      <c r="F631" t="inlineStr">
        <is>
          <t>'=(1+(F36/F35)-1)*N35</t>
        </is>
      </c>
      <c r="G631" t="n">
        <v>143.1562386542419</v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11</v>
      </c>
      <c r="M631" t="inlineStr">
        <is>
          <t>Values must be of type &lt;class 'str'&gt;</t>
        </is>
      </c>
      <c r="N631" t="inlineStr">
        <is>
          <t>00000000</t>
        </is>
      </c>
      <c r="O631" t="inlineStr">
        <is>
          <t>left</t>
        </is>
      </c>
      <c r="R631" t="b">
        <v>1</v>
      </c>
      <c r="S631" t="inlineStr">
        <is>
          <t>G000160</t>
        </is>
      </c>
      <c r="T631" t="inlineStr">
        <is>
          <t>Vertical</t>
        </is>
      </c>
      <c r="U631" t="n">
        <v>92</v>
      </c>
      <c r="V631" t="b">
        <v>1</v>
      </c>
      <c r="W631" t="inlineStr">
        <is>
          <t>ATF Fuel 2!N3:N94</t>
        </is>
      </c>
      <c r="X631">
        <f>(1+(R[0]C[-8]/R[-1]C[-8])-1)*R[-1]C[0]</f>
        <v/>
      </c>
    </row>
    <row r="632">
      <c r="A632" t="inlineStr">
        <is>
          <t>ATF Fuel 2</t>
        </is>
      </c>
      <c r="B632" t="inlineStr">
        <is>
          <t>O36</t>
        </is>
      </c>
      <c r="C632" t="n">
        <v>36</v>
      </c>
      <c r="D632" t="n">
        <v>15</v>
      </c>
      <c r="E632" t="inlineStr">
        <is>
          <t>Calculation</t>
        </is>
      </c>
      <c r="F632" t="inlineStr">
        <is>
          <t>'=(1+(J36/J35)-1)*O35</t>
        </is>
      </c>
      <c r="G632" t="n">
        <v>115.2963444930794</v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11</v>
      </c>
      <c r="M632" t="inlineStr">
        <is>
          <t>Values must be of type &lt;class 'str'&gt;</t>
        </is>
      </c>
      <c r="N632" t="inlineStr">
        <is>
          <t>00000000</t>
        </is>
      </c>
      <c r="O632" t="inlineStr">
        <is>
          <t>left</t>
        </is>
      </c>
      <c r="R632" t="b">
        <v>1</v>
      </c>
      <c r="S632" t="inlineStr">
        <is>
          <t>G000162</t>
        </is>
      </c>
      <c r="T632" t="inlineStr">
        <is>
          <t>Vertical</t>
        </is>
      </c>
      <c r="U632" t="n">
        <v>92</v>
      </c>
      <c r="V632" t="b">
        <v>1</v>
      </c>
      <c r="W632" t="inlineStr">
        <is>
          <t>ATF Fuel 2!O3:O94</t>
        </is>
      </c>
      <c r="X632">
        <f>(1+(R[0]C[-5]/R[-1]C[-5])-1)*R[-1]C[0]</f>
        <v/>
      </c>
    </row>
    <row r="633">
      <c r="A633" t="inlineStr">
        <is>
          <t>ATF Fuel 2</t>
        </is>
      </c>
      <c r="B633" t="inlineStr">
        <is>
          <t>P36</t>
        </is>
      </c>
      <c r="C633" t="n">
        <v>36</v>
      </c>
      <c r="D633" t="n">
        <v>16</v>
      </c>
      <c r="E633" t="inlineStr">
        <is>
          <t>Calculation</t>
        </is>
      </c>
      <c r="F633" t="inlineStr">
        <is>
          <t>'=(1+(H36/H35)-1)*P35</t>
        </is>
      </c>
      <c r="G633" t="n">
        <v>170.2299106874893</v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00000000</t>
        </is>
      </c>
      <c r="O633" t="inlineStr">
        <is>
          <t>left</t>
        </is>
      </c>
      <c r="R633" t="b">
        <v>1</v>
      </c>
      <c r="S633" t="inlineStr">
        <is>
          <t>G000161</t>
        </is>
      </c>
      <c r="T633" t="inlineStr">
        <is>
          <t>Vertical</t>
        </is>
      </c>
      <c r="U633" t="n">
        <v>92</v>
      </c>
      <c r="V633" t="b">
        <v>1</v>
      </c>
      <c r="W633" t="inlineStr">
        <is>
          <t>ATF Fuel 2!P3:P94</t>
        </is>
      </c>
      <c r="X633">
        <f>(1+(R[0]C[-8]/R[-1]C[-8])-1)*R[-1]C[0]</f>
        <v/>
      </c>
    </row>
    <row r="634">
      <c r="A634" t="inlineStr">
        <is>
          <t>ATF Fuel 2</t>
        </is>
      </c>
      <c r="B634" t="inlineStr">
        <is>
          <t>Q36</t>
        </is>
      </c>
      <c r="C634" t="n">
        <v>36</v>
      </c>
      <c r="D634" t="n">
        <v>17</v>
      </c>
      <c r="E634" t="inlineStr">
        <is>
          <t>Output</t>
        </is>
      </c>
      <c r="F634" t="inlineStr">
        <is>
          <t>'=M36/N36-1</t>
        </is>
      </c>
      <c r="G634" t="n">
        <v>0.1317347026576685</v>
      </c>
      <c r="H634" t="inlineStr"/>
      <c r="I634" t="inlineStr">
        <is>
          <t>0.0%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n">
        <v/>
      </c>
      <c r="R634" t="b">
        <v>1</v>
      </c>
      <c r="S634" t="inlineStr">
        <is>
          <t>G000153</t>
        </is>
      </c>
      <c r="T634" t="inlineStr">
        <is>
          <t>Vertical</t>
        </is>
      </c>
      <c r="U634" t="n">
        <v>93</v>
      </c>
      <c r="V634" t="b">
        <v>1</v>
      </c>
      <c r="W634" t="inlineStr">
        <is>
          <t>ATF Fuel 2!Q2:Q94</t>
        </is>
      </c>
      <c r="X634">
        <f>R[0]C[-4]/R[0]C[-3]-1</f>
        <v/>
      </c>
    </row>
    <row r="635">
      <c r="A635" t="inlineStr">
        <is>
          <t>ATF Fuel 2</t>
        </is>
      </c>
      <c r="B635" t="inlineStr">
        <is>
          <t>A37</t>
        </is>
      </c>
      <c r="C635" t="n">
        <v>37</v>
      </c>
      <c r="D635" t="n">
        <v>1</v>
      </c>
      <c r="E635" t="inlineStr">
        <is>
          <t>Input</t>
        </is>
      </c>
      <c r="F635" t="n">
        <v/>
      </c>
      <c r="G635" t="inlineStr">
        <is>
          <t>March 01, 2013</t>
        </is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n">
        <v/>
      </c>
      <c r="R635" t="b">
        <v>1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</row>
    <row r="636">
      <c r="A636" t="inlineStr">
        <is>
          <t>ATF Fuel 2</t>
        </is>
      </c>
      <c r="B636" t="inlineStr">
        <is>
          <t>B37</t>
        </is>
      </c>
      <c r="C636" t="n">
        <v>37</v>
      </c>
      <c r="D636" t="n">
        <v>2</v>
      </c>
      <c r="E636" t="inlineStr">
        <is>
          <t>Input</t>
        </is>
      </c>
      <c r="F636" t="n">
        <v/>
      </c>
      <c r="G636" t="n">
        <v>74502.5475</v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n">
        <v/>
      </c>
      <c r="R636" t="b">
        <v>1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</row>
    <row r="637">
      <c r="A637" t="inlineStr">
        <is>
          <t>ATF Fuel 2</t>
        </is>
      </c>
      <c r="B637" t="inlineStr">
        <is>
          <t>C37</t>
        </is>
      </c>
      <c r="C637" t="n">
        <v>37</v>
      </c>
      <c r="D637" t="n">
        <v>3</v>
      </c>
      <c r="E637" t="inlineStr">
        <is>
          <t>Output</t>
        </is>
      </c>
      <c r="F637" t="inlineStr">
        <is>
          <t>'=B37/B36-1</t>
        </is>
      </c>
      <c r="G637" t="n">
        <v>0.03659002899187525</v>
      </c>
      <c r="H637" t="inlineStr"/>
      <c r="I637" t="inlineStr">
        <is>
          <t>0%</t>
        </is>
      </c>
      <c r="J637" t="b">
        <v>0</v>
      </c>
      <c r="K637" t="b">
        <v>0</v>
      </c>
      <c r="L637" t="n">
        <v>11</v>
      </c>
      <c r="M637" t="n">
        <v/>
      </c>
      <c r="N637" t="inlineStr">
        <is>
          <t>00000000</t>
        </is>
      </c>
      <c r="O637" t="n">
        <v/>
      </c>
      <c r="R637" t="b">
        <v>1</v>
      </c>
      <c r="S637" t="inlineStr">
        <is>
          <t>G000154</t>
        </is>
      </c>
      <c r="T637" t="inlineStr">
        <is>
          <t>Vertical</t>
        </is>
      </c>
      <c r="U637" t="n">
        <v>92</v>
      </c>
      <c r="V637" t="b">
        <v>1</v>
      </c>
      <c r="W637" t="inlineStr">
        <is>
          <t>ATF Fuel 2!C3:C94</t>
        </is>
      </c>
      <c r="X637">
        <f>R[0]C[-1]/R[-1]C[-1]-1</f>
        <v/>
      </c>
    </row>
    <row r="638">
      <c r="A638" t="inlineStr">
        <is>
          <t>ATF Fuel 2</t>
        </is>
      </c>
      <c r="B638" t="inlineStr">
        <is>
          <t>D37</t>
        </is>
      </c>
      <c r="C638" t="n">
        <v>37</v>
      </c>
      <c r="D638" t="n">
        <v>4</v>
      </c>
      <c r="E638" t="inlineStr">
        <is>
          <t>Input</t>
        </is>
      </c>
      <c r="F638" t="n">
        <v/>
      </c>
      <c r="G638" t="n">
        <v>54.355</v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00000000</t>
        </is>
      </c>
      <c r="O638" t="n">
        <v/>
      </c>
      <c r="R638" t="b">
        <v>1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</row>
    <row r="639">
      <c r="A639" t="inlineStr">
        <is>
          <t>ATF Fuel 2</t>
        </is>
      </c>
      <c r="B639" t="inlineStr">
        <is>
          <t>E37</t>
        </is>
      </c>
      <c r="C639" t="n">
        <v>37</v>
      </c>
      <c r="D639" t="n">
        <v>5</v>
      </c>
      <c r="E639" t="inlineStr">
        <is>
          <t>Output</t>
        </is>
      </c>
      <c r="F639" t="inlineStr">
        <is>
          <t>'=B37/B36-1</t>
        </is>
      </c>
      <c r="G639" t="n">
        <v>0.03659002899187525</v>
      </c>
      <c r="H639" t="inlineStr"/>
      <c r="I639" t="inlineStr">
        <is>
          <t>0%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00000000</t>
        </is>
      </c>
      <c r="O639" t="n">
        <v/>
      </c>
      <c r="R639" t="b">
        <v>1</v>
      </c>
      <c r="S639" t="inlineStr">
        <is>
          <t>G000158</t>
        </is>
      </c>
      <c r="T639" t="inlineStr">
        <is>
          <t>Vertical</t>
        </is>
      </c>
      <c r="U639" t="n">
        <v>92</v>
      </c>
      <c r="V639" t="b">
        <v>1</v>
      </c>
      <c r="W639" t="inlineStr">
        <is>
          <t>ATF Fuel 2!E3:E94</t>
        </is>
      </c>
      <c r="X639">
        <f>R[0]C[-3]/R[-1]C[-3]-1</f>
        <v/>
      </c>
    </row>
    <row r="640">
      <c r="A640" t="inlineStr">
        <is>
          <t>ATF Fuel 2</t>
        </is>
      </c>
      <c r="B640" t="inlineStr">
        <is>
          <t>F37</t>
        </is>
      </c>
      <c r="C640" t="n">
        <v>37</v>
      </c>
      <c r="D640" t="n">
        <v>6</v>
      </c>
      <c r="E640" t="inlineStr">
        <is>
          <t>Input</t>
        </is>
      </c>
      <c r="F640" t="n">
        <v/>
      </c>
      <c r="G640" t="n">
        <v>108.64</v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00000000</t>
        </is>
      </c>
      <c r="O640" t="n">
        <v/>
      </c>
      <c r="R640" t="b">
        <v>1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</row>
    <row r="641">
      <c r="A641" t="inlineStr">
        <is>
          <t>ATF Fuel 2</t>
        </is>
      </c>
      <c r="B641" t="inlineStr">
        <is>
          <t>G37</t>
        </is>
      </c>
      <c r="C641" t="n">
        <v>37</v>
      </c>
      <c r="D641" t="n">
        <v>7</v>
      </c>
      <c r="E641" t="inlineStr">
        <is>
          <t>Output</t>
        </is>
      </c>
      <c r="F641" t="inlineStr">
        <is>
          <t>'=F37/F36-1</t>
        </is>
      </c>
      <c r="G641" t="n">
        <v>-0.08157916983684166</v>
      </c>
      <c r="H641" t="inlineStr"/>
      <c r="I641" t="inlineStr">
        <is>
          <t>0%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00000000</t>
        </is>
      </c>
      <c r="O641" t="n">
        <v/>
      </c>
      <c r="R641" t="b">
        <v>1</v>
      </c>
      <c r="S641" t="inlineStr">
        <is>
          <t>G000155</t>
        </is>
      </c>
      <c r="T641" t="inlineStr">
        <is>
          <t>Vertical</t>
        </is>
      </c>
      <c r="U641" t="n">
        <v>93</v>
      </c>
      <c r="V641" t="b">
        <v>1</v>
      </c>
      <c r="W641" t="inlineStr">
        <is>
          <t>ATF Fuel 2!G3:G95</t>
        </is>
      </c>
      <c r="X641">
        <f>R[0]C[-1]/R[-1]C[-1]-1</f>
        <v/>
      </c>
    </row>
    <row r="642">
      <c r="A642" t="inlineStr">
        <is>
          <t>ATF Fuel 2</t>
        </is>
      </c>
      <c r="B642" t="inlineStr">
        <is>
          <t>H37</t>
        </is>
      </c>
      <c r="C642" t="n">
        <v>37</v>
      </c>
      <c r="D642" t="n">
        <v>8</v>
      </c>
      <c r="E642" t="inlineStr">
        <is>
          <t>Calculation</t>
        </is>
      </c>
      <c r="F642" t="inlineStr">
        <is>
          <t>'=D37*F37</t>
        </is>
      </c>
      <c r="G642" t="n">
        <v>5905.1272</v>
      </c>
      <c r="H642" t="inlineStr"/>
      <c r="I642" t="inlineStr">
        <is>
          <t>0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00000000</t>
        </is>
      </c>
      <c r="O642" t="n">
        <v/>
      </c>
      <c r="R642" t="b">
        <v>1</v>
      </c>
      <c r="S642" t="inlineStr">
        <is>
          <t>G000152</t>
        </is>
      </c>
      <c r="T642" t="inlineStr">
        <is>
          <t>Vertical</t>
        </is>
      </c>
      <c r="U642" t="n">
        <v>98</v>
      </c>
      <c r="V642" t="b">
        <v>1</v>
      </c>
      <c r="W642" t="inlineStr">
        <is>
          <t>ATF Fuel 2!H2:H99</t>
        </is>
      </c>
      <c r="X642">
        <f>R[0]C[-4]*R[0]C[-2]</f>
        <v/>
      </c>
    </row>
    <row r="643">
      <c r="A643" t="inlineStr">
        <is>
          <t>ATF Fuel 2</t>
        </is>
      </c>
      <c r="B643" t="inlineStr">
        <is>
          <t>I37</t>
        </is>
      </c>
      <c r="C643" t="n">
        <v>37</v>
      </c>
      <c r="D643" t="n">
        <v>9</v>
      </c>
      <c r="E643" t="inlineStr">
        <is>
          <t>Output</t>
        </is>
      </c>
      <c r="F643" t="inlineStr">
        <is>
          <t>'=H37/H36-1</t>
        </is>
      </c>
      <c r="G643" t="n">
        <v>-0.06208052186907531</v>
      </c>
      <c r="H643" t="inlineStr"/>
      <c r="I643" t="inlineStr">
        <is>
          <t>0%</t>
        </is>
      </c>
      <c r="J643" t="b">
        <v>0</v>
      </c>
      <c r="K643" t="b">
        <v>0</v>
      </c>
      <c r="L643" t="n">
        <v>11</v>
      </c>
      <c r="M643" t="inlineStr">
        <is>
          <t>FFFF0000</t>
        </is>
      </c>
      <c r="N643" t="inlineStr">
        <is>
          <t>00000000</t>
        </is>
      </c>
      <c r="O643" t="n">
        <v/>
      </c>
      <c r="R643" t="b">
        <v>1</v>
      </c>
      <c r="S643" t="inlineStr">
        <is>
          <t>G000156</t>
        </is>
      </c>
      <c r="T643" t="inlineStr">
        <is>
          <t>Vertical</t>
        </is>
      </c>
      <c r="U643" t="n">
        <v>97</v>
      </c>
      <c r="V643" t="b">
        <v>1</v>
      </c>
      <c r="W643" t="inlineStr">
        <is>
          <t>ATF Fuel 2!I3:I99</t>
        </is>
      </c>
      <c r="X643">
        <f>R[0]C[-1]/R[-1]C[-1]-1</f>
        <v/>
      </c>
    </row>
    <row r="644">
      <c r="A644" t="inlineStr">
        <is>
          <t>ATF Fuel 2</t>
        </is>
      </c>
      <c r="B644" t="inlineStr">
        <is>
          <t>J37</t>
        </is>
      </c>
      <c r="C644" t="n">
        <v>37</v>
      </c>
      <c r="D644" t="n">
        <v>10</v>
      </c>
      <c r="E644" t="inlineStr">
        <is>
          <t>Input</t>
        </is>
      </c>
      <c r="F644" t="n">
        <v/>
      </c>
      <c r="G644" t="n">
        <v>90.70999999999999</v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n">
        <v/>
      </c>
      <c r="R644" t="b">
        <v>1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</row>
    <row r="645">
      <c r="A645" t="inlineStr">
        <is>
          <t>ATF Fuel 2</t>
        </is>
      </c>
      <c r="B645" t="inlineStr">
        <is>
          <t>K37</t>
        </is>
      </c>
      <c r="C645" t="n">
        <v>37</v>
      </c>
      <c r="D645" t="n">
        <v>11</v>
      </c>
      <c r="E645" t="inlineStr">
        <is>
          <t>Output</t>
        </is>
      </c>
      <c r="F645" t="inlineStr">
        <is>
          <t>'=J37/J36-1</t>
        </is>
      </c>
      <c r="G645" t="n">
        <v>-0.06925918325466862</v>
      </c>
      <c r="H645" t="inlineStr"/>
      <c r="I645" t="inlineStr">
        <is>
          <t>0%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n">
        <v/>
      </c>
      <c r="R645" t="b">
        <v>1</v>
      </c>
      <c r="S645" t="inlineStr">
        <is>
          <t>G000157</t>
        </is>
      </c>
      <c r="T645" t="inlineStr">
        <is>
          <t>Vertical</t>
        </is>
      </c>
      <c r="U645" t="n">
        <v>93</v>
      </c>
      <c r="V645" t="b">
        <v>1</v>
      </c>
      <c r="W645" t="inlineStr">
        <is>
          <t>ATF Fuel 2!K3:K95</t>
        </is>
      </c>
      <c r="X645">
        <f>R[0]C[-1]/R[-1]C[-1]-1</f>
        <v/>
      </c>
    </row>
    <row r="646">
      <c r="A646" t="inlineStr">
        <is>
          <t>ATF Fuel 2</t>
        </is>
      </c>
      <c r="B646" t="inlineStr">
        <is>
          <t>L37</t>
        </is>
      </c>
      <c r="C646" t="n">
        <v>37</v>
      </c>
      <c r="D646" t="n">
        <v>12</v>
      </c>
      <c r="E646" t="inlineStr">
        <is>
          <t>Input</t>
        </is>
      </c>
      <c r="F646" t="n">
        <v/>
      </c>
      <c r="G646" t="inlineStr">
        <is>
          <t>March 01, 2013</t>
        </is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inlineStr">
        <is>
          <t>left</t>
        </is>
      </c>
      <c r="R646" t="b">
        <v>1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</row>
    <row r="647">
      <c r="A647" t="inlineStr">
        <is>
          <t>ATF Fuel 2</t>
        </is>
      </c>
      <c r="B647" t="inlineStr">
        <is>
          <t>M37</t>
        </is>
      </c>
      <c r="C647" t="n">
        <v>37</v>
      </c>
      <c r="D647" t="n">
        <v>13</v>
      </c>
      <c r="E647" t="inlineStr">
        <is>
          <t>Calculation</t>
        </is>
      </c>
      <c r="F647" t="inlineStr">
        <is>
          <t>'=(1+(B37/B36)-1)*M36</t>
        </is>
      </c>
      <c r="G647" t="n">
        <v>167.9430124598744</v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inlineStr">
        <is>
          <t>left</t>
        </is>
      </c>
      <c r="R647" t="b">
        <v>1</v>
      </c>
      <c r="S647" t="inlineStr">
        <is>
          <t>G000159</t>
        </is>
      </c>
      <c r="T647" t="inlineStr">
        <is>
          <t>Vertical</t>
        </is>
      </c>
      <c r="U647" t="n">
        <v>92</v>
      </c>
      <c r="V647" t="b">
        <v>1</v>
      </c>
      <c r="W647" t="inlineStr">
        <is>
          <t>ATF Fuel 2!M3:M94</t>
        </is>
      </c>
      <c r="X647">
        <f>(1+(R[0]C[-11]/R[-1]C[-11])-1)*R[-1]C[0]</f>
        <v/>
      </c>
    </row>
    <row r="648">
      <c r="A648" t="inlineStr">
        <is>
          <t>ATF Fuel 2</t>
        </is>
      </c>
      <c r="B648" t="inlineStr">
        <is>
          <t>N37</t>
        </is>
      </c>
      <c r="C648" t="n">
        <v>37</v>
      </c>
      <c r="D648" t="n">
        <v>14</v>
      </c>
      <c r="E648" t="inlineStr">
        <is>
          <t>Calculation</t>
        </is>
      </c>
      <c r="F648" t="inlineStr">
        <is>
          <t>'=(1+(F37/F36)-1)*N36</t>
        </is>
      </c>
      <c r="G648" t="n">
        <v>131.4776715478641</v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inlineStr">
        <is>
          <t>left</t>
        </is>
      </c>
      <c r="R648" t="b">
        <v>1</v>
      </c>
      <c r="S648" t="inlineStr">
        <is>
          <t>G000160</t>
        </is>
      </c>
      <c r="T648" t="inlineStr">
        <is>
          <t>Vertical</t>
        </is>
      </c>
      <c r="U648" t="n">
        <v>92</v>
      </c>
      <c r="V648" t="b">
        <v>1</v>
      </c>
      <c r="W648" t="inlineStr">
        <is>
          <t>ATF Fuel 2!N3:N94</t>
        </is>
      </c>
      <c r="X648">
        <f>(1+(R[0]C[-8]/R[-1]C[-8])-1)*R[-1]C[0]</f>
        <v/>
      </c>
    </row>
    <row r="649">
      <c r="A649" t="inlineStr">
        <is>
          <t>ATF Fuel 2</t>
        </is>
      </c>
      <c r="B649" t="inlineStr">
        <is>
          <t>O37</t>
        </is>
      </c>
      <c r="C649" t="n">
        <v>37</v>
      </c>
      <c r="D649" t="n">
        <v>15</v>
      </c>
      <c r="E649" t="inlineStr">
        <is>
          <t>Calculation</t>
        </is>
      </c>
      <c r="F649" t="inlineStr">
        <is>
          <t>'=(1+(J37/J36)-1)*O36</t>
        </is>
      </c>
      <c r="G649" t="n">
        <v>107.3110138412398</v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00000000</t>
        </is>
      </c>
      <c r="O649" t="inlineStr">
        <is>
          <t>left</t>
        </is>
      </c>
      <c r="R649" t="b">
        <v>1</v>
      </c>
      <c r="S649" t="inlineStr">
        <is>
          <t>G000162</t>
        </is>
      </c>
      <c r="T649" t="inlineStr">
        <is>
          <t>Vertical</t>
        </is>
      </c>
      <c r="U649" t="n">
        <v>92</v>
      </c>
      <c r="V649" t="b">
        <v>1</v>
      </c>
      <c r="W649" t="inlineStr">
        <is>
          <t>ATF Fuel 2!O3:O94</t>
        </is>
      </c>
      <c r="X649">
        <f>(1+(R[0]C[-5]/R[-1]C[-5])-1)*R[-1]C[0]</f>
        <v/>
      </c>
    </row>
    <row r="650">
      <c r="A650" t="inlineStr">
        <is>
          <t>ATF Fuel 2</t>
        </is>
      </c>
      <c r="B650" t="inlineStr">
        <is>
          <t>P37</t>
        </is>
      </c>
      <c r="C650" t="n">
        <v>37</v>
      </c>
      <c r="D650" t="n">
        <v>16</v>
      </c>
      <c r="E650" t="inlineStr">
        <is>
          <t>Calculation</t>
        </is>
      </c>
      <c r="F650" t="inlineStr">
        <is>
          <t>'=(1+(H37/H36)-1)*P36</t>
        </is>
      </c>
      <c r="G650" t="n">
        <v>159.6619489942839</v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00000000</t>
        </is>
      </c>
      <c r="O650" t="inlineStr">
        <is>
          <t>left</t>
        </is>
      </c>
      <c r="R650" t="b">
        <v>1</v>
      </c>
      <c r="S650" t="inlineStr">
        <is>
          <t>G000161</t>
        </is>
      </c>
      <c r="T650" t="inlineStr">
        <is>
          <t>Vertical</t>
        </is>
      </c>
      <c r="U650" t="n">
        <v>92</v>
      </c>
      <c r="V650" t="b">
        <v>1</v>
      </c>
      <c r="W650" t="inlineStr">
        <is>
          <t>ATF Fuel 2!P3:P94</t>
        </is>
      </c>
      <c r="X650">
        <f>(1+(R[0]C[-8]/R[-1]C[-8])-1)*R[-1]C[0]</f>
        <v/>
      </c>
    </row>
    <row r="651">
      <c r="A651" t="inlineStr">
        <is>
          <t>ATF Fuel 2</t>
        </is>
      </c>
      <c r="B651" t="inlineStr">
        <is>
          <t>Q37</t>
        </is>
      </c>
      <c r="C651" t="n">
        <v>37</v>
      </c>
      <c r="D651" t="n">
        <v>17</v>
      </c>
      <c r="E651" t="inlineStr">
        <is>
          <t>Output</t>
        </is>
      </c>
      <c r="F651" t="inlineStr">
        <is>
          <t>'=M37/N37-1</t>
        </is>
      </c>
      <c r="G651" t="n">
        <v>0.277350066233377</v>
      </c>
      <c r="H651" t="inlineStr"/>
      <c r="I651" t="inlineStr">
        <is>
          <t>0.0%</t>
        </is>
      </c>
      <c r="J651" t="b">
        <v>0</v>
      </c>
      <c r="K651" t="b">
        <v>0</v>
      </c>
      <c r="L651" t="n">
        <v>11</v>
      </c>
      <c r="M651" t="inlineStr">
        <is>
          <t>Values must be of type &lt;class 'str'&gt;</t>
        </is>
      </c>
      <c r="N651" t="inlineStr">
        <is>
          <t>00000000</t>
        </is>
      </c>
      <c r="O651" t="n">
        <v/>
      </c>
      <c r="R651" t="b">
        <v>1</v>
      </c>
      <c r="S651" t="inlineStr">
        <is>
          <t>G000153</t>
        </is>
      </c>
      <c r="T651" t="inlineStr">
        <is>
          <t>Vertical</t>
        </is>
      </c>
      <c r="U651" t="n">
        <v>93</v>
      </c>
      <c r="V651" t="b">
        <v>1</v>
      </c>
      <c r="W651" t="inlineStr">
        <is>
          <t>ATF Fuel 2!Q2:Q94</t>
        </is>
      </c>
      <c r="X651">
        <f>R[0]C[-4]/R[0]C[-3]-1</f>
        <v/>
      </c>
    </row>
    <row r="652">
      <c r="A652" t="inlineStr">
        <is>
          <t>ATF Fuel 2</t>
        </is>
      </c>
      <c r="B652" t="inlineStr">
        <is>
          <t>A38</t>
        </is>
      </c>
      <c r="C652" t="n">
        <v>38</v>
      </c>
      <c r="D652" t="n">
        <v>1</v>
      </c>
      <c r="E652" t="inlineStr">
        <is>
          <t>Input</t>
        </is>
      </c>
      <c r="F652" t="n">
        <v/>
      </c>
      <c r="G652" t="inlineStr">
        <is>
          <t>April 01, 2013</t>
        </is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11</v>
      </c>
      <c r="M652" t="inlineStr">
        <is>
          <t>Values must be of type &lt;class 'str'&gt;</t>
        </is>
      </c>
      <c r="N652" t="inlineStr">
        <is>
          <t>00000000</t>
        </is>
      </c>
      <c r="O652" t="n">
        <v/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</row>
    <row r="653">
      <c r="A653" t="inlineStr">
        <is>
          <t>ATF Fuel 2</t>
        </is>
      </c>
      <c r="B653" t="inlineStr">
        <is>
          <t>B38</t>
        </is>
      </c>
      <c r="C653" t="n">
        <v>38</v>
      </c>
      <c r="D653" t="n">
        <v>2</v>
      </c>
      <c r="E653" t="inlineStr">
        <is>
          <t>Input</t>
        </is>
      </c>
      <c r="F653" t="n">
        <v/>
      </c>
      <c r="G653" t="n">
        <v>70671.505</v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11</v>
      </c>
      <c r="M653" t="inlineStr">
        <is>
          <t>Values must be of type &lt;class 'str'&gt;</t>
        </is>
      </c>
      <c r="N653" t="inlineStr">
        <is>
          <t>00000000</t>
        </is>
      </c>
      <c r="O653" t="n">
        <v/>
      </c>
      <c r="R653" t="b">
        <v>1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</row>
    <row r="654">
      <c r="A654" t="inlineStr">
        <is>
          <t>ATF Fuel 2</t>
        </is>
      </c>
      <c r="B654" t="inlineStr">
        <is>
          <t>C38</t>
        </is>
      </c>
      <c r="C654" t="n">
        <v>38</v>
      </c>
      <c r="D654" t="n">
        <v>3</v>
      </c>
      <c r="E654" t="inlineStr">
        <is>
          <t>Output</t>
        </is>
      </c>
      <c r="F654" t="inlineStr">
        <is>
          <t>'=B38/B37-1</t>
        </is>
      </c>
      <c r="G654" t="n">
        <v>-0.05142163091805685</v>
      </c>
      <c r="H654" t="inlineStr"/>
      <c r="I654" t="inlineStr">
        <is>
          <t>0%</t>
        </is>
      </c>
      <c r="J654" t="b">
        <v>0</v>
      </c>
      <c r="K654" t="b">
        <v>0</v>
      </c>
      <c r="L654" t="n">
        <v>11</v>
      </c>
      <c r="M654" t="n">
        <v/>
      </c>
      <c r="N654" t="inlineStr">
        <is>
          <t>00000000</t>
        </is>
      </c>
      <c r="O654" t="n">
        <v/>
      </c>
      <c r="R654" t="b">
        <v>1</v>
      </c>
      <c r="S654" t="inlineStr">
        <is>
          <t>G000154</t>
        </is>
      </c>
      <c r="T654" t="inlineStr">
        <is>
          <t>Vertical</t>
        </is>
      </c>
      <c r="U654" t="n">
        <v>92</v>
      </c>
      <c r="V654" t="b">
        <v>1</v>
      </c>
      <c r="W654" t="inlineStr">
        <is>
          <t>ATF Fuel 2!C3:C94</t>
        </is>
      </c>
      <c r="X654">
        <f>R[0]C[-1]/R[-1]C[-1]-1</f>
        <v/>
      </c>
    </row>
    <row r="655">
      <c r="A655" t="inlineStr">
        <is>
          <t>ATF Fuel 2</t>
        </is>
      </c>
      <c r="B655" t="inlineStr">
        <is>
          <t>D38</t>
        </is>
      </c>
      <c r="C655" t="n">
        <v>38</v>
      </c>
      <c r="D655" t="n">
        <v>4</v>
      </c>
      <c r="E655" t="inlineStr">
        <is>
          <t>Input</t>
        </is>
      </c>
      <c r="F655" t="n">
        <v/>
      </c>
      <c r="G655" t="n">
        <v>54.285</v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00000000</t>
        </is>
      </c>
      <c r="O655" t="n">
        <v/>
      </c>
      <c r="R655" t="b">
        <v>1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</row>
    <row r="656">
      <c r="A656" t="inlineStr">
        <is>
          <t>ATF Fuel 2</t>
        </is>
      </c>
      <c r="B656" t="inlineStr">
        <is>
          <t>E38</t>
        </is>
      </c>
      <c r="C656" t="n">
        <v>38</v>
      </c>
      <c r="D656" t="n">
        <v>5</v>
      </c>
      <c r="E656" t="inlineStr">
        <is>
          <t>Output</t>
        </is>
      </c>
      <c r="F656" t="inlineStr">
        <is>
          <t>'=B38/B37-1</t>
        </is>
      </c>
      <c r="G656" t="n">
        <v>-0.05142163091805685</v>
      </c>
      <c r="H656" t="inlineStr"/>
      <c r="I656" t="inlineStr">
        <is>
          <t>0%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00000000</t>
        </is>
      </c>
      <c r="O656" t="n">
        <v/>
      </c>
      <c r="R656" t="b">
        <v>1</v>
      </c>
      <c r="S656" t="inlineStr">
        <is>
          <t>G000158</t>
        </is>
      </c>
      <c r="T656" t="inlineStr">
        <is>
          <t>Vertical</t>
        </is>
      </c>
      <c r="U656" t="n">
        <v>92</v>
      </c>
      <c r="V656" t="b">
        <v>1</v>
      </c>
      <c r="W656" t="inlineStr">
        <is>
          <t>ATF Fuel 2!E3:E94</t>
        </is>
      </c>
      <c r="X656">
        <f>R[0]C[-3]/R[-1]C[-3]-1</f>
        <v/>
      </c>
    </row>
    <row r="657">
      <c r="A657" t="inlineStr">
        <is>
          <t>ATF Fuel 2</t>
        </is>
      </c>
      <c r="B657" t="inlineStr">
        <is>
          <t>F38</t>
        </is>
      </c>
      <c r="C657" t="n">
        <v>38</v>
      </c>
      <c r="D657" t="n">
        <v>6</v>
      </c>
      <c r="E657" t="inlineStr">
        <is>
          <t>Input</t>
        </is>
      </c>
      <c r="F657" t="n">
        <v/>
      </c>
      <c r="G657" t="n">
        <v>104.08</v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00000000</t>
        </is>
      </c>
      <c r="O657" t="n">
        <v/>
      </c>
      <c r="R657" t="b">
        <v>1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</row>
    <row r="658">
      <c r="A658" t="inlineStr">
        <is>
          <t>ATF Fuel 2</t>
        </is>
      </c>
      <c r="B658" t="inlineStr">
        <is>
          <t>G38</t>
        </is>
      </c>
      <c r="C658" t="n">
        <v>38</v>
      </c>
      <c r="D658" t="n">
        <v>7</v>
      </c>
      <c r="E658" t="inlineStr">
        <is>
          <t>Output</t>
        </is>
      </c>
      <c r="F658" t="inlineStr">
        <is>
          <t>'=F38/F37-1</t>
        </is>
      </c>
      <c r="G658" t="n">
        <v>-0.04197349042709875</v>
      </c>
      <c r="H658" t="inlineStr"/>
      <c r="I658" t="inlineStr">
        <is>
          <t>0%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00000000</t>
        </is>
      </c>
      <c r="O658" t="n">
        <v/>
      </c>
      <c r="R658" t="b">
        <v>1</v>
      </c>
      <c r="S658" t="inlineStr">
        <is>
          <t>G000155</t>
        </is>
      </c>
      <c r="T658" t="inlineStr">
        <is>
          <t>Vertical</t>
        </is>
      </c>
      <c r="U658" t="n">
        <v>93</v>
      </c>
      <c r="V658" t="b">
        <v>1</v>
      </c>
      <c r="W658" t="inlineStr">
        <is>
          <t>ATF Fuel 2!G3:G95</t>
        </is>
      </c>
      <c r="X658">
        <f>R[0]C[-1]/R[-1]C[-1]-1</f>
        <v/>
      </c>
    </row>
    <row r="659">
      <c r="A659" t="inlineStr">
        <is>
          <t>ATF Fuel 2</t>
        </is>
      </c>
      <c r="B659" t="inlineStr">
        <is>
          <t>H38</t>
        </is>
      </c>
      <c r="C659" t="n">
        <v>38</v>
      </c>
      <c r="D659" t="n">
        <v>8</v>
      </c>
      <c r="E659" t="inlineStr">
        <is>
          <t>Calculation</t>
        </is>
      </c>
      <c r="F659" t="inlineStr">
        <is>
          <t>'=D38*F38</t>
        </is>
      </c>
      <c r="G659" t="n">
        <v>5649.9828</v>
      </c>
      <c r="H659" t="inlineStr"/>
      <c r="I659" t="inlineStr">
        <is>
          <t>0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00000000</t>
        </is>
      </c>
      <c r="O659" t="n">
        <v/>
      </c>
      <c r="R659" t="b">
        <v>1</v>
      </c>
      <c r="S659" t="inlineStr">
        <is>
          <t>G000152</t>
        </is>
      </c>
      <c r="T659" t="inlineStr">
        <is>
          <t>Vertical</t>
        </is>
      </c>
      <c r="U659" t="n">
        <v>98</v>
      </c>
      <c r="V659" t="b">
        <v>1</v>
      </c>
      <c r="W659" t="inlineStr">
        <is>
          <t>ATF Fuel 2!H2:H99</t>
        </is>
      </c>
      <c r="X659">
        <f>R[0]C[-4]*R[0]C[-2]</f>
        <v/>
      </c>
    </row>
    <row r="660">
      <c r="A660" t="inlineStr">
        <is>
          <t>ATF Fuel 2</t>
        </is>
      </c>
      <c r="B660" t="inlineStr">
        <is>
          <t>I38</t>
        </is>
      </c>
      <c r="C660" t="n">
        <v>38</v>
      </c>
      <c r="D660" t="n">
        <v>9</v>
      </c>
      <c r="E660" t="inlineStr">
        <is>
          <t>Output</t>
        </is>
      </c>
      <c r="F660" t="inlineStr">
        <is>
          <t>'=H38/H37-1</t>
        </is>
      </c>
      <c r="G660" t="n">
        <v>-0.04320726571309086</v>
      </c>
      <c r="H660" t="inlineStr"/>
      <c r="I660" t="inlineStr">
        <is>
          <t>0%</t>
        </is>
      </c>
      <c r="J660" t="b">
        <v>0</v>
      </c>
      <c r="K660" t="b">
        <v>0</v>
      </c>
      <c r="L660" t="n">
        <v>11</v>
      </c>
      <c r="M660" t="inlineStr">
        <is>
          <t>FFFF0000</t>
        </is>
      </c>
      <c r="N660" t="inlineStr">
        <is>
          <t>00000000</t>
        </is>
      </c>
      <c r="O660" t="n">
        <v/>
      </c>
      <c r="R660" t="b">
        <v>1</v>
      </c>
      <c r="S660" t="inlineStr">
        <is>
          <t>G000156</t>
        </is>
      </c>
      <c r="T660" t="inlineStr">
        <is>
          <t>Vertical</t>
        </is>
      </c>
      <c r="U660" t="n">
        <v>97</v>
      </c>
      <c r="V660" t="b">
        <v>1</v>
      </c>
      <c r="W660" t="inlineStr">
        <is>
          <t>ATF Fuel 2!I3:I99</t>
        </is>
      </c>
      <c r="X660">
        <f>R[0]C[-1]/R[-1]C[-1]-1</f>
        <v/>
      </c>
    </row>
    <row r="661">
      <c r="A661" t="inlineStr">
        <is>
          <t>ATF Fuel 2</t>
        </is>
      </c>
      <c r="B661" t="inlineStr">
        <is>
          <t>J38</t>
        </is>
      </c>
      <c r="C661" t="n">
        <v>38</v>
      </c>
      <c r="D661" t="n">
        <v>10</v>
      </c>
      <c r="E661" t="inlineStr">
        <is>
          <t>Input</t>
        </is>
      </c>
      <c r="F661" t="n">
        <v/>
      </c>
      <c r="G661" t="n">
        <v>97.09999999999999</v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11</v>
      </c>
      <c r="M661" t="inlineStr">
        <is>
          <t>Values must be of type &lt;class 'str'&gt;</t>
        </is>
      </c>
      <c r="N661" t="inlineStr">
        <is>
          <t>00000000</t>
        </is>
      </c>
      <c r="O661" t="n">
        <v/>
      </c>
      <c r="R661" t="b">
        <v>1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</row>
    <row r="662">
      <c r="A662" t="inlineStr">
        <is>
          <t>ATF Fuel 2</t>
        </is>
      </c>
      <c r="B662" t="inlineStr">
        <is>
          <t>K38</t>
        </is>
      </c>
      <c r="C662" t="n">
        <v>38</v>
      </c>
      <c r="D662" t="n">
        <v>11</v>
      </c>
      <c r="E662" t="inlineStr">
        <is>
          <t>Output</t>
        </is>
      </c>
      <c r="F662" t="inlineStr">
        <is>
          <t>'=J38/J37-1</t>
        </is>
      </c>
      <c r="G662" t="n">
        <v>0.07044427295777744</v>
      </c>
      <c r="H662" t="inlineStr"/>
      <c r="I662" t="inlineStr">
        <is>
          <t>0%</t>
        </is>
      </c>
      <c r="J662" t="b">
        <v>0</v>
      </c>
      <c r="K662" t="b">
        <v>0</v>
      </c>
      <c r="L662" t="n">
        <v>11</v>
      </c>
      <c r="M662" t="inlineStr">
        <is>
          <t>Values must be of type &lt;class 'str'&gt;</t>
        </is>
      </c>
      <c r="N662" t="inlineStr">
        <is>
          <t>00000000</t>
        </is>
      </c>
      <c r="O662" t="n">
        <v/>
      </c>
      <c r="R662" t="b">
        <v>1</v>
      </c>
      <c r="S662" t="inlineStr">
        <is>
          <t>G000157</t>
        </is>
      </c>
      <c r="T662" t="inlineStr">
        <is>
          <t>Vertical</t>
        </is>
      </c>
      <c r="U662" t="n">
        <v>93</v>
      </c>
      <c r="V662" t="b">
        <v>1</v>
      </c>
      <c r="W662" t="inlineStr">
        <is>
          <t>ATF Fuel 2!K3:K95</t>
        </is>
      </c>
      <c r="X662">
        <f>R[0]C[-1]/R[-1]C[-1]-1</f>
        <v/>
      </c>
    </row>
    <row r="663">
      <c r="A663" t="inlineStr">
        <is>
          <t>ATF Fuel 2</t>
        </is>
      </c>
      <c r="B663" t="inlineStr">
        <is>
          <t>L38</t>
        </is>
      </c>
      <c r="C663" t="n">
        <v>38</v>
      </c>
      <c r="D663" t="n">
        <v>12</v>
      </c>
      <c r="E663" t="inlineStr">
        <is>
          <t>Input</t>
        </is>
      </c>
      <c r="F663" t="n">
        <v/>
      </c>
      <c r="G663" t="inlineStr">
        <is>
          <t>April 01, 2013</t>
        </is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11</v>
      </c>
      <c r="M663" t="inlineStr">
        <is>
          <t>Values must be of type &lt;class 'str'&gt;</t>
        </is>
      </c>
      <c r="N663" t="inlineStr">
        <is>
          <t>00000000</t>
        </is>
      </c>
      <c r="O663" t="inlineStr">
        <is>
          <t>left</t>
        </is>
      </c>
      <c r="R663" t="b">
        <v>1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</row>
    <row r="664">
      <c r="A664" t="inlineStr">
        <is>
          <t>ATF Fuel 2</t>
        </is>
      </c>
      <c r="B664" t="inlineStr">
        <is>
          <t>M38</t>
        </is>
      </c>
      <c r="C664" t="n">
        <v>38</v>
      </c>
      <c r="D664" t="n">
        <v>13</v>
      </c>
      <c r="E664" t="inlineStr">
        <is>
          <t>Calculation</t>
        </is>
      </c>
      <c r="F664" t="inlineStr">
        <is>
          <t>'=(1+(B38/B37)-1)*M37</t>
        </is>
      </c>
      <c r="G664" t="n">
        <v>159.3071088578961</v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11</v>
      </c>
      <c r="M664" t="inlineStr">
        <is>
          <t>Values must be of type &lt;class 'str'&gt;</t>
        </is>
      </c>
      <c r="N664" t="inlineStr">
        <is>
          <t>00000000</t>
        </is>
      </c>
      <c r="O664" t="inlineStr">
        <is>
          <t>left</t>
        </is>
      </c>
      <c r="R664" t="b">
        <v>1</v>
      </c>
      <c r="S664" t="inlineStr">
        <is>
          <t>G000159</t>
        </is>
      </c>
      <c r="T664" t="inlineStr">
        <is>
          <t>Vertical</t>
        </is>
      </c>
      <c r="U664" t="n">
        <v>92</v>
      </c>
      <c r="V664" t="b">
        <v>1</v>
      </c>
      <c r="W664" t="inlineStr">
        <is>
          <t>ATF Fuel 2!M3:M94</t>
        </is>
      </c>
      <c r="X664">
        <f>(1+(R[0]C[-11]/R[-1]C[-11])-1)*R[-1]C[0]</f>
        <v/>
      </c>
    </row>
    <row r="665">
      <c r="A665" t="inlineStr">
        <is>
          <t>ATF Fuel 2</t>
        </is>
      </c>
      <c r="B665" t="inlineStr">
        <is>
          <t>N38</t>
        </is>
      </c>
      <c r="C665" t="n">
        <v>38</v>
      </c>
      <c r="D665" t="n">
        <v>14</v>
      </c>
      <c r="E665" t="inlineStr">
        <is>
          <t>Calculation</t>
        </is>
      </c>
      <c r="F665" t="inlineStr">
        <is>
          <t>'=(1+(F38/F37)-1)*N37</t>
        </is>
      </c>
      <c r="G665" t="n">
        <v>125.9590947597726</v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11</v>
      </c>
      <c r="M665" t="inlineStr">
        <is>
          <t>Values must be of type &lt;class 'str'&gt;</t>
        </is>
      </c>
      <c r="N665" t="inlineStr">
        <is>
          <t>00000000</t>
        </is>
      </c>
      <c r="O665" t="inlineStr">
        <is>
          <t>left</t>
        </is>
      </c>
      <c r="R665" t="b">
        <v>1</v>
      </c>
      <c r="S665" t="inlineStr">
        <is>
          <t>G000160</t>
        </is>
      </c>
      <c r="T665" t="inlineStr">
        <is>
          <t>Vertical</t>
        </is>
      </c>
      <c r="U665" t="n">
        <v>92</v>
      </c>
      <c r="V665" t="b">
        <v>1</v>
      </c>
      <c r="W665" t="inlineStr">
        <is>
          <t>ATF Fuel 2!N3:N94</t>
        </is>
      </c>
      <c r="X665">
        <f>(1+(R[0]C[-8]/R[-1]C[-8])-1)*R[-1]C[0]</f>
        <v/>
      </c>
    </row>
    <row r="666">
      <c r="A666" t="inlineStr">
        <is>
          <t>ATF Fuel 2</t>
        </is>
      </c>
      <c r="B666" t="inlineStr">
        <is>
          <t>O38</t>
        </is>
      </c>
      <c r="C666" t="n">
        <v>38</v>
      </c>
      <c r="D666" t="n">
        <v>15</v>
      </c>
      <c r="E666" t="inlineStr">
        <is>
          <t>Calculation</t>
        </is>
      </c>
      <c r="F666" t="inlineStr">
        <is>
          <t>'=(1+(J38/J37)-1)*O37</t>
        </is>
      </c>
      <c r="G666" t="n">
        <v>114.8704601916479</v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00000000</t>
        </is>
      </c>
      <c r="O666" t="inlineStr">
        <is>
          <t>left</t>
        </is>
      </c>
      <c r="R666" t="b">
        <v>1</v>
      </c>
      <c r="S666" t="inlineStr">
        <is>
          <t>G000162</t>
        </is>
      </c>
      <c r="T666" t="inlineStr">
        <is>
          <t>Vertical</t>
        </is>
      </c>
      <c r="U666" t="n">
        <v>92</v>
      </c>
      <c r="V666" t="b">
        <v>1</v>
      </c>
      <c r="W666" t="inlineStr">
        <is>
          <t>ATF Fuel 2!O3:O94</t>
        </is>
      </c>
      <c r="X666">
        <f>(1+(R[0]C[-5]/R[-1]C[-5])-1)*R[-1]C[0]</f>
        <v/>
      </c>
    </row>
    <row r="667">
      <c r="A667" t="inlineStr">
        <is>
          <t>ATF Fuel 2</t>
        </is>
      </c>
      <c r="B667" t="inlineStr">
        <is>
          <t>P38</t>
        </is>
      </c>
      <c r="C667" t="n">
        <v>38</v>
      </c>
      <c r="D667" t="n">
        <v>16</v>
      </c>
      <c r="E667" t="inlineStr">
        <is>
          <t>Calculation</t>
        </is>
      </c>
      <c r="F667" t="inlineStr">
        <is>
          <t>'=(1+(H38/H37)-1)*P37</t>
        </is>
      </c>
      <c r="G667" t="n">
        <v>152.7633927398179</v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00000000</t>
        </is>
      </c>
      <c r="O667" t="inlineStr">
        <is>
          <t>left</t>
        </is>
      </c>
      <c r="R667" t="b">
        <v>1</v>
      </c>
      <c r="S667" t="inlineStr">
        <is>
          <t>G000161</t>
        </is>
      </c>
      <c r="T667" t="inlineStr">
        <is>
          <t>Vertical</t>
        </is>
      </c>
      <c r="U667" t="n">
        <v>92</v>
      </c>
      <c r="V667" t="b">
        <v>1</v>
      </c>
      <c r="W667" t="inlineStr">
        <is>
          <t>ATF Fuel 2!P3:P94</t>
        </is>
      </c>
      <c r="X667">
        <f>(1+(R[0]C[-8]/R[-1]C[-8])-1)*R[-1]C[0]</f>
        <v/>
      </c>
    </row>
    <row r="668">
      <c r="A668" t="inlineStr">
        <is>
          <t>ATF Fuel 2</t>
        </is>
      </c>
      <c r="B668" t="inlineStr">
        <is>
          <t>Q38</t>
        </is>
      </c>
      <c r="C668" t="n">
        <v>38</v>
      </c>
      <c r="D668" t="n">
        <v>17</v>
      </c>
      <c r="E668" t="inlineStr">
        <is>
          <t>Output</t>
        </is>
      </c>
      <c r="F668" t="inlineStr">
        <is>
          <t>'=M38/N38-1</t>
        </is>
      </c>
      <c r="G668" t="n">
        <v>0.2647527291437304</v>
      </c>
      <c r="H668" t="inlineStr"/>
      <c r="I668" t="inlineStr">
        <is>
          <t>0.0%</t>
        </is>
      </c>
      <c r="J668" t="b">
        <v>0</v>
      </c>
      <c r="K668" t="b">
        <v>0</v>
      </c>
      <c r="L668" t="n">
        <v>11</v>
      </c>
      <c r="M668" t="inlineStr">
        <is>
          <t>Values must be of type &lt;class 'str'&gt;</t>
        </is>
      </c>
      <c r="N668" t="inlineStr">
        <is>
          <t>00000000</t>
        </is>
      </c>
      <c r="O668" t="n">
        <v/>
      </c>
      <c r="R668" t="b">
        <v>1</v>
      </c>
      <c r="S668" t="inlineStr">
        <is>
          <t>G000153</t>
        </is>
      </c>
      <c r="T668" t="inlineStr">
        <is>
          <t>Vertical</t>
        </is>
      </c>
      <c r="U668" t="n">
        <v>93</v>
      </c>
      <c r="V668" t="b">
        <v>1</v>
      </c>
      <c r="W668" t="inlineStr">
        <is>
          <t>ATF Fuel 2!Q2:Q94</t>
        </is>
      </c>
      <c r="X668">
        <f>R[0]C[-4]/R[0]C[-3]-1</f>
        <v/>
      </c>
    </row>
    <row r="669">
      <c r="A669" t="inlineStr">
        <is>
          <t>ATF Fuel 2</t>
        </is>
      </c>
      <c r="B669" t="inlineStr">
        <is>
          <t>A39</t>
        </is>
      </c>
      <c r="C669" t="n">
        <v>39</v>
      </c>
      <c r="D669" t="n">
        <v>1</v>
      </c>
      <c r="E669" t="inlineStr">
        <is>
          <t>Input</t>
        </is>
      </c>
      <c r="F669" t="n">
        <v/>
      </c>
      <c r="G669" t="inlineStr">
        <is>
          <t>May 01, 2013</t>
        </is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11</v>
      </c>
      <c r="M669" t="inlineStr">
        <is>
          <t>Values must be of type &lt;class 'str'&gt;</t>
        </is>
      </c>
      <c r="N669" t="inlineStr">
        <is>
          <t>00000000</t>
        </is>
      </c>
      <c r="O669" t="n">
        <v/>
      </c>
      <c r="R669" t="b">
        <v>1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</row>
    <row r="670">
      <c r="A670" t="inlineStr">
        <is>
          <t>ATF Fuel 2</t>
        </is>
      </c>
      <c r="B670" t="inlineStr">
        <is>
          <t>B39</t>
        </is>
      </c>
      <c r="C670" t="n">
        <v>39</v>
      </c>
      <c r="D670" t="n">
        <v>2</v>
      </c>
      <c r="E670" t="inlineStr">
        <is>
          <t>Input</t>
        </is>
      </c>
      <c r="F670" t="n">
        <v/>
      </c>
      <c r="G670" t="n">
        <v>66995.0975</v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11</v>
      </c>
      <c r="M670" t="inlineStr">
        <is>
          <t>Values must be of type &lt;class 'str'&gt;</t>
        </is>
      </c>
      <c r="N670" t="inlineStr">
        <is>
          <t>00000000</t>
        </is>
      </c>
      <c r="O670" t="n">
        <v/>
      </c>
      <c r="R670" t="b">
        <v>1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</row>
    <row r="671">
      <c r="A671" t="inlineStr">
        <is>
          <t>ATF Fuel 2</t>
        </is>
      </c>
      <c r="B671" t="inlineStr">
        <is>
          <t>C39</t>
        </is>
      </c>
      <c r="C671" t="n">
        <v>39</v>
      </c>
      <c r="D671" t="n">
        <v>3</v>
      </c>
      <c r="E671" t="inlineStr">
        <is>
          <t>Output</t>
        </is>
      </c>
      <c r="F671" t="inlineStr">
        <is>
          <t>'=B39/B38-1</t>
        </is>
      </c>
      <c r="G671" t="n">
        <v>-0.0520210727081587</v>
      </c>
      <c r="H671" t="inlineStr"/>
      <c r="I671" t="inlineStr">
        <is>
          <t>0%</t>
        </is>
      </c>
      <c r="J671" t="b">
        <v>0</v>
      </c>
      <c r="K671" t="b">
        <v>0</v>
      </c>
      <c r="L671" t="n">
        <v>11</v>
      </c>
      <c r="M671" t="n">
        <v/>
      </c>
      <c r="N671" t="inlineStr">
        <is>
          <t>00000000</t>
        </is>
      </c>
      <c r="O671" t="n">
        <v/>
      </c>
      <c r="R671" t="b">
        <v>1</v>
      </c>
      <c r="S671" t="inlineStr">
        <is>
          <t>G000154</t>
        </is>
      </c>
      <c r="T671" t="inlineStr">
        <is>
          <t>Vertical</t>
        </is>
      </c>
      <c r="U671" t="n">
        <v>92</v>
      </c>
      <c r="V671" t="b">
        <v>1</v>
      </c>
      <c r="W671" t="inlineStr">
        <is>
          <t>ATF Fuel 2!C3:C94</t>
        </is>
      </c>
      <c r="X671">
        <f>R[0]C[-1]/R[-1]C[-1]-1</f>
        <v/>
      </c>
    </row>
    <row r="672">
      <c r="A672" t="inlineStr">
        <is>
          <t>ATF Fuel 2</t>
        </is>
      </c>
      <c r="B672" t="inlineStr">
        <is>
          <t>D39</t>
        </is>
      </c>
      <c r="C672" t="n">
        <v>39</v>
      </c>
      <c r="D672" t="n">
        <v>4</v>
      </c>
      <c r="E672" t="inlineStr">
        <is>
          <t>Input</t>
        </is>
      </c>
      <c r="F672" t="n">
        <v/>
      </c>
      <c r="G672" t="n">
        <v>53.805</v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11</v>
      </c>
      <c r="M672" t="inlineStr">
        <is>
          <t>Values must be of type &lt;class 'str'&gt;</t>
        </is>
      </c>
      <c r="N672" t="inlineStr">
        <is>
          <t>00000000</t>
        </is>
      </c>
      <c r="O672" t="n">
        <v/>
      </c>
      <c r="R672" t="b">
        <v>1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</row>
    <row r="673">
      <c r="A673" t="inlineStr">
        <is>
          <t>ATF Fuel 2</t>
        </is>
      </c>
      <c r="B673" t="inlineStr">
        <is>
          <t>E39</t>
        </is>
      </c>
      <c r="C673" t="n">
        <v>39</v>
      </c>
      <c r="D673" t="n">
        <v>5</v>
      </c>
      <c r="E673" t="inlineStr">
        <is>
          <t>Output</t>
        </is>
      </c>
      <c r="F673" t="inlineStr">
        <is>
          <t>'=B39/B38-1</t>
        </is>
      </c>
      <c r="G673" t="n">
        <v>-0.0520210727081587</v>
      </c>
      <c r="H673" t="inlineStr"/>
      <c r="I673" t="inlineStr">
        <is>
          <t>0%</t>
        </is>
      </c>
      <c r="J673" t="b">
        <v>0</v>
      </c>
      <c r="K673" t="b">
        <v>0</v>
      </c>
      <c r="L673" t="n">
        <v>11</v>
      </c>
      <c r="M673" t="inlineStr">
        <is>
          <t>Values must be of type &lt;class 'str'&gt;</t>
        </is>
      </c>
      <c r="N673" t="inlineStr">
        <is>
          <t>00000000</t>
        </is>
      </c>
      <c r="O673" t="n">
        <v/>
      </c>
      <c r="R673" t="b">
        <v>1</v>
      </c>
      <c r="S673" t="inlineStr">
        <is>
          <t>G000158</t>
        </is>
      </c>
      <c r="T673" t="inlineStr">
        <is>
          <t>Vertical</t>
        </is>
      </c>
      <c r="U673" t="n">
        <v>92</v>
      </c>
      <c r="V673" t="b">
        <v>1</v>
      </c>
      <c r="W673" t="inlineStr">
        <is>
          <t>ATF Fuel 2!E3:E94</t>
        </is>
      </c>
      <c r="X673">
        <f>R[0]C[-3]/R[-1]C[-3]-1</f>
        <v/>
      </c>
    </row>
    <row r="674">
      <c r="A674" t="inlineStr">
        <is>
          <t>ATF Fuel 2</t>
        </is>
      </c>
      <c r="B674" t="inlineStr">
        <is>
          <t>F39</t>
        </is>
      </c>
      <c r="C674" t="n">
        <v>39</v>
      </c>
      <c r="D674" t="n">
        <v>6</v>
      </c>
      <c r="E674" t="inlineStr">
        <is>
          <t>Input</t>
        </is>
      </c>
      <c r="F674" t="n">
        <v/>
      </c>
      <c r="G674" t="n">
        <v>103.59</v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11</v>
      </c>
      <c r="M674" t="inlineStr">
        <is>
          <t>Values must be of type &lt;class 'str'&gt;</t>
        </is>
      </c>
      <c r="N674" t="inlineStr">
        <is>
          <t>00000000</t>
        </is>
      </c>
      <c r="O674" t="n">
        <v/>
      </c>
      <c r="R674" t="b">
        <v>1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</row>
    <row r="675">
      <c r="A675" t="inlineStr">
        <is>
          <t>ATF Fuel 2</t>
        </is>
      </c>
      <c r="B675" t="inlineStr">
        <is>
          <t>G39</t>
        </is>
      </c>
      <c r="C675" t="n">
        <v>39</v>
      </c>
      <c r="D675" t="n">
        <v>7</v>
      </c>
      <c r="E675" t="inlineStr">
        <is>
          <t>Output</t>
        </is>
      </c>
      <c r="F675" t="inlineStr">
        <is>
          <t>'=F39/F38-1</t>
        </is>
      </c>
      <c r="G675" t="n">
        <v>-0.004707916986933069</v>
      </c>
      <c r="H675" t="inlineStr"/>
      <c r="I675" t="inlineStr">
        <is>
          <t>0%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00000000</t>
        </is>
      </c>
      <c r="O675" t="n">
        <v/>
      </c>
      <c r="R675" t="b">
        <v>1</v>
      </c>
      <c r="S675" t="inlineStr">
        <is>
          <t>G000155</t>
        </is>
      </c>
      <c r="T675" t="inlineStr">
        <is>
          <t>Vertical</t>
        </is>
      </c>
      <c r="U675" t="n">
        <v>93</v>
      </c>
      <c r="V675" t="b">
        <v>1</v>
      </c>
      <c r="W675" t="inlineStr">
        <is>
          <t>ATF Fuel 2!G3:G95</t>
        </is>
      </c>
      <c r="X675">
        <f>R[0]C[-1]/R[-1]C[-1]-1</f>
        <v/>
      </c>
    </row>
    <row r="676">
      <c r="A676" t="inlineStr">
        <is>
          <t>ATF Fuel 2</t>
        </is>
      </c>
      <c r="B676" t="inlineStr">
        <is>
          <t>H39</t>
        </is>
      </c>
      <c r="C676" t="n">
        <v>39</v>
      </c>
      <c r="D676" t="n">
        <v>8</v>
      </c>
      <c r="E676" t="inlineStr">
        <is>
          <t>Calculation</t>
        </is>
      </c>
      <c r="F676" t="inlineStr">
        <is>
          <t>'=D39*F39</t>
        </is>
      </c>
      <c r="G676" t="n">
        <v>5573.65995</v>
      </c>
      <c r="H676" t="inlineStr"/>
      <c r="I676" t="inlineStr">
        <is>
          <t>0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00000000</t>
        </is>
      </c>
      <c r="O676" t="n">
        <v/>
      </c>
      <c r="R676" t="b">
        <v>1</v>
      </c>
      <c r="S676" t="inlineStr">
        <is>
          <t>G000152</t>
        </is>
      </c>
      <c r="T676" t="inlineStr">
        <is>
          <t>Vertical</t>
        </is>
      </c>
      <c r="U676" t="n">
        <v>98</v>
      </c>
      <c r="V676" t="b">
        <v>1</v>
      </c>
      <c r="W676" t="inlineStr">
        <is>
          <t>ATF Fuel 2!H2:H99</t>
        </is>
      </c>
      <c r="X676">
        <f>R[0]C[-4]*R[0]C[-2]</f>
        <v/>
      </c>
    </row>
    <row r="677">
      <c r="A677" t="inlineStr">
        <is>
          <t>ATF Fuel 2</t>
        </is>
      </c>
      <c r="B677" t="inlineStr">
        <is>
          <t>I39</t>
        </is>
      </c>
      <c r="C677" t="n">
        <v>39</v>
      </c>
      <c r="D677" t="n">
        <v>9</v>
      </c>
      <c r="E677" t="inlineStr">
        <is>
          <t>Output</t>
        </is>
      </c>
      <c r="F677" t="inlineStr">
        <is>
          <t>'=H39/H38-1</t>
        </is>
      </c>
      <c r="G677" t="n">
        <v>-0.0135085101498007</v>
      </c>
      <c r="H677" t="inlineStr"/>
      <c r="I677" t="inlineStr">
        <is>
          <t>0%</t>
        </is>
      </c>
      <c r="J677" t="b">
        <v>0</v>
      </c>
      <c r="K677" t="b">
        <v>0</v>
      </c>
      <c r="L677" t="n">
        <v>11</v>
      </c>
      <c r="M677" t="inlineStr">
        <is>
          <t>FFFF0000</t>
        </is>
      </c>
      <c r="N677" t="inlineStr">
        <is>
          <t>00000000</t>
        </is>
      </c>
      <c r="O677" t="n">
        <v/>
      </c>
      <c r="R677" t="b">
        <v>1</v>
      </c>
      <c r="S677" t="inlineStr">
        <is>
          <t>G000156</t>
        </is>
      </c>
      <c r="T677" t="inlineStr">
        <is>
          <t>Vertical</t>
        </is>
      </c>
      <c r="U677" t="n">
        <v>97</v>
      </c>
      <c r="V677" t="b">
        <v>1</v>
      </c>
      <c r="W677" t="inlineStr">
        <is>
          <t>ATF Fuel 2!I3:I99</t>
        </is>
      </c>
      <c r="X677">
        <f>R[0]C[-1]/R[-1]C[-1]-1</f>
        <v/>
      </c>
    </row>
    <row r="678">
      <c r="A678" t="inlineStr">
        <is>
          <t>ATF Fuel 2</t>
        </is>
      </c>
      <c r="B678" t="inlineStr">
        <is>
          <t>J39</t>
        </is>
      </c>
      <c r="C678" t="n">
        <v>39</v>
      </c>
      <c r="D678" t="n">
        <v>10</v>
      </c>
      <c r="E678" t="inlineStr">
        <is>
          <t>Input</t>
        </is>
      </c>
      <c r="F678" t="n">
        <v/>
      </c>
      <c r="G678" t="n">
        <v>90.73999999999999</v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00000000</t>
        </is>
      </c>
      <c r="O678" t="n">
        <v/>
      </c>
      <c r="R678" t="b">
        <v>1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</row>
    <row r="679">
      <c r="A679" t="inlineStr">
        <is>
          <t>ATF Fuel 2</t>
        </is>
      </c>
      <c r="B679" t="inlineStr">
        <is>
          <t>K39</t>
        </is>
      </c>
      <c r="C679" t="n">
        <v>39</v>
      </c>
      <c r="D679" t="n">
        <v>11</v>
      </c>
      <c r="E679" t="inlineStr">
        <is>
          <t>Output</t>
        </is>
      </c>
      <c r="F679" t="inlineStr">
        <is>
          <t>'=J39/J38-1</t>
        </is>
      </c>
      <c r="G679" t="n">
        <v>-0.06549948506694125</v>
      </c>
      <c r="H679" t="inlineStr"/>
      <c r="I679" t="inlineStr">
        <is>
          <t>0%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00000000</t>
        </is>
      </c>
      <c r="O679" t="n">
        <v/>
      </c>
      <c r="R679" t="b">
        <v>1</v>
      </c>
      <c r="S679" t="inlineStr">
        <is>
          <t>G000157</t>
        </is>
      </c>
      <c r="T679" t="inlineStr">
        <is>
          <t>Vertical</t>
        </is>
      </c>
      <c r="U679" t="n">
        <v>93</v>
      </c>
      <c r="V679" t="b">
        <v>1</v>
      </c>
      <c r="W679" t="inlineStr">
        <is>
          <t>ATF Fuel 2!K3:K95</t>
        </is>
      </c>
      <c r="X679">
        <f>R[0]C[-1]/R[-1]C[-1]-1</f>
        <v/>
      </c>
    </row>
    <row r="680">
      <c r="A680" t="inlineStr">
        <is>
          <t>ATF Fuel 2</t>
        </is>
      </c>
      <c r="B680" t="inlineStr">
        <is>
          <t>L39</t>
        </is>
      </c>
      <c r="C680" t="n">
        <v>39</v>
      </c>
      <c r="D680" t="n">
        <v>12</v>
      </c>
      <c r="E680" t="inlineStr">
        <is>
          <t>Input</t>
        </is>
      </c>
      <c r="F680" t="n">
        <v/>
      </c>
      <c r="G680" t="inlineStr">
        <is>
          <t>May 01, 2013</t>
        </is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00000000</t>
        </is>
      </c>
      <c r="O680" t="inlineStr">
        <is>
          <t>left</t>
        </is>
      </c>
      <c r="R680" t="b">
        <v>1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</row>
    <row r="681">
      <c r="A681" t="inlineStr">
        <is>
          <t>ATF Fuel 2</t>
        </is>
      </c>
      <c r="B681" t="inlineStr">
        <is>
          <t>M39</t>
        </is>
      </c>
      <c r="C681" t="n">
        <v>39</v>
      </c>
      <c r="D681" t="n">
        <v>13</v>
      </c>
      <c r="E681" t="inlineStr">
        <is>
          <t>Calculation</t>
        </is>
      </c>
      <c r="F681" t="inlineStr">
        <is>
          <t>'=(1+(B39/B38)-1)*M38</t>
        </is>
      </c>
      <c r="G681" t="n">
        <v>151.019782165073</v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00000000</t>
        </is>
      </c>
      <c r="O681" t="inlineStr">
        <is>
          <t>left</t>
        </is>
      </c>
      <c r="R681" t="b">
        <v>1</v>
      </c>
      <c r="S681" t="inlineStr">
        <is>
          <t>G000159</t>
        </is>
      </c>
      <c r="T681" t="inlineStr">
        <is>
          <t>Vertical</t>
        </is>
      </c>
      <c r="U681" t="n">
        <v>92</v>
      </c>
      <c r="V681" t="b">
        <v>1</v>
      </c>
      <c r="W681" t="inlineStr">
        <is>
          <t>ATF Fuel 2!M3:M94</t>
        </is>
      </c>
      <c r="X681">
        <f>(1+(R[0]C[-11]/R[-1]C[-11])-1)*R[-1]C[0]</f>
        <v/>
      </c>
    </row>
    <row r="682">
      <c r="A682" t="inlineStr">
        <is>
          <t>ATF Fuel 2</t>
        </is>
      </c>
      <c r="B682" t="inlineStr">
        <is>
          <t>N39</t>
        </is>
      </c>
      <c r="C682" t="n">
        <v>39</v>
      </c>
      <c r="D682" t="n">
        <v>14</v>
      </c>
      <c r="E682" t="inlineStr">
        <is>
          <t>Calculation</t>
        </is>
      </c>
      <c r="F682" t="inlineStr">
        <is>
          <t>'=(1+(F39/F38)-1)*N38</t>
        </is>
      </c>
      <c r="G682" t="n">
        <v>125.3660897978943</v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11</v>
      </c>
      <c r="M682" t="inlineStr">
        <is>
          <t>Values must be of type &lt;class 'str'&gt;</t>
        </is>
      </c>
      <c r="N682" t="inlineStr">
        <is>
          <t>00000000</t>
        </is>
      </c>
      <c r="O682" t="inlineStr">
        <is>
          <t>left</t>
        </is>
      </c>
      <c r="R682" t="b">
        <v>1</v>
      </c>
      <c r="S682" t="inlineStr">
        <is>
          <t>G000160</t>
        </is>
      </c>
      <c r="T682" t="inlineStr">
        <is>
          <t>Vertical</t>
        </is>
      </c>
      <c r="U682" t="n">
        <v>92</v>
      </c>
      <c r="V682" t="b">
        <v>1</v>
      </c>
      <c r="W682" t="inlineStr">
        <is>
          <t>ATF Fuel 2!N3:N94</t>
        </is>
      </c>
      <c r="X682">
        <f>(1+(R[0]C[-8]/R[-1]C[-8])-1)*R[-1]C[0]</f>
        <v/>
      </c>
    </row>
    <row r="683">
      <c r="A683" t="inlineStr">
        <is>
          <t>ATF Fuel 2</t>
        </is>
      </c>
      <c r="B683" t="inlineStr">
        <is>
          <t>O39</t>
        </is>
      </c>
      <c r="C683" t="n">
        <v>39</v>
      </c>
      <c r="D683" t="n">
        <v>15</v>
      </c>
      <c r="E683" t="inlineStr">
        <is>
          <t>Calculation</t>
        </is>
      </c>
      <c r="F683" t="inlineStr">
        <is>
          <t>'=(1+(J39/J38)-1)*O38</t>
        </is>
      </c>
      <c r="G683" t="n">
        <v>107.3465041996924</v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11</v>
      </c>
      <c r="M683" t="inlineStr">
        <is>
          <t>Values must be of type &lt;class 'str'&gt;</t>
        </is>
      </c>
      <c r="N683" t="inlineStr">
        <is>
          <t>00000000</t>
        </is>
      </c>
      <c r="O683" t="inlineStr">
        <is>
          <t>left</t>
        </is>
      </c>
      <c r="R683" t="b">
        <v>1</v>
      </c>
      <c r="S683" t="inlineStr">
        <is>
          <t>G000162</t>
        </is>
      </c>
      <c r="T683" t="inlineStr">
        <is>
          <t>Vertical</t>
        </is>
      </c>
      <c r="U683" t="n">
        <v>92</v>
      </c>
      <c r="V683" t="b">
        <v>1</v>
      </c>
      <c r="W683" t="inlineStr">
        <is>
          <t>ATF Fuel 2!O3:O94</t>
        </is>
      </c>
      <c r="X683">
        <f>(1+(R[0]C[-5]/R[-1]C[-5])-1)*R[-1]C[0]</f>
        <v/>
      </c>
    </row>
    <row r="684">
      <c r="A684" t="inlineStr">
        <is>
          <t>ATF Fuel 2</t>
        </is>
      </c>
      <c r="B684" t="inlineStr">
        <is>
          <t>P39</t>
        </is>
      </c>
      <c r="C684" t="n">
        <v>39</v>
      </c>
      <c r="D684" t="n">
        <v>16</v>
      </c>
      <c r="E684" t="inlineStr">
        <is>
          <t>Calculation</t>
        </is>
      </c>
      <c r="F684" t="inlineStr">
        <is>
          <t>'=(1+(H39/H38)-1)*P38</t>
        </is>
      </c>
      <c r="G684" t="n">
        <v>150.6997868984741</v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11</v>
      </c>
      <c r="M684" t="inlineStr">
        <is>
          <t>Values must be of type &lt;class 'str'&gt;</t>
        </is>
      </c>
      <c r="N684" t="inlineStr">
        <is>
          <t>00000000</t>
        </is>
      </c>
      <c r="O684" t="inlineStr">
        <is>
          <t>left</t>
        </is>
      </c>
      <c r="R684" t="b">
        <v>1</v>
      </c>
      <c r="S684" t="inlineStr">
        <is>
          <t>G000161</t>
        </is>
      </c>
      <c r="T684" t="inlineStr">
        <is>
          <t>Vertical</t>
        </is>
      </c>
      <c r="U684" t="n">
        <v>92</v>
      </c>
      <c r="V684" t="b">
        <v>1</v>
      </c>
      <c r="W684" t="inlineStr">
        <is>
          <t>ATF Fuel 2!P3:P94</t>
        </is>
      </c>
      <c r="X684">
        <f>(1+(R[0]C[-8]/R[-1]C[-8])-1)*R[-1]C[0]</f>
        <v/>
      </c>
    </row>
    <row r="685">
      <c r="A685" t="inlineStr">
        <is>
          <t>ATF Fuel 2</t>
        </is>
      </c>
      <c r="B685" t="inlineStr">
        <is>
          <t>Q39</t>
        </is>
      </c>
      <c r="C685" t="n">
        <v>39</v>
      </c>
      <c r="D685" t="n">
        <v>17</v>
      </c>
      <c r="E685" t="inlineStr">
        <is>
          <t>Output</t>
        </is>
      </c>
      <c r="F685" t="inlineStr">
        <is>
          <t>'=M39/N39-1</t>
        </is>
      </c>
      <c r="G685" t="n">
        <v>0.2046302346075846</v>
      </c>
      <c r="H685" t="inlineStr"/>
      <c r="I685" t="inlineStr">
        <is>
          <t>0.0%</t>
        </is>
      </c>
      <c r="J685" t="b">
        <v>0</v>
      </c>
      <c r="K685" t="b">
        <v>0</v>
      </c>
      <c r="L685" t="n">
        <v>11</v>
      </c>
      <c r="M685" t="inlineStr">
        <is>
          <t>Values must be of type &lt;class 'str'&gt;</t>
        </is>
      </c>
      <c r="N685" t="inlineStr">
        <is>
          <t>00000000</t>
        </is>
      </c>
      <c r="O685" t="n">
        <v/>
      </c>
      <c r="R685" t="b">
        <v>1</v>
      </c>
      <c r="S685" t="inlineStr">
        <is>
          <t>G000153</t>
        </is>
      </c>
      <c r="T685" t="inlineStr">
        <is>
          <t>Vertical</t>
        </is>
      </c>
      <c r="U685" t="n">
        <v>93</v>
      </c>
      <c r="V685" t="b">
        <v>1</v>
      </c>
      <c r="W685" t="inlineStr">
        <is>
          <t>ATF Fuel 2!Q2:Q94</t>
        </is>
      </c>
      <c r="X685">
        <f>R[0]C[-4]/R[0]C[-3]-1</f>
        <v/>
      </c>
    </row>
    <row r="686">
      <c r="A686" t="inlineStr">
        <is>
          <t>ATF Fuel 2</t>
        </is>
      </c>
      <c r="B686" t="inlineStr">
        <is>
          <t>A40</t>
        </is>
      </c>
      <c r="C686" t="n">
        <v>40</v>
      </c>
      <c r="D686" t="n">
        <v>1</v>
      </c>
      <c r="E686" t="inlineStr">
        <is>
          <t>Input</t>
        </is>
      </c>
      <c r="F686" t="n">
        <v/>
      </c>
      <c r="G686" t="inlineStr">
        <is>
          <t>June 01, 2013</t>
        </is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11</v>
      </c>
      <c r="M686" t="inlineStr">
        <is>
          <t>Values must be of type &lt;class 'str'&gt;</t>
        </is>
      </c>
      <c r="N686" t="inlineStr">
        <is>
          <t>00000000</t>
        </is>
      </c>
      <c r="O686" t="n">
        <v/>
      </c>
      <c r="R686" t="b">
        <v>1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</row>
    <row r="687">
      <c r="A687" t="inlineStr">
        <is>
          <t>ATF Fuel 2</t>
        </is>
      </c>
      <c r="B687" t="inlineStr">
        <is>
          <t>B40</t>
        </is>
      </c>
      <c r="C687" t="n">
        <v>40</v>
      </c>
      <c r="D687" t="n">
        <v>2</v>
      </c>
      <c r="E687" t="inlineStr">
        <is>
          <t>Input</t>
        </is>
      </c>
      <c r="F687" t="n">
        <v/>
      </c>
      <c r="G687" t="n">
        <v>66745.17249999999</v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11</v>
      </c>
      <c r="M687" t="inlineStr">
        <is>
          <t>Values must be of type &lt;class 'str'&gt;</t>
        </is>
      </c>
      <c r="N687" t="inlineStr">
        <is>
          <t>00000000</t>
        </is>
      </c>
      <c r="O687" t="n">
        <v/>
      </c>
      <c r="R687" t="b">
        <v>1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</row>
    <row r="688">
      <c r="A688" t="inlineStr">
        <is>
          <t>ATF Fuel 2</t>
        </is>
      </c>
      <c r="B688" t="inlineStr">
        <is>
          <t>C40</t>
        </is>
      </c>
      <c r="C688" t="n">
        <v>40</v>
      </c>
      <c r="D688" t="n">
        <v>3</v>
      </c>
      <c r="E688" t="inlineStr">
        <is>
          <t>Output</t>
        </is>
      </c>
      <c r="F688" t="inlineStr">
        <is>
          <t>'=B40/B39-1</t>
        </is>
      </c>
      <c r="G688" t="n">
        <v>-0.003730496847176301</v>
      </c>
      <c r="H688" t="inlineStr"/>
      <c r="I688" t="inlineStr">
        <is>
          <t>0%</t>
        </is>
      </c>
      <c r="J688" t="b">
        <v>0</v>
      </c>
      <c r="K688" t="b">
        <v>0</v>
      </c>
      <c r="L688" t="n">
        <v>11</v>
      </c>
      <c r="M688" t="n">
        <v/>
      </c>
      <c r="N688" t="inlineStr">
        <is>
          <t>00000000</t>
        </is>
      </c>
      <c r="O688" t="n">
        <v/>
      </c>
      <c r="R688" t="b">
        <v>1</v>
      </c>
      <c r="S688" t="inlineStr">
        <is>
          <t>G000154</t>
        </is>
      </c>
      <c r="T688" t="inlineStr">
        <is>
          <t>Vertical</t>
        </is>
      </c>
      <c r="U688" t="n">
        <v>92</v>
      </c>
      <c r="V688" t="b">
        <v>1</v>
      </c>
      <c r="W688" t="inlineStr">
        <is>
          <t>ATF Fuel 2!C3:C94</t>
        </is>
      </c>
      <c r="X688">
        <f>R[0]C[-1]/R[-1]C[-1]-1</f>
        <v/>
      </c>
    </row>
    <row r="689">
      <c r="A689" t="inlineStr">
        <is>
          <t>ATF Fuel 2</t>
        </is>
      </c>
      <c r="B689" t="inlineStr">
        <is>
          <t>D40</t>
        </is>
      </c>
      <c r="C689" t="n">
        <v>40</v>
      </c>
      <c r="D689" t="n">
        <v>4</v>
      </c>
      <c r="E689" t="inlineStr">
        <is>
          <t>Input</t>
        </is>
      </c>
      <c r="F689" t="n">
        <v/>
      </c>
      <c r="G689" t="n">
        <v>56.51</v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00000000</t>
        </is>
      </c>
      <c r="O689" t="n">
        <v/>
      </c>
      <c r="R689" t="b">
        <v>1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</row>
    <row r="690">
      <c r="A690" t="inlineStr">
        <is>
          <t>ATF Fuel 2</t>
        </is>
      </c>
      <c r="B690" t="inlineStr">
        <is>
          <t>E40</t>
        </is>
      </c>
      <c r="C690" t="n">
        <v>40</v>
      </c>
      <c r="D690" t="n">
        <v>5</v>
      </c>
      <c r="E690" t="inlineStr">
        <is>
          <t>Output</t>
        </is>
      </c>
      <c r="F690" t="inlineStr">
        <is>
          <t>'=B40/B39-1</t>
        </is>
      </c>
      <c r="G690" t="n">
        <v>-0.003730496847176301</v>
      </c>
      <c r="H690" t="inlineStr"/>
      <c r="I690" t="inlineStr">
        <is>
          <t>0%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00000000</t>
        </is>
      </c>
      <c r="O690" t="n">
        <v/>
      </c>
      <c r="R690" t="b">
        <v>1</v>
      </c>
      <c r="S690" t="inlineStr">
        <is>
          <t>G000158</t>
        </is>
      </c>
      <c r="T690" t="inlineStr">
        <is>
          <t>Vertical</t>
        </is>
      </c>
      <c r="U690" t="n">
        <v>92</v>
      </c>
      <c r="V690" t="b">
        <v>1</v>
      </c>
      <c r="W690" t="inlineStr">
        <is>
          <t>ATF Fuel 2!E3:E94</t>
        </is>
      </c>
      <c r="X690">
        <f>R[0]C[-3]/R[-1]C[-3]-1</f>
        <v/>
      </c>
    </row>
    <row r="691">
      <c r="A691" t="inlineStr">
        <is>
          <t>ATF Fuel 2</t>
        </is>
      </c>
      <c r="B691" t="inlineStr">
        <is>
          <t>F40</t>
        </is>
      </c>
      <c r="C691" t="n">
        <v>40</v>
      </c>
      <c r="D691" t="n">
        <v>6</v>
      </c>
      <c r="E691" t="inlineStr">
        <is>
          <t>Input</t>
        </is>
      </c>
      <c r="F691" t="n">
        <v/>
      </c>
      <c r="G691" t="n">
        <v>101.5</v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00000000</t>
        </is>
      </c>
      <c r="O691" t="n">
        <v/>
      </c>
      <c r="R691" t="b">
        <v>1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</row>
    <row r="692">
      <c r="A692" t="inlineStr">
        <is>
          <t>ATF Fuel 2</t>
        </is>
      </c>
      <c r="B692" t="inlineStr">
        <is>
          <t>G40</t>
        </is>
      </c>
      <c r="C692" t="n">
        <v>40</v>
      </c>
      <c r="D692" t="n">
        <v>7</v>
      </c>
      <c r="E692" t="inlineStr">
        <is>
          <t>Output</t>
        </is>
      </c>
      <c r="F692" t="inlineStr">
        <is>
          <t>'=F40/F39-1</t>
        </is>
      </c>
      <c r="G692" t="n">
        <v>-0.0201756926344242</v>
      </c>
      <c r="H692" t="inlineStr"/>
      <c r="I692" t="inlineStr">
        <is>
          <t>0%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00000000</t>
        </is>
      </c>
      <c r="O692" t="n">
        <v/>
      </c>
      <c r="R692" t="b">
        <v>1</v>
      </c>
      <c r="S692" t="inlineStr">
        <is>
          <t>G000155</t>
        </is>
      </c>
      <c r="T692" t="inlineStr">
        <is>
          <t>Vertical</t>
        </is>
      </c>
      <c r="U692" t="n">
        <v>93</v>
      </c>
      <c r="V692" t="b">
        <v>1</v>
      </c>
      <c r="W692" t="inlineStr">
        <is>
          <t>ATF Fuel 2!G3:G95</t>
        </is>
      </c>
      <c r="X692">
        <f>R[0]C[-1]/R[-1]C[-1]-1</f>
        <v/>
      </c>
    </row>
    <row r="693">
      <c r="A693" t="inlineStr">
        <is>
          <t>ATF Fuel 2</t>
        </is>
      </c>
      <c r="B693" t="inlineStr">
        <is>
          <t>H40</t>
        </is>
      </c>
      <c r="C693" t="n">
        <v>40</v>
      </c>
      <c r="D693" t="n">
        <v>8</v>
      </c>
      <c r="E693" t="inlineStr">
        <is>
          <t>Calculation</t>
        </is>
      </c>
      <c r="F693" t="inlineStr">
        <is>
          <t>'=D40*F40</t>
        </is>
      </c>
      <c r="G693" t="n">
        <v>5735.764999999999</v>
      </c>
      <c r="H693" t="inlineStr"/>
      <c r="I693" t="inlineStr">
        <is>
          <t>0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00000000</t>
        </is>
      </c>
      <c r="O693" t="n">
        <v/>
      </c>
      <c r="R693" t="b">
        <v>1</v>
      </c>
      <c r="S693" t="inlineStr">
        <is>
          <t>G000152</t>
        </is>
      </c>
      <c r="T693" t="inlineStr">
        <is>
          <t>Vertical</t>
        </is>
      </c>
      <c r="U693" t="n">
        <v>98</v>
      </c>
      <c r="V693" t="b">
        <v>1</v>
      </c>
      <c r="W693" t="inlineStr">
        <is>
          <t>ATF Fuel 2!H2:H99</t>
        </is>
      </c>
      <c r="X693">
        <f>R[0]C[-4]*R[0]C[-2]</f>
        <v/>
      </c>
    </row>
    <row r="694">
      <c r="A694" t="inlineStr">
        <is>
          <t>ATF Fuel 2</t>
        </is>
      </c>
      <c r="B694" t="inlineStr">
        <is>
          <t>I40</t>
        </is>
      </c>
      <c r="C694" t="n">
        <v>40</v>
      </c>
      <c r="D694" t="n">
        <v>9</v>
      </c>
      <c r="E694" t="inlineStr">
        <is>
          <t>Output</t>
        </is>
      </c>
      <c r="F694" t="inlineStr">
        <is>
          <t>'=H40/H39-1</t>
        </is>
      </c>
      <c r="G694" t="n">
        <v>0.02908412989924147</v>
      </c>
      <c r="H694" t="inlineStr"/>
      <c r="I694" t="inlineStr">
        <is>
          <t>0%</t>
        </is>
      </c>
      <c r="J694" t="b">
        <v>0</v>
      </c>
      <c r="K694" t="b">
        <v>0</v>
      </c>
      <c r="L694" t="n">
        <v>11</v>
      </c>
      <c r="M694" t="inlineStr">
        <is>
          <t>FFFF0000</t>
        </is>
      </c>
      <c r="N694" t="inlineStr">
        <is>
          <t>00000000</t>
        </is>
      </c>
      <c r="O694" t="n">
        <v/>
      </c>
      <c r="R694" t="b">
        <v>1</v>
      </c>
      <c r="S694" t="inlineStr">
        <is>
          <t>G000156</t>
        </is>
      </c>
      <c r="T694" t="inlineStr">
        <is>
          <t>Vertical</t>
        </is>
      </c>
      <c r="U694" t="n">
        <v>97</v>
      </c>
      <c r="V694" t="b">
        <v>1</v>
      </c>
      <c r="W694" t="inlineStr">
        <is>
          <t>ATF Fuel 2!I3:I99</t>
        </is>
      </c>
      <c r="X694">
        <f>R[0]C[-1]/R[-1]C[-1]-1</f>
        <v/>
      </c>
    </row>
    <row r="695">
      <c r="A695" t="inlineStr">
        <is>
          <t>ATF Fuel 2</t>
        </is>
      </c>
      <c r="B695" t="inlineStr">
        <is>
          <t>J40</t>
        </is>
      </c>
      <c r="C695" t="n">
        <v>40</v>
      </c>
      <c r="D695" t="n">
        <v>10</v>
      </c>
      <c r="E695" t="inlineStr">
        <is>
          <t>Input</t>
        </is>
      </c>
      <c r="F695" t="n">
        <v/>
      </c>
      <c r="G695" t="n">
        <v>93.41</v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11</v>
      </c>
      <c r="M695" t="inlineStr">
        <is>
          <t>Values must be of type &lt;class 'str'&gt;</t>
        </is>
      </c>
      <c r="N695" t="inlineStr">
        <is>
          <t>00000000</t>
        </is>
      </c>
      <c r="O695" t="n">
        <v/>
      </c>
      <c r="R695" t="b">
        <v>1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</row>
    <row r="696">
      <c r="A696" t="inlineStr">
        <is>
          <t>ATF Fuel 2</t>
        </is>
      </c>
      <c r="B696" t="inlineStr">
        <is>
          <t>K40</t>
        </is>
      </c>
      <c r="C696" t="n">
        <v>40</v>
      </c>
      <c r="D696" t="n">
        <v>11</v>
      </c>
      <c r="E696" t="inlineStr">
        <is>
          <t>Output</t>
        </is>
      </c>
      <c r="F696" t="inlineStr">
        <is>
          <t>'=J40/J39-1</t>
        </is>
      </c>
      <c r="G696" t="n">
        <v>0.02942472999779588</v>
      </c>
      <c r="H696" t="inlineStr"/>
      <c r="I696" t="inlineStr">
        <is>
          <t>0%</t>
        </is>
      </c>
      <c r="J696" t="b">
        <v>0</v>
      </c>
      <c r="K696" t="b">
        <v>0</v>
      </c>
      <c r="L696" t="n">
        <v>11</v>
      </c>
      <c r="M696" t="inlineStr">
        <is>
          <t>Values must be of type &lt;class 'str'&gt;</t>
        </is>
      </c>
      <c r="N696" t="inlineStr">
        <is>
          <t>00000000</t>
        </is>
      </c>
      <c r="O696" t="n">
        <v/>
      </c>
      <c r="R696" t="b">
        <v>1</v>
      </c>
      <c r="S696" t="inlineStr">
        <is>
          <t>G000157</t>
        </is>
      </c>
      <c r="T696" t="inlineStr">
        <is>
          <t>Vertical</t>
        </is>
      </c>
      <c r="U696" t="n">
        <v>93</v>
      </c>
      <c r="V696" t="b">
        <v>1</v>
      </c>
      <c r="W696" t="inlineStr">
        <is>
          <t>ATF Fuel 2!K3:K95</t>
        </is>
      </c>
      <c r="X696">
        <f>R[0]C[-1]/R[-1]C[-1]-1</f>
        <v/>
      </c>
    </row>
    <row r="697">
      <c r="A697" t="inlineStr">
        <is>
          <t>ATF Fuel 2</t>
        </is>
      </c>
      <c r="B697" t="inlineStr">
        <is>
          <t>L40</t>
        </is>
      </c>
      <c r="C697" t="n">
        <v>40</v>
      </c>
      <c r="D697" t="n">
        <v>12</v>
      </c>
      <c r="E697" t="inlineStr">
        <is>
          <t>Input</t>
        </is>
      </c>
      <c r="F697" t="n">
        <v/>
      </c>
      <c r="G697" t="inlineStr">
        <is>
          <t>June 01, 2013</t>
        </is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11</v>
      </c>
      <c r="M697" t="inlineStr">
        <is>
          <t>Values must be of type &lt;class 'str'&gt;</t>
        </is>
      </c>
      <c r="N697" t="inlineStr">
        <is>
          <t>00000000</t>
        </is>
      </c>
      <c r="O697" t="inlineStr">
        <is>
          <t>left</t>
        </is>
      </c>
      <c r="R697" t="b">
        <v>1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</row>
    <row r="698">
      <c r="A698" t="inlineStr">
        <is>
          <t>ATF Fuel 2</t>
        </is>
      </c>
      <c r="B698" t="inlineStr">
        <is>
          <t>M40</t>
        </is>
      </c>
      <c r="C698" t="n">
        <v>40</v>
      </c>
      <c r="D698" t="n">
        <v>13</v>
      </c>
      <c r="E698" t="inlineStr">
        <is>
          <t>Calculation</t>
        </is>
      </c>
      <c r="F698" t="inlineStr">
        <is>
          <t>'=(1+(B40/B39)-1)*M39</t>
        </is>
      </c>
      <c r="G698" t="n">
        <v>150.4564033438449</v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11</v>
      </c>
      <c r="M698" t="inlineStr">
        <is>
          <t>Values must be of type &lt;class 'str'&gt;</t>
        </is>
      </c>
      <c r="N698" t="inlineStr">
        <is>
          <t>00000000</t>
        </is>
      </c>
      <c r="O698" t="inlineStr">
        <is>
          <t>left</t>
        </is>
      </c>
      <c r="R698" t="b">
        <v>1</v>
      </c>
      <c r="S698" t="inlineStr">
        <is>
          <t>G000159</t>
        </is>
      </c>
      <c r="T698" t="inlineStr">
        <is>
          <t>Vertical</t>
        </is>
      </c>
      <c r="U698" t="n">
        <v>92</v>
      </c>
      <c r="V698" t="b">
        <v>1</v>
      </c>
      <c r="W698" t="inlineStr">
        <is>
          <t>ATF Fuel 2!M3:M94</t>
        </is>
      </c>
      <c r="X698">
        <f>(1+(R[0]C[-11]/R[-1]C[-11])-1)*R[-1]C[0]</f>
        <v/>
      </c>
    </row>
    <row r="699">
      <c r="A699" t="inlineStr">
        <is>
          <t>ATF Fuel 2</t>
        </is>
      </c>
      <c r="B699" t="inlineStr">
        <is>
          <t>N40</t>
        </is>
      </c>
      <c r="C699" t="n">
        <v>40</v>
      </c>
      <c r="D699" t="n">
        <v>14</v>
      </c>
      <c r="E699" t="inlineStr">
        <is>
          <t>Calculation</t>
        </is>
      </c>
      <c r="F699" t="inlineStr">
        <is>
          <t>'=(1+(F40/F39)-1)*N39</t>
        </is>
      </c>
      <c r="G699" t="n">
        <v>122.8367421033524</v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11</v>
      </c>
      <c r="M699" t="inlineStr">
        <is>
          <t>Values must be of type &lt;class 'str'&gt;</t>
        </is>
      </c>
      <c r="N699" t="inlineStr">
        <is>
          <t>00000000</t>
        </is>
      </c>
      <c r="O699" t="inlineStr">
        <is>
          <t>left</t>
        </is>
      </c>
      <c r="R699" t="b">
        <v>1</v>
      </c>
      <c r="S699" t="inlineStr">
        <is>
          <t>G000160</t>
        </is>
      </c>
      <c r="T699" t="inlineStr">
        <is>
          <t>Vertical</t>
        </is>
      </c>
      <c r="U699" t="n">
        <v>92</v>
      </c>
      <c r="V699" t="b">
        <v>1</v>
      </c>
      <c r="W699" t="inlineStr">
        <is>
          <t>ATF Fuel 2!N3:N94</t>
        </is>
      </c>
      <c r="X699">
        <f>(1+(R[0]C[-8]/R[-1]C[-8])-1)*R[-1]C[0]</f>
        <v/>
      </c>
    </row>
    <row r="700">
      <c r="A700" t="inlineStr">
        <is>
          <t>ATF Fuel 2</t>
        </is>
      </c>
      <c r="B700" t="inlineStr">
        <is>
          <t>O40</t>
        </is>
      </c>
      <c r="C700" t="n">
        <v>40</v>
      </c>
      <c r="D700" t="n">
        <v>15</v>
      </c>
      <c r="E700" t="inlineStr">
        <is>
          <t>Calculation</t>
        </is>
      </c>
      <c r="F700" t="inlineStr">
        <is>
          <t>'=(1+(J40/J39)-1)*O39</t>
        </is>
      </c>
      <c r="G700" t="n">
        <v>110.5051461019756</v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11</v>
      </c>
      <c r="M700" t="inlineStr">
        <is>
          <t>Values must be of type &lt;class 'str'&gt;</t>
        </is>
      </c>
      <c r="N700" t="inlineStr">
        <is>
          <t>00000000</t>
        </is>
      </c>
      <c r="O700" t="inlineStr">
        <is>
          <t>left</t>
        </is>
      </c>
      <c r="R700" t="b">
        <v>1</v>
      </c>
      <c r="S700" t="inlineStr">
        <is>
          <t>G000162</t>
        </is>
      </c>
      <c r="T700" t="inlineStr">
        <is>
          <t>Vertical</t>
        </is>
      </c>
      <c r="U700" t="n">
        <v>92</v>
      </c>
      <c r="V700" t="b">
        <v>1</v>
      </c>
      <c r="W700" t="inlineStr">
        <is>
          <t>ATF Fuel 2!O3:O94</t>
        </is>
      </c>
      <c r="X700">
        <f>(1+(R[0]C[-5]/R[-1]C[-5])-1)*R[-1]C[0]</f>
        <v/>
      </c>
    </row>
    <row r="701">
      <c r="A701" t="inlineStr">
        <is>
          <t>ATF Fuel 2</t>
        </is>
      </c>
      <c r="B701" t="inlineStr">
        <is>
          <t>P40</t>
        </is>
      </c>
      <c r="C701" t="n">
        <v>40</v>
      </c>
      <c r="D701" t="n">
        <v>16</v>
      </c>
      <c r="E701" t="inlineStr">
        <is>
          <t>Calculation</t>
        </is>
      </c>
      <c r="F701" t="inlineStr">
        <is>
          <t>'=(1+(H40/H39)-1)*P39</t>
        </is>
      </c>
      <c r="G701" t="n">
        <v>155.0827590764173</v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00000000</t>
        </is>
      </c>
      <c r="O701" t="inlineStr">
        <is>
          <t>left</t>
        </is>
      </c>
      <c r="R701" t="b">
        <v>1</v>
      </c>
      <c r="S701" t="inlineStr">
        <is>
          <t>G000161</t>
        </is>
      </c>
      <c r="T701" t="inlineStr">
        <is>
          <t>Vertical</t>
        </is>
      </c>
      <c r="U701" t="n">
        <v>92</v>
      </c>
      <c r="V701" t="b">
        <v>1</v>
      </c>
      <c r="W701" t="inlineStr">
        <is>
          <t>ATF Fuel 2!P3:P94</t>
        </is>
      </c>
      <c r="X701">
        <f>(1+(R[0]C[-8]/R[-1]C[-8])-1)*R[-1]C[0]</f>
        <v/>
      </c>
    </row>
    <row r="702">
      <c r="A702" t="inlineStr">
        <is>
          <t>ATF Fuel 2</t>
        </is>
      </c>
      <c r="B702" t="inlineStr">
        <is>
          <t>Q40</t>
        </is>
      </c>
      <c r="C702" t="n">
        <v>40</v>
      </c>
      <c r="D702" t="n">
        <v>17</v>
      </c>
      <c r="E702" t="inlineStr">
        <is>
          <t>Output</t>
        </is>
      </c>
      <c r="F702" t="inlineStr">
        <is>
          <t>'=M40/N40-1</t>
        </is>
      </c>
      <c r="G702" t="n">
        <v>0.2248485328376246</v>
      </c>
      <c r="H702" t="inlineStr"/>
      <c r="I702" t="inlineStr">
        <is>
          <t>0.0%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00000000</t>
        </is>
      </c>
      <c r="O702" t="n">
        <v/>
      </c>
      <c r="R702" t="b">
        <v>1</v>
      </c>
      <c r="S702" t="inlineStr">
        <is>
          <t>G000153</t>
        </is>
      </c>
      <c r="T702" t="inlineStr">
        <is>
          <t>Vertical</t>
        </is>
      </c>
      <c r="U702" t="n">
        <v>93</v>
      </c>
      <c r="V702" t="b">
        <v>1</v>
      </c>
      <c r="W702" t="inlineStr">
        <is>
          <t>ATF Fuel 2!Q2:Q94</t>
        </is>
      </c>
      <c r="X702">
        <f>R[0]C[-4]/R[0]C[-3]-1</f>
        <v/>
      </c>
    </row>
    <row r="703">
      <c r="A703" t="inlineStr">
        <is>
          <t>ATF Fuel 2</t>
        </is>
      </c>
      <c r="B703" t="inlineStr">
        <is>
          <t>A41</t>
        </is>
      </c>
      <c r="C703" t="n">
        <v>41</v>
      </c>
      <c r="D703" t="n">
        <v>1</v>
      </c>
      <c r="E703" t="inlineStr">
        <is>
          <t>Input</t>
        </is>
      </c>
      <c r="F703" t="n">
        <v/>
      </c>
      <c r="G703" t="inlineStr">
        <is>
          <t>July 01, 2013</t>
        </is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00000000</t>
        </is>
      </c>
      <c r="O703" t="n">
        <v/>
      </c>
      <c r="R703" t="b">
        <v>1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</row>
    <row r="704">
      <c r="A704" t="inlineStr">
        <is>
          <t>ATF Fuel 2</t>
        </is>
      </c>
      <c r="B704" t="inlineStr">
        <is>
          <t>B41</t>
        </is>
      </c>
      <c r="C704" t="n">
        <v>41</v>
      </c>
      <c r="D704" t="n">
        <v>2</v>
      </c>
      <c r="E704" t="inlineStr">
        <is>
          <t>Input</t>
        </is>
      </c>
      <c r="F704" t="n">
        <v/>
      </c>
      <c r="G704" t="n">
        <v>70506.75</v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11</v>
      </c>
      <c r="M704" t="inlineStr">
        <is>
          <t>Values must be of type &lt;class 'str'&gt;</t>
        </is>
      </c>
      <c r="N704" t="inlineStr">
        <is>
          <t>00000000</t>
        </is>
      </c>
      <c r="O704" t="n">
        <v/>
      </c>
      <c r="R704" t="b">
        <v>1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</row>
    <row r="705">
      <c r="A705" t="inlineStr">
        <is>
          <t>ATF Fuel 2</t>
        </is>
      </c>
      <c r="B705" t="inlineStr">
        <is>
          <t>C41</t>
        </is>
      </c>
      <c r="C705" t="n">
        <v>41</v>
      </c>
      <c r="D705" t="n">
        <v>3</v>
      </c>
      <c r="E705" t="inlineStr">
        <is>
          <t>Output</t>
        </is>
      </c>
      <c r="F705" t="inlineStr">
        <is>
          <t>'=B41/B40-1</t>
        </is>
      </c>
      <c r="G705" t="n">
        <v>0.05635729685169388</v>
      </c>
      <c r="H705" t="inlineStr"/>
      <c r="I705" t="inlineStr">
        <is>
          <t>0%</t>
        </is>
      </c>
      <c r="J705" t="b">
        <v>0</v>
      </c>
      <c r="K705" t="b">
        <v>0</v>
      </c>
      <c r="L705" t="n">
        <v>11</v>
      </c>
      <c r="M705" t="n">
        <v/>
      </c>
      <c r="N705" t="inlineStr">
        <is>
          <t>00000000</t>
        </is>
      </c>
      <c r="O705" t="n">
        <v/>
      </c>
      <c r="R705" t="b">
        <v>1</v>
      </c>
      <c r="S705" t="inlineStr">
        <is>
          <t>G000154</t>
        </is>
      </c>
      <c r="T705" t="inlineStr">
        <is>
          <t>Vertical</t>
        </is>
      </c>
      <c r="U705" t="n">
        <v>92</v>
      </c>
      <c r="V705" t="b">
        <v>1</v>
      </c>
      <c r="W705" t="inlineStr">
        <is>
          <t>ATF Fuel 2!C3:C94</t>
        </is>
      </c>
      <c r="X705">
        <f>R[0]C[-1]/R[-1]C[-1]-1</f>
        <v/>
      </c>
    </row>
    <row r="706">
      <c r="A706" t="inlineStr">
        <is>
          <t>ATF Fuel 2</t>
        </is>
      </c>
      <c r="B706" t="inlineStr">
        <is>
          <t>D41</t>
        </is>
      </c>
      <c r="C706" t="n">
        <v>41</v>
      </c>
      <c r="D706" t="n">
        <v>4</v>
      </c>
      <c r="E706" t="inlineStr">
        <is>
          <t>Input</t>
        </is>
      </c>
      <c r="F706" t="n">
        <v/>
      </c>
      <c r="G706" t="n">
        <v>59.385</v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11</v>
      </c>
      <c r="M706" t="inlineStr">
        <is>
          <t>Values must be of type &lt;class 'str'&gt;</t>
        </is>
      </c>
      <c r="N706" t="inlineStr">
        <is>
          <t>00000000</t>
        </is>
      </c>
      <c r="O706" t="n">
        <v/>
      </c>
      <c r="R706" t="b">
        <v>1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</row>
    <row r="707">
      <c r="A707" t="inlineStr">
        <is>
          <t>ATF Fuel 2</t>
        </is>
      </c>
      <c r="B707" t="inlineStr">
        <is>
          <t>E41</t>
        </is>
      </c>
      <c r="C707" t="n">
        <v>41</v>
      </c>
      <c r="D707" t="n">
        <v>5</v>
      </c>
      <c r="E707" t="inlineStr">
        <is>
          <t>Output</t>
        </is>
      </c>
      <c r="F707" t="inlineStr">
        <is>
          <t>'=B41/B40-1</t>
        </is>
      </c>
      <c r="G707" t="n">
        <v>0.05635729685169388</v>
      </c>
      <c r="H707" t="inlineStr"/>
      <c r="I707" t="inlineStr">
        <is>
          <t>0%</t>
        </is>
      </c>
      <c r="J707" t="b">
        <v>0</v>
      </c>
      <c r="K707" t="b">
        <v>0</v>
      </c>
      <c r="L707" t="n">
        <v>11</v>
      </c>
      <c r="M707" t="inlineStr">
        <is>
          <t>Values must be of type &lt;class 'str'&gt;</t>
        </is>
      </c>
      <c r="N707" t="inlineStr">
        <is>
          <t>00000000</t>
        </is>
      </c>
      <c r="O707" t="n">
        <v/>
      </c>
      <c r="R707" t="b">
        <v>1</v>
      </c>
      <c r="S707" t="inlineStr">
        <is>
          <t>G000158</t>
        </is>
      </c>
      <c r="T707" t="inlineStr">
        <is>
          <t>Vertical</t>
        </is>
      </c>
      <c r="U707" t="n">
        <v>92</v>
      </c>
      <c r="V707" t="b">
        <v>1</v>
      </c>
      <c r="W707" t="inlineStr">
        <is>
          <t>ATF Fuel 2!E3:E94</t>
        </is>
      </c>
      <c r="X707">
        <f>R[0]C[-3]/R[-1]C[-3]-1</f>
        <v/>
      </c>
    </row>
    <row r="708">
      <c r="A708" t="inlineStr">
        <is>
          <t>ATF Fuel 2</t>
        </is>
      </c>
      <c r="B708" t="inlineStr">
        <is>
          <t>F41</t>
        </is>
      </c>
      <c r="C708" t="n">
        <v>41</v>
      </c>
      <c r="D708" t="n">
        <v>6</v>
      </c>
      <c r="E708" t="inlineStr">
        <is>
          <t>Input</t>
        </is>
      </c>
      <c r="F708" t="n">
        <v/>
      </c>
      <c r="G708" t="n">
        <v>108.43</v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11</v>
      </c>
      <c r="M708" t="inlineStr">
        <is>
          <t>Values must be of type &lt;class 'str'&gt;</t>
        </is>
      </c>
      <c r="N708" t="inlineStr">
        <is>
          <t>00000000</t>
        </is>
      </c>
      <c r="O708" t="n">
        <v/>
      </c>
      <c r="R708" t="b">
        <v>1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</row>
    <row r="709">
      <c r="A709" t="inlineStr">
        <is>
          <t>ATF Fuel 2</t>
        </is>
      </c>
      <c r="B709" t="inlineStr">
        <is>
          <t>G41</t>
        </is>
      </c>
      <c r="C709" t="n">
        <v>41</v>
      </c>
      <c r="D709" t="n">
        <v>7</v>
      </c>
      <c r="E709" t="inlineStr">
        <is>
          <t>Output</t>
        </is>
      </c>
      <c r="F709" t="inlineStr">
        <is>
          <t>'=F41/F40-1</t>
        </is>
      </c>
      <c r="G709" t="n">
        <v>0.06827586206896563</v>
      </c>
      <c r="H709" t="inlineStr"/>
      <c r="I709" t="inlineStr">
        <is>
          <t>0%</t>
        </is>
      </c>
      <c r="J709" t="b">
        <v>0</v>
      </c>
      <c r="K709" t="b">
        <v>0</v>
      </c>
      <c r="L709" t="n">
        <v>11</v>
      </c>
      <c r="M709" t="inlineStr">
        <is>
          <t>Values must be of type &lt;class 'str'&gt;</t>
        </is>
      </c>
      <c r="N709" t="inlineStr">
        <is>
          <t>00000000</t>
        </is>
      </c>
      <c r="O709" t="n">
        <v/>
      </c>
      <c r="R709" t="b">
        <v>1</v>
      </c>
      <c r="S709" t="inlineStr">
        <is>
          <t>G000155</t>
        </is>
      </c>
      <c r="T709" t="inlineStr">
        <is>
          <t>Vertical</t>
        </is>
      </c>
      <c r="U709" t="n">
        <v>93</v>
      </c>
      <c r="V709" t="b">
        <v>1</v>
      </c>
      <c r="W709" t="inlineStr">
        <is>
          <t>ATF Fuel 2!G3:G95</t>
        </is>
      </c>
      <c r="X709">
        <f>R[0]C[-1]/R[-1]C[-1]-1</f>
        <v/>
      </c>
    </row>
    <row r="710">
      <c r="A710" t="inlineStr">
        <is>
          <t>ATF Fuel 2</t>
        </is>
      </c>
      <c r="B710" t="inlineStr">
        <is>
          <t>H41</t>
        </is>
      </c>
      <c r="C710" t="n">
        <v>41</v>
      </c>
      <c r="D710" t="n">
        <v>8</v>
      </c>
      <c r="E710" t="inlineStr">
        <is>
          <t>Calculation</t>
        </is>
      </c>
      <c r="F710" t="inlineStr">
        <is>
          <t>'=D41*F41</t>
        </is>
      </c>
      <c r="G710" t="n">
        <v>6439.11555</v>
      </c>
      <c r="H710" t="inlineStr"/>
      <c r="I710" t="inlineStr">
        <is>
          <t>0</t>
        </is>
      </c>
      <c r="J710" t="b">
        <v>0</v>
      </c>
      <c r="K710" t="b">
        <v>0</v>
      </c>
      <c r="L710" t="n">
        <v>11</v>
      </c>
      <c r="M710" t="inlineStr">
        <is>
          <t>Values must be of type &lt;class 'str'&gt;</t>
        </is>
      </c>
      <c r="N710" t="inlineStr">
        <is>
          <t>00000000</t>
        </is>
      </c>
      <c r="O710" t="n">
        <v/>
      </c>
      <c r="R710" t="b">
        <v>1</v>
      </c>
      <c r="S710" t="inlineStr">
        <is>
          <t>G000152</t>
        </is>
      </c>
      <c r="T710" t="inlineStr">
        <is>
          <t>Vertical</t>
        </is>
      </c>
      <c r="U710" t="n">
        <v>98</v>
      </c>
      <c r="V710" t="b">
        <v>1</v>
      </c>
      <c r="W710" t="inlineStr">
        <is>
          <t>ATF Fuel 2!H2:H99</t>
        </is>
      </c>
      <c r="X710">
        <f>R[0]C[-4]*R[0]C[-2]</f>
        <v/>
      </c>
    </row>
    <row r="711">
      <c r="A711" t="inlineStr">
        <is>
          <t>ATF Fuel 2</t>
        </is>
      </c>
      <c r="B711" t="inlineStr">
        <is>
          <t>I41</t>
        </is>
      </c>
      <c r="C711" t="n">
        <v>41</v>
      </c>
      <c r="D711" t="n">
        <v>9</v>
      </c>
      <c r="E711" t="inlineStr">
        <is>
          <t>Output</t>
        </is>
      </c>
      <c r="F711" t="inlineStr">
        <is>
          <t>'=H41/H40-1</t>
        </is>
      </c>
      <c r="G711" t="n">
        <v>0.1226254126520179</v>
      </c>
      <c r="H711" t="inlineStr"/>
      <c r="I711" t="inlineStr">
        <is>
          <t>0%</t>
        </is>
      </c>
      <c r="J711" t="b">
        <v>0</v>
      </c>
      <c r="K711" t="b">
        <v>0</v>
      </c>
      <c r="L711" t="n">
        <v>11</v>
      </c>
      <c r="M711" t="inlineStr">
        <is>
          <t>FFFF0000</t>
        </is>
      </c>
      <c r="N711" t="inlineStr">
        <is>
          <t>00000000</t>
        </is>
      </c>
      <c r="O711" t="n">
        <v/>
      </c>
      <c r="R711" t="b">
        <v>1</v>
      </c>
      <c r="S711" t="inlineStr">
        <is>
          <t>G000156</t>
        </is>
      </c>
      <c r="T711" t="inlineStr">
        <is>
          <t>Vertical</t>
        </is>
      </c>
      <c r="U711" t="n">
        <v>97</v>
      </c>
      <c r="V711" t="b">
        <v>1</v>
      </c>
      <c r="W711" t="inlineStr">
        <is>
          <t>ATF Fuel 2!I3:I99</t>
        </is>
      </c>
      <c r="X711">
        <f>R[0]C[-1]/R[-1]C[-1]-1</f>
        <v/>
      </c>
    </row>
    <row r="712">
      <c r="A712" t="inlineStr">
        <is>
          <t>ATF Fuel 2</t>
        </is>
      </c>
      <c r="B712" t="inlineStr">
        <is>
          <t>J41</t>
        </is>
      </c>
      <c r="C712" t="n">
        <v>41</v>
      </c>
      <c r="D712" t="n">
        <v>10</v>
      </c>
      <c r="E712" t="inlineStr">
        <is>
          <t>Input</t>
        </is>
      </c>
      <c r="F712" t="n">
        <v/>
      </c>
      <c r="G712" t="n">
        <v>97.94</v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11</v>
      </c>
      <c r="M712" t="inlineStr">
        <is>
          <t>Values must be of type &lt;class 'str'&gt;</t>
        </is>
      </c>
      <c r="N712" t="inlineStr">
        <is>
          <t>00000000</t>
        </is>
      </c>
      <c r="O712" t="n">
        <v/>
      </c>
      <c r="R712" t="b">
        <v>1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</row>
    <row r="713">
      <c r="A713" t="inlineStr">
        <is>
          <t>ATF Fuel 2</t>
        </is>
      </c>
      <c r="B713" t="inlineStr">
        <is>
          <t>K41</t>
        </is>
      </c>
      <c r="C713" t="n">
        <v>41</v>
      </c>
      <c r="D713" t="n">
        <v>11</v>
      </c>
      <c r="E713" t="inlineStr">
        <is>
          <t>Output</t>
        </is>
      </c>
      <c r="F713" t="inlineStr">
        <is>
          <t>'=J41/J40-1</t>
        </is>
      </c>
      <c r="G713" t="n">
        <v>0.04849587838561176</v>
      </c>
      <c r="H713" t="inlineStr"/>
      <c r="I713" t="inlineStr">
        <is>
          <t>0%</t>
        </is>
      </c>
      <c r="J713" t="b">
        <v>0</v>
      </c>
      <c r="K713" t="b">
        <v>0</v>
      </c>
      <c r="L713" t="n">
        <v>11</v>
      </c>
      <c r="M713" t="inlineStr">
        <is>
          <t>Values must be of type &lt;class 'str'&gt;</t>
        </is>
      </c>
      <c r="N713" t="inlineStr">
        <is>
          <t>00000000</t>
        </is>
      </c>
      <c r="O713" t="n">
        <v/>
      </c>
      <c r="R713" t="b">
        <v>1</v>
      </c>
      <c r="S713" t="inlineStr">
        <is>
          <t>G000157</t>
        </is>
      </c>
      <c r="T713" t="inlineStr">
        <is>
          <t>Vertical</t>
        </is>
      </c>
      <c r="U713" t="n">
        <v>93</v>
      </c>
      <c r="V713" t="b">
        <v>1</v>
      </c>
      <c r="W713" t="inlineStr">
        <is>
          <t>ATF Fuel 2!K3:K95</t>
        </is>
      </c>
      <c r="X713">
        <f>R[0]C[-1]/R[-1]C[-1]-1</f>
        <v/>
      </c>
    </row>
    <row r="714">
      <c r="A714" t="inlineStr">
        <is>
          <t>ATF Fuel 2</t>
        </is>
      </c>
      <c r="B714" t="inlineStr">
        <is>
          <t>L41</t>
        </is>
      </c>
      <c r="C714" t="n">
        <v>41</v>
      </c>
      <c r="D714" t="n">
        <v>12</v>
      </c>
      <c r="E714" t="inlineStr">
        <is>
          <t>Input</t>
        </is>
      </c>
      <c r="F714" t="n">
        <v/>
      </c>
      <c r="G714" t="inlineStr">
        <is>
          <t>July 01, 2013</t>
        </is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11</v>
      </c>
      <c r="M714" t="inlineStr">
        <is>
          <t>Values must be of type &lt;class 'str'&gt;</t>
        </is>
      </c>
      <c r="N714" t="inlineStr">
        <is>
          <t>00000000</t>
        </is>
      </c>
      <c r="O714" t="inlineStr">
        <is>
          <t>left</t>
        </is>
      </c>
      <c r="R714" t="b">
        <v>1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</row>
    <row r="715">
      <c r="A715" t="inlineStr">
        <is>
          <t>ATF Fuel 2</t>
        </is>
      </c>
      <c r="B715" t="inlineStr">
        <is>
          <t>M41</t>
        </is>
      </c>
      <c r="C715" t="n">
        <v>41</v>
      </c>
      <c r="D715" t="n">
        <v>13</v>
      </c>
      <c r="E715" t="inlineStr">
        <is>
          <t>Calculation</t>
        </is>
      </c>
      <c r="F715" t="inlineStr">
        <is>
          <t>'=(1+(B41/B40)-1)*M40</t>
        </is>
      </c>
      <c r="G715" t="n">
        <v>158.9357195303321</v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11</v>
      </c>
      <c r="M715" t="inlineStr">
        <is>
          <t>Values must be of type &lt;class 'str'&gt;</t>
        </is>
      </c>
      <c r="N715" t="inlineStr">
        <is>
          <t>00000000</t>
        </is>
      </c>
      <c r="O715" t="inlineStr">
        <is>
          <t>left</t>
        </is>
      </c>
      <c r="R715" t="b">
        <v>1</v>
      </c>
      <c r="S715" t="inlineStr">
        <is>
          <t>G000159</t>
        </is>
      </c>
      <c r="T715" t="inlineStr">
        <is>
          <t>Vertical</t>
        </is>
      </c>
      <c r="U715" t="n">
        <v>92</v>
      </c>
      <c r="V715" t="b">
        <v>1</v>
      </c>
      <c r="W715" t="inlineStr">
        <is>
          <t>ATF Fuel 2!M3:M94</t>
        </is>
      </c>
      <c r="X715">
        <f>(1+(R[0]C[-11]/R[-1]C[-11])-1)*R[-1]C[0]</f>
        <v/>
      </c>
    </row>
    <row r="716">
      <c r="A716" t="inlineStr">
        <is>
          <t>ATF Fuel 2</t>
        </is>
      </c>
      <c r="B716" t="inlineStr">
        <is>
          <t>N41</t>
        </is>
      </c>
      <c r="C716" t="n">
        <v>41</v>
      </c>
      <c r="D716" t="n">
        <v>14</v>
      </c>
      <c r="E716" t="inlineStr">
        <is>
          <t>Calculation</t>
        </is>
      </c>
      <c r="F716" t="inlineStr">
        <is>
          <t>'=(1+(F41/F40)-1)*N40</t>
        </is>
      </c>
      <c r="G716" t="n">
        <v>131.223526564202</v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11</v>
      </c>
      <c r="M716" t="inlineStr">
        <is>
          <t>Values must be of type &lt;class 'str'&gt;</t>
        </is>
      </c>
      <c r="N716" t="inlineStr">
        <is>
          <t>00000000</t>
        </is>
      </c>
      <c r="O716" t="inlineStr">
        <is>
          <t>left</t>
        </is>
      </c>
      <c r="R716" t="b">
        <v>1</v>
      </c>
      <c r="S716" t="inlineStr">
        <is>
          <t>G000160</t>
        </is>
      </c>
      <c r="T716" t="inlineStr">
        <is>
          <t>Vertical</t>
        </is>
      </c>
      <c r="U716" t="n">
        <v>92</v>
      </c>
      <c r="V716" t="b">
        <v>1</v>
      </c>
      <c r="W716" t="inlineStr">
        <is>
          <t>ATF Fuel 2!N3:N94</t>
        </is>
      </c>
      <c r="X716">
        <f>(1+(R[0]C[-8]/R[-1]C[-8])-1)*R[-1]C[0]</f>
        <v/>
      </c>
    </row>
    <row r="717">
      <c r="A717" t="inlineStr">
        <is>
          <t>ATF Fuel 2</t>
        </is>
      </c>
      <c r="B717" t="inlineStr">
        <is>
          <t>O41</t>
        </is>
      </c>
      <c r="C717" t="n">
        <v>41</v>
      </c>
      <c r="D717" t="n">
        <v>15</v>
      </c>
      <c r="E717" t="inlineStr">
        <is>
          <t>Calculation</t>
        </is>
      </c>
      <c r="F717" t="inlineStr">
        <is>
          <t>'=(1+(J41/J40)-1)*O40</t>
        </is>
      </c>
      <c r="G717" t="n">
        <v>115.8641902283213</v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11</v>
      </c>
      <c r="M717" t="inlineStr">
        <is>
          <t>Values must be of type &lt;class 'str'&gt;</t>
        </is>
      </c>
      <c r="N717" t="inlineStr">
        <is>
          <t>00000000</t>
        </is>
      </c>
      <c r="O717" t="inlineStr">
        <is>
          <t>left</t>
        </is>
      </c>
      <c r="R717" t="b">
        <v>1</v>
      </c>
      <c r="S717" t="inlineStr">
        <is>
          <t>G000162</t>
        </is>
      </c>
      <c r="T717" t="inlineStr">
        <is>
          <t>Vertical</t>
        </is>
      </c>
      <c r="U717" t="n">
        <v>92</v>
      </c>
      <c r="V717" t="b">
        <v>1</v>
      </c>
      <c r="W717" t="inlineStr">
        <is>
          <t>ATF Fuel 2!O3:O94</t>
        </is>
      </c>
      <c r="X717">
        <f>(1+(R[0]C[-5]/R[-1]C[-5])-1)*R[-1]C[0]</f>
        <v/>
      </c>
    </row>
    <row r="718">
      <c r="A718" t="inlineStr">
        <is>
          <t>ATF Fuel 2</t>
        </is>
      </c>
      <c r="B718" t="inlineStr">
        <is>
          <t>P41</t>
        </is>
      </c>
      <c r="C718" t="n">
        <v>41</v>
      </c>
      <c r="D718" t="n">
        <v>16</v>
      </c>
      <c r="E718" t="inlineStr">
        <is>
          <t>Calculation</t>
        </is>
      </c>
      <c r="F718" t="inlineStr">
        <is>
          <t>'=(1+(H41/H40)-1)*P40</t>
        </is>
      </c>
      <c r="G718" t="n">
        <v>174.0998464033765</v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11</v>
      </c>
      <c r="M718" t="inlineStr">
        <is>
          <t>Values must be of type &lt;class 'str'&gt;</t>
        </is>
      </c>
      <c r="N718" t="inlineStr">
        <is>
          <t>00000000</t>
        </is>
      </c>
      <c r="O718" t="inlineStr">
        <is>
          <t>left</t>
        </is>
      </c>
      <c r="R718" t="b">
        <v>1</v>
      </c>
      <c r="S718" t="inlineStr">
        <is>
          <t>G000161</t>
        </is>
      </c>
      <c r="T718" t="inlineStr">
        <is>
          <t>Vertical</t>
        </is>
      </c>
      <c r="U718" t="n">
        <v>92</v>
      </c>
      <c r="V718" t="b">
        <v>1</v>
      </c>
      <c r="W718" t="inlineStr">
        <is>
          <t>ATF Fuel 2!P3:P94</t>
        </is>
      </c>
      <c r="X718">
        <f>(1+(R[0]C[-8]/R[-1]C[-8])-1)*R[-1]C[0]</f>
        <v/>
      </c>
    </row>
    <row r="719">
      <c r="A719" t="inlineStr">
        <is>
          <t>ATF Fuel 2</t>
        </is>
      </c>
      <c r="B719" t="inlineStr">
        <is>
          <t>Q41</t>
        </is>
      </c>
      <c r="C719" t="n">
        <v>41</v>
      </c>
      <c r="D719" t="n">
        <v>17</v>
      </c>
      <c r="E719" t="inlineStr">
        <is>
          <t>Output</t>
        </is>
      </c>
      <c r="F719" t="inlineStr">
        <is>
          <t>'=M41/N41-1</t>
        </is>
      </c>
      <c r="G719" t="n">
        <v>0.2111831139713483</v>
      </c>
      <c r="H719" t="inlineStr"/>
      <c r="I719" t="inlineStr">
        <is>
          <t>0.0%</t>
        </is>
      </c>
      <c r="J719" t="b">
        <v>0</v>
      </c>
      <c r="K719" t="b">
        <v>0</v>
      </c>
      <c r="L719" t="n">
        <v>11</v>
      </c>
      <c r="M719" t="inlineStr">
        <is>
          <t>Values must be of type &lt;class 'str'&gt;</t>
        </is>
      </c>
      <c r="N719" t="inlineStr">
        <is>
          <t>00000000</t>
        </is>
      </c>
      <c r="O719" t="n">
        <v/>
      </c>
      <c r="R719" t="b">
        <v>1</v>
      </c>
      <c r="S719" t="inlineStr">
        <is>
          <t>G000153</t>
        </is>
      </c>
      <c r="T719" t="inlineStr">
        <is>
          <t>Vertical</t>
        </is>
      </c>
      <c r="U719" t="n">
        <v>93</v>
      </c>
      <c r="V719" t="b">
        <v>1</v>
      </c>
      <c r="W719" t="inlineStr">
        <is>
          <t>ATF Fuel 2!Q2:Q94</t>
        </is>
      </c>
      <c r="X719">
        <f>R[0]C[-4]/R[0]C[-3]-1</f>
        <v/>
      </c>
    </row>
    <row r="720">
      <c r="A720" t="inlineStr">
        <is>
          <t>ATF Fuel 2</t>
        </is>
      </c>
      <c r="B720" t="inlineStr">
        <is>
          <t>A42</t>
        </is>
      </c>
      <c r="C720" t="n">
        <v>42</v>
      </c>
      <c r="D720" t="n">
        <v>1</v>
      </c>
      <c r="E720" t="inlineStr">
        <is>
          <t>Input</t>
        </is>
      </c>
      <c r="F720" t="n">
        <v/>
      </c>
      <c r="G720" t="inlineStr">
        <is>
          <t>August 01, 2013</t>
        </is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00000000</t>
        </is>
      </c>
      <c r="O720" t="n">
        <v/>
      </c>
      <c r="R720" t="b">
        <v>1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</row>
    <row r="721">
      <c r="A721" t="inlineStr">
        <is>
          <t>ATF Fuel 2</t>
        </is>
      </c>
      <c r="B721" t="inlineStr">
        <is>
          <t>B42</t>
        </is>
      </c>
      <c r="C721" t="n">
        <v>42</v>
      </c>
      <c r="D721" t="n">
        <v>2</v>
      </c>
      <c r="E721" t="inlineStr">
        <is>
          <t>Input</t>
        </is>
      </c>
      <c r="F721" t="n">
        <v/>
      </c>
      <c r="G721" t="n">
        <v>74827.64499999999</v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00000000</t>
        </is>
      </c>
      <c r="O721" t="n">
        <v/>
      </c>
      <c r="R721" t="b">
        <v>1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</row>
    <row r="722">
      <c r="A722" t="inlineStr">
        <is>
          <t>ATF Fuel 2</t>
        </is>
      </c>
      <c r="B722" t="inlineStr">
        <is>
          <t>C42</t>
        </is>
      </c>
      <c r="C722" t="n">
        <v>42</v>
      </c>
      <c r="D722" t="n">
        <v>3</v>
      </c>
      <c r="E722" t="inlineStr">
        <is>
          <t>Output</t>
        </is>
      </c>
      <c r="F722" t="inlineStr">
        <is>
          <t>'=B42/B41-1</t>
        </is>
      </c>
      <c r="G722" t="n">
        <v>0.06128342321834412</v>
      </c>
      <c r="H722" t="inlineStr"/>
      <c r="I722" t="inlineStr">
        <is>
          <t>0%</t>
        </is>
      </c>
      <c r="J722" t="b">
        <v>0</v>
      </c>
      <c r="K722" t="b">
        <v>0</v>
      </c>
      <c r="L722" t="n">
        <v>11</v>
      </c>
      <c r="M722" t="n">
        <v/>
      </c>
      <c r="N722" t="inlineStr">
        <is>
          <t>00000000</t>
        </is>
      </c>
      <c r="O722" t="n">
        <v/>
      </c>
      <c r="R722" t="b">
        <v>1</v>
      </c>
      <c r="S722" t="inlineStr">
        <is>
          <t>G000154</t>
        </is>
      </c>
      <c r="T722" t="inlineStr">
        <is>
          <t>Vertical</t>
        </is>
      </c>
      <c r="U722" t="n">
        <v>92</v>
      </c>
      <c r="V722" t="b">
        <v>1</v>
      </c>
      <c r="W722" t="inlineStr">
        <is>
          <t>ATF Fuel 2!C3:C94</t>
        </is>
      </c>
      <c r="X722">
        <f>R[0]C[-1]/R[-1]C[-1]-1</f>
        <v/>
      </c>
    </row>
    <row r="723">
      <c r="A723" t="inlineStr">
        <is>
          <t>ATF Fuel 2</t>
        </is>
      </c>
      <c r="B723" t="inlineStr">
        <is>
          <t>D42</t>
        </is>
      </c>
      <c r="C723" t="n">
        <v>42</v>
      </c>
      <c r="D723" t="n">
        <v>4</v>
      </c>
      <c r="E723" t="inlineStr">
        <is>
          <t>Input</t>
        </is>
      </c>
      <c r="F723" t="n">
        <v/>
      </c>
      <c r="G723" t="n">
        <v>60.41</v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11</v>
      </c>
      <c r="M723" t="inlineStr">
        <is>
          <t>Values must be of type &lt;class 'str'&gt;</t>
        </is>
      </c>
      <c r="N723" t="inlineStr">
        <is>
          <t>00000000</t>
        </is>
      </c>
      <c r="O723" t="n">
        <v/>
      </c>
      <c r="R723" t="b">
        <v>1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</row>
    <row r="724">
      <c r="A724" t="inlineStr">
        <is>
          <t>ATF Fuel 2</t>
        </is>
      </c>
      <c r="B724" t="inlineStr">
        <is>
          <t>E42</t>
        </is>
      </c>
      <c r="C724" t="n">
        <v>42</v>
      </c>
      <c r="D724" t="n">
        <v>5</v>
      </c>
      <c r="E724" t="inlineStr">
        <is>
          <t>Output</t>
        </is>
      </c>
      <c r="F724" t="inlineStr">
        <is>
          <t>'=B42/B41-1</t>
        </is>
      </c>
      <c r="G724" t="n">
        <v>0.06128342321834412</v>
      </c>
      <c r="H724" t="inlineStr"/>
      <c r="I724" t="inlineStr">
        <is>
          <t>0%</t>
        </is>
      </c>
      <c r="J724" t="b">
        <v>0</v>
      </c>
      <c r="K724" t="b">
        <v>0</v>
      </c>
      <c r="L724" t="n">
        <v>11</v>
      </c>
      <c r="M724" t="inlineStr">
        <is>
          <t>Values must be of type &lt;class 'str'&gt;</t>
        </is>
      </c>
      <c r="N724" t="inlineStr">
        <is>
          <t>00000000</t>
        </is>
      </c>
      <c r="O724" t="n">
        <v/>
      </c>
      <c r="R724" t="b">
        <v>1</v>
      </c>
      <c r="S724" t="inlineStr">
        <is>
          <t>G000158</t>
        </is>
      </c>
      <c r="T724" t="inlineStr">
        <is>
          <t>Vertical</t>
        </is>
      </c>
      <c r="U724" t="n">
        <v>92</v>
      </c>
      <c r="V724" t="b">
        <v>1</v>
      </c>
      <c r="W724" t="inlineStr">
        <is>
          <t>ATF Fuel 2!E3:E94</t>
        </is>
      </c>
      <c r="X724">
        <f>R[0]C[-3]/R[-1]C[-3]-1</f>
        <v/>
      </c>
    </row>
    <row r="725">
      <c r="A725" t="inlineStr">
        <is>
          <t>ATF Fuel 2</t>
        </is>
      </c>
      <c r="B725" t="inlineStr">
        <is>
          <t>F42</t>
        </is>
      </c>
      <c r="C725" t="n">
        <v>42</v>
      </c>
      <c r="D725" t="n">
        <v>6</v>
      </c>
      <c r="E725" t="inlineStr">
        <is>
          <t>Input</t>
        </is>
      </c>
      <c r="F725" t="n">
        <v/>
      </c>
      <c r="G725" t="n">
        <v>108.49</v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11</v>
      </c>
      <c r="M725" t="inlineStr">
        <is>
          <t>Values must be of type &lt;class 'str'&gt;</t>
        </is>
      </c>
      <c r="N725" t="inlineStr">
        <is>
          <t>00000000</t>
        </is>
      </c>
      <c r="O725" t="n">
        <v/>
      </c>
      <c r="R725" t="b">
        <v>1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</row>
    <row r="726">
      <c r="A726" t="inlineStr">
        <is>
          <t>ATF Fuel 2</t>
        </is>
      </c>
      <c r="B726" t="inlineStr">
        <is>
          <t>G42</t>
        </is>
      </c>
      <c r="C726" t="n">
        <v>42</v>
      </c>
      <c r="D726" t="n">
        <v>7</v>
      </c>
      <c r="E726" t="inlineStr">
        <is>
          <t>Output</t>
        </is>
      </c>
      <c r="F726" t="inlineStr">
        <is>
          <t>'=F42/F41-1</t>
        </is>
      </c>
      <c r="G726" t="n">
        <v>0.0005533523932490514</v>
      </c>
      <c r="H726" t="inlineStr"/>
      <c r="I726" t="inlineStr">
        <is>
          <t>0%</t>
        </is>
      </c>
      <c r="J726" t="b">
        <v>0</v>
      </c>
      <c r="K726" t="b">
        <v>0</v>
      </c>
      <c r="L726" t="n">
        <v>11</v>
      </c>
      <c r="M726" t="inlineStr">
        <is>
          <t>Values must be of type &lt;class 'str'&gt;</t>
        </is>
      </c>
      <c r="N726" t="inlineStr">
        <is>
          <t>00000000</t>
        </is>
      </c>
      <c r="O726" t="n">
        <v/>
      </c>
      <c r="R726" t="b">
        <v>1</v>
      </c>
      <c r="S726" t="inlineStr">
        <is>
          <t>G000155</t>
        </is>
      </c>
      <c r="T726" t="inlineStr">
        <is>
          <t>Vertical</t>
        </is>
      </c>
      <c r="U726" t="n">
        <v>93</v>
      </c>
      <c r="V726" t="b">
        <v>1</v>
      </c>
      <c r="W726" t="inlineStr">
        <is>
          <t>ATF Fuel 2!G3:G95</t>
        </is>
      </c>
      <c r="X726">
        <f>R[0]C[-1]/R[-1]C[-1]-1</f>
        <v/>
      </c>
    </row>
    <row r="727">
      <c r="A727" t="inlineStr">
        <is>
          <t>ATF Fuel 2</t>
        </is>
      </c>
      <c r="B727" t="inlineStr">
        <is>
          <t>H42</t>
        </is>
      </c>
      <c r="C727" t="n">
        <v>42</v>
      </c>
      <c r="D727" t="n">
        <v>8</v>
      </c>
      <c r="E727" t="inlineStr">
        <is>
          <t>Calculation</t>
        </is>
      </c>
      <c r="F727" t="inlineStr">
        <is>
          <t>'=D42*F42</t>
        </is>
      </c>
      <c r="G727" t="n">
        <v>6553.880899999999</v>
      </c>
      <c r="H727" t="inlineStr"/>
      <c r="I727" t="inlineStr">
        <is>
          <t>0</t>
        </is>
      </c>
      <c r="J727" t="b">
        <v>0</v>
      </c>
      <c r="K727" t="b">
        <v>0</v>
      </c>
      <c r="L727" t="n">
        <v>11</v>
      </c>
      <c r="M727" t="inlineStr">
        <is>
          <t>Values must be of type &lt;class 'str'&gt;</t>
        </is>
      </c>
      <c r="N727" t="inlineStr">
        <is>
          <t>00000000</t>
        </is>
      </c>
      <c r="O727" t="n">
        <v/>
      </c>
      <c r="R727" t="b">
        <v>1</v>
      </c>
      <c r="S727" t="inlineStr">
        <is>
          <t>G000152</t>
        </is>
      </c>
      <c r="T727" t="inlineStr">
        <is>
          <t>Vertical</t>
        </is>
      </c>
      <c r="U727" t="n">
        <v>98</v>
      </c>
      <c r="V727" t="b">
        <v>1</v>
      </c>
      <c r="W727" t="inlineStr">
        <is>
          <t>ATF Fuel 2!H2:H99</t>
        </is>
      </c>
      <c r="X727">
        <f>R[0]C[-4]*R[0]C[-2]</f>
        <v/>
      </c>
    </row>
    <row r="728">
      <c r="A728" t="inlineStr">
        <is>
          <t>ATF Fuel 2</t>
        </is>
      </c>
      <c r="B728" t="inlineStr">
        <is>
          <t>I42</t>
        </is>
      </c>
      <c r="C728" t="n">
        <v>42</v>
      </c>
      <c r="D728" t="n">
        <v>9</v>
      </c>
      <c r="E728" t="inlineStr">
        <is>
          <t>Output</t>
        </is>
      </c>
      <c r="F728" t="inlineStr">
        <is>
          <t>'=H42/H41-1</t>
        </is>
      </c>
      <c r="G728" t="n">
        <v>0.01782315429950598</v>
      </c>
      <c r="H728" t="inlineStr"/>
      <c r="I728" t="inlineStr">
        <is>
          <t>0%</t>
        </is>
      </c>
      <c r="J728" t="b">
        <v>0</v>
      </c>
      <c r="K728" t="b">
        <v>0</v>
      </c>
      <c r="L728" t="n">
        <v>11</v>
      </c>
      <c r="M728" t="inlineStr">
        <is>
          <t>FFFF0000</t>
        </is>
      </c>
      <c r="N728" t="inlineStr">
        <is>
          <t>00000000</t>
        </is>
      </c>
      <c r="O728" t="n">
        <v/>
      </c>
      <c r="R728" t="b">
        <v>1</v>
      </c>
      <c r="S728" t="inlineStr">
        <is>
          <t>G000156</t>
        </is>
      </c>
      <c r="T728" t="inlineStr">
        <is>
          <t>Vertical</t>
        </is>
      </c>
      <c r="U728" t="n">
        <v>97</v>
      </c>
      <c r="V728" t="b">
        <v>1</v>
      </c>
      <c r="W728" t="inlineStr">
        <is>
          <t>ATF Fuel 2!I3:I99</t>
        </is>
      </c>
      <c r="X728">
        <f>R[0]C[-1]/R[-1]C[-1]-1</f>
        <v/>
      </c>
    </row>
    <row r="729">
      <c r="A729" t="inlineStr">
        <is>
          <t>ATF Fuel 2</t>
        </is>
      </c>
      <c r="B729" t="inlineStr">
        <is>
          <t>J42</t>
        </is>
      </c>
      <c r="C729" t="n">
        <v>42</v>
      </c>
      <c r="D729" t="n">
        <v>10</v>
      </c>
      <c r="E729" t="inlineStr">
        <is>
          <t>Input</t>
        </is>
      </c>
      <c r="F729" t="n">
        <v/>
      </c>
      <c r="G729" t="n">
        <v>107.93</v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00000000</t>
        </is>
      </c>
      <c r="O729" t="n">
        <v/>
      </c>
      <c r="R729" t="b">
        <v>1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</row>
    <row r="730">
      <c r="A730" t="inlineStr">
        <is>
          <t>ATF Fuel 2</t>
        </is>
      </c>
      <c r="B730" t="inlineStr">
        <is>
          <t>K42</t>
        </is>
      </c>
      <c r="C730" t="n">
        <v>42</v>
      </c>
      <c r="D730" t="n">
        <v>11</v>
      </c>
      <c r="E730" t="inlineStr">
        <is>
          <t>Output</t>
        </is>
      </c>
      <c r="F730" t="inlineStr">
        <is>
          <t>'=J42/J41-1</t>
        </is>
      </c>
      <c r="G730" t="n">
        <v>0.1020012252399429</v>
      </c>
      <c r="H730" t="inlineStr"/>
      <c r="I730" t="inlineStr">
        <is>
          <t>0%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00000000</t>
        </is>
      </c>
      <c r="O730" t="n">
        <v/>
      </c>
      <c r="R730" t="b">
        <v>1</v>
      </c>
      <c r="S730" t="inlineStr">
        <is>
          <t>G000157</t>
        </is>
      </c>
      <c r="T730" t="inlineStr">
        <is>
          <t>Vertical</t>
        </is>
      </c>
      <c r="U730" t="n">
        <v>93</v>
      </c>
      <c r="V730" t="b">
        <v>1</v>
      </c>
      <c r="W730" t="inlineStr">
        <is>
          <t>ATF Fuel 2!K3:K95</t>
        </is>
      </c>
      <c r="X730">
        <f>R[0]C[-1]/R[-1]C[-1]-1</f>
        <v/>
      </c>
    </row>
    <row r="731">
      <c r="A731" t="inlineStr">
        <is>
          <t>ATF Fuel 2</t>
        </is>
      </c>
      <c r="B731" t="inlineStr">
        <is>
          <t>L42</t>
        </is>
      </c>
      <c r="C731" t="n">
        <v>42</v>
      </c>
      <c r="D731" t="n">
        <v>12</v>
      </c>
      <c r="E731" t="inlineStr">
        <is>
          <t>Input</t>
        </is>
      </c>
      <c r="F731" t="n">
        <v/>
      </c>
      <c r="G731" t="inlineStr">
        <is>
          <t>August 01, 2013</t>
        </is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11</v>
      </c>
      <c r="M731" t="inlineStr">
        <is>
          <t>Values must be of type &lt;class 'str'&gt;</t>
        </is>
      </c>
      <c r="N731" t="inlineStr">
        <is>
          <t>00000000</t>
        </is>
      </c>
      <c r="O731" t="inlineStr">
        <is>
          <t>left</t>
        </is>
      </c>
      <c r="R731" t="b">
        <v>1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</row>
    <row r="732">
      <c r="A732" t="inlineStr">
        <is>
          <t>ATF Fuel 2</t>
        </is>
      </c>
      <c r="B732" t="inlineStr">
        <is>
          <t>M42</t>
        </is>
      </c>
      <c r="C732" t="n">
        <v>42</v>
      </c>
      <c r="D732" t="n">
        <v>13</v>
      </c>
      <c r="E732" t="inlineStr">
        <is>
          <t>Calculation</t>
        </is>
      </c>
      <c r="F732" t="inlineStr">
        <is>
          <t>'=(1+(B42/B41)-1)*M41</t>
        </is>
      </c>
      <c r="G732" t="n">
        <v>168.6758444948215</v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11</v>
      </c>
      <c r="M732" t="inlineStr">
        <is>
          <t>Values must be of type &lt;class 'str'&gt;</t>
        </is>
      </c>
      <c r="N732" t="inlineStr">
        <is>
          <t>00000000</t>
        </is>
      </c>
      <c r="O732" t="inlineStr">
        <is>
          <t>left</t>
        </is>
      </c>
      <c r="R732" t="b">
        <v>1</v>
      </c>
      <c r="S732" t="inlineStr">
        <is>
          <t>G000159</t>
        </is>
      </c>
      <c r="T732" t="inlineStr">
        <is>
          <t>Vertical</t>
        </is>
      </c>
      <c r="U732" t="n">
        <v>92</v>
      </c>
      <c r="V732" t="b">
        <v>1</v>
      </c>
      <c r="W732" t="inlineStr">
        <is>
          <t>ATF Fuel 2!M3:M94</t>
        </is>
      </c>
      <c r="X732">
        <f>(1+(R[0]C[-11]/R[-1]C[-11])-1)*R[-1]C[0]</f>
        <v/>
      </c>
    </row>
    <row r="733">
      <c r="A733" t="inlineStr">
        <is>
          <t>ATF Fuel 2</t>
        </is>
      </c>
      <c r="B733" t="inlineStr">
        <is>
          <t>N42</t>
        </is>
      </c>
      <c r="C733" t="n">
        <v>42</v>
      </c>
      <c r="D733" t="n">
        <v>14</v>
      </c>
      <c r="E733" t="inlineStr">
        <is>
          <t>Calculation</t>
        </is>
      </c>
      <c r="F733" t="inlineStr">
        <is>
          <t>'=(1+(F42/F41)-1)*N41</t>
        </is>
      </c>
      <c r="G733" t="n">
        <v>131.2961394166769</v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11</v>
      </c>
      <c r="M733" t="inlineStr">
        <is>
          <t>Values must be of type &lt;class 'str'&gt;</t>
        </is>
      </c>
      <c r="N733" t="inlineStr">
        <is>
          <t>00000000</t>
        </is>
      </c>
      <c r="O733" t="inlineStr">
        <is>
          <t>left</t>
        </is>
      </c>
      <c r="R733" t="b">
        <v>1</v>
      </c>
      <c r="S733" t="inlineStr">
        <is>
          <t>G000160</t>
        </is>
      </c>
      <c r="T733" t="inlineStr">
        <is>
          <t>Vertical</t>
        </is>
      </c>
      <c r="U733" t="n">
        <v>92</v>
      </c>
      <c r="V733" t="b">
        <v>1</v>
      </c>
      <c r="W733" t="inlineStr">
        <is>
          <t>ATF Fuel 2!N3:N94</t>
        </is>
      </c>
      <c r="X733">
        <f>(1+(R[0]C[-8]/R[-1]C[-8])-1)*R[-1]C[0]</f>
        <v/>
      </c>
    </row>
    <row r="734">
      <c r="A734" t="inlineStr">
        <is>
          <t>ATF Fuel 2</t>
        </is>
      </c>
      <c r="B734" t="inlineStr">
        <is>
          <t>O42</t>
        </is>
      </c>
      <c r="C734" t="n">
        <v>42</v>
      </c>
      <c r="D734" t="n">
        <v>15</v>
      </c>
      <c r="E734" t="inlineStr">
        <is>
          <t>Calculation</t>
        </is>
      </c>
      <c r="F734" t="inlineStr">
        <is>
          <t>'=(1+(J42/J41)-1)*O41</t>
        </is>
      </c>
      <c r="G734" t="n">
        <v>127.6824795930439</v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11</v>
      </c>
      <c r="M734" t="inlineStr">
        <is>
          <t>Values must be of type &lt;class 'str'&gt;</t>
        </is>
      </c>
      <c r="N734" t="inlineStr">
        <is>
          <t>00000000</t>
        </is>
      </c>
      <c r="O734" t="inlineStr">
        <is>
          <t>left</t>
        </is>
      </c>
      <c r="R734" t="b">
        <v>1</v>
      </c>
      <c r="S734" t="inlineStr">
        <is>
          <t>G000162</t>
        </is>
      </c>
      <c r="T734" t="inlineStr">
        <is>
          <t>Vertical</t>
        </is>
      </c>
      <c r="U734" t="n">
        <v>92</v>
      </c>
      <c r="V734" t="b">
        <v>1</v>
      </c>
      <c r="W734" t="inlineStr">
        <is>
          <t>ATF Fuel 2!O3:O94</t>
        </is>
      </c>
      <c r="X734">
        <f>(1+(R[0]C[-5]/R[-1]C[-5])-1)*R[-1]C[0]</f>
        <v/>
      </c>
    </row>
    <row r="735">
      <c r="A735" t="inlineStr">
        <is>
          <t>ATF Fuel 2</t>
        </is>
      </c>
      <c r="B735" t="inlineStr">
        <is>
          <t>P42</t>
        </is>
      </c>
      <c r="C735" t="n">
        <v>42</v>
      </c>
      <c r="D735" t="n">
        <v>16</v>
      </c>
      <c r="E735" t="inlineStr">
        <is>
          <t>Calculation</t>
        </is>
      </c>
      <c r="F735" t="inlineStr">
        <is>
          <t>'=(1+(H42/H41)-1)*P41</t>
        </is>
      </c>
      <c r="G735" t="n">
        <v>177.2028548293441</v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11</v>
      </c>
      <c r="M735" t="inlineStr">
        <is>
          <t>Values must be of type &lt;class 'str'&gt;</t>
        </is>
      </c>
      <c r="N735" t="inlineStr">
        <is>
          <t>00000000</t>
        </is>
      </c>
      <c r="O735" t="inlineStr">
        <is>
          <t>left</t>
        </is>
      </c>
      <c r="R735" t="b">
        <v>1</v>
      </c>
      <c r="S735" t="inlineStr">
        <is>
          <t>G000161</t>
        </is>
      </c>
      <c r="T735" t="inlineStr">
        <is>
          <t>Vertical</t>
        </is>
      </c>
      <c r="U735" t="n">
        <v>92</v>
      </c>
      <c r="V735" t="b">
        <v>1</v>
      </c>
      <c r="W735" t="inlineStr">
        <is>
          <t>ATF Fuel 2!P3:P94</t>
        </is>
      </c>
      <c r="X735">
        <f>(1+(R[0]C[-8]/R[-1]C[-8])-1)*R[-1]C[0]</f>
        <v/>
      </c>
    </row>
    <row r="736">
      <c r="A736" t="inlineStr">
        <is>
          <t>ATF Fuel 2</t>
        </is>
      </c>
      <c r="B736" t="inlineStr">
        <is>
          <t>Q42</t>
        </is>
      </c>
      <c r="C736" t="n">
        <v>42</v>
      </c>
      <c r="D736" t="n">
        <v>17</v>
      </c>
      <c r="E736" t="inlineStr">
        <is>
          <t>Output</t>
        </is>
      </c>
      <c r="F736" t="inlineStr">
        <is>
          <t>'=M42/N42-1</t>
        </is>
      </c>
      <c r="G736" t="n">
        <v>0.2846976708090232</v>
      </c>
      <c r="H736" t="inlineStr"/>
      <c r="I736" t="inlineStr">
        <is>
          <t>0.0%</t>
        </is>
      </c>
      <c r="J736" t="b">
        <v>0</v>
      </c>
      <c r="K736" t="b">
        <v>0</v>
      </c>
      <c r="L736" t="n">
        <v>11</v>
      </c>
      <c r="M736" t="inlineStr">
        <is>
          <t>Values must be of type &lt;class 'str'&gt;</t>
        </is>
      </c>
      <c r="N736" t="inlineStr">
        <is>
          <t>00000000</t>
        </is>
      </c>
      <c r="O736" t="n">
        <v/>
      </c>
      <c r="R736" t="b">
        <v>1</v>
      </c>
      <c r="S736" t="inlineStr">
        <is>
          <t>G000153</t>
        </is>
      </c>
      <c r="T736" t="inlineStr">
        <is>
          <t>Vertical</t>
        </is>
      </c>
      <c r="U736" t="n">
        <v>93</v>
      </c>
      <c r="V736" t="b">
        <v>1</v>
      </c>
      <c r="W736" t="inlineStr">
        <is>
          <t>ATF Fuel 2!Q2:Q94</t>
        </is>
      </c>
      <c r="X736">
        <f>R[0]C[-4]/R[0]C[-3]-1</f>
        <v/>
      </c>
    </row>
    <row r="737">
      <c r="A737" t="inlineStr">
        <is>
          <t>ATF Fuel 2</t>
        </is>
      </c>
      <c r="B737" t="inlineStr">
        <is>
          <t>A43</t>
        </is>
      </c>
      <c r="C737" t="n">
        <v>43</v>
      </c>
      <c r="D737" t="n">
        <v>1</v>
      </c>
      <c r="E737" t="inlineStr">
        <is>
          <t>Input</t>
        </is>
      </c>
      <c r="F737" t="n">
        <v/>
      </c>
      <c r="G737" t="inlineStr">
        <is>
          <t>September 01, 2013</t>
        </is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11</v>
      </c>
      <c r="M737" t="inlineStr">
        <is>
          <t>Values must be of type &lt;class 'str'&gt;</t>
        </is>
      </c>
      <c r="N737" t="inlineStr">
        <is>
          <t>00000000</t>
        </is>
      </c>
      <c r="O737" t="n">
        <v/>
      </c>
      <c r="R737" t="b">
        <v>1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</row>
    <row r="738">
      <c r="A738" t="inlineStr">
        <is>
          <t>ATF Fuel 2</t>
        </is>
      </c>
      <c r="B738" t="inlineStr">
        <is>
          <t>B43</t>
        </is>
      </c>
      <c r="C738" t="n">
        <v>43</v>
      </c>
      <c r="D738" t="n">
        <v>2</v>
      </c>
      <c r="E738" t="inlineStr">
        <is>
          <t>Input</t>
        </is>
      </c>
      <c r="F738" t="n">
        <v/>
      </c>
      <c r="G738" t="n">
        <v>80012.23999999999</v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11</v>
      </c>
      <c r="M738" t="inlineStr">
        <is>
          <t>Values must be of type &lt;class 'str'&gt;</t>
        </is>
      </c>
      <c r="N738" t="inlineStr">
        <is>
          <t>00000000</t>
        </is>
      </c>
      <c r="O738" t="n">
        <v/>
      </c>
      <c r="R738" t="b">
        <v>1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</row>
    <row r="739">
      <c r="A739" t="inlineStr">
        <is>
          <t>ATF Fuel 2</t>
        </is>
      </c>
      <c r="B739" t="inlineStr">
        <is>
          <t>C43</t>
        </is>
      </c>
      <c r="C739" t="n">
        <v>43</v>
      </c>
      <c r="D739" t="n">
        <v>3</v>
      </c>
      <c r="E739" t="inlineStr">
        <is>
          <t>Output</t>
        </is>
      </c>
      <c r="F739" t="inlineStr">
        <is>
          <t>'=B43/B42-1</t>
        </is>
      </c>
      <c r="G739" t="n">
        <v>0.06928715984580291</v>
      </c>
      <c r="H739" t="inlineStr"/>
      <c r="I739" t="inlineStr">
        <is>
          <t>0%</t>
        </is>
      </c>
      <c r="J739" t="b">
        <v>0</v>
      </c>
      <c r="K739" t="b">
        <v>0</v>
      </c>
      <c r="L739" t="n">
        <v>11</v>
      </c>
      <c r="M739" t="n">
        <v/>
      </c>
      <c r="N739" t="inlineStr">
        <is>
          <t>00000000</t>
        </is>
      </c>
      <c r="O739" t="n">
        <v/>
      </c>
      <c r="R739" t="b">
        <v>1</v>
      </c>
      <c r="S739" t="inlineStr">
        <is>
          <t>G000154</t>
        </is>
      </c>
      <c r="T739" t="inlineStr">
        <is>
          <t>Vertical</t>
        </is>
      </c>
      <c r="U739" t="n">
        <v>92</v>
      </c>
      <c r="V739" t="b">
        <v>1</v>
      </c>
      <c r="W739" t="inlineStr">
        <is>
          <t>ATF Fuel 2!C3:C94</t>
        </is>
      </c>
      <c r="X739">
        <f>R[0]C[-1]/R[-1]C[-1]-1</f>
        <v/>
      </c>
    </row>
    <row r="740">
      <c r="A740" t="inlineStr">
        <is>
          <t>ATF Fuel 2</t>
        </is>
      </c>
      <c r="B740" t="inlineStr">
        <is>
          <t>D43</t>
        </is>
      </c>
      <c r="C740" t="n">
        <v>43</v>
      </c>
      <c r="D740" t="n">
        <v>4</v>
      </c>
      <c r="E740" t="inlineStr">
        <is>
          <t>Input</t>
        </is>
      </c>
      <c r="F740" t="n">
        <v/>
      </c>
      <c r="G740" t="n">
        <v>65.75</v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11</v>
      </c>
      <c r="M740" t="inlineStr">
        <is>
          <t>Values must be of type &lt;class 'str'&gt;</t>
        </is>
      </c>
      <c r="N740" t="inlineStr">
        <is>
          <t>00000000</t>
        </is>
      </c>
      <c r="O740" t="n">
        <v/>
      </c>
      <c r="R740" t="b">
        <v>1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</row>
    <row r="741">
      <c r="A741" t="inlineStr">
        <is>
          <t>ATF Fuel 2</t>
        </is>
      </c>
      <c r="B741" t="inlineStr">
        <is>
          <t>E43</t>
        </is>
      </c>
      <c r="C741" t="n">
        <v>43</v>
      </c>
      <c r="D741" t="n">
        <v>5</v>
      </c>
      <c r="E741" t="inlineStr">
        <is>
          <t>Output</t>
        </is>
      </c>
      <c r="F741" t="inlineStr">
        <is>
          <t>'=B43/B42-1</t>
        </is>
      </c>
      <c r="G741" t="n">
        <v>0.06928715984580291</v>
      </c>
      <c r="H741" t="inlineStr"/>
      <c r="I741" t="inlineStr">
        <is>
          <t>0%</t>
        </is>
      </c>
      <c r="J741" t="b">
        <v>0</v>
      </c>
      <c r="K741" t="b">
        <v>0</v>
      </c>
      <c r="L741" t="n">
        <v>11</v>
      </c>
      <c r="M741" t="inlineStr">
        <is>
          <t>Values must be of type &lt;class 'str'&gt;</t>
        </is>
      </c>
      <c r="N741" t="inlineStr">
        <is>
          <t>00000000</t>
        </is>
      </c>
      <c r="O741" t="n">
        <v/>
      </c>
      <c r="R741" t="b">
        <v>1</v>
      </c>
      <c r="S741" t="inlineStr">
        <is>
          <t>G000158</t>
        </is>
      </c>
      <c r="T741" t="inlineStr">
        <is>
          <t>Vertical</t>
        </is>
      </c>
      <c r="U741" t="n">
        <v>92</v>
      </c>
      <c r="V741" t="b">
        <v>1</v>
      </c>
      <c r="W741" t="inlineStr">
        <is>
          <t>ATF Fuel 2!E3:E94</t>
        </is>
      </c>
      <c r="X741">
        <f>R[0]C[-3]/R[-1]C[-3]-1</f>
        <v/>
      </c>
    </row>
    <row r="742">
      <c r="A742" t="inlineStr">
        <is>
          <t>ATF Fuel 2</t>
        </is>
      </c>
      <c r="B742" t="inlineStr">
        <is>
          <t>F43</t>
        </is>
      </c>
      <c r="C742" t="n">
        <v>43</v>
      </c>
      <c r="D742" t="n">
        <v>6</v>
      </c>
      <c r="E742" t="inlineStr">
        <is>
          <t>Input</t>
        </is>
      </c>
      <c r="F742" t="n">
        <v/>
      </c>
      <c r="G742" t="n">
        <v>112.37</v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11</v>
      </c>
      <c r="M742" t="inlineStr">
        <is>
          <t>Values must be of type &lt;class 'str'&gt;</t>
        </is>
      </c>
      <c r="N742" t="inlineStr">
        <is>
          <t>00000000</t>
        </is>
      </c>
      <c r="O742" t="n">
        <v/>
      </c>
      <c r="R742" t="b">
        <v>1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</row>
    <row r="743">
      <c r="A743" t="inlineStr">
        <is>
          <t>ATF Fuel 2</t>
        </is>
      </c>
      <c r="B743" t="inlineStr">
        <is>
          <t>G43</t>
        </is>
      </c>
      <c r="C743" t="n">
        <v>43</v>
      </c>
      <c r="D743" t="n">
        <v>7</v>
      </c>
      <c r="E743" t="inlineStr">
        <is>
          <t>Output</t>
        </is>
      </c>
      <c r="F743" t="inlineStr">
        <is>
          <t>'=F43/F42-1</t>
        </is>
      </c>
      <c r="G743" t="n">
        <v>0.0357636648539037</v>
      </c>
      <c r="H743" t="inlineStr"/>
      <c r="I743" t="inlineStr">
        <is>
          <t>0%</t>
        </is>
      </c>
      <c r="J743" t="b">
        <v>0</v>
      </c>
      <c r="K743" t="b">
        <v>0</v>
      </c>
      <c r="L743" t="n">
        <v>11</v>
      </c>
      <c r="M743" t="inlineStr">
        <is>
          <t>Values must be of type &lt;class 'str'&gt;</t>
        </is>
      </c>
      <c r="N743" t="inlineStr">
        <is>
          <t>00000000</t>
        </is>
      </c>
      <c r="O743" t="n">
        <v/>
      </c>
      <c r="R743" t="b">
        <v>1</v>
      </c>
      <c r="S743" t="inlineStr">
        <is>
          <t>G000155</t>
        </is>
      </c>
      <c r="T743" t="inlineStr">
        <is>
          <t>Vertical</t>
        </is>
      </c>
      <c r="U743" t="n">
        <v>93</v>
      </c>
      <c r="V743" t="b">
        <v>1</v>
      </c>
      <c r="W743" t="inlineStr">
        <is>
          <t>ATF Fuel 2!G3:G95</t>
        </is>
      </c>
      <c r="X743">
        <f>R[0]C[-1]/R[-1]C[-1]-1</f>
        <v/>
      </c>
    </row>
    <row r="744">
      <c r="A744" t="inlineStr">
        <is>
          <t>ATF Fuel 2</t>
        </is>
      </c>
      <c r="B744" t="inlineStr">
        <is>
          <t>H43</t>
        </is>
      </c>
      <c r="C744" t="n">
        <v>43</v>
      </c>
      <c r="D744" t="n">
        <v>8</v>
      </c>
      <c r="E744" t="inlineStr">
        <is>
          <t>Calculation</t>
        </is>
      </c>
      <c r="F744" t="inlineStr">
        <is>
          <t>'=D43*F43</t>
        </is>
      </c>
      <c r="G744" t="n">
        <v>7388.3275</v>
      </c>
      <c r="H744" t="inlineStr"/>
      <c r="I744" t="inlineStr">
        <is>
          <t>0</t>
        </is>
      </c>
      <c r="J744" t="b">
        <v>0</v>
      </c>
      <c r="K744" t="b">
        <v>0</v>
      </c>
      <c r="L744" t="n">
        <v>11</v>
      </c>
      <c r="M744" t="inlineStr">
        <is>
          <t>Values must be of type &lt;class 'str'&gt;</t>
        </is>
      </c>
      <c r="N744" t="inlineStr">
        <is>
          <t>00000000</t>
        </is>
      </c>
      <c r="O744" t="n">
        <v/>
      </c>
      <c r="R744" t="b">
        <v>1</v>
      </c>
      <c r="S744" t="inlineStr">
        <is>
          <t>G000152</t>
        </is>
      </c>
      <c r="T744" t="inlineStr">
        <is>
          <t>Vertical</t>
        </is>
      </c>
      <c r="U744" t="n">
        <v>98</v>
      </c>
      <c r="V744" t="b">
        <v>1</v>
      </c>
      <c r="W744" t="inlineStr">
        <is>
          <t>ATF Fuel 2!H2:H99</t>
        </is>
      </c>
      <c r="X744">
        <f>R[0]C[-4]*R[0]C[-2]</f>
        <v/>
      </c>
    </row>
    <row r="745">
      <c r="A745" t="inlineStr">
        <is>
          <t>ATF Fuel 2</t>
        </is>
      </c>
      <c r="B745" t="inlineStr">
        <is>
          <t>I43</t>
        </is>
      </c>
      <c r="C745" t="n">
        <v>43</v>
      </c>
      <c r="D745" t="n">
        <v>9</v>
      </c>
      <c r="E745" t="inlineStr">
        <is>
          <t>Output</t>
        </is>
      </c>
      <c r="F745" t="inlineStr">
        <is>
          <t>'=H43/H42-1</t>
        </is>
      </c>
      <c r="G745" t="n">
        <v>0.1273209893087928</v>
      </c>
      <c r="H745" t="inlineStr"/>
      <c r="I745" t="inlineStr">
        <is>
          <t>0%</t>
        </is>
      </c>
      <c r="J745" t="b">
        <v>0</v>
      </c>
      <c r="K745" t="b">
        <v>0</v>
      </c>
      <c r="L745" t="n">
        <v>11</v>
      </c>
      <c r="M745" t="inlineStr">
        <is>
          <t>FFFF0000</t>
        </is>
      </c>
      <c r="N745" t="inlineStr">
        <is>
          <t>00000000</t>
        </is>
      </c>
      <c r="O745" t="n">
        <v/>
      </c>
      <c r="R745" t="b">
        <v>1</v>
      </c>
      <c r="S745" t="inlineStr">
        <is>
          <t>G000156</t>
        </is>
      </c>
      <c r="T745" t="inlineStr">
        <is>
          <t>Vertical</t>
        </is>
      </c>
      <c r="U745" t="n">
        <v>97</v>
      </c>
      <c r="V745" t="b">
        <v>1</v>
      </c>
      <c r="W745" t="inlineStr">
        <is>
          <t>ATF Fuel 2!I3:I99</t>
        </is>
      </c>
      <c r="X745">
        <f>R[0]C[-1]/R[-1]C[-1]-1</f>
        <v/>
      </c>
    </row>
    <row r="746">
      <c r="A746" t="inlineStr">
        <is>
          <t>ATF Fuel 2</t>
        </is>
      </c>
      <c r="B746" t="inlineStr">
        <is>
          <t>J43</t>
        </is>
      </c>
      <c r="C746" t="n">
        <v>43</v>
      </c>
      <c r="D746" t="n">
        <v>10</v>
      </c>
      <c r="E746" t="inlineStr">
        <is>
          <t>Input</t>
        </is>
      </c>
      <c r="F746" t="n">
        <v/>
      </c>
      <c r="G746" t="n">
        <v>108.67</v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11</v>
      </c>
      <c r="M746" t="inlineStr">
        <is>
          <t>Values must be of type &lt;class 'str'&gt;</t>
        </is>
      </c>
      <c r="N746" t="inlineStr">
        <is>
          <t>00000000</t>
        </is>
      </c>
      <c r="O746" t="n">
        <v/>
      </c>
      <c r="R746" t="b">
        <v>1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</row>
    <row r="747">
      <c r="A747" t="inlineStr">
        <is>
          <t>ATF Fuel 2</t>
        </is>
      </c>
      <c r="B747" t="inlineStr">
        <is>
          <t>K43</t>
        </is>
      </c>
      <c r="C747" t="n">
        <v>43</v>
      </c>
      <c r="D747" t="n">
        <v>11</v>
      </c>
      <c r="E747" t="inlineStr">
        <is>
          <t>Output</t>
        </is>
      </c>
      <c r="F747" t="inlineStr">
        <is>
          <t>'=J43/J42-1</t>
        </is>
      </c>
      <c r="G747" t="n">
        <v>0.006856295747243557</v>
      </c>
      <c r="H747" t="inlineStr"/>
      <c r="I747" t="inlineStr">
        <is>
          <t>0%</t>
        </is>
      </c>
      <c r="J747" t="b">
        <v>0</v>
      </c>
      <c r="K747" t="b">
        <v>0</v>
      </c>
      <c r="L747" t="n">
        <v>11</v>
      </c>
      <c r="M747" t="inlineStr">
        <is>
          <t>Values must be of type &lt;class 'str'&gt;</t>
        </is>
      </c>
      <c r="N747" t="inlineStr">
        <is>
          <t>00000000</t>
        </is>
      </c>
      <c r="O747" t="n">
        <v/>
      </c>
      <c r="R747" t="b">
        <v>1</v>
      </c>
      <c r="S747" t="inlineStr">
        <is>
          <t>G000157</t>
        </is>
      </c>
      <c r="T747" t="inlineStr">
        <is>
          <t>Vertical</t>
        </is>
      </c>
      <c r="U747" t="n">
        <v>93</v>
      </c>
      <c r="V747" t="b">
        <v>1</v>
      </c>
      <c r="W747" t="inlineStr">
        <is>
          <t>ATF Fuel 2!K3:K95</t>
        </is>
      </c>
      <c r="X747">
        <f>R[0]C[-1]/R[-1]C[-1]-1</f>
        <v/>
      </c>
    </row>
    <row r="748">
      <c r="A748" t="inlineStr">
        <is>
          <t>ATF Fuel 2</t>
        </is>
      </c>
      <c r="B748" t="inlineStr">
        <is>
          <t>L43</t>
        </is>
      </c>
      <c r="C748" t="n">
        <v>43</v>
      </c>
      <c r="D748" t="n">
        <v>12</v>
      </c>
      <c r="E748" t="inlineStr">
        <is>
          <t>Input</t>
        </is>
      </c>
      <c r="F748" t="n">
        <v/>
      </c>
      <c r="G748" t="inlineStr">
        <is>
          <t>September 01, 2013</t>
        </is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11</v>
      </c>
      <c r="M748" t="inlineStr">
        <is>
          <t>Values must be of type &lt;class 'str'&gt;</t>
        </is>
      </c>
      <c r="N748" t="inlineStr">
        <is>
          <t>00000000</t>
        </is>
      </c>
      <c r="O748" t="inlineStr">
        <is>
          <t>left</t>
        </is>
      </c>
      <c r="R748" t="b">
        <v>1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</row>
    <row r="749">
      <c r="A749" t="inlineStr">
        <is>
          <t>ATF Fuel 2</t>
        </is>
      </c>
      <c r="B749" t="inlineStr">
        <is>
          <t>M43</t>
        </is>
      </c>
      <c r="C749" t="n">
        <v>43</v>
      </c>
      <c r="D749" t="n">
        <v>13</v>
      </c>
      <c r="E749" t="inlineStr">
        <is>
          <t>Calculation</t>
        </is>
      </c>
      <c r="F749" t="inlineStr">
        <is>
          <t>'=(1+(B43/B42)-1)*M42</t>
        </is>
      </c>
      <c r="G749" t="n">
        <v>180.36291469446</v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11</v>
      </c>
      <c r="M749" t="inlineStr">
        <is>
          <t>Values must be of type &lt;class 'str'&gt;</t>
        </is>
      </c>
      <c r="N749" t="inlineStr">
        <is>
          <t>00000000</t>
        </is>
      </c>
      <c r="O749" t="inlineStr">
        <is>
          <t>left</t>
        </is>
      </c>
      <c r="R749" t="b">
        <v>1</v>
      </c>
      <c r="S749" t="inlineStr">
        <is>
          <t>G000159</t>
        </is>
      </c>
      <c r="T749" t="inlineStr">
        <is>
          <t>Vertical</t>
        </is>
      </c>
      <c r="U749" t="n">
        <v>92</v>
      </c>
      <c r="V749" t="b">
        <v>1</v>
      </c>
      <c r="W749" t="inlineStr">
        <is>
          <t>ATF Fuel 2!M3:M94</t>
        </is>
      </c>
      <c r="X749">
        <f>(1+(R[0]C[-11]/R[-1]C[-11])-1)*R[-1]C[0]</f>
        <v/>
      </c>
    </row>
    <row r="750">
      <c r="A750" t="inlineStr">
        <is>
          <t>ATF Fuel 2</t>
        </is>
      </c>
      <c r="B750" t="inlineStr">
        <is>
          <t>N43</t>
        </is>
      </c>
      <c r="C750" t="n">
        <v>43</v>
      </c>
      <c r="D750" t="n">
        <v>14</v>
      </c>
      <c r="E750" t="inlineStr">
        <is>
          <t>Calculation</t>
        </is>
      </c>
      <c r="F750" t="inlineStr">
        <is>
          <t>'=(1+(F43/F42)-1)*N42</t>
        </is>
      </c>
      <c r="G750" t="n">
        <v>135.9917705433863</v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11</v>
      </c>
      <c r="M750" t="inlineStr">
        <is>
          <t>Values must be of type &lt;class 'str'&gt;</t>
        </is>
      </c>
      <c r="N750" t="inlineStr">
        <is>
          <t>00000000</t>
        </is>
      </c>
      <c r="O750" t="inlineStr">
        <is>
          <t>left</t>
        </is>
      </c>
      <c r="R750" t="b">
        <v>1</v>
      </c>
      <c r="S750" t="inlineStr">
        <is>
          <t>G000160</t>
        </is>
      </c>
      <c r="T750" t="inlineStr">
        <is>
          <t>Vertical</t>
        </is>
      </c>
      <c r="U750" t="n">
        <v>92</v>
      </c>
      <c r="V750" t="b">
        <v>1</v>
      </c>
      <c r="W750" t="inlineStr">
        <is>
          <t>ATF Fuel 2!N3:N94</t>
        </is>
      </c>
      <c r="X750">
        <f>(1+(R[0]C[-8]/R[-1]C[-8])-1)*R[-1]C[0]</f>
        <v/>
      </c>
    </row>
    <row r="751">
      <c r="A751" t="inlineStr">
        <is>
          <t>ATF Fuel 2</t>
        </is>
      </c>
      <c r="B751" t="inlineStr">
        <is>
          <t>O43</t>
        </is>
      </c>
      <c r="C751" t="n">
        <v>43</v>
      </c>
      <c r="D751" t="n">
        <v>15</v>
      </c>
      <c r="E751" t="inlineStr">
        <is>
          <t>Calculation</t>
        </is>
      </c>
      <c r="F751" t="inlineStr">
        <is>
          <t>'=(1+(J43/J42)-1)*O42</t>
        </is>
      </c>
      <c r="G751" t="n">
        <v>128.5579084348752</v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11</v>
      </c>
      <c r="M751" t="inlineStr">
        <is>
          <t>Values must be of type &lt;class 'str'&gt;</t>
        </is>
      </c>
      <c r="N751" t="inlineStr">
        <is>
          <t>00000000</t>
        </is>
      </c>
      <c r="O751" t="inlineStr">
        <is>
          <t>left</t>
        </is>
      </c>
      <c r="R751" t="b">
        <v>1</v>
      </c>
      <c r="S751" t="inlineStr">
        <is>
          <t>G000162</t>
        </is>
      </c>
      <c r="T751" t="inlineStr">
        <is>
          <t>Vertical</t>
        </is>
      </c>
      <c r="U751" t="n">
        <v>92</v>
      </c>
      <c r="V751" t="b">
        <v>1</v>
      </c>
      <c r="W751" t="inlineStr">
        <is>
          <t>ATF Fuel 2!O3:O94</t>
        </is>
      </c>
      <c r="X751">
        <f>(1+(R[0]C[-5]/R[-1]C[-5])-1)*R[-1]C[0]</f>
        <v/>
      </c>
    </row>
    <row r="752">
      <c r="A752" t="inlineStr">
        <is>
          <t>ATF Fuel 2</t>
        </is>
      </c>
      <c r="B752" t="inlineStr">
        <is>
          <t>P43</t>
        </is>
      </c>
      <c r="C752" t="n">
        <v>43</v>
      </c>
      <c r="D752" t="n">
        <v>16</v>
      </c>
      <c r="E752" t="inlineStr">
        <is>
          <t>Calculation</t>
        </is>
      </c>
      <c r="F752" t="inlineStr">
        <is>
          <t>'=(1+(H43/H42)-1)*P42</t>
        </is>
      </c>
      <c r="G752" t="n">
        <v>199.7644976145586</v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11</v>
      </c>
      <c r="M752" t="inlineStr">
        <is>
          <t>Values must be of type &lt;class 'str'&gt;</t>
        </is>
      </c>
      <c r="N752" t="inlineStr">
        <is>
          <t>00000000</t>
        </is>
      </c>
      <c r="O752" t="inlineStr">
        <is>
          <t>left</t>
        </is>
      </c>
      <c r="R752" t="b">
        <v>1</v>
      </c>
      <c r="S752" t="inlineStr">
        <is>
          <t>G000161</t>
        </is>
      </c>
      <c r="T752" t="inlineStr">
        <is>
          <t>Vertical</t>
        </is>
      </c>
      <c r="U752" t="n">
        <v>92</v>
      </c>
      <c r="V752" t="b">
        <v>1</v>
      </c>
      <c r="W752" t="inlineStr">
        <is>
          <t>ATF Fuel 2!P3:P94</t>
        </is>
      </c>
      <c r="X752">
        <f>(1+(R[0]C[-8]/R[-1]C[-8])-1)*R[-1]C[0]</f>
        <v/>
      </c>
    </row>
    <row r="753">
      <c r="A753" t="inlineStr">
        <is>
          <t>ATF Fuel 2</t>
        </is>
      </c>
      <c r="B753" t="inlineStr">
        <is>
          <t>Q43</t>
        </is>
      </c>
      <c r="C753" t="n">
        <v>43</v>
      </c>
      <c r="D753" t="n">
        <v>17</v>
      </c>
      <c r="E753" t="inlineStr">
        <is>
          <t>Output</t>
        </is>
      </c>
      <c r="F753" t="inlineStr">
        <is>
          <t>'=M43/N43-1</t>
        </is>
      </c>
      <c r="G753" t="n">
        <v>0.3262781561985599</v>
      </c>
      <c r="H753" t="inlineStr"/>
      <c r="I753" t="inlineStr">
        <is>
          <t>0.0%</t>
        </is>
      </c>
      <c r="J753" t="b">
        <v>0</v>
      </c>
      <c r="K753" t="b">
        <v>0</v>
      </c>
      <c r="L753" t="n">
        <v>11</v>
      </c>
      <c r="M753" t="inlineStr">
        <is>
          <t>Values must be of type &lt;class 'str'&gt;</t>
        </is>
      </c>
      <c r="N753" t="inlineStr">
        <is>
          <t>00000000</t>
        </is>
      </c>
      <c r="O753" t="n">
        <v/>
      </c>
      <c r="R753" t="b">
        <v>1</v>
      </c>
      <c r="S753" t="inlineStr">
        <is>
          <t>G000153</t>
        </is>
      </c>
      <c r="T753" t="inlineStr">
        <is>
          <t>Vertical</t>
        </is>
      </c>
      <c r="U753" t="n">
        <v>93</v>
      </c>
      <c r="V753" t="b">
        <v>1</v>
      </c>
      <c r="W753" t="inlineStr">
        <is>
          <t>ATF Fuel 2!Q2:Q94</t>
        </is>
      </c>
      <c r="X753">
        <f>R[0]C[-4]/R[0]C[-3]-1</f>
        <v/>
      </c>
    </row>
    <row r="754">
      <c r="A754" t="inlineStr">
        <is>
          <t>ATF Fuel 2</t>
        </is>
      </c>
      <c r="B754" t="inlineStr">
        <is>
          <t>A44</t>
        </is>
      </c>
      <c r="C754" t="n">
        <v>44</v>
      </c>
      <c r="D754" t="n">
        <v>1</v>
      </c>
      <c r="E754" t="inlineStr">
        <is>
          <t>Input</t>
        </is>
      </c>
      <c r="F754" t="n">
        <v/>
      </c>
      <c r="G754" t="inlineStr">
        <is>
          <t>October 01, 2013</t>
        </is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11</v>
      </c>
      <c r="M754" t="inlineStr">
        <is>
          <t>Values must be of type &lt;class 'str'&gt;</t>
        </is>
      </c>
      <c r="N754" t="inlineStr">
        <is>
          <t>FFFFFF00</t>
        </is>
      </c>
      <c r="O754" t="n">
        <v/>
      </c>
      <c r="R754" t="b">
        <v>1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</row>
    <row r="755">
      <c r="A755" t="inlineStr">
        <is>
          <t>ATF Fuel 2</t>
        </is>
      </c>
      <c r="B755" t="inlineStr">
        <is>
          <t>B44</t>
        </is>
      </c>
      <c r="C755" t="n">
        <v>44</v>
      </c>
      <c r="D755" t="n">
        <v>2</v>
      </c>
      <c r="E755" t="inlineStr">
        <is>
          <t>Input</t>
        </is>
      </c>
      <c r="F755" t="n">
        <v/>
      </c>
      <c r="G755" t="n">
        <v>82073.53749999999</v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11</v>
      </c>
      <c r="M755" t="inlineStr">
        <is>
          <t>Values must be of type &lt;class 'str'&gt;</t>
        </is>
      </c>
      <c r="N755" t="inlineStr">
        <is>
          <t>FFFFFF00</t>
        </is>
      </c>
      <c r="O755" t="n">
        <v/>
      </c>
      <c r="R755" t="b">
        <v>1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</row>
    <row r="756">
      <c r="A756" t="inlineStr">
        <is>
          <t>ATF Fuel 2</t>
        </is>
      </c>
      <c r="B756" t="inlineStr">
        <is>
          <t>C44</t>
        </is>
      </c>
      <c r="C756" t="n">
        <v>44</v>
      </c>
      <c r="D756" t="n">
        <v>3</v>
      </c>
      <c r="E756" t="inlineStr">
        <is>
          <t>Output</t>
        </is>
      </c>
      <c r="F756" t="inlineStr">
        <is>
          <t>'=B44/B43-1</t>
        </is>
      </c>
      <c r="G756" t="n">
        <v>0.0257622771216004</v>
      </c>
      <c r="H756" t="inlineStr"/>
      <c r="I756" t="inlineStr">
        <is>
          <t>0%</t>
        </is>
      </c>
      <c r="J756" t="b">
        <v>0</v>
      </c>
      <c r="K756" t="b">
        <v>0</v>
      </c>
      <c r="L756" t="n">
        <v>11</v>
      </c>
      <c r="M756" t="n">
        <v/>
      </c>
      <c r="N756" t="inlineStr">
        <is>
          <t>00000000</t>
        </is>
      </c>
      <c r="O756" t="n">
        <v/>
      </c>
      <c r="R756" t="b">
        <v>1</v>
      </c>
      <c r="S756" t="inlineStr">
        <is>
          <t>G000154</t>
        </is>
      </c>
      <c r="T756" t="inlineStr">
        <is>
          <t>Vertical</t>
        </is>
      </c>
      <c r="U756" t="n">
        <v>92</v>
      </c>
      <c r="V756" t="b">
        <v>1</v>
      </c>
      <c r="W756" t="inlineStr">
        <is>
          <t>ATF Fuel 2!C3:C94</t>
        </is>
      </c>
      <c r="X756">
        <f>R[0]C[-1]/R[-1]C[-1]-1</f>
        <v/>
      </c>
    </row>
    <row r="757">
      <c r="A757" t="inlineStr">
        <is>
          <t>ATF Fuel 2</t>
        </is>
      </c>
      <c r="B757" t="inlineStr">
        <is>
          <t>D44</t>
        </is>
      </c>
      <c r="C757" t="n">
        <v>44</v>
      </c>
      <c r="D757" t="n">
        <v>4</v>
      </c>
      <c r="E757" t="inlineStr">
        <is>
          <t>Input</t>
        </is>
      </c>
      <c r="F757" t="n">
        <v/>
      </c>
      <c r="G757" t="n">
        <v>62.6</v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11</v>
      </c>
      <c r="M757" t="inlineStr">
        <is>
          <t>Values must be of type &lt;class 'str'&gt;</t>
        </is>
      </c>
      <c r="N757" t="inlineStr">
        <is>
          <t>00000000</t>
        </is>
      </c>
      <c r="O757" t="n">
        <v/>
      </c>
      <c r="R757" t="b">
        <v>1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</row>
    <row r="758">
      <c r="A758" t="inlineStr">
        <is>
          <t>ATF Fuel 2</t>
        </is>
      </c>
      <c r="B758" t="inlineStr">
        <is>
          <t>E44</t>
        </is>
      </c>
      <c r="C758" t="n">
        <v>44</v>
      </c>
      <c r="D758" t="n">
        <v>5</v>
      </c>
      <c r="E758" t="inlineStr">
        <is>
          <t>Output</t>
        </is>
      </c>
      <c r="F758" t="inlineStr">
        <is>
          <t>'=B44/B43-1</t>
        </is>
      </c>
      <c r="G758" t="n">
        <v>0.0257622771216004</v>
      </c>
      <c r="H758" t="inlineStr"/>
      <c r="I758" t="inlineStr">
        <is>
          <t>0%</t>
        </is>
      </c>
      <c r="J758" t="b">
        <v>0</v>
      </c>
      <c r="K758" t="b">
        <v>0</v>
      </c>
      <c r="L758" t="n">
        <v>11</v>
      </c>
      <c r="M758" t="inlineStr">
        <is>
          <t>Values must be of type &lt;class 'str'&gt;</t>
        </is>
      </c>
      <c r="N758" t="inlineStr">
        <is>
          <t>00000000</t>
        </is>
      </c>
      <c r="O758" t="n">
        <v/>
      </c>
      <c r="R758" t="b">
        <v>1</v>
      </c>
      <c r="S758" t="inlineStr">
        <is>
          <t>G000158</t>
        </is>
      </c>
      <c r="T758" t="inlineStr">
        <is>
          <t>Vertical</t>
        </is>
      </c>
      <c r="U758" t="n">
        <v>92</v>
      </c>
      <c r="V758" t="b">
        <v>1</v>
      </c>
      <c r="W758" t="inlineStr">
        <is>
          <t>ATF Fuel 2!E3:E94</t>
        </is>
      </c>
      <c r="X758">
        <f>R[0]C[-3]/R[-1]C[-3]-1</f>
        <v/>
      </c>
    </row>
    <row r="759">
      <c r="A759" t="inlineStr">
        <is>
          <t>ATF Fuel 2</t>
        </is>
      </c>
      <c r="B759" t="inlineStr">
        <is>
          <t>F44</t>
        </is>
      </c>
      <c r="C759" t="n">
        <v>44</v>
      </c>
      <c r="D759" t="n">
        <v>6</v>
      </c>
      <c r="E759" t="inlineStr">
        <is>
          <t>Input</t>
        </is>
      </c>
      <c r="F759" t="n">
        <v/>
      </c>
      <c r="G759" t="n">
        <v>109.02</v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11</v>
      </c>
      <c r="M759" t="inlineStr">
        <is>
          <t>Values must be of type &lt;class 'str'&gt;</t>
        </is>
      </c>
      <c r="N759" t="inlineStr">
        <is>
          <t>FFFFFF00</t>
        </is>
      </c>
      <c r="O759" t="n">
        <v/>
      </c>
      <c r="R759" t="b">
        <v>1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</row>
    <row r="760">
      <c r="A760" t="inlineStr">
        <is>
          <t>ATF Fuel 2</t>
        </is>
      </c>
      <c r="B760" t="inlineStr">
        <is>
          <t>G44</t>
        </is>
      </c>
      <c r="C760" t="n">
        <v>44</v>
      </c>
      <c r="D760" t="n">
        <v>7</v>
      </c>
      <c r="E760" t="inlineStr">
        <is>
          <t>Output</t>
        </is>
      </c>
      <c r="F760" t="inlineStr">
        <is>
          <t>'=F44/F43-1</t>
        </is>
      </c>
      <c r="G760" t="n">
        <v>-0.02981222746284606</v>
      </c>
      <c r="H760" t="inlineStr"/>
      <c r="I760" t="inlineStr">
        <is>
          <t>0%</t>
        </is>
      </c>
      <c r="J760" t="b">
        <v>0</v>
      </c>
      <c r="K760" t="b">
        <v>0</v>
      </c>
      <c r="L760" t="n">
        <v>11</v>
      </c>
      <c r="M760" t="inlineStr">
        <is>
          <t>Values must be of type &lt;class 'str'&gt;</t>
        </is>
      </c>
      <c r="N760" t="inlineStr">
        <is>
          <t>00000000</t>
        </is>
      </c>
      <c r="O760" t="n">
        <v/>
      </c>
      <c r="R760" t="b">
        <v>1</v>
      </c>
      <c r="S760" t="inlineStr">
        <is>
          <t>G000155</t>
        </is>
      </c>
      <c r="T760" t="inlineStr">
        <is>
          <t>Vertical</t>
        </is>
      </c>
      <c r="U760" t="n">
        <v>93</v>
      </c>
      <c r="V760" t="b">
        <v>1</v>
      </c>
      <c r="W760" t="inlineStr">
        <is>
          <t>ATF Fuel 2!G3:G95</t>
        </is>
      </c>
      <c r="X760">
        <f>R[0]C[-1]/R[-1]C[-1]-1</f>
        <v/>
      </c>
    </row>
    <row r="761">
      <c r="A761" t="inlineStr">
        <is>
          <t>ATF Fuel 2</t>
        </is>
      </c>
      <c r="B761" t="inlineStr">
        <is>
          <t>H44</t>
        </is>
      </c>
      <c r="C761" t="n">
        <v>44</v>
      </c>
      <c r="D761" t="n">
        <v>8</v>
      </c>
      <c r="E761" t="inlineStr">
        <is>
          <t>Calculation</t>
        </is>
      </c>
      <c r="F761" t="inlineStr">
        <is>
          <t>'=D44*F44</t>
        </is>
      </c>
      <c r="G761" t="n">
        <v>6824.652</v>
      </c>
      <c r="H761" t="inlineStr"/>
      <c r="I761" t="inlineStr">
        <is>
          <t>0</t>
        </is>
      </c>
      <c r="J761" t="b">
        <v>0</v>
      </c>
      <c r="K761" t="b">
        <v>0</v>
      </c>
      <c r="L761" t="n">
        <v>11</v>
      </c>
      <c r="M761" t="inlineStr">
        <is>
          <t>Values must be of type &lt;class 'str'&gt;</t>
        </is>
      </c>
      <c r="N761" t="inlineStr">
        <is>
          <t>00000000</t>
        </is>
      </c>
      <c r="O761" t="n">
        <v/>
      </c>
      <c r="R761" t="b">
        <v>1</v>
      </c>
      <c r="S761" t="inlineStr">
        <is>
          <t>G000152</t>
        </is>
      </c>
      <c r="T761" t="inlineStr">
        <is>
          <t>Vertical</t>
        </is>
      </c>
      <c r="U761" t="n">
        <v>98</v>
      </c>
      <c r="V761" t="b">
        <v>1</v>
      </c>
      <c r="W761" t="inlineStr">
        <is>
          <t>ATF Fuel 2!H2:H99</t>
        </is>
      </c>
      <c r="X761">
        <f>R[0]C[-4]*R[0]C[-2]</f>
        <v/>
      </c>
    </row>
    <row r="762">
      <c r="A762" t="inlineStr">
        <is>
          <t>ATF Fuel 2</t>
        </is>
      </c>
      <c r="B762" t="inlineStr">
        <is>
          <t>I44</t>
        </is>
      </c>
      <c r="C762" t="n">
        <v>44</v>
      </c>
      <c r="D762" t="n">
        <v>9</v>
      </c>
      <c r="E762" t="inlineStr">
        <is>
          <t>Output</t>
        </is>
      </c>
      <c r="F762" t="inlineStr">
        <is>
          <t>'=H44/H43-1</t>
        </is>
      </c>
      <c r="G762" t="n">
        <v>-0.0762927062992268</v>
      </c>
      <c r="H762" t="inlineStr"/>
      <c r="I762" t="inlineStr">
        <is>
          <t>0%</t>
        </is>
      </c>
      <c r="J762" t="b">
        <v>0</v>
      </c>
      <c r="K762" t="b">
        <v>0</v>
      </c>
      <c r="L762" t="n">
        <v>11</v>
      </c>
      <c r="M762" t="inlineStr">
        <is>
          <t>FFFF0000</t>
        </is>
      </c>
      <c r="N762" t="inlineStr">
        <is>
          <t>00000000</t>
        </is>
      </c>
      <c r="O762" t="n">
        <v/>
      </c>
      <c r="R762" t="b">
        <v>1</v>
      </c>
      <c r="S762" t="inlineStr">
        <is>
          <t>G000156</t>
        </is>
      </c>
      <c r="T762" t="inlineStr">
        <is>
          <t>Vertical</t>
        </is>
      </c>
      <c r="U762" t="n">
        <v>97</v>
      </c>
      <c r="V762" t="b">
        <v>1</v>
      </c>
      <c r="W762" t="inlineStr">
        <is>
          <t>ATF Fuel 2!I3:I99</t>
        </is>
      </c>
      <c r="X762">
        <f>R[0]C[-1]/R[-1]C[-1]-1</f>
        <v/>
      </c>
    </row>
    <row r="763">
      <c r="A763" t="inlineStr">
        <is>
          <t>ATF Fuel 2</t>
        </is>
      </c>
      <c r="B763" t="inlineStr">
        <is>
          <t>J44</t>
        </is>
      </c>
      <c r="C763" t="n">
        <v>44</v>
      </c>
      <c r="D763" t="n">
        <v>10</v>
      </c>
      <c r="E763" t="inlineStr">
        <is>
          <t>Input</t>
        </is>
      </c>
      <c r="F763" t="n">
        <v/>
      </c>
      <c r="G763" t="n">
        <v>102.09</v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11</v>
      </c>
      <c r="M763" t="inlineStr">
        <is>
          <t>Values must be of type &lt;class 'str'&gt;</t>
        </is>
      </c>
      <c r="N763" t="inlineStr">
        <is>
          <t>FFFFFF00</t>
        </is>
      </c>
      <c r="O763" t="n">
        <v/>
      </c>
      <c r="R763" t="b">
        <v>1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</row>
    <row r="764">
      <c r="A764" t="inlineStr">
        <is>
          <t>ATF Fuel 2</t>
        </is>
      </c>
      <c r="B764" t="inlineStr">
        <is>
          <t>K44</t>
        </is>
      </c>
      <c r="C764" t="n">
        <v>44</v>
      </c>
      <c r="D764" t="n">
        <v>11</v>
      </c>
      <c r="E764" t="inlineStr">
        <is>
          <t>Output</t>
        </is>
      </c>
      <c r="F764" t="inlineStr">
        <is>
          <t>'=J44/J43-1</t>
        </is>
      </c>
      <c r="G764" t="n">
        <v>-0.06055028986840894</v>
      </c>
      <c r="H764" t="inlineStr"/>
      <c r="I764" t="inlineStr">
        <is>
          <t>0%</t>
        </is>
      </c>
      <c r="J764" t="b">
        <v>0</v>
      </c>
      <c r="K764" t="b">
        <v>0</v>
      </c>
      <c r="L764" t="n">
        <v>11</v>
      </c>
      <c r="M764" t="inlineStr">
        <is>
          <t>Values must be of type &lt;class 'str'&gt;</t>
        </is>
      </c>
      <c r="N764" t="inlineStr">
        <is>
          <t>00000000</t>
        </is>
      </c>
      <c r="O764" t="n">
        <v/>
      </c>
      <c r="R764" t="b">
        <v>1</v>
      </c>
      <c r="S764" t="inlineStr">
        <is>
          <t>G000157</t>
        </is>
      </c>
      <c r="T764" t="inlineStr">
        <is>
          <t>Vertical</t>
        </is>
      </c>
      <c r="U764" t="n">
        <v>93</v>
      </c>
      <c r="V764" t="b">
        <v>1</v>
      </c>
      <c r="W764" t="inlineStr">
        <is>
          <t>ATF Fuel 2!K3:K95</t>
        </is>
      </c>
      <c r="X764">
        <f>R[0]C[-1]/R[-1]C[-1]-1</f>
        <v/>
      </c>
    </row>
    <row r="765">
      <c r="A765" t="inlineStr">
        <is>
          <t>ATF Fuel 2</t>
        </is>
      </c>
      <c r="B765" t="inlineStr">
        <is>
          <t>L44</t>
        </is>
      </c>
      <c r="C765" t="n">
        <v>44</v>
      </c>
      <c r="D765" t="n">
        <v>12</v>
      </c>
      <c r="E765" t="inlineStr">
        <is>
          <t>Input</t>
        </is>
      </c>
      <c r="F765" t="n">
        <v/>
      </c>
      <c r="G765" t="inlineStr">
        <is>
          <t>October 01, 2013</t>
        </is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11</v>
      </c>
      <c r="M765" t="inlineStr">
        <is>
          <t>Values must be of type &lt;class 'str'&gt;</t>
        </is>
      </c>
      <c r="N765" t="inlineStr">
        <is>
          <t>FFFFFF00</t>
        </is>
      </c>
      <c r="O765" t="inlineStr">
        <is>
          <t>left</t>
        </is>
      </c>
      <c r="R765" t="b">
        <v>1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</row>
    <row r="766">
      <c r="A766" t="inlineStr">
        <is>
          <t>ATF Fuel 2</t>
        </is>
      </c>
      <c r="B766" t="inlineStr">
        <is>
          <t>M44</t>
        </is>
      </c>
      <c r="C766" t="n">
        <v>44</v>
      </c>
      <c r="D766" t="n">
        <v>13</v>
      </c>
      <c r="E766" t="inlineStr">
        <is>
          <t>Calculation</t>
        </is>
      </c>
      <c r="F766" t="inlineStr">
        <is>
          <t>'=(1+(B44/B43)-1)*M43</t>
        </is>
      </c>
      <c r="G766" t="n">
        <v>185.0094740852783</v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11</v>
      </c>
      <c r="M766" t="inlineStr">
        <is>
          <t>Values must be of type &lt;class 'str'&gt;</t>
        </is>
      </c>
      <c r="N766" t="inlineStr">
        <is>
          <t>FFFFFF00</t>
        </is>
      </c>
      <c r="O766" t="inlineStr">
        <is>
          <t>left</t>
        </is>
      </c>
      <c r="R766" t="b">
        <v>1</v>
      </c>
      <c r="S766" t="inlineStr">
        <is>
          <t>G000159</t>
        </is>
      </c>
      <c r="T766" t="inlineStr">
        <is>
          <t>Vertical</t>
        </is>
      </c>
      <c r="U766" t="n">
        <v>92</v>
      </c>
      <c r="V766" t="b">
        <v>1</v>
      </c>
      <c r="W766" t="inlineStr">
        <is>
          <t>ATF Fuel 2!M3:M94</t>
        </is>
      </c>
      <c r="X766">
        <f>(1+(R[0]C[-11]/R[-1]C[-11])-1)*R[-1]C[0]</f>
        <v/>
      </c>
    </row>
    <row r="767">
      <c r="A767" t="inlineStr">
        <is>
          <t>ATF Fuel 2</t>
        </is>
      </c>
      <c r="B767" t="inlineStr">
        <is>
          <t>N44</t>
        </is>
      </c>
      <c r="C767" t="n">
        <v>44</v>
      </c>
      <c r="D767" t="n">
        <v>14</v>
      </c>
      <c r="E767" t="inlineStr">
        <is>
          <t>Calculation</t>
        </is>
      </c>
      <c r="F767" t="inlineStr">
        <is>
          <t>'=(1+(F44/F43)-1)*N43</t>
        </is>
      </c>
      <c r="G767" t="n">
        <v>131.9375529468717</v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11</v>
      </c>
      <c r="M767" t="inlineStr">
        <is>
          <t>Values must be of type &lt;class 'str'&gt;</t>
        </is>
      </c>
      <c r="N767" t="inlineStr">
        <is>
          <t>FFFFFF00</t>
        </is>
      </c>
      <c r="O767" t="inlineStr">
        <is>
          <t>left</t>
        </is>
      </c>
      <c r="R767" t="b">
        <v>1</v>
      </c>
      <c r="S767" t="inlineStr">
        <is>
          <t>G000160</t>
        </is>
      </c>
      <c r="T767" t="inlineStr">
        <is>
          <t>Vertical</t>
        </is>
      </c>
      <c r="U767" t="n">
        <v>92</v>
      </c>
      <c r="V767" t="b">
        <v>1</v>
      </c>
      <c r="W767" t="inlineStr">
        <is>
          <t>ATF Fuel 2!N3:N94</t>
        </is>
      </c>
      <c r="X767">
        <f>(1+(R[0]C[-8]/R[-1]C[-8])-1)*R[-1]C[0]</f>
        <v/>
      </c>
    </row>
    <row r="768">
      <c r="A768" t="inlineStr">
        <is>
          <t>ATF Fuel 2</t>
        </is>
      </c>
      <c r="B768" t="inlineStr">
        <is>
          <t>O44</t>
        </is>
      </c>
      <c r="C768" t="n">
        <v>44</v>
      </c>
      <c r="D768" t="n">
        <v>15</v>
      </c>
      <c r="E768" t="inlineStr">
        <is>
          <t>Calculation</t>
        </is>
      </c>
      <c r="F768" t="inlineStr">
        <is>
          <t>'=(1+(J44/J43)-1)*O43</t>
        </is>
      </c>
      <c r="G768" t="n">
        <v>120.7736898142671</v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11</v>
      </c>
      <c r="M768" t="inlineStr">
        <is>
          <t>Values must be of type &lt;class 'str'&gt;</t>
        </is>
      </c>
      <c r="N768" t="inlineStr">
        <is>
          <t>FFFFFF00</t>
        </is>
      </c>
      <c r="O768" t="inlineStr">
        <is>
          <t>left</t>
        </is>
      </c>
      <c r="R768" t="b">
        <v>1</v>
      </c>
      <c r="S768" t="inlineStr">
        <is>
          <t>G000162</t>
        </is>
      </c>
      <c r="T768" t="inlineStr">
        <is>
          <t>Vertical</t>
        </is>
      </c>
      <c r="U768" t="n">
        <v>92</v>
      </c>
      <c r="V768" t="b">
        <v>1</v>
      </c>
      <c r="W768" t="inlineStr">
        <is>
          <t>ATF Fuel 2!O3:O94</t>
        </is>
      </c>
      <c r="X768">
        <f>(1+(R[0]C[-5]/R[-1]C[-5])-1)*R[-1]C[0]</f>
        <v/>
      </c>
    </row>
    <row r="769">
      <c r="A769" t="inlineStr">
        <is>
          <t>ATF Fuel 2</t>
        </is>
      </c>
      <c r="B769" t="inlineStr">
        <is>
          <t>P44</t>
        </is>
      </c>
      <c r="C769" t="n">
        <v>44</v>
      </c>
      <c r="D769" t="n">
        <v>16</v>
      </c>
      <c r="E769" t="inlineStr">
        <is>
          <t>Calculation</t>
        </is>
      </c>
      <c r="F769" t="inlineStr">
        <is>
          <t>'=(1+(H44/H43)-1)*P43</t>
        </is>
      </c>
      <c r="G769" t="n">
        <v>184.5239234690385</v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11</v>
      </c>
      <c r="M769" t="inlineStr">
        <is>
          <t>Values must be of type &lt;class 'str'&gt;</t>
        </is>
      </c>
      <c r="N769" t="inlineStr">
        <is>
          <t>00000000</t>
        </is>
      </c>
      <c r="O769" t="inlineStr">
        <is>
          <t>left</t>
        </is>
      </c>
      <c r="R769" t="b">
        <v>1</v>
      </c>
      <c r="S769" t="inlineStr">
        <is>
          <t>G000161</t>
        </is>
      </c>
      <c r="T769" t="inlineStr">
        <is>
          <t>Vertical</t>
        </is>
      </c>
      <c r="U769" t="n">
        <v>92</v>
      </c>
      <c r="V769" t="b">
        <v>1</v>
      </c>
      <c r="W769" t="inlineStr">
        <is>
          <t>ATF Fuel 2!P3:P94</t>
        </is>
      </c>
      <c r="X769">
        <f>(1+(R[0]C[-8]/R[-1]C[-8])-1)*R[-1]C[0]</f>
        <v/>
      </c>
    </row>
    <row r="770">
      <c r="A770" t="inlineStr">
        <is>
          <t>ATF Fuel 2</t>
        </is>
      </c>
      <c r="B770" t="inlineStr">
        <is>
          <t>Q44</t>
        </is>
      </c>
      <c r="C770" t="n">
        <v>44</v>
      </c>
      <c r="D770" t="n">
        <v>17</v>
      </c>
      <c r="E770" t="inlineStr">
        <is>
          <t>Output</t>
        </is>
      </c>
      <c r="F770" t="inlineStr">
        <is>
          <t>'=M44/N44-1</t>
        </is>
      </c>
      <c r="G770" t="n">
        <v>0.4022503067021219</v>
      </c>
      <c r="H770" t="inlineStr"/>
      <c r="I770" t="inlineStr">
        <is>
          <t>0.0%</t>
        </is>
      </c>
      <c r="J770" t="b">
        <v>0</v>
      </c>
      <c r="K770" t="b">
        <v>0</v>
      </c>
      <c r="L770" t="n">
        <v>11</v>
      </c>
      <c r="M770" t="inlineStr">
        <is>
          <t>Values must be of type &lt;class 'str'&gt;</t>
        </is>
      </c>
      <c r="N770" t="inlineStr">
        <is>
          <t>FFFFFF00</t>
        </is>
      </c>
      <c r="O770" t="n">
        <v/>
      </c>
      <c r="R770" t="b">
        <v>1</v>
      </c>
      <c r="S770" t="inlineStr">
        <is>
          <t>G000153</t>
        </is>
      </c>
      <c r="T770" t="inlineStr">
        <is>
          <t>Vertical</t>
        </is>
      </c>
      <c r="U770" t="n">
        <v>93</v>
      </c>
      <c r="V770" t="b">
        <v>1</v>
      </c>
      <c r="W770" t="inlineStr">
        <is>
          <t>ATF Fuel 2!Q2:Q94</t>
        </is>
      </c>
      <c r="X770">
        <f>R[0]C[-4]/R[0]C[-3]-1</f>
        <v/>
      </c>
    </row>
    <row r="771">
      <c r="A771" t="inlineStr">
        <is>
          <t>ATF Fuel 2</t>
        </is>
      </c>
      <c r="B771" t="inlineStr">
        <is>
          <t>A45</t>
        </is>
      </c>
      <c r="C771" t="n">
        <v>45</v>
      </c>
      <c r="D771" t="n">
        <v>1</v>
      </c>
      <c r="E771" t="inlineStr">
        <is>
          <t>Input</t>
        </is>
      </c>
      <c r="F771" t="n">
        <v/>
      </c>
      <c r="G771" t="inlineStr">
        <is>
          <t>November 01, 2013</t>
        </is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11</v>
      </c>
      <c r="M771" t="inlineStr">
        <is>
          <t>Values must be of type &lt;class 'str'&gt;</t>
        </is>
      </c>
      <c r="N771" t="inlineStr">
        <is>
          <t>00000000</t>
        </is>
      </c>
      <c r="O771" t="n">
        <v/>
      </c>
      <c r="R771" t="b">
        <v>1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</row>
    <row r="772">
      <c r="A772" t="inlineStr">
        <is>
          <t>ATF Fuel 2</t>
        </is>
      </c>
      <c r="B772" t="inlineStr">
        <is>
          <t>B45</t>
        </is>
      </c>
      <c r="C772" t="n">
        <v>45</v>
      </c>
      <c r="D772" t="n">
        <v>2</v>
      </c>
      <c r="E772" t="inlineStr">
        <is>
          <t>Input</t>
        </is>
      </c>
      <c r="F772" t="n">
        <v/>
      </c>
      <c r="G772" t="n">
        <v>78427.93000000001</v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11</v>
      </c>
      <c r="M772" t="inlineStr">
        <is>
          <t>Values must be of type &lt;class 'str'&gt;</t>
        </is>
      </c>
      <c r="N772" t="inlineStr">
        <is>
          <t>00000000</t>
        </is>
      </c>
      <c r="O772" t="n">
        <v/>
      </c>
      <c r="R772" t="b">
        <v>1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</row>
    <row r="773">
      <c r="A773" t="inlineStr">
        <is>
          <t>ATF Fuel 2</t>
        </is>
      </c>
      <c r="B773" t="inlineStr">
        <is>
          <t>C45</t>
        </is>
      </c>
      <c r="C773" t="n">
        <v>45</v>
      </c>
      <c r="D773" t="n">
        <v>3</v>
      </c>
      <c r="E773" t="inlineStr">
        <is>
          <t>Output</t>
        </is>
      </c>
      <c r="F773" t="inlineStr">
        <is>
          <t>'=B45/B44-1</t>
        </is>
      </c>
      <c r="G773" t="n">
        <v>-0.04441879332909204</v>
      </c>
      <c r="H773" t="inlineStr"/>
      <c r="I773" t="inlineStr">
        <is>
          <t>0%</t>
        </is>
      </c>
      <c r="J773" t="b">
        <v>0</v>
      </c>
      <c r="K773" t="b">
        <v>0</v>
      </c>
      <c r="L773" t="n">
        <v>11</v>
      </c>
      <c r="M773" t="n">
        <v/>
      </c>
      <c r="N773" t="inlineStr">
        <is>
          <t>00000000</t>
        </is>
      </c>
      <c r="O773" t="n">
        <v/>
      </c>
      <c r="R773" t="b">
        <v>1</v>
      </c>
      <c r="S773" t="inlineStr">
        <is>
          <t>G000154</t>
        </is>
      </c>
      <c r="T773" t="inlineStr">
        <is>
          <t>Vertical</t>
        </is>
      </c>
      <c r="U773" t="n">
        <v>92</v>
      </c>
      <c r="V773" t="b">
        <v>1</v>
      </c>
      <c r="W773" t="inlineStr">
        <is>
          <t>ATF Fuel 2!C3:C94</t>
        </is>
      </c>
      <c r="X773">
        <f>R[0]C[-1]/R[-1]C[-1]-1</f>
        <v/>
      </c>
    </row>
    <row r="774">
      <c r="A774" t="inlineStr">
        <is>
          <t>ATF Fuel 2</t>
        </is>
      </c>
      <c r="B774" t="inlineStr">
        <is>
          <t>D45</t>
        </is>
      </c>
      <c r="C774" t="n">
        <v>45</v>
      </c>
      <c r="D774" t="n">
        <v>4</v>
      </c>
      <c r="E774" t="inlineStr">
        <is>
          <t>Input</t>
        </is>
      </c>
      <c r="F774" t="n">
        <v/>
      </c>
      <c r="G774" t="n">
        <v>61.51</v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11</v>
      </c>
      <c r="M774" t="inlineStr">
        <is>
          <t>Values must be of type &lt;class 'str'&gt;</t>
        </is>
      </c>
      <c r="N774" t="inlineStr">
        <is>
          <t>00000000</t>
        </is>
      </c>
      <c r="O774" t="n">
        <v/>
      </c>
      <c r="R774" t="b">
        <v>1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</row>
    <row r="775">
      <c r="A775" t="inlineStr">
        <is>
          <t>ATF Fuel 2</t>
        </is>
      </c>
      <c r="B775" t="inlineStr">
        <is>
          <t>E45</t>
        </is>
      </c>
      <c r="C775" t="n">
        <v>45</v>
      </c>
      <c r="D775" t="n">
        <v>5</v>
      </c>
      <c r="E775" t="inlineStr">
        <is>
          <t>Output</t>
        </is>
      </c>
      <c r="F775" t="inlineStr">
        <is>
          <t>'=B45/B44-1</t>
        </is>
      </c>
      <c r="G775" t="n">
        <v>-0.04441879332909204</v>
      </c>
      <c r="H775" t="inlineStr"/>
      <c r="I775" t="inlineStr">
        <is>
          <t>0%</t>
        </is>
      </c>
      <c r="J775" t="b">
        <v>0</v>
      </c>
      <c r="K775" t="b">
        <v>0</v>
      </c>
      <c r="L775" t="n">
        <v>11</v>
      </c>
      <c r="M775" t="inlineStr">
        <is>
          <t>Values must be of type &lt;class 'str'&gt;</t>
        </is>
      </c>
      <c r="N775" t="inlineStr">
        <is>
          <t>00000000</t>
        </is>
      </c>
      <c r="O775" t="n">
        <v/>
      </c>
      <c r="R775" t="b">
        <v>1</v>
      </c>
      <c r="S775" t="inlineStr">
        <is>
          <t>G000158</t>
        </is>
      </c>
      <c r="T775" t="inlineStr">
        <is>
          <t>Vertical</t>
        </is>
      </c>
      <c r="U775" t="n">
        <v>92</v>
      </c>
      <c r="V775" t="b">
        <v>1</v>
      </c>
      <c r="W775" t="inlineStr">
        <is>
          <t>ATF Fuel 2!E3:E94</t>
        </is>
      </c>
      <c r="X775">
        <f>R[0]C[-3]/R[-1]C[-3]-1</f>
        <v/>
      </c>
    </row>
    <row r="776">
      <c r="A776" t="inlineStr">
        <is>
          <t>ATF Fuel 2</t>
        </is>
      </c>
      <c r="B776" t="inlineStr">
        <is>
          <t>F45</t>
        </is>
      </c>
      <c r="C776" t="n">
        <v>45</v>
      </c>
      <c r="D776" t="n">
        <v>6</v>
      </c>
      <c r="E776" t="inlineStr">
        <is>
          <t>Input</t>
        </is>
      </c>
      <c r="F776" t="n">
        <v/>
      </c>
      <c r="G776" t="n">
        <v>105.76</v>
      </c>
      <c r="H776" t="inlineStr"/>
      <c r="I776" t="inlineStr">
        <is>
          <t>General</t>
        </is>
      </c>
      <c r="J776" t="b">
        <v>0</v>
      </c>
      <c r="K776" t="b">
        <v>0</v>
      </c>
      <c r="L776" t="n">
        <v>11</v>
      </c>
      <c r="M776" t="inlineStr">
        <is>
          <t>Values must be of type &lt;class 'str'&gt;</t>
        </is>
      </c>
      <c r="N776" t="inlineStr">
        <is>
          <t>00000000</t>
        </is>
      </c>
      <c r="O776" t="n">
        <v/>
      </c>
      <c r="R776" t="b">
        <v>1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</row>
    <row r="777">
      <c r="A777" t="inlineStr">
        <is>
          <t>ATF Fuel 2</t>
        </is>
      </c>
      <c r="B777" t="inlineStr">
        <is>
          <t>G45</t>
        </is>
      </c>
      <c r="C777" t="n">
        <v>45</v>
      </c>
      <c r="D777" t="n">
        <v>7</v>
      </c>
      <c r="E777" t="inlineStr">
        <is>
          <t>Output</t>
        </is>
      </c>
      <c r="F777" t="inlineStr">
        <is>
          <t>'=F45/F44-1</t>
        </is>
      </c>
      <c r="G777" t="n">
        <v>-0.02990277013392029</v>
      </c>
      <c r="H777" t="inlineStr"/>
      <c r="I777" t="inlineStr">
        <is>
          <t>0%</t>
        </is>
      </c>
      <c r="J777" t="b">
        <v>0</v>
      </c>
      <c r="K777" t="b">
        <v>0</v>
      </c>
      <c r="L777" t="n">
        <v>11</v>
      </c>
      <c r="M777" t="inlineStr">
        <is>
          <t>Values must be of type &lt;class 'str'&gt;</t>
        </is>
      </c>
      <c r="N777" t="inlineStr">
        <is>
          <t>00000000</t>
        </is>
      </c>
      <c r="O777" t="n">
        <v/>
      </c>
      <c r="R777" t="b">
        <v>1</v>
      </c>
      <c r="S777" t="inlineStr">
        <is>
          <t>G000155</t>
        </is>
      </c>
      <c r="T777" t="inlineStr">
        <is>
          <t>Vertical</t>
        </is>
      </c>
      <c r="U777" t="n">
        <v>93</v>
      </c>
      <c r="V777" t="b">
        <v>1</v>
      </c>
      <c r="W777" t="inlineStr">
        <is>
          <t>ATF Fuel 2!G3:G95</t>
        </is>
      </c>
      <c r="X777">
        <f>R[0]C[-1]/R[-1]C[-1]-1</f>
        <v/>
      </c>
    </row>
    <row r="778">
      <c r="A778" t="inlineStr">
        <is>
          <t>ATF Fuel 2</t>
        </is>
      </c>
      <c r="B778" t="inlineStr">
        <is>
          <t>H45</t>
        </is>
      </c>
      <c r="C778" t="n">
        <v>45</v>
      </c>
      <c r="D778" t="n">
        <v>8</v>
      </c>
      <c r="E778" t="inlineStr">
        <is>
          <t>Calculation</t>
        </is>
      </c>
      <c r="F778" t="inlineStr">
        <is>
          <t>'=D45*F45</t>
        </is>
      </c>
      <c r="G778" t="n">
        <v>6505.2976</v>
      </c>
      <c r="H778" t="inlineStr"/>
      <c r="I778" t="inlineStr">
        <is>
          <t>0</t>
        </is>
      </c>
      <c r="J778" t="b">
        <v>0</v>
      </c>
      <c r="K778" t="b">
        <v>0</v>
      </c>
      <c r="L778" t="n">
        <v>11</v>
      </c>
      <c r="M778" t="inlineStr">
        <is>
          <t>Values must be of type &lt;class 'str'&gt;</t>
        </is>
      </c>
      <c r="N778" t="inlineStr">
        <is>
          <t>00000000</t>
        </is>
      </c>
      <c r="O778" t="n">
        <v/>
      </c>
      <c r="R778" t="b">
        <v>1</v>
      </c>
      <c r="S778" t="inlineStr">
        <is>
          <t>G000152</t>
        </is>
      </c>
      <c r="T778" t="inlineStr">
        <is>
          <t>Vertical</t>
        </is>
      </c>
      <c r="U778" t="n">
        <v>98</v>
      </c>
      <c r="V778" t="b">
        <v>1</v>
      </c>
      <c r="W778" t="inlineStr">
        <is>
          <t>ATF Fuel 2!H2:H99</t>
        </is>
      </c>
      <c r="X778">
        <f>R[0]C[-4]*R[0]C[-2]</f>
        <v/>
      </c>
    </row>
    <row r="779">
      <c r="A779" t="inlineStr">
        <is>
          <t>ATF Fuel 2</t>
        </is>
      </c>
      <c r="B779" t="inlineStr">
        <is>
          <t>I45</t>
        </is>
      </c>
      <c r="C779" t="n">
        <v>45</v>
      </c>
      <c r="D779" t="n">
        <v>9</v>
      </c>
      <c r="E779" t="inlineStr">
        <is>
          <t>Output</t>
        </is>
      </c>
      <c r="F779" t="inlineStr">
        <is>
          <t>'=H45/H44-1</t>
        </is>
      </c>
      <c r="G779" t="n">
        <v>-0.04679423947184413</v>
      </c>
      <c r="H779" t="inlineStr"/>
      <c r="I779" t="inlineStr">
        <is>
          <t>0%</t>
        </is>
      </c>
      <c r="J779" t="b">
        <v>0</v>
      </c>
      <c r="K779" t="b">
        <v>0</v>
      </c>
      <c r="L779" t="n">
        <v>11</v>
      </c>
      <c r="M779" t="inlineStr">
        <is>
          <t>FFFF0000</t>
        </is>
      </c>
      <c r="N779" t="inlineStr">
        <is>
          <t>00000000</t>
        </is>
      </c>
      <c r="O779" t="n">
        <v/>
      </c>
      <c r="R779" t="b">
        <v>1</v>
      </c>
      <c r="S779" t="inlineStr">
        <is>
          <t>G000156</t>
        </is>
      </c>
      <c r="T779" t="inlineStr">
        <is>
          <t>Vertical</t>
        </is>
      </c>
      <c r="U779" t="n">
        <v>97</v>
      </c>
      <c r="V779" t="b">
        <v>1</v>
      </c>
      <c r="W779" t="inlineStr">
        <is>
          <t>ATF Fuel 2!I3:I99</t>
        </is>
      </c>
      <c r="X779">
        <f>R[0]C[-1]/R[-1]C[-1]-1</f>
        <v/>
      </c>
    </row>
    <row r="780">
      <c r="A780" t="inlineStr">
        <is>
          <t>ATF Fuel 2</t>
        </is>
      </c>
      <c r="B780" t="inlineStr">
        <is>
          <t>J45</t>
        </is>
      </c>
      <c r="C780" t="n">
        <v>45</v>
      </c>
      <c r="D780" t="n">
        <v>10</v>
      </c>
      <c r="E780" t="inlineStr">
        <is>
          <t>Input</t>
        </is>
      </c>
      <c r="F780" t="n">
        <v/>
      </c>
      <c r="G780" t="n">
        <v>94.56</v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11</v>
      </c>
      <c r="M780" t="inlineStr">
        <is>
          <t>Values must be of type &lt;class 'str'&gt;</t>
        </is>
      </c>
      <c r="N780" t="inlineStr">
        <is>
          <t>00000000</t>
        </is>
      </c>
      <c r="O780" t="n">
        <v/>
      </c>
      <c r="R780" t="b">
        <v>1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</row>
    <row r="781">
      <c r="A781" t="inlineStr">
        <is>
          <t>ATF Fuel 2</t>
        </is>
      </c>
      <c r="B781" t="inlineStr">
        <is>
          <t>K45</t>
        </is>
      </c>
      <c r="C781" t="n">
        <v>45</v>
      </c>
      <c r="D781" t="n">
        <v>11</v>
      </c>
      <c r="E781" t="inlineStr">
        <is>
          <t>Output</t>
        </is>
      </c>
      <c r="F781" t="inlineStr">
        <is>
          <t>'=J45/J44-1</t>
        </is>
      </c>
      <c r="G781" t="n">
        <v>-0.07375844842785784</v>
      </c>
      <c r="H781" t="inlineStr"/>
      <c r="I781" t="inlineStr">
        <is>
          <t>0%</t>
        </is>
      </c>
      <c r="J781" t="b">
        <v>0</v>
      </c>
      <c r="K781" t="b">
        <v>0</v>
      </c>
      <c r="L781" t="n">
        <v>11</v>
      </c>
      <c r="M781" t="inlineStr">
        <is>
          <t>Values must be of type &lt;class 'str'&gt;</t>
        </is>
      </c>
      <c r="N781" t="inlineStr">
        <is>
          <t>00000000</t>
        </is>
      </c>
      <c r="O781" t="n">
        <v/>
      </c>
      <c r="R781" t="b">
        <v>1</v>
      </c>
      <c r="S781" t="inlineStr">
        <is>
          <t>G000157</t>
        </is>
      </c>
      <c r="T781" t="inlineStr">
        <is>
          <t>Vertical</t>
        </is>
      </c>
      <c r="U781" t="n">
        <v>93</v>
      </c>
      <c r="V781" t="b">
        <v>1</v>
      </c>
      <c r="W781" t="inlineStr">
        <is>
          <t>ATF Fuel 2!K3:K95</t>
        </is>
      </c>
      <c r="X781">
        <f>R[0]C[-1]/R[-1]C[-1]-1</f>
        <v/>
      </c>
    </row>
    <row r="782">
      <c r="A782" t="inlineStr">
        <is>
          <t>ATF Fuel 2</t>
        </is>
      </c>
      <c r="B782" t="inlineStr">
        <is>
          <t>L45</t>
        </is>
      </c>
      <c r="C782" t="n">
        <v>45</v>
      </c>
      <c r="D782" t="n">
        <v>12</v>
      </c>
      <c r="E782" t="inlineStr">
        <is>
          <t>Input</t>
        </is>
      </c>
      <c r="F782" t="n">
        <v/>
      </c>
      <c r="G782" t="inlineStr">
        <is>
          <t>November 01, 2013</t>
        </is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11</v>
      </c>
      <c r="M782" t="inlineStr">
        <is>
          <t>Values must be of type &lt;class 'str'&gt;</t>
        </is>
      </c>
      <c r="N782" t="inlineStr">
        <is>
          <t>00000000</t>
        </is>
      </c>
      <c r="O782" t="inlineStr">
        <is>
          <t>left</t>
        </is>
      </c>
      <c r="R782" t="b">
        <v>1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</row>
    <row r="783">
      <c r="A783" t="inlineStr">
        <is>
          <t>ATF Fuel 2</t>
        </is>
      </c>
      <c r="B783" t="inlineStr">
        <is>
          <t>M45</t>
        </is>
      </c>
      <c r="C783" t="n">
        <v>45</v>
      </c>
      <c r="D783" t="n">
        <v>13</v>
      </c>
      <c r="E783" t="inlineStr">
        <is>
          <t>Calculation</t>
        </is>
      </c>
      <c r="F783" t="inlineStr">
        <is>
          <t>'=(1+(B45/B44)-1)*M44</t>
        </is>
      </c>
      <c r="G783" t="n">
        <v>176.7915764919603</v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11</v>
      </c>
      <c r="M783" t="inlineStr">
        <is>
          <t>Values must be of type &lt;class 'str'&gt;</t>
        </is>
      </c>
      <c r="N783" t="inlineStr">
        <is>
          <t>00000000</t>
        </is>
      </c>
      <c r="O783" t="inlineStr">
        <is>
          <t>left</t>
        </is>
      </c>
      <c r="R783" t="b">
        <v>1</v>
      </c>
      <c r="S783" t="inlineStr">
        <is>
          <t>G000159</t>
        </is>
      </c>
      <c r="T783" t="inlineStr">
        <is>
          <t>Vertical</t>
        </is>
      </c>
      <c r="U783" t="n">
        <v>92</v>
      </c>
      <c r="V783" t="b">
        <v>1</v>
      </c>
      <c r="W783" t="inlineStr">
        <is>
          <t>ATF Fuel 2!M3:M94</t>
        </is>
      </c>
      <c r="X783">
        <f>(1+(R[0]C[-11]/R[-1]C[-11])-1)*R[-1]C[0]</f>
        <v/>
      </c>
    </row>
    <row r="784">
      <c r="A784" t="inlineStr">
        <is>
          <t>ATF Fuel 2</t>
        </is>
      </c>
      <c r="B784" t="inlineStr">
        <is>
          <t>N45</t>
        </is>
      </c>
      <c r="C784" t="n">
        <v>45</v>
      </c>
      <c r="D784" t="n">
        <v>14</v>
      </c>
      <c r="E784" t="inlineStr">
        <is>
          <t>Calculation</t>
        </is>
      </c>
      <c r="F784" t="inlineStr">
        <is>
          <t>'=(1+(F45/F44)-1)*N44</t>
        </is>
      </c>
      <c r="G784" t="n">
        <v>127.9922546290695</v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11</v>
      </c>
      <c r="M784" t="inlineStr">
        <is>
          <t>Values must be of type &lt;class 'str'&gt;</t>
        </is>
      </c>
      <c r="N784" t="inlineStr">
        <is>
          <t>00000000</t>
        </is>
      </c>
      <c r="O784" t="inlineStr">
        <is>
          <t>left</t>
        </is>
      </c>
      <c r="R784" t="b">
        <v>1</v>
      </c>
      <c r="S784" t="inlineStr">
        <is>
          <t>G000160</t>
        </is>
      </c>
      <c r="T784" t="inlineStr">
        <is>
          <t>Vertical</t>
        </is>
      </c>
      <c r="U784" t="n">
        <v>92</v>
      </c>
      <c r="V784" t="b">
        <v>1</v>
      </c>
      <c r="W784" t="inlineStr">
        <is>
          <t>ATF Fuel 2!N3:N94</t>
        </is>
      </c>
      <c r="X784">
        <f>(1+(R[0]C[-8]/R[-1]C[-8])-1)*R[-1]C[0]</f>
        <v/>
      </c>
    </row>
    <row r="785">
      <c r="A785" t="inlineStr">
        <is>
          <t>ATF Fuel 2</t>
        </is>
      </c>
      <c r="B785" t="inlineStr">
        <is>
          <t>O45</t>
        </is>
      </c>
      <c r="C785" t="n">
        <v>45</v>
      </c>
      <c r="D785" t="n">
        <v>15</v>
      </c>
      <c r="E785" t="inlineStr">
        <is>
          <t>Calculation</t>
        </is>
      </c>
      <c r="F785" t="inlineStr">
        <is>
          <t>'=(1+(J45/J44)-1)*O44</t>
        </is>
      </c>
      <c r="G785" t="n">
        <v>111.8656098426594</v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11</v>
      </c>
      <c r="M785" t="inlineStr">
        <is>
          <t>Values must be of type &lt;class 'str'&gt;</t>
        </is>
      </c>
      <c r="N785" t="inlineStr">
        <is>
          <t>00000000</t>
        </is>
      </c>
      <c r="O785" t="inlineStr">
        <is>
          <t>left</t>
        </is>
      </c>
      <c r="R785" t="b">
        <v>1</v>
      </c>
      <c r="S785" t="inlineStr">
        <is>
          <t>G000162</t>
        </is>
      </c>
      <c r="T785" t="inlineStr">
        <is>
          <t>Vertical</t>
        </is>
      </c>
      <c r="U785" t="n">
        <v>92</v>
      </c>
      <c r="V785" t="b">
        <v>1</v>
      </c>
      <c r="W785" t="inlineStr">
        <is>
          <t>ATF Fuel 2!O3:O94</t>
        </is>
      </c>
      <c r="X785">
        <f>(1+(R[0]C[-5]/R[-1]C[-5])-1)*R[-1]C[0]</f>
        <v/>
      </c>
    </row>
    <row r="786">
      <c r="A786" t="inlineStr">
        <is>
          <t>ATF Fuel 2</t>
        </is>
      </c>
      <c r="B786" t="inlineStr">
        <is>
          <t>P45</t>
        </is>
      </c>
      <c r="C786" t="n">
        <v>45</v>
      </c>
      <c r="D786" t="n">
        <v>16</v>
      </c>
      <c r="E786" t="inlineStr">
        <is>
          <t>Calculation</t>
        </is>
      </c>
      <c r="F786" t="inlineStr">
        <is>
          <t>'=(1+(H45/H44)-1)*P44</t>
        </is>
      </c>
      <c r="G786" t="n">
        <v>175.8892668059441</v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11</v>
      </c>
      <c r="M786" t="inlineStr">
        <is>
          <t>Values must be of type &lt;class 'str'&gt;</t>
        </is>
      </c>
      <c r="N786" t="inlineStr">
        <is>
          <t>00000000</t>
        </is>
      </c>
      <c r="O786" t="inlineStr">
        <is>
          <t>left</t>
        </is>
      </c>
      <c r="R786" t="b">
        <v>1</v>
      </c>
      <c r="S786" t="inlineStr">
        <is>
          <t>G000161</t>
        </is>
      </c>
      <c r="T786" t="inlineStr">
        <is>
          <t>Vertical</t>
        </is>
      </c>
      <c r="U786" t="n">
        <v>92</v>
      </c>
      <c r="V786" t="b">
        <v>1</v>
      </c>
      <c r="W786" t="inlineStr">
        <is>
          <t>ATF Fuel 2!P3:P94</t>
        </is>
      </c>
      <c r="X786">
        <f>(1+(R[0]C[-8]/R[-1]C[-8])-1)*R[-1]C[0]</f>
        <v/>
      </c>
    </row>
    <row r="787">
      <c r="A787" t="inlineStr">
        <is>
          <t>ATF Fuel 2</t>
        </is>
      </c>
      <c r="B787" t="inlineStr">
        <is>
          <t>Q45</t>
        </is>
      </c>
      <c r="C787" t="n">
        <v>45</v>
      </c>
      <c r="D787" t="n">
        <v>17</v>
      </c>
      <c r="E787" t="inlineStr">
        <is>
          <t>Output</t>
        </is>
      </c>
      <c r="F787" t="inlineStr">
        <is>
          <t>'=M45/N45-1</t>
        </is>
      </c>
      <c r="G787" t="n">
        <v>0.3812677728376199</v>
      </c>
      <c r="H787" t="inlineStr"/>
      <c r="I787" t="inlineStr">
        <is>
          <t>0.0%</t>
        </is>
      </c>
      <c r="J787" t="b">
        <v>0</v>
      </c>
      <c r="K787" t="b">
        <v>0</v>
      </c>
      <c r="L787" t="n">
        <v>11</v>
      </c>
      <c r="M787" t="inlineStr">
        <is>
          <t>Values must be of type &lt;class 'str'&gt;</t>
        </is>
      </c>
      <c r="N787" t="inlineStr">
        <is>
          <t>00000000</t>
        </is>
      </c>
      <c r="O787" t="n">
        <v/>
      </c>
      <c r="R787" t="b">
        <v>1</v>
      </c>
      <c r="S787" t="inlineStr">
        <is>
          <t>G000153</t>
        </is>
      </c>
      <c r="T787" t="inlineStr">
        <is>
          <t>Vertical</t>
        </is>
      </c>
      <c r="U787" t="n">
        <v>93</v>
      </c>
      <c r="V787" t="b">
        <v>1</v>
      </c>
      <c r="W787" t="inlineStr">
        <is>
          <t>ATF Fuel 2!Q2:Q94</t>
        </is>
      </c>
      <c r="X787">
        <f>R[0]C[-4]/R[0]C[-3]-1</f>
        <v/>
      </c>
    </row>
    <row r="788">
      <c r="A788" t="inlineStr">
        <is>
          <t>ATF Fuel 2</t>
        </is>
      </c>
      <c r="B788" t="inlineStr">
        <is>
          <t>A46</t>
        </is>
      </c>
      <c r="C788" t="n">
        <v>46</v>
      </c>
      <c r="D788" t="n">
        <v>1</v>
      </c>
      <c r="E788" t="inlineStr">
        <is>
          <t>Input</t>
        </is>
      </c>
      <c r="F788" t="n">
        <v/>
      </c>
      <c r="G788" t="inlineStr">
        <is>
          <t>December 01, 2013</t>
        </is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11</v>
      </c>
      <c r="M788" t="inlineStr">
        <is>
          <t>Values must be of type &lt;class 'str'&gt;</t>
        </is>
      </c>
      <c r="N788" t="inlineStr">
        <is>
          <t>00000000</t>
        </is>
      </c>
      <c r="O788" t="n">
        <v/>
      </c>
      <c r="R788" t="b">
        <v>1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</row>
    <row r="789">
      <c r="A789" t="inlineStr">
        <is>
          <t>ATF Fuel 2</t>
        </is>
      </c>
      <c r="B789" t="inlineStr">
        <is>
          <t>B46</t>
        </is>
      </c>
      <c r="C789" t="n">
        <v>46</v>
      </c>
      <c r="D789" t="n">
        <v>2</v>
      </c>
      <c r="E789" t="inlineStr">
        <is>
          <t>Input</t>
        </is>
      </c>
      <c r="F789" t="n">
        <v/>
      </c>
      <c r="G789" t="n">
        <v>79031.935</v>
      </c>
      <c r="H789" t="inlineStr"/>
      <c r="I789" t="inlineStr">
        <is>
          <t>General</t>
        </is>
      </c>
      <c r="J789" t="b">
        <v>0</v>
      </c>
      <c r="K789" t="b">
        <v>0</v>
      </c>
      <c r="L789" t="n">
        <v>11</v>
      </c>
      <c r="M789" t="inlineStr">
        <is>
          <t>Values must be of type &lt;class 'str'&gt;</t>
        </is>
      </c>
      <c r="N789" t="inlineStr">
        <is>
          <t>00000000</t>
        </is>
      </c>
      <c r="O789" t="n">
        <v/>
      </c>
      <c r="R789" t="b">
        <v>1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</row>
    <row r="790">
      <c r="A790" t="inlineStr">
        <is>
          <t>ATF Fuel 2</t>
        </is>
      </c>
      <c r="B790" t="inlineStr">
        <is>
          <t>C46</t>
        </is>
      </c>
      <c r="C790" t="n">
        <v>46</v>
      </c>
      <c r="D790" t="n">
        <v>3</v>
      </c>
      <c r="E790" t="inlineStr">
        <is>
          <t>Output</t>
        </is>
      </c>
      <c r="F790" t="inlineStr">
        <is>
          <t>'=B46/B45-1</t>
        </is>
      </c>
      <c r="G790" t="n">
        <v>0.007701401783777762</v>
      </c>
      <c r="H790" t="inlineStr"/>
      <c r="I790" t="inlineStr">
        <is>
          <t>0%</t>
        </is>
      </c>
      <c r="J790" t="b">
        <v>0</v>
      </c>
      <c r="K790" t="b">
        <v>0</v>
      </c>
      <c r="L790" t="n">
        <v>11</v>
      </c>
      <c r="M790" t="n">
        <v/>
      </c>
      <c r="N790" t="inlineStr">
        <is>
          <t>00000000</t>
        </is>
      </c>
      <c r="O790" t="n">
        <v/>
      </c>
      <c r="R790" t="b">
        <v>1</v>
      </c>
      <c r="S790" t="inlineStr">
        <is>
          <t>G000154</t>
        </is>
      </c>
      <c r="T790" t="inlineStr">
        <is>
          <t>Vertical</t>
        </is>
      </c>
      <c r="U790" t="n">
        <v>92</v>
      </c>
      <c r="V790" t="b">
        <v>1</v>
      </c>
      <c r="W790" t="inlineStr">
        <is>
          <t>ATF Fuel 2!C3:C94</t>
        </is>
      </c>
      <c r="X790">
        <f>R[0]C[-1]/R[-1]C[-1]-1</f>
        <v/>
      </c>
    </row>
    <row r="791">
      <c r="A791" t="inlineStr">
        <is>
          <t>ATF Fuel 2</t>
        </is>
      </c>
      <c r="B791" t="inlineStr">
        <is>
          <t>D46</t>
        </is>
      </c>
      <c r="C791" t="n">
        <v>46</v>
      </c>
      <c r="D791" t="n">
        <v>4</v>
      </c>
      <c r="E791" t="inlineStr">
        <is>
          <t>Input</t>
        </is>
      </c>
      <c r="F791" t="n">
        <v/>
      </c>
      <c r="G791" t="n">
        <v>62.35</v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11</v>
      </c>
      <c r="M791" t="inlineStr">
        <is>
          <t>Values must be of type &lt;class 'str'&gt;</t>
        </is>
      </c>
      <c r="N791" t="inlineStr">
        <is>
          <t>00000000</t>
        </is>
      </c>
      <c r="O791" t="n">
        <v/>
      </c>
      <c r="R791" t="b">
        <v>1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</row>
    <row r="792">
      <c r="A792" t="inlineStr">
        <is>
          <t>ATF Fuel 2</t>
        </is>
      </c>
      <c r="B792" t="inlineStr">
        <is>
          <t>E46</t>
        </is>
      </c>
      <c r="C792" t="n">
        <v>46</v>
      </c>
      <c r="D792" t="n">
        <v>5</v>
      </c>
      <c r="E792" t="inlineStr">
        <is>
          <t>Output</t>
        </is>
      </c>
      <c r="F792" t="inlineStr">
        <is>
          <t>'=B46/B45-1</t>
        </is>
      </c>
      <c r="G792" t="n">
        <v>0.007701401783777762</v>
      </c>
      <c r="H792" t="inlineStr"/>
      <c r="I792" t="inlineStr">
        <is>
          <t>0%</t>
        </is>
      </c>
      <c r="J792" t="b">
        <v>0</v>
      </c>
      <c r="K792" t="b">
        <v>0</v>
      </c>
      <c r="L792" t="n">
        <v>11</v>
      </c>
      <c r="M792" t="inlineStr">
        <is>
          <t>Values must be of type &lt;class 'str'&gt;</t>
        </is>
      </c>
      <c r="N792" t="inlineStr">
        <is>
          <t>00000000</t>
        </is>
      </c>
      <c r="O792" t="n">
        <v/>
      </c>
      <c r="R792" t="b">
        <v>1</v>
      </c>
      <c r="S792" t="inlineStr">
        <is>
          <t>G000158</t>
        </is>
      </c>
      <c r="T792" t="inlineStr">
        <is>
          <t>Vertical</t>
        </is>
      </c>
      <c r="U792" t="n">
        <v>92</v>
      </c>
      <c r="V792" t="b">
        <v>1</v>
      </c>
      <c r="W792" t="inlineStr">
        <is>
          <t>ATF Fuel 2!E3:E94</t>
        </is>
      </c>
      <c r="X792">
        <f>R[0]C[-3]/R[-1]C[-3]-1</f>
        <v/>
      </c>
    </row>
    <row r="793">
      <c r="A793" t="inlineStr">
        <is>
          <t>ATF Fuel 2</t>
        </is>
      </c>
      <c r="B793" t="inlineStr">
        <is>
          <t>F46</t>
        </is>
      </c>
      <c r="C793" t="n">
        <v>46</v>
      </c>
      <c r="D793" t="n">
        <v>6</v>
      </c>
      <c r="E793" t="inlineStr">
        <is>
          <t>Input</t>
        </is>
      </c>
      <c r="F793" t="n">
        <v/>
      </c>
      <c r="G793" t="n">
        <v>108.91</v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11</v>
      </c>
      <c r="M793" t="inlineStr">
        <is>
          <t>Values must be of type &lt;class 'str'&gt;</t>
        </is>
      </c>
      <c r="N793" t="inlineStr">
        <is>
          <t>00000000</t>
        </is>
      </c>
      <c r="O793" t="n">
        <v/>
      </c>
      <c r="R793" t="b">
        <v>1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</row>
    <row r="794">
      <c r="A794" t="inlineStr">
        <is>
          <t>ATF Fuel 2</t>
        </is>
      </c>
      <c r="B794" t="inlineStr">
        <is>
          <t>G46</t>
        </is>
      </c>
      <c r="C794" t="n">
        <v>46</v>
      </c>
      <c r="D794" t="n">
        <v>7</v>
      </c>
      <c r="E794" t="inlineStr">
        <is>
          <t>Output</t>
        </is>
      </c>
      <c r="F794" t="inlineStr">
        <is>
          <t>'=F46/F45-1</t>
        </is>
      </c>
      <c r="G794" t="n">
        <v>0.02978441754916794</v>
      </c>
      <c r="H794" t="inlineStr"/>
      <c r="I794" t="inlineStr">
        <is>
          <t>0%</t>
        </is>
      </c>
      <c r="J794" t="b">
        <v>0</v>
      </c>
      <c r="K794" t="b">
        <v>0</v>
      </c>
      <c r="L794" t="n">
        <v>11</v>
      </c>
      <c r="M794" t="inlineStr">
        <is>
          <t>Values must be of type &lt;class 'str'&gt;</t>
        </is>
      </c>
      <c r="N794" t="inlineStr">
        <is>
          <t>00000000</t>
        </is>
      </c>
      <c r="O794" t="n">
        <v/>
      </c>
      <c r="R794" t="b">
        <v>1</v>
      </c>
      <c r="S794" t="inlineStr">
        <is>
          <t>G000155</t>
        </is>
      </c>
      <c r="T794" t="inlineStr">
        <is>
          <t>Vertical</t>
        </is>
      </c>
      <c r="U794" t="n">
        <v>93</v>
      </c>
      <c r="V794" t="b">
        <v>1</v>
      </c>
      <c r="W794" t="inlineStr">
        <is>
          <t>ATF Fuel 2!G3:G95</t>
        </is>
      </c>
      <c r="X794">
        <f>R[0]C[-1]/R[-1]C[-1]-1</f>
        <v/>
      </c>
    </row>
    <row r="795">
      <c r="A795" t="inlineStr">
        <is>
          <t>ATF Fuel 2</t>
        </is>
      </c>
      <c r="B795" t="inlineStr">
        <is>
          <t>H46</t>
        </is>
      </c>
      <c r="C795" t="n">
        <v>46</v>
      </c>
      <c r="D795" t="n">
        <v>8</v>
      </c>
      <c r="E795" t="inlineStr">
        <is>
          <t>Calculation</t>
        </is>
      </c>
      <c r="F795" t="inlineStr">
        <is>
          <t>'=D46*F46</t>
        </is>
      </c>
      <c r="G795" t="n">
        <v>6790.5385</v>
      </c>
      <c r="H795" t="inlineStr"/>
      <c r="I795" t="inlineStr">
        <is>
          <t>0</t>
        </is>
      </c>
      <c r="J795" t="b">
        <v>0</v>
      </c>
      <c r="K795" t="b">
        <v>0</v>
      </c>
      <c r="L795" t="n">
        <v>11</v>
      </c>
      <c r="M795" t="inlineStr">
        <is>
          <t>Values must be of type &lt;class 'str'&gt;</t>
        </is>
      </c>
      <c r="N795" t="inlineStr">
        <is>
          <t>00000000</t>
        </is>
      </c>
      <c r="O795" t="n">
        <v/>
      </c>
      <c r="R795" t="b">
        <v>1</v>
      </c>
      <c r="S795" t="inlineStr">
        <is>
          <t>G000152</t>
        </is>
      </c>
      <c r="T795" t="inlineStr">
        <is>
          <t>Vertical</t>
        </is>
      </c>
      <c r="U795" t="n">
        <v>98</v>
      </c>
      <c r="V795" t="b">
        <v>1</v>
      </c>
      <c r="W795" t="inlineStr">
        <is>
          <t>ATF Fuel 2!H2:H99</t>
        </is>
      </c>
      <c r="X795">
        <f>R[0]C[-4]*R[0]C[-2]</f>
        <v/>
      </c>
    </row>
    <row r="796">
      <c r="A796" t="inlineStr">
        <is>
          <t>ATF Fuel 2</t>
        </is>
      </c>
      <c r="B796" t="inlineStr">
        <is>
          <t>I46</t>
        </is>
      </c>
      <c r="C796" t="n">
        <v>46</v>
      </c>
      <c r="D796" t="n">
        <v>9</v>
      </c>
      <c r="E796" t="inlineStr">
        <is>
          <t>Output</t>
        </is>
      </c>
      <c r="F796" t="inlineStr">
        <is>
          <t>'=H46/H45-1</t>
        </is>
      </c>
      <c r="G796" t="n">
        <v>0.04384747901464192</v>
      </c>
      <c r="H796" t="inlineStr"/>
      <c r="I796" t="inlineStr">
        <is>
          <t>0%</t>
        </is>
      </c>
      <c r="J796" t="b">
        <v>0</v>
      </c>
      <c r="K796" t="b">
        <v>0</v>
      </c>
      <c r="L796" t="n">
        <v>11</v>
      </c>
      <c r="M796" t="inlineStr">
        <is>
          <t>FFFF0000</t>
        </is>
      </c>
      <c r="N796" t="inlineStr">
        <is>
          <t>00000000</t>
        </is>
      </c>
      <c r="O796" t="n">
        <v/>
      </c>
      <c r="R796" t="b">
        <v>1</v>
      </c>
      <c r="S796" t="inlineStr">
        <is>
          <t>G000156</t>
        </is>
      </c>
      <c r="T796" t="inlineStr">
        <is>
          <t>Vertical</t>
        </is>
      </c>
      <c r="U796" t="n">
        <v>97</v>
      </c>
      <c r="V796" t="b">
        <v>1</v>
      </c>
      <c r="W796" t="inlineStr">
        <is>
          <t>ATF Fuel 2!I3:I99</t>
        </is>
      </c>
      <c r="X796">
        <f>R[0]C[-1]/R[-1]C[-1]-1</f>
        <v/>
      </c>
    </row>
    <row r="797">
      <c r="A797" t="inlineStr">
        <is>
          <t>ATF Fuel 2</t>
        </is>
      </c>
      <c r="B797" t="inlineStr">
        <is>
          <t>J46</t>
        </is>
      </c>
      <c r="C797" t="n">
        <v>46</v>
      </c>
      <c r="D797" t="n">
        <v>10</v>
      </c>
      <c r="E797" t="inlineStr">
        <is>
          <t>Input</t>
        </is>
      </c>
      <c r="F797" t="n">
        <v/>
      </c>
      <c r="G797" t="n">
        <v>93.61</v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11</v>
      </c>
      <c r="M797" t="inlineStr">
        <is>
          <t>Values must be of type &lt;class 'str'&gt;</t>
        </is>
      </c>
      <c r="N797" t="inlineStr">
        <is>
          <t>00000000</t>
        </is>
      </c>
      <c r="O797" t="n">
        <v/>
      </c>
      <c r="R797" t="b">
        <v>1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</row>
    <row r="798">
      <c r="A798" t="inlineStr">
        <is>
          <t>ATF Fuel 2</t>
        </is>
      </c>
      <c r="B798" t="inlineStr">
        <is>
          <t>K46</t>
        </is>
      </c>
      <c r="C798" t="n">
        <v>46</v>
      </c>
      <c r="D798" t="n">
        <v>11</v>
      </c>
      <c r="E798" t="inlineStr">
        <is>
          <t>Output</t>
        </is>
      </c>
      <c r="F798" t="inlineStr">
        <is>
          <t>'=J46/J45-1</t>
        </is>
      </c>
      <c r="G798" t="n">
        <v>-0.01004653130287647</v>
      </c>
      <c r="H798" t="inlineStr"/>
      <c r="I798" t="inlineStr">
        <is>
          <t>0%</t>
        </is>
      </c>
      <c r="J798" t="b">
        <v>0</v>
      </c>
      <c r="K798" t="b">
        <v>0</v>
      </c>
      <c r="L798" t="n">
        <v>11</v>
      </c>
      <c r="M798" t="inlineStr">
        <is>
          <t>Values must be of type &lt;class 'str'&gt;</t>
        </is>
      </c>
      <c r="N798" t="inlineStr">
        <is>
          <t>00000000</t>
        </is>
      </c>
      <c r="O798" t="n">
        <v/>
      </c>
      <c r="R798" t="b">
        <v>1</v>
      </c>
      <c r="S798" t="inlineStr">
        <is>
          <t>G000157</t>
        </is>
      </c>
      <c r="T798" t="inlineStr">
        <is>
          <t>Vertical</t>
        </is>
      </c>
      <c r="U798" t="n">
        <v>93</v>
      </c>
      <c r="V798" t="b">
        <v>1</v>
      </c>
      <c r="W798" t="inlineStr">
        <is>
          <t>ATF Fuel 2!K3:K95</t>
        </is>
      </c>
      <c r="X798">
        <f>R[0]C[-1]/R[-1]C[-1]-1</f>
        <v/>
      </c>
    </row>
    <row r="799">
      <c r="A799" t="inlineStr">
        <is>
          <t>ATF Fuel 2</t>
        </is>
      </c>
      <c r="B799" t="inlineStr">
        <is>
          <t>L46</t>
        </is>
      </c>
      <c r="C799" t="n">
        <v>46</v>
      </c>
      <c r="D799" t="n">
        <v>12</v>
      </c>
      <c r="E799" t="inlineStr">
        <is>
          <t>Input</t>
        </is>
      </c>
      <c r="F799" t="n">
        <v/>
      </c>
      <c r="G799" t="inlineStr">
        <is>
          <t>December 01, 2013</t>
        </is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11</v>
      </c>
      <c r="M799" t="inlineStr">
        <is>
          <t>Values must be of type &lt;class 'str'&gt;</t>
        </is>
      </c>
      <c r="N799" t="inlineStr">
        <is>
          <t>00000000</t>
        </is>
      </c>
      <c r="O799" t="inlineStr">
        <is>
          <t>left</t>
        </is>
      </c>
      <c r="R799" t="b">
        <v>1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</row>
    <row r="800">
      <c r="A800" t="inlineStr">
        <is>
          <t>ATF Fuel 2</t>
        </is>
      </c>
      <c r="B800" t="inlineStr">
        <is>
          <t>M46</t>
        </is>
      </c>
      <c r="C800" t="n">
        <v>46</v>
      </c>
      <c r="D800" t="n">
        <v>13</v>
      </c>
      <c r="E800" t="inlineStr">
        <is>
          <t>Calculation</t>
        </is>
      </c>
      <c r="F800" t="inlineStr">
        <is>
          <t>'=(1+(B46/B45)-1)*M45</t>
        </is>
      </c>
      <c r="G800" t="n">
        <v>178.1531194545124</v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11</v>
      </c>
      <c r="M800" t="inlineStr">
        <is>
          <t>Values must be of type &lt;class 'str'&gt;</t>
        </is>
      </c>
      <c r="N800" t="inlineStr">
        <is>
          <t>00000000</t>
        </is>
      </c>
      <c r="O800" t="inlineStr">
        <is>
          <t>left</t>
        </is>
      </c>
      <c r="R800" t="b">
        <v>1</v>
      </c>
      <c r="S800" t="inlineStr">
        <is>
          <t>G000159</t>
        </is>
      </c>
      <c r="T800" t="inlineStr">
        <is>
          <t>Vertical</t>
        </is>
      </c>
      <c r="U800" t="n">
        <v>92</v>
      </c>
      <c r="V800" t="b">
        <v>1</v>
      </c>
      <c r="W800" t="inlineStr">
        <is>
          <t>ATF Fuel 2!M3:M94</t>
        </is>
      </c>
      <c r="X800">
        <f>(1+(R[0]C[-11]/R[-1]C[-11])-1)*R[-1]C[0]</f>
        <v/>
      </c>
    </row>
    <row r="801">
      <c r="A801" t="inlineStr">
        <is>
          <t>ATF Fuel 2</t>
        </is>
      </c>
      <c r="B801" t="inlineStr">
        <is>
          <t>N46</t>
        </is>
      </c>
      <c r="C801" t="n">
        <v>46</v>
      </c>
      <c r="D801" t="n">
        <v>14</v>
      </c>
      <c r="E801" t="inlineStr">
        <is>
          <t>Calculation</t>
        </is>
      </c>
      <c r="F801" t="inlineStr">
        <is>
          <t>'=(1+(F46/F45)-1)*N45</t>
        </is>
      </c>
      <c r="G801" t="n">
        <v>131.8044293840011</v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11</v>
      </c>
      <c r="M801" t="inlineStr">
        <is>
          <t>Values must be of type &lt;class 'str'&gt;</t>
        </is>
      </c>
      <c r="N801" t="inlineStr">
        <is>
          <t>00000000</t>
        </is>
      </c>
      <c r="O801" t="inlineStr">
        <is>
          <t>left</t>
        </is>
      </c>
      <c r="R801" t="b">
        <v>1</v>
      </c>
      <c r="S801" t="inlineStr">
        <is>
          <t>G000160</t>
        </is>
      </c>
      <c r="T801" t="inlineStr">
        <is>
          <t>Vertical</t>
        </is>
      </c>
      <c r="U801" t="n">
        <v>92</v>
      </c>
      <c r="V801" t="b">
        <v>1</v>
      </c>
      <c r="W801" t="inlineStr">
        <is>
          <t>ATF Fuel 2!N3:N94</t>
        </is>
      </c>
      <c r="X801">
        <f>(1+(R[0]C[-8]/R[-1]C[-8])-1)*R[-1]C[0]</f>
        <v/>
      </c>
    </row>
    <row r="802">
      <c r="A802" t="inlineStr">
        <is>
          <t>ATF Fuel 2</t>
        </is>
      </c>
      <c r="B802" t="inlineStr">
        <is>
          <t>O46</t>
        </is>
      </c>
      <c r="C802" t="n">
        <v>46</v>
      </c>
      <c r="D802" t="n">
        <v>15</v>
      </c>
      <c r="E802" t="inlineStr">
        <is>
          <t>Calculation</t>
        </is>
      </c>
      <c r="F802" t="inlineStr">
        <is>
          <t>'=(1+(J46/J45)-1)*O45</t>
        </is>
      </c>
      <c r="G802" t="n">
        <v>110.7417484916598</v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11</v>
      </c>
      <c r="M802" t="inlineStr">
        <is>
          <t>Values must be of type &lt;class 'str'&gt;</t>
        </is>
      </c>
      <c r="N802" t="inlineStr">
        <is>
          <t>00000000</t>
        </is>
      </c>
      <c r="O802" t="inlineStr">
        <is>
          <t>left</t>
        </is>
      </c>
      <c r="R802" t="b">
        <v>1</v>
      </c>
      <c r="S802" t="inlineStr">
        <is>
          <t>G000162</t>
        </is>
      </c>
      <c r="T802" t="inlineStr">
        <is>
          <t>Vertical</t>
        </is>
      </c>
      <c r="U802" t="n">
        <v>92</v>
      </c>
      <c r="V802" t="b">
        <v>1</v>
      </c>
      <c r="W802" t="inlineStr">
        <is>
          <t>ATF Fuel 2!O3:O94</t>
        </is>
      </c>
      <c r="X802">
        <f>(1+(R[0]C[-5]/R[-1]C[-5])-1)*R[-1]C[0]</f>
        <v/>
      </c>
    </row>
    <row r="803">
      <c r="A803" t="inlineStr">
        <is>
          <t>ATF Fuel 2</t>
        </is>
      </c>
      <c r="B803" t="inlineStr">
        <is>
          <t>P46</t>
        </is>
      </c>
      <c r="C803" t="n">
        <v>46</v>
      </c>
      <c r="D803" t="n">
        <v>16</v>
      </c>
      <c r="E803" t="inlineStr">
        <is>
          <t>Calculation</t>
        </is>
      </c>
      <c r="F803" t="inlineStr">
        <is>
          <t>'=(1+(H46/H45)-1)*P45</t>
        </is>
      </c>
      <c r="G803" t="n">
        <v>183.6015677411184</v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11</v>
      </c>
      <c r="M803" t="inlineStr">
        <is>
          <t>Values must be of type &lt;class 'str'&gt;</t>
        </is>
      </c>
      <c r="N803" t="inlineStr">
        <is>
          <t>00000000</t>
        </is>
      </c>
      <c r="O803" t="inlineStr">
        <is>
          <t>left</t>
        </is>
      </c>
      <c r="R803" t="b">
        <v>1</v>
      </c>
      <c r="S803" t="inlineStr">
        <is>
          <t>G000161</t>
        </is>
      </c>
      <c r="T803" t="inlineStr">
        <is>
          <t>Vertical</t>
        </is>
      </c>
      <c r="U803" t="n">
        <v>92</v>
      </c>
      <c r="V803" t="b">
        <v>1</v>
      </c>
      <c r="W803" t="inlineStr">
        <is>
          <t>ATF Fuel 2!P3:P94</t>
        </is>
      </c>
      <c r="X803">
        <f>(1+(R[0]C[-8]/R[-1]C[-8])-1)*R[-1]C[0]</f>
        <v/>
      </c>
    </row>
    <row r="804">
      <c r="A804" t="inlineStr">
        <is>
          <t>ATF Fuel 2</t>
        </is>
      </c>
      <c r="B804" t="inlineStr">
        <is>
          <t>Q46</t>
        </is>
      </c>
      <c r="C804" t="n">
        <v>46</v>
      </c>
      <c r="D804" t="n">
        <v>17</v>
      </c>
      <c r="E804" t="inlineStr">
        <is>
          <t>Output</t>
        </is>
      </c>
      <c r="F804" t="inlineStr">
        <is>
          <t>'=M46/N46-1</t>
        </is>
      </c>
      <c r="G804" t="n">
        <v>0.3516474392182853</v>
      </c>
      <c r="H804" t="inlineStr"/>
      <c r="I804" t="inlineStr">
        <is>
          <t>0.0%</t>
        </is>
      </c>
      <c r="J804" t="b">
        <v>0</v>
      </c>
      <c r="K804" t="b">
        <v>0</v>
      </c>
      <c r="L804" t="n">
        <v>11</v>
      </c>
      <c r="M804" t="inlineStr">
        <is>
          <t>Values must be of type &lt;class 'str'&gt;</t>
        </is>
      </c>
      <c r="N804" t="inlineStr">
        <is>
          <t>00000000</t>
        </is>
      </c>
      <c r="O804" t="n">
        <v/>
      </c>
      <c r="R804" t="b">
        <v>1</v>
      </c>
      <c r="S804" t="inlineStr">
        <is>
          <t>G000153</t>
        </is>
      </c>
      <c r="T804" t="inlineStr">
        <is>
          <t>Vertical</t>
        </is>
      </c>
      <c r="U804" t="n">
        <v>93</v>
      </c>
      <c r="V804" t="b">
        <v>1</v>
      </c>
      <c r="W804" t="inlineStr">
        <is>
          <t>ATF Fuel 2!Q2:Q94</t>
        </is>
      </c>
      <c r="X804">
        <f>R[0]C[-4]/R[0]C[-3]-1</f>
        <v/>
      </c>
    </row>
    <row r="805">
      <c r="A805" t="inlineStr">
        <is>
          <t>ATF Fuel 2</t>
        </is>
      </c>
      <c r="B805" t="inlineStr">
        <is>
          <t>A47</t>
        </is>
      </c>
      <c r="C805" t="n">
        <v>47</v>
      </c>
      <c r="D805" t="n">
        <v>1</v>
      </c>
      <c r="E805" t="inlineStr">
        <is>
          <t>Input</t>
        </is>
      </c>
      <c r="F805" t="n">
        <v/>
      </c>
      <c r="G805" t="inlineStr">
        <is>
          <t>January 01, 2014</t>
        </is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11</v>
      </c>
      <c r="M805" t="inlineStr">
        <is>
          <t>Values must be of type &lt;class 'str'&gt;</t>
        </is>
      </c>
      <c r="N805" t="inlineStr">
        <is>
          <t>00000000</t>
        </is>
      </c>
      <c r="O805" t="n">
        <v/>
      </c>
      <c r="R805" t="b">
        <v>1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</row>
    <row r="806">
      <c r="A806" t="inlineStr">
        <is>
          <t>ATF Fuel 2</t>
        </is>
      </c>
      <c r="B806" t="inlineStr">
        <is>
          <t>B47</t>
        </is>
      </c>
      <c r="C806" t="n">
        <v>47</v>
      </c>
      <c r="D806" t="n">
        <v>2</v>
      </c>
      <c r="E806" t="inlineStr">
        <is>
          <t>Input</t>
        </is>
      </c>
      <c r="F806" t="n">
        <v/>
      </c>
      <c r="G806" t="n">
        <v>81109.5325</v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11</v>
      </c>
      <c r="M806" t="inlineStr">
        <is>
          <t>Values must be of type &lt;class 'str'&gt;</t>
        </is>
      </c>
      <c r="N806" t="inlineStr">
        <is>
          <t>00000000</t>
        </is>
      </c>
      <c r="O806" t="n">
        <v/>
      </c>
      <c r="R806" t="b">
        <v>1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</row>
    <row r="807">
      <c r="A807" t="inlineStr">
        <is>
          <t>ATF Fuel 2</t>
        </is>
      </c>
      <c r="B807" t="inlineStr">
        <is>
          <t>C47</t>
        </is>
      </c>
      <c r="C807" t="n">
        <v>47</v>
      </c>
      <c r="D807" t="n">
        <v>3</v>
      </c>
      <c r="E807" t="inlineStr">
        <is>
          <t>Output</t>
        </is>
      </c>
      <c r="F807" t="inlineStr">
        <is>
          <t>'=B47/B46-1</t>
        </is>
      </c>
      <c r="G807" t="n">
        <v>0.02628807582656312</v>
      </c>
      <c r="H807" t="inlineStr"/>
      <c r="I807" t="inlineStr">
        <is>
          <t>0%</t>
        </is>
      </c>
      <c r="J807" t="b">
        <v>0</v>
      </c>
      <c r="K807" t="b">
        <v>0</v>
      </c>
      <c r="L807" t="n">
        <v>11</v>
      </c>
      <c r="M807" t="n">
        <v/>
      </c>
      <c r="N807" t="inlineStr">
        <is>
          <t>00000000</t>
        </is>
      </c>
      <c r="O807" t="n">
        <v/>
      </c>
      <c r="R807" t="b">
        <v>1</v>
      </c>
      <c r="S807" t="inlineStr">
        <is>
          <t>G000154</t>
        </is>
      </c>
      <c r="T807" t="inlineStr">
        <is>
          <t>Vertical</t>
        </is>
      </c>
      <c r="U807" t="n">
        <v>92</v>
      </c>
      <c r="V807" t="b">
        <v>1</v>
      </c>
      <c r="W807" t="inlineStr">
        <is>
          <t>ATF Fuel 2!C3:C94</t>
        </is>
      </c>
      <c r="X807">
        <f>R[0]C[-1]/R[-1]C[-1]-1</f>
        <v/>
      </c>
    </row>
    <row r="808">
      <c r="A808" t="inlineStr">
        <is>
          <t>ATF Fuel 2</t>
        </is>
      </c>
      <c r="B808" t="inlineStr">
        <is>
          <t>D47</t>
        </is>
      </c>
      <c r="C808" t="n">
        <v>47</v>
      </c>
      <c r="D808" t="n">
        <v>4</v>
      </c>
      <c r="E808" t="inlineStr">
        <is>
          <t>Input</t>
        </is>
      </c>
      <c r="F808" t="n">
        <v/>
      </c>
      <c r="G808" t="n">
        <v>61.8</v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11</v>
      </c>
      <c r="M808" t="inlineStr">
        <is>
          <t>Values must be of type &lt;class 'str'&gt;</t>
        </is>
      </c>
      <c r="N808" t="inlineStr">
        <is>
          <t>00000000</t>
        </is>
      </c>
      <c r="O808" t="n">
        <v/>
      </c>
      <c r="R808" t="b">
        <v>1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</row>
    <row r="809">
      <c r="A809" t="inlineStr">
        <is>
          <t>ATF Fuel 2</t>
        </is>
      </c>
      <c r="B809" t="inlineStr">
        <is>
          <t>E47</t>
        </is>
      </c>
      <c r="C809" t="n">
        <v>47</v>
      </c>
      <c r="D809" t="n">
        <v>5</v>
      </c>
      <c r="E809" t="inlineStr">
        <is>
          <t>Output</t>
        </is>
      </c>
      <c r="F809" t="inlineStr">
        <is>
          <t>'=B47/B46-1</t>
        </is>
      </c>
      <c r="G809" t="n">
        <v>0.02628807582656312</v>
      </c>
      <c r="H809" t="inlineStr"/>
      <c r="I809" t="inlineStr">
        <is>
          <t>0%</t>
        </is>
      </c>
      <c r="J809" t="b">
        <v>0</v>
      </c>
      <c r="K809" t="b">
        <v>0</v>
      </c>
      <c r="L809" t="n">
        <v>11</v>
      </c>
      <c r="M809" t="inlineStr">
        <is>
          <t>Values must be of type &lt;class 'str'&gt;</t>
        </is>
      </c>
      <c r="N809" t="inlineStr">
        <is>
          <t>00000000</t>
        </is>
      </c>
      <c r="O809" t="n">
        <v/>
      </c>
      <c r="R809" t="b">
        <v>1</v>
      </c>
      <c r="S809" t="inlineStr">
        <is>
          <t>G000158</t>
        </is>
      </c>
      <c r="T809" t="inlineStr">
        <is>
          <t>Vertical</t>
        </is>
      </c>
      <c r="U809" t="n">
        <v>92</v>
      </c>
      <c r="V809" t="b">
        <v>1</v>
      </c>
      <c r="W809" t="inlineStr">
        <is>
          <t>ATF Fuel 2!E3:E94</t>
        </is>
      </c>
      <c r="X809">
        <f>R[0]C[-3]/R[-1]C[-3]-1</f>
        <v/>
      </c>
    </row>
    <row r="810">
      <c r="A810" t="inlineStr">
        <is>
          <t>ATF Fuel 2</t>
        </is>
      </c>
      <c r="B810" t="inlineStr">
        <is>
          <t>F47</t>
        </is>
      </c>
      <c r="C810" t="n">
        <v>47</v>
      </c>
      <c r="D810" t="n">
        <v>6</v>
      </c>
      <c r="E810" t="inlineStr">
        <is>
          <t>Input</t>
        </is>
      </c>
      <c r="F810" t="n">
        <v/>
      </c>
      <c r="G810" t="n">
        <v>106.44</v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11</v>
      </c>
      <c r="M810" t="inlineStr">
        <is>
          <t>Values must be of type &lt;class 'str'&gt;</t>
        </is>
      </c>
      <c r="N810" t="inlineStr">
        <is>
          <t>00000000</t>
        </is>
      </c>
      <c r="O810" t="n">
        <v/>
      </c>
      <c r="R810" t="b">
        <v>1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</row>
    <row r="811">
      <c r="A811" t="inlineStr">
        <is>
          <t>ATF Fuel 2</t>
        </is>
      </c>
      <c r="B811" t="inlineStr">
        <is>
          <t>G47</t>
        </is>
      </c>
      <c r="C811" t="n">
        <v>47</v>
      </c>
      <c r="D811" t="n">
        <v>7</v>
      </c>
      <c r="E811" t="inlineStr">
        <is>
          <t>Output</t>
        </is>
      </c>
      <c r="F811" t="inlineStr">
        <is>
          <t>'=F47/F46-1</t>
        </is>
      </c>
      <c r="G811" t="n">
        <v>-0.02267927646680745</v>
      </c>
      <c r="H811" t="inlineStr"/>
      <c r="I811" t="inlineStr">
        <is>
          <t>0%</t>
        </is>
      </c>
      <c r="J811" t="b">
        <v>0</v>
      </c>
      <c r="K811" t="b">
        <v>0</v>
      </c>
      <c r="L811" t="n">
        <v>11</v>
      </c>
      <c r="M811" t="inlineStr">
        <is>
          <t>Values must be of type &lt;class 'str'&gt;</t>
        </is>
      </c>
      <c r="N811" t="inlineStr">
        <is>
          <t>00000000</t>
        </is>
      </c>
      <c r="O811" t="n">
        <v/>
      </c>
      <c r="R811" t="b">
        <v>1</v>
      </c>
      <c r="S811" t="inlineStr">
        <is>
          <t>G000155</t>
        </is>
      </c>
      <c r="T811" t="inlineStr">
        <is>
          <t>Vertical</t>
        </is>
      </c>
      <c r="U811" t="n">
        <v>93</v>
      </c>
      <c r="V811" t="b">
        <v>1</v>
      </c>
      <c r="W811" t="inlineStr">
        <is>
          <t>ATF Fuel 2!G3:G95</t>
        </is>
      </c>
      <c r="X811">
        <f>R[0]C[-1]/R[-1]C[-1]-1</f>
        <v/>
      </c>
    </row>
    <row r="812">
      <c r="A812" t="inlineStr">
        <is>
          <t>ATF Fuel 2</t>
        </is>
      </c>
      <c r="B812" t="inlineStr">
        <is>
          <t>H47</t>
        </is>
      </c>
      <c r="C812" t="n">
        <v>47</v>
      </c>
      <c r="D812" t="n">
        <v>8</v>
      </c>
      <c r="E812" t="inlineStr">
        <is>
          <t>Calculation</t>
        </is>
      </c>
      <c r="F812" t="inlineStr">
        <is>
          <t>'=D47*F47</t>
        </is>
      </c>
      <c r="G812" t="n">
        <v>6577.991999999999</v>
      </c>
      <c r="H812" t="inlineStr"/>
      <c r="I812" t="inlineStr">
        <is>
          <t>0</t>
        </is>
      </c>
      <c r="J812" t="b">
        <v>0</v>
      </c>
      <c r="K812" t="b">
        <v>0</v>
      </c>
      <c r="L812" t="n">
        <v>11</v>
      </c>
      <c r="M812" t="inlineStr">
        <is>
          <t>Values must be of type &lt;class 'str'&gt;</t>
        </is>
      </c>
      <c r="N812" t="inlineStr">
        <is>
          <t>00000000</t>
        </is>
      </c>
      <c r="O812" t="n">
        <v/>
      </c>
      <c r="R812" t="b">
        <v>1</v>
      </c>
      <c r="S812" t="inlineStr">
        <is>
          <t>G000152</t>
        </is>
      </c>
      <c r="T812" t="inlineStr">
        <is>
          <t>Vertical</t>
        </is>
      </c>
      <c r="U812" t="n">
        <v>98</v>
      </c>
      <c r="V812" t="b">
        <v>1</v>
      </c>
      <c r="W812" t="inlineStr">
        <is>
          <t>ATF Fuel 2!H2:H99</t>
        </is>
      </c>
      <c r="X812">
        <f>R[0]C[-4]*R[0]C[-2]</f>
        <v/>
      </c>
    </row>
    <row r="813">
      <c r="A813" t="inlineStr">
        <is>
          <t>ATF Fuel 2</t>
        </is>
      </c>
      <c r="B813" t="inlineStr">
        <is>
          <t>I47</t>
        </is>
      </c>
      <c r="C813" t="n">
        <v>47</v>
      </c>
      <c r="D813" t="n">
        <v>9</v>
      </c>
      <c r="E813" t="inlineStr">
        <is>
          <t>Output</t>
        </is>
      </c>
      <c r="F813" t="inlineStr">
        <is>
          <t>'=H47/H46-1</t>
        </is>
      </c>
      <c r="G813" t="n">
        <v>-0.03130038950519176</v>
      </c>
      <c r="H813" t="inlineStr"/>
      <c r="I813" t="inlineStr">
        <is>
          <t>0%</t>
        </is>
      </c>
      <c r="J813" t="b">
        <v>0</v>
      </c>
      <c r="K813" t="b">
        <v>0</v>
      </c>
      <c r="L813" t="n">
        <v>11</v>
      </c>
      <c r="M813" t="inlineStr">
        <is>
          <t>FFFF0000</t>
        </is>
      </c>
      <c r="N813" t="inlineStr">
        <is>
          <t>00000000</t>
        </is>
      </c>
      <c r="O813" t="n">
        <v/>
      </c>
      <c r="R813" t="b">
        <v>1</v>
      </c>
      <c r="S813" t="inlineStr">
        <is>
          <t>G000156</t>
        </is>
      </c>
      <c r="T813" t="inlineStr">
        <is>
          <t>Vertical</t>
        </is>
      </c>
      <c r="U813" t="n">
        <v>97</v>
      </c>
      <c r="V813" t="b">
        <v>1</v>
      </c>
      <c r="W813" t="inlineStr">
        <is>
          <t>ATF Fuel 2!I3:I99</t>
        </is>
      </c>
      <c r="X813">
        <f>R[0]C[-1]/R[-1]C[-1]-1</f>
        <v/>
      </c>
    </row>
    <row r="814">
      <c r="A814" t="inlineStr">
        <is>
          <t>ATF Fuel 2</t>
        </is>
      </c>
      <c r="B814" t="inlineStr">
        <is>
          <t>J47</t>
        </is>
      </c>
      <c r="C814" t="n">
        <v>47</v>
      </c>
      <c r="D814" t="n">
        <v>10</v>
      </c>
      <c r="E814" t="inlineStr">
        <is>
          <t>Input</t>
        </is>
      </c>
      <c r="F814" t="n">
        <v/>
      </c>
      <c r="G814" t="n">
        <v>95.14</v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11</v>
      </c>
      <c r="M814" t="inlineStr">
        <is>
          <t>Values must be of type &lt;class 'str'&gt;</t>
        </is>
      </c>
      <c r="N814" t="inlineStr">
        <is>
          <t>00000000</t>
        </is>
      </c>
      <c r="O814" t="n">
        <v/>
      </c>
      <c r="R814" t="b">
        <v>1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</row>
    <row r="815">
      <c r="A815" t="inlineStr">
        <is>
          <t>ATF Fuel 2</t>
        </is>
      </c>
      <c r="B815" t="inlineStr">
        <is>
          <t>K47</t>
        </is>
      </c>
      <c r="C815" t="n">
        <v>47</v>
      </c>
      <c r="D815" t="n">
        <v>11</v>
      </c>
      <c r="E815" t="inlineStr">
        <is>
          <t>Output</t>
        </is>
      </c>
      <c r="F815" t="inlineStr">
        <is>
          <t>'=J47/J46-1</t>
        </is>
      </c>
      <c r="G815" t="n">
        <v>0.01634440764875555</v>
      </c>
      <c r="H815" t="inlineStr"/>
      <c r="I815" t="inlineStr">
        <is>
          <t>0%</t>
        </is>
      </c>
      <c r="J815" t="b">
        <v>0</v>
      </c>
      <c r="K815" t="b">
        <v>0</v>
      </c>
      <c r="L815" t="n">
        <v>11</v>
      </c>
      <c r="M815" t="inlineStr">
        <is>
          <t>Values must be of type &lt;class 'str'&gt;</t>
        </is>
      </c>
      <c r="N815" t="inlineStr">
        <is>
          <t>00000000</t>
        </is>
      </c>
      <c r="O815" t="n">
        <v/>
      </c>
      <c r="R815" t="b">
        <v>1</v>
      </c>
      <c r="S815" t="inlineStr">
        <is>
          <t>G000157</t>
        </is>
      </c>
      <c r="T815" t="inlineStr">
        <is>
          <t>Vertical</t>
        </is>
      </c>
      <c r="U815" t="n">
        <v>93</v>
      </c>
      <c r="V815" t="b">
        <v>1</v>
      </c>
      <c r="W815" t="inlineStr">
        <is>
          <t>ATF Fuel 2!K3:K95</t>
        </is>
      </c>
      <c r="X815">
        <f>R[0]C[-1]/R[-1]C[-1]-1</f>
        <v/>
      </c>
    </row>
    <row r="816">
      <c r="A816" t="inlineStr">
        <is>
          <t>ATF Fuel 2</t>
        </is>
      </c>
      <c r="B816" t="inlineStr">
        <is>
          <t>L47</t>
        </is>
      </c>
      <c r="C816" t="n">
        <v>47</v>
      </c>
      <c r="D816" t="n">
        <v>12</v>
      </c>
      <c r="E816" t="inlineStr">
        <is>
          <t>Input</t>
        </is>
      </c>
      <c r="F816" t="n">
        <v/>
      </c>
      <c r="G816" t="inlineStr">
        <is>
          <t>January 01, 2014</t>
        </is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11</v>
      </c>
      <c r="M816" t="inlineStr">
        <is>
          <t>Values must be of type &lt;class 'str'&gt;</t>
        </is>
      </c>
      <c r="N816" t="inlineStr">
        <is>
          <t>00000000</t>
        </is>
      </c>
      <c r="O816" t="inlineStr">
        <is>
          <t>left</t>
        </is>
      </c>
      <c r="R816" t="b">
        <v>1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</row>
    <row r="817">
      <c r="A817" t="inlineStr">
        <is>
          <t>ATF Fuel 2</t>
        </is>
      </c>
      <c r="B817" t="inlineStr">
        <is>
          <t>M47</t>
        </is>
      </c>
      <c r="C817" t="n">
        <v>47</v>
      </c>
      <c r="D817" t="n">
        <v>13</v>
      </c>
      <c r="E817" t="inlineStr">
        <is>
          <t>Calculation</t>
        </is>
      </c>
      <c r="F817" t="inlineStr">
        <is>
          <t>'=(1+(B47/B46)-1)*M46</t>
        </is>
      </c>
      <c r="G817" t="n">
        <v>182.8364221674713</v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11</v>
      </c>
      <c r="M817" t="inlineStr">
        <is>
          <t>Values must be of type &lt;class 'str'&gt;</t>
        </is>
      </c>
      <c r="N817" t="inlineStr">
        <is>
          <t>00000000</t>
        </is>
      </c>
      <c r="O817" t="inlineStr">
        <is>
          <t>left</t>
        </is>
      </c>
      <c r="R817" t="b">
        <v>1</v>
      </c>
      <c r="S817" t="inlineStr">
        <is>
          <t>G000159</t>
        </is>
      </c>
      <c r="T817" t="inlineStr">
        <is>
          <t>Vertical</t>
        </is>
      </c>
      <c r="U817" t="n">
        <v>92</v>
      </c>
      <c r="V817" t="b">
        <v>1</v>
      </c>
      <c r="W817" t="inlineStr">
        <is>
          <t>ATF Fuel 2!M3:M94</t>
        </is>
      </c>
      <c r="X817">
        <f>(1+(R[0]C[-11]/R[-1]C[-11])-1)*R[-1]C[0]</f>
        <v/>
      </c>
    </row>
    <row r="818">
      <c r="A818" t="inlineStr">
        <is>
          <t>ATF Fuel 2</t>
        </is>
      </c>
      <c r="B818" t="inlineStr">
        <is>
          <t>N47</t>
        </is>
      </c>
      <c r="C818" t="n">
        <v>47</v>
      </c>
      <c r="D818" t="n">
        <v>14</v>
      </c>
      <c r="E818" t="inlineStr">
        <is>
          <t>Calculation</t>
        </is>
      </c>
      <c r="F818" t="inlineStr">
        <is>
          <t>'=(1+(F47/F46)-1)*N46</t>
        </is>
      </c>
      <c r="G818" t="n">
        <v>128.8152002904515</v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11</v>
      </c>
      <c r="M818" t="inlineStr">
        <is>
          <t>Values must be of type &lt;class 'str'&gt;</t>
        </is>
      </c>
      <c r="N818" t="inlineStr">
        <is>
          <t>00000000</t>
        </is>
      </c>
      <c r="O818" t="inlineStr">
        <is>
          <t>left</t>
        </is>
      </c>
      <c r="R818" t="b">
        <v>1</v>
      </c>
      <c r="S818" t="inlineStr">
        <is>
          <t>G000160</t>
        </is>
      </c>
      <c r="T818" t="inlineStr">
        <is>
          <t>Vertical</t>
        </is>
      </c>
      <c r="U818" t="n">
        <v>92</v>
      </c>
      <c r="V818" t="b">
        <v>1</v>
      </c>
      <c r="W818" t="inlineStr">
        <is>
          <t>ATF Fuel 2!N3:N94</t>
        </is>
      </c>
      <c r="X818">
        <f>(1+(R[0]C[-8]/R[-1]C[-8])-1)*R[-1]C[0]</f>
        <v/>
      </c>
    </row>
    <row r="819">
      <c r="A819" t="inlineStr">
        <is>
          <t>ATF Fuel 2</t>
        </is>
      </c>
      <c r="B819" t="inlineStr">
        <is>
          <t>O47</t>
        </is>
      </c>
      <c r="C819" t="n">
        <v>47</v>
      </c>
      <c r="D819" t="n">
        <v>15</v>
      </c>
      <c r="E819" t="inlineStr">
        <is>
          <t>Calculation</t>
        </is>
      </c>
      <c r="F819" t="inlineStr">
        <is>
          <t>'=(1+(J47/J46)-1)*O46</t>
        </is>
      </c>
      <c r="G819" t="n">
        <v>112.5517567727434</v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11</v>
      </c>
      <c r="M819" t="inlineStr">
        <is>
          <t>Values must be of type &lt;class 'str'&gt;</t>
        </is>
      </c>
      <c r="N819" t="inlineStr">
        <is>
          <t>00000000</t>
        </is>
      </c>
      <c r="O819" t="inlineStr">
        <is>
          <t>left</t>
        </is>
      </c>
      <c r="R819" t="b">
        <v>1</v>
      </c>
      <c r="S819" t="inlineStr">
        <is>
          <t>G000162</t>
        </is>
      </c>
      <c r="T819" t="inlineStr">
        <is>
          <t>Vertical</t>
        </is>
      </c>
      <c r="U819" t="n">
        <v>92</v>
      </c>
      <c r="V819" t="b">
        <v>1</v>
      </c>
      <c r="W819" t="inlineStr">
        <is>
          <t>ATF Fuel 2!O3:O94</t>
        </is>
      </c>
      <c r="X819">
        <f>(1+(R[0]C[-5]/R[-1]C[-5])-1)*R[-1]C[0]</f>
        <v/>
      </c>
    </row>
    <row r="820">
      <c r="A820" t="inlineStr">
        <is>
          <t>ATF Fuel 2</t>
        </is>
      </c>
      <c r="B820" t="inlineStr">
        <is>
          <t>P47</t>
        </is>
      </c>
      <c r="C820" t="n">
        <v>47</v>
      </c>
      <c r="D820" t="n">
        <v>16</v>
      </c>
      <c r="E820" t="inlineStr">
        <is>
          <t>Calculation</t>
        </is>
      </c>
      <c r="F820" t="inlineStr">
        <is>
          <t>'=(1+(H47/H46)-1)*P46</t>
        </is>
      </c>
      <c r="G820" t="n">
        <v>177.8547671570576</v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11</v>
      </c>
      <c r="M820" t="inlineStr">
        <is>
          <t>Values must be of type &lt;class 'str'&gt;</t>
        </is>
      </c>
      <c r="N820" t="inlineStr">
        <is>
          <t>00000000</t>
        </is>
      </c>
      <c r="O820" t="inlineStr">
        <is>
          <t>left</t>
        </is>
      </c>
      <c r="R820" t="b">
        <v>1</v>
      </c>
      <c r="S820" t="inlineStr">
        <is>
          <t>G000161</t>
        </is>
      </c>
      <c r="T820" t="inlineStr">
        <is>
          <t>Vertical</t>
        </is>
      </c>
      <c r="U820" t="n">
        <v>92</v>
      </c>
      <c r="V820" t="b">
        <v>1</v>
      </c>
      <c r="W820" t="inlineStr">
        <is>
          <t>ATF Fuel 2!P3:P94</t>
        </is>
      </c>
      <c r="X820">
        <f>(1+(R[0]C[-8]/R[-1]C[-8])-1)*R[-1]C[0]</f>
        <v/>
      </c>
    </row>
    <row r="821">
      <c r="A821" t="inlineStr">
        <is>
          <t>ATF Fuel 2</t>
        </is>
      </c>
      <c r="B821" t="inlineStr">
        <is>
          <t>Q47</t>
        </is>
      </c>
      <c r="C821" t="n">
        <v>47</v>
      </c>
      <c r="D821" t="n">
        <v>17</v>
      </c>
      <c r="E821" t="inlineStr">
        <is>
          <t>Output</t>
        </is>
      </c>
      <c r="F821" t="inlineStr">
        <is>
          <t>'=M47/N47-1</t>
        </is>
      </c>
      <c r="G821" t="n">
        <v>0.4193699327036962</v>
      </c>
      <c r="H821" t="inlineStr"/>
      <c r="I821" t="inlineStr">
        <is>
          <t>0.0%</t>
        </is>
      </c>
      <c r="J821" t="b">
        <v>0</v>
      </c>
      <c r="K821" t="b">
        <v>0</v>
      </c>
      <c r="L821" t="n">
        <v>11</v>
      </c>
      <c r="M821" t="inlineStr">
        <is>
          <t>Values must be of type &lt;class 'str'&gt;</t>
        </is>
      </c>
      <c r="N821" t="inlineStr">
        <is>
          <t>00000000</t>
        </is>
      </c>
      <c r="O821" t="n">
        <v/>
      </c>
      <c r="R821" t="b">
        <v>1</v>
      </c>
      <c r="S821" t="inlineStr">
        <is>
          <t>G000153</t>
        </is>
      </c>
      <c r="T821" t="inlineStr">
        <is>
          <t>Vertical</t>
        </is>
      </c>
      <c r="U821" t="n">
        <v>93</v>
      </c>
      <c r="V821" t="b">
        <v>1</v>
      </c>
      <c r="W821" t="inlineStr">
        <is>
          <t>ATF Fuel 2!Q2:Q94</t>
        </is>
      </c>
      <c r="X821">
        <f>R[0]C[-4]/R[0]C[-3]-1</f>
        <v/>
      </c>
    </row>
    <row r="822">
      <c r="A822" t="inlineStr">
        <is>
          <t>ATF Fuel 2</t>
        </is>
      </c>
      <c r="B822" t="inlineStr">
        <is>
          <t>A48</t>
        </is>
      </c>
      <c r="C822" t="n">
        <v>48</v>
      </c>
      <c r="D822" t="n">
        <v>1</v>
      </c>
      <c r="E822" t="inlineStr">
        <is>
          <t>Input</t>
        </is>
      </c>
      <c r="F822" t="n">
        <v/>
      </c>
      <c r="G822" t="inlineStr">
        <is>
          <t>February 01, 2014</t>
        </is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11</v>
      </c>
      <c r="M822" t="inlineStr">
        <is>
          <t>Values must be of type &lt;class 'str'&gt;</t>
        </is>
      </c>
      <c r="N822" t="inlineStr">
        <is>
          <t>00000000</t>
        </is>
      </c>
      <c r="O822" t="n">
        <v/>
      </c>
      <c r="R822" t="b">
        <v>1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</row>
    <row r="823">
      <c r="A823" t="inlineStr">
        <is>
          <t>ATF Fuel 2</t>
        </is>
      </c>
      <c r="B823" t="inlineStr">
        <is>
          <t>B48</t>
        </is>
      </c>
      <c r="C823" t="n">
        <v>48</v>
      </c>
      <c r="D823" t="n">
        <v>2</v>
      </c>
      <c r="E823" t="inlineStr">
        <is>
          <t>Input</t>
        </is>
      </c>
      <c r="F823" t="n">
        <v/>
      </c>
      <c r="G823" t="n">
        <v>78878.30499999999</v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11</v>
      </c>
      <c r="M823" t="inlineStr">
        <is>
          <t>Values must be of type &lt;class 'str'&gt;</t>
        </is>
      </c>
      <c r="N823" t="inlineStr">
        <is>
          <t>00000000</t>
        </is>
      </c>
      <c r="O823" t="n">
        <v/>
      </c>
      <c r="R823" t="b">
        <v>1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</row>
    <row r="824">
      <c r="A824" t="inlineStr">
        <is>
          <t>ATF Fuel 2</t>
        </is>
      </c>
      <c r="B824" t="inlineStr">
        <is>
          <t>C48</t>
        </is>
      </c>
      <c r="C824" t="n">
        <v>48</v>
      </c>
      <c r="D824" t="n">
        <v>3</v>
      </c>
      <c r="E824" t="inlineStr">
        <is>
          <t>Output</t>
        </is>
      </c>
      <c r="F824" t="inlineStr">
        <is>
          <t>'=B48/B47-1</t>
        </is>
      </c>
      <c r="G824" t="n">
        <v>-0.02750881963226715</v>
      </c>
      <c r="H824" t="inlineStr"/>
      <c r="I824" t="inlineStr">
        <is>
          <t>0%</t>
        </is>
      </c>
      <c r="J824" t="b">
        <v>0</v>
      </c>
      <c r="K824" t="b">
        <v>0</v>
      </c>
      <c r="L824" t="n">
        <v>11</v>
      </c>
      <c r="M824" t="n">
        <v/>
      </c>
      <c r="N824" t="inlineStr">
        <is>
          <t>00000000</t>
        </is>
      </c>
      <c r="O824" t="n">
        <v/>
      </c>
      <c r="R824" t="b">
        <v>1</v>
      </c>
      <c r="S824" t="inlineStr">
        <is>
          <t>G000154</t>
        </is>
      </c>
      <c r="T824" t="inlineStr">
        <is>
          <t>Vertical</t>
        </is>
      </c>
      <c r="U824" t="n">
        <v>92</v>
      </c>
      <c r="V824" t="b">
        <v>1</v>
      </c>
      <c r="W824" t="inlineStr">
        <is>
          <t>ATF Fuel 2!C3:C94</t>
        </is>
      </c>
      <c r="X824">
        <f>R[0]C[-1]/R[-1]C[-1]-1</f>
        <v/>
      </c>
    </row>
    <row r="825">
      <c r="A825" t="inlineStr">
        <is>
          <t>ATF Fuel 2</t>
        </is>
      </c>
      <c r="B825" t="inlineStr">
        <is>
          <t>D48</t>
        </is>
      </c>
      <c r="C825" t="n">
        <v>48</v>
      </c>
      <c r="D825" t="n">
        <v>4</v>
      </c>
      <c r="E825" t="inlineStr">
        <is>
          <t>Input</t>
        </is>
      </c>
      <c r="F825" t="n">
        <v/>
      </c>
      <c r="G825" t="n">
        <v>62.7</v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11</v>
      </c>
      <c r="M825" t="inlineStr">
        <is>
          <t>Values must be of type &lt;class 'str'&gt;</t>
        </is>
      </c>
      <c r="N825" t="inlineStr">
        <is>
          <t>00000000</t>
        </is>
      </c>
      <c r="O825" t="n">
        <v/>
      </c>
      <c r="R825" t="b">
        <v>1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</row>
    <row r="826">
      <c r="A826" t="inlineStr">
        <is>
          <t>ATF Fuel 2</t>
        </is>
      </c>
      <c r="B826" t="inlineStr">
        <is>
          <t>E48</t>
        </is>
      </c>
      <c r="C826" t="n">
        <v>48</v>
      </c>
      <c r="D826" t="n">
        <v>5</v>
      </c>
      <c r="E826" t="inlineStr">
        <is>
          <t>Output</t>
        </is>
      </c>
      <c r="F826" t="inlineStr">
        <is>
          <t>'=B48/B47-1</t>
        </is>
      </c>
      <c r="G826" t="n">
        <v>-0.02750881963226715</v>
      </c>
      <c r="H826" t="inlineStr"/>
      <c r="I826" t="inlineStr">
        <is>
          <t>0%</t>
        </is>
      </c>
      <c r="J826" t="b">
        <v>0</v>
      </c>
      <c r="K826" t="b">
        <v>0</v>
      </c>
      <c r="L826" t="n">
        <v>11</v>
      </c>
      <c r="M826" t="inlineStr">
        <is>
          <t>Values must be of type &lt;class 'str'&gt;</t>
        </is>
      </c>
      <c r="N826" t="inlineStr">
        <is>
          <t>00000000</t>
        </is>
      </c>
      <c r="O826" t="n">
        <v/>
      </c>
      <c r="R826" t="b">
        <v>1</v>
      </c>
      <c r="S826" t="inlineStr">
        <is>
          <t>G000158</t>
        </is>
      </c>
      <c r="T826" t="inlineStr">
        <is>
          <t>Vertical</t>
        </is>
      </c>
      <c r="U826" t="n">
        <v>92</v>
      </c>
      <c r="V826" t="b">
        <v>1</v>
      </c>
      <c r="W826" t="inlineStr">
        <is>
          <t>ATF Fuel 2!E3:E94</t>
        </is>
      </c>
      <c r="X826">
        <f>R[0]C[-3]/R[-1]C[-3]-1</f>
        <v/>
      </c>
    </row>
    <row r="827">
      <c r="A827" t="inlineStr">
        <is>
          <t>ATF Fuel 2</t>
        </is>
      </c>
      <c r="B827" t="inlineStr">
        <is>
          <t>F48</t>
        </is>
      </c>
      <c r="C827" t="n">
        <v>48</v>
      </c>
      <c r="D827" t="n">
        <v>6</v>
      </c>
      <c r="E827" t="inlineStr">
        <is>
          <t>Input</t>
        </is>
      </c>
      <c r="F827" t="n">
        <v/>
      </c>
      <c r="G827" t="n">
        <v>110.18</v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11</v>
      </c>
      <c r="M827" t="inlineStr">
        <is>
          <t>Values must be of type &lt;class 'str'&gt;</t>
        </is>
      </c>
      <c r="N827" t="inlineStr">
        <is>
          <t>00000000</t>
        </is>
      </c>
      <c r="O827" t="n">
        <v/>
      </c>
      <c r="R827" t="b">
        <v>1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</row>
    <row r="828">
      <c r="A828" t="inlineStr">
        <is>
          <t>ATF Fuel 2</t>
        </is>
      </c>
      <c r="B828" t="inlineStr">
        <is>
          <t>G48</t>
        </is>
      </c>
      <c r="C828" t="n">
        <v>48</v>
      </c>
      <c r="D828" t="n">
        <v>7</v>
      </c>
      <c r="E828" t="inlineStr">
        <is>
          <t>Output</t>
        </is>
      </c>
      <c r="F828" t="inlineStr">
        <is>
          <t>'=F48/F47-1</t>
        </is>
      </c>
      <c r="G828" t="n">
        <v>0.03513716647876741</v>
      </c>
      <c r="H828" t="inlineStr"/>
      <c r="I828" t="inlineStr">
        <is>
          <t>0%</t>
        </is>
      </c>
      <c r="J828" t="b">
        <v>0</v>
      </c>
      <c r="K828" t="b">
        <v>0</v>
      </c>
      <c r="L828" t="n">
        <v>11</v>
      </c>
      <c r="M828" t="inlineStr">
        <is>
          <t>Values must be of type &lt;class 'str'&gt;</t>
        </is>
      </c>
      <c r="N828" t="inlineStr">
        <is>
          <t>00000000</t>
        </is>
      </c>
      <c r="O828" t="n">
        <v/>
      </c>
      <c r="R828" t="b">
        <v>1</v>
      </c>
      <c r="S828" t="inlineStr">
        <is>
          <t>G000155</t>
        </is>
      </c>
      <c r="T828" t="inlineStr">
        <is>
          <t>Vertical</t>
        </is>
      </c>
      <c r="U828" t="n">
        <v>93</v>
      </c>
      <c r="V828" t="b">
        <v>1</v>
      </c>
      <c r="W828" t="inlineStr">
        <is>
          <t>ATF Fuel 2!G3:G95</t>
        </is>
      </c>
      <c r="X828">
        <f>R[0]C[-1]/R[-1]C[-1]-1</f>
        <v/>
      </c>
    </row>
    <row r="829">
      <c r="A829" t="inlineStr">
        <is>
          <t>ATF Fuel 2</t>
        </is>
      </c>
      <c r="B829" t="inlineStr">
        <is>
          <t>H48</t>
        </is>
      </c>
      <c r="C829" t="n">
        <v>48</v>
      </c>
      <c r="D829" t="n">
        <v>8</v>
      </c>
      <c r="E829" t="inlineStr">
        <is>
          <t>Calculation</t>
        </is>
      </c>
      <c r="F829" t="inlineStr">
        <is>
          <t>'=D48*F48</t>
        </is>
      </c>
      <c r="G829" t="n">
        <v>6908.286000000001</v>
      </c>
      <c r="H829" t="inlineStr"/>
      <c r="I829" t="inlineStr">
        <is>
          <t>0</t>
        </is>
      </c>
      <c r="J829" t="b">
        <v>0</v>
      </c>
      <c r="K829" t="b">
        <v>0</v>
      </c>
      <c r="L829" t="n">
        <v>11</v>
      </c>
      <c r="M829" t="inlineStr">
        <is>
          <t>Values must be of type &lt;class 'str'&gt;</t>
        </is>
      </c>
      <c r="N829" t="inlineStr">
        <is>
          <t>00000000</t>
        </is>
      </c>
      <c r="O829" t="n">
        <v/>
      </c>
      <c r="R829" t="b">
        <v>1</v>
      </c>
      <c r="S829" t="inlineStr">
        <is>
          <t>G000152</t>
        </is>
      </c>
      <c r="T829" t="inlineStr">
        <is>
          <t>Vertical</t>
        </is>
      </c>
      <c r="U829" t="n">
        <v>98</v>
      </c>
      <c r="V829" t="b">
        <v>1</v>
      </c>
      <c r="W829" t="inlineStr">
        <is>
          <t>ATF Fuel 2!H2:H99</t>
        </is>
      </c>
      <c r="X829">
        <f>R[0]C[-4]*R[0]C[-2]</f>
        <v/>
      </c>
    </row>
    <row r="830">
      <c r="A830" t="inlineStr">
        <is>
          <t>ATF Fuel 2</t>
        </is>
      </c>
      <c r="B830" t="inlineStr">
        <is>
          <t>I48</t>
        </is>
      </c>
      <c r="C830" t="n">
        <v>48</v>
      </c>
      <c r="D830" t="n">
        <v>9</v>
      </c>
      <c r="E830" t="inlineStr">
        <is>
          <t>Output</t>
        </is>
      </c>
      <c r="F830" t="inlineStr">
        <is>
          <t>'=H48/H47-1</t>
        </is>
      </c>
      <c r="G830" t="n">
        <v>0.0502119795828273</v>
      </c>
      <c r="H830" t="inlineStr"/>
      <c r="I830" t="inlineStr">
        <is>
          <t>0%</t>
        </is>
      </c>
      <c r="J830" t="b">
        <v>0</v>
      </c>
      <c r="K830" t="b">
        <v>0</v>
      </c>
      <c r="L830" t="n">
        <v>11</v>
      </c>
      <c r="M830" t="inlineStr">
        <is>
          <t>FFFF0000</t>
        </is>
      </c>
      <c r="N830" t="inlineStr">
        <is>
          <t>00000000</t>
        </is>
      </c>
      <c r="O830" t="n">
        <v/>
      </c>
      <c r="R830" t="b">
        <v>1</v>
      </c>
      <c r="S830" t="inlineStr">
        <is>
          <t>G000156</t>
        </is>
      </c>
      <c r="T830" t="inlineStr">
        <is>
          <t>Vertical</t>
        </is>
      </c>
      <c r="U830" t="n">
        <v>97</v>
      </c>
      <c r="V830" t="b">
        <v>1</v>
      </c>
      <c r="W830" t="inlineStr">
        <is>
          <t>ATF Fuel 2!I3:I99</t>
        </is>
      </c>
      <c r="X830">
        <f>R[0]C[-1]/R[-1]C[-1]-1</f>
        <v/>
      </c>
    </row>
    <row r="831">
      <c r="A831" t="inlineStr">
        <is>
          <t>ATF Fuel 2</t>
        </is>
      </c>
      <c r="B831" t="inlineStr">
        <is>
          <t>J48</t>
        </is>
      </c>
      <c r="C831" t="n">
        <v>48</v>
      </c>
      <c r="D831" t="n">
        <v>10</v>
      </c>
      <c r="E831" t="inlineStr">
        <is>
          <t>Input</t>
        </is>
      </c>
      <c r="F831" t="n">
        <v/>
      </c>
      <c r="G831" t="n">
        <v>96.44</v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11</v>
      </c>
      <c r="M831" t="inlineStr">
        <is>
          <t>Values must be of type &lt;class 'str'&gt;</t>
        </is>
      </c>
      <c r="N831" t="inlineStr">
        <is>
          <t>00000000</t>
        </is>
      </c>
      <c r="O831" t="n">
        <v/>
      </c>
      <c r="R831" t="b">
        <v>1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</row>
    <row r="832">
      <c r="A832" t="inlineStr">
        <is>
          <t>ATF Fuel 2</t>
        </is>
      </c>
      <c r="B832" t="inlineStr">
        <is>
          <t>K48</t>
        </is>
      </c>
      <c r="C832" t="n">
        <v>48</v>
      </c>
      <c r="D832" t="n">
        <v>11</v>
      </c>
      <c r="E832" t="inlineStr">
        <is>
          <t>Output</t>
        </is>
      </c>
      <c r="F832" t="inlineStr">
        <is>
          <t>'=J48/J47-1</t>
        </is>
      </c>
      <c r="G832" t="n">
        <v>0.01366407399621616</v>
      </c>
      <c r="H832" t="inlineStr"/>
      <c r="I832" t="inlineStr">
        <is>
          <t>0%</t>
        </is>
      </c>
      <c r="J832" t="b">
        <v>0</v>
      </c>
      <c r="K832" t="b">
        <v>0</v>
      </c>
      <c r="L832" t="n">
        <v>11</v>
      </c>
      <c r="M832" t="inlineStr">
        <is>
          <t>Values must be of type &lt;class 'str'&gt;</t>
        </is>
      </c>
      <c r="N832" t="inlineStr">
        <is>
          <t>00000000</t>
        </is>
      </c>
      <c r="O832" t="n">
        <v/>
      </c>
      <c r="R832" t="b">
        <v>1</v>
      </c>
      <c r="S832" t="inlineStr">
        <is>
          <t>G000157</t>
        </is>
      </c>
      <c r="T832" t="inlineStr">
        <is>
          <t>Vertical</t>
        </is>
      </c>
      <c r="U832" t="n">
        <v>93</v>
      </c>
      <c r="V832" t="b">
        <v>1</v>
      </c>
      <c r="W832" t="inlineStr">
        <is>
          <t>ATF Fuel 2!K3:K95</t>
        </is>
      </c>
      <c r="X832">
        <f>R[0]C[-1]/R[-1]C[-1]-1</f>
        <v/>
      </c>
    </row>
    <row r="833">
      <c r="A833" t="inlineStr">
        <is>
          <t>ATF Fuel 2</t>
        </is>
      </c>
      <c r="B833" t="inlineStr">
        <is>
          <t>L48</t>
        </is>
      </c>
      <c r="C833" t="n">
        <v>48</v>
      </c>
      <c r="D833" t="n">
        <v>12</v>
      </c>
      <c r="E833" t="inlineStr">
        <is>
          <t>Input</t>
        </is>
      </c>
      <c r="F833" t="n">
        <v/>
      </c>
      <c r="G833" t="inlineStr">
        <is>
          <t>February 01, 2014</t>
        </is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11</v>
      </c>
      <c r="M833" t="inlineStr">
        <is>
          <t>Values must be of type &lt;class 'str'&gt;</t>
        </is>
      </c>
      <c r="N833" t="inlineStr">
        <is>
          <t>00000000</t>
        </is>
      </c>
      <c r="O833" t="inlineStr">
        <is>
          <t>left</t>
        </is>
      </c>
      <c r="R833" t="b">
        <v>1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</row>
    <row r="834">
      <c r="A834" t="inlineStr">
        <is>
          <t>ATF Fuel 2</t>
        </is>
      </c>
      <c r="B834" t="inlineStr">
        <is>
          <t>M48</t>
        </is>
      </c>
      <c r="C834" t="n">
        <v>48</v>
      </c>
      <c r="D834" t="n">
        <v>13</v>
      </c>
      <c r="E834" t="inlineStr">
        <is>
          <t>Calculation</t>
        </is>
      </c>
      <c r="F834" t="inlineStr">
        <is>
          <t>'=(1+(B48/B47)-1)*M47</t>
        </is>
      </c>
      <c r="G834" t="n">
        <v>177.8068080078573</v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11</v>
      </c>
      <c r="M834" t="inlineStr">
        <is>
          <t>Values must be of type &lt;class 'str'&gt;</t>
        </is>
      </c>
      <c r="N834" t="inlineStr">
        <is>
          <t>00000000</t>
        </is>
      </c>
      <c r="O834" t="inlineStr">
        <is>
          <t>left</t>
        </is>
      </c>
      <c r="R834" t="b">
        <v>1</v>
      </c>
      <c r="S834" t="inlineStr">
        <is>
          <t>G000159</t>
        </is>
      </c>
      <c r="T834" t="inlineStr">
        <is>
          <t>Vertical</t>
        </is>
      </c>
      <c r="U834" t="n">
        <v>92</v>
      </c>
      <c r="V834" t="b">
        <v>1</v>
      </c>
      <c r="W834" t="inlineStr">
        <is>
          <t>ATF Fuel 2!M3:M94</t>
        </is>
      </c>
      <c r="X834">
        <f>(1+(R[0]C[-11]/R[-1]C[-11])-1)*R[-1]C[0]</f>
        <v/>
      </c>
    </row>
    <row r="835">
      <c r="A835" t="inlineStr">
        <is>
          <t>ATF Fuel 2</t>
        </is>
      </c>
      <c r="B835" t="inlineStr">
        <is>
          <t>N48</t>
        </is>
      </c>
      <c r="C835" t="n">
        <v>48</v>
      </c>
      <c r="D835" t="n">
        <v>14</v>
      </c>
      <c r="E835" t="inlineStr">
        <is>
          <t>Calculation</t>
        </is>
      </c>
      <c r="F835" t="inlineStr">
        <is>
          <t>'=(1+(F48/F47)-1)*N47</t>
        </is>
      </c>
      <c r="G835" t="n">
        <v>133.3414014280529</v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11</v>
      </c>
      <c r="M835" t="inlineStr">
        <is>
          <t>Values must be of type &lt;class 'str'&gt;</t>
        </is>
      </c>
      <c r="N835" t="inlineStr">
        <is>
          <t>00000000</t>
        </is>
      </c>
      <c r="O835" t="inlineStr">
        <is>
          <t>left</t>
        </is>
      </c>
      <c r="R835" t="b">
        <v>1</v>
      </c>
      <c r="S835" t="inlineStr">
        <is>
          <t>G000160</t>
        </is>
      </c>
      <c r="T835" t="inlineStr">
        <is>
          <t>Vertical</t>
        </is>
      </c>
      <c r="U835" t="n">
        <v>92</v>
      </c>
      <c r="V835" t="b">
        <v>1</v>
      </c>
      <c r="W835" t="inlineStr">
        <is>
          <t>ATF Fuel 2!N3:N94</t>
        </is>
      </c>
      <c r="X835">
        <f>(1+(R[0]C[-8]/R[-1]C[-8])-1)*R[-1]C[0]</f>
        <v/>
      </c>
    </row>
    <row r="836">
      <c r="A836" t="inlineStr">
        <is>
          <t>ATF Fuel 2</t>
        </is>
      </c>
      <c r="B836" t="inlineStr">
        <is>
          <t>O48</t>
        </is>
      </c>
      <c r="C836" t="n">
        <v>48</v>
      </c>
      <c r="D836" t="n">
        <v>15</v>
      </c>
      <c r="E836" t="inlineStr">
        <is>
          <t>Calculation</t>
        </is>
      </c>
      <c r="F836" t="inlineStr">
        <is>
          <t>'=(1+(J48/J47)-1)*O47</t>
        </is>
      </c>
      <c r="G836" t="n">
        <v>114.0896723056903</v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11</v>
      </c>
      <c r="M836" t="inlineStr">
        <is>
          <t>Values must be of type &lt;class 'str'&gt;</t>
        </is>
      </c>
      <c r="N836" t="inlineStr">
        <is>
          <t>00000000</t>
        </is>
      </c>
      <c r="O836" t="inlineStr">
        <is>
          <t>left</t>
        </is>
      </c>
      <c r="R836" t="b">
        <v>1</v>
      </c>
      <c r="S836" t="inlineStr">
        <is>
          <t>G000162</t>
        </is>
      </c>
      <c r="T836" t="inlineStr">
        <is>
          <t>Vertical</t>
        </is>
      </c>
      <c r="U836" t="n">
        <v>92</v>
      </c>
      <c r="V836" t="b">
        <v>1</v>
      </c>
      <c r="W836" t="inlineStr">
        <is>
          <t>ATF Fuel 2!O3:O94</t>
        </is>
      </c>
      <c r="X836">
        <f>(1+(R[0]C[-5]/R[-1]C[-5])-1)*R[-1]C[0]</f>
        <v/>
      </c>
    </row>
    <row r="837">
      <c r="A837" t="inlineStr">
        <is>
          <t>ATF Fuel 2</t>
        </is>
      </c>
      <c r="B837" t="inlineStr">
        <is>
          <t>P48</t>
        </is>
      </c>
      <c r="C837" t="n">
        <v>48</v>
      </c>
      <c r="D837" t="n">
        <v>16</v>
      </c>
      <c r="E837" t="inlineStr">
        <is>
          <t>Calculation</t>
        </is>
      </c>
      <c r="F837" t="inlineStr">
        <is>
          <t>'=(1+(H48/H47)-1)*P47</t>
        </is>
      </c>
      <c r="G837" t="n">
        <v>186.7852070942562</v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11</v>
      </c>
      <c r="M837" t="inlineStr">
        <is>
          <t>Values must be of type &lt;class 'str'&gt;</t>
        </is>
      </c>
      <c r="N837" t="inlineStr">
        <is>
          <t>00000000</t>
        </is>
      </c>
      <c r="O837" t="inlineStr">
        <is>
          <t>left</t>
        </is>
      </c>
      <c r="R837" t="b">
        <v>1</v>
      </c>
      <c r="S837" t="inlineStr">
        <is>
          <t>G000161</t>
        </is>
      </c>
      <c r="T837" t="inlineStr">
        <is>
          <t>Vertical</t>
        </is>
      </c>
      <c r="U837" t="n">
        <v>92</v>
      </c>
      <c r="V837" t="b">
        <v>1</v>
      </c>
      <c r="W837" t="inlineStr">
        <is>
          <t>ATF Fuel 2!P3:P94</t>
        </is>
      </c>
      <c r="X837">
        <f>(1+(R[0]C[-8]/R[-1]C[-8])-1)*R[-1]C[0]</f>
        <v/>
      </c>
    </row>
    <row r="838">
      <c r="A838" t="inlineStr">
        <is>
          <t>ATF Fuel 2</t>
        </is>
      </c>
      <c r="B838" t="inlineStr">
        <is>
          <t>Q48</t>
        </is>
      </c>
      <c r="C838" t="n">
        <v>48</v>
      </c>
      <c r="D838" t="n">
        <v>17</v>
      </c>
      <c r="E838" t="inlineStr">
        <is>
          <t>Output</t>
        </is>
      </c>
      <c r="F838" t="inlineStr">
        <is>
          <t>'=M48/N48-1</t>
        </is>
      </c>
      <c r="G838" t="n">
        <v>0.3334703708194988</v>
      </c>
      <c r="H838" t="inlineStr"/>
      <c r="I838" t="inlineStr">
        <is>
          <t>0.0%</t>
        </is>
      </c>
      <c r="J838" t="b">
        <v>0</v>
      </c>
      <c r="K838" t="b">
        <v>0</v>
      </c>
      <c r="L838" t="n">
        <v>11</v>
      </c>
      <c r="M838" t="inlineStr">
        <is>
          <t>Values must be of type &lt;class 'str'&gt;</t>
        </is>
      </c>
      <c r="N838" t="inlineStr">
        <is>
          <t>00000000</t>
        </is>
      </c>
      <c r="O838" t="n">
        <v/>
      </c>
      <c r="R838" t="b">
        <v>1</v>
      </c>
      <c r="S838" t="inlineStr">
        <is>
          <t>G000153</t>
        </is>
      </c>
      <c r="T838" t="inlineStr">
        <is>
          <t>Vertical</t>
        </is>
      </c>
      <c r="U838" t="n">
        <v>93</v>
      </c>
      <c r="V838" t="b">
        <v>1</v>
      </c>
      <c r="W838" t="inlineStr">
        <is>
          <t>ATF Fuel 2!Q2:Q94</t>
        </is>
      </c>
      <c r="X838">
        <f>R[0]C[-4]/R[0]C[-3]-1</f>
        <v/>
      </c>
    </row>
    <row r="839">
      <c r="A839" t="inlineStr">
        <is>
          <t>ATF Fuel 2</t>
        </is>
      </c>
      <c r="B839" t="inlineStr">
        <is>
          <t>A49</t>
        </is>
      </c>
      <c r="C839" t="n">
        <v>49</v>
      </c>
      <c r="D839" t="n">
        <v>1</v>
      </c>
      <c r="E839" t="inlineStr">
        <is>
          <t>Input</t>
        </is>
      </c>
      <c r="F839" t="n">
        <v/>
      </c>
      <c r="G839" t="inlineStr">
        <is>
          <t>March 01, 2014</t>
        </is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11</v>
      </c>
      <c r="M839" t="inlineStr">
        <is>
          <t>Values must be of type &lt;class 'str'&gt;</t>
        </is>
      </c>
      <c r="N839" t="inlineStr">
        <is>
          <t>00000000</t>
        </is>
      </c>
      <c r="O839" t="n">
        <v/>
      </c>
      <c r="R839" t="b">
        <v>1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</row>
    <row r="840">
      <c r="A840" t="inlineStr">
        <is>
          <t>ATF Fuel 2</t>
        </is>
      </c>
      <c r="B840" t="inlineStr">
        <is>
          <t>B49</t>
        </is>
      </c>
      <c r="C840" t="n">
        <v>49</v>
      </c>
      <c r="D840" t="n">
        <v>2</v>
      </c>
      <c r="E840" t="inlineStr">
        <is>
          <t>Input</t>
        </is>
      </c>
      <c r="F840" t="n">
        <v/>
      </c>
      <c r="G840" t="n">
        <v>79712.8625</v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11</v>
      </c>
      <c r="M840" t="inlineStr">
        <is>
          <t>Values must be of type &lt;class 'str'&gt;</t>
        </is>
      </c>
      <c r="N840" t="inlineStr">
        <is>
          <t>00000000</t>
        </is>
      </c>
      <c r="O840" t="n">
        <v/>
      </c>
      <c r="R840" t="b">
        <v>1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</row>
    <row r="841">
      <c r="A841" t="inlineStr">
        <is>
          <t>ATF Fuel 2</t>
        </is>
      </c>
      <c r="B841" t="inlineStr">
        <is>
          <t>C49</t>
        </is>
      </c>
      <c r="C841" t="n">
        <v>49</v>
      </c>
      <c r="D841" t="n">
        <v>3</v>
      </c>
      <c r="E841" t="inlineStr">
        <is>
          <t>Output</t>
        </is>
      </c>
      <c r="F841" t="inlineStr">
        <is>
          <t>'=B49/B48-1</t>
        </is>
      </c>
      <c r="G841" t="n">
        <v>0.01058031736356413</v>
      </c>
      <c r="H841" t="inlineStr"/>
      <c r="I841" t="inlineStr">
        <is>
          <t>0%</t>
        </is>
      </c>
      <c r="J841" t="b">
        <v>0</v>
      </c>
      <c r="K841" t="b">
        <v>0</v>
      </c>
      <c r="L841" t="n">
        <v>11</v>
      </c>
      <c r="M841" t="n">
        <v/>
      </c>
      <c r="N841" t="inlineStr">
        <is>
          <t>00000000</t>
        </is>
      </c>
      <c r="O841" t="n">
        <v/>
      </c>
      <c r="R841" t="b">
        <v>1</v>
      </c>
      <c r="S841" t="inlineStr">
        <is>
          <t>G000154</t>
        </is>
      </c>
      <c r="T841" t="inlineStr">
        <is>
          <t>Vertical</t>
        </is>
      </c>
      <c r="U841" t="n">
        <v>92</v>
      </c>
      <c r="V841" t="b">
        <v>1</v>
      </c>
      <c r="W841" t="inlineStr">
        <is>
          <t>ATF Fuel 2!C3:C94</t>
        </is>
      </c>
      <c r="X841">
        <f>R[0]C[-1]/R[-1]C[-1]-1</f>
        <v/>
      </c>
    </row>
    <row r="842">
      <c r="A842" t="inlineStr">
        <is>
          <t>ATF Fuel 2</t>
        </is>
      </c>
      <c r="B842" t="inlineStr">
        <is>
          <t>D49</t>
        </is>
      </c>
      <c r="C842" t="n">
        <v>49</v>
      </c>
      <c r="D842" t="n">
        <v>4</v>
      </c>
      <c r="E842" t="inlineStr">
        <is>
          <t>Input</t>
        </is>
      </c>
      <c r="F842" t="n">
        <v/>
      </c>
      <c r="G842" t="n">
        <v>61.95</v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11</v>
      </c>
      <c r="M842" t="inlineStr">
        <is>
          <t>Values must be of type &lt;class 'str'&gt;</t>
        </is>
      </c>
      <c r="N842" t="inlineStr">
        <is>
          <t>00000000</t>
        </is>
      </c>
      <c r="O842" t="n">
        <v/>
      </c>
      <c r="R842" t="b">
        <v>1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</row>
    <row r="843">
      <c r="A843" t="inlineStr">
        <is>
          <t>ATF Fuel 2</t>
        </is>
      </c>
      <c r="B843" t="inlineStr">
        <is>
          <t>E49</t>
        </is>
      </c>
      <c r="C843" t="n">
        <v>49</v>
      </c>
      <c r="D843" t="n">
        <v>5</v>
      </c>
      <c r="E843" t="inlineStr">
        <is>
          <t>Output</t>
        </is>
      </c>
      <c r="F843" t="inlineStr">
        <is>
          <t>'=B49/B48-1</t>
        </is>
      </c>
      <c r="G843" t="n">
        <v>0.01058031736356413</v>
      </c>
      <c r="H843" t="inlineStr"/>
      <c r="I843" t="inlineStr">
        <is>
          <t>0%</t>
        </is>
      </c>
      <c r="J843" t="b">
        <v>0</v>
      </c>
      <c r="K843" t="b">
        <v>0</v>
      </c>
      <c r="L843" t="n">
        <v>11</v>
      </c>
      <c r="M843" t="inlineStr">
        <is>
          <t>Values must be of type &lt;class 'str'&gt;</t>
        </is>
      </c>
      <c r="N843" t="inlineStr">
        <is>
          <t>00000000</t>
        </is>
      </c>
      <c r="O843" t="n">
        <v/>
      </c>
      <c r="R843" t="b">
        <v>1</v>
      </c>
      <c r="S843" t="inlineStr">
        <is>
          <t>G000158</t>
        </is>
      </c>
      <c r="T843" t="inlineStr">
        <is>
          <t>Vertical</t>
        </is>
      </c>
      <c r="U843" t="n">
        <v>92</v>
      </c>
      <c r="V843" t="b">
        <v>1</v>
      </c>
      <c r="W843" t="inlineStr">
        <is>
          <t>ATF Fuel 2!E3:E94</t>
        </is>
      </c>
      <c r="X843">
        <f>R[0]C[-3]/R[-1]C[-3]-1</f>
        <v/>
      </c>
    </row>
    <row r="844">
      <c r="A844" t="inlineStr">
        <is>
          <t>ATF Fuel 2</t>
        </is>
      </c>
      <c r="B844" t="inlineStr">
        <is>
          <t>F49</t>
        </is>
      </c>
      <c r="C844" t="n">
        <v>49</v>
      </c>
      <c r="D844" t="n">
        <v>6</v>
      </c>
      <c r="E844" t="inlineStr">
        <is>
          <t>Input</t>
        </is>
      </c>
      <c r="F844" t="n">
        <v/>
      </c>
      <c r="G844" t="n">
        <v>108.27</v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11</v>
      </c>
      <c r="M844" t="inlineStr">
        <is>
          <t>Values must be of type &lt;class 'str'&gt;</t>
        </is>
      </c>
      <c r="N844" t="inlineStr">
        <is>
          <t>00000000</t>
        </is>
      </c>
      <c r="O844" t="n">
        <v/>
      </c>
      <c r="R844" t="b">
        <v>1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</row>
    <row r="845">
      <c r="A845" t="inlineStr">
        <is>
          <t>ATF Fuel 2</t>
        </is>
      </c>
      <c r="B845" t="inlineStr">
        <is>
          <t>G49</t>
        </is>
      </c>
      <c r="C845" t="n">
        <v>49</v>
      </c>
      <c r="D845" t="n">
        <v>7</v>
      </c>
      <c r="E845" t="inlineStr">
        <is>
          <t>Output</t>
        </is>
      </c>
      <c r="F845" t="inlineStr">
        <is>
          <t>'=F49/F48-1</t>
        </is>
      </c>
      <c r="G845" t="n">
        <v>-0.01733526955890374</v>
      </c>
      <c r="H845" t="inlineStr"/>
      <c r="I845" t="inlineStr">
        <is>
          <t>0%</t>
        </is>
      </c>
      <c r="J845" t="b">
        <v>0</v>
      </c>
      <c r="K845" t="b">
        <v>0</v>
      </c>
      <c r="L845" t="n">
        <v>11</v>
      </c>
      <c r="M845" t="inlineStr">
        <is>
          <t>Values must be of type &lt;class 'str'&gt;</t>
        </is>
      </c>
      <c r="N845" t="inlineStr">
        <is>
          <t>00000000</t>
        </is>
      </c>
      <c r="O845" t="n">
        <v/>
      </c>
      <c r="R845" t="b">
        <v>1</v>
      </c>
      <c r="S845" t="inlineStr">
        <is>
          <t>G000155</t>
        </is>
      </c>
      <c r="T845" t="inlineStr">
        <is>
          <t>Vertical</t>
        </is>
      </c>
      <c r="U845" t="n">
        <v>93</v>
      </c>
      <c r="V845" t="b">
        <v>1</v>
      </c>
      <c r="W845" t="inlineStr">
        <is>
          <t>ATF Fuel 2!G3:G95</t>
        </is>
      </c>
      <c r="X845">
        <f>R[0]C[-1]/R[-1]C[-1]-1</f>
        <v/>
      </c>
    </row>
    <row r="846">
      <c r="A846" t="inlineStr">
        <is>
          <t>ATF Fuel 2</t>
        </is>
      </c>
      <c r="B846" t="inlineStr">
        <is>
          <t>H49</t>
        </is>
      </c>
      <c r="C846" t="n">
        <v>49</v>
      </c>
      <c r="D846" t="n">
        <v>8</v>
      </c>
      <c r="E846" t="inlineStr">
        <is>
          <t>Calculation</t>
        </is>
      </c>
      <c r="F846" t="inlineStr">
        <is>
          <t>'=D49*F49</t>
        </is>
      </c>
      <c r="G846" t="n">
        <v>6707.3265</v>
      </c>
      <c r="H846" t="inlineStr"/>
      <c r="I846" t="inlineStr">
        <is>
          <t>0</t>
        </is>
      </c>
      <c r="J846" t="b">
        <v>0</v>
      </c>
      <c r="K846" t="b">
        <v>0</v>
      </c>
      <c r="L846" t="n">
        <v>11</v>
      </c>
      <c r="M846" t="inlineStr">
        <is>
          <t>Values must be of type &lt;class 'str'&gt;</t>
        </is>
      </c>
      <c r="N846" t="inlineStr">
        <is>
          <t>00000000</t>
        </is>
      </c>
      <c r="O846" t="n">
        <v/>
      </c>
      <c r="R846" t="b">
        <v>1</v>
      </c>
      <c r="S846" t="inlineStr">
        <is>
          <t>G000152</t>
        </is>
      </c>
      <c r="T846" t="inlineStr">
        <is>
          <t>Vertical</t>
        </is>
      </c>
      <c r="U846" t="n">
        <v>98</v>
      </c>
      <c r="V846" t="b">
        <v>1</v>
      </c>
      <c r="W846" t="inlineStr">
        <is>
          <t>ATF Fuel 2!H2:H99</t>
        </is>
      </c>
      <c r="X846">
        <f>R[0]C[-4]*R[0]C[-2]</f>
        <v/>
      </c>
    </row>
    <row r="847">
      <c r="A847" t="inlineStr">
        <is>
          <t>ATF Fuel 2</t>
        </is>
      </c>
      <c r="B847" t="inlineStr">
        <is>
          <t>I49</t>
        </is>
      </c>
      <c r="C847" t="n">
        <v>49</v>
      </c>
      <c r="D847" t="n">
        <v>9</v>
      </c>
      <c r="E847" t="inlineStr">
        <is>
          <t>Output</t>
        </is>
      </c>
      <c r="F847" t="inlineStr">
        <is>
          <t>'=H49/H48-1</t>
        </is>
      </c>
      <c r="G847" t="n">
        <v>-0.02908963236322304</v>
      </c>
      <c r="H847" t="inlineStr"/>
      <c r="I847" t="inlineStr">
        <is>
          <t>0%</t>
        </is>
      </c>
      <c r="J847" t="b">
        <v>0</v>
      </c>
      <c r="K847" t="b">
        <v>0</v>
      </c>
      <c r="L847" t="n">
        <v>11</v>
      </c>
      <c r="M847" t="inlineStr">
        <is>
          <t>FFFF0000</t>
        </is>
      </c>
      <c r="N847" t="inlineStr">
        <is>
          <t>00000000</t>
        </is>
      </c>
      <c r="O847" t="n">
        <v/>
      </c>
      <c r="R847" t="b">
        <v>1</v>
      </c>
      <c r="S847" t="inlineStr">
        <is>
          <t>G000156</t>
        </is>
      </c>
      <c r="T847" t="inlineStr">
        <is>
          <t>Vertical</t>
        </is>
      </c>
      <c r="U847" t="n">
        <v>97</v>
      </c>
      <c r="V847" t="b">
        <v>1</v>
      </c>
      <c r="W847" t="inlineStr">
        <is>
          <t>ATF Fuel 2!I3:I99</t>
        </is>
      </c>
      <c r="X847">
        <f>R[0]C[-1]/R[-1]C[-1]-1</f>
        <v/>
      </c>
    </row>
    <row r="848">
      <c r="A848" t="inlineStr">
        <is>
          <t>ATF Fuel 2</t>
        </is>
      </c>
      <c r="B848" t="inlineStr">
        <is>
          <t>J49</t>
        </is>
      </c>
      <c r="C848" t="n">
        <v>49</v>
      </c>
      <c r="D848" t="n">
        <v>10</v>
      </c>
      <c r="E848" t="inlineStr">
        <is>
          <t>Input</t>
        </is>
      </c>
      <c r="F848" t="n">
        <v/>
      </c>
      <c r="G848" t="n">
        <v>105.34</v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11</v>
      </c>
      <c r="M848" t="inlineStr">
        <is>
          <t>Values must be of type &lt;class 'str'&gt;</t>
        </is>
      </c>
      <c r="N848" t="inlineStr">
        <is>
          <t>00000000</t>
        </is>
      </c>
      <c r="O848" t="n">
        <v/>
      </c>
      <c r="R848" t="b">
        <v>1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</row>
    <row r="849">
      <c r="A849" t="inlineStr">
        <is>
          <t>ATF Fuel 2</t>
        </is>
      </c>
      <c r="B849" t="inlineStr">
        <is>
          <t>K49</t>
        </is>
      </c>
      <c r="C849" t="n">
        <v>49</v>
      </c>
      <c r="D849" t="n">
        <v>11</v>
      </c>
      <c r="E849" t="inlineStr">
        <is>
          <t>Output</t>
        </is>
      </c>
      <c r="F849" t="inlineStr">
        <is>
          <t>'=J49/J48-1</t>
        </is>
      </c>
      <c r="G849" t="n">
        <v>0.09228535877229382</v>
      </c>
      <c r="H849" t="inlineStr"/>
      <c r="I849" t="inlineStr">
        <is>
          <t>0%</t>
        </is>
      </c>
      <c r="J849" t="b">
        <v>0</v>
      </c>
      <c r="K849" t="b">
        <v>0</v>
      </c>
      <c r="L849" t="n">
        <v>11</v>
      </c>
      <c r="M849" t="inlineStr">
        <is>
          <t>Values must be of type &lt;class 'str'&gt;</t>
        </is>
      </c>
      <c r="N849" t="inlineStr">
        <is>
          <t>00000000</t>
        </is>
      </c>
      <c r="O849" t="n">
        <v/>
      </c>
      <c r="R849" t="b">
        <v>1</v>
      </c>
      <c r="S849" t="inlineStr">
        <is>
          <t>G000157</t>
        </is>
      </c>
      <c r="T849" t="inlineStr">
        <is>
          <t>Vertical</t>
        </is>
      </c>
      <c r="U849" t="n">
        <v>93</v>
      </c>
      <c r="V849" t="b">
        <v>1</v>
      </c>
      <c r="W849" t="inlineStr">
        <is>
          <t>ATF Fuel 2!K3:K95</t>
        </is>
      </c>
      <c r="X849">
        <f>R[0]C[-1]/R[-1]C[-1]-1</f>
        <v/>
      </c>
    </row>
    <row r="850">
      <c r="A850" t="inlineStr">
        <is>
          <t>ATF Fuel 2</t>
        </is>
      </c>
      <c r="B850" t="inlineStr">
        <is>
          <t>L49</t>
        </is>
      </c>
      <c r="C850" t="n">
        <v>49</v>
      </c>
      <c r="D850" t="n">
        <v>12</v>
      </c>
      <c r="E850" t="inlineStr">
        <is>
          <t>Input</t>
        </is>
      </c>
      <c r="F850" t="n">
        <v/>
      </c>
      <c r="G850" t="inlineStr">
        <is>
          <t>March 01, 2014</t>
        </is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11</v>
      </c>
      <c r="M850" t="inlineStr">
        <is>
          <t>Values must be of type &lt;class 'str'&gt;</t>
        </is>
      </c>
      <c r="N850" t="inlineStr">
        <is>
          <t>00000000</t>
        </is>
      </c>
      <c r="O850" t="inlineStr">
        <is>
          <t>left</t>
        </is>
      </c>
      <c r="R850" t="b">
        <v>1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</row>
    <row r="851">
      <c r="A851" t="inlineStr">
        <is>
          <t>ATF Fuel 2</t>
        </is>
      </c>
      <c r="B851" t="inlineStr">
        <is>
          <t>M49</t>
        </is>
      </c>
      <c r="C851" t="n">
        <v>49</v>
      </c>
      <c r="D851" t="n">
        <v>13</v>
      </c>
      <c r="E851" t="inlineStr">
        <is>
          <t>Calculation</t>
        </is>
      </c>
      <c r="F851" t="inlineStr">
        <is>
          <t>'=(1+(B49/B48)-1)*M48</t>
        </is>
      </c>
      <c r="G851" t="n">
        <v>179.6880604659827</v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11</v>
      </c>
      <c r="M851" t="inlineStr">
        <is>
          <t>Values must be of type &lt;class 'str'&gt;</t>
        </is>
      </c>
      <c r="N851" t="inlineStr">
        <is>
          <t>00000000</t>
        </is>
      </c>
      <c r="O851" t="inlineStr">
        <is>
          <t>left</t>
        </is>
      </c>
      <c r="R851" t="b">
        <v>1</v>
      </c>
      <c r="S851" t="inlineStr">
        <is>
          <t>G000159</t>
        </is>
      </c>
      <c r="T851" t="inlineStr">
        <is>
          <t>Vertical</t>
        </is>
      </c>
      <c r="U851" t="n">
        <v>92</v>
      </c>
      <c r="V851" t="b">
        <v>1</v>
      </c>
      <c r="W851" t="inlineStr">
        <is>
          <t>ATF Fuel 2!M3:M94</t>
        </is>
      </c>
      <c r="X851">
        <f>(1+(R[0]C[-11]/R[-1]C[-11])-1)*R[-1]C[0]</f>
        <v/>
      </c>
    </row>
    <row r="852">
      <c r="A852" t="inlineStr">
        <is>
          <t>ATF Fuel 2</t>
        </is>
      </c>
      <c r="B852" t="inlineStr">
        <is>
          <t>N49</t>
        </is>
      </c>
      <c r="C852" t="n">
        <v>49</v>
      </c>
      <c r="D852" t="n">
        <v>14</v>
      </c>
      <c r="E852" t="inlineStr">
        <is>
          <t>Calculation</t>
        </is>
      </c>
      <c r="F852" t="inlineStr">
        <is>
          <t>'=(1+(F49/F48)-1)*N48</t>
        </is>
      </c>
      <c r="G852" t="n">
        <v>131.0298922909356</v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11</v>
      </c>
      <c r="M852" t="inlineStr">
        <is>
          <t>Values must be of type &lt;class 'str'&gt;</t>
        </is>
      </c>
      <c r="N852" t="inlineStr">
        <is>
          <t>00000000</t>
        </is>
      </c>
      <c r="O852" t="inlineStr">
        <is>
          <t>left</t>
        </is>
      </c>
      <c r="R852" t="b">
        <v>1</v>
      </c>
      <c r="S852" t="inlineStr">
        <is>
          <t>G000160</t>
        </is>
      </c>
      <c r="T852" t="inlineStr">
        <is>
          <t>Vertical</t>
        </is>
      </c>
      <c r="U852" t="n">
        <v>92</v>
      </c>
      <c r="V852" t="b">
        <v>1</v>
      </c>
      <c r="W852" t="inlineStr">
        <is>
          <t>ATF Fuel 2!N3:N94</t>
        </is>
      </c>
      <c r="X852">
        <f>(1+(R[0]C[-8]/R[-1]C[-8])-1)*R[-1]C[0]</f>
        <v/>
      </c>
    </row>
    <row r="853">
      <c r="A853" t="inlineStr">
        <is>
          <t>ATF Fuel 2</t>
        </is>
      </c>
      <c r="B853" t="inlineStr">
        <is>
          <t>O49</t>
        </is>
      </c>
      <c r="C853" t="n">
        <v>49</v>
      </c>
      <c r="D853" t="n">
        <v>15</v>
      </c>
      <c r="E853" t="inlineStr">
        <is>
          <t>Calculation</t>
        </is>
      </c>
      <c r="F853" t="inlineStr">
        <is>
          <t>'=(1+(J49/J48)-1)*O48</t>
        </is>
      </c>
      <c r="G853" t="n">
        <v>124.6184786466344</v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11</v>
      </c>
      <c r="M853" t="inlineStr">
        <is>
          <t>Values must be of type &lt;class 'str'&gt;</t>
        </is>
      </c>
      <c r="N853" t="inlineStr">
        <is>
          <t>00000000</t>
        </is>
      </c>
      <c r="O853" t="inlineStr">
        <is>
          <t>left</t>
        </is>
      </c>
      <c r="R853" t="b">
        <v>1</v>
      </c>
      <c r="S853" t="inlineStr">
        <is>
          <t>G000162</t>
        </is>
      </c>
      <c r="T853" t="inlineStr">
        <is>
          <t>Vertical</t>
        </is>
      </c>
      <c r="U853" t="n">
        <v>92</v>
      </c>
      <c r="V853" t="b">
        <v>1</v>
      </c>
      <c r="W853" t="inlineStr">
        <is>
          <t>ATF Fuel 2!O3:O94</t>
        </is>
      </c>
      <c r="X853">
        <f>(1+(R[0]C[-5]/R[-1]C[-5])-1)*R[-1]C[0]</f>
        <v/>
      </c>
    </row>
    <row r="854">
      <c r="A854" t="inlineStr">
        <is>
          <t>ATF Fuel 2</t>
        </is>
      </c>
      <c r="B854" t="inlineStr">
        <is>
          <t>P49</t>
        </is>
      </c>
      <c r="C854" t="n">
        <v>49</v>
      </c>
      <c r="D854" t="n">
        <v>16</v>
      </c>
      <c r="E854" t="inlineStr">
        <is>
          <t>Calculation</t>
        </is>
      </c>
      <c r="F854" t="inlineStr">
        <is>
          <t>'=(1+(H49/H48)-1)*P48</t>
        </is>
      </c>
      <c r="G854" t="n">
        <v>181.3516940889959</v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11</v>
      </c>
      <c r="M854" t="inlineStr">
        <is>
          <t>Values must be of type &lt;class 'str'&gt;</t>
        </is>
      </c>
      <c r="N854" t="inlineStr">
        <is>
          <t>00000000</t>
        </is>
      </c>
      <c r="O854" t="inlineStr">
        <is>
          <t>left</t>
        </is>
      </c>
      <c r="R854" t="b">
        <v>1</v>
      </c>
      <c r="S854" t="inlineStr">
        <is>
          <t>G000161</t>
        </is>
      </c>
      <c r="T854" t="inlineStr">
        <is>
          <t>Vertical</t>
        </is>
      </c>
      <c r="U854" t="n">
        <v>92</v>
      </c>
      <c r="V854" t="b">
        <v>1</v>
      </c>
      <c r="W854" t="inlineStr">
        <is>
          <t>ATF Fuel 2!P3:P94</t>
        </is>
      </c>
      <c r="X854">
        <f>(1+(R[0]C[-8]/R[-1]C[-8])-1)*R[-1]C[0]</f>
        <v/>
      </c>
    </row>
    <row r="855">
      <c r="A855" t="inlineStr">
        <is>
          <t>ATF Fuel 2</t>
        </is>
      </c>
      <c r="B855" t="inlineStr">
        <is>
          <t>Q49</t>
        </is>
      </c>
      <c r="C855" t="n">
        <v>49</v>
      </c>
      <c r="D855" t="n">
        <v>17</v>
      </c>
      <c r="E855" t="inlineStr">
        <is>
          <t>Output</t>
        </is>
      </c>
      <c r="F855" t="inlineStr">
        <is>
          <t>'=M49/N49-1</t>
        </is>
      </c>
      <c r="G855" t="n">
        <v>0.3713516612454182</v>
      </c>
      <c r="H855" t="inlineStr"/>
      <c r="I855" t="inlineStr">
        <is>
          <t>0.0%</t>
        </is>
      </c>
      <c r="J855" t="b">
        <v>0</v>
      </c>
      <c r="K855" t="b">
        <v>0</v>
      </c>
      <c r="L855" t="n">
        <v>11</v>
      </c>
      <c r="M855" t="inlineStr">
        <is>
          <t>Values must be of type &lt;class 'str'&gt;</t>
        </is>
      </c>
      <c r="N855" t="inlineStr">
        <is>
          <t>00000000</t>
        </is>
      </c>
      <c r="O855" t="n">
        <v/>
      </c>
      <c r="R855" t="b">
        <v>1</v>
      </c>
      <c r="S855" t="inlineStr">
        <is>
          <t>G000153</t>
        </is>
      </c>
      <c r="T855" t="inlineStr">
        <is>
          <t>Vertical</t>
        </is>
      </c>
      <c r="U855" t="n">
        <v>93</v>
      </c>
      <c r="V855" t="b">
        <v>1</v>
      </c>
      <c r="W855" t="inlineStr">
        <is>
          <t>ATF Fuel 2!Q2:Q94</t>
        </is>
      </c>
      <c r="X855">
        <f>R[0]C[-4]/R[0]C[-3]-1</f>
        <v/>
      </c>
    </row>
    <row r="856">
      <c r="A856" t="inlineStr">
        <is>
          <t>ATF Fuel 2</t>
        </is>
      </c>
      <c r="B856" t="inlineStr">
        <is>
          <t>A50</t>
        </is>
      </c>
      <c r="C856" t="n">
        <v>50</v>
      </c>
      <c r="D856" t="n">
        <v>1</v>
      </c>
      <c r="E856" t="inlineStr">
        <is>
          <t>Input</t>
        </is>
      </c>
      <c r="F856" t="n">
        <v/>
      </c>
      <c r="G856" t="inlineStr">
        <is>
          <t>April 01, 2014</t>
        </is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11</v>
      </c>
      <c r="M856" t="inlineStr">
        <is>
          <t>Values must be of type &lt;class 'str'&gt;</t>
        </is>
      </c>
      <c r="N856" t="inlineStr">
        <is>
          <t>00000000</t>
        </is>
      </c>
      <c r="O856" t="n">
        <v/>
      </c>
      <c r="R856" t="b">
        <v>1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</row>
    <row r="857">
      <c r="A857" t="inlineStr">
        <is>
          <t>ATF Fuel 2</t>
        </is>
      </c>
      <c r="B857" t="inlineStr">
        <is>
          <t>B50</t>
        </is>
      </c>
      <c r="C857" t="n">
        <v>50</v>
      </c>
      <c r="D857" t="n">
        <v>2</v>
      </c>
      <c r="E857" t="inlineStr">
        <is>
          <t>Input</t>
        </is>
      </c>
      <c r="F857" t="n">
        <v/>
      </c>
      <c r="G857" t="n">
        <v>76610.8625</v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11</v>
      </c>
      <c r="M857" t="inlineStr">
        <is>
          <t>Values must be of type &lt;class 'str'&gt;</t>
        </is>
      </c>
      <c r="N857" t="inlineStr">
        <is>
          <t>00000000</t>
        </is>
      </c>
      <c r="O857" t="n">
        <v/>
      </c>
      <c r="R857" t="b">
        <v>1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</row>
    <row r="858">
      <c r="A858" t="inlineStr">
        <is>
          <t>ATF Fuel 2</t>
        </is>
      </c>
      <c r="B858" t="inlineStr">
        <is>
          <t>C50</t>
        </is>
      </c>
      <c r="C858" t="n">
        <v>50</v>
      </c>
      <c r="D858" t="n">
        <v>3</v>
      </c>
      <c r="E858" t="inlineStr">
        <is>
          <t>Output</t>
        </is>
      </c>
      <c r="F858" t="inlineStr">
        <is>
          <t>'=B50/B49-1</t>
        </is>
      </c>
      <c r="G858" t="n">
        <v>-0.03891467327496867</v>
      </c>
      <c r="H858" t="inlineStr"/>
      <c r="I858" t="inlineStr">
        <is>
          <t>0%</t>
        </is>
      </c>
      <c r="J858" t="b">
        <v>0</v>
      </c>
      <c r="K858" t="b">
        <v>0</v>
      </c>
      <c r="L858" t="n">
        <v>11</v>
      </c>
      <c r="M858" t="n">
        <v/>
      </c>
      <c r="N858" t="inlineStr">
        <is>
          <t>00000000</t>
        </is>
      </c>
      <c r="O858" t="n">
        <v/>
      </c>
      <c r="R858" t="b">
        <v>1</v>
      </c>
      <c r="S858" t="inlineStr">
        <is>
          <t>G000154</t>
        </is>
      </c>
      <c r="T858" t="inlineStr">
        <is>
          <t>Vertical</t>
        </is>
      </c>
      <c r="U858" t="n">
        <v>92</v>
      </c>
      <c r="V858" t="b">
        <v>1</v>
      </c>
      <c r="W858" t="inlineStr">
        <is>
          <t>ATF Fuel 2!C3:C94</t>
        </is>
      </c>
      <c r="X858">
        <f>R[0]C[-1]/R[-1]C[-1]-1</f>
        <v/>
      </c>
    </row>
    <row r="859">
      <c r="A859" t="inlineStr">
        <is>
          <t>ATF Fuel 2</t>
        </is>
      </c>
      <c r="B859" t="inlineStr">
        <is>
          <t>D50</t>
        </is>
      </c>
      <c r="C859" t="n">
        <v>50</v>
      </c>
      <c r="D859" t="n">
        <v>4</v>
      </c>
      <c r="E859" t="inlineStr">
        <is>
          <t>Input</t>
        </is>
      </c>
      <c r="F859" t="n">
        <v/>
      </c>
      <c r="G859" t="n">
        <v>59.85</v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11</v>
      </c>
      <c r="M859" t="inlineStr">
        <is>
          <t>Values must be of type &lt;class 'str'&gt;</t>
        </is>
      </c>
      <c r="N859" t="inlineStr">
        <is>
          <t>00000000</t>
        </is>
      </c>
      <c r="O859" t="n">
        <v/>
      </c>
      <c r="R859" t="b">
        <v>1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</row>
    <row r="860">
      <c r="A860" t="inlineStr">
        <is>
          <t>ATF Fuel 2</t>
        </is>
      </c>
      <c r="B860" t="inlineStr">
        <is>
          <t>E50</t>
        </is>
      </c>
      <c r="C860" t="n">
        <v>50</v>
      </c>
      <c r="D860" t="n">
        <v>5</v>
      </c>
      <c r="E860" t="inlineStr">
        <is>
          <t>Output</t>
        </is>
      </c>
      <c r="F860" t="inlineStr">
        <is>
          <t>'=B50/B49-1</t>
        </is>
      </c>
      <c r="G860" t="n">
        <v>-0.03891467327496867</v>
      </c>
      <c r="H860" t="inlineStr"/>
      <c r="I860" t="inlineStr">
        <is>
          <t>0%</t>
        </is>
      </c>
      <c r="J860" t="b">
        <v>0</v>
      </c>
      <c r="K860" t="b">
        <v>0</v>
      </c>
      <c r="L860" t="n">
        <v>11</v>
      </c>
      <c r="M860" t="inlineStr">
        <is>
          <t>Values must be of type &lt;class 'str'&gt;</t>
        </is>
      </c>
      <c r="N860" t="inlineStr">
        <is>
          <t>00000000</t>
        </is>
      </c>
      <c r="O860" t="n">
        <v/>
      </c>
      <c r="R860" t="b">
        <v>1</v>
      </c>
      <c r="S860" t="inlineStr">
        <is>
          <t>G000158</t>
        </is>
      </c>
      <c r="T860" t="inlineStr">
        <is>
          <t>Vertical</t>
        </is>
      </c>
      <c r="U860" t="n">
        <v>92</v>
      </c>
      <c r="V860" t="b">
        <v>1</v>
      </c>
      <c r="W860" t="inlineStr">
        <is>
          <t>ATF Fuel 2!E3:E94</t>
        </is>
      </c>
      <c r="X860">
        <f>R[0]C[-3]/R[-1]C[-3]-1</f>
        <v/>
      </c>
    </row>
    <row r="861">
      <c r="A861" t="inlineStr">
        <is>
          <t>ATF Fuel 2</t>
        </is>
      </c>
      <c r="B861" t="inlineStr">
        <is>
          <t>F50</t>
        </is>
      </c>
      <c r="C861" t="n">
        <v>50</v>
      </c>
      <c r="D861" t="n">
        <v>6</v>
      </c>
      <c r="E861" t="inlineStr">
        <is>
          <t>Input</t>
        </is>
      </c>
      <c r="F861" t="n">
        <v/>
      </c>
      <c r="G861" t="n">
        <v>105.83</v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11</v>
      </c>
      <c r="M861" t="inlineStr">
        <is>
          <t>Values must be of type &lt;class 'str'&gt;</t>
        </is>
      </c>
      <c r="N861" t="inlineStr">
        <is>
          <t>00000000</t>
        </is>
      </c>
      <c r="O861" t="n">
        <v/>
      </c>
      <c r="R861" t="b">
        <v>1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</row>
    <row r="862">
      <c r="A862" t="inlineStr">
        <is>
          <t>ATF Fuel 2</t>
        </is>
      </c>
      <c r="B862" t="inlineStr">
        <is>
          <t>G50</t>
        </is>
      </c>
      <c r="C862" t="n">
        <v>50</v>
      </c>
      <c r="D862" t="n">
        <v>7</v>
      </c>
      <c r="E862" t="inlineStr">
        <is>
          <t>Output</t>
        </is>
      </c>
      <c r="F862" t="inlineStr">
        <is>
          <t>'=F50/F49-1</t>
        </is>
      </c>
      <c r="G862" t="n">
        <v>-0.02253625196268583</v>
      </c>
      <c r="H862" t="inlineStr"/>
      <c r="I862" t="inlineStr">
        <is>
          <t>0%</t>
        </is>
      </c>
      <c r="J862" t="b">
        <v>0</v>
      </c>
      <c r="K862" t="b">
        <v>0</v>
      </c>
      <c r="L862" t="n">
        <v>11</v>
      </c>
      <c r="M862" t="inlineStr">
        <is>
          <t>Values must be of type &lt;class 'str'&gt;</t>
        </is>
      </c>
      <c r="N862" t="inlineStr">
        <is>
          <t>00000000</t>
        </is>
      </c>
      <c r="O862" t="n">
        <v/>
      </c>
      <c r="R862" t="b">
        <v>1</v>
      </c>
      <c r="S862" t="inlineStr">
        <is>
          <t>G000155</t>
        </is>
      </c>
      <c r="T862" t="inlineStr">
        <is>
          <t>Vertical</t>
        </is>
      </c>
      <c r="U862" t="n">
        <v>93</v>
      </c>
      <c r="V862" t="b">
        <v>1</v>
      </c>
      <c r="W862" t="inlineStr">
        <is>
          <t>ATF Fuel 2!G3:G95</t>
        </is>
      </c>
      <c r="X862">
        <f>R[0]C[-1]/R[-1]C[-1]-1</f>
        <v/>
      </c>
    </row>
    <row r="863">
      <c r="A863" t="inlineStr">
        <is>
          <t>ATF Fuel 2</t>
        </is>
      </c>
      <c r="B863" t="inlineStr">
        <is>
          <t>H50</t>
        </is>
      </c>
      <c r="C863" t="n">
        <v>50</v>
      </c>
      <c r="D863" t="n">
        <v>8</v>
      </c>
      <c r="E863" t="inlineStr">
        <is>
          <t>Calculation</t>
        </is>
      </c>
      <c r="F863" t="inlineStr">
        <is>
          <t>'=D50*F50</t>
        </is>
      </c>
      <c r="G863" t="n">
        <v>6333.9255</v>
      </c>
      <c r="H863" t="inlineStr"/>
      <c r="I863" t="inlineStr">
        <is>
          <t>0</t>
        </is>
      </c>
      <c r="J863" t="b">
        <v>0</v>
      </c>
      <c r="K863" t="b">
        <v>0</v>
      </c>
      <c r="L863" t="n">
        <v>11</v>
      </c>
      <c r="M863" t="inlineStr">
        <is>
          <t>Values must be of type &lt;class 'str'&gt;</t>
        </is>
      </c>
      <c r="N863" t="inlineStr">
        <is>
          <t>00000000</t>
        </is>
      </c>
      <c r="O863" t="n">
        <v/>
      </c>
      <c r="R863" t="b">
        <v>1</v>
      </c>
      <c r="S863" t="inlineStr">
        <is>
          <t>G000152</t>
        </is>
      </c>
      <c r="T863" t="inlineStr">
        <is>
          <t>Vertical</t>
        </is>
      </c>
      <c r="U863" t="n">
        <v>98</v>
      </c>
      <c r="V863" t="b">
        <v>1</v>
      </c>
      <c r="W863" t="inlineStr">
        <is>
          <t>ATF Fuel 2!H2:H99</t>
        </is>
      </c>
      <c r="X863">
        <f>R[0]C[-4]*R[0]C[-2]</f>
        <v/>
      </c>
    </row>
    <row r="864">
      <c r="A864" t="inlineStr">
        <is>
          <t>ATF Fuel 2</t>
        </is>
      </c>
      <c r="B864" t="inlineStr">
        <is>
          <t>I50</t>
        </is>
      </c>
      <c r="C864" t="n">
        <v>50</v>
      </c>
      <c r="D864" t="n">
        <v>9</v>
      </c>
      <c r="E864" t="inlineStr">
        <is>
          <t>Output</t>
        </is>
      </c>
      <c r="F864" t="inlineStr">
        <is>
          <t>'=H50/H49-1</t>
        </is>
      </c>
      <c r="G864" t="n">
        <v>-0.0556706163029338</v>
      </c>
      <c r="H864" t="inlineStr"/>
      <c r="I864" t="inlineStr">
        <is>
          <t>0%</t>
        </is>
      </c>
      <c r="J864" t="b">
        <v>0</v>
      </c>
      <c r="K864" t="b">
        <v>0</v>
      </c>
      <c r="L864" t="n">
        <v>11</v>
      </c>
      <c r="M864" t="inlineStr">
        <is>
          <t>FFFF0000</t>
        </is>
      </c>
      <c r="N864" t="inlineStr">
        <is>
          <t>00000000</t>
        </is>
      </c>
      <c r="O864" t="n">
        <v/>
      </c>
      <c r="R864" t="b">
        <v>1</v>
      </c>
      <c r="S864" t="inlineStr">
        <is>
          <t>G000156</t>
        </is>
      </c>
      <c r="T864" t="inlineStr">
        <is>
          <t>Vertical</t>
        </is>
      </c>
      <c r="U864" t="n">
        <v>97</v>
      </c>
      <c r="V864" t="b">
        <v>1</v>
      </c>
      <c r="W864" t="inlineStr">
        <is>
          <t>ATF Fuel 2!I3:I99</t>
        </is>
      </c>
      <c r="X864">
        <f>R[0]C[-1]/R[-1]C[-1]-1</f>
        <v/>
      </c>
    </row>
    <row r="865">
      <c r="A865" t="inlineStr">
        <is>
          <t>ATF Fuel 2</t>
        </is>
      </c>
      <c r="B865" t="inlineStr">
        <is>
          <t>J50</t>
        </is>
      </c>
      <c r="C865" t="n">
        <v>50</v>
      </c>
      <c r="D865" t="n">
        <v>10</v>
      </c>
      <c r="E865" t="inlineStr">
        <is>
          <t>Input</t>
        </is>
      </c>
      <c r="F865" t="n">
        <v/>
      </c>
      <c r="G865" t="n">
        <v>99.69</v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11</v>
      </c>
      <c r="M865" t="inlineStr">
        <is>
          <t>Values must be of type &lt;class 'str'&gt;</t>
        </is>
      </c>
      <c r="N865" t="inlineStr">
        <is>
          <t>00000000</t>
        </is>
      </c>
      <c r="O865" t="n">
        <v/>
      </c>
      <c r="R865" t="b">
        <v>1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</row>
    <row r="866">
      <c r="A866" t="inlineStr">
        <is>
          <t>ATF Fuel 2</t>
        </is>
      </c>
      <c r="B866" t="inlineStr">
        <is>
          <t>K50</t>
        </is>
      </c>
      <c r="C866" t="n">
        <v>50</v>
      </c>
      <c r="D866" t="n">
        <v>11</v>
      </c>
      <c r="E866" t="inlineStr">
        <is>
          <t>Output</t>
        </is>
      </c>
      <c r="F866" t="inlineStr">
        <is>
          <t>'=J50/J49-1</t>
        </is>
      </c>
      <c r="G866" t="n">
        <v>-0.05363584583254233</v>
      </c>
      <c r="H866" t="inlineStr"/>
      <c r="I866" t="inlineStr">
        <is>
          <t>0%</t>
        </is>
      </c>
      <c r="J866" t="b">
        <v>0</v>
      </c>
      <c r="K866" t="b">
        <v>0</v>
      </c>
      <c r="L866" t="n">
        <v>11</v>
      </c>
      <c r="M866" t="inlineStr">
        <is>
          <t>Values must be of type &lt;class 'str'&gt;</t>
        </is>
      </c>
      <c r="N866" t="inlineStr">
        <is>
          <t>00000000</t>
        </is>
      </c>
      <c r="O866" t="n">
        <v/>
      </c>
      <c r="R866" t="b">
        <v>1</v>
      </c>
      <c r="S866" t="inlineStr">
        <is>
          <t>G000157</t>
        </is>
      </c>
      <c r="T866" t="inlineStr">
        <is>
          <t>Vertical</t>
        </is>
      </c>
      <c r="U866" t="n">
        <v>93</v>
      </c>
      <c r="V866" t="b">
        <v>1</v>
      </c>
      <c r="W866" t="inlineStr">
        <is>
          <t>ATF Fuel 2!K3:K95</t>
        </is>
      </c>
      <c r="X866">
        <f>R[0]C[-1]/R[-1]C[-1]-1</f>
        <v/>
      </c>
    </row>
    <row r="867">
      <c r="A867" t="inlineStr">
        <is>
          <t>ATF Fuel 2</t>
        </is>
      </c>
      <c r="B867" t="inlineStr">
        <is>
          <t>L50</t>
        </is>
      </c>
      <c r="C867" t="n">
        <v>50</v>
      </c>
      <c r="D867" t="n">
        <v>12</v>
      </c>
      <c r="E867" t="inlineStr">
        <is>
          <t>Input</t>
        </is>
      </c>
      <c r="F867" t="n">
        <v/>
      </c>
      <c r="G867" t="inlineStr">
        <is>
          <t>April 01, 2014</t>
        </is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11</v>
      </c>
      <c r="M867" t="inlineStr">
        <is>
          <t>Values must be of type &lt;class 'str'&gt;</t>
        </is>
      </c>
      <c r="N867" t="inlineStr">
        <is>
          <t>00000000</t>
        </is>
      </c>
      <c r="O867" t="inlineStr">
        <is>
          <t>left</t>
        </is>
      </c>
      <c r="R867" t="b">
        <v>1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</row>
    <row r="868">
      <c r="A868" t="inlineStr">
        <is>
          <t>ATF Fuel 2</t>
        </is>
      </c>
      <c r="B868" t="inlineStr">
        <is>
          <t>M50</t>
        </is>
      </c>
      <c r="C868" t="n">
        <v>50</v>
      </c>
      <c r="D868" t="n">
        <v>13</v>
      </c>
      <c r="E868" t="inlineStr">
        <is>
          <t>Calculation</t>
        </is>
      </c>
      <c r="F868" t="inlineStr">
        <is>
          <t>'=(1+(B50/B49)-1)*M49</t>
        </is>
      </c>
      <c r="G868" t="n">
        <v>172.6955583015362</v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11</v>
      </c>
      <c r="M868" t="inlineStr">
        <is>
          <t>Values must be of type &lt;class 'str'&gt;</t>
        </is>
      </c>
      <c r="N868" t="inlineStr">
        <is>
          <t>00000000</t>
        </is>
      </c>
      <c r="O868" t="inlineStr">
        <is>
          <t>left</t>
        </is>
      </c>
      <c r="R868" t="b">
        <v>1</v>
      </c>
      <c r="S868" t="inlineStr">
        <is>
          <t>G000159</t>
        </is>
      </c>
      <c r="T868" t="inlineStr">
        <is>
          <t>Vertical</t>
        </is>
      </c>
      <c r="U868" t="n">
        <v>92</v>
      </c>
      <c r="V868" t="b">
        <v>1</v>
      </c>
      <c r="W868" t="inlineStr">
        <is>
          <t>ATF Fuel 2!M3:M94</t>
        </is>
      </c>
      <c r="X868">
        <f>(1+(R[0]C[-11]/R[-1]C[-11])-1)*R[-1]C[0]</f>
        <v/>
      </c>
    </row>
    <row r="869">
      <c r="A869" t="inlineStr">
        <is>
          <t>ATF Fuel 2</t>
        </is>
      </c>
      <c r="B869" t="inlineStr">
        <is>
          <t>N50</t>
        </is>
      </c>
      <c r="C869" t="n">
        <v>50</v>
      </c>
      <c r="D869" t="n">
        <v>14</v>
      </c>
      <c r="E869" t="inlineStr">
        <is>
          <t>Calculation</t>
        </is>
      </c>
      <c r="F869" t="inlineStr">
        <is>
          <t>'=(1+(F50/F49)-1)*N49</t>
        </is>
      </c>
      <c r="G869" t="n">
        <v>128.0769696236235</v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11</v>
      </c>
      <c r="M869" t="inlineStr">
        <is>
          <t>Values must be of type &lt;class 'str'&gt;</t>
        </is>
      </c>
      <c r="N869" t="inlineStr">
        <is>
          <t>00000000</t>
        </is>
      </c>
      <c r="O869" t="inlineStr">
        <is>
          <t>left</t>
        </is>
      </c>
      <c r="R869" t="b">
        <v>1</v>
      </c>
      <c r="S869" t="inlineStr">
        <is>
          <t>G000160</t>
        </is>
      </c>
      <c r="T869" t="inlineStr">
        <is>
          <t>Vertical</t>
        </is>
      </c>
      <c r="U869" t="n">
        <v>92</v>
      </c>
      <c r="V869" t="b">
        <v>1</v>
      </c>
      <c r="W869" t="inlineStr">
        <is>
          <t>ATF Fuel 2!N3:N94</t>
        </is>
      </c>
      <c r="X869">
        <f>(1+(R[0]C[-8]/R[-1]C[-8])-1)*R[-1]C[0]</f>
        <v/>
      </c>
    </row>
    <row r="870">
      <c r="A870" t="inlineStr">
        <is>
          <t>ATF Fuel 2</t>
        </is>
      </c>
      <c r="B870" t="inlineStr">
        <is>
          <t>O50</t>
        </is>
      </c>
      <c r="C870" t="n">
        <v>50</v>
      </c>
      <c r="D870" t="n">
        <v>15</v>
      </c>
      <c r="E870" t="inlineStr">
        <is>
          <t>Calculation</t>
        </is>
      </c>
      <c r="F870" t="inlineStr">
        <is>
          <t>'=(1+(J50/J49)-1)*O49</t>
        </is>
      </c>
      <c r="G870" t="n">
        <v>117.9344611380575</v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11</v>
      </c>
      <c r="M870" t="inlineStr">
        <is>
          <t>Values must be of type &lt;class 'str'&gt;</t>
        </is>
      </c>
      <c r="N870" t="inlineStr">
        <is>
          <t>00000000</t>
        </is>
      </c>
      <c r="O870" t="inlineStr">
        <is>
          <t>left</t>
        </is>
      </c>
      <c r="R870" t="b">
        <v>1</v>
      </c>
      <c r="S870" t="inlineStr">
        <is>
          <t>G000162</t>
        </is>
      </c>
      <c r="T870" t="inlineStr">
        <is>
          <t>Vertical</t>
        </is>
      </c>
      <c r="U870" t="n">
        <v>92</v>
      </c>
      <c r="V870" t="b">
        <v>1</v>
      </c>
      <c r="W870" t="inlineStr">
        <is>
          <t>ATF Fuel 2!O3:O94</t>
        </is>
      </c>
      <c r="X870">
        <f>(1+(R[0]C[-5]/R[-1]C[-5])-1)*R[-1]C[0]</f>
        <v/>
      </c>
    </row>
    <row r="871">
      <c r="A871" t="inlineStr">
        <is>
          <t>ATF Fuel 2</t>
        </is>
      </c>
      <c r="B871" t="inlineStr">
        <is>
          <t>P50</t>
        </is>
      </c>
      <c r="C871" t="n">
        <v>50</v>
      </c>
      <c r="D871" t="n">
        <v>16</v>
      </c>
      <c r="E871" t="inlineStr">
        <is>
          <t>Calculation</t>
        </is>
      </c>
      <c r="F871" t="inlineStr">
        <is>
          <t>'=(1+(H50/H49)-1)*P49</t>
        </is>
      </c>
      <c r="G871" t="n">
        <v>171.2557335114804</v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11</v>
      </c>
      <c r="M871" t="inlineStr">
        <is>
          <t>Values must be of type &lt;class 'str'&gt;</t>
        </is>
      </c>
      <c r="N871" t="inlineStr">
        <is>
          <t>00000000</t>
        </is>
      </c>
      <c r="O871" t="inlineStr">
        <is>
          <t>left</t>
        </is>
      </c>
      <c r="R871" t="b">
        <v>1</v>
      </c>
      <c r="S871" t="inlineStr">
        <is>
          <t>G000161</t>
        </is>
      </c>
      <c r="T871" t="inlineStr">
        <is>
          <t>Vertical</t>
        </is>
      </c>
      <c r="U871" t="n">
        <v>92</v>
      </c>
      <c r="V871" t="b">
        <v>1</v>
      </c>
      <c r="W871" t="inlineStr">
        <is>
          <t>ATF Fuel 2!P3:P94</t>
        </is>
      </c>
      <c r="X871">
        <f>(1+(R[0]C[-8]/R[-1]C[-8])-1)*R[-1]C[0]</f>
        <v/>
      </c>
    </row>
    <row r="872">
      <c r="A872" t="inlineStr">
        <is>
          <t>ATF Fuel 2</t>
        </is>
      </c>
      <c r="B872" t="inlineStr">
        <is>
          <t>Q50</t>
        </is>
      </c>
      <c r="C872" t="n">
        <v>50</v>
      </c>
      <c r="D872" t="n">
        <v>17</v>
      </c>
      <c r="E872" t="inlineStr">
        <is>
          <t>Output</t>
        </is>
      </c>
      <c r="F872" t="inlineStr">
        <is>
          <t>'=M50/N50-1</t>
        </is>
      </c>
      <c r="G872" t="n">
        <v>0.3483732384442901</v>
      </c>
      <c r="H872" t="inlineStr"/>
      <c r="I872" t="inlineStr">
        <is>
          <t>0.0%</t>
        </is>
      </c>
      <c r="J872" t="b">
        <v>0</v>
      </c>
      <c r="K872" t="b">
        <v>0</v>
      </c>
      <c r="L872" t="n">
        <v>11</v>
      </c>
      <c r="M872" t="inlineStr">
        <is>
          <t>Values must be of type &lt;class 'str'&gt;</t>
        </is>
      </c>
      <c r="N872" t="inlineStr">
        <is>
          <t>00000000</t>
        </is>
      </c>
      <c r="O872" t="n">
        <v/>
      </c>
      <c r="R872" t="b">
        <v>1</v>
      </c>
      <c r="S872" t="inlineStr">
        <is>
          <t>G000153</t>
        </is>
      </c>
      <c r="T872" t="inlineStr">
        <is>
          <t>Vertical</t>
        </is>
      </c>
      <c r="U872" t="n">
        <v>93</v>
      </c>
      <c r="V872" t="b">
        <v>1</v>
      </c>
      <c r="W872" t="inlineStr">
        <is>
          <t>ATF Fuel 2!Q2:Q94</t>
        </is>
      </c>
      <c r="X872">
        <f>R[0]C[-4]/R[0]C[-3]-1</f>
        <v/>
      </c>
    </row>
    <row r="873">
      <c r="A873" t="inlineStr">
        <is>
          <t>ATF Fuel 2</t>
        </is>
      </c>
      <c r="B873" t="inlineStr">
        <is>
          <t>A51</t>
        </is>
      </c>
      <c r="C873" t="n">
        <v>51</v>
      </c>
      <c r="D873" t="n">
        <v>1</v>
      </c>
      <c r="E873" t="inlineStr">
        <is>
          <t>Input</t>
        </is>
      </c>
      <c r="F873" t="n">
        <v/>
      </c>
      <c r="G873" t="inlineStr">
        <is>
          <t>May 01, 2014</t>
        </is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11</v>
      </c>
      <c r="M873" t="inlineStr">
        <is>
          <t>Values must be of type &lt;class 'str'&gt;</t>
        </is>
      </c>
      <c r="N873" t="inlineStr">
        <is>
          <t>00000000</t>
        </is>
      </c>
      <c r="O873" t="n">
        <v/>
      </c>
      <c r="R873" t="b">
        <v>1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</row>
    <row r="874">
      <c r="A874" t="inlineStr">
        <is>
          <t>ATF Fuel 2</t>
        </is>
      </c>
      <c r="B874" t="inlineStr">
        <is>
          <t>B51</t>
        </is>
      </c>
      <c r="C874" t="n">
        <v>51</v>
      </c>
      <c r="D874" t="n">
        <v>2</v>
      </c>
      <c r="E874" t="inlineStr">
        <is>
          <t>Input</t>
        </is>
      </c>
      <c r="F874" t="n">
        <v/>
      </c>
      <c r="G874" t="n">
        <v>75796.8275</v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11</v>
      </c>
      <c r="M874" t="inlineStr">
        <is>
          <t>Values must be of type &lt;class 'str'&gt;</t>
        </is>
      </c>
      <c r="N874" t="inlineStr">
        <is>
          <t>00000000</t>
        </is>
      </c>
      <c r="O874" t="n">
        <v/>
      </c>
      <c r="R874" t="b">
        <v>1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</row>
    <row r="875">
      <c r="A875" t="inlineStr">
        <is>
          <t>ATF Fuel 2</t>
        </is>
      </c>
      <c r="B875" t="inlineStr">
        <is>
          <t>C51</t>
        </is>
      </c>
      <c r="C875" t="n">
        <v>51</v>
      </c>
      <c r="D875" t="n">
        <v>3</v>
      </c>
      <c r="E875" t="inlineStr">
        <is>
          <t>Output</t>
        </is>
      </c>
      <c r="F875" t="inlineStr">
        <is>
          <t>'=B51/B50-1</t>
        </is>
      </c>
      <c r="G875" t="n">
        <v>-0.01062558197931796</v>
      </c>
      <c r="H875" t="inlineStr"/>
      <c r="I875" t="inlineStr">
        <is>
          <t>0%</t>
        </is>
      </c>
      <c r="J875" t="b">
        <v>0</v>
      </c>
      <c r="K875" t="b">
        <v>0</v>
      </c>
      <c r="L875" t="n">
        <v>11</v>
      </c>
      <c r="M875" t="n">
        <v/>
      </c>
      <c r="N875" t="inlineStr">
        <is>
          <t>00000000</t>
        </is>
      </c>
      <c r="O875" t="n">
        <v/>
      </c>
      <c r="R875" t="b">
        <v>1</v>
      </c>
      <c r="S875" t="inlineStr">
        <is>
          <t>G000154</t>
        </is>
      </c>
      <c r="T875" t="inlineStr">
        <is>
          <t>Vertical</t>
        </is>
      </c>
      <c r="U875" t="n">
        <v>92</v>
      </c>
      <c r="V875" t="b">
        <v>1</v>
      </c>
      <c r="W875" t="inlineStr">
        <is>
          <t>ATF Fuel 2!C3:C94</t>
        </is>
      </c>
      <c r="X875">
        <f>R[0]C[-1]/R[-1]C[-1]-1</f>
        <v/>
      </c>
    </row>
    <row r="876">
      <c r="A876" t="inlineStr">
        <is>
          <t>ATF Fuel 2</t>
        </is>
      </c>
      <c r="B876" t="inlineStr">
        <is>
          <t>D51</t>
        </is>
      </c>
      <c r="C876" t="n">
        <v>51</v>
      </c>
      <c r="D876" t="n">
        <v>4</v>
      </c>
      <c r="E876" t="inlineStr">
        <is>
          <t>Input</t>
        </is>
      </c>
      <c r="F876" t="n">
        <v/>
      </c>
      <c r="G876" t="n">
        <v>60.22</v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11</v>
      </c>
      <c r="M876" t="inlineStr">
        <is>
          <t>Values must be of type &lt;class 'str'&gt;</t>
        </is>
      </c>
      <c r="N876" t="inlineStr">
        <is>
          <t>00000000</t>
        </is>
      </c>
      <c r="O876" t="n">
        <v/>
      </c>
      <c r="R876" t="b">
        <v>1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</row>
    <row r="877">
      <c r="A877" t="inlineStr">
        <is>
          <t>ATF Fuel 2</t>
        </is>
      </c>
      <c r="B877" t="inlineStr">
        <is>
          <t>E51</t>
        </is>
      </c>
      <c r="C877" t="n">
        <v>51</v>
      </c>
      <c r="D877" t="n">
        <v>5</v>
      </c>
      <c r="E877" t="inlineStr">
        <is>
          <t>Output</t>
        </is>
      </c>
      <c r="F877" t="inlineStr">
        <is>
          <t>'=B51/B50-1</t>
        </is>
      </c>
      <c r="G877" t="n">
        <v>-0.01062558197931796</v>
      </c>
      <c r="H877" t="inlineStr"/>
      <c r="I877" t="inlineStr">
        <is>
          <t>0%</t>
        </is>
      </c>
      <c r="J877" t="b">
        <v>0</v>
      </c>
      <c r="K877" t="b">
        <v>0</v>
      </c>
      <c r="L877" t="n">
        <v>11</v>
      </c>
      <c r="M877" t="inlineStr">
        <is>
          <t>Values must be of type &lt;class 'str'&gt;</t>
        </is>
      </c>
      <c r="N877" t="inlineStr">
        <is>
          <t>00000000</t>
        </is>
      </c>
      <c r="O877" t="n">
        <v/>
      </c>
      <c r="R877" t="b">
        <v>1</v>
      </c>
      <c r="S877" t="inlineStr">
        <is>
          <t>G000158</t>
        </is>
      </c>
      <c r="T877" t="inlineStr">
        <is>
          <t>Vertical</t>
        </is>
      </c>
      <c r="U877" t="n">
        <v>92</v>
      </c>
      <c r="V877" t="b">
        <v>1</v>
      </c>
      <c r="W877" t="inlineStr">
        <is>
          <t>ATF Fuel 2!E3:E94</t>
        </is>
      </c>
      <c r="X877">
        <f>R[0]C[-3]/R[-1]C[-3]-1</f>
        <v/>
      </c>
    </row>
    <row r="878">
      <c r="A878" t="inlineStr">
        <is>
          <t>ATF Fuel 2</t>
        </is>
      </c>
      <c r="B878" t="inlineStr">
        <is>
          <t>F51</t>
        </is>
      </c>
      <c r="C878" t="n">
        <v>51</v>
      </c>
      <c r="D878" t="n">
        <v>6</v>
      </c>
      <c r="E878" t="inlineStr">
        <is>
          <t>Input</t>
        </is>
      </c>
      <c r="F878" t="n">
        <v/>
      </c>
      <c r="G878" t="n">
        <v>108.19</v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11</v>
      </c>
      <c r="M878" t="inlineStr">
        <is>
          <t>Values must be of type &lt;class 'str'&gt;</t>
        </is>
      </c>
      <c r="N878" t="inlineStr">
        <is>
          <t>00000000</t>
        </is>
      </c>
      <c r="O878" t="n">
        <v/>
      </c>
      <c r="R878" t="b">
        <v>1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</row>
    <row r="879">
      <c r="A879" t="inlineStr">
        <is>
          <t>ATF Fuel 2</t>
        </is>
      </c>
      <c r="B879" t="inlineStr">
        <is>
          <t>G51</t>
        </is>
      </c>
      <c r="C879" t="n">
        <v>51</v>
      </c>
      <c r="D879" t="n">
        <v>7</v>
      </c>
      <c r="E879" t="inlineStr">
        <is>
          <t>Output</t>
        </is>
      </c>
      <c r="F879" t="inlineStr">
        <is>
          <t>'=F51/F50-1</t>
        </is>
      </c>
      <c r="G879" t="n">
        <v>0.02229991495795147</v>
      </c>
      <c r="H879" t="inlineStr"/>
      <c r="I879" t="inlineStr">
        <is>
          <t>0%</t>
        </is>
      </c>
      <c r="J879" t="b">
        <v>0</v>
      </c>
      <c r="K879" t="b">
        <v>0</v>
      </c>
      <c r="L879" t="n">
        <v>11</v>
      </c>
      <c r="M879" t="inlineStr">
        <is>
          <t>Values must be of type &lt;class 'str'&gt;</t>
        </is>
      </c>
      <c r="N879" t="inlineStr">
        <is>
          <t>00000000</t>
        </is>
      </c>
      <c r="O879" t="n">
        <v/>
      </c>
      <c r="R879" t="b">
        <v>1</v>
      </c>
      <c r="S879" t="inlineStr">
        <is>
          <t>G000155</t>
        </is>
      </c>
      <c r="T879" t="inlineStr">
        <is>
          <t>Vertical</t>
        </is>
      </c>
      <c r="U879" t="n">
        <v>93</v>
      </c>
      <c r="V879" t="b">
        <v>1</v>
      </c>
      <c r="W879" t="inlineStr">
        <is>
          <t>ATF Fuel 2!G3:G95</t>
        </is>
      </c>
      <c r="X879">
        <f>R[0]C[-1]/R[-1]C[-1]-1</f>
        <v/>
      </c>
    </row>
    <row r="880">
      <c r="A880" t="inlineStr">
        <is>
          <t>ATF Fuel 2</t>
        </is>
      </c>
      <c r="B880" t="inlineStr">
        <is>
          <t>H51</t>
        </is>
      </c>
      <c r="C880" t="n">
        <v>51</v>
      </c>
      <c r="D880" t="n">
        <v>8</v>
      </c>
      <c r="E880" t="inlineStr">
        <is>
          <t>Calculation</t>
        </is>
      </c>
      <c r="F880" t="inlineStr">
        <is>
          <t>'=D51*F51</t>
        </is>
      </c>
      <c r="G880" t="n">
        <v>6515.2018</v>
      </c>
      <c r="H880" t="inlineStr"/>
      <c r="I880" t="inlineStr">
        <is>
          <t>0</t>
        </is>
      </c>
      <c r="J880" t="b">
        <v>0</v>
      </c>
      <c r="K880" t="b">
        <v>0</v>
      </c>
      <c r="L880" t="n">
        <v>11</v>
      </c>
      <c r="M880" t="inlineStr">
        <is>
          <t>Values must be of type &lt;class 'str'&gt;</t>
        </is>
      </c>
      <c r="N880" t="inlineStr">
        <is>
          <t>00000000</t>
        </is>
      </c>
      <c r="O880" t="n">
        <v/>
      </c>
      <c r="R880" t="b">
        <v>1</v>
      </c>
      <c r="S880" t="inlineStr">
        <is>
          <t>G000152</t>
        </is>
      </c>
      <c r="T880" t="inlineStr">
        <is>
          <t>Vertical</t>
        </is>
      </c>
      <c r="U880" t="n">
        <v>98</v>
      </c>
      <c r="V880" t="b">
        <v>1</v>
      </c>
      <c r="W880" t="inlineStr">
        <is>
          <t>ATF Fuel 2!H2:H99</t>
        </is>
      </c>
      <c r="X880">
        <f>R[0]C[-4]*R[0]C[-2]</f>
        <v/>
      </c>
    </row>
    <row r="881">
      <c r="A881" t="inlineStr">
        <is>
          <t>ATF Fuel 2</t>
        </is>
      </c>
      <c r="B881" t="inlineStr">
        <is>
          <t>I51</t>
        </is>
      </c>
      <c r="C881" t="n">
        <v>51</v>
      </c>
      <c r="D881" t="n">
        <v>9</v>
      </c>
      <c r="E881" t="inlineStr">
        <is>
          <t>Output</t>
        </is>
      </c>
      <c r="F881" t="inlineStr">
        <is>
          <t>'=H51/H50-1</t>
        </is>
      </c>
      <c r="G881" t="n">
        <v>0.02861989772377327</v>
      </c>
      <c r="H881" t="inlineStr"/>
      <c r="I881" t="inlineStr">
        <is>
          <t>0%</t>
        </is>
      </c>
      <c r="J881" t="b">
        <v>0</v>
      </c>
      <c r="K881" t="b">
        <v>0</v>
      </c>
      <c r="L881" t="n">
        <v>11</v>
      </c>
      <c r="M881" t="inlineStr">
        <is>
          <t>FFFF0000</t>
        </is>
      </c>
      <c r="N881" t="inlineStr">
        <is>
          <t>00000000</t>
        </is>
      </c>
      <c r="O881" t="n">
        <v/>
      </c>
      <c r="R881" t="b">
        <v>1</v>
      </c>
      <c r="S881" t="inlineStr">
        <is>
          <t>G000156</t>
        </is>
      </c>
      <c r="T881" t="inlineStr">
        <is>
          <t>Vertical</t>
        </is>
      </c>
      <c r="U881" t="n">
        <v>97</v>
      </c>
      <c r="V881" t="b">
        <v>1</v>
      </c>
      <c r="W881" t="inlineStr">
        <is>
          <t>ATF Fuel 2!I3:I99</t>
        </is>
      </c>
      <c r="X881">
        <f>R[0]C[-1]/R[-1]C[-1]-1</f>
        <v/>
      </c>
    </row>
    <row r="882">
      <c r="A882" t="inlineStr">
        <is>
          <t>ATF Fuel 2</t>
        </is>
      </c>
      <c r="B882" t="inlineStr">
        <is>
          <t>J51</t>
        </is>
      </c>
      <c r="C882" t="n">
        <v>51</v>
      </c>
      <c r="D882" t="n">
        <v>10</v>
      </c>
      <c r="E882" t="inlineStr">
        <is>
          <t>Input</t>
        </is>
      </c>
      <c r="F882" t="n">
        <v/>
      </c>
      <c r="G882" t="n">
        <v>99.69</v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11</v>
      </c>
      <c r="M882" t="inlineStr">
        <is>
          <t>Values must be of type &lt;class 'str'&gt;</t>
        </is>
      </c>
      <c r="N882" t="inlineStr">
        <is>
          <t>00000000</t>
        </is>
      </c>
      <c r="O882" t="n">
        <v/>
      </c>
      <c r="R882" t="b">
        <v>1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</row>
    <row r="883">
      <c r="A883" t="inlineStr">
        <is>
          <t>ATF Fuel 2</t>
        </is>
      </c>
      <c r="B883" t="inlineStr">
        <is>
          <t>K51</t>
        </is>
      </c>
      <c r="C883" t="n">
        <v>51</v>
      </c>
      <c r="D883" t="n">
        <v>11</v>
      </c>
      <c r="E883" t="inlineStr">
        <is>
          <t>Output</t>
        </is>
      </c>
      <c r="F883" t="inlineStr">
        <is>
          <t>'=J51/J50-1</t>
        </is>
      </c>
      <c r="G883" t="n">
        <v>0</v>
      </c>
      <c r="H883" t="inlineStr"/>
      <c r="I883" t="inlineStr">
        <is>
          <t>0%</t>
        </is>
      </c>
      <c r="J883" t="b">
        <v>0</v>
      </c>
      <c r="K883" t="b">
        <v>0</v>
      </c>
      <c r="L883" t="n">
        <v>11</v>
      </c>
      <c r="M883" t="inlineStr">
        <is>
          <t>Values must be of type &lt;class 'str'&gt;</t>
        </is>
      </c>
      <c r="N883" t="inlineStr">
        <is>
          <t>00000000</t>
        </is>
      </c>
      <c r="O883" t="n">
        <v/>
      </c>
      <c r="R883" t="b">
        <v>1</v>
      </c>
      <c r="S883" t="inlineStr">
        <is>
          <t>G000157</t>
        </is>
      </c>
      <c r="T883" t="inlineStr">
        <is>
          <t>Vertical</t>
        </is>
      </c>
      <c r="U883" t="n">
        <v>93</v>
      </c>
      <c r="V883" t="b">
        <v>1</v>
      </c>
      <c r="W883" t="inlineStr">
        <is>
          <t>ATF Fuel 2!K3:K95</t>
        </is>
      </c>
      <c r="X883">
        <f>R[0]C[-1]/R[-1]C[-1]-1</f>
        <v/>
      </c>
    </row>
    <row r="884">
      <c r="A884" t="inlineStr">
        <is>
          <t>ATF Fuel 2</t>
        </is>
      </c>
      <c r="B884" t="inlineStr">
        <is>
          <t>L51</t>
        </is>
      </c>
      <c r="C884" t="n">
        <v>51</v>
      </c>
      <c r="D884" t="n">
        <v>12</v>
      </c>
      <c r="E884" t="inlineStr">
        <is>
          <t>Input</t>
        </is>
      </c>
      <c r="F884" t="n">
        <v/>
      </c>
      <c r="G884" t="inlineStr">
        <is>
          <t>May 01, 2014</t>
        </is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11</v>
      </c>
      <c r="M884" t="inlineStr">
        <is>
          <t>Values must be of type &lt;class 'str'&gt;</t>
        </is>
      </c>
      <c r="N884" t="inlineStr">
        <is>
          <t>00000000</t>
        </is>
      </c>
      <c r="O884" t="inlineStr">
        <is>
          <t>left</t>
        </is>
      </c>
      <c r="R884" t="b">
        <v>1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</row>
    <row r="885">
      <c r="A885" t="inlineStr">
        <is>
          <t>ATF Fuel 2</t>
        </is>
      </c>
      <c r="B885" t="inlineStr">
        <is>
          <t>M51</t>
        </is>
      </c>
      <c r="C885" t="n">
        <v>51</v>
      </c>
      <c r="D885" t="n">
        <v>13</v>
      </c>
      <c r="E885" t="inlineStr">
        <is>
          <t>Calculation</t>
        </is>
      </c>
      <c r="F885" t="inlineStr">
        <is>
          <t>'=(1+(B51/B50)-1)*M50</t>
        </is>
      </c>
      <c r="G885" t="n">
        <v>170.8605674893391</v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11</v>
      </c>
      <c r="M885" t="inlineStr">
        <is>
          <t>Values must be of type &lt;class 'str'&gt;</t>
        </is>
      </c>
      <c r="N885" t="inlineStr">
        <is>
          <t>00000000</t>
        </is>
      </c>
      <c r="O885" t="inlineStr">
        <is>
          <t>left</t>
        </is>
      </c>
      <c r="R885" t="b">
        <v>1</v>
      </c>
      <c r="S885" t="inlineStr">
        <is>
          <t>G000159</t>
        </is>
      </c>
      <c r="T885" t="inlineStr">
        <is>
          <t>Vertical</t>
        </is>
      </c>
      <c r="U885" t="n">
        <v>92</v>
      </c>
      <c r="V885" t="b">
        <v>1</v>
      </c>
      <c r="W885" t="inlineStr">
        <is>
          <t>ATF Fuel 2!M3:M94</t>
        </is>
      </c>
      <c r="X885">
        <f>(1+(R[0]C[-11]/R[-1]C[-11])-1)*R[-1]C[0]</f>
        <v/>
      </c>
    </row>
    <row r="886">
      <c r="A886" t="inlineStr">
        <is>
          <t>ATF Fuel 2</t>
        </is>
      </c>
      <c r="B886" t="inlineStr">
        <is>
          <t>N51</t>
        </is>
      </c>
      <c r="C886" t="n">
        <v>51</v>
      </c>
      <c r="D886" t="n">
        <v>14</v>
      </c>
      <c r="E886" t="inlineStr">
        <is>
          <t>Calculation</t>
        </is>
      </c>
      <c r="F886" t="inlineStr">
        <is>
          <t>'=(1+(F51/F50)-1)*N50</t>
        </is>
      </c>
      <c r="G886" t="n">
        <v>130.9330751543024</v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11</v>
      </c>
      <c r="M886" t="inlineStr">
        <is>
          <t>Values must be of type &lt;class 'str'&gt;</t>
        </is>
      </c>
      <c r="N886" t="inlineStr">
        <is>
          <t>00000000</t>
        </is>
      </c>
      <c r="O886" t="inlineStr">
        <is>
          <t>left</t>
        </is>
      </c>
      <c r="R886" t="b">
        <v>1</v>
      </c>
      <c r="S886" t="inlineStr">
        <is>
          <t>G000160</t>
        </is>
      </c>
      <c r="T886" t="inlineStr">
        <is>
          <t>Vertical</t>
        </is>
      </c>
      <c r="U886" t="n">
        <v>92</v>
      </c>
      <c r="V886" t="b">
        <v>1</v>
      </c>
      <c r="W886" t="inlineStr">
        <is>
          <t>ATF Fuel 2!N3:N94</t>
        </is>
      </c>
      <c r="X886">
        <f>(1+(R[0]C[-8]/R[-1]C[-8])-1)*R[-1]C[0]</f>
        <v/>
      </c>
    </row>
    <row r="887">
      <c r="A887" t="inlineStr">
        <is>
          <t>ATF Fuel 2</t>
        </is>
      </c>
      <c r="B887" t="inlineStr">
        <is>
          <t>O51</t>
        </is>
      </c>
      <c r="C887" t="n">
        <v>51</v>
      </c>
      <c r="D887" t="n">
        <v>15</v>
      </c>
      <c r="E887" t="inlineStr">
        <is>
          <t>Calculation</t>
        </is>
      </c>
      <c r="F887" t="inlineStr">
        <is>
          <t>'=(1+(J51/J50)-1)*O50</t>
        </is>
      </c>
      <c r="G887" t="n">
        <v>117.9344611380575</v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11</v>
      </c>
      <c r="M887" t="inlineStr">
        <is>
          <t>Values must be of type &lt;class 'str'&gt;</t>
        </is>
      </c>
      <c r="N887" t="inlineStr">
        <is>
          <t>00000000</t>
        </is>
      </c>
      <c r="O887" t="inlineStr">
        <is>
          <t>left</t>
        </is>
      </c>
      <c r="R887" t="b">
        <v>1</v>
      </c>
      <c r="S887" t="inlineStr">
        <is>
          <t>G000162</t>
        </is>
      </c>
      <c r="T887" t="inlineStr">
        <is>
          <t>Vertical</t>
        </is>
      </c>
      <c r="U887" t="n">
        <v>92</v>
      </c>
      <c r="V887" t="b">
        <v>1</v>
      </c>
      <c r="W887" t="inlineStr">
        <is>
          <t>ATF Fuel 2!O3:O94</t>
        </is>
      </c>
      <c r="X887">
        <f>(1+(R[0]C[-5]/R[-1]C[-5])-1)*R[-1]C[0]</f>
        <v/>
      </c>
    </row>
    <row r="888">
      <c r="A888" t="inlineStr">
        <is>
          <t>ATF Fuel 2</t>
        </is>
      </c>
      <c r="B888" t="inlineStr">
        <is>
          <t>P51</t>
        </is>
      </c>
      <c r="C888" t="n">
        <v>51</v>
      </c>
      <c r="D888" t="n">
        <v>16</v>
      </c>
      <c r="E888" t="inlineStr">
        <is>
          <t>Calculation</t>
        </is>
      </c>
      <c r="F888" t="inlineStr">
        <is>
          <t>'=(1+(H51/H50)-1)*P50</t>
        </is>
      </c>
      <c r="G888" t="n">
        <v>176.1570550891888</v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11</v>
      </c>
      <c r="M888" t="inlineStr">
        <is>
          <t>Values must be of type &lt;class 'str'&gt;</t>
        </is>
      </c>
      <c r="N888" t="inlineStr">
        <is>
          <t>00000000</t>
        </is>
      </c>
      <c r="O888" t="inlineStr">
        <is>
          <t>left</t>
        </is>
      </c>
      <c r="R888" t="b">
        <v>1</v>
      </c>
      <c r="S888" t="inlineStr">
        <is>
          <t>G000161</t>
        </is>
      </c>
      <c r="T888" t="inlineStr">
        <is>
          <t>Vertical</t>
        </is>
      </c>
      <c r="U888" t="n">
        <v>92</v>
      </c>
      <c r="V888" t="b">
        <v>1</v>
      </c>
      <c r="W888" t="inlineStr">
        <is>
          <t>ATF Fuel 2!P3:P94</t>
        </is>
      </c>
      <c r="X888">
        <f>(1+(R[0]C[-8]/R[-1]C[-8])-1)*R[-1]C[0]</f>
        <v/>
      </c>
    </row>
    <row r="889">
      <c r="A889" t="inlineStr">
        <is>
          <t>ATF Fuel 2</t>
        </is>
      </c>
      <c r="B889" t="inlineStr">
        <is>
          <t>Q51</t>
        </is>
      </c>
      <c r="C889" t="n">
        <v>51</v>
      </c>
      <c r="D889" t="n">
        <v>17</v>
      </c>
      <c r="E889" t="inlineStr">
        <is>
          <t>Output</t>
        </is>
      </c>
      <c r="F889" t="inlineStr">
        <is>
          <t>'=M51/N51-1</t>
        </is>
      </c>
      <c r="G889" t="n">
        <v>0.304945807527875</v>
      </c>
      <c r="H889" t="inlineStr"/>
      <c r="I889" t="inlineStr">
        <is>
          <t>0.0%</t>
        </is>
      </c>
      <c r="J889" t="b">
        <v>0</v>
      </c>
      <c r="K889" t="b">
        <v>0</v>
      </c>
      <c r="L889" t="n">
        <v>11</v>
      </c>
      <c r="M889" t="inlineStr">
        <is>
          <t>Values must be of type &lt;class 'str'&gt;</t>
        </is>
      </c>
      <c r="N889" t="inlineStr">
        <is>
          <t>00000000</t>
        </is>
      </c>
      <c r="O889" t="n">
        <v/>
      </c>
      <c r="R889" t="b">
        <v>1</v>
      </c>
      <c r="S889" t="inlineStr">
        <is>
          <t>G000153</t>
        </is>
      </c>
      <c r="T889" t="inlineStr">
        <is>
          <t>Vertical</t>
        </is>
      </c>
      <c r="U889" t="n">
        <v>93</v>
      </c>
      <c r="V889" t="b">
        <v>1</v>
      </c>
      <c r="W889" t="inlineStr">
        <is>
          <t>ATF Fuel 2!Q2:Q94</t>
        </is>
      </c>
      <c r="X889">
        <f>R[0]C[-4]/R[0]C[-3]-1</f>
        <v/>
      </c>
    </row>
    <row r="890">
      <c r="A890" t="inlineStr">
        <is>
          <t>ATF Fuel 2</t>
        </is>
      </c>
      <c r="B890" t="inlineStr">
        <is>
          <t>A52</t>
        </is>
      </c>
      <c r="C890" t="n">
        <v>52</v>
      </c>
      <c r="D890" t="n">
        <v>1</v>
      </c>
      <c r="E890" t="inlineStr">
        <is>
          <t>Input</t>
        </is>
      </c>
      <c r="F890" t="n">
        <v/>
      </c>
      <c r="G890" t="inlineStr">
        <is>
          <t>June 01, 2014</t>
        </is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11</v>
      </c>
      <c r="M890" t="inlineStr">
        <is>
          <t>Values must be of type &lt;class 'str'&gt;</t>
        </is>
      </c>
      <c r="N890" t="inlineStr">
        <is>
          <t>00000000</t>
        </is>
      </c>
      <c r="O890" t="n">
        <v/>
      </c>
      <c r="R890" t="b">
        <v>1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</row>
    <row r="891">
      <c r="A891" t="inlineStr">
        <is>
          <t>ATF Fuel 2</t>
        </is>
      </c>
      <c r="B891" t="inlineStr">
        <is>
          <t>B52</t>
        </is>
      </c>
      <c r="C891" t="n">
        <v>52</v>
      </c>
      <c r="D891" t="n">
        <v>2</v>
      </c>
      <c r="E891" t="inlineStr">
        <is>
          <t>Input</t>
        </is>
      </c>
      <c r="F891" t="n">
        <v/>
      </c>
      <c r="G891" t="n">
        <v>74401.7775</v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11</v>
      </c>
      <c r="M891" t="inlineStr">
        <is>
          <t>Values must be of type &lt;class 'str'&gt;</t>
        </is>
      </c>
      <c r="N891" t="inlineStr">
        <is>
          <t>00000000</t>
        </is>
      </c>
      <c r="O891" t="n">
        <v/>
      </c>
      <c r="R891" t="b">
        <v>1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</row>
    <row r="892">
      <c r="A892" t="inlineStr">
        <is>
          <t>ATF Fuel 2</t>
        </is>
      </c>
      <c r="B892" t="inlineStr">
        <is>
          <t>C52</t>
        </is>
      </c>
      <c r="C892" t="n">
        <v>52</v>
      </c>
      <c r="D892" t="n">
        <v>3</v>
      </c>
      <c r="E892" t="inlineStr">
        <is>
          <t>Output</t>
        </is>
      </c>
      <c r="F892" t="inlineStr">
        <is>
          <t>'=B52/B51-1</t>
        </is>
      </c>
      <c r="G892" t="n">
        <v>-0.01840512388199889</v>
      </c>
      <c r="H892" t="inlineStr"/>
      <c r="I892" t="inlineStr">
        <is>
          <t>0%</t>
        </is>
      </c>
      <c r="J892" t="b">
        <v>0</v>
      </c>
      <c r="K892" t="b">
        <v>0</v>
      </c>
      <c r="L892" t="n">
        <v>11</v>
      </c>
      <c r="M892" t="n">
        <v/>
      </c>
      <c r="N892" t="inlineStr">
        <is>
          <t>00000000</t>
        </is>
      </c>
      <c r="O892" t="n">
        <v/>
      </c>
      <c r="R892" t="b">
        <v>1</v>
      </c>
      <c r="S892" t="inlineStr">
        <is>
          <t>G000154</t>
        </is>
      </c>
      <c r="T892" t="inlineStr">
        <is>
          <t>Vertical</t>
        </is>
      </c>
      <c r="U892" t="n">
        <v>92</v>
      </c>
      <c r="V892" t="b">
        <v>1</v>
      </c>
      <c r="W892" t="inlineStr">
        <is>
          <t>ATF Fuel 2!C3:C94</t>
        </is>
      </c>
      <c r="X892">
        <f>R[0]C[-1]/R[-1]C[-1]-1</f>
        <v/>
      </c>
    </row>
    <row r="893">
      <c r="A893" t="inlineStr">
        <is>
          <t>ATF Fuel 2</t>
        </is>
      </c>
      <c r="B893" t="inlineStr">
        <is>
          <t>D52</t>
        </is>
      </c>
      <c r="C893" t="n">
        <v>52</v>
      </c>
      <c r="D893" t="n">
        <v>4</v>
      </c>
      <c r="E893" t="inlineStr">
        <is>
          <t>Input</t>
        </is>
      </c>
      <c r="F893" t="n">
        <v/>
      </c>
      <c r="G893" t="n">
        <v>59.27</v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11</v>
      </c>
      <c r="M893" t="inlineStr">
        <is>
          <t>Values must be of type &lt;class 'str'&gt;</t>
        </is>
      </c>
      <c r="N893" t="inlineStr">
        <is>
          <t>00000000</t>
        </is>
      </c>
      <c r="O893" t="n">
        <v/>
      </c>
      <c r="R893" t="b">
        <v>1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</row>
    <row r="894">
      <c r="A894" t="inlineStr">
        <is>
          <t>ATF Fuel 2</t>
        </is>
      </c>
      <c r="B894" t="inlineStr">
        <is>
          <t>E52</t>
        </is>
      </c>
      <c r="C894" t="n">
        <v>52</v>
      </c>
      <c r="D894" t="n">
        <v>5</v>
      </c>
      <c r="E894" t="inlineStr">
        <is>
          <t>Output</t>
        </is>
      </c>
      <c r="F894" t="inlineStr">
        <is>
          <t>'=B52/B51-1</t>
        </is>
      </c>
      <c r="G894" t="n">
        <v>-0.01840512388199889</v>
      </c>
      <c r="H894" t="inlineStr"/>
      <c r="I894" t="inlineStr">
        <is>
          <t>0%</t>
        </is>
      </c>
      <c r="J894" t="b">
        <v>0</v>
      </c>
      <c r="K894" t="b">
        <v>0</v>
      </c>
      <c r="L894" t="n">
        <v>11</v>
      </c>
      <c r="M894" t="inlineStr">
        <is>
          <t>Values must be of type &lt;class 'str'&gt;</t>
        </is>
      </c>
      <c r="N894" t="inlineStr">
        <is>
          <t>00000000</t>
        </is>
      </c>
      <c r="O894" t="n">
        <v/>
      </c>
      <c r="R894" t="b">
        <v>1</v>
      </c>
      <c r="S894" t="inlineStr">
        <is>
          <t>G000158</t>
        </is>
      </c>
      <c r="T894" t="inlineStr">
        <is>
          <t>Vertical</t>
        </is>
      </c>
      <c r="U894" t="n">
        <v>92</v>
      </c>
      <c r="V894" t="b">
        <v>1</v>
      </c>
      <c r="W894" t="inlineStr">
        <is>
          <t>ATF Fuel 2!E3:E94</t>
        </is>
      </c>
      <c r="X894">
        <f>R[0]C[-3]/R[-1]C[-3]-1</f>
        <v/>
      </c>
    </row>
    <row r="895">
      <c r="A895" t="inlineStr">
        <is>
          <t>ATF Fuel 2</t>
        </is>
      </c>
      <c r="B895" t="inlineStr">
        <is>
          <t>F52</t>
        </is>
      </c>
      <c r="C895" t="n">
        <v>52</v>
      </c>
      <c r="D895" t="n">
        <v>6</v>
      </c>
      <c r="E895" t="inlineStr">
        <is>
          <t>Input</t>
        </is>
      </c>
      <c r="F895" t="n">
        <v/>
      </c>
      <c r="G895" t="n">
        <v>109.21</v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11</v>
      </c>
      <c r="M895" t="inlineStr">
        <is>
          <t>Values must be of type &lt;class 'str'&gt;</t>
        </is>
      </c>
      <c r="N895" t="inlineStr">
        <is>
          <t>00000000</t>
        </is>
      </c>
      <c r="O895" t="n">
        <v/>
      </c>
      <c r="R895" t="b">
        <v>1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</row>
    <row r="896">
      <c r="A896" t="inlineStr">
        <is>
          <t>ATF Fuel 2</t>
        </is>
      </c>
      <c r="B896" t="inlineStr">
        <is>
          <t>G52</t>
        </is>
      </c>
      <c r="C896" t="n">
        <v>52</v>
      </c>
      <c r="D896" t="n">
        <v>7</v>
      </c>
      <c r="E896" t="inlineStr">
        <is>
          <t>Output</t>
        </is>
      </c>
      <c r="F896" t="inlineStr">
        <is>
          <t>'=F52/F51-1</t>
        </is>
      </c>
      <c r="G896" t="n">
        <v>0.009427858397264011</v>
      </c>
      <c r="H896" t="inlineStr"/>
      <c r="I896" t="inlineStr">
        <is>
          <t>0%</t>
        </is>
      </c>
      <c r="J896" t="b">
        <v>0</v>
      </c>
      <c r="K896" t="b">
        <v>0</v>
      </c>
      <c r="L896" t="n">
        <v>11</v>
      </c>
      <c r="M896" t="inlineStr">
        <is>
          <t>Values must be of type &lt;class 'str'&gt;</t>
        </is>
      </c>
      <c r="N896" t="inlineStr">
        <is>
          <t>00000000</t>
        </is>
      </c>
      <c r="O896" t="n">
        <v/>
      </c>
      <c r="R896" t="b">
        <v>1</v>
      </c>
      <c r="S896" t="inlineStr">
        <is>
          <t>G000155</t>
        </is>
      </c>
      <c r="T896" t="inlineStr">
        <is>
          <t>Vertical</t>
        </is>
      </c>
      <c r="U896" t="n">
        <v>93</v>
      </c>
      <c r="V896" t="b">
        <v>1</v>
      </c>
      <c r="W896" t="inlineStr">
        <is>
          <t>ATF Fuel 2!G3:G95</t>
        </is>
      </c>
      <c r="X896">
        <f>R[0]C[-1]/R[-1]C[-1]-1</f>
        <v/>
      </c>
    </row>
    <row r="897">
      <c r="A897" t="inlineStr">
        <is>
          <t>ATF Fuel 2</t>
        </is>
      </c>
      <c r="B897" t="inlineStr">
        <is>
          <t>H52</t>
        </is>
      </c>
      <c r="C897" t="n">
        <v>52</v>
      </c>
      <c r="D897" t="n">
        <v>8</v>
      </c>
      <c r="E897" t="inlineStr">
        <is>
          <t>Calculation</t>
        </is>
      </c>
      <c r="F897" t="inlineStr">
        <is>
          <t>'=D52*F52</t>
        </is>
      </c>
      <c r="G897" t="n">
        <v>6472.8767</v>
      </c>
      <c r="H897" t="inlineStr"/>
      <c r="I897" t="inlineStr">
        <is>
          <t>0</t>
        </is>
      </c>
      <c r="J897" t="b">
        <v>0</v>
      </c>
      <c r="K897" t="b">
        <v>0</v>
      </c>
      <c r="L897" t="n">
        <v>11</v>
      </c>
      <c r="M897" t="inlineStr">
        <is>
          <t>Values must be of type &lt;class 'str'&gt;</t>
        </is>
      </c>
      <c r="N897" t="inlineStr">
        <is>
          <t>00000000</t>
        </is>
      </c>
      <c r="O897" t="n">
        <v/>
      </c>
      <c r="R897" t="b">
        <v>1</v>
      </c>
      <c r="S897" t="inlineStr">
        <is>
          <t>G000152</t>
        </is>
      </c>
      <c r="T897" t="inlineStr">
        <is>
          <t>Vertical</t>
        </is>
      </c>
      <c r="U897" t="n">
        <v>98</v>
      </c>
      <c r="V897" t="b">
        <v>1</v>
      </c>
      <c r="W897" t="inlineStr">
        <is>
          <t>ATF Fuel 2!H2:H99</t>
        </is>
      </c>
      <c r="X897">
        <f>R[0]C[-4]*R[0]C[-2]</f>
        <v/>
      </c>
    </row>
    <row r="898">
      <c r="A898" t="inlineStr">
        <is>
          <t>ATF Fuel 2</t>
        </is>
      </c>
      <c r="B898" t="inlineStr">
        <is>
          <t>I52</t>
        </is>
      </c>
      <c r="C898" t="n">
        <v>52</v>
      </c>
      <c r="D898" t="n">
        <v>9</v>
      </c>
      <c r="E898" t="inlineStr">
        <is>
          <t>Output</t>
        </is>
      </c>
      <c r="F898" t="inlineStr">
        <is>
          <t>'=H52/H51-1</t>
        </is>
      </c>
      <c r="G898" t="n">
        <v>-0.006496360557857184</v>
      </c>
      <c r="H898" t="inlineStr"/>
      <c r="I898" t="inlineStr">
        <is>
          <t>0%</t>
        </is>
      </c>
      <c r="J898" t="b">
        <v>0</v>
      </c>
      <c r="K898" t="b">
        <v>0</v>
      </c>
      <c r="L898" t="n">
        <v>11</v>
      </c>
      <c r="M898" t="inlineStr">
        <is>
          <t>FFFF0000</t>
        </is>
      </c>
      <c r="N898" t="inlineStr">
        <is>
          <t>00000000</t>
        </is>
      </c>
      <c r="O898" t="n">
        <v/>
      </c>
      <c r="R898" t="b">
        <v>1</v>
      </c>
      <c r="S898" t="inlineStr">
        <is>
          <t>G000156</t>
        </is>
      </c>
      <c r="T898" t="inlineStr">
        <is>
          <t>Vertical</t>
        </is>
      </c>
      <c r="U898" t="n">
        <v>97</v>
      </c>
      <c r="V898" t="b">
        <v>1</v>
      </c>
      <c r="W898" t="inlineStr">
        <is>
          <t>ATF Fuel 2!I3:I99</t>
        </is>
      </c>
      <c r="X898">
        <f>R[0]C[-1]/R[-1]C[-1]-1</f>
        <v/>
      </c>
    </row>
    <row r="899">
      <c r="A899" t="inlineStr">
        <is>
          <t>ATF Fuel 2</t>
        </is>
      </c>
      <c r="B899" t="inlineStr">
        <is>
          <t>J52</t>
        </is>
      </c>
      <c r="C899" t="n">
        <v>52</v>
      </c>
      <c r="D899" t="n">
        <v>10</v>
      </c>
      <c r="E899" t="inlineStr">
        <is>
          <t>Input</t>
        </is>
      </c>
      <c r="F899" t="n">
        <v/>
      </c>
      <c r="G899" t="n">
        <v>103.07</v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11</v>
      </c>
      <c r="M899" t="inlineStr">
        <is>
          <t>Values must be of type &lt;class 'str'&gt;</t>
        </is>
      </c>
      <c r="N899" t="inlineStr">
        <is>
          <t>00000000</t>
        </is>
      </c>
      <c r="O899" t="n">
        <v/>
      </c>
      <c r="R899" t="b">
        <v>1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</row>
    <row r="900">
      <c r="A900" t="inlineStr">
        <is>
          <t>ATF Fuel 2</t>
        </is>
      </c>
      <c r="B900" t="inlineStr">
        <is>
          <t>K52</t>
        </is>
      </c>
      <c r="C900" t="n">
        <v>52</v>
      </c>
      <c r="D900" t="n">
        <v>11</v>
      </c>
      <c r="E900" t="inlineStr">
        <is>
          <t>Output</t>
        </is>
      </c>
      <c r="F900" t="inlineStr">
        <is>
          <t>'=J52/J51-1</t>
        </is>
      </c>
      <c r="G900" t="n">
        <v>0.03390510582806705</v>
      </c>
      <c r="H900" t="inlineStr"/>
      <c r="I900" t="inlineStr">
        <is>
          <t>0%</t>
        </is>
      </c>
      <c r="J900" t="b">
        <v>0</v>
      </c>
      <c r="K900" t="b">
        <v>0</v>
      </c>
      <c r="L900" t="n">
        <v>11</v>
      </c>
      <c r="M900" t="inlineStr">
        <is>
          <t>Values must be of type &lt;class 'str'&gt;</t>
        </is>
      </c>
      <c r="N900" t="inlineStr">
        <is>
          <t>00000000</t>
        </is>
      </c>
      <c r="O900" t="n">
        <v/>
      </c>
      <c r="R900" t="b">
        <v>1</v>
      </c>
      <c r="S900" t="inlineStr">
        <is>
          <t>G000157</t>
        </is>
      </c>
      <c r="T900" t="inlineStr">
        <is>
          <t>Vertical</t>
        </is>
      </c>
      <c r="U900" t="n">
        <v>93</v>
      </c>
      <c r="V900" t="b">
        <v>1</v>
      </c>
      <c r="W900" t="inlineStr">
        <is>
          <t>ATF Fuel 2!K3:K95</t>
        </is>
      </c>
      <c r="X900">
        <f>R[0]C[-1]/R[-1]C[-1]-1</f>
        <v/>
      </c>
    </row>
    <row r="901">
      <c r="A901" t="inlineStr">
        <is>
          <t>ATF Fuel 2</t>
        </is>
      </c>
      <c r="B901" t="inlineStr">
        <is>
          <t>L52</t>
        </is>
      </c>
      <c r="C901" t="n">
        <v>52</v>
      </c>
      <c r="D901" t="n">
        <v>12</v>
      </c>
      <c r="E901" t="inlineStr">
        <is>
          <t>Input</t>
        </is>
      </c>
      <c r="F901" t="n">
        <v/>
      </c>
      <c r="G901" t="inlineStr">
        <is>
          <t>June 01, 2014</t>
        </is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11</v>
      </c>
      <c r="M901" t="inlineStr">
        <is>
          <t>Values must be of type &lt;class 'str'&gt;</t>
        </is>
      </c>
      <c r="N901" t="inlineStr">
        <is>
          <t>00000000</t>
        </is>
      </c>
      <c r="O901" t="inlineStr">
        <is>
          <t>left</t>
        </is>
      </c>
      <c r="R901" t="b">
        <v>1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</row>
    <row r="902">
      <c r="A902" t="inlineStr">
        <is>
          <t>ATF Fuel 2</t>
        </is>
      </c>
      <c r="B902" t="inlineStr">
        <is>
          <t>M52</t>
        </is>
      </c>
      <c r="C902" t="n">
        <v>52</v>
      </c>
      <c r="D902" t="n">
        <v>13</v>
      </c>
      <c r="E902" t="inlineStr">
        <is>
          <t>Calculation</t>
        </is>
      </c>
      <c r="F902" t="inlineStr">
        <is>
          <t>'=(1+(B52/B51)-1)*M51</t>
        </is>
      </c>
      <c r="G902" t="n">
        <v>167.7158575781492</v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11</v>
      </c>
      <c r="M902" t="inlineStr">
        <is>
          <t>Values must be of type &lt;class 'str'&gt;</t>
        </is>
      </c>
      <c r="N902" t="inlineStr">
        <is>
          <t>00000000</t>
        </is>
      </c>
      <c r="O902" t="inlineStr">
        <is>
          <t>left</t>
        </is>
      </c>
      <c r="R902" t="b">
        <v>1</v>
      </c>
      <c r="S902" t="inlineStr">
        <is>
          <t>G000159</t>
        </is>
      </c>
      <c r="T902" t="inlineStr">
        <is>
          <t>Vertical</t>
        </is>
      </c>
      <c r="U902" t="n">
        <v>92</v>
      </c>
      <c r="V902" t="b">
        <v>1</v>
      </c>
      <c r="W902" t="inlineStr">
        <is>
          <t>ATF Fuel 2!M3:M94</t>
        </is>
      </c>
      <c r="X902">
        <f>(1+(R[0]C[-11]/R[-1]C[-11])-1)*R[-1]C[0]</f>
        <v/>
      </c>
    </row>
    <row r="903">
      <c r="A903" t="inlineStr">
        <is>
          <t>ATF Fuel 2</t>
        </is>
      </c>
      <c r="B903" t="inlineStr">
        <is>
          <t>N52</t>
        </is>
      </c>
      <c r="C903" t="n">
        <v>52</v>
      </c>
      <c r="D903" t="n">
        <v>14</v>
      </c>
      <c r="E903" t="inlineStr">
        <is>
          <t>Calculation</t>
        </is>
      </c>
      <c r="F903" t="inlineStr">
        <is>
          <t>'=(1+(F52/F51)-1)*N51</t>
        </is>
      </c>
      <c r="G903" t="n">
        <v>132.1674936463755</v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11</v>
      </c>
      <c r="M903" t="inlineStr">
        <is>
          <t>Values must be of type &lt;class 'str'&gt;</t>
        </is>
      </c>
      <c r="N903" t="inlineStr">
        <is>
          <t>00000000</t>
        </is>
      </c>
      <c r="O903" t="inlineStr">
        <is>
          <t>left</t>
        </is>
      </c>
      <c r="R903" t="b">
        <v>1</v>
      </c>
      <c r="S903" t="inlineStr">
        <is>
          <t>G000160</t>
        </is>
      </c>
      <c r="T903" t="inlineStr">
        <is>
          <t>Vertical</t>
        </is>
      </c>
      <c r="U903" t="n">
        <v>92</v>
      </c>
      <c r="V903" t="b">
        <v>1</v>
      </c>
      <c r="W903" t="inlineStr">
        <is>
          <t>ATF Fuel 2!N3:N94</t>
        </is>
      </c>
      <c r="X903">
        <f>(1+(R[0]C[-8]/R[-1]C[-8])-1)*R[-1]C[0]</f>
        <v/>
      </c>
    </row>
    <row r="904">
      <c r="A904" t="inlineStr">
        <is>
          <t>ATF Fuel 2</t>
        </is>
      </c>
      <c r="B904" t="inlineStr">
        <is>
          <t>O52</t>
        </is>
      </c>
      <c r="C904" t="n">
        <v>52</v>
      </c>
      <c r="D904" t="n">
        <v>15</v>
      </c>
      <c r="E904" t="inlineStr">
        <is>
          <t>Calculation</t>
        </is>
      </c>
      <c r="F904" t="inlineStr">
        <is>
          <t>'=(1+(J52/J51)-1)*O51</t>
        </is>
      </c>
      <c r="G904" t="n">
        <v>121.9330415237194</v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11</v>
      </c>
      <c r="M904" t="inlineStr">
        <is>
          <t>Values must be of type &lt;class 'str'&gt;</t>
        </is>
      </c>
      <c r="N904" t="inlineStr">
        <is>
          <t>00000000</t>
        </is>
      </c>
      <c r="O904" t="inlineStr">
        <is>
          <t>left</t>
        </is>
      </c>
      <c r="R904" t="b">
        <v>1</v>
      </c>
      <c r="S904" t="inlineStr">
        <is>
          <t>G000162</t>
        </is>
      </c>
      <c r="T904" t="inlineStr">
        <is>
          <t>Vertical</t>
        </is>
      </c>
      <c r="U904" t="n">
        <v>92</v>
      </c>
      <c r="V904" t="b">
        <v>1</v>
      </c>
      <c r="W904" t="inlineStr">
        <is>
          <t>ATF Fuel 2!O3:O94</t>
        </is>
      </c>
      <c r="X904">
        <f>(1+(R[0]C[-5]/R[-1]C[-5])-1)*R[-1]C[0]</f>
        <v/>
      </c>
    </row>
    <row r="905">
      <c r="A905" t="inlineStr">
        <is>
          <t>ATF Fuel 2</t>
        </is>
      </c>
      <c r="B905" t="inlineStr">
        <is>
          <t>P52</t>
        </is>
      </c>
      <c r="C905" t="n">
        <v>52</v>
      </c>
      <c r="D905" t="n">
        <v>16</v>
      </c>
      <c r="E905" t="inlineStr">
        <is>
          <t>Calculation</t>
        </is>
      </c>
      <c r="F905" t="inlineStr">
        <is>
          <t>'=(1+(H52/H51)-1)*P51</t>
        </is>
      </c>
      <c r="G905" t="n">
        <v>175.0126753445191</v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11</v>
      </c>
      <c r="M905" t="inlineStr">
        <is>
          <t>Values must be of type &lt;class 'str'&gt;</t>
        </is>
      </c>
      <c r="N905" t="inlineStr">
        <is>
          <t>00000000</t>
        </is>
      </c>
      <c r="O905" t="inlineStr">
        <is>
          <t>left</t>
        </is>
      </c>
      <c r="R905" t="b">
        <v>1</v>
      </c>
      <c r="S905" t="inlineStr">
        <is>
          <t>G000161</t>
        </is>
      </c>
      <c r="T905" t="inlineStr">
        <is>
          <t>Vertical</t>
        </is>
      </c>
      <c r="U905" t="n">
        <v>92</v>
      </c>
      <c r="V905" t="b">
        <v>1</v>
      </c>
      <c r="W905" t="inlineStr">
        <is>
          <t>ATF Fuel 2!P3:P94</t>
        </is>
      </c>
      <c r="X905">
        <f>(1+(R[0]C[-8]/R[-1]C[-8])-1)*R[-1]C[0]</f>
        <v/>
      </c>
    </row>
    <row r="906">
      <c r="A906" t="inlineStr">
        <is>
          <t>ATF Fuel 2</t>
        </is>
      </c>
      <c r="B906" t="inlineStr">
        <is>
          <t>Q52</t>
        </is>
      </c>
      <c r="C906" t="n">
        <v>52</v>
      </c>
      <c r="D906" t="n">
        <v>17</v>
      </c>
      <c r="E906" t="inlineStr">
        <is>
          <t>Output</t>
        </is>
      </c>
      <c r="F906" t="inlineStr">
        <is>
          <t>'=M52/N52-1</t>
        </is>
      </c>
      <c r="G906" t="n">
        <v>0.268964500657674</v>
      </c>
      <c r="H906" t="inlineStr"/>
      <c r="I906" t="inlineStr">
        <is>
          <t>0.0%</t>
        </is>
      </c>
      <c r="J906" t="b">
        <v>0</v>
      </c>
      <c r="K906" t="b">
        <v>0</v>
      </c>
      <c r="L906" t="n">
        <v>11</v>
      </c>
      <c r="M906" t="inlineStr">
        <is>
          <t>Values must be of type &lt;class 'str'&gt;</t>
        </is>
      </c>
      <c r="N906" t="inlineStr">
        <is>
          <t>00000000</t>
        </is>
      </c>
      <c r="O906" t="n">
        <v/>
      </c>
      <c r="R906" t="b">
        <v>1</v>
      </c>
      <c r="S906" t="inlineStr">
        <is>
          <t>G000153</t>
        </is>
      </c>
      <c r="T906" t="inlineStr">
        <is>
          <t>Vertical</t>
        </is>
      </c>
      <c r="U906" t="n">
        <v>93</v>
      </c>
      <c r="V906" t="b">
        <v>1</v>
      </c>
      <c r="W906" t="inlineStr">
        <is>
          <t>ATF Fuel 2!Q2:Q94</t>
        </is>
      </c>
      <c r="X906">
        <f>R[0]C[-4]/R[0]C[-3]-1</f>
        <v/>
      </c>
    </row>
    <row r="907">
      <c r="A907" t="inlineStr">
        <is>
          <t>ATF Fuel 2</t>
        </is>
      </c>
      <c r="B907" t="inlineStr">
        <is>
          <t>A53</t>
        </is>
      </c>
      <c r="C907" t="n">
        <v>53</v>
      </c>
      <c r="D907" t="n">
        <v>1</v>
      </c>
      <c r="E907" t="inlineStr">
        <is>
          <t>Input</t>
        </is>
      </c>
      <c r="F907" t="n">
        <v/>
      </c>
      <c r="G907" t="inlineStr">
        <is>
          <t>July 01, 2014</t>
        </is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11</v>
      </c>
      <c r="M907" t="inlineStr">
        <is>
          <t>Values must be of type &lt;class 'str'&gt;</t>
        </is>
      </c>
      <c r="N907" t="inlineStr">
        <is>
          <t>00000000</t>
        </is>
      </c>
      <c r="O907" t="n">
        <v/>
      </c>
      <c r="R907" t="b">
        <v>1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</row>
    <row r="908">
      <c r="A908" t="inlineStr">
        <is>
          <t>ATF Fuel 2</t>
        </is>
      </c>
      <c r="B908" t="inlineStr">
        <is>
          <t>B53</t>
        </is>
      </c>
      <c r="C908" t="n">
        <v>53</v>
      </c>
      <c r="D908" t="n">
        <v>2</v>
      </c>
      <c r="E908" t="inlineStr">
        <is>
          <t>Input</t>
        </is>
      </c>
      <c r="F908" t="n">
        <v/>
      </c>
      <c r="G908" t="n">
        <v>74794.07000000001</v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11</v>
      </c>
      <c r="M908" t="inlineStr">
        <is>
          <t>Values must be of type &lt;class 'str'&gt;</t>
        </is>
      </c>
      <c r="N908" t="inlineStr">
        <is>
          <t>00000000</t>
        </is>
      </c>
      <c r="O908" t="n">
        <v/>
      </c>
      <c r="R908" t="b">
        <v>1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</row>
    <row r="909">
      <c r="A909" t="inlineStr">
        <is>
          <t>ATF Fuel 2</t>
        </is>
      </c>
      <c r="B909" t="inlineStr">
        <is>
          <t>C53</t>
        </is>
      </c>
      <c r="C909" t="n">
        <v>53</v>
      </c>
      <c r="D909" t="n">
        <v>3</v>
      </c>
      <c r="E909" t="inlineStr">
        <is>
          <t>Output</t>
        </is>
      </c>
      <c r="F909" t="inlineStr">
        <is>
          <t>'=B53/B52-1</t>
        </is>
      </c>
      <c r="G909" t="n">
        <v>0.005272622687005235</v>
      </c>
      <c r="H909" t="inlineStr"/>
      <c r="I909" t="inlineStr">
        <is>
          <t>0%</t>
        </is>
      </c>
      <c r="J909" t="b">
        <v>0</v>
      </c>
      <c r="K909" t="b">
        <v>0</v>
      </c>
      <c r="L909" t="n">
        <v>11</v>
      </c>
      <c r="M909" t="n">
        <v/>
      </c>
      <c r="N909" t="inlineStr">
        <is>
          <t>00000000</t>
        </is>
      </c>
      <c r="O909" t="n">
        <v/>
      </c>
      <c r="R909" t="b">
        <v>1</v>
      </c>
      <c r="S909" t="inlineStr">
        <is>
          <t>G000154</t>
        </is>
      </c>
      <c r="T909" t="inlineStr">
        <is>
          <t>Vertical</t>
        </is>
      </c>
      <c r="U909" t="n">
        <v>92</v>
      </c>
      <c r="V909" t="b">
        <v>1</v>
      </c>
      <c r="W909" t="inlineStr">
        <is>
          <t>ATF Fuel 2!C3:C94</t>
        </is>
      </c>
      <c r="X909">
        <f>R[0]C[-1]/R[-1]C[-1]-1</f>
        <v/>
      </c>
    </row>
    <row r="910">
      <c r="A910" t="inlineStr">
        <is>
          <t>ATF Fuel 2</t>
        </is>
      </c>
      <c r="B910" t="inlineStr">
        <is>
          <t>D53</t>
        </is>
      </c>
      <c r="C910" t="n">
        <v>53</v>
      </c>
      <c r="D910" t="n">
        <v>4</v>
      </c>
      <c r="E910" t="inlineStr">
        <is>
          <t>Input</t>
        </is>
      </c>
      <c r="F910" t="n">
        <v/>
      </c>
      <c r="G910" t="n">
        <v>60.1</v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11</v>
      </c>
      <c r="M910" t="inlineStr">
        <is>
          <t>Values must be of type &lt;class 'str'&gt;</t>
        </is>
      </c>
      <c r="N910" t="inlineStr">
        <is>
          <t>00000000</t>
        </is>
      </c>
      <c r="O910" t="n">
        <v/>
      </c>
      <c r="R910" t="b">
        <v>1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</row>
    <row r="911">
      <c r="A911" t="inlineStr">
        <is>
          <t>ATF Fuel 2</t>
        </is>
      </c>
      <c r="B911" t="inlineStr">
        <is>
          <t>E53</t>
        </is>
      </c>
      <c r="C911" t="n">
        <v>53</v>
      </c>
      <c r="D911" t="n">
        <v>5</v>
      </c>
      <c r="E911" t="inlineStr">
        <is>
          <t>Output</t>
        </is>
      </c>
      <c r="F911" t="inlineStr">
        <is>
          <t>'=B53/B52-1</t>
        </is>
      </c>
      <c r="G911" t="n">
        <v>0.005272622687005235</v>
      </c>
      <c r="H911" t="inlineStr"/>
      <c r="I911" t="inlineStr">
        <is>
          <t>0%</t>
        </is>
      </c>
      <c r="J911" t="b">
        <v>0</v>
      </c>
      <c r="K911" t="b">
        <v>0</v>
      </c>
      <c r="L911" t="n">
        <v>11</v>
      </c>
      <c r="M911" t="inlineStr">
        <is>
          <t>Values must be of type &lt;class 'str'&gt;</t>
        </is>
      </c>
      <c r="N911" t="inlineStr">
        <is>
          <t>00000000</t>
        </is>
      </c>
      <c r="O911" t="n">
        <v/>
      </c>
      <c r="R911" t="b">
        <v>1</v>
      </c>
      <c r="S911" t="inlineStr">
        <is>
          <t>G000158</t>
        </is>
      </c>
      <c r="T911" t="inlineStr">
        <is>
          <t>Vertical</t>
        </is>
      </c>
      <c r="U911" t="n">
        <v>92</v>
      </c>
      <c r="V911" t="b">
        <v>1</v>
      </c>
      <c r="W911" t="inlineStr">
        <is>
          <t>ATF Fuel 2!E3:E94</t>
        </is>
      </c>
      <c r="X911">
        <f>R[0]C[-3]/R[-1]C[-3]-1</f>
        <v/>
      </c>
    </row>
    <row r="912">
      <c r="A912" t="inlineStr">
        <is>
          <t>ATF Fuel 2</t>
        </is>
      </c>
      <c r="B912" t="inlineStr">
        <is>
          <t>F53</t>
        </is>
      </c>
      <c r="C912" t="n">
        <v>53</v>
      </c>
      <c r="D912" t="n">
        <v>6</v>
      </c>
      <c r="E912" t="inlineStr">
        <is>
          <t>Input</t>
        </is>
      </c>
      <c r="F912" t="n">
        <v/>
      </c>
      <c r="G912" t="n">
        <v>107.65</v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11</v>
      </c>
      <c r="M912" t="inlineStr">
        <is>
          <t>Values must be of type &lt;class 'str'&gt;</t>
        </is>
      </c>
      <c r="N912" t="inlineStr">
        <is>
          <t>00000000</t>
        </is>
      </c>
      <c r="O912" t="n">
        <v/>
      </c>
      <c r="R912" t="b">
        <v>1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</row>
    <row r="913">
      <c r="A913" t="inlineStr">
        <is>
          <t>ATF Fuel 2</t>
        </is>
      </c>
      <c r="B913" t="inlineStr">
        <is>
          <t>G53</t>
        </is>
      </c>
      <c r="C913" t="n">
        <v>53</v>
      </c>
      <c r="D913" t="n">
        <v>7</v>
      </c>
      <c r="E913" t="inlineStr">
        <is>
          <t>Output</t>
        </is>
      </c>
      <c r="F913" t="inlineStr">
        <is>
          <t>'=F53/F52-1</t>
        </is>
      </c>
      <c r="G913" t="n">
        <v>-0.01428440618990923</v>
      </c>
      <c r="H913" t="inlineStr"/>
      <c r="I913" t="inlineStr">
        <is>
          <t>0%</t>
        </is>
      </c>
      <c r="J913" t="b">
        <v>0</v>
      </c>
      <c r="K913" t="b">
        <v>0</v>
      </c>
      <c r="L913" t="n">
        <v>11</v>
      </c>
      <c r="M913" t="inlineStr">
        <is>
          <t>Values must be of type &lt;class 'str'&gt;</t>
        </is>
      </c>
      <c r="N913" t="inlineStr">
        <is>
          <t>00000000</t>
        </is>
      </c>
      <c r="O913" t="n">
        <v/>
      </c>
      <c r="R913" t="b">
        <v>1</v>
      </c>
      <c r="S913" t="inlineStr">
        <is>
          <t>G000155</t>
        </is>
      </c>
      <c r="T913" t="inlineStr">
        <is>
          <t>Vertical</t>
        </is>
      </c>
      <c r="U913" t="n">
        <v>93</v>
      </c>
      <c r="V913" t="b">
        <v>1</v>
      </c>
      <c r="W913" t="inlineStr">
        <is>
          <t>ATF Fuel 2!G3:G95</t>
        </is>
      </c>
      <c r="X913">
        <f>R[0]C[-1]/R[-1]C[-1]-1</f>
        <v/>
      </c>
    </row>
    <row r="914">
      <c r="A914" t="inlineStr">
        <is>
          <t>ATF Fuel 2</t>
        </is>
      </c>
      <c r="B914" t="inlineStr">
        <is>
          <t>H53</t>
        </is>
      </c>
      <c r="C914" t="n">
        <v>53</v>
      </c>
      <c r="D914" t="n">
        <v>8</v>
      </c>
      <c r="E914" t="inlineStr">
        <is>
          <t>Calculation</t>
        </is>
      </c>
      <c r="F914" t="inlineStr">
        <is>
          <t>'=D53*F53</t>
        </is>
      </c>
      <c r="G914" t="n">
        <v>6469.765</v>
      </c>
      <c r="H914" t="inlineStr"/>
      <c r="I914" t="inlineStr">
        <is>
          <t>0</t>
        </is>
      </c>
      <c r="J914" t="b">
        <v>0</v>
      </c>
      <c r="K914" t="b">
        <v>0</v>
      </c>
      <c r="L914" t="n">
        <v>11</v>
      </c>
      <c r="M914" t="inlineStr">
        <is>
          <t>Values must be of type &lt;class 'str'&gt;</t>
        </is>
      </c>
      <c r="N914" t="inlineStr">
        <is>
          <t>00000000</t>
        </is>
      </c>
      <c r="O914" t="n">
        <v/>
      </c>
      <c r="R914" t="b">
        <v>1</v>
      </c>
      <c r="S914" t="inlineStr">
        <is>
          <t>G000152</t>
        </is>
      </c>
      <c r="T914" t="inlineStr">
        <is>
          <t>Vertical</t>
        </is>
      </c>
      <c r="U914" t="n">
        <v>98</v>
      </c>
      <c r="V914" t="b">
        <v>1</v>
      </c>
      <c r="W914" t="inlineStr">
        <is>
          <t>ATF Fuel 2!H2:H99</t>
        </is>
      </c>
      <c r="X914">
        <f>R[0]C[-4]*R[0]C[-2]</f>
        <v/>
      </c>
    </row>
    <row r="915">
      <c r="A915" t="inlineStr">
        <is>
          <t>ATF Fuel 2</t>
        </is>
      </c>
      <c r="B915" t="inlineStr">
        <is>
          <t>I53</t>
        </is>
      </c>
      <c r="C915" t="n">
        <v>53</v>
      </c>
      <c r="D915" t="n">
        <v>9</v>
      </c>
      <c r="E915" t="inlineStr">
        <is>
          <t>Output</t>
        </is>
      </c>
      <c r="F915" t="inlineStr">
        <is>
          <t>'=H53/H52-1</t>
        </is>
      </c>
      <c r="G915" t="n">
        <v>-0.0004807290705846068</v>
      </c>
      <c r="H915" t="inlineStr"/>
      <c r="I915" t="inlineStr">
        <is>
          <t>0%</t>
        </is>
      </c>
      <c r="J915" t="b">
        <v>0</v>
      </c>
      <c r="K915" t="b">
        <v>0</v>
      </c>
      <c r="L915" t="n">
        <v>11</v>
      </c>
      <c r="M915" t="inlineStr">
        <is>
          <t>FFFF0000</t>
        </is>
      </c>
      <c r="N915" t="inlineStr">
        <is>
          <t>00000000</t>
        </is>
      </c>
      <c r="O915" t="n">
        <v/>
      </c>
      <c r="R915" t="b">
        <v>1</v>
      </c>
      <c r="S915" t="inlineStr">
        <is>
          <t>G000156</t>
        </is>
      </c>
      <c r="T915" t="inlineStr">
        <is>
          <t>Vertical</t>
        </is>
      </c>
      <c r="U915" t="n">
        <v>97</v>
      </c>
      <c r="V915" t="b">
        <v>1</v>
      </c>
      <c r="W915" t="inlineStr">
        <is>
          <t>ATF Fuel 2!I3:I99</t>
        </is>
      </c>
      <c r="X915">
        <f>R[0]C[-1]/R[-1]C[-1]-1</f>
        <v/>
      </c>
    </row>
    <row r="916">
      <c r="A916" t="inlineStr">
        <is>
          <t>ATF Fuel 2</t>
        </is>
      </c>
      <c r="B916" t="inlineStr">
        <is>
          <t>J53</t>
        </is>
      </c>
      <c r="C916" t="n">
        <v>53</v>
      </c>
      <c r="D916" t="n">
        <v>10</v>
      </c>
      <c r="E916" t="inlineStr">
        <is>
          <t>Input</t>
        </is>
      </c>
      <c r="F916" t="n">
        <v/>
      </c>
      <c r="G916" t="n">
        <v>106.06</v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11</v>
      </c>
      <c r="M916" t="inlineStr">
        <is>
          <t>Values must be of type &lt;class 'str'&gt;</t>
        </is>
      </c>
      <c r="N916" t="inlineStr">
        <is>
          <t>00000000</t>
        </is>
      </c>
      <c r="O916" t="n">
        <v/>
      </c>
      <c r="R916" t="b">
        <v>1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</row>
    <row r="917">
      <c r="A917" t="inlineStr">
        <is>
          <t>ATF Fuel 2</t>
        </is>
      </c>
      <c r="B917" t="inlineStr">
        <is>
          <t>K53</t>
        </is>
      </c>
      <c r="C917" t="n">
        <v>53</v>
      </c>
      <c r="D917" t="n">
        <v>11</v>
      </c>
      <c r="E917" t="inlineStr">
        <is>
          <t>Output</t>
        </is>
      </c>
      <c r="F917" t="inlineStr">
        <is>
          <t>'=J53/J52-1</t>
        </is>
      </c>
      <c r="G917" t="n">
        <v>0.02900941107984867</v>
      </c>
      <c r="H917" t="inlineStr"/>
      <c r="I917" t="inlineStr">
        <is>
          <t>0%</t>
        </is>
      </c>
      <c r="J917" t="b">
        <v>0</v>
      </c>
      <c r="K917" t="b">
        <v>0</v>
      </c>
      <c r="L917" t="n">
        <v>11</v>
      </c>
      <c r="M917" t="inlineStr">
        <is>
          <t>Values must be of type &lt;class 'str'&gt;</t>
        </is>
      </c>
      <c r="N917" t="inlineStr">
        <is>
          <t>00000000</t>
        </is>
      </c>
      <c r="O917" t="n">
        <v/>
      </c>
      <c r="R917" t="b">
        <v>1</v>
      </c>
      <c r="S917" t="inlineStr">
        <is>
          <t>G000157</t>
        </is>
      </c>
      <c r="T917" t="inlineStr">
        <is>
          <t>Vertical</t>
        </is>
      </c>
      <c r="U917" t="n">
        <v>93</v>
      </c>
      <c r="V917" t="b">
        <v>1</v>
      </c>
      <c r="W917" t="inlineStr">
        <is>
          <t>ATF Fuel 2!K3:K95</t>
        </is>
      </c>
      <c r="X917">
        <f>R[0]C[-1]/R[-1]C[-1]-1</f>
        <v/>
      </c>
    </row>
    <row r="918">
      <c r="A918" t="inlineStr">
        <is>
          <t>ATF Fuel 2</t>
        </is>
      </c>
      <c r="B918" t="inlineStr">
        <is>
          <t>L53</t>
        </is>
      </c>
      <c r="C918" t="n">
        <v>53</v>
      </c>
      <c r="D918" t="n">
        <v>12</v>
      </c>
      <c r="E918" t="inlineStr">
        <is>
          <t>Input</t>
        </is>
      </c>
      <c r="F918" t="n">
        <v/>
      </c>
      <c r="G918" t="inlineStr">
        <is>
          <t>July 01, 2014</t>
        </is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11</v>
      </c>
      <c r="M918" t="inlineStr">
        <is>
          <t>Values must be of type &lt;class 'str'&gt;</t>
        </is>
      </c>
      <c r="N918" t="inlineStr">
        <is>
          <t>00000000</t>
        </is>
      </c>
      <c r="O918" t="inlineStr">
        <is>
          <t>left</t>
        </is>
      </c>
      <c r="R918" t="b">
        <v>1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</row>
    <row r="919">
      <c r="A919" t="inlineStr">
        <is>
          <t>ATF Fuel 2</t>
        </is>
      </c>
      <c r="B919" t="inlineStr">
        <is>
          <t>M53</t>
        </is>
      </c>
      <c r="C919" t="n">
        <v>53</v>
      </c>
      <c r="D919" t="n">
        <v>13</v>
      </c>
      <c r="E919" t="inlineStr">
        <is>
          <t>Calculation</t>
        </is>
      </c>
      <c r="F919" t="inlineStr">
        <is>
          <t>'=(1+(B53/B52)-1)*M52</t>
        </is>
      </c>
      <c r="G919" t="n">
        <v>168.6001600137863</v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11</v>
      </c>
      <c r="M919" t="inlineStr">
        <is>
          <t>Values must be of type &lt;class 'str'&gt;</t>
        </is>
      </c>
      <c r="N919" t="inlineStr">
        <is>
          <t>00000000</t>
        </is>
      </c>
      <c r="O919" t="inlineStr">
        <is>
          <t>left</t>
        </is>
      </c>
      <c r="R919" t="b">
        <v>1</v>
      </c>
      <c r="S919" t="inlineStr">
        <is>
          <t>G000159</t>
        </is>
      </c>
      <c r="T919" t="inlineStr">
        <is>
          <t>Vertical</t>
        </is>
      </c>
      <c r="U919" t="n">
        <v>92</v>
      </c>
      <c r="V919" t="b">
        <v>1</v>
      </c>
      <c r="W919" t="inlineStr">
        <is>
          <t>ATF Fuel 2!M3:M94</t>
        </is>
      </c>
      <c r="X919">
        <f>(1+(R[0]C[-11]/R[-1]C[-11])-1)*R[-1]C[0]</f>
        <v/>
      </c>
    </row>
    <row r="920">
      <c r="A920" t="inlineStr">
        <is>
          <t>ATF Fuel 2</t>
        </is>
      </c>
      <c r="B920" t="inlineStr">
        <is>
          <t>N53</t>
        </is>
      </c>
      <c r="C920" t="n">
        <v>53</v>
      </c>
      <c r="D920" t="n">
        <v>14</v>
      </c>
      <c r="E920" t="inlineStr">
        <is>
          <t>Calculation</t>
        </is>
      </c>
      <c r="F920" t="inlineStr">
        <is>
          <t>'=(1+(F53/F52)-1)*N52</t>
        </is>
      </c>
      <c r="G920" t="n">
        <v>130.2795594820284</v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11</v>
      </c>
      <c r="M920" t="inlineStr">
        <is>
          <t>Values must be of type &lt;class 'str'&gt;</t>
        </is>
      </c>
      <c r="N920" t="inlineStr">
        <is>
          <t>00000000</t>
        </is>
      </c>
      <c r="O920" t="inlineStr">
        <is>
          <t>left</t>
        </is>
      </c>
      <c r="R920" t="b">
        <v>1</v>
      </c>
      <c r="S920" t="inlineStr">
        <is>
          <t>G000160</t>
        </is>
      </c>
      <c r="T920" t="inlineStr">
        <is>
          <t>Vertical</t>
        </is>
      </c>
      <c r="U920" t="n">
        <v>92</v>
      </c>
      <c r="V920" t="b">
        <v>1</v>
      </c>
      <c r="W920" t="inlineStr">
        <is>
          <t>ATF Fuel 2!N3:N94</t>
        </is>
      </c>
      <c r="X920">
        <f>(1+(R[0]C[-8]/R[-1]C[-8])-1)*R[-1]C[0]</f>
        <v/>
      </c>
    </row>
    <row r="921">
      <c r="A921" t="inlineStr">
        <is>
          <t>ATF Fuel 2</t>
        </is>
      </c>
      <c r="B921" t="inlineStr">
        <is>
          <t>O53</t>
        </is>
      </c>
      <c r="C921" t="n">
        <v>53</v>
      </c>
      <c r="D921" t="n">
        <v>15</v>
      </c>
      <c r="E921" t="inlineStr">
        <is>
          <t>Calculation</t>
        </is>
      </c>
      <c r="F921" t="inlineStr">
        <is>
          <t>'=(1+(J53/J52)-1)*O52</t>
        </is>
      </c>
      <c r="G921" t="n">
        <v>125.4702472494973</v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11</v>
      </c>
      <c r="M921" t="inlineStr">
        <is>
          <t>Values must be of type &lt;class 'str'&gt;</t>
        </is>
      </c>
      <c r="N921" t="inlineStr">
        <is>
          <t>00000000</t>
        </is>
      </c>
      <c r="O921" t="inlineStr">
        <is>
          <t>left</t>
        </is>
      </c>
      <c r="R921" t="b">
        <v>1</v>
      </c>
      <c r="S921" t="inlineStr">
        <is>
          <t>G000162</t>
        </is>
      </c>
      <c r="T921" t="inlineStr">
        <is>
          <t>Vertical</t>
        </is>
      </c>
      <c r="U921" t="n">
        <v>92</v>
      </c>
      <c r="V921" t="b">
        <v>1</v>
      </c>
      <c r="W921" t="inlineStr">
        <is>
          <t>ATF Fuel 2!O3:O94</t>
        </is>
      </c>
      <c r="X921">
        <f>(1+(R[0]C[-5]/R[-1]C[-5])-1)*R[-1]C[0]</f>
        <v/>
      </c>
    </row>
    <row r="922">
      <c r="A922" t="inlineStr">
        <is>
          <t>ATF Fuel 2</t>
        </is>
      </c>
      <c r="B922" t="inlineStr">
        <is>
          <t>P53</t>
        </is>
      </c>
      <c r="C922" t="n">
        <v>53</v>
      </c>
      <c r="D922" t="n">
        <v>16</v>
      </c>
      <c r="E922" t="inlineStr">
        <is>
          <t>Calculation</t>
        </is>
      </c>
      <c r="F922" t="inlineStr">
        <is>
          <t>'=(1+(H53/H52)-1)*P52</t>
        </is>
      </c>
      <c r="G922" t="n">
        <v>174.9285416637602</v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11</v>
      </c>
      <c r="M922" t="inlineStr">
        <is>
          <t>Values must be of type &lt;class 'str'&gt;</t>
        </is>
      </c>
      <c r="N922" t="inlineStr">
        <is>
          <t>00000000</t>
        </is>
      </c>
      <c r="O922" t="inlineStr">
        <is>
          <t>left</t>
        </is>
      </c>
      <c r="R922" t="b">
        <v>1</v>
      </c>
      <c r="S922" t="inlineStr">
        <is>
          <t>G000161</t>
        </is>
      </c>
      <c r="T922" t="inlineStr">
        <is>
          <t>Vertical</t>
        </is>
      </c>
      <c r="U922" t="n">
        <v>92</v>
      </c>
      <c r="V922" t="b">
        <v>1</v>
      </c>
      <c r="W922" t="inlineStr">
        <is>
          <t>ATF Fuel 2!P3:P94</t>
        </is>
      </c>
      <c r="X922">
        <f>(1+(R[0]C[-8]/R[-1]C[-8])-1)*R[-1]C[0]</f>
        <v/>
      </c>
    </row>
    <row r="923">
      <c r="A923" t="inlineStr">
        <is>
          <t>ATF Fuel 2</t>
        </is>
      </c>
      <c r="B923" t="inlineStr">
        <is>
          <t>Q53</t>
        </is>
      </c>
      <c r="C923" t="n">
        <v>53</v>
      </c>
      <c r="D923" t="n">
        <v>17</v>
      </c>
      <c r="E923" t="inlineStr">
        <is>
          <t>Output</t>
        </is>
      </c>
      <c r="F923" t="inlineStr">
        <is>
          <t>'=M53/N53-1</t>
        </is>
      </c>
      <c r="G923" t="n">
        <v>0.2941413118382861</v>
      </c>
      <c r="H923" t="inlineStr"/>
      <c r="I923" t="inlineStr">
        <is>
          <t>0.0%</t>
        </is>
      </c>
      <c r="J923" t="b">
        <v>0</v>
      </c>
      <c r="K923" t="b">
        <v>0</v>
      </c>
      <c r="L923" t="n">
        <v>11</v>
      </c>
      <c r="M923" t="inlineStr">
        <is>
          <t>Values must be of type &lt;class 'str'&gt;</t>
        </is>
      </c>
      <c r="N923" t="inlineStr">
        <is>
          <t>00000000</t>
        </is>
      </c>
      <c r="O923" t="n">
        <v/>
      </c>
      <c r="R923" t="b">
        <v>1</v>
      </c>
      <c r="S923" t="inlineStr">
        <is>
          <t>G000153</t>
        </is>
      </c>
      <c r="T923" t="inlineStr">
        <is>
          <t>Vertical</t>
        </is>
      </c>
      <c r="U923" t="n">
        <v>93</v>
      </c>
      <c r="V923" t="b">
        <v>1</v>
      </c>
      <c r="W923" t="inlineStr">
        <is>
          <t>ATF Fuel 2!Q2:Q94</t>
        </is>
      </c>
      <c r="X923">
        <f>R[0]C[-4]/R[0]C[-3]-1</f>
        <v/>
      </c>
    </row>
    <row r="924">
      <c r="A924" t="inlineStr">
        <is>
          <t>ATF Fuel 2</t>
        </is>
      </c>
      <c r="B924" t="inlineStr">
        <is>
          <t>A54</t>
        </is>
      </c>
      <c r="C924" t="n">
        <v>54</v>
      </c>
      <c r="D924" t="n">
        <v>1</v>
      </c>
      <c r="E924" t="inlineStr">
        <is>
          <t>Input</t>
        </is>
      </c>
      <c r="F924" t="n">
        <v/>
      </c>
      <c r="G924" t="inlineStr">
        <is>
          <t>August 01, 2014</t>
        </is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11</v>
      </c>
      <c r="M924" t="inlineStr">
        <is>
          <t>Values must be of type &lt;class 'str'&gt;</t>
        </is>
      </c>
      <c r="N924" t="inlineStr">
        <is>
          <t>00000000</t>
        </is>
      </c>
      <c r="O924" t="n">
        <v/>
      </c>
      <c r="R924" t="b">
        <v>1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</row>
    <row r="925">
      <c r="A925" t="inlineStr">
        <is>
          <t>ATF Fuel 2</t>
        </is>
      </c>
      <c r="B925" t="inlineStr">
        <is>
          <t>B54</t>
        </is>
      </c>
      <c r="C925" t="n">
        <v>54</v>
      </c>
      <c r="D925" t="n">
        <v>2</v>
      </c>
      <c r="E925" t="inlineStr">
        <is>
          <t>Input</t>
        </is>
      </c>
      <c r="F925" t="n">
        <v/>
      </c>
      <c r="G925" t="n">
        <v>74690.465</v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11</v>
      </c>
      <c r="M925" t="inlineStr">
        <is>
          <t>Values must be of type &lt;class 'str'&gt;</t>
        </is>
      </c>
      <c r="N925" t="inlineStr">
        <is>
          <t>00000000</t>
        </is>
      </c>
      <c r="O925" t="n">
        <v/>
      </c>
      <c r="R925" t="b">
        <v>1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</row>
    <row r="926">
      <c r="A926" t="inlineStr">
        <is>
          <t>ATF Fuel 2</t>
        </is>
      </c>
      <c r="B926" t="inlineStr">
        <is>
          <t>C54</t>
        </is>
      </c>
      <c r="C926" t="n">
        <v>54</v>
      </c>
      <c r="D926" t="n">
        <v>3</v>
      </c>
      <c r="E926" t="inlineStr">
        <is>
          <t>Output</t>
        </is>
      </c>
      <c r="F926" t="inlineStr">
        <is>
          <t>'=B54/B53-1</t>
        </is>
      </c>
      <c r="G926" t="n">
        <v>-0.001385203399146606</v>
      </c>
      <c r="H926" t="inlineStr"/>
      <c r="I926" t="inlineStr">
        <is>
          <t>0%</t>
        </is>
      </c>
      <c r="J926" t="b">
        <v>0</v>
      </c>
      <c r="K926" t="b">
        <v>0</v>
      </c>
      <c r="L926" t="n">
        <v>11</v>
      </c>
      <c r="M926" t="n">
        <v/>
      </c>
      <c r="N926" t="inlineStr">
        <is>
          <t>00000000</t>
        </is>
      </c>
      <c r="O926" t="n">
        <v/>
      </c>
      <c r="R926" t="b">
        <v>1</v>
      </c>
      <c r="S926" t="inlineStr">
        <is>
          <t>G000154</t>
        </is>
      </c>
      <c r="T926" t="inlineStr">
        <is>
          <t>Vertical</t>
        </is>
      </c>
      <c r="U926" t="n">
        <v>92</v>
      </c>
      <c r="V926" t="b">
        <v>1</v>
      </c>
      <c r="W926" t="inlineStr">
        <is>
          <t>ATF Fuel 2!C3:C94</t>
        </is>
      </c>
      <c r="X926">
        <f>R[0]C[-1]/R[-1]C[-1]-1</f>
        <v/>
      </c>
    </row>
    <row r="927">
      <c r="A927" t="inlineStr">
        <is>
          <t>ATF Fuel 2</t>
        </is>
      </c>
      <c r="B927" t="inlineStr">
        <is>
          <t>D54</t>
        </is>
      </c>
      <c r="C927" t="n">
        <v>54</v>
      </c>
      <c r="D927" t="n">
        <v>4</v>
      </c>
      <c r="E927" t="inlineStr">
        <is>
          <t>Input</t>
        </is>
      </c>
      <c r="F927" t="n">
        <v/>
      </c>
      <c r="G927" t="n">
        <v>60.75</v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11</v>
      </c>
      <c r="M927" t="inlineStr">
        <is>
          <t>Values must be of type &lt;class 'str'&gt;</t>
        </is>
      </c>
      <c r="N927" t="inlineStr">
        <is>
          <t>00000000</t>
        </is>
      </c>
      <c r="O927" t="n">
        <v/>
      </c>
      <c r="R927" t="b">
        <v>1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</row>
    <row r="928">
      <c r="A928" t="inlineStr">
        <is>
          <t>ATF Fuel 2</t>
        </is>
      </c>
      <c r="B928" t="inlineStr">
        <is>
          <t>E54</t>
        </is>
      </c>
      <c r="C928" t="n">
        <v>54</v>
      </c>
      <c r="D928" t="n">
        <v>5</v>
      </c>
      <c r="E928" t="inlineStr">
        <is>
          <t>Output</t>
        </is>
      </c>
      <c r="F928" t="inlineStr">
        <is>
          <t>'=B54/B53-1</t>
        </is>
      </c>
      <c r="G928" t="n">
        <v>-0.001385203399146606</v>
      </c>
      <c r="H928" t="inlineStr"/>
      <c r="I928" t="inlineStr">
        <is>
          <t>0%</t>
        </is>
      </c>
      <c r="J928" t="b">
        <v>0</v>
      </c>
      <c r="K928" t="b">
        <v>0</v>
      </c>
      <c r="L928" t="n">
        <v>11</v>
      </c>
      <c r="M928" t="inlineStr">
        <is>
          <t>Values must be of type &lt;class 'str'&gt;</t>
        </is>
      </c>
      <c r="N928" t="inlineStr">
        <is>
          <t>00000000</t>
        </is>
      </c>
      <c r="O928" t="n">
        <v/>
      </c>
      <c r="R928" t="b">
        <v>1</v>
      </c>
      <c r="S928" t="inlineStr">
        <is>
          <t>G000158</t>
        </is>
      </c>
      <c r="T928" t="inlineStr">
        <is>
          <t>Vertical</t>
        </is>
      </c>
      <c r="U928" t="n">
        <v>92</v>
      </c>
      <c r="V928" t="b">
        <v>1</v>
      </c>
      <c r="W928" t="inlineStr">
        <is>
          <t>ATF Fuel 2!E3:E94</t>
        </is>
      </c>
      <c r="X928">
        <f>R[0]C[-3]/R[-1]C[-3]-1</f>
        <v/>
      </c>
    </row>
    <row r="929">
      <c r="A929" t="inlineStr">
        <is>
          <t>ATF Fuel 2</t>
        </is>
      </c>
      <c r="B929" t="inlineStr">
        <is>
          <t>F54</t>
        </is>
      </c>
      <c r="C929" t="n">
        <v>54</v>
      </c>
      <c r="D929" t="n">
        <v>6</v>
      </c>
      <c r="E929" t="inlineStr">
        <is>
          <t>Input</t>
        </is>
      </c>
      <c r="F929" t="n">
        <v/>
      </c>
      <c r="G929" t="n">
        <v>104.02</v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11</v>
      </c>
      <c r="M929" t="inlineStr">
        <is>
          <t>Values must be of type &lt;class 'str'&gt;</t>
        </is>
      </c>
      <c r="N929" t="inlineStr">
        <is>
          <t>00000000</t>
        </is>
      </c>
      <c r="O929" t="n">
        <v/>
      </c>
      <c r="R929" t="b">
        <v>1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</row>
    <row r="930">
      <c r="A930" t="inlineStr">
        <is>
          <t>ATF Fuel 2</t>
        </is>
      </c>
      <c r="B930" t="inlineStr">
        <is>
          <t>G54</t>
        </is>
      </c>
      <c r="C930" t="n">
        <v>54</v>
      </c>
      <c r="D930" t="n">
        <v>7</v>
      </c>
      <c r="E930" t="inlineStr">
        <is>
          <t>Output</t>
        </is>
      </c>
      <c r="F930" t="inlineStr">
        <is>
          <t>'=F54/F53-1</t>
        </is>
      </c>
      <c r="G930" t="n">
        <v>-0.03372039015327455</v>
      </c>
      <c r="H930" t="inlineStr"/>
      <c r="I930" t="inlineStr">
        <is>
          <t>0%</t>
        </is>
      </c>
      <c r="J930" t="b">
        <v>0</v>
      </c>
      <c r="K930" t="b">
        <v>0</v>
      </c>
      <c r="L930" t="n">
        <v>11</v>
      </c>
      <c r="M930" t="inlineStr">
        <is>
          <t>Values must be of type &lt;class 'str'&gt;</t>
        </is>
      </c>
      <c r="N930" t="inlineStr">
        <is>
          <t>00000000</t>
        </is>
      </c>
      <c r="O930" t="n">
        <v/>
      </c>
      <c r="R930" t="b">
        <v>1</v>
      </c>
      <c r="S930" t="inlineStr">
        <is>
          <t>G000155</t>
        </is>
      </c>
      <c r="T930" t="inlineStr">
        <is>
          <t>Vertical</t>
        </is>
      </c>
      <c r="U930" t="n">
        <v>93</v>
      </c>
      <c r="V930" t="b">
        <v>1</v>
      </c>
      <c r="W930" t="inlineStr">
        <is>
          <t>ATF Fuel 2!G3:G95</t>
        </is>
      </c>
      <c r="X930">
        <f>R[0]C[-1]/R[-1]C[-1]-1</f>
        <v/>
      </c>
    </row>
    <row r="931">
      <c r="A931" t="inlineStr">
        <is>
          <t>ATF Fuel 2</t>
        </is>
      </c>
      <c r="B931" t="inlineStr">
        <is>
          <t>H54</t>
        </is>
      </c>
      <c r="C931" t="n">
        <v>54</v>
      </c>
      <c r="D931" t="n">
        <v>8</v>
      </c>
      <c r="E931" t="inlineStr">
        <is>
          <t>Calculation</t>
        </is>
      </c>
      <c r="F931" t="inlineStr">
        <is>
          <t>'=D54*F54</t>
        </is>
      </c>
      <c r="G931" t="n">
        <v>6319.215</v>
      </c>
      <c r="H931" t="inlineStr"/>
      <c r="I931" t="inlineStr">
        <is>
          <t>0</t>
        </is>
      </c>
      <c r="J931" t="b">
        <v>0</v>
      </c>
      <c r="K931" t="b">
        <v>0</v>
      </c>
      <c r="L931" t="n">
        <v>11</v>
      </c>
      <c r="M931" t="inlineStr">
        <is>
          <t>Values must be of type &lt;class 'str'&gt;</t>
        </is>
      </c>
      <c r="N931" t="inlineStr">
        <is>
          <t>00000000</t>
        </is>
      </c>
      <c r="O931" t="n">
        <v/>
      </c>
      <c r="R931" t="b">
        <v>1</v>
      </c>
      <c r="S931" t="inlineStr">
        <is>
          <t>G000152</t>
        </is>
      </c>
      <c r="T931" t="inlineStr">
        <is>
          <t>Vertical</t>
        </is>
      </c>
      <c r="U931" t="n">
        <v>98</v>
      </c>
      <c r="V931" t="b">
        <v>1</v>
      </c>
      <c r="W931" t="inlineStr">
        <is>
          <t>ATF Fuel 2!H2:H99</t>
        </is>
      </c>
      <c r="X931">
        <f>R[0]C[-4]*R[0]C[-2]</f>
        <v/>
      </c>
    </row>
    <row r="932">
      <c r="A932" t="inlineStr">
        <is>
          <t>ATF Fuel 2</t>
        </is>
      </c>
      <c r="B932" t="inlineStr">
        <is>
          <t>I54</t>
        </is>
      </c>
      <c r="C932" t="n">
        <v>54</v>
      </c>
      <c r="D932" t="n">
        <v>9</v>
      </c>
      <c r="E932" t="inlineStr">
        <is>
          <t>Output</t>
        </is>
      </c>
      <c r="F932" t="inlineStr">
        <is>
          <t>'=H54/H53-1</t>
        </is>
      </c>
      <c r="G932" t="n">
        <v>-0.02326977873230329</v>
      </c>
      <c r="H932" t="inlineStr"/>
      <c r="I932" t="inlineStr">
        <is>
          <t>0%</t>
        </is>
      </c>
      <c r="J932" t="b">
        <v>0</v>
      </c>
      <c r="K932" t="b">
        <v>0</v>
      </c>
      <c r="L932" t="n">
        <v>11</v>
      </c>
      <c r="M932" t="inlineStr">
        <is>
          <t>FFFF0000</t>
        </is>
      </c>
      <c r="N932" t="inlineStr">
        <is>
          <t>00000000</t>
        </is>
      </c>
      <c r="O932" t="n">
        <v/>
      </c>
      <c r="R932" t="b">
        <v>1</v>
      </c>
      <c r="S932" t="inlineStr">
        <is>
          <t>G000156</t>
        </is>
      </c>
      <c r="T932" t="inlineStr">
        <is>
          <t>Vertical</t>
        </is>
      </c>
      <c r="U932" t="n">
        <v>97</v>
      </c>
      <c r="V932" t="b">
        <v>1</v>
      </c>
      <c r="W932" t="inlineStr">
        <is>
          <t>ATF Fuel 2!I3:I99</t>
        </is>
      </c>
      <c r="X932">
        <f>R[0]C[-1]/R[-1]C[-1]-1</f>
        <v/>
      </c>
    </row>
    <row r="933">
      <c r="A933" t="inlineStr">
        <is>
          <t>ATF Fuel 2</t>
        </is>
      </c>
      <c r="B933" t="inlineStr">
        <is>
          <t>J54</t>
        </is>
      </c>
      <c r="C933" t="n">
        <v>54</v>
      </c>
      <c r="D933" t="n">
        <v>10</v>
      </c>
      <c r="E933" t="inlineStr">
        <is>
          <t>Input</t>
        </is>
      </c>
      <c r="F933" t="n">
        <v/>
      </c>
      <c r="G933" t="n">
        <v>97.86</v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11</v>
      </c>
      <c r="M933" t="inlineStr">
        <is>
          <t>Values must be of type &lt;class 'str'&gt;</t>
        </is>
      </c>
      <c r="N933" t="inlineStr">
        <is>
          <t>00000000</t>
        </is>
      </c>
      <c r="O933" t="n">
        <v/>
      </c>
      <c r="R933" t="b">
        <v>1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</row>
    <row r="934">
      <c r="A934" t="inlineStr">
        <is>
          <t>ATF Fuel 2</t>
        </is>
      </c>
      <c r="B934" t="inlineStr">
        <is>
          <t>K54</t>
        </is>
      </c>
      <c r="C934" t="n">
        <v>54</v>
      </c>
      <c r="D934" t="n">
        <v>11</v>
      </c>
      <c r="E934" t="inlineStr">
        <is>
          <t>Output</t>
        </is>
      </c>
      <c r="F934" t="inlineStr">
        <is>
          <t>'=J54/J53-1</t>
        </is>
      </c>
      <c r="G934" t="n">
        <v>-0.07731472751272872</v>
      </c>
      <c r="H934" t="inlineStr"/>
      <c r="I934" t="inlineStr">
        <is>
          <t>0%</t>
        </is>
      </c>
      <c r="J934" t="b">
        <v>0</v>
      </c>
      <c r="K934" t="b">
        <v>0</v>
      </c>
      <c r="L934" t="n">
        <v>11</v>
      </c>
      <c r="M934" t="inlineStr">
        <is>
          <t>Values must be of type &lt;class 'str'&gt;</t>
        </is>
      </c>
      <c r="N934" t="inlineStr">
        <is>
          <t>00000000</t>
        </is>
      </c>
      <c r="O934" t="n">
        <v/>
      </c>
      <c r="R934" t="b">
        <v>1</v>
      </c>
      <c r="S934" t="inlineStr">
        <is>
          <t>G000157</t>
        </is>
      </c>
      <c r="T934" t="inlineStr">
        <is>
          <t>Vertical</t>
        </is>
      </c>
      <c r="U934" t="n">
        <v>93</v>
      </c>
      <c r="V934" t="b">
        <v>1</v>
      </c>
      <c r="W934" t="inlineStr">
        <is>
          <t>ATF Fuel 2!K3:K95</t>
        </is>
      </c>
      <c r="X934">
        <f>R[0]C[-1]/R[-1]C[-1]-1</f>
        <v/>
      </c>
    </row>
    <row r="935">
      <c r="A935" t="inlineStr">
        <is>
          <t>ATF Fuel 2</t>
        </is>
      </c>
      <c r="B935" t="inlineStr">
        <is>
          <t>L54</t>
        </is>
      </c>
      <c r="C935" t="n">
        <v>54</v>
      </c>
      <c r="D935" t="n">
        <v>12</v>
      </c>
      <c r="E935" t="inlineStr">
        <is>
          <t>Input</t>
        </is>
      </c>
      <c r="F935" t="n">
        <v/>
      </c>
      <c r="G935" t="inlineStr">
        <is>
          <t>August 01, 2014</t>
        </is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11</v>
      </c>
      <c r="M935" t="inlineStr">
        <is>
          <t>Values must be of type &lt;class 'str'&gt;</t>
        </is>
      </c>
      <c r="N935" t="inlineStr">
        <is>
          <t>00000000</t>
        </is>
      </c>
      <c r="O935" t="inlineStr">
        <is>
          <t>left</t>
        </is>
      </c>
      <c r="R935" t="b">
        <v>1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</row>
    <row r="936">
      <c r="A936" t="inlineStr">
        <is>
          <t>ATF Fuel 2</t>
        </is>
      </c>
      <c r="B936" t="inlineStr">
        <is>
          <t>M54</t>
        </is>
      </c>
      <c r="C936" t="n">
        <v>54</v>
      </c>
      <c r="D936" t="n">
        <v>13</v>
      </c>
      <c r="E936" t="inlineStr">
        <is>
          <t>Calculation</t>
        </is>
      </c>
      <c r="F936" t="inlineStr">
        <is>
          <t>'=(1+(B54/B53)-1)*M53</t>
        </is>
      </c>
      <c r="G936" t="n">
        <v>168.3666144990385</v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11</v>
      </c>
      <c r="M936" t="inlineStr">
        <is>
          <t>Values must be of type &lt;class 'str'&gt;</t>
        </is>
      </c>
      <c r="N936" t="inlineStr">
        <is>
          <t>00000000</t>
        </is>
      </c>
      <c r="O936" t="inlineStr">
        <is>
          <t>left</t>
        </is>
      </c>
      <c r="R936" t="b">
        <v>1</v>
      </c>
      <c r="S936" t="inlineStr">
        <is>
          <t>G000159</t>
        </is>
      </c>
      <c r="T936" t="inlineStr">
        <is>
          <t>Vertical</t>
        </is>
      </c>
      <c r="U936" t="n">
        <v>92</v>
      </c>
      <c r="V936" t="b">
        <v>1</v>
      </c>
      <c r="W936" t="inlineStr">
        <is>
          <t>ATF Fuel 2!M3:M94</t>
        </is>
      </c>
      <c r="X936">
        <f>(1+(R[0]C[-11]/R[-1]C[-11])-1)*R[-1]C[0]</f>
        <v/>
      </c>
    </row>
    <row r="937">
      <c r="A937" t="inlineStr">
        <is>
          <t>ATF Fuel 2</t>
        </is>
      </c>
      <c r="B937" t="inlineStr">
        <is>
          <t>N54</t>
        </is>
      </c>
      <c r="C937" t="n">
        <v>54</v>
      </c>
      <c r="D937" t="n">
        <v>14</v>
      </c>
      <c r="E937" t="inlineStr">
        <is>
          <t>Calculation</t>
        </is>
      </c>
      <c r="F937" t="inlineStr">
        <is>
          <t>'=(1+(F54/F53)-1)*N53</t>
        </is>
      </c>
      <c r="G937" t="n">
        <v>125.8864819072977</v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11</v>
      </c>
      <c r="M937" t="inlineStr">
        <is>
          <t>Values must be of type &lt;class 'str'&gt;</t>
        </is>
      </c>
      <c r="N937" t="inlineStr">
        <is>
          <t>00000000</t>
        </is>
      </c>
      <c r="O937" t="inlineStr">
        <is>
          <t>left</t>
        </is>
      </c>
      <c r="R937" t="b">
        <v>1</v>
      </c>
      <c r="S937" t="inlineStr">
        <is>
          <t>G000160</t>
        </is>
      </c>
      <c r="T937" t="inlineStr">
        <is>
          <t>Vertical</t>
        </is>
      </c>
      <c r="U937" t="n">
        <v>92</v>
      </c>
      <c r="V937" t="b">
        <v>1</v>
      </c>
      <c r="W937" t="inlineStr">
        <is>
          <t>ATF Fuel 2!N3:N94</t>
        </is>
      </c>
      <c r="X937">
        <f>(1+(R[0]C[-8]/R[-1]C[-8])-1)*R[-1]C[0]</f>
        <v/>
      </c>
    </row>
    <row r="938">
      <c r="A938" t="inlineStr">
        <is>
          <t>ATF Fuel 2</t>
        </is>
      </c>
      <c r="B938" t="inlineStr">
        <is>
          <t>O54</t>
        </is>
      </c>
      <c r="C938" t="n">
        <v>54</v>
      </c>
      <c r="D938" t="n">
        <v>15</v>
      </c>
      <c r="E938" t="inlineStr">
        <is>
          <t>Calculation</t>
        </is>
      </c>
      <c r="F938" t="inlineStr">
        <is>
          <t>'=(1+(J54/J53)-1)*O53</t>
        </is>
      </c>
      <c r="G938" t="n">
        <v>115.7695492724477</v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11</v>
      </c>
      <c r="M938" t="inlineStr">
        <is>
          <t>Values must be of type &lt;class 'str'&gt;</t>
        </is>
      </c>
      <c r="N938" t="inlineStr">
        <is>
          <t>00000000</t>
        </is>
      </c>
      <c r="O938" t="inlineStr">
        <is>
          <t>left</t>
        </is>
      </c>
      <c r="R938" t="b">
        <v>1</v>
      </c>
      <c r="S938" t="inlineStr">
        <is>
          <t>G000162</t>
        </is>
      </c>
      <c r="T938" t="inlineStr">
        <is>
          <t>Vertical</t>
        </is>
      </c>
      <c r="U938" t="n">
        <v>92</v>
      </c>
      <c r="V938" t="b">
        <v>1</v>
      </c>
      <c r="W938" t="inlineStr">
        <is>
          <t>ATF Fuel 2!O3:O94</t>
        </is>
      </c>
      <c r="X938">
        <f>(1+(R[0]C[-5]/R[-1]C[-5])-1)*R[-1]C[0]</f>
        <v/>
      </c>
    </row>
    <row r="939">
      <c r="A939" t="inlineStr">
        <is>
          <t>ATF Fuel 2</t>
        </is>
      </c>
      <c r="B939" t="inlineStr">
        <is>
          <t>P54</t>
        </is>
      </c>
      <c r="C939" t="n">
        <v>54</v>
      </c>
      <c r="D939" t="n">
        <v>16</v>
      </c>
      <c r="E939" t="inlineStr">
        <is>
          <t>Calculation</t>
        </is>
      </c>
      <c r="F939" t="inlineStr">
        <is>
          <t>'=(1+(H54/H53)-1)*P53</t>
        </is>
      </c>
      <c r="G939" t="n">
        <v>170.85799320528</v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11</v>
      </c>
      <c r="M939" t="inlineStr">
        <is>
          <t>Values must be of type &lt;class 'str'&gt;</t>
        </is>
      </c>
      <c r="N939" t="inlineStr">
        <is>
          <t>00000000</t>
        </is>
      </c>
      <c r="O939" t="inlineStr">
        <is>
          <t>left</t>
        </is>
      </c>
      <c r="R939" t="b">
        <v>1</v>
      </c>
      <c r="S939" t="inlineStr">
        <is>
          <t>G000161</t>
        </is>
      </c>
      <c r="T939" t="inlineStr">
        <is>
          <t>Vertical</t>
        </is>
      </c>
      <c r="U939" t="n">
        <v>92</v>
      </c>
      <c r="V939" t="b">
        <v>1</v>
      </c>
      <c r="W939" t="inlineStr">
        <is>
          <t>ATF Fuel 2!P3:P94</t>
        </is>
      </c>
      <c r="X939">
        <f>(1+(R[0]C[-8]/R[-1]C[-8])-1)*R[-1]C[0]</f>
        <v/>
      </c>
    </row>
    <row r="940">
      <c r="A940" t="inlineStr">
        <is>
          <t>ATF Fuel 2</t>
        </is>
      </c>
      <c r="B940" t="inlineStr">
        <is>
          <t>Q54</t>
        </is>
      </c>
      <c r="C940" t="n">
        <v>54</v>
      </c>
      <c r="D940" t="n">
        <v>17</v>
      </c>
      <c r="E940" t="inlineStr">
        <is>
          <t>Output</t>
        </is>
      </c>
      <c r="F940" t="inlineStr">
        <is>
          <t>'=M54/N54-1</t>
        </is>
      </c>
      <c r="G940" t="n">
        <v>0.3374479288651742</v>
      </c>
      <c r="H940" t="inlineStr"/>
      <c r="I940" t="inlineStr">
        <is>
          <t>0.0%</t>
        </is>
      </c>
      <c r="J940" t="b">
        <v>0</v>
      </c>
      <c r="K940" t="b">
        <v>0</v>
      </c>
      <c r="L940" t="n">
        <v>11</v>
      </c>
      <c r="M940" t="inlineStr">
        <is>
          <t>Values must be of type &lt;class 'str'&gt;</t>
        </is>
      </c>
      <c r="N940" t="inlineStr">
        <is>
          <t>00000000</t>
        </is>
      </c>
      <c r="O940" t="n">
        <v/>
      </c>
      <c r="R940" t="b">
        <v>1</v>
      </c>
      <c r="S940" t="inlineStr">
        <is>
          <t>G000153</t>
        </is>
      </c>
      <c r="T940" t="inlineStr">
        <is>
          <t>Vertical</t>
        </is>
      </c>
      <c r="U940" t="n">
        <v>93</v>
      </c>
      <c r="V940" t="b">
        <v>1</v>
      </c>
      <c r="W940" t="inlineStr">
        <is>
          <t>ATF Fuel 2!Q2:Q94</t>
        </is>
      </c>
      <c r="X940">
        <f>R[0]C[-4]/R[0]C[-3]-1</f>
        <v/>
      </c>
    </row>
    <row r="941">
      <c r="A941" t="inlineStr">
        <is>
          <t>ATF Fuel 2</t>
        </is>
      </c>
      <c r="B941" t="inlineStr">
        <is>
          <t>A55</t>
        </is>
      </c>
      <c r="C941" t="n">
        <v>55</v>
      </c>
      <c r="D941" t="n">
        <v>1</v>
      </c>
      <c r="E941" t="inlineStr">
        <is>
          <t>Input</t>
        </is>
      </c>
      <c r="F941" t="n">
        <v/>
      </c>
      <c r="G941" t="inlineStr">
        <is>
          <t>September 01, 2014</t>
        </is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11</v>
      </c>
      <c r="M941" t="inlineStr">
        <is>
          <t>Values must be of type &lt;class 'str'&gt;</t>
        </is>
      </c>
      <c r="N941" t="inlineStr">
        <is>
          <t>00000000</t>
        </is>
      </c>
      <c r="O941" t="n">
        <v/>
      </c>
      <c r="R941" t="b">
        <v>1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</row>
    <row r="942">
      <c r="A942" t="inlineStr">
        <is>
          <t>ATF Fuel 2</t>
        </is>
      </c>
      <c r="B942" t="inlineStr">
        <is>
          <t>B55</t>
        </is>
      </c>
      <c r="C942" t="n">
        <v>55</v>
      </c>
      <c r="D942" t="n">
        <v>2</v>
      </c>
      <c r="E942" t="inlineStr">
        <is>
          <t>Input</t>
        </is>
      </c>
      <c r="F942" t="n">
        <v/>
      </c>
      <c r="G942" t="n">
        <v>74248.495</v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11</v>
      </c>
      <c r="M942" t="inlineStr">
        <is>
          <t>Values must be of type &lt;class 'str'&gt;</t>
        </is>
      </c>
      <c r="N942" t="inlineStr">
        <is>
          <t>00000000</t>
        </is>
      </c>
      <c r="O942" t="n">
        <v/>
      </c>
      <c r="R942" t="b">
        <v>1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</row>
    <row r="943">
      <c r="A943" t="inlineStr">
        <is>
          <t>ATF Fuel 2</t>
        </is>
      </c>
      <c r="B943" t="inlineStr">
        <is>
          <t>C55</t>
        </is>
      </c>
      <c r="C943" t="n">
        <v>55</v>
      </c>
      <c r="D943" t="n">
        <v>3</v>
      </c>
      <c r="E943" t="inlineStr">
        <is>
          <t>Output</t>
        </is>
      </c>
      <c r="F943" t="inlineStr">
        <is>
          <t>'=B55/B54-1</t>
        </is>
      </c>
      <c r="G943" t="n">
        <v>-0.005917355046591299</v>
      </c>
      <c r="H943" t="inlineStr"/>
      <c r="I943" t="inlineStr">
        <is>
          <t>0%</t>
        </is>
      </c>
      <c r="J943" t="b">
        <v>0</v>
      </c>
      <c r="K943" t="b">
        <v>0</v>
      </c>
      <c r="L943" t="n">
        <v>11</v>
      </c>
      <c r="M943" t="n">
        <v/>
      </c>
      <c r="N943" t="inlineStr">
        <is>
          <t>00000000</t>
        </is>
      </c>
      <c r="O943" t="n">
        <v/>
      </c>
      <c r="R943" t="b">
        <v>1</v>
      </c>
      <c r="S943" t="inlineStr">
        <is>
          <t>G000154</t>
        </is>
      </c>
      <c r="T943" t="inlineStr">
        <is>
          <t>Vertical</t>
        </is>
      </c>
      <c r="U943" t="n">
        <v>92</v>
      </c>
      <c r="V943" t="b">
        <v>1</v>
      </c>
      <c r="W943" t="inlineStr">
        <is>
          <t>ATF Fuel 2!C3:C94</t>
        </is>
      </c>
      <c r="X943">
        <f>R[0]C[-1]/R[-1]C[-1]-1</f>
        <v/>
      </c>
    </row>
    <row r="944">
      <c r="A944" t="inlineStr">
        <is>
          <t>ATF Fuel 2</t>
        </is>
      </c>
      <c r="B944" t="inlineStr">
        <is>
          <t>D55</t>
        </is>
      </c>
      <c r="C944" t="n">
        <v>55</v>
      </c>
      <c r="D944" t="n">
        <v>4</v>
      </c>
      <c r="E944" t="inlineStr">
        <is>
          <t>Input</t>
        </is>
      </c>
      <c r="F944" t="n">
        <v/>
      </c>
      <c r="G944" t="n">
        <v>60.5</v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11</v>
      </c>
      <c r="M944" t="inlineStr">
        <is>
          <t>Values must be of type &lt;class 'str'&gt;</t>
        </is>
      </c>
      <c r="N944" t="inlineStr">
        <is>
          <t>00000000</t>
        </is>
      </c>
      <c r="O944" t="n">
        <v/>
      </c>
      <c r="R944" t="b">
        <v>1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</row>
    <row r="945">
      <c r="A945" t="inlineStr">
        <is>
          <t>ATF Fuel 2</t>
        </is>
      </c>
      <c r="B945" t="inlineStr">
        <is>
          <t>E55</t>
        </is>
      </c>
      <c r="C945" t="n">
        <v>55</v>
      </c>
      <c r="D945" t="n">
        <v>5</v>
      </c>
      <c r="E945" t="inlineStr">
        <is>
          <t>Output</t>
        </is>
      </c>
      <c r="F945" t="inlineStr">
        <is>
          <t>'=B55/B54-1</t>
        </is>
      </c>
      <c r="G945" t="n">
        <v>-0.005917355046591299</v>
      </c>
      <c r="H945" t="inlineStr"/>
      <c r="I945" t="inlineStr">
        <is>
          <t>0%</t>
        </is>
      </c>
      <c r="J945" t="b">
        <v>0</v>
      </c>
      <c r="K945" t="b">
        <v>0</v>
      </c>
      <c r="L945" t="n">
        <v>11</v>
      </c>
      <c r="M945" t="inlineStr">
        <is>
          <t>Values must be of type &lt;class 'str'&gt;</t>
        </is>
      </c>
      <c r="N945" t="inlineStr">
        <is>
          <t>00000000</t>
        </is>
      </c>
      <c r="O945" t="n">
        <v/>
      </c>
      <c r="R945" t="b">
        <v>1</v>
      </c>
      <c r="S945" t="inlineStr">
        <is>
          <t>G000158</t>
        </is>
      </c>
      <c r="T945" t="inlineStr">
        <is>
          <t>Vertical</t>
        </is>
      </c>
      <c r="U945" t="n">
        <v>92</v>
      </c>
      <c r="V945" t="b">
        <v>1</v>
      </c>
      <c r="W945" t="inlineStr">
        <is>
          <t>ATF Fuel 2!E3:E94</t>
        </is>
      </c>
      <c r="X945">
        <f>R[0]C[-3]/R[-1]C[-3]-1</f>
        <v/>
      </c>
    </row>
    <row r="946">
      <c r="A946" t="inlineStr">
        <is>
          <t>ATF Fuel 2</t>
        </is>
      </c>
      <c r="B946" t="inlineStr">
        <is>
          <t>F55</t>
        </is>
      </c>
      <c r="C946" t="n">
        <v>55</v>
      </c>
      <c r="D946" t="n">
        <v>6</v>
      </c>
      <c r="E946" t="inlineStr">
        <is>
          <t>Input</t>
        </is>
      </c>
      <c r="F946" t="n">
        <v/>
      </c>
      <c r="G946" t="n">
        <v>99.53</v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11</v>
      </c>
      <c r="M946" t="inlineStr">
        <is>
          <t>Values must be of type &lt;class 'str'&gt;</t>
        </is>
      </c>
      <c r="N946" t="inlineStr">
        <is>
          <t>00000000</t>
        </is>
      </c>
      <c r="O946" t="n">
        <v/>
      </c>
      <c r="R946" t="b">
        <v>1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</row>
    <row r="947">
      <c r="A947" t="inlineStr">
        <is>
          <t>ATF Fuel 2</t>
        </is>
      </c>
      <c r="B947" t="inlineStr">
        <is>
          <t>G55</t>
        </is>
      </c>
      <c r="C947" t="n">
        <v>55</v>
      </c>
      <c r="D947" t="n">
        <v>7</v>
      </c>
      <c r="E947" t="inlineStr">
        <is>
          <t>Output</t>
        </is>
      </c>
      <c r="F947" t="inlineStr">
        <is>
          <t>'=F55/F54-1</t>
        </is>
      </c>
      <c r="G947" t="n">
        <v>-0.04316477600461444</v>
      </c>
      <c r="H947" t="inlineStr"/>
      <c r="I947" t="inlineStr">
        <is>
          <t>0%</t>
        </is>
      </c>
      <c r="J947" t="b">
        <v>0</v>
      </c>
      <c r="K947" t="b">
        <v>0</v>
      </c>
      <c r="L947" t="n">
        <v>11</v>
      </c>
      <c r="M947" t="inlineStr">
        <is>
          <t>Values must be of type &lt;class 'str'&gt;</t>
        </is>
      </c>
      <c r="N947" t="inlineStr">
        <is>
          <t>00000000</t>
        </is>
      </c>
      <c r="O947" t="n">
        <v/>
      </c>
      <c r="R947" t="b">
        <v>1</v>
      </c>
      <c r="S947" t="inlineStr">
        <is>
          <t>G000155</t>
        </is>
      </c>
      <c r="T947" t="inlineStr">
        <is>
          <t>Vertical</t>
        </is>
      </c>
      <c r="U947" t="n">
        <v>93</v>
      </c>
      <c r="V947" t="b">
        <v>1</v>
      </c>
      <c r="W947" t="inlineStr">
        <is>
          <t>ATF Fuel 2!G3:G95</t>
        </is>
      </c>
      <c r="X947">
        <f>R[0]C[-1]/R[-1]C[-1]-1</f>
        <v/>
      </c>
    </row>
    <row r="948">
      <c r="A948" t="inlineStr">
        <is>
          <t>ATF Fuel 2</t>
        </is>
      </c>
      <c r="B948" t="inlineStr">
        <is>
          <t>H55</t>
        </is>
      </c>
      <c r="C948" t="n">
        <v>55</v>
      </c>
      <c r="D948" t="n">
        <v>8</v>
      </c>
      <c r="E948" t="inlineStr">
        <is>
          <t>Calculation</t>
        </is>
      </c>
      <c r="F948" t="inlineStr">
        <is>
          <t>'=D55*F55</t>
        </is>
      </c>
      <c r="G948" t="n">
        <v>6021.565000000001</v>
      </c>
      <c r="H948" t="inlineStr"/>
      <c r="I948" t="inlineStr">
        <is>
          <t>0</t>
        </is>
      </c>
      <c r="J948" t="b">
        <v>0</v>
      </c>
      <c r="K948" t="b">
        <v>0</v>
      </c>
      <c r="L948" t="n">
        <v>11</v>
      </c>
      <c r="M948" t="inlineStr">
        <is>
          <t>Values must be of type &lt;class 'str'&gt;</t>
        </is>
      </c>
      <c r="N948" t="inlineStr">
        <is>
          <t>00000000</t>
        </is>
      </c>
      <c r="O948" t="n">
        <v/>
      </c>
      <c r="R948" t="b">
        <v>1</v>
      </c>
      <c r="S948" t="inlineStr">
        <is>
          <t>G000152</t>
        </is>
      </c>
      <c r="T948" t="inlineStr">
        <is>
          <t>Vertical</t>
        </is>
      </c>
      <c r="U948" t="n">
        <v>98</v>
      </c>
      <c r="V948" t="b">
        <v>1</v>
      </c>
      <c r="W948" t="inlineStr">
        <is>
          <t>ATF Fuel 2!H2:H99</t>
        </is>
      </c>
      <c r="X948">
        <f>R[0]C[-4]*R[0]C[-2]</f>
        <v/>
      </c>
    </row>
    <row r="949">
      <c r="A949" t="inlineStr">
        <is>
          <t>ATF Fuel 2</t>
        </is>
      </c>
      <c r="B949" t="inlineStr">
        <is>
          <t>I55</t>
        </is>
      </c>
      <c r="C949" t="n">
        <v>55</v>
      </c>
      <c r="D949" t="n">
        <v>9</v>
      </c>
      <c r="E949" t="inlineStr">
        <is>
          <t>Output</t>
        </is>
      </c>
      <c r="F949" t="inlineStr">
        <is>
          <t>'=H55/H54-1</t>
        </is>
      </c>
      <c r="G949" t="n">
        <v>-0.04710236951899871</v>
      </c>
      <c r="H949" t="inlineStr"/>
      <c r="I949" t="inlineStr">
        <is>
          <t>0%</t>
        </is>
      </c>
      <c r="J949" t="b">
        <v>0</v>
      </c>
      <c r="K949" t="b">
        <v>0</v>
      </c>
      <c r="L949" t="n">
        <v>11</v>
      </c>
      <c r="M949" t="inlineStr">
        <is>
          <t>FFFF0000</t>
        </is>
      </c>
      <c r="N949" t="inlineStr">
        <is>
          <t>00000000</t>
        </is>
      </c>
      <c r="O949" t="n">
        <v/>
      </c>
      <c r="R949" t="b">
        <v>1</v>
      </c>
      <c r="S949" t="inlineStr">
        <is>
          <t>G000156</t>
        </is>
      </c>
      <c r="T949" t="inlineStr">
        <is>
          <t>Vertical</t>
        </is>
      </c>
      <c r="U949" t="n">
        <v>97</v>
      </c>
      <c r="V949" t="b">
        <v>1</v>
      </c>
      <c r="W949" t="inlineStr">
        <is>
          <t>ATF Fuel 2!I3:I99</t>
        </is>
      </c>
      <c r="X949">
        <f>R[0]C[-1]/R[-1]C[-1]-1</f>
        <v/>
      </c>
    </row>
    <row r="950">
      <c r="A950" t="inlineStr">
        <is>
          <t>ATF Fuel 2</t>
        </is>
      </c>
      <c r="B950" t="inlineStr">
        <is>
          <t>J55</t>
        </is>
      </c>
      <c r="C950" t="n">
        <v>55</v>
      </c>
      <c r="D950" t="n">
        <v>10</v>
      </c>
      <c r="E950" t="inlineStr">
        <is>
          <t>Input</t>
        </is>
      </c>
      <c r="F950" t="n">
        <v/>
      </c>
      <c r="G950" t="n">
        <v>92.92</v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11</v>
      </c>
      <c r="M950" t="inlineStr">
        <is>
          <t>Values must be of type &lt;class 'str'&gt;</t>
        </is>
      </c>
      <c r="N950" t="inlineStr">
        <is>
          <t>00000000</t>
        </is>
      </c>
      <c r="O950" t="n">
        <v/>
      </c>
      <c r="R950" t="b">
        <v>1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</row>
    <row r="951">
      <c r="A951" t="inlineStr">
        <is>
          <t>ATF Fuel 2</t>
        </is>
      </c>
      <c r="B951" t="inlineStr">
        <is>
          <t>K55</t>
        </is>
      </c>
      <c r="C951" t="n">
        <v>55</v>
      </c>
      <c r="D951" t="n">
        <v>11</v>
      </c>
      <c r="E951" t="inlineStr">
        <is>
          <t>Output</t>
        </is>
      </c>
      <c r="F951" t="inlineStr">
        <is>
          <t>'=J55/J54-1</t>
        </is>
      </c>
      <c r="G951" t="n">
        <v>-0.05048027794808907</v>
      </c>
      <c r="H951" t="inlineStr"/>
      <c r="I951" t="inlineStr">
        <is>
          <t>0%</t>
        </is>
      </c>
      <c r="J951" t="b">
        <v>0</v>
      </c>
      <c r="K951" t="b">
        <v>0</v>
      </c>
      <c r="L951" t="n">
        <v>11</v>
      </c>
      <c r="M951" t="inlineStr">
        <is>
          <t>Values must be of type &lt;class 'str'&gt;</t>
        </is>
      </c>
      <c r="N951" t="inlineStr">
        <is>
          <t>00000000</t>
        </is>
      </c>
      <c r="O951" t="n">
        <v/>
      </c>
      <c r="R951" t="b">
        <v>1</v>
      </c>
      <c r="S951" t="inlineStr">
        <is>
          <t>G000157</t>
        </is>
      </c>
      <c r="T951" t="inlineStr">
        <is>
          <t>Vertical</t>
        </is>
      </c>
      <c r="U951" t="n">
        <v>93</v>
      </c>
      <c r="V951" t="b">
        <v>1</v>
      </c>
      <c r="W951" t="inlineStr">
        <is>
          <t>ATF Fuel 2!K3:K95</t>
        </is>
      </c>
      <c r="X951">
        <f>R[0]C[-1]/R[-1]C[-1]-1</f>
        <v/>
      </c>
    </row>
    <row r="952">
      <c r="A952" t="inlineStr">
        <is>
          <t>ATF Fuel 2</t>
        </is>
      </c>
      <c r="B952" t="inlineStr">
        <is>
          <t>L55</t>
        </is>
      </c>
      <c r="C952" t="n">
        <v>55</v>
      </c>
      <c r="D952" t="n">
        <v>12</v>
      </c>
      <c r="E952" t="inlineStr">
        <is>
          <t>Input</t>
        </is>
      </c>
      <c r="F952" t="n">
        <v/>
      </c>
      <c r="G952" t="inlineStr">
        <is>
          <t>September 01, 2014</t>
        </is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11</v>
      </c>
      <c r="M952" t="inlineStr">
        <is>
          <t>Values must be of type &lt;class 'str'&gt;</t>
        </is>
      </c>
      <c r="N952" t="inlineStr">
        <is>
          <t>00000000</t>
        </is>
      </c>
      <c r="O952" t="inlineStr">
        <is>
          <t>left</t>
        </is>
      </c>
      <c r="R952" t="b">
        <v>1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</row>
    <row r="953">
      <c r="A953" t="inlineStr">
        <is>
          <t>ATF Fuel 2</t>
        </is>
      </c>
      <c r="B953" t="inlineStr">
        <is>
          <t>M55</t>
        </is>
      </c>
      <c r="C953" t="n">
        <v>55</v>
      </c>
      <c r="D953" t="n">
        <v>13</v>
      </c>
      <c r="E953" t="inlineStr">
        <is>
          <t>Calculation</t>
        </is>
      </c>
      <c r="F953" t="inlineStr">
        <is>
          <t>'=(1+(B55/B54)-1)*M54</t>
        </is>
      </c>
      <c r="G953" t="n">
        <v>167.3703294630552</v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11</v>
      </c>
      <c r="M953" t="inlineStr">
        <is>
          <t>Values must be of type &lt;class 'str'&gt;</t>
        </is>
      </c>
      <c r="N953" t="inlineStr">
        <is>
          <t>00000000</t>
        </is>
      </c>
      <c r="O953" t="inlineStr">
        <is>
          <t>left</t>
        </is>
      </c>
      <c r="R953" t="b">
        <v>1</v>
      </c>
      <c r="S953" t="inlineStr">
        <is>
          <t>G000159</t>
        </is>
      </c>
      <c r="T953" t="inlineStr">
        <is>
          <t>Vertical</t>
        </is>
      </c>
      <c r="U953" t="n">
        <v>92</v>
      </c>
      <c r="V953" t="b">
        <v>1</v>
      </c>
      <c r="W953" t="inlineStr">
        <is>
          <t>ATF Fuel 2!M3:M94</t>
        </is>
      </c>
      <c r="X953">
        <f>(1+(R[0]C[-11]/R[-1]C[-11])-1)*R[-1]C[0]</f>
        <v/>
      </c>
    </row>
    <row r="954">
      <c r="A954" t="inlineStr">
        <is>
          <t>ATF Fuel 2</t>
        </is>
      </c>
      <c r="B954" t="inlineStr">
        <is>
          <t>N55</t>
        </is>
      </c>
      <c r="C954" t="n">
        <v>55</v>
      </c>
      <c r="D954" t="n">
        <v>14</v>
      </c>
      <c r="E954" t="inlineStr">
        <is>
          <t>Calculation</t>
        </is>
      </c>
      <c r="F954" t="inlineStr">
        <is>
          <t>'=(1+(F55/F54)-1)*N54</t>
        </is>
      </c>
      <c r="G954" t="n">
        <v>120.4526201137603</v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11</v>
      </c>
      <c r="M954" t="inlineStr">
        <is>
          <t>Values must be of type &lt;class 'str'&gt;</t>
        </is>
      </c>
      <c r="N954" t="inlineStr">
        <is>
          <t>00000000</t>
        </is>
      </c>
      <c r="O954" t="inlineStr">
        <is>
          <t>left</t>
        </is>
      </c>
      <c r="R954" t="b">
        <v>1</v>
      </c>
      <c r="S954" t="inlineStr">
        <is>
          <t>G000160</t>
        </is>
      </c>
      <c r="T954" t="inlineStr">
        <is>
          <t>Vertical</t>
        </is>
      </c>
      <c r="U954" t="n">
        <v>92</v>
      </c>
      <c r="V954" t="b">
        <v>1</v>
      </c>
      <c r="W954" t="inlineStr">
        <is>
          <t>ATF Fuel 2!N3:N94</t>
        </is>
      </c>
      <c r="X954">
        <f>(1+(R[0]C[-8]/R[-1]C[-8])-1)*R[-1]C[0]</f>
        <v/>
      </c>
    </row>
    <row r="955">
      <c r="A955" t="inlineStr">
        <is>
          <t>ATF Fuel 2</t>
        </is>
      </c>
      <c r="B955" t="inlineStr">
        <is>
          <t>O55</t>
        </is>
      </c>
      <c r="C955" t="n">
        <v>55</v>
      </c>
      <c r="D955" t="n">
        <v>15</v>
      </c>
      <c r="E955" t="inlineStr">
        <is>
          <t>Calculation</t>
        </is>
      </c>
      <c r="F955" t="inlineStr">
        <is>
          <t>'=(1+(J55/J54)-1)*O54</t>
        </is>
      </c>
      <c r="G955" t="n">
        <v>109.9254702472495</v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11</v>
      </c>
      <c r="M955" t="inlineStr">
        <is>
          <t>Values must be of type &lt;class 'str'&gt;</t>
        </is>
      </c>
      <c r="N955" t="inlineStr">
        <is>
          <t>00000000</t>
        </is>
      </c>
      <c r="O955" t="inlineStr">
        <is>
          <t>left</t>
        </is>
      </c>
      <c r="R955" t="b">
        <v>1</v>
      </c>
      <c r="S955" t="inlineStr">
        <is>
          <t>G000162</t>
        </is>
      </c>
      <c r="T955" t="inlineStr">
        <is>
          <t>Vertical</t>
        </is>
      </c>
      <c r="U955" t="n">
        <v>92</v>
      </c>
      <c r="V955" t="b">
        <v>1</v>
      </c>
      <c r="W955" t="inlineStr">
        <is>
          <t>ATF Fuel 2!O3:O94</t>
        </is>
      </c>
      <c r="X955">
        <f>(1+(R[0]C[-5]/R[-1]C[-5])-1)*R[-1]C[0]</f>
        <v/>
      </c>
    </row>
    <row r="956">
      <c r="A956" t="inlineStr">
        <is>
          <t>ATF Fuel 2</t>
        </is>
      </c>
      <c r="B956" t="inlineStr">
        <is>
          <t>P55</t>
        </is>
      </c>
      <c r="C956" t="n">
        <v>55</v>
      </c>
      <c r="D956" t="n">
        <v>16</v>
      </c>
      <c r="E956" t="inlineStr">
        <is>
          <t>Calculation</t>
        </is>
      </c>
      <c r="F956" t="inlineStr">
        <is>
          <t>'=(1+(H55/H54)-1)*P54</t>
        </is>
      </c>
      <c r="G956" t="n">
        <v>162.8101768740503</v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11</v>
      </c>
      <c r="M956" t="inlineStr">
        <is>
          <t>Values must be of type &lt;class 'str'&gt;</t>
        </is>
      </c>
      <c r="N956" t="inlineStr">
        <is>
          <t>00000000</t>
        </is>
      </c>
      <c r="O956" t="inlineStr">
        <is>
          <t>left</t>
        </is>
      </c>
      <c r="R956" t="b">
        <v>1</v>
      </c>
      <c r="S956" t="inlineStr">
        <is>
          <t>G000161</t>
        </is>
      </c>
      <c r="T956" t="inlineStr">
        <is>
          <t>Vertical</t>
        </is>
      </c>
      <c r="U956" t="n">
        <v>92</v>
      </c>
      <c r="V956" t="b">
        <v>1</v>
      </c>
      <c r="W956" t="inlineStr">
        <is>
          <t>ATF Fuel 2!P3:P94</t>
        </is>
      </c>
      <c r="X956">
        <f>(1+(R[0]C[-8]/R[-1]C[-8])-1)*R[-1]C[0]</f>
        <v/>
      </c>
    </row>
    <row r="957">
      <c r="A957" t="inlineStr">
        <is>
          <t>ATF Fuel 2</t>
        </is>
      </c>
      <c r="B957" t="inlineStr">
        <is>
          <t>Q55</t>
        </is>
      </c>
      <c r="C957" t="n">
        <v>55</v>
      </c>
      <c r="D957" t="n">
        <v>17</v>
      </c>
      <c r="E957" t="inlineStr">
        <is>
          <t>Output</t>
        </is>
      </c>
      <c r="F957" t="inlineStr">
        <is>
          <t>'=M55/N55-1</t>
        </is>
      </c>
      <c r="G957" t="n">
        <v>0.3895117375195654</v>
      </c>
      <c r="H957" t="inlineStr"/>
      <c r="I957" t="inlineStr">
        <is>
          <t>0.0%</t>
        </is>
      </c>
      <c r="J957" t="b">
        <v>0</v>
      </c>
      <c r="K957" t="b">
        <v>0</v>
      </c>
      <c r="L957" t="n">
        <v>11</v>
      </c>
      <c r="M957" t="inlineStr">
        <is>
          <t>Values must be of type &lt;class 'str'&gt;</t>
        </is>
      </c>
      <c r="N957" t="inlineStr">
        <is>
          <t>00000000</t>
        </is>
      </c>
      <c r="O957" t="n">
        <v/>
      </c>
      <c r="R957" t="b">
        <v>1</v>
      </c>
      <c r="S957" t="inlineStr">
        <is>
          <t>G000153</t>
        </is>
      </c>
      <c r="T957" t="inlineStr">
        <is>
          <t>Vertical</t>
        </is>
      </c>
      <c r="U957" t="n">
        <v>93</v>
      </c>
      <c r="V957" t="b">
        <v>1</v>
      </c>
      <c r="W957" t="inlineStr">
        <is>
          <t>ATF Fuel 2!Q2:Q94</t>
        </is>
      </c>
      <c r="X957">
        <f>R[0]C[-4]/R[0]C[-3]-1</f>
        <v/>
      </c>
    </row>
    <row r="958">
      <c r="A958" t="inlineStr">
        <is>
          <t>ATF Fuel 2</t>
        </is>
      </c>
      <c r="B958" t="inlineStr">
        <is>
          <t>A56</t>
        </is>
      </c>
      <c r="C958" t="n">
        <v>56</v>
      </c>
      <c r="D958" t="n">
        <v>1</v>
      </c>
      <c r="E958" t="inlineStr">
        <is>
          <t>Input</t>
        </is>
      </c>
      <c r="F958" t="n">
        <v/>
      </c>
      <c r="G958" t="inlineStr">
        <is>
          <t>October 01, 2014</t>
        </is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11</v>
      </c>
      <c r="M958" t="inlineStr">
        <is>
          <t>Values must be of type &lt;class 'str'&gt;</t>
        </is>
      </c>
      <c r="N958" t="inlineStr">
        <is>
          <t>00000000</t>
        </is>
      </c>
      <c r="O958" t="n">
        <v/>
      </c>
      <c r="R958" t="b">
        <v>1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</row>
    <row r="959">
      <c r="A959" t="inlineStr">
        <is>
          <t>ATF Fuel 2</t>
        </is>
      </c>
      <c r="B959" t="inlineStr">
        <is>
          <t>B56</t>
        </is>
      </c>
      <c r="C959" t="n">
        <v>56</v>
      </c>
      <c r="D959" t="n">
        <v>2</v>
      </c>
      <c r="E959" t="inlineStr">
        <is>
          <t>Input</t>
        </is>
      </c>
      <c r="F959" t="n">
        <v/>
      </c>
      <c r="G959" t="n">
        <v>72071.14999999999</v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11</v>
      </c>
      <c r="M959" t="inlineStr">
        <is>
          <t>Values must be of type &lt;class 'str'&gt;</t>
        </is>
      </c>
      <c r="N959" t="inlineStr">
        <is>
          <t>00000000</t>
        </is>
      </c>
      <c r="O959" t="n">
        <v/>
      </c>
      <c r="R959" t="b">
        <v>1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</row>
    <row r="960">
      <c r="A960" t="inlineStr">
        <is>
          <t>ATF Fuel 2</t>
        </is>
      </c>
      <c r="B960" t="inlineStr">
        <is>
          <t>C56</t>
        </is>
      </c>
      <c r="C960" t="n">
        <v>56</v>
      </c>
      <c r="D960" t="n">
        <v>3</v>
      </c>
      <c r="E960" t="inlineStr">
        <is>
          <t>Output</t>
        </is>
      </c>
      <c r="F960" t="inlineStr">
        <is>
          <t>'=B56/B55-1</t>
        </is>
      </c>
      <c r="G960" t="n">
        <v>-0.02932510618565398</v>
      </c>
      <c r="H960" t="inlineStr"/>
      <c r="I960" t="inlineStr">
        <is>
          <t>0%</t>
        </is>
      </c>
      <c r="J960" t="b">
        <v>0</v>
      </c>
      <c r="K960" t="b">
        <v>0</v>
      </c>
      <c r="L960" t="n">
        <v>11</v>
      </c>
      <c r="M960" t="n">
        <v/>
      </c>
      <c r="N960" t="inlineStr">
        <is>
          <t>00000000</t>
        </is>
      </c>
      <c r="O960" t="n">
        <v/>
      </c>
      <c r="R960" t="b">
        <v>1</v>
      </c>
      <c r="S960" t="inlineStr">
        <is>
          <t>G000154</t>
        </is>
      </c>
      <c r="T960" t="inlineStr">
        <is>
          <t>Vertical</t>
        </is>
      </c>
      <c r="U960" t="n">
        <v>92</v>
      </c>
      <c r="V960" t="b">
        <v>1</v>
      </c>
      <c r="W960" t="inlineStr">
        <is>
          <t>ATF Fuel 2!C3:C94</t>
        </is>
      </c>
      <c r="X960">
        <f>R[0]C[-1]/R[-1]C[-1]-1</f>
        <v/>
      </c>
    </row>
    <row r="961">
      <c r="A961" t="inlineStr">
        <is>
          <t>ATF Fuel 2</t>
        </is>
      </c>
      <c r="B961" t="inlineStr">
        <is>
          <t>D56</t>
        </is>
      </c>
      <c r="C961" t="n">
        <v>56</v>
      </c>
      <c r="D961" t="n">
        <v>4</v>
      </c>
      <c r="E961" t="inlineStr">
        <is>
          <t>Input</t>
        </is>
      </c>
      <c r="F961" t="n">
        <v/>
      </c>
      <c r="G961" t="n">
        <v>61.95</v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11</v>
      </c>
      <c r="M961" t="inlineStr">
        <is>
          <t>Values must be of type &lt;class 'str'&gt;</t>
        </is>
      </c>
      <c r="N961" t="inlineStr">
        <is>
          <t>00000000</t>
        </is>
      </c>
      <c r="O961" t="n">
        <v/>
      </c>
      <c r="R961" t="b">
        <v>1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</row>
    <row r="962">
      <c r="A962" t="inlineStr">
        <is>
          <t>ATF Fuel 2</t>
        </is>
      </c>
      <c r="B962" t="inlineStr">
        <is>
          <t>E56</t>
        </is>
      </c>
      <c r="C962" t="n">
        <v>56</v>
      </c>
      <c r="D962" t="n">
        <v>5</v>
      </c>
      <c r="E962" t="inlineStr">
        <is>
          <t>Output</t>
        </is>
      </c>
      <c r="F962" t="inlineStr">
        <is>
          <t>'=B56/B55-1</t>
        </is>
      </c>
      <c r="G962" t="n">
        <v>-0.02932510618565398</v>
      </c>
      <c r="H962" t="inlineStr"/>
      <c r="I962" t="inlineStr">
        <is>
          <t>0%</t>
        </is>
      </c>
      <c r="J962" t="b">
        <v>0</v>
      </c>
      <c r="K962" t="b">
        <v>0</v>
      </c>
      <c r="L962" t="n">
        <v>11</v>
      </c>
      <c r="M962" t="inlineStr">
        <is>
          <t>Values must be of type &lt;class 'str'&gt;</t>
        </is>
      </c>
      <c r="N962" t="inlineStr">
        <is>
          <t>00000000</t>
        </is>
      </c>
      <c r="O962" t="n">
        <v/>
      </c>
      <c r="R962" t="b">
        <v>1</v>
      </c>
      <c r="S962" t="inlineStr">
        <is>
          <t>G000158</t>
        </is>
      </c>
      <c r="T962" t="inlineStr">
        <is>
          <t>Vertical</t>
        </is>
      </c>
      <c r="U962" t="n">
        <v>92</v>
      </c>
      <c r="V962" t="b">
        <v>1</v>
      </c>
      <c r="W962" t="inlineStr">
        <is>
          <t>ATF Fuel 2!E3:E94</t>
        </is>
      </c>
      <c r="X962">
        <f>R[0]C[-3]/R[-1]C[-3]-1</f>
        <v/>
      </c>
    </row>
    <row r="963">
      <c r="A963" t="inlineStr">
        <is>
          <t>ATF Fuel 2</t>
        </is>
      </c>
      <c r="B963" t="inlineStr">
        <is>
          <t>F56</t>
        </is>
      </c>
      <c r="C963" t="n">
        <v>56</v>
      </c>
      <c r="D963" t="n">
        <v>6</v>
      </c>
      <c r="E963" t="inlineStr">
        <is>
          <t>Input</t>
        </is>
      </c>
      <c r="F963" t="n">
        <v/>
      </c>
      <c r="G963" t="n">
        <v>90.90000000000001</v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11</v>
      </c>
      <c r="M963" t="inlineStr">
        <is>
          <t>Values must be of type &lt;class 'str'&gt;</t>
        </is>
      </c>
      <c r="N963" t="inlineStr">
        <is>
          <t>00000000</t>
        </is>
      </c>
      <c r="O963" t="n">
        <v/>
      </c>
      <c r="R963" t="b">
        <v>1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</row>
    <row r="964">
      <c r="A964" t="inlineStr">
        <is>
          <t>ATF Fuel 2</t>
        </is>
      </c>
      <c r="B964" t="inlineStr">
        <is>
          <t>G56</t>
        </is>
      </c>
      <c r="C964" t="n">
        <v>56</v>
      </c>
      <c r="D964" t="n">
        <v>7</v>
      </c>
      <c r="E964" t="inlineStr">
        <is>
          <t>Output</t>
        </is>
      </c>
      <c r="F964" t="inlineStr">
        <is>
          <t>'=F56/F55-1</t>
        </is>
      </c>
      <c r="G964" t="n">
        <v>-0.08670752536923532</v>
      </c>
      <c r="H964" t="inlineStr"/>
      <c r="I964" t="inlineStr">
        <is>
          <t>0%</t>
        </is>
      </c>
      <c r="J964" t="b">
        <v>0</v>
      </c>
      <c r="K964" t="b">
        <v>0</v>
      </c>
      <c r="L964" t="n">
        <v>11</v>
      </c>
      <c r="M964" t="inlineStr">
        <is>
          <t>Values must be of type &lt;class 'str'&gt;</t>
        </is>
      </c>
      <c r="N964" t="inlineStr">
        <is>
          <t>00000000</t>
        </is>
      </c>
      <c r="O964" t="n">
        <v/>
      </c>
      <c r="R964" t="b">
        <v>1</v>
      </c>
      <c r="S964" t="inlineStr">
        <is>
          <t>G000155</t>
        </is>
      </c>
      <c r="T964" t="inlineStr">
        <is>
          <t>Vertical</t>
        </is>
      </c>
      <c r="U964" t="n">
        <v>93</v>
      </c>
      <c r="V964" t="b">
        <v>1</v>
      </c>
      <c r="W964" t="inlineStr">
        <is>
          <t>ATF Fuel 2!G3:G95</t>
        </is>
      </c>
      <c r="X964">
        <f>R[0]C[-1]/R[-1]C[-1]-1</f>
        <v/>
      </c>
    </row>
    <row r="965">
      <c r="A965" t="inlineStr">
        <is>
          <t>ATF Fuel 2</t>
        </is>
      </c>
      <c r="B965" t="inlineStr">
        <is>
          <t>H56</t>
        </is>
      </c>
      <c r="C965" t="n">
        <v>56</v>
      </c>
      <c r="D965" t="n">
        <v>8</v>
      </c>
      <c r="E965" t="inlineStr">
        <is>
          <t>Calculation</t>
        </is>
      </c>
      <c r="F965" t="inlineStr">
        <is>
          <t>'=D56*F56</t>
        </is>
      </c>
      <c r="G965" t="n">
        <v>5631.255000000001</v>
      </c>
      <c r="H965" t="inlineStr"/>
      <c r="I965" t="inlineStr">
        <is>
          <t>0</t>
        </is>
      </c>
      <c r="J965" t="b">
        <v>0</v>
      </c>
      <c r="K965" t="b">
        <v>0</v>
      </c>
      <c r="L965" t="n">
        <v>11</v>
      </c>
      <c r="M965" t="inlineStr">
        <is>
          <t>Values must be of type &lt;class 'str'&gt;</t>
        </is>
      </c>
      <c r="N965" t="inlineStr">
        <is>
          <t>00000000</t>
        </is>
      </c>
      <c r="O965" t="n">
        <v/>
      </c>
      <c r="R965" t="b">
        <v>1</v>
      </c>
      <c r="S965" t="inlineStr">
        <is>
          <t>G000152</t>
        </is>
      </c>
      <c r="T965" t="inlineStr">
        <is>
          <t>Vertical</t>
        </is>
      </c>
      <c r="U965" t="n">
        <v>98</v>
      </c>
      <c r="V965" t="b">
        <v>1</v>
      </c>
      <c r="W965" t="inlineStr">
        <is>
          <t>ATF Fuel 2!H2:H99</t>
        </is>
      </c>
      <c r="X965">
        <f>R[0]C[-4]*R[0]C[-2]</f>
        <v/>
      </c>
    </row>
    <row r="966">
      <c r="A966" t="inlineStr">
        <is>
          <t>ATF Fuel 2</t>
        </is>
      </c>
      <c r="B966" t="inlineStr">
        <is>
          <t>I56</t>
        </is>
      </c>
      <c r="C966" t="n">
        <v>56</v>
      </c>
      <c r="D966" t="n">
        <v>9</v>
      </c>
      <c r="E966" t="inlineStr">
        <is>
          <t>Output</t>
        </is>
      </c>
      <c r="F966" t="inlineStr">
        <is>
          <t>'=H56/H55-1</t>
        </is>
      </c>
      <c r="G966" t="n">
        <v>-0.06481869746486157</v>
      </c>
      <c r="H966" t="inlineStr"/>
      <c r="I966" t="inlineStr">
        <is>
          <t>0%</t>
        </is>
      </c>
      <c r="J966" t="b">
        <v>0</v>
      </c>
      <c r="K966" t="b">
        <v>0</v>
      </c>
      <c r="L966" t="n">
        <v>11</v>
      </c>
      <c r="M966" t="inlineStr">
        <is>
          <t>FFFF0000</t>
        </is>
      </c>
      <c r="N966" t="inlineStr">
        <is>
          <t>00000000</t>
        </is>
      </c>
      <c r="O966" t="n">
        <v/>
      </c>
      <c r="R966" t="b">
        <v>1</v>
      </c>
      <c r="S966" t="inlineStr">
        <is>
          <t>G000156</t>
        </is>
      </c>
      <c r="T966" t="inlineStr">
        <is>
          <t>Vertical</t>
        </is>
      </c>
      <c r="U966" t="n">
        <v>97</v>
      </c>
      <c r="V966" t="b">
        <v>1</v>
      </c>
      <c r="W966" t="inlineStr">
        <is>
          <t>ATF Fuel 2!I3:I99</t>
        </is>
      </c>
      <c r="X966">
        <f>R[0]C[-1]/R[-1]C[-1]-1</f>
        <v/>
      </c>
    </row>
    <row r="967">
      <c r="A967" t="inlineStr">
        <is>
          <t>ATF Fuel 2</t>
        </is>
      </c>
      <c r="B967" t="inlineStr">
        <is>
          <t>J56</t>
        </is>
      </c>
      <c r="C967" t="n">
        <v>56</v>
      </c>
      <c r="D967" t="n">
        <v>10</v>
      </c>
      <c r="E967" t="inlineStr">
        <is>
          <t>Input</t>
        </is>
      </c>
      <c r="F967" t="n">
        <v/>
      </c>
      <c r="G967" t="n">
        <v>90.73999999999999</v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11</v>
      </c>
      <c r="M967" t="inlineStr">
        <is>
          <t>Values must be of type &lt;class 'str'&gt;</t>
        </is>
      </c>
      <c r="N967" t="inlineStr">
        <is>
          <t>00000000</t>
        </is>
      </c>
      <c r="O967" t="n">
        <v/>
      </c>
      <c r="R967" t="b">
        <v>1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</row>
    <row r="968">
      <c r="A968" t="inlineStr">
        <is>
          <t>ATF Fuel 2</t>
        </is>
      </c>
      <c r="B968" t="inlineStr">
        <is>
          <t>K56</t>
        </is>
      </c>
      <c r="C968" t="n">
        <v>56</v>
      </c>
      <c r="D968" t="n">
        <v>11</v>
      </c>
      <c r="E968" t="inlineStr">
        <is>
          <t>Output</t>
        </is>
      </c>
      <c r="F968" t="inlineStr">
        <is>
          <t>'=J56/J55-1</t>
        </is>
      </c>
      <c r="G968" t="n">
        <v>-0.02346104175634967</v>
      </c>
      <c r="H968" t="inlineStr"/>
      <c r="I968" t="inlineStr">
        <is>
          <t>0%</t>
        </is>
      </c>
      <c r="J968" t="b">
        <v>0</v>
      </c>
      <c r="K968" t="b">
        <v>0</v>
      </c>
      <c r="L968" t="n">
        <v>11</v>
      </c>
      <c r="M968" t="inlineStr">
        <is>
          <t>Values must be of type &lt;class 'str'&gt;</t>
        </is>
      </c>
      <c r="N968" t="inlineStr">
        <is>
          <t>00000000</t>
        </is>
      </c>
      <c r="O968" t="n">
        <v/>
      </c>
      <c r="R968" t="b">
        <v>1</v>
      </c>
      <c r="S968" t="inlineStr">
        <is>
          <t>G000157</t>
        </is>
      </c>
      <c r="T968" t="inlineStr">
        <is>
          <t>Vertical</t>
        </is>
      </c>
      <c r="U968" t="n">
        <v>93</v>
      </c>
      <c r="V968" t="b">
        <v>1</v>
      </c>
      <c r="W968" t="inlineStr">
        <is>
          <t>ATF Fuel 2!K3:K95</t>
        </is>
      </c>
      <c r="X968">
        <f>R[0]C[-1]/R[-1]C[-1]-1</f>
        <v/>
      </c>
    </row>
    <row r="969">
      <c r="A969" t="inlineStr">
        <is>
          <t>ATF Fuel 2</t>
        </is>
      </c>
      <c r="B969" t="inlineStr">
        <is>
          <t>L56</t>
        </is>
      </c>
      <c r="C969" t="n">
        <v>56</v>
      </c>
      <c r="D969" t="n">
        <v>12</v>
      </c>
      <c r="E969" t="inlineStr">
        <is>
          <t>Input</t>
        </is>
      </c>
      <c r="F969" t="n">
        <v/>
      </c>
      <c r="G969" t="inlineStr">
        <is>
          <t>October 01, 2014</t>
        </is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11</v>
      </c>
      <c r="M969" t="inlineStr">
        <is>
          <t>Values must be of type &lt;class 'str'&gt;</t>
        </is>
      </c>
      <c r="N969" t="inlineStr">
        <is>
          <t>00000000</t>
        </is>
      </c>
      <c r="O969" t="inlineStr">
        <is>
          <t>left</t>
        </is>
      </c>
      <c r="R969" t="b">
        <v>1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</row>
    <row r="970">
      <c r="A970" t="inlineStr">
        <is>
          <t>ATF Fuel 2</t>
        </is>
      </c>
      <c r="B970" t="inlineStr">
        <is>
          <t>M56</t>
        </is>
      </c>
      <c r="C970" t="n">
        <v>56</v>
      </c>
      <c r="D970" t="n">
        <v>13</v>
      </c>
      <c r="E970" t="inlineStr">
        <is>
          <t>Calculation</t>
        </is>
      </c>
      <c r="F970" t="inlineStr">
        <is>
          <t>'=(1+(B56/B55)-1)*M55</t>
        </is>
      </c>
      <c r="G970" t="n">
        <v>162.4621767792231</v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11</v>
      </c>
      <c r="M970" t="inlineStr">
        <is>
          <t>Values must be of type &lt;class 'str'&gt;</t>
        </is>
      </c>
      <c r="N970" t="inlineStr">
        <is>
          <t>00000000</t>
        </is>
      </c>
      <c r="O970" t="inlineStr">
        <is>
          <t>left</t>
        </is>
      </c>
      <c r="R970" t="b">
        <v>1</v>
      </c>
      <c r="S970" t="inlineStr">
        <is>
          <t>G000159</t>
        </is>
      </c>
      <c r="T970" t="inlineStr">
        <is>
          <t>Vertical</t>
        </is>
      </c>
      <c r="U970" t="n">
        <v>92</v>
      </c>
      <c r="V970" t="b">
        <v>1</v>
      </c>
      <c r="W970" t="inlineStr">
        <is>
          <t>ATF Fuel 2!M3:M94</t>
        </is>
      </c>
      <c r="X970">
        <f>(1+(R[0]C[-11]/R[-1]C[-11])-1)*R[-1]C[0]</f>
        <v/>
      </c>
    </row>
    <row r="971">
      <c r="A971" t="inlineStr">
        <is>
          <t>ATF Fuel 2</t>
        </is>
      </c>
      <c r="B971" t="inlineStr">
        <is>
          <t>N56</t>
        </is>
      </c>
      <c r="C971" t="n">
        <v>56</v>
      </c>
      <c r="D971" t="n">
        <v>14</v>
      </c>
      <c r="E971" t="inlineStr">
        <is>
          <t>Calculation</t>
        </is>
      </c>
      <c r="F971" t="inlineStr">
        <is>
          <t>'=(1+(F56/F55)-1)*N55</t>
        </is>
      </c>
      <c r="G971" t="n">
        <v>110.0084714994555</v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11</v>
      </c>
      <c r="M971" t="inlineStr">
        <is>
          <t>Values must be of type &lt;class 'str'&gt;</t>
        </is>
      </c>
      <c r="N971" t="inlineStr">
        <is>
          <t>00000000</t>
        </is>
      </c>
      <c r="O971" t="inlineStr">
        <is>
          <t>left</t>
        </is>
      </c>
      <c r="R971" t="b">
        <v>1</v>
      </c>
      <c r="S971" t="inlineStr">
        <is>
          <t>G000160</t>
        </is>
      </c>
      <c r="T971" t="inlineStr">
        <is>
          <t>Vertical</t>
        </is>
      </c>
      <c r="U971" t="n">
        <v>92</v>
      </c>
      <c r="V971" t="b">
        <v>1</v>
      </c>
      <c r="W971" t="inlineStr">
        <is>
          <t>ATF Fuel 2!N3:N94</t>
        </is>
      </c>
      <c r="X971">
        <f>(1+(R[0]C[-8]/R[-1]C[-8])-1)*R[-1]C[0]</f>
        <v/>
      </c>
    </row>
    <row r="972">
      <c r="A972" t="inlineStr">
        <is>
          <t>ATF Fuel 2</t>
        </is>
      </c>
      <c r="B972" t="inlineStr">
        <is>
          <t>O56</t>
        </is>
      </c>
      <c r="C972" t="n">
        <v>56</v>
      </c>
      <c r="D972" t="n">
        <v>15</v>
      </c>
      <c r="E972" t="inlineStr">
        <is>
          <t>Calculation</t>
        </is>
      </c>
      <c r="F972" t="inlineStr">
        <is>
          <t>'=(1+(J56/J55)-1)*O55</t>
        </is>
      </c>
      <c r="G972" t="n">
        <v>107.3465041996925</v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11</v>
      </c>
      <c r="M972" t="inlineStr">
        <is>
          <t>Values must be of type &lt;class 'str'&gt;</t>
        </is>
      </c>
      <c r="N972" t="inlineStr">
        <is>
          <t>00000000</t>
        </is>
      </c>
      <c r="O972" t="inlineStr">
        <is>
          <t>left</t>
        </is>
      </c>
      <c r="R972" t="b">
        <v>1</v>
      </c>
      <c r="S972" t="inlineStr">
        <is>
          <t>G000162</t>
        </is>
      </c>
      <c r="T972" t="inlineStr">
        <is>
          <t>Vertical</t>
        </is>
      </c>
      <c r="U972" t="n">
        <v>92</v>
      </c>
      <c r="V972" t="b">
        <v>1</v>
      </c>
      <c r="W972" t="inlineStr">
        <is>
          <t>ATF Fuel 2!O3:O94</t>
        </is>
      </c>
      <c r="X972">
        <f>(1+(R[0]C[-5]/R[-1]C[-5])-1)*R[-1]C[0]</f>
        <v/>
      </c>
    </row>
    <row r="973">
      <c r="A973" t="inlineStr">
        <is>
          <t>ATF Fuel 2</t>
        </is>
      </c>
      <c r="B973" t="inlineStr">
        <is>
          <t>P56</t>
        </is>
      </c>
      <c r="C973" t="n">
        <v>56</v>
      </c>
      <c r="D973" t="n">
        <v>16</v>
      </c>
      <c r="E973" t="inlineStr">
        <is>
          <t>Calculation</t>
        </is>
      </c>
      <c r="F973" t="inlineStr">
        <is>
          <t>'=(1+(H56/H55)-1)*P55</t>
        </is>
      </c>
      <c r="G973" t="n">
        <v>152.2570332750506</v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11</v>
      </c>
      <c r="M973" t="inlineStr">
        <is>
          <t>Values must be of type &lt;class 'str'&gt;</t>
        </is>
      </c>
      <c r="N973" t="inlineStr">
        <is>
          <t>00000000</t>
        </is>
      </c>
      <c r="O973" t="inlineStr">
        <is>
          <t>left</t>
        </is>
      </c>
      <c r="R973" t="b">
        <v>1</v>
      </c>
      <c r="S973" t="inlineStr">
        <is>
          <t>G000161</t>
        </is>
      </c>
      <c r="T973" t="inlineStr">
        <is>
          <t>Vertical</t>
        </is>
      </c>
      <c r="U973" t="n">
        <v>92</v>
      </c>
      <c r="V973" t="b">
        <v>1</v>
      </c>
      <c r="W973" t="inlineStr">
        <is>
          <t>ATF Fuel 2!P3:P94</t>
        </is>
      </c>
      <c r="X973">
        <f>(1+(R[0]C[-8]/R[-1]C[-8])-1)*R[-1]C[0]</f>
        <v/>
      </c>
    </row>
    <row r="974">
      <c r="A974" t="inlineStr">
        <is>
          <t>ATF Fuel 2</t>
        </is>
      </c>
      <c r="B974" t="inlineStr">
        <is>
          <t>Q56</t>
        </is>
      </c>
      <c r="C974" t="n">
        <v>56</v>
      </c>
      <c r="D974" t="n">
        <v>17</v>
      </c>
      <c r="E974" t="inlineStr">
        <is>
          <t>Output</t>
        </is>
      </c>
      <c r="F974" t="inlineStr">
        <is>
          <t>'=M56/N56-1</t>
        </is>
      </c>
      <c r="G974" t="n">
        <v>0.4768151449138827</v>
      </c>
      <c r="H974" t="inlineStr"/>
      <c r="I974" t="inlineStr">
        <is>
          <t>0.0%</t>
        </is>
      </c>
      <c r="J974" t="b">
        <v>0</v>
      </c>
      <c r="K974" t="b">
        <v>0</v>
      </c>
      <c r="L974" t="n">
        <v>11</v>
      </c>
      <c r="M974" t="inlineStr">
        <is>
          <t>Values must be of type &lt;class 'str'&gt;</t>
        </is>
      </c>
      <c r="N974" t="inlineStr">
        <is>
          <t>00000000</t>
        </is>
      </c>
      <c r="O974" t="n">
        <v/>
      </c>
      <c r="R974" t="b">
        <v>1</v>
      </c>
      <c r="S974" t="inlineStr">
        <is>
          <t>G000153</t>
        </is>
      </c>
      <c r="T974" t="inlineStr">
        <is>
          <t>Vertical</t>
        </is>
      </c>
      <c r="U974" t="n">
        <v>93</v>
      </c>
      <c r="V974" t="b">
        <v>1</v>
      </c>
      <c r="W974" t="inlineStr">
        <is>
          <t>ATF Fuel 2!Q2:Q94</t>
        </is>
      </c>
      <c r="X974">
        <f>R[0]C[-4]/R[0]C[-3]-1</f>
        <v/>
      </c>
    </row>
    <row r="975">
      <c r="A975" t="inlineStr">
        <is>
          <t>ATF Fuel 2</t>
        </is>
      </c>
      <c r="B975" t="inlineStr">
        <is>
          <t>A57</t>
        </is>
      </c>
      <c r="C975" t="n">
        <v>57</v>
      </c>
      <c r="D975" t="n">
        <v>1</v>
      </c>
      <c r="E975" t="inlineStr">
        <is>
          <t>Input</t>
        </is>
      </c>
      <c r="F975" t="n">
        <v/>
      </c>
      <c r="G975" t="inlineStr">
        <is>
          <t>November 01, 2014</t>
        </is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11</v>
      </c>
      <c r="M975" t="inlineStr">
        <is>
          <t>Values must be of type &lt;class 'str'&gt;</t>
        </is>
      </c>
      <c r="N975" t="inlineStr">
        <is>
          <t>00000000</t>
        </is>
      </c>
      <c r="O975" t="n">
        <v/>
      </c>
      <c r="R975" t="b">
        <v>1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</row>
    <row r="976">
      <c r="A976" t="inlineStr">
        <is>
          <t>ATF Fuel 2</t>
        </is>
      </c>
      <c r="B976" t="inlineStr">
        <is>
          <t>B57</t>
        </is>
      </c>
      <c r="C976" t="n">
        <v>57</v>
      </c>
      <c r="D976" t="n">
        <v>2</v>
      </c>
      <c r="E976" t="inlineStr">
        <is>
          <t>Input</t>
        </is>
      </c>
      <c r="F976" t="n">
        <v/>
      </c>
      <c r="G976" t="n">
        <v>66899.7975</v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11</v>
      </c>
      <c r="M976" t="inlineStr">
        <is>
          <t>Values must be of type &lt;class 'str'&gt;</t>
        </is>
      </c>
      <c r="N976" t="inlineStr">
        <is>
          <t>00000000</t>
        </is>
      </c>
      <c r="O976" t="n">
        <v/>
      </c>
      <c r="R976" t="b">
        <v>1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</row>
    <row r="977">
      <c r="A977" t="inlineStr">
        <is>
          <t>ATF Fuel 2</t>
        </is>
      </c>
      <c r="B977" t="inlineStr">
        <is>
          <t>C57</t>
        </is>
      </c>
      <c r="C977" t="n">
        <v>57</v>
      </c>
      <c r="D977" t="n">
        <v>3</v>
      </c>
      <c r="E977" t="inlineStr">
        <is>
          <t>Output</t>
        </is>
      </c>
      <c r="F977" t="inlineStr">
        <is>
          <t>'=B57/B56-1</t>
        </is>
      </c>
      <c r="G977" t="n">
        <v>-0.07175343393299527</v>
      </c>
      <c r="H977" t="inlineStr"/>
      <c r="I977" t="inlineStr">
        <is>
          <t>0%</t>
        </is>
      </c>
      <c r="J977" t="b">
        <v>0</v>
      </c>
      <c r="K977" t="b">
        <v>0</v>
      </c>
      <c r="L977" t="n">
        <v>11</v>
      </c>
      <c r="M977" t="n">
        <v/>
      </c>
      <c r="N977" t="inlineStr">
        <is>
          <t>00000000</t>
        </is>
      </c>
      <c r="O977" t="n">
        <v/>
      </c>
      <c r="R977" t="b">
        <v>1</v>
      </c>
      <c r="S977" t="inlineStr">
        <is>
          <t>G000154</t>
        </is>
      </c>
      <c r="T977" t="inlineStr">
        <is>
          <t>Vertical</t>
        </is>
      </c>
      <c r="U977" t="n">
        <v>92</v>
      </c>
      <c r="V977" t="b">
        <v>1</v>
      </c>
      <c r="W977" t="inlineStr">
        <is>
          <t>ATF Fuel 2!C3:C94</t>
        </is>
      </c>
      <c r="X977">
        <f>R[0]C[-1]/R[-1]C[-1]-1</f>
        <v/>
      </c>
    </row>
    <row r="978">
      <c r="A978" t="inlineStr">
        <is>
          <t>ATF Fuel 2</t>
        </is>
      </c>
      <c r="B978" t="inlineStr">
        <is>
          <t>D57</t>
        </is>
      </c>
      <c r="C978" t="n">
        <v>57</v>
      </c>
      <c r="D978" t="n">
        <v>4</v>
      </c>
      <c r="E978" t="inlineStr">
        <is>
          <t>Input</t>
        </is>
      </c>
      <c r="F978" t="n">
        <v/>
      </c>
      <c r="G978" t="n">
        <v>61.5</v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11</v>
      </c>
      <c r="M978" t="inlineStr">
        <is>
          <t>Values must be of type &lt;class 'str'&gt;</t>
        </is>
      </c>
      <c r="N978" t="inlineStr">
        <is>
          <t>00000000</t>
        </is>
      </c>
      <c r="O978" t="n">
        <v/>
      </c>
      <c r="R978" t="b">
        <v>1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</row>
    <row r="979">
      <c r="A979" t="inlineStr">
        <is>
          <t>ATF Fuel 2</t>
        </is>
      </c>
      <c r="B979" t="inlineStr">
        <is>
          <t>E57</t>
        </is>
      </c>
      <c r="C979" t="n">
        <v>57</v>
      </c>
      <c r="D979" t="n">
        <v>5</v>
      </c>
      <c r="E979" t="inlineStr">
        <is>
          <t>Output</t>
        </is>
      </c>
      <c r="F979" t="inlineStr">
        <is>
          <t>'=B57/B56-1</t>
        </is>
      </c>
      <c r="G979" t="n">
        <v>-0.07175343393299527</v>
      </c>
      <c r="H979" t="inlineStr"/>
      <c r="I979" t="inlineStr">
        <is>
          <t>0%</t>
        </is>
      </c>
      <c r="J979" t="b">
        <v>0</v>
      </c>
      <c r="K979" t="b">
        <v>0</v>
      </c>
      <c r="L979" t="n">
        <v>11</v>
      </c>
      <c r="M979" t="inlineStr">
        <is>
          <t>Values must be of type &lt;class 'str'&gt;</t>
        </is>
      </c>
      <c r="N979" t="inlineStr">
        <is>
          <t>00000000</t>
        </is>
      </c>
      <c r="O979" t="n">
        <v/>
      </c>
      <c r="R979" t="b">
        <v>1</v>
      </c>
      <c r="S979" t="inlineStr">
        <is>
          <t>G000158</t>
        </is>
      </c>
      <c r="T979" t="inlineStr">
        <is>
          <t>Vertical</t>
        </is>
      </c>
      <c r="U979" t="n">
        <v>92</v>
      </c>
      <c r="V979" t="b">
        <v>1</v>
      </c>
      <c r="W979" t="inlineStr">
        <is>
          <t>ATF Fuel 2!E3:E94</t>
        </is>
      </c>
      <c r="X979">
        <f>R[0]C[-3]/R[-1]C[-3]-1</f>
        <v/>
      </c>
    </row>
    <row r="980">
      <c r="A980" t="inlineStr">
        <is>
          <t>ATF Fuel 2</t>
        </is>
      </c>
      <c r="B980" t="inlineStr">
        <is>
          <t>F57</t>
        </is>
      </c>
      <c r="C980" t="n">
        <v>57</v>
      </c>
      <c r="D980" t="n">
        <v>6</v>
      </c>
      <c r="E980" t="inlineStr">
        <is>
          <t>Input</t>
        </is>
      </c>
      <c r="F980" t="n">
        <v/>
      </c>
      <c r="G980" t="n">
        <v>83.2</v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11</v>
      </c>
      <c r="M980" t="inlineStr">
        <is>
          <t>Values must be of type &lt;class 'str'&gt;</t>
        </is>
      </c>
      <c r="N980" t="inlineStr">
        <is>
          <t>00000000</t>
        </is>
      </c>
      <c r="O980" t="n">
        <v/>
      </c>
      <c r="R980" t="b">
        <v>1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</row>
    <row r="981">
      <c r="A981" t="inlineStr">
        <is>
          <t>ATF Fuel 2</t>
        </is>
      </c>
      <c r="B981" t="inlineStr">
        <is>
          <t>G57</t>
        </is>
      </c>
      <c r="C981" t="n">
        <v>57</v>
      </c>
      <c r="D981" t="n">
        <v>7</v>
      </c>
      <c r="E981" t="inlineStr">
        <is>
          <t>Output</t>
        </is>
      </c>
      <c r="F981" t="inlineStr">
        <is>
          <t>'=F57/F56-1</t>
        </is>
      </c>
      <c r="G981" t="n">
        <v>-0.08470847084708477</v>
      </c>
      <c r="H981" t="inlineStr"/>
      <c r="I981" t="inlineStr">
        <is>
          <t>0%</t>
        </is>
      </c>
      <c r="J981" t="b">
        <v>0</v>
      </c>
      <c r="K981" t="b">
        <v>0</v>
      </c>
      <c r="L981" t="n">
        <v>11</v>
      </c>
      <c r="M981" t="inlineStr">
        <is>
          <t>Values must be of type &lt;class 'str'&gt;</t>
        </is>
      </c>
      <c r="N981" t="inlineStr">
        <is>
          <t>00000000</t>
        </is>
      </c>
      <c r="O981" t="n">
        <v/>
      </c>
      <c r="R981" t="b">
        <v>1</v>
      </c>
      <c r="S981" t="inlineStr">
        <is>
          <t>G000155</t>
        </is>
      </c>
      <c r="T981" t="inlineStr">
        <is>
          <t>Vertical</t>
        </is>
      </c>
      <c r="U981" t="n">
        <v>93</v>
      </c>
      <c r="V981" t="b">
        <v>1</v>
      </c>
      <c r="W981" t="inlineStr">
        <is>
          <t>ATF Fuel 2!G3:G95</t>
        </is>
      </c>
      <c r="X981">
        <f>R[0]C[-1]/R[-1]C[-1]-1</f>
        <v/>
      </c>
    </row>
    <row r="982">
      <c r="A982" t="inlineStr">
        <is>
          <t>ATF Fuel 2</t>
        </is>
      </c>
      <c r="B982" t="inlineStr">
        <is>
          <t>H57</t>
        </is>
      </c>
      <c r="C982" t="n">
        <v>57</v>
      </c>
      <c r="D982" t="n">
        <v>8</v>
      </c>
      <c r="E982" t="inlineStr">
        <is>
          <t>Calculation</t>
        </is>
      </c>
      <c r="F982" t="inlineStr">
        <is>
          <t>'=D57*F57</t>
        </is>
      </c>
      <c r="G982" t="n">
        <v>5116.8</v>
      </c>
      <c r="H982" t="inlineStr"/>
      <c r="I982" t="inlineStr">
        <is>
          <t>0</t>
        </is>
      </c>
      <c r="J982" t="b">
        <v>0</v>
      </c>
      <c r="K982" t="b">
        <v>0</v>
      </c>
      <c r="L982" t="n">
        <v>11</v>
      </c>
      <c r="M982" t="inlineStr">
        <is>
          <t>Values must be of type &lt;class 'str'&gt;</t>
        </is>
      </c>
      <c r="N982" t="inlineStr">
        <is>
          <t>00000000</t>
        </is>
      </c>
      <c r="O982" t="n">
        <v/>
      </c>
      <c r="R982" t="b">
        <v>1</v>
      </c>
      <c r="S982" t="inlineStr">
        <is>
          <t>G000152</t>
        </is>
      </c>
      <c r="T982" t="inlineStr">
        <is>
          <t>Vertical</t>
        </is>
      </c>
      <c r="U982" t="n">
        <v>98</v>
      </c>
      <c r="V982" t="b">
        <v>1</v>
      </c>
      <c r="W982" t="inlineStr">
        <is>
          <t>ATF Fuel 2!H2:H99</t>
        </is>
      </c>
      <c r="X982">
        <f>R[0]C[-4]*R[0]C[-2]</f>
        <v/>
      </c>
    </row>
    <row r="983">
      <c r="A983" t="inlineStr">
        <is>
          <t>ATF Fuel 2</t>
        </is>
      </c>
      <c r="B983" t="inlineStr">
        <is>
          <t>I57</t>
        </is>
      </c>
      <c r="C983" t="n">
        <v>57</v>
      </c>
      <c r="D983" t="n">
        <v>9</v>
      </c>
      <c r="E983" t="inlineStr">
        <is>
          <t>Output</t>
        </is>
      </c>
      <c r="F983" t="inlineStr">
        <is>
          <t>'=H57/H56-1</t>
        </is>
      </c>
      <c r="G983" t="n">
        <v>-0.09135707759637968</v>
      </c>
      <c r="H983" t="inlineStr"/>
      <c r="I983" t="inlineStr">
        <is>
          <t>0%</t>
        </is>
      </c>
      <c r="J983" t="b">
        <v>0</v>
      </c>
      <c r="K983" t="b">
        <v>0</v>
      </c>
      <c r="L983" t="n">
        <v>11</v>
      </c>
      <c r="M983" t="inlineStr">
        <is>
          <t>FFFF0000</t>
        </is>
      </c>
      <c r="N983" t="inlineStr">
        <is>
          <t>00000000</t>
        </is>
      </c>
      <c r="O983" t="n">
        <v/>
      </c>
      <c r="R983" t="b">
        <v>1</v>
      </c>
      <c r="S983" t="inlineStr">
        <is>
          <t>G000156</t>
        </is>
      </c>
      <c r="T983" t="inlineStr">
        <is>
          <t>Vertical</t>
        </is>
      </c>
      <c r="U983" t="n">
        <v>97</v>
      </c>
      <c r="V983" t="b">
        <v>1</v>
      </c>
      <c r="W983" t="inlineStr">
        <is>
          <t>ATF Fuel 2!I3:I99</t>
        </is>
      </c>
      <c r="X983">
        <f>R[0]C[-1]/R[-1]C[-1]-1</f>
        <v/>
      </c>
    </row>
    <row r="984">
      <c r="A984" t="inlineStr">
        <is>
          <t>ATF Fuel 2</t>
        </is>
      </c>
      <c r="B984" t="inlineStr">
        <is>
          <t>J57</t>
        </is>
      </c>
      <c r="C984" t="n">
        <v>57</v>
      </c>
      <c r="D984" t="n">
        <v>10</v>
      </c>
      <c r="E984" t="inlineStr">
        <is>
          <t>Input</t>
        </is>
      </c>
      <c r="F984" t="n">
        <v/>
      </c>
      <c r="G984" t="n">
        <v>78.77</v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11</v>
      </c>
      <c r="M984" t="inlineStr">
        <is>
          <t>Values must be of type &lt;class 'str'&gt;</t>
        </is>
      </c>
      <c r="N984" t="inlineStr">
        <is>
          <t>00000000</t>
        </is>
      </c>
      <c r="O984" t="n">
        <v/>
      </c>
      <c r="R984" t="b">
        <v>1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</row>
    <row r="985">
      <c r="A985" t="inlineStr">
        <is>
          <t>ATF Fuel 2</t>
        </is>
      </c>
      <c r="B985" t="inlineStr">
        <is>
          <t>K57</t>
        </is>
      </c>
      <c r="C985" t="n">
        <v>57</v>
      </c>
      <c r="D985" t="n">
        <v>11</v>
      </c>
      <c r="E985" t="inlineStr">
        <is>
          <t>Output</t>
        </is>
      </c>
      <c r="F985" t="inlineStr">
        <is>
          <t>'=J57/J56-1</t>
        </is>
      </c>
      <c r="G985" t="n">
        <v>-0.1319153625743884</v>
      </c>
      <c r="H985" t="inlineStr"/>
      <c r="I985" t="inlineStr">
        <is>
          <t>0%</t>
        </is>
      </c>
      <c r="J985" t="b">
        <v>0</v>
      </c>
      <c r="K985" t="b">
        <v>0</v>
      </c>
      <c r="L985" t="n">
        <v>11</v>
      </c>
      <c r="M985" t="inlineStr">
        <is>
          <t>Values must be of type &lt;class 'str'&gt;</t>
        </is>
      </c>
      <c r="N985" t="inlineStr">
        <is>
          <t>00000000</t>
        </is>
      </c>
      <c r="O985" t="n">
        <v/>
      </c>
      <c r="R985" t="b">
        <v>1</v>
      </c>
      <c r="S985" t="inlineStr">
        <is>
          <t>G000157</t>
        </is>
      </c>
      <c r="T985" t="inlineStr">
        <is>
          <t>Vertical</t>
        </is>
      </c>
      <c r="U985" t="n">
        <v>93</v>
      </c>
      <c r="V985" t="b">
        <v>1</v>
      </c>
      <c r="W985" t="inlineStr">
        <is>
          <t>ATF Fuel 2!K3:K95</t>
        </is>
      </c>
      <c r="X985">
        <f>R[0]C[-1]/R[-1]C[-1]-1</f>
        <v/>
      </c>
    </row>
    <row r="986">
      <c r="A986" t="inlineStr">
        <is>
          <t>ATF Fuel 2</t>
        </is>
      </c>
      <c r="B986" t="inlineStr">
        <is>
          <t>L57</t>
        </is>
      </c>
      <c r="C986" t="n">
        <v>57</v>
      </c>
      <c r="D986" t="n">
        <v>12</v>
      </c>
      <c r="E986" t="inlineStr">
        <is>
          <t>Input</t>
        </is>
      </c>
      <c r="F986" t="n">
        <v/>
      </c>
      <c r="G986" t="inlineStr">
        <is>
          <t>November 01, 2014</t>
        </is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11</v>
      </c>
      <c r="M986" t="inlineStr">
        <is>
          <t>Values must be of type &lt;class 'str'&gt;</t>
        </is>
      </c>
      <c r="N986" t="inlineStr">
        <is>
          <t>00000000</t>
        </is>
      </c>
      <c r="O986" t="inlineStr">
        <is>
          <t>left</t>
        </is>
      </c>
      <c r="R986" t="b">
        <v>1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</row>
    <row r="987">
      <c r="A987" t="inlineStr">
        <is>
          <t>ATF Fuel 2</t>
        </is>
      </c>
      <c r="B987" t="inlineStr">
        <is>
          <t>M57</t>
        </is>
      </c>
      <c r="C987" t="n">
        <v>57</v>
      </c>
      <c r="D987" t="n">
        <v>13</v>
      </c>
      <c r="E987" t="inlineStr">
        <is>
          <t>Calculation</t>
        </is>
      </c>
      <c r="F987" t="inlineStr">
        <is>
          <t>'=(1+(B57/B56)-1)*M56</t>
        </is>
      </c>
      <c r="G987" t="n">
        <v>150.8049577110846</v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11</v>
      </c>
      <c r="M987" t="inlineStr">
        <is>
          <t>Values must be of type &lt;class 'str'&gt;</t>
        </is>
      </c>
      <c r="N987" t="inlineStr">
        <is>
          <t>00000000</t>
        </is>
      </c>
      <c r="O987" t="inlineStr">
        <is>
          <t>left</t>
        </is>
      </c>
      <c r="R987" t="b">
        <v>1</v>
      </c>
      <c r="S987" t="inlineStr">
        <is>
          <t>G000159</t>
        </is>
      </c>
      <c r="T987" t="inlineStr">
        <is>
          <t>Vertical</t>
        </is>
      </c>
      <c r="U987" t="n">
        <v>92</v>
      </c>
      <c r="V987" t="b">
        <v>1</v>
      </c>
      <c r="W987" t="inlineStr">
        <is>
          <t>ATF Fuel 2!M3:M94</t>
        </is>
      </c>
      <c r="X987">
        <f>(1+(R[0]C[-11]/R[-1]C[-11])-1)*R[-1]C[0]</f>
        <v/>
      </c>
    </row>
    <row r="988">
      <c r="A988" t="inlineStr">
        <is>
          <t>ATF Fuel 2</t>
        </is>
      </c>
      <c r="B988" t="inlineStr">
        <is>
          <t>N57</t>
        </is>
      </c>
      <c r="C988" t="n">
        <v>57</v>
      </c>
      <c r="D988" t="n">
        <v>14</v>
      </c>
      <c r="E988" t="inlineStr">
        <is>
          <t>Calculation</t>
        </is>
      </c>
      <c r="F988" t="inlineStr">
        <is>
          <t>'=(1+(F57/F56)-1)*N56</t>
        </is>
      </c>
      <c r="G988" t="n">
        <v>100.6898220985115</v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11</v>
      </c>
      <c r="M988" t="inlineStr">
        <is>
          <t>Values must be of type &lt;class 'str'&gt;</t>
        </is>
      </c>
      <c r="N988" t="inlineStr">
        <is>
          <t>00000000</t>
        </is>
      </c>
      <c r="O988" t="inlineStr">
        <is>
          <t>left</t>
        </is>
      </c>
      <c r="R988" t="b">
        <v>1</v>
      </c>
      <c r="S988" t="inlineStr">
        <is>
          <t>G000160</t>
        </is>
      </c>
      <c r="T988" t="inlineStr">
        <is>
          <t>Vertical</t>
        </is>
      </c>
      <c r="U988" t="n">
        <v>92</v>
      </c>
      <c r="V988" t="b">
        <v>1</v>
      </c>
      <c r="W988" t="inlineStr">
        <is>
          <t>ATF Fuel 2!N3:N94</t>
        </is>
      </c>
      <c r="X988">
        <f>(1+(R[0]C[-8]/R[-1]C[-8])-1)*R[-1]C[0]</f>
        <v/>
      </c>
    </row>
    <row r="989">
      <c r="A989" t="inlineStr">
        <is>
          <t>ATF Fuel 2</t>
        </is>
      </c>
      <c r="B989" t="inlineStr">
        <is>
          <t>O57</t>
        </is>
      </c>
      <c r="C989" t="n">
        <v>57</v>
      </c>
      <c r="D989" t="n">
        <v>15</v>
      </c>
      <c r="E989" t="inlineStr">
        <is>
          <t>Calculation</t>
        </is>
      </c>
      <c r="F989" t="inlineStr">
        <is>
          <t>'=(1+(J57/J56)-1)*O56</t>
        </is>
      </c>
      <c r="G989" t="n">
        <v>93.18585117709691</v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11</v>
      </c>
      <c r="M989" t="inlineStr">
        <is>
          <t>Values must be of type &lt;class 'str'&gt;</t>
        </is>
      </c>
      <c r="N989" t="inlineStr">
        <is>
          <t>00000000</t>
        </is>
      </c>
      <c r="O989" t="inlineStr">
        <is>
          <t>left</t>
        </is>
      </c>
      <c r="R989" t="b">
        <v>1</v>
      </c>
      <c r="S989" t="inlineStr">
        <is>
          <t>G000162</t>
        </is>
      </c>
      <c r="T989" t="inlineStr">
        <is>
          <t>Vertical</t>
        </is>
      </c>
      <c r="U989" t="n">
        <v>92</v>
      </c>
      <c r="V989" t="b">
        <v>1</v>
      </c>
      <c r="W989" t="inlineStr">
        <is>
          <t>ATF Fuel 2!O3:O94</t>
        </is>
      </c>
      <c r="X989">
        <f>(1+(R[0]C[-5]/R[-1]C[-5])-1)*R[-1]C[0]</f>
        <v/>
      </c>
    </row>
    <row r="990">
      <c r="A990" t="inlineStr">
        <is>
          <t>ATF Fuel 2</t>
        </is>
      </c>
      <c r="B990" t="inlineStr">
        <is>
          <t>P57</t>
        </is>
      </c>
      <c r="C990" t="n">
        <v>57</v>
      </c>
      <c r="D990" t="n">
        <v>16</v>
      </c>
      <c r="E990" t="inlineStr">
        <is>
          <t>Calculation</t>
        </is>
      </c>
      <c r="F990" t="inlineStr">
        <is>
          <t>'=(1+(H57/H56)-1)*P56</t>
        </is>
      </c>
      <c r="G990" t="n">
        <v>138.3472756715473</v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11</v>
      </c>
      <c r="M990" t="inlineStr">
        <is>
          <t>Values must be of type &lt;class 'str'&gt;</t>
        </is>
      </c>
      <c r="N990" t="inlineStr">
        <is>
          <t>00000000</t>
        </is>
      </c>
      <c r="O990" t="inlineStr">
        <is>
          <t>left</t>
        </is>
      </c>
      <c r="R990" t="b">
        <v>1</v>
      </c>
      <c r="S990" t="inlineStr">
        <is>
          <t>G000161</t>
        </is>
      </c>
      <c r="T990" t="inlineStr">
        <is>
          <t>Vertical</t>
        </is>
      </c>
      <c r="U990" t="n">
        <v>92</v>
      </c>
      <c r="V990" t="b">
        <v>1</v>
      </c>
      <c r="W990" t="inlineStr">
        <is>
          <t>ATF Fuel 2!P3:P94</t>
        </is>
      </c>
      <c r="X990">
        <f>(1+(R[0]C[-8]/R[-1]C[-8])-1)*R[-1]C[0]</f>
        <v/>
      </c>
    </row>
    <row r="991">
      <c r="A991" t="inlineStr">
        <is>
          <t>ATF Fuel 2</t>
        </is>
      </c>
      <c r="B991" t="inlineStr">
        <is>
          <t>Q57</t>
        </is>
      </c>
      <c r="C991" t="n">
        <v>57</v>
      </c>
      <c r="D991" t="n">
        <v>17</v>
      </c>
      <c r="E991" t="inlineStr">
        <is>
          <t>Output</t>
        </is>
      </c>
      <c r="F991" t="inlineStr">
        <is>
          <t>'=M57/N57-1</t>
        </is>
      </c>
      <c r="G991" t="n">
        <v>0.4977179874599647</v>
      </c>
      <c r="H991" t="inlineStr"/>
      <c r="I991" t="inlineStr">
        <is>
          <t>0.0%</t>
        </is>
      </c>
      <c r="J991" t="b">
        <v>0</v>
      </c>
      <c r="K991" t="b">
        <v>0</v>
      </c>
      <c r="L991" t="n">
        <v>11</v>
      </c>
      <c r="M991" t="inlineStr">
        <is>
          <t>Values must be of type &lt;class 'str'&gt;</t>
        </is>
      </c>
      <c r="N991" t="inlineStr">
        <is>
          <t>00000000</t>
        </is>
      </c>
      <c r="O991" t="n">
        <v/>
      </c>
      <c r="R991" t="b">
        <v>1</v>
      </c>
      <c r="S991" t="inlineStr">
        <is>
          <t>G000153</t>
        </is>
      </c>
      <c r="T991" t="inlineStr">
        <is>
          <t>Vertical</t>
        </is>
      </c>
      <c r="U991" t="n">
        <v>93</v>
      </c>
      <c r="V991" t="b">
        <v>1</v>
      </c>
      <c r="W991" t="inlineStr">
        <is>
          <t>ATF Fuel 2!Q2:Q94</t>
        </is>
      </c>
      <c r="X991">
        <f>R[0]C[-4]/R[0]C[-3]-1</f>
        <v/>
      </c>
    </row>
    <row r="992">
      <c r="A992" t="inlineStr">
        <is>
          <t>ATF Fuel 2</t>
        </is>
      </c>
      <c r="B992" t="inlineStr">
        <is>
          <t>A58</t>
        </is>
      </c>
      <c r="C992" t="n">
        <v>58</v>
      </c>
      <c r="D992" t="n">
        <v>1</v>
      </c>
      <c r="E992" t="inlineStr">
        <is>
          <t>Input</t>
        </is>
      </c>
      <c r="F992" t="n">
        <v/>
      </c>
      <c r="G992" t="inlineStr">
        <is>
          <t>December 01, 2014</t>
        </is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11</v>
      </c>
      <c r="M992" t="inlineStr">
        <is>
          <t>Values must be of type &lt;class 'str'&gt;</t>
        </is>
      </c>
      <c r="N992" t="inlineStr">
        <is>
          <t>FFFFFF00</t>
        </is>
      </c>
      <c r="O992" t="n">
        <v/>
      </c>
      <c r="R992" t="b">
        <v>1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</row>
    <row r="993">
      <c r="A993" t="inlineStr">
        <is>
          <t>ATF Fuel 2</t>
        </is>
      </c>
      <c r="B993" t="inlineStr">
        <is>
          <t>B58</t>
        </is>
      </c>
      <c r="C993" t="n">
        <v>58</v>
      </c>
      <c r="D993" t="n">
        <v>2</v>
      </c>
      <c r="E993" t="inlineStr">
        <is>
          <t>Input</t>
        </is>
      </c>
      <c r="F993" t="n">
        <v/>
      </c>
      <c r="G993" t="n">
        <v>64145</v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11</v>
      </c>
      <c r="M993" t="inlineStr">
        <is>
          <t>Values must be of type &lt;class 'str'&gt;</t>
        </is>
      </c>
      <c r="N993" t="inlineStr">
        <is>
          <t>FFFFFF00</t>
        </is>
      </c>
      <c r="O993" t="n">
        <v/>
      </c>
      <c r="R993" t="b">
        <v>1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</row>
    <row r="994">
      <c r="A994" t="inlineStr">
        <is>
          <t>ATF Fuel 2</t>
        </is>
      </c>
      <c r="B994" t="inlineStr">
        <is>
          <t>C58</t>
        </is>
      </c>
      <c r="C994" t="n">
        <v>58</v>
      </c>
      <c r="D994" t="n">
        <v>3</v>
      </c>
      <c r="E994" t="inlineStr">
        <is>
          <t>Output</t>
        </is>
      </c>
      <c r="F994" t="inlineStr">
        <is>
          <t>'=B58/B57-1</t>
        </is>
      </c>
      <c r="G994" t="n">
        <v>-0.04117796470161217</v>
      </c>
      <c r="H994" t="inlineStr"/>
      <c r="I994" t="inlineStr">
        <is>
          <t>0%</t>
        </is>
      </c>
      <c r="J994" t="b">
        <v>0</v>
      </c>
      <c r="K994" t="b">
        <v>0</v>
      </c>
      <c r="L994" t="n">
        <v>11</v>
      </c>
      <c r="M994" t="n">
        <v/>
      </c>
      <c r="N994" t="inlineStr">
        <is>
          <t>00000000</t>
        </is>
      </c>
      <c r="O994" t="n">
        <v/>
      </c>
      <c r="R994" t="b">
        <v>1</v>
      </c>
      <c r="S994" t="inlineStr">
        <is>
          <t>G000154</t>
        </is>
      </c>
      <c r="T994" t="inlineStr">
        <is>
          <t>Vertical</t>
        </is>
      </c>
      <c r="U994" t="n">
        <v>92</v>
      </c>
      <c r="V994" t="b">
        <v>1</v>
      </c>
      <c r="W994" t="inlineStr">
        <is>
          <t>ATF Fuel 2!C3:C94</t>
        </is>
      </c>
      <c r="X994">
        <f>R[0]C[-1]/R[-1]C[-1]-1</f>
        <v/>
      </c>
    </row>
    <row r="995">
      <c r="A995" t="inlineStr">
        <is>
          <t>ATF Fuel 2</t>
        </is>
      </c>
      <c r="B995" t="inlineStr">
        <is>
          <t>D58</t>
        </is>
      </c>
      <c r="C995" t="n">
        <v>58</v>
      </c>
      <c r="D995" t="n">
        <v>4</v>
      </c>
      <c r="E995" t="inlineStr">
        <is>
          <t>Input</t>
        </is>
      </c>
      <c r="F995" t="n">
        <v/>
      </c>
      <c r="G995" t="n">
        <v>62.25</v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11</v>
      </c>
      <c r="M995" t="inlineStr">
        <is>
          <t>Values must be of type &lt;class 'str'&gt;</t>
        </is>
      </c>
      <c r="N995" t="inlineStr">
        <is>
          <t>00000000</t>
        </is>
      </c>
      <c r="O995" t="n">
        <v/>
      </c>
      <c r="R995" t="b">
        <v>1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</row>
    <row r="996">
      <c r="A996" t="inlineStr">
        <is>
          <t>ATF Fuel 2</t>
        </is>
      </c>
      <c r="B996" t="inlineStr">
        <is>
          <t>E58</t>
        </is>
      </c>
      <c r="C996" t="n">
        <v>58</v>
      </c>
      <c r="D996" t="n">
        <v>5</v>
      </c>
      <c r="E996" t="inlineStr">
        <is>
          <t>Output</t>
        </is>
      </c>
      <c r="F996" t="inlineStr">
        <is>
          <t>'=B58/B57-1</t>
        </is>
      </c>
      <c r="G996" t="n">
        <v>-0.04117796470161217</v>
      </c>
      <c r="H996" t="inlineStr"/>
      <c r="I996" t="inlineStr">
        <is>
          <t>0%</t>
        </is>
      </c>
      <c r="J996" t="b">
        <v>0</v>
      </c>
      <c r="K996" t="b">
        <v>0</v>
      </c>
      <c r="L996" t="n">
        <v>11</v>
      </c>
      <c r="M996" t="inlineStr">
        <is>
          <t>Values must be of type &lt;class 'str'&gt;</t>
        </is>
      </c>
      <c r="N996" t="inlineStr">
        <is>
          <t>00000000</t>
        </is>
      </c>
      <c r="O996" t="n">
        <v/>
      </c>
      <c r="R996" t="b">
        <v>1</v>
      </c>
      <c r="S996" t="inlineStr">
        <is>
          <t>G000158</t>
        </is>
      </c>
      <c r="T996" t="inlineStr">
        <is>
          <t>Vertical</t>
        </is>
      </c>
      <c r="U996" t="n">
        <v>92</v>
      </c>
      <c r="V996" t="b">
        <v>1</v>
      </c>
      <c r="W996" t="inlineStr">
        <is>
          <t>ATF Fuel 2!E3:E94</t>
        </is>
      </c>
      <c r="X996">
        <f>R[0]C[-3]/R[-1]C[-3]-1</f>
        <v/>
      </c>
    </row>
    <row r="997">
      <c r="A997" t="inlineStr">
        <is>
          <t>ATF Fuel 2</t>
        </is>
      </c>
      <c r="B997" t="inlineStr">
        <is>
          <t>F58</t>
        </is>
      </c>
      <c r="C997" t="n">
        <v>58</v>
      </c>
      <c r="D997" t="n">
        <v>6</v>
      </c>
      <c r="E997" t="inlineStr">
        <is>
          <t>Input</t>
        </is>
      </c>
      <c r="F997" t="n">
        <v/>
      </c>
      <c r="G997" t="n">
        <v>68</v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11</v>
      </c>
      <c r="M997" t="inlineStr">
        <is>
          <t>Values must be of type &lt;class 'str'&gt;</t>
        </is>
      </c>
      <c r="N997" t="inlineStr">
        <is>
          <t>FFFFFF00</t>
        </is>
      </c>
      <c r="O997" t="n">
        <v/>
      </c>
      <c r="R997" t="b">
        <v>1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</row>
    <row r="998">
      <c r="A998" t="inlineStr">
        <is>
          <t>ATF Fuel 2</t>
        </is>
      </c>
      <c r="B998" t="inlineStr">
        <is>
          <t>G58</t>
        </is>
      </c>
      <c r="C998" t="n">
        <v>58</v>
      </c>
      <c r="D998" t="n">
        <v>7</v>
      </c>
      <c r="E998" t="inlineStr">
        <is>
          <t>Output</t>
        </is>
      </c>
      <c r="F998" t="inlineStr">
        <is>
          <t>'=F58/F57-1</t>
        </is>
      </c>
      <c r="G998" t="n">
        <v>-0.1826923076923077</v>
      </c>
      <c r="H998" t="inlineStr"/>
      <c r="I998" t="inlineStr">
        <is>
          <t>0%</t>
        </is>
      </c>
      <c r="J998" t="b">
        <v>0</v>
      </c>
      <c r="K998" t="b">
        <v>0</v>
      </c>
      <c r="L998" t="n">
        <v>11</v>
      </c>
      <c r="M998" t="inlineStr">
        <is>
          <t>Values must be of type &lt;class 'str'&gt;</t>
        </is>
      </c>
      <c r="N998" t="inlineStr">
        <is>
          <t>00000000</t>
        </is>
      </c>
      <c r="O998" t="n">
        <v/>
      </c>
      <c r="R998" t="b">
        <v>1</v>
      </c>
      <c r="S998" t="inlineStr">
        <is>
          <t>G000155</t>
        </is>
      </c>
      <c r="T998" t="inlineStr">
        <is>
          <t>Vertical</t>
        </is>
      </c>
      <c r="U998" t="n">
        <v>93</v>
      </c>
      <c r="V998" t="b">
        <v>1</v>
      </c>
      <c r="W998" t="inlineStr">
        <is>
          <t>ATF Fuel 2!G3:G95</t>
        </is>
      </c>
      <c r="X998">
        <f>R[0]C[-1]/R[-1]C[-1]-1</f>
        <v/>
      </c>
    </row>
    <row r="999">
      <c r="A999" t="inlineStr">
        <is>
          <t>ATF Fuel 2</t>
        </is>
      </c>
      <c r="B999" t="inlineStr">
        <is>
          <t>H58</t>
        </is>
      </c>
      <c r="C999" t="n">
        <v>58</v>
      </c>
      <c r="D999" t="n">
        <v>8</v>
      </c>
      <c r="E999" t="inlineStr">
        <is>
          <t>Calculation</t>
        </is>
      </c>
      <c r="F999" t="inlineStr">
        <is>
          <t>'=D58*F58</t>
        </is>
      </c>
      <c r="G999" t="n">
        <v>4233</v>
      </c>
      <c r="H999" t="inlineStr"/>
      <c r="I999" t="inlineStr">
        <is>
          <t>0</t>
        </is>
      </c>
      <c r="J999" t="b">
        <v>0</v>
      </c>
      <c r="K999" t="b">
        <v>0</v>
      </c>
      <c r="L999" t="n">
        <v>11</v>
      </c>
      <c r="M999" t="inlineStr">
        <is>
          <t>Values must be of type &lt;class 'str'&gt;</t>
        </is>
      </c>
      <c r="N999" t="inlineStr">
        <is>
          <t>00000000</t>
        </is>
      </c>
      <c r="O999" t="n">
        <v/>
      </c>
      <c r="R999" t="b">
        <v>1</v>
      </c>
      <c r="S999" t="inlineStr">
        <is>
          <t>G000152</t>
        </is>
      </c>
      <c r="T999" t="inlineStr">
        <is>
          <t>Vertical</t>
        </is>
      </c>
      <c r="U999" t="n">
        <v>98</v>
      </c>
      <c r="V999" t="b">
        <v>1</v>
      </c>
      <c r="W999" t="inlineStr">
        <is>
          <t>ATF Fuel 2!H2:H99</t>
        </is>
      </c>
      <c r="X999">
        <f>R[0]C[-4]*R[0]C[-2]</f>
        <v/>
      </c>
    </row>
    <row r="1000">
      <c r="A1000" t="inlineStr">
        <is>
          <t>ATF Fuel 2</t>
        </is>
      </c>
      <c r="B1000" t="inlineStr">
        <is>
          <t>I58</t>
        </is>
      </c>
      <c r="C1000" t="n">
        <v>58</v>
      </c>
      <c r="D1000" t="n">
        <v>9</v>
      </c>
      <c r="E1000" t="inlineStr">
        <is>
          <t>Output</t>
        </is>
      </c>
      <c r="F1000" t="inlineStr">
        <is>
          <t>'=H58/H57-1</t>
        </is>
      </c>
      <c r="G1000" t="n">
        <v>-0.1727251407129456</v>
      </c>
      <c r="H1000" t="inlineStr"/>
      <c r="I1000" t="inlineStr">
        <is>
          <t>0%</t>
        </is>
      </c>
      <c r="J1000" t="b">
        <v>0</v>
      </c>
      <c r="K1000" t="b">
        <v>0</v>
      </c>
      <c r="L1000" t="n">
        <v>11</v>
      </c>
      <c r="M1000" t="inlineStr">
        <is>
          <t>FFFF0000</t>
        </is>
      </c>
      <c r="N1000" t="inlineStr">
        <is>
          <t>00000000</t>
        </is>
      </c>
      <c r="O1000" t="n">
        <v/>
      </c>
      <c r="R1000" t="b">
        <v>1</v>
      </c>
      <c r="S1000" t="inlineStr">
        <is>
          <t>G000156</t>
        </is>
      </c>
      <c r="T1000" t="inlineStr">
        <is>
          <t>Vertical</t>
        </is>
      </c>
      <c r="U1000" t="n">
        <v>97</v>
      </c>
      <c r="V1000" t="b">
        <v>1</v>
      </c>
      <c r="W1000" t="inlineStr">
        <is>
          <t>ATF Fuel 2!I3:I99</t>
        </is>
      </c>
      <c r="X1000">
        <f>R[0]C[-1]/R[-1]C[-1]-1</f>
        <v/>
      </c>
    </row>
    <row r="1001">
      <c r="A1001" t="inlineStr">
        <is>
          <t>ATF Fuel 2</t>
        </is>
      </c>
      <c r="B1001" t="inlineStr">
        <is>
          <t>J58</t>
        </is>
      </c>
      <c r="C1001" t="n">
        <v>58</v>
      </c>
      <c r="D1001" t="n">
        <v>10</v>
      </c>
      <c r="E1001" t="inlineStr">
        <is>
          <t>Input</t>
        </is>
      </c>
      <c r="F1001" t="n">
        <v/>
      </c>
      <c r="G1001" t="n">
        <v>68.98</v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11</v>
      </c>
      <c r="M1001" t="inlineStr">
        <is>
          <t>Values must be of type &lt;class 'str'&gt;</t>
        </is>
      </c>
      <c r="N1001" t="inlineStr">
        <is>
          <t>FFFFFF00</t>
        </is>
      </c>
      <c r="O1001" t="n">
        <v/>
      </c>
      <c r="R1001" t="b">
        <v>1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</row>
    <row r="1002">
      <c r="A1002" t="inlineStr">
        <is>
          <t>ATF Fuel 2</t>
        </is>
      </c>
      <c r="B1002" t="inlineStr">
        <is>
          <t>K58</t>
        </is>
      </c>
      <c r="C1002" t="n">
        <v>58</v>
      </c>
      <c r="D1002" t="n">
        <v>11</v>
      </c>
      <c r="E1002" t="inlineStr">
        <is>
          <t>Output</t>
        </is>
      </c>
      <c r="F1002" t="inlineStr">
        <is>
          <t>'=J58/J57-1</t>
        </is>
      </c>
      <c r="G1002" t="n">
        <v>-0.1242858956455503</v>
      </c>
      <c r="H1002" t="inlineStr"/>
      <c r="I1002" t="inlineStr">
        <is>
          <t>0%</t>
        </is>
      </c>
      <c r="J1002" t="b">
        <v>0</v>
      </c>
      <c r="K1002" t="b">
        <v>0</v>
      </c>
      <c r="L1002" t="n">
        <v>11</v>
      </c>
      <c r="M1002" t="inlineStr">
        <is>
          <t>Values must be of type &lt;class 'str'&gt;</t>
        </is>
      </c>
      <c r="N1002" t="inlineStr">
        <is>
          <t>00000000</t>
        </is>
      </c>
      <c r="O1002" t="n">
        <v/>
      </c>
      <c r="R1002" t="b">
        <v>1</v>
      </c>
      <c r="S1002" t="inlineStr">
        <is>
          <t>G000157</t>
        </is>
      </c>
      <c r="T1002" t="inlineStr">
        <is>
          <t>Vertical</t>
        </is>
      </c>
      <c r="U1002" t="n">
        <v>93</v>
      </c>
      <c r="V1002" t="b">
        <v>1</v>
      </c>
      <c r="W1002" t="inlineStr">
        <is>
          <t>ATF Fuel 2!K3:K95</t>
        </is>
      </c>
      <c r="X1002">
        <f>R[0]C[-1]/R[-1]C[-1]-1</f>
        <v/>
      </c>
    </row>
    <row r="1003">
      <c r="A1003" t="inlineStr">
        <is>
          <t>ATF Fuel 2</t>
        </is>
      </c>
      <c r="B1003" t="inlineStr">
        <is>
          <t>L58</t>
        </is>
      </c>
      <c r="C1003" t="n">
        <v>58</v>
      </c>
      <c r="D1003" t="n">
        <v>12</v>
      </c>
      <c r="E1003" t="inlineStr">
        <is>
          <t>Input</t>
        </is>
      </c>
      <c r="F1003" t="n">
        <v/>
      </c>
      <c r="G1003" t="inlineStr">
        <is>
          <t>December 01, 2014</t>
        </is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11</v>
      </c>
      <c r="M1003" t="inlineStr">
        <is>
          <t>Values must be of type &lt;class 'str'&gt;</t>
        </is>
      </c>
      <c r="N1003" t="inlineStr">
        <is>
          <t>FFFFFF00</t>
        </is>
      </c>
      <c r="O1003" t="inlineStr">
        <is>
          <t>left</t>
        </is>
      </c>
      <c r="R1003" t="b">
        <v>1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</row>
    <row r="1004">
      <c r="A1004" t="inlineStr">
        <is>
          <t>ATF Fuel 2</t>
        </is>
      </c>
      <c r="B1004" t="inlineStr">
        <is>
          <t>M58</t>
        </is>
      </c>
      <c r="C1004" t="n">
        <v>58</v>
      </c>
      <c r="D1004" t="n">
        <v>13</v>
      </c>
      <c r="E1004" t="inlineStr">
        <is>
          <t>Calculation</t>
        </is>
      </c>
      <c r="F1004" t="inlineStr">
        <is>
          <t>'=(1+(B58/B57)-1)*M57</t>
        </is>
      </c>
      <c r="G1004" t="n">
        <v>144.5951164856294</v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11</v>
      </c>
      <c r="M1004" t="inlineStr">
        <is>
          <t>Values must be of type &lt;class 'str'&gt;</t>
        </is>
      </c>
      <c r="N1004" t="inlineStr">
        <is>
          <t>FFFFFF00</t>
        </is>
      </c>
      <c r="O1004" t="inlineStr">
        <is>
          <t>left</t>
        </is>
      </c>
      <c r="R1004" t="b">
        <v>1</v>
      </c>
      <c r="S1004" t="inlineStr">
        <is>
          <t>G000159</t>
        </is>
      </c>
      <c r="T1004" t="inlineStr">
        <is>
          <t>Vertical</t>
        </is>
      </c>
      <c r="U1004" t="n">
        <v>92</v>
      </c>
      <c r="V1004" t="b">
        <v>1</v>
      </c>
      <c r="W1004" t="inlineStr">
        <is>
          <t>ATF Fuel 2!M3:M94</t>
        </is>
      </c>
      <c r="X1004">
        <f>(1+(R[0]C[-11]/R[-1]C[-11])-1)*R[-1]C[0]</f>
        <v/>
      </c>
    </row>
    <row r="1005">
      <c r="A1005" t="inlineStr">
        <is>
          <t>ATF Fuel 2</t>
        </is>
      </c>
      <c r="B1005" t="inlineStr">
        <is>
          <t>N58</t>
        </is>
      </c>
      <c r="C1005" t="n">
        <v>58</v>
      </c>
      <c r="D1005" t="n">
        <v>14</v>
      </c>
      <c r="E1005" t="inlineStr">
        <is>
          <t>Calculation</t>
        </is>
      </c>
      <c r="F1005" t="inlineStr">
        <is>
          <t>'=(1+(F58/F57)-1)*N57</t>
        </is>
      </c>
      <c r="G1005" t="n">
        <v>82.29456613820653</v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11</v>
      </c>
      <c r="M1005" t="inlineStr">
        <is>
          <t>Values must be of type &lt;class 'str'&gt;</t>
        </is>
      </c>
      <c r="N1005" t="inlineStr">
        <is>
          <t>FFFFFF00</t>
        </is>
      </c>
      <c r="O1005" t="inlineStr">
        <is>
          <t>left</t>
        </is>
      </c>
      <c r="R1005" t="b">
        <v>1</v>
      </c>
      <c r="S1005" t="inlineStr">
        <is>
          <t>G000160</t>
        </is>
      </c>
      <c r="T1005" t="inlineStr">
        <is>
          <t>Vertical</t>
        </is>
      </c>
      <c r="U1005" t="n">
        <v>92</v>
      </c>
      <c r="V1005" t="b">
        <v>1</v>
      </c>
      <c r="W1005" t="inlineStr">
        <is>
          <t>ATF Fuel 2!N3:N94</t>
        </is>
      </c>
      <c r="X1005">
        <f>(1+(R[0]C[-8]/R[-1]C[-8])-1)*R[-1]C[0]</f>
        <v/>
      </c>
    </row>
    <row r="1006">
      <c r="A1006" t="inlineStr">
        <is>
          <t>ATF Fuel 2</t>
        </is>
      </c>
      <c r="B1006" t="inlineStr">
        <is>
          <t>O58</t>
        </is>
      </c>
      <c r="C1006" t="n">
        <v>58</v>
      </c>
      <c r="D1006" t="n">
        <v>15</v>
      </c>
      <c r="E1006" t="inlineStr">
        <is>
          <t>Calculation</t>
        </is>
      </c>
      <c r="F1006" t="inlineStr">
        <is>
          <t>'=(1+(J58/J57)-1)*O57</t>
        </is>
      </c>
      <c r="G1006" t="n">
        <v>81.60416420205847</v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11</v>
      </c>
      <c r="M1006" t="inlineStr">
        <is>
          <t>Values must be of type &lt;class 'str'&gt;</t>
        </is>
      </c>
      <c r="N1006" t="inlineStr">
        <is>
          <t>FFFFFF00</t>
        </is>
      </c>
      <c r="O1006" t="inlineStr">
        <is>
          <t>left</t>
        </is>
      </c>
      <c r="R1006" t="b">
        <v>1</v>
      </c>
      <c r="S1006" t="inlineStr">
        <is>
          <t>G000162</t>
        </is>
      </c>
      <c r="T1006" t="inlineStr">
        <is>
          <t>Vertical</t>
        </is>
      </c>
      <c r="U1006" t="n">
        <v>92</v>
      </c>
      <c r="V1006" t="b">
        <v>1</v>
      </c>
      <c r="W1006" t="inlineStr">
        <is>
          <t>ATF Fuel 2!O3:O94</t>
        </is>
      </c>
      <c r="X1006">
        <f>(1+(R[0]C[-5]/R[-1]C[-5])-1)*R[-1]C[0]</f>
        <v/>
      </c>
    </row>
    <row r="1007">
      <c r="A1007" t="inlineStr">
        <is>
          <t>ATF Fuel 2</t>
        </is>
      </c>
      <c r="B1007" t="inlineStr">
        <is>
          <t>P58</t>
        </is>
      </c>
      <c r="C1007" t="n">
        <v>58</v>
      </c>
      <c r="D1007" t="n">
        <v>16</v>
      </c>
      <c r="E1007" t="inlineStr">
        <is>
          <t>Calculation</t>
        </is>
      </c>
      <c r="F1007" t="inlineStr">
        <is>
          <t>'=(1+(H58/H57)-1)*P57</t>
        </is>
      </c>
      <c r="G1007" t="n">
        <v>114.4512230139266</v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11</v>
      </c>
      <c r="M1007" t="inlineStr">
        <is>
          <t>Values must be of type &lt;class 'str'&gt;</t>
        </is>
      </c>
      <c r="N1007" t="inlineStr">
        <is>
          <t>00000000</t>
        </is>
      </c>
      <c r="O1007" t="inlineStr">
        <is>
          <t>left</t>
        </is>
      </c>
      <c r="R1007" t="b">
        <v>1</v>
      </c>
      <c r="S1007" t="inlineStr">
        <is>
          <t>G000161</t>
        </is>
      </c>
      <c r="T1007" t="inlineStr">
        <is>
          <t>Vertical</t>
        </is>
      </c>
      <c r="U1007" t="n">
        <v>92</v>
      </c>
      <c r="V1007" t="b">
        <v>1</v>
      </c>
      <c r="W1007" t="inlineStr">
        <is>
          <t>ATF Fuel 2!P3:P94</t>
        </is>
      </c>
      <c r="X1007">
        <f>(1+(R[0]C[-8]/R[-1]C[-8])-1)*R[-1]C[0]</f>
        <v/>
      </c>
    </row>
    <row r="1008">
      <c r="A1008" t="inlineStr">
        <is>
          <t>ATF Fuel 2</t>
        </is>
      </c>
      <c r="B1008" t="inlineStr">
        <is>
          <t>Q58</t>
        </is>
      </c>
      <c r="C1008" t="n">
        <v>58</v>
      </c>
      <c r="D1008" t="n">
        <v>17</v>
      </c>
      <c r="E1008" t="inlineStr">
        <is>
          <t>Output</t>
        </is>
      </c>
      <c r="F1008" t="inlineStr">
        <is>
          <t>'=M58/N58-1</t>
        </is>
      </c>
      <c r="G1008" t="n">
        <v>0.7570433051775805</v>
      </c>
      <c r="H1008" t="inlineStr"/>
      <c r="I1008" t="inlineStr">
        <is>
          <t>0.0%</t>
        </is>
      </c>
      <c r="J1008" t="b">
        <v>0</v>
      </c>
      <c r="K1008" t="b">
        <v>0</v>
      </c>
      <c r="L1008" t="n">
        <v>11</v>
      </c>
      <c r="M1008" t="inlineStr">
        <is>
          <t>Values must be of type &lt;class 'str'&gt;</t>
        </is>
      </c>
      <c r="N1008" t="inlineStr">
        <is>
          <t>FFFFFF00</t>
        </is>
      </c>
      <c r="O1008" t="n">
        <v/>
      </c>
      <c r="R1008" t="b">
        <v>1</v>
      </c>
      <c r="S1008" t="inlineStr">
        <is>
          <t>G000153</t>
        </is>
      </c>
      <c r="T1008" t="inlineStr">
        <is>
          <t>Vertical</t>
        </is>
      </c>
      <c r="U1008" t="n">
        <v>93</v>
      </c>
      <c r="V1008" t="b">
        <v>1</v>
      </c>
      <c r="W1008" t="inlineStr">
        <is>
          <t>ATF Fuel 2!Q2:Q94</t>
        </is>
      </c>
      <c r="X1008">
        <f>R[0]C[-4]/R[0]C[-3]-1</f>
        <v/>
      </c>
    </row>
    <row r="1009">
      <c r="A1009" t="inlineStr">
        <is>
          <t>ATF Fuel 2</t>
        </is>
      </c>
      <c r="B1009" t="inlineStr">
        <is>
          <t>A59</t>
        </is>
      </c>
      <c r="C1009" t="n">
        <v>59</v>
      </c>
      <c r="D1009" t="n">
        <v>1</v>
      </c>
      <c r="E1009" t="inlineStr">
        <is>
          <t>Input</t>
        </is>
      </c>
      <c r="F1009" t="n">
        <v/>
      </c>
      <c r="G1009" t="inlineStr">
        <is>
          <t>January 01, 2015</t>
        </is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11</v>
      </c>
      <c r="M1009" t="inlineStr">
        <is>
          <t>Values must be of type &lt;class 'str'&gt;</t>
        </is>
      </c>
      <c r="N1009" t="inlineStr">
        <is>
          <t>00000000</t>
        </is>
      </c>
      <c r="O1009" t="n">
        <v/>
      </c>
      <c r="R1009" t="b">
        <v>1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</row>
    <row r="1010">
      <c r="A1010" t="inlineStr">
        <is>
          <t>ATF Fuel 2</t>
        </is>
      </c>
      <c r="B1010" t="inlineStr">
        <is>
          <t>B59</t>
        </is>
      </c>
      <c r="C1010" t="n">
        <v>59</v>
      </c>
      <c r="D1010" t="n">
        <v>2</v>
      </c>
      <c r="E1010" t="inlineStr">
        <is>
          <t>Input</t>
        </is>
      </c>
      <c r="F1010" t="n">
        <v/>
      </c>
      <c r="G1010" t="n">
        <v>56316.75</v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11</v>
      </c>
      <c r="M1010" t="inlineStr">
        <is>
          <t>Values must be of type &lt;class 'str'&gt;</t>
        </is>
      </c>
      <c r="N1010" t="inlineStr">
        <is>
          <t>00000000</t>
        </is>
      </c>
      <c r="O1010" t="n">
        <v/>
      </c>
      <c r="R1010" t="b">
        <v>1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</row>
    <row r="1011">
      <c r="A1011" t="inlineStr">
        <is>
          <t>ATF Fuel 2</t>
        </is>
      </c>
      <c r="B1011" t="inlineStr">
        <is>
          <t>C59</t>
        </is>
      </c>
      <c r="C1011" t="n">
        <v>59</v>
      </c>
      <c r="D1011" t="n">
        <v>3</v>
      </c>
      <c r="E1011" t="inlineStr">
        <is>
          <t>Output</t>
        </is>
      </c>
      <c r="F1011" t="inlineStr">
        <is>
          <t>'=B59/B58-1</t>
        </is>
      </c>
      <c r="G1011" t="n">
        <v>-0.1220399095798581</v>
      </c>
      <c r="H1011" t="inlineStr"/>
      <c r="I1011" t="inlineStr">
        <is>
          <t>0%</t>
        </is>
      </c>
      <c r="J1011" t="b">
        <v>0</v>
      </c>
      <c r="K1011" t="b">
        <v>0</v>
      </c>
      <c r="L1011" t="n">
        <v>11</v>
      </c>
      <c r="M1011" t="n">
        <v/>
      </c>
      <c r="N1011" t="inlineStr">
        <is>
          <t>00000000</t>
        </is>
      </c>
      <c r="O1011" t="n">
        <v/>
      </c>
      <c r="R1011" t="b">
        <v>1</v>
      </c>
      <c r="S1011" t="inlineStr">
        <is>
          <t>G000154</t>
        </is>
      </c>
      <c r="T1011" t="inlineStr">
        <is>
          <t>Vertical</t>
        </is>
      </c>
      <c r="U1011" t="n">
        <v>92</v>
      </c>
      <c r="V1011" t="b">
        <v>1</v>
      </c>
      <c r="W1011" t="inlineStr">
        <is>
          <t>ATF Fuel 2!C3:C94</t>
        </is>
      </c>
      <c r="X1011">
        <f>R[0]C[-1]/R[-1]C[-1]-1</f>
        <v/>
      </c>
    </row>
    <row r="1012">
      <c r="A1012" t="inlineStr">
        <is>
          <t>ATF Fuel 2</t>
        </is>
      </c>
      <c r="B1012" t="inlineStr">
        <is>
          <t>D59</t>
        </is>
      </c>
      <c r="C1012" t="n">
        <v>59</v>
      </c>
      <c r="D1012" t="n">
        <v>4</v>
      </c>
      <c r="E1012" t="inlineStr">
        <is>
          <t>Input</t>
        </is>
      </c>
      <c r="F1012" t="n">
        <v/>
      </c>
      <c r="G1012" t="n">
        <v>63.17</v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11</v>
      </c>
      <c r="M1012" t="inlineStr">
        <is>
          <t>Values must be of type &lt;class 'str'&gt;</t>
        </is>
      </c>
      <c r="N1012" t="inlineStr">
        <is>
          <t>00000000</t>
        </is>
      </c>
      <c r="O1012" t="n">
        <v/>
      </c>
      <c r="R1012" t="b">
        <v>1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</row>
    <row r="1013">
      <c r="A1013" t="inlineStr">
        <is>
          <t>ATF Fuel 2</t>
        </is>
      </c>
      <c r="B1013" t="inlineStr">
        <is>
          <t>E59</t>
        </is>
      </c>
      <c r="C1013" t="n">
        <v>59</v>
      </c>
      <c r="D1013" t="n">
        <v>5</v>
      </c>
      <c r="E1013" t="inlineStr">
        <is>
          <t>Output</t>
        </is>
      </c>
      <c r="F1013" t="inlineStr">
        <is>
          <t>'=B59/B58-1</t>
        </is>
      </c>
      <c r="G1013" t="n">
        <v>-0.1220399095798581</v>
      </c>
      <c r="H1013" t="inlineStr"/>
      <c r="I1013" t="inlineStr">
        <is>
          <t>0%</t>
        </is>
      </c>
      <c r="J1013" t="b">
        <v>0</v>
      </c>
      <c r="K1013" t="b">
        <v>0</v>
      </c>
      <c r="L1013" t="n">
        <v>11</v>
      </c>
      <c r="M1013" t="inlineStr">
        <is>
          <t>Values must be of type &lt;class 'str'&gt;</t>
        </is>
      </c>
      <c r="N1013" t="inlineStr">
        <is>
          <t>00000000</t>
        </is>
      </c>
      <c r="O1013" t="n">
        <v/>
      </c>
      <c r="R1013" t="b">
        <v>1</v>
      </c>
      <c r="S1013" t="inlineStr">
        <is>
          <t>G000158</t>
        </is>
      </c>
      <c r="T1013" t="inlineStr">
        <is>
          <t>Vertical</t>
        </is>
      </c>
      <c r="U1013" t="n">
        <v>92</v>
      </c>
      <c r="V1013" t="b">
        <v>1</v>
      </c>
      <c r="W1013" t="inlineStr">
        <is>
          <t>ATF Fuel 2!E3:E94</t>
        </is>
      </c>
      <c r="X1013">
        <f>R[0]C[-3]/R[-1]C[-3]-1</f>
        <v/>
      </c>
    </row>
    <row r="1014">
      <c r="A1014" t="inlineStr">
        <is>
          <t>ATF Fuel 2</t>
        </is>
      </c>
      <c r="B1014" t="inlineStr">
        <is>
          <t>F59</t>
        </is>
      </c>
      <c r="C1014" t="n">
        <v>59</v>
      </c>
      <c r="D1014" t="n">
        <v>6</v>
      </c>
      <c r="E1014" t="inlineStr">
        <is>
          <t>Input</t>
        </is>
      </c>
      <c r="F1014" t="n">
        <v/>
      </c>
      <c r="G1014" t="n">
        <v>49.43</v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11</v>
      </c>
      <c r="M1014" t="inlineStr">
        <is>
          <t>Values must be of type &lt;class 'str'&gt;</t>
        </is>
      </c>
      <c r="N1014" t="inlineStr">
        <is>
          <t>00000000</t>
        </is>
      </c>
      <c r="O1014" t="n">
        <v/>
      </c>
      <c r="R1014" t="b">
        <v>1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</row>
    <row r="1015">
      <c r="A1015" t="inlineStr">
        <is>
          <t>ATF Fuel 2</t>
        </is>
      </c>
      <c r="B1015" t="inlineStr">
        <is>
          <t>G59</t>
        </is>
      </c>
      <c r="C1015" t="n">
        <v>59</v>
      </c>
      <c r="D1015" t="n">
        <v>7</v>
      </c>
      <c r="E1015" t="inlineStr">
        <is>
          <t>Output</t>
        </is>
      </c>
      <c r="F1015" t="inlineStr">
        <is>
          <t>'=F59/F58-1</t>
        </is>
      </c>
      <c r="G1015" t="n">
        <v>-0.2730882352941176</v>
      </c>
      <c r="H1015" t="inlineStr"/>
      <c r="I1015" t="inlineStr">
        <is>
          <t>0%</t>
        </is>
      </c>
      <c r="J1015" t="b">
        <v>0</v>
      </c>
      <c r="K1015" t="b">
        <v>0</v>
      </c>
      <c r="L1015" t="n">
        <v>11</v>
      </c>
      <c r="M1015" t="inlineStr">
        <is>
          <t>Values must be of type &lt;class 'str'&gt;</t>
        </is>
      </c>
      <c r="N1015" t="inlineStr">
        <is>
          <t>00000000</t>
        </is>
      </c>
      <c r="O1015" t="n">
        <v/>
      </c>
      <c r="R1015" t="b">
        <v>1</v>
      </c>
      <c r="S1015" t="inlineStr">
        <is>
          <t>G000155</t>
        </is>
      </c>
      <c r="T1015" t="inlineStr">
        <is>
          <t>Vertical</t>
        </is>
      </c>
      <c r="U1015" t="n">
        <v>93</v>
      </c>
      <c r="V1015" t="b">
        <v>1</v>
      </c>
      <c r="W1015" t="inlineStr">
        <is>
          <t>ATF Fuel 2!G3:G95</t>
        </is>
      </c>
      <c r="X1015">
        <f>R[0]C[-1]/R[-1]C[-1]-1</f>
        <v/>
      </c>
    </row>
    <row r="1016">
      <c r="A1016" t="inlineStr">
        <is>
          <t>ATF Fuel 2</t>
        </is>
      </c>
      <c r="B1016" t="inlineStr">
        <is>
          <t>H59</t>
        </is>
      </c>
      <c r="C1016" t="n">
        <v>59</v>
      </c>
      <c r="D1016" t="n">
        <v>8</v>
      </c>
      <c r="E1016" t="inlineStr">
        <is>
          <t>Calculation</t>
        </is>
      </c>
      <c r="F1016" t="inlineStr">
        <is>
          <t>'=D59*F59</t>
        </is>
      </c>
      <c r="G1016" t="n">
        <v>3122.4931</v>
      </c>
      <c r="H1016" t="inlineStr"/>
      <c r="I1016" t="inlineStr">
        <is>
          <t>0</t>
        </is>
      </c>
      <c r="J1016" t="b">
        <v>0</v>
      </c>
      <c r="K1016" t="b">
        <v>0</v>
      </c>
      <c r="L1016" t="n">
        <v>11</v>
      </c>
      <c r="M1016" t="inlineStr">
        <is>
          <t>Values must be of type &lt;class 'str'&gt;</t>
        </is>
      </c>
      <c r="N1016" t="inlineStr">
        <is>
          <t>00000000</t>
        </is>
      </c>
      <c r="O1016" t="n">
        <v/>
      </c>
      <c r="R1016" t="b">
        <v>1</v>
      </c>
      <c r="S1016" t="inlineStr">
        <is>
          <t>G000152</t>
        </is>
      </c>
      <c r="T1016" t="inlineStr">
        <is>
          <t>Vertical</t>
        </is>
      </c>
      <c r="U1016" t="n">
        <v>98</v>
      </c>
      <c r="V1016" t="b">
        <v>1</v>
      </c>
      <c r="W1016" t="inlineStr">
        <is>
          <t>ATF Fuel 2!H2:H99</t>
        </is>
      </c>
      <c r="X1016">
        <f>R[0]C[-4]*R[0]C[-2]</f>
        <v/>
      </c>
    </row>
    <row r="1017">
      <c r="A1017" t="inlineStr">
        <is>
          <t>ATF Fuel 2</t>
        </is>
      </c>
      <c r="B1017" t="inlineStr">
        <is>
          <t>I59</t>
        </is>
      </c>
      <c r="C1017" t="n">
        <v>59</v>
      </c>
      <c r="D1017" t="n">
        <v>9</v>
      </c>
      <c r="E1017" t="inlineStr">
        <is>
          <t>Output</t>
        </is>
      </c>
      <c r="F1017" t="inlineStr">
        <is>
          <t>'=H59/H58-1</t>
        </is>
      </c>
      <c r="G1017" t="n">
        <v>-0.2623451216631231</v>
      </c>
      <c r="H1017" t="inlineStr"/>
      <c r="I1017" t="inlineStr">
        <is>
          <t>0%</t>
        </is>
      </c>
      <c r="J1017" t="b">
        <v>0</v>
      </c>
      <c r="K1017" t="b">
        <v>0</v>
      </c>
      <c r="L1017" t="n">
        <v>11</v>
      </c>
      <c r="M1017" t="inlineStr">
        <is>
          <t>FFFF0000</t>
        </is>
      </c>
      <c r="N1017" t="inlineStr">
        <is>
          <t>00000000</t>
        </is>
      </c>
      <c r="O1017" t="n">
        <v/>
      </c>
      <c r="R1017" t="b">
        <v>1</v>
      </c>
      <c r="S1017" t="inlineStr">
        <is>
          <t>G000156</t>
        </is>
      </c>
      <c r="T1017" t="inlineStr">
        <is>
          <t>Vertical</t>
        </is>
      </c>
      <c r="U1017" t="n">
        <v>97</v>
      </c>
      <c r="V1017" t="b">
        <v>1</v>
      </c>
      <c r="W1017" t="inlineStr">
        <is>
          <t>ATF Fuel 2!I3:I99</t>
        </is>
      </c>
      <c r="X1017">
        <f>R[0]C[-1]/R[-1]C[-1]-1</f>
        <v/>
      </c>
    </row>
    <row r="1018">
      <c r="A1018" t="inlineStr">
        <is>
          <t>ATF Fuel 2</t>
        </is>
      </c>
      <c r="B1018" t="inlineStr">
        <is>
          <t>J59</t>
        </is>
      </c>
      <c r="C1018" t="n">
        <v>59</v>
      </c>
      <c r="D1018" t="n">
        <v>10</v>
      </c>
      <c r="E1018" t="inlineStr">
        <is>
          <t>Input</t>
        </is>
      </c>
      <c r="F1018" t="n">
        <v/>
      </c>
      <c r="G1018" t="n">
        <v>53.45</v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11</v>
      </c>
      <c r="M1018" t="inlineStr">
        <is>
          <t>Values must be of type &lt;class 'str'&gt;</t>
        </is>
      </c>
      <c r="N1018" t="inlineStr">
        <is>
          <t>00000000</t>
        </is>
      </c>
      <c r="O1018" t="n">
        <v/>
      </c>
      <c r="R1018" t="b">
        <v>1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</row>
    <row r="1019">
      <c r="A1019" t="inlineStr">
        <is>
          <t>ATF Fuel 2</t>
        </is>
      </c>
      <c r="B1019" t="inlineStr">
        <is>
          <t>K59</t>
        </is>
      </c>
      <c r="C1019" t="n">
        <v>59</v>
      </c>
      <c r="D1019" t="n">
        <v>11</v>
      </c>
      <c r="E1019" t="inlineStr">
        <is>
          <t>Output</t>
        </is>
      </c>
      <c r="F1019" t="inlineStr">
        <is>
          <t>'=J59/J58-1</t>
        </is>
      </c>
      <c r="G1019" t="n">
        <v>-0.2251377210785735</v>
      </c>
      <c r="H1019" t="inlineStr"/>
      <c r="I1019" t="inlineStr">
        <is>
          <t>0%</t>
        </is>
      </c>
      <c r="J1019" t="b">
        <v>0</v>
      </c>
      <c r="K1019" t="b">
        <v>0</v>
      </c>
      <c r="L1019" t="n">
        <v>11</v>
      </c>
      <c r="M1019" t="inlineStr">
        <is>
          <t>Values must be of type &lt;class 'str'&gt;</t>
        </is>
      </c>
      <c r="N1019" t="inlineStr">
        <is>
          <t>00000000</t>
        </is>
      </c>
      <c r="O1019" t="n">
        <v/>
      </c>
      <c r="R1019" t="b">
        <v>1</v>
      </c>
      <c r="S1019" t="inlineStr">
        <is>
          <t>G000157</t>
        </is>
      </c>
      <c r="T1019" t="inlineStr">
        <is>
          <t>Vertical</t>
        </is>
      </c>
      <c r="U1019" t="n">
        <v>93</v>
      </c>
      <c r="V1019" t="b">
        <v>1</v>
      </c>
      <c r="W1019" t="inlineStr">
        <is>
          <t>ATF Fuel 2!K3:K95</t>
        </is>
      </c>
      <c r="X1019">
        <f>R[0]C[-1]/R[-1]C[-1]-1</f>
        <v/>
      </c>
    </row>
    <row r="1020">
      <c r="A1020" t="inlineStr">
        <is>
          <t>ATF Fuel 2</t>
        </is>
      </c>
      <c r="B1020" t="inlineStr">
        <is>
          <t>L59</t>
        </is>
      </c>
      <c r="C1020" t="n">
        <v>59</v>
      </c>
      <c r="D1020" t="n">
        <v>12</v>
      </c>
      <c r="E1020" t="inlineStr">
        <is>
          <t>Input</t>
        </is>
      </c>
      <c r="F1020" t="n">
        <v/>
      </c>
      <c r="G1020" t="inlineStr">
        <is>
          <t>January 01, 2015</t>
        </is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11</v>
      </c>
      <c r="M1020" t="inlineStr">
        <is>
          <t>Values must be of type &lt;class 'str'&gt;</t>
        </is>
      </c>
      <c r="N1020" t="inlineStr">
        <is>
          <t>00000000</t>
        </is>
      </c>
      <c r="O1020" t="inlineStr">
        <is>
          <t>left</t>
        </is>
      </c>
      <c r="R1020" t="b">
        <v>1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</row>
    <row r="1021">
      <c r="A1021" t="inlineStr">
        <is>
          <t>ATF Fuel 2</t>
        </is>
      </c>
      <c r="B1021" t="inlineStr">
        <is>
          <t>M59</t>
        </is>
      </c>
      <c r="C1021" t="n">
        <v>59</v>
      </c>
      <c r="D1021" t="n">
        <v>13</v>
      </c>
      <c r="E1021" t="inlineStr">
        <is>
          <t>Calculation</t>
        </is>
      </c>
      <c r="F1021" t="inlineStr">
        <is>
          <t>'=(1+(B59/B58)-1)*M58</t>
        </is>
      </c>
      <c r="G1021" t="n">
        <v>126.9487415440341</v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11</v>
      </c>
      <c r="M1021" t="inlineStr">
        <is>
          <t>Values must be of type &lt;class 'str'&gt;</t>
        </is>
      </c>
      <c r="N1021" t="inlineStr">
        <is>
          <t>00000000</t>
        </is>
      </c>
      <c r="O1021" t="inlineStr">
        <is>
          <t>left</t>
        </is>
      </c>
      <c r="R1021" t="b">
        <v>1</v>
      </c>
      <c r="S1021" t="inlineStr">
        <is>
          <t>G000159</t>
        </is>
      </c>
      <c r="T1021" t="inlineStr">
        <is>
          <t>Vertical</t>
        </is>
      </c>
      <c r="U1021" t="n">
        <v>92</v>
      </c>
      <c r="V1021" t="b">
        <v>1</v>
      </c>
      <c r="W1021" t="inlineStr">
        <is>
          <t>ATF Fuel 2!M3:M94</t>
        </is>
      </c>
      <c r="X1021">
        <f>(1+(R[0]C[-11]/R[-1]C[-11])-1)*R[-1]C[0]</f>
        <v/>
      </c>
    </row>
    <row r="1022">
      <c r="A1022" t="inlineStr">
        <is>
          <t>ATF Fuel 2</t>
        </is>
      </c>
      <c r="B1022" t="inlineStr">
        <is>
          <t>N59</t>
        </is>
      </c>
      <c r="C1022" t="n">
        <v>59</v>
      </c>
      <c r="D1022" t="n">
        <v>14</v>
      </c>
      <c r="E1022" t="inlineStr">
        <is>
          <t>Calculation</t>
        </is>
      </c>
      <c r="F1022" t="inlineStr">
        <is>
          <t>'=(1+(F59/F58)-1)*N58</t>
        </is>
      </c>
      <c r="G1022" t="n">
        <v>59.82088829722867</v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11</v>
      </c>
      <c r="M1022" t="inlineStr">
        <is>
          <t>Values must be of type &lt;class 'str'&gt;</t>
        </is>
      </c>
      <c r="N1022" t="inlineStr">
        <is>
          <t>00000000</t>
        </is>
      </c>
      <c r="O1022" t="inlineStr">
        <is>
          <t>left</t>
        </is>
      </c>
      <c r="R1022" t="b">
        <v>1</v>
      </c>
      <c r="S1022" t="inlineStr">
        <is>
          <t>G000160</t>
        </is>
      </c>
      <c r="T1022" t="inlineStr">
        <is>
          <t>Vertical</t>
        </is>
      </c>
      <c r="U1022" t="n">
        <v>92</v>
      </c>
      <c r="V1022" t="b">
        <v>1</v>
      </c>
      <c r="W1022" t="inlineStr">
        <is>
          <t>ATF Fuel 2!N3:N94</t>
        </is>
      </c>
      <c r="X1022">
        <f>(1+(R[0]C[-8]/R[-1]C[-8])-1)*R[-1]C[0]</f>
        <v/>
      </c>
    </row>
    <row r="1023">
      <c r="A1023" t="inlineStr">
        <is>
          <t>ATF Fuel 2</t>
        </is>
      </c>
      <c r="B1023" t="inlineStr">
        <is>
          <t>O59</t>
        </is>
      </c>
      <c r="C1023" t="n">
        <v>59</v>
      </c>
      <c r="D1023" t="n">
        <v>15</v>
      </c>
      <c r="E1023" t="inlineStr">
        <is>
          <t>Calculation</t>
        </is>
      </c>
      <c r="F1023" t="inlineStr">
        <is>
          <t>'=(1+(J59/J58)-1)*O58</t>
        </is>
      </c>
      <c r="G1023" t="n">
        <v>63.23198864308532</v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11</v>
      </c>
      <c r="M1023" t="inlineStr">
        <is>
          <t>Values must be of type &lt;class 'str'&gt;</t>
        </is>
      </c>
      <c r="N1023" t="inlineStr">
        <is>
          <t>00000000</t>
        </is>
      </c>
      <c r="O1023" t="inlineStr">
        <is>
          <t>left</t>
        </is>
      </c>
      <c r="R1023" t="b">
        <v>1</v>
      </c>
      <c r="S1023" t="inlineStr">
        <is>
          <t>G000162</t>
        </is>
      </c>
      <c r="T1023" t="inlineStr">
        <is>
          <t>Vertical</t>
        </is>
      </c>
      <c r="U1023" t="n">
        <v>92</v>
      </c>
      <c r="V1023" t="b">
        <v>1</v>
      </c>
      <c r="W1023" t="inlineStr">
        <is>
          <t>ATF Fuel 2!O3:O94</t>
        </is>
      </c>
      <c r="X1023">
        <f>(1+(R[0]C[-5]/R[-1]C[-5])-1)*R[-1]C[0]</f>
        <v/>
      </c>
    </row>
    <row r="1024">
      <c r="A1024" t="inlineStr">
        <is>
          <t>ATF Fuel 2</t>
        </is>
      </c>
      <c r="B1024" t="inlineStr">
        <is>
          <t>P59</t>
        </is>
      </c>
      <c r="C1024" t="n">
        <v>59</v>
      </c>
      <c r="D1024" t="n">
        <v>16</v>
      </c>
      <c r="E1024" t="inlineStr">
        <is>
          <t>Calculation</t>
        </is>
      </c>
      <c r="F1024" t="inlineStr">
        <is>
          <t>'=(1+(H59/H58)-1)*P58</t>
        </is>
      </c>
      <c r="G1024" t="n">
        <v>84.42550298784481</v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11</v>
      </c>
      <c r="M1024" t="inlineStr">
        <is>
          <t>Values must be of type &lt;class 'str'&gt;</t>
        </is>
      </c>
      <c r="N1024" t="inlineStr">
        <is>
          <t>00000000</t>
        </is>
      </c>
      <c r="O1024" t="inlineStr">
        <is>
          <t>left</t>
        </is>
      </c>
      <c r="R1024" t="b">
        <v>1</v>
      </c>
      <c r="S1024" t="inlineStr">
        <is>
          <t>G000161</t>
        </is>
      </c>
      <c r="T1024" t="inlineStr">
        <is>
          <t>Vertical</t>
        </is>
      </c>
      <c r="U1024" t="n">
        <v>92</v>
      </c>
      <c r="V1024" t="b">
        <v>1</v>
      </c>
      <c r="W1024" t="inlineStr">
        <is>
          <t>ATF Fuel 2!P3:P94</t>
        </is>
      </c>
      <c r="X1024">
        <f>(1+(R[0]C[-8]/R[-1]C[-8])-1)*R[-1]C[0]</f>
        <v/>
      </c>
    </row>
    <row r="1025">
      <c r="A1025" t="inlineStr">
        <is>
          <t>ATF Fuel 2</t>
        </is>
      </c>
      <c r="B1025" t="inlineStr">
        <is>
          <t>Q59</t>
        </is>
      </c>
      <c r="C1025" t="n">
        <v>59</v>
      </c>
      <c r="D1025" t="n">
        <v>17</v>
      </c>
      <c r="E1025" t="inlineStr">
        <is>
          <t>Output</t>
        </is>
      </c>
      <c r="F1025" t="inlineStr">
        <is>
          <t>'=M59/N59-1</t>
        </is>
      </c>
      <c r="G1025" t="n">
        <v>1.122147382922017</v>
      </c>
      <c r="H1025" t="inlineStr"/>
      <c r="I1025" t="inlineStr">
        <is>
          <t>0.0%</t>
        </is>
      </c>
      <c r="J1025" t="b">
        <v>0</v>
      </c>
      <c r="K1025" t="b">
        <v>0</v>
      </c>
      <c r="L1025" t="n">
        <v>11</v>
      </c>
      <c r="M1025" t="inlineStr">
        <is>
          <t>Values must be of type &lt;class 'str'&gt;</t>
        </is>
      </c>
      <c r="N1025" t="inlineStr">
        <is>
          <t>00000000</t>
        </is>
      </c>
      <c r="O1025" t="n">
        <v/>
      </c>
      <c r="R1025" t="b">
        <v>1</v>
      </c>
      <c r="S1025" t="inlineStr">
        <is>
          <t>G000153</t>
        </is>
      </c>
      <c r="T1025" t="inlineStr">
        <is>
          <t>Vertical</t>
        </is>
      </c>
      <c r="U1025" t="n">
        <v>93</v>
      </c>
      <c r="V1025" t="b">
        <v>1</v>
      </c>
      <c r="W1025" t="inlineStr">
        <is>
          <t>ATF Fuel 2!Q2:Q94</t>
        </is>
      </c>
      <c r="X1025">
        <f>R[0]C[-4]/R[0]C[-3]-1</f>
        <v/>
      </c>
    </row>
    <row r="1026">
      <c r="A1026" t="inlineStr">
        <is>
          <t>ATF Fuel 2</t>
        </is>
      </c>
      <c r="B1026" t="inlineStr">
        <is>
          <t>A60</t>
        </is>
      </c>
      <c r="C1026" t="n">
        <v>60</v>
      </c>
      <c r="D1026" t="n">
        <v>1</v>
      </c>
      <c r="E1026" t="inlineStr">
        <is>
          <t>Input</t>
        </is>
      </c>
      <c r="F1026" t="n">
        <v/>
      </c>
      <c r="G1026" t="inlineStr">
        <is>
          <t>February 01, 2015</t>
        </is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11</v>
      </c>
      <c r="M1026" t="inlineStr">
        <is>
          <t>Values must be of type &lt;class 'str'&gt;</t>
        </is>
      </c>
      <c r="N1026" t="inlineStr">
        <is>
          <t>00000000</t>
        </is>
      </c>
      <c r="O1026" t="n">
        <v/>
      </c>
      <c r="R1026" t="b">
        <v>1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</row>
    <row r="1027">
      <c r="A1027" t="inlineStr">
        <is>
          <t>ATF Fuel 2</t>
        </is>
      </c>
      <c r="B1027" t="inlineStr">
        <is>
          <t>B60</t>
        </is>
      </c>
      <c r="C1027" t="n">
        <v>60</v>
      </c>
      <c r="D1027" t="n">
        <v>2</v>
      </c>
      <c r="E1027" t="inlineStr">
        <is>
          <t>Input</t>
        </is>
      </c>
      <c r="F1027" t="n">
        <v/>
      </c>
      <c r="G1027" t="n">
        <v>50207.86</v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11</v>
      </c>
      <c r="M1027" t="inlineStr">
        <is>
          <t>Values must be of type &lt;class 'str'&gt;</t>
        </is>
      </c>
      <c r="N1027" t="inlineStr">
        <is>
          <t>00000000</t>
        </is>
      </c>
      <c r="O1027" t="n">
        <v/>
      </c>
      <c r="R1027" t="b">
        <v>1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</row>
    <row r="1028">
      <c r="A1028" t="inlineStr">
        <is>
          <t>ATF Fuel 2</t>
        </is>
      </c>
      <c r="B1028" t="inlineStr">
        <is>
          <t>C60</t>
        </is>
      </c>
      <c r="C1028" t="n">
        <v>60</v>
      </c>
      <c r="D1028" t="n">
        <v>3</v>
      </c>
      <c r="E1028" t="inlineStr">
        <is>
          <t>Output</t>
        </is>
      </c>
      <c r="F1028" t="inlineStr">
        <is>
          <t>'=B60/B59-1</t>
        </is>
      </c>
      <c r="G1028" t="n">
        <v>-0.1084737666857551</v>
      </c>
      <c r="H1028" t="inlineStr"/>
      <c r="I1028" t="inlineStr">
        <is>
          <t>0%</t>
        </is>
      </c>
      <c r="J1028" t="b">
        <v>0</v>
      </c>
      <c r="K1028" t="b">
        <v>0</v>
      </c>
      <c r="L1028" t="n">
        <v>11</v>
      </c>
      <c r="M1028" t="n">
        <v/>
      </c>
      <c r="N1028" t="inlineStr">
        <is>
          <t>00000000</t>
        </is>
      </c>
      <c r="O1028" t="n">
        <v/>
      </c>
      <c r="R1028" t="b">
        <v>1</v>
      </c>
      <c r="S1028" t="inlineStr">
        <is>
          <t>G000154</t>
        </is>
      </c>
      <c r="T1028" t="inlineStr">
        <is>
          <t>Vertical</t>
        </is>
      </c>
      <c r="U1028" t="n">
        <v>92</v>
      </c>
      <c r="V1028" t="b">
        <v>1</v>
      </c>
      <c r="W1028" t="inlineStr">
        <is>
          <t>ATF Fuel 2!C3:C94</t>
        </is>
      </c>
      <c r="X1028">
        <f>R[0]C[-1]/R[-1]C[-1]-1</f>
        <v/>
      </c>
    </row>
    <row r="1029">
      <c r="A1029" t="inlineStr">
        <is>
          <t>ATF Fuel 2</t>
        </is>
      </c>
      <c r="B1029" t="inlineStr">
        <is>
          <t>D60</t>
        </is>
      </c>
      <c r="C1029" t="n">
        <v>60</v>
      </c>
      <c r="D1029" t="n">
        <v>4</v>
      </c>
      <c r="E1029" t="inlineStr">
        <is>
          <t>Input</t>
        </is>
      </c>
      <c r="F1029" t="n">
        <v/>
      </c>
      <c r="G1029" t="n">
        <v>62</v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11</v>
      </c>
      <c r="M1029" t="inlineStr">
        <is>
          <t>Values must be of type &lt;class 'str'&gt;</t>
        </is>
      </c>
      <c r="N1029" t="inlineStr">
        <is>
          <t>00000000</t>
        </is>
      </c>
      <c r="O1029" t="n">
        <v/>
      </c>
      <c r="R1029" t="b">
        <v>1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</row>
    <row r="1030">
      <c r="A1030" t="inlineStr">
        <is>
          <t>ATF Fuel 2</t>
        </is>
      </c>
      <c r="B1030" t="inlineStr">
        <is>
          <t>E60</t>
        </is>
      </c>
      <c r="C1030" t="n">
        <v>60</v>
      </c>
      <c r="D1030" t="n">
        <v>5</v>
      </c>
      <c r="E1030" t="inlineStr">
        <is>
          <t>Output</t>
        </is>
      </c>
      <c r="F1030" t="inlineStr">
        <is>
          <t>'=B60/B59-1</t>
        </is>
      </c>
      <c r="G1030" t="n">
        <v>-0.1084737666857551</v>
      </c>
      <c r="H1030" t="inlineStr"/>
      <c r="I1030" t="inlineStr">
        <is>
          <t>0%</t>
        </is>
      </c>
      <c r="J1030" t="b">
        <v>0</v>
      </c>
      <c r="K1030" t="b">
        <v>0</v>
      </c>
      <c r="L1030" t="n">
        <v>11</v>
      </c>
      <c r="M1030" t="inlineStr">
        <is>
          <t>Values must be of type &lt;class 'str'&gt;</t>
        </is>
      </c>
      <c r="N1030" t="inlineStr">
        <is>
          <t>00000000</t>
        </is>
      </c>
      <c r="O1030" t="n">
        <v/>
      </c>
      <c r="R1030" t="b">
        <v>1</v>
      </c>
      <c r="S1030" t="inlineStr">
        <is>
          <t>G000158</t>
        </is>
      </c>
      <c r="T1030" t="inlineStr">
        <is>
          <t>Vertical</t>
        </is>
      </c>
      <c r="U1030" t="n">
        <v>92</v>
      </c>
      <c r="V1030" t="b">
        <v>1</v>
      </c>
      <c r="W1030" t="inlineStr">
        <is>
          <t>ATF Fuel 2!E3:E94</t>
        </is>
      </c>
      <c r="X1030">
        <f>R[0]C[-3]/R[-1]C[-3]-1</f>
        <v/>
      </c>
    </row>
    <row r="1031">
      <c r="A1031" t="inlineStr">
        <is>
          <t>ATF Fuel 2</t>
        </is>
      </c>
      <c r="B1031" t="inlineStr">
        <is>
          <t>F60</t>
        </is>
      </c>
      <c r="C1031" t="n">
        <v>60</v>
      </c>
      <c r="D1031" t="n">
        <v>6</v>
      </c>
      <c r="E1031" t="inlineStr">
        <is>
          <t>Input</t>
        </is>
      </c>
      <c r="F1031" t="n">
        <v/>
      </c>
      <c r="G1031" t="n">
        <v>57</v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11</v>
      </c>
      <c r="M1031" t="inlineStr">
        <is>
          <t>Values must be of type &lt;class 'str'&gt;</t>
        </is>
      </c>
      <c r="N1031" t="inlineStr">
        <is>
          <t>00000000</t>
        </is>
      </c>
      <c r="O1031" t="n">
        <v/>
      </c>
      <c r="R1031" t="b">
        <v>1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</row>
    <row r="1032">
      <c r="A1032" t="inlineStr">
        <is>
          <t>ATF Fuel 2</t>
        </is>
      </c>
      <c r="B1032" t="inlineStr">
        <is>
          <t>G60</t>
        </is>
      </c>
      <c r="C1032" t="n">
        <v>60</v>
      </c>
      <c r="D1032" t="n">
        <v>7</v>
      </c>
      <c r="E1032" t="inlineStr">
        <is>
          <t>Output</t>
        </is>
      </c>
      <c r="F1032" t="inlineStr">
        <is>
          <t>'=F60/F59-1</t>
        </is>
      </c>
      <c r="G1032" t="n">
        <v>0.1531458628363342</v>
      </c>
      <c r="H1032" t="inlineStr"/>
      <c r="I1032" t="inlineStr">
        <is>
          <t>0%</t>
        </is>
      </c>
      <c r="J1032" t="b">
        <v>0</v>
      </c>
      <c r="K1032" t="b">
        <v>0</v>
      </c>
      <c r="L1032" t="n">
        <v>11</v>
      </c>
      <c r="M1032" t="inlineStr">
        <is>
          <t>Values must be of type &lt;class 'str'&gt;</t>
        </is>
      </c>
      <c r="N1032" t="inlineStr">
        <is>
          <t>00000000</t>
        </is>
      </c>
      <c r="O1032" t="n">
        <v/>
      </c>
      <c r="R1032" t="b">
        <v>1</v>
      </c>
      <c r="S1032" t="inlineStr">
        <is>
          <t>G000155</t>
        </is>
      </c>
      <c r="T1032" t="inlineStr">
        <is>
          <t>Vertical</t>
        </is>
      </c>
      <c r="U1032" t="n">
        <v>93</v>
      </c>
      <c r="V1032" t="b">
        <v>1</v>
      </c>
      <c r="W1032" t="inlineStr">
        <is>
          <t>ATF Fuel 2!G3:G95</t>
        </is>
      </c>
      <c r="X1032">
        <f>R[0]C[-1]/R[-1]C[-1]-1</f>
        <v/>
      </c>
    </row>
    <row r="1033">
      <c r="A1033" t="inlineStr">
        <is>
          <t>ATF Fuel 2</t>
        </is>
      </c>
      <c r="B1033" t="inlineStr">
        <is>
          <t>H60</t>
        </is>
      </c>
      <c r="C1033" t="n">
        <v>60</v>
      </c>
      <c r="D1033" t="n">
        <v>8</v>
      </c>
      <c r="E1033" t="inlineStr">
        <is>
          <t>Calculation</t>
        </is>
      </c>
      <c r="F1033" t="inlineStr">
        <is>
          <t>'=D60*F60</t>
        </is>
      </c>
      <c r="G1033" t="n">
        <v>3534</v>
      </c>
      <c r="H1033" t="inlineStr"/>
      <c r="I1033" t="inlineStr">
        <is>
          <t>0</t>
        </is>
      </c>
      <c r="J1033" t="b">
        <v>0</v>
      </c>
      <c r="K1033" t="b">
        <v>0</v>
      </c>
      <c r="L1033" t="n">
        <v>11</v>
      </c>
      <c r="M1033" t="inlineStr">
        <is>
          <t>Values must be of type &lt;class 'str'&gt;</t>
        </is>
      </c>
      <c r="N1033" t="inlineStr">
        <is>
          <t>00000000</t>
        </is>
      </c>
      <c r="O1033" t="n">
        <v/>
      </c>
      <c r="R1033" t="b">
        <v>1</v>
      </c>
      <c r="S1033" t="inlineStr">
        <is>
          <t>G000152</t>
        </is>
      </c>
      <c r="T1033" t="inlineStr">
        <is>
          <t>Vertical</t>
        </is>
      </c>
      <c r="U1033" t="n">
        <v>98</v>
      </c>
      <c r="V1033" t="b">
        <v>1</v>
      </c>
      <c r="W1033" t="inlineStr">
        <is>
          <t>ATF Fuel 2!H2:H99</t>
        </is>
      </c>
      <c r="X1033">
        <f>R[0]C[-4]*R[0]C[-2]</f>
        <v/>
      </c>
    </row>
    <row r="1034">
      <c r="A1034" t="inlineStr">
        <is>
          <t>ATF Fuel 2</t>
        </is>
      </c>
      <c r="B1034" t="inlineStr">
        <is>
          <t>I60</t>
        </is>
      </c>
      <c r="C1034" t="n">
        <v>60</v>
      </c>
      <c r="D1034" t="n">
        <v>9</v>
      </c>
      <c r="E1034" t="inlineStr">
        <is>
          <t>Output</t>
        </is>
      </c>
      <c r="F1034" t="inlineStr">
        <is>
          <t>'=H60/H59-1</t>
        </is>
      </c>
      <c r="G1034" t="n">
        <v>0.131787929331213</v>
      </c>
      <c r="H1034" t="inlineStr"/>
      <c r="I1034" t="inlineStr">
        <is>
          <t>0%</t>
        </is>
      </c>
      <c r="J1034" t="b">
        <v>0</v>
      </c>
      <c r="K1034" t="b">
        <v>0</v>
      </c>
      <c r="L1034" t="n">
        <v>11</v>
      </c>
      <c r="M1034" t="inlineStr">
        <is>
          <t>FFFF0000</t>
        </is>
      </c>
      <c r="N1034" t="inlineStr">
        <is>
          <t>00000000</t>
        </is>
      </c>
      <c r="O1034" t="n">
        <v/>
      </c>
      <c r="R1034" t="b">
        <v>1</v>
      </c>
      <c r="S1034" t="inlineStr">
        <is>
          <t>G000156</t>
        </is>
      </c>
      <c r="T1034" t="inlineStr">
        <is>
          <t>Vertical</t>
        </is>
      </c>
      <c r="U1034" t="n">
        <v>97</v>
      </c>
      <c r="V1034" t="b">
        <v>1</v>
      </c>
      <c r="W1034" t="inlineStr">
        <is>
          <t>ATF Fuel 2!I3:I99</t>
        </is>
      </c>
      <c r="X1034">
        <f>R[0]C[-1]/R[-1]C[-1]-1</f>
        <v/>
      </c>
    </row>
    <row r="1035">
      <c r="A1035" t="inlineStr">
        <is>
          <t>ATF Fuel 2</t>
        </is>
      </c>
      <c r="B1035" t="inlineStr">
        <is>
          <t>J60</t>
        </is>
      </c>
      <c r="C1035" t="n">
        <v>60</v>
      </c>
      <c r="D1035" t="n">
        <v>10</v>
      </c>
      <c r="E1035" t="inlineStr">
        <is>
          <t>Input</t>
        </is>
      </c>
      <c r="F1035" t="n">
        <v/>
      </c>
      <c r="G1035" t="n">
        <v>49.25</v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11</v>
      </c>
      <c r="M1035" t="inlineStr">
        <is>
          <t>Values must be of type &lt;class 'str'&gt;</t>
        </is>
      </c>
      <c r="N1035" t="inlineStr">
        <is>
          <t>00000000</t>
        </is>
      </c>
      <c r="O1035" t="n">
        <v/>
      </c>
      <c r="R1035" t="b">
        <v>1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</row>
    <row r="1036">
      <c r="A1036" t="inlineStr">
        <is>
          <t>ATF Fuel 2</t>
        </is>
      </c>
      <c r="B1036" t="inlineStr">
        <is>
          <t>K60</t>
        </is>
      </c>
      <c r="C1036" t="n">
        <v>60</v>
      </c>
      <c r="D1036" t="n">
        <v>11</v>
      </c>
      <c r="E1036" t="inlineStr">
        <is>
          <t>Output</t>
        </is>
      </c>
      <c r="F1036" t="inlineStr">
        <is>
          <t>'=J60/J59-1</t>
        </is>
      </c>
      <c r="G1036" t="n">
        <v>-0.07857811038353602</v>
      </c>
      <c r="H1036" t="inlineStr"/>
      <c r="I1036" t="inlineStr">
        <is>
          <t>0%</t>
        </is>
      </c>
      <c r="J1036" t="b">
        <v>0</v>
      </c>
      <c r="K1036" t="b">
        <v>0</v>
      </c>
      <c r="L1036" t="n">
        <v>11</v>
      </c>
      <c r="M1036" t="inlineStr">
        <is>
          <t>Values must be of type &lt;class 'str'&gt;</t>
        </is>
      </c>
      <c r="N1036" t="inlineStr">
        <is>
          <t>00000000</t>
        </is>
      </c>
      <c r="O1036" t="n">
        <v/>
      </c>
      <c r="R1036" t="b">
        <v>1</v>
      </c>
      <c r="S1036" t="inlineStr">
        <is>
          <t>G000157</t>
        </is>
      </c>
      <c r="T1036" t="inlineStr">
        <is>
          <t>Vertical</t>
        </is>
      </c>
      <c r="U1036" t="n">
        <v>93</v>
      </c>
      <c r="V1036" t="b">
        <v>1</v>
      </c>
      <c r="W1036" t="inlineStr">
        <is>
          <t>ATF Fuel 2!K3:K95</t>
        </is>
      </c>
      <c r="X1036">
        <f>R[0]C[-1]/R[-1]C[-1]-1</f>
        <v/>
      </c>
    </row>
    <row r="1037">
      <c r="A1037" t="inlineStr">
        <is>
          <t>ATF Fuel 2</t>
        </is>
      </c>
      <c r="B1037" t="inlineStr">
        <is>
          <t>L60</t>
        </is>
      </c>
      <c r="C1037" t="n">
        <v>60</v>
      </c>
      <c r="D1037" t="n">
        <v>12</v>
      </c>
      <c r="E1037" t="inlineStr">
        <is>
          <t>Input</t>
        </is>
      </c>
      <c r="F1037" t="n">
        <v/>
      </c>
      <c r="G1037" t="inlineStr">
        <is>
          <t>February 01, 2015</t>
        </is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11</v>
      </c>
      <c r="M1037" t="inlineStr">
        <is>
          <t>Values must be of type &lt;class 'str'&gt;</t>
        </is>
      </c>
      <c r="N1037" t="inlineStr">
        <is>
          <t>00000000</t>
        </is>
      </c>
      <c r="O1037" t="inlineStr">
        <is>
          <t>left</t>
        </is>
      </c>
      <c r="R1037" t="b">
        <v>1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</row>
    <row r="1038">
      <c r="A1038" t="inlineStr">
        <is>
          <t>ATF Fuel 2</t>
        </is>
      </c>
      <c r="B1038" t="inlineStr">
        <is>
          <t>M60</t>
        </is>
      </c>
      <c r="C1038" t="n">
        <v>60</v>
      </c>
      <c r="D1038" t="n">
        <v>13</v>
      </c>
      <c r="E1038" t="inlineStr">
        <is>
          <t>Calculation</t>
        </is>
      </c>
      <c r="F1038" t="inlineStr">
        <is>
          <t>'=(1+(B60/B59)-1)*M59</t>
        </is>
      </c>
      <c r="G1038" t="n">
        <v>113.1781333727363</v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11</v>
      </c>
      <c r="M1038" t="inlineStr">
        <is>
          <t>Values must be of type &lt;class 'str'&gt;</t>
        </is>
      </c>
      <c r="N1038" t="inlineStr">
        <is>
          <t>00000000</t>
        </is>
      </c>
      <c r="O1038" t="inlineStr">
        <is>
          <t>left</t>
        </is>
      </c>
      <c r="R1038" t="b">
        <v>1</v>
      </c>
      <c r="S1038" t="inlineStr">
        <is>
          <t>G000159</t>
        </is>
      </c>
      <c r="T1038" t="inlineStr">
        <is>
          <t>Vertical</t>
        </is>
      </c>
      <c r="U1038" t="n">
        <v>92</v>
      </c>
      <c r="V1038" t="b">
        <v>1</v>
      </c>
      <c r="W1038" t="inlineStr">
        <is>
          <t>ATF Fuel 2!M3:M94</t>
        </is>
      </c>
      <c r="X1038">
        <f>(1+(R[0]C[-11]/R[-1]C[-11])-1)*R[-1]C[0]</f>
        <v/>
      </c>
    </row>
    <row r="1039">
      <c r="A1039" t="inlineStr">
        <is>
          <t>ATF Fuel 2</t>
        </is>
      </c>
      <c r="B1039" t="inlineStr">
        <is>
          <t>N60</t>
        </is>
      </c>
      <c r="C1039" t="n">
        <v>60</v>
      </c>
      <c r="D1039" t="n">
        <v>14</v>
      </c>
      <c r="E1039" t="inlineStr">
        <is>
          <t>Calculation</t>
        </is>
      </c>
      <c r="F1039" t="inlineStr">
        <is>
          <t>'=(1+(F60/F59)-1)*N59</t>
        </is>
      </c>
      <c r="G1039" t="n">
        <v>68.98220985114372</v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11</v>
      </c>
      <c r="M1039" t="inlineStr">
        <is>
          <t>Values must be of type &lt;class 'str'&gt;</t>
        </is>
      </c>
      <c r="N1039" t="inlineStr">
        <is>
          <t>00000000</t>
        </is>
      </c>
      <c r="O1039" t="inlineStr">
        <is>
          <t>left</t>
        </is>
      </c>
      <c r="R1039" t="b">
        <v>1</v>
      </c>
      <c r="S1039" t="inlineStr">
        <is>
          <t>G000160</t>
        </is>
      </c>
      <c r="T1039" t="inlineStr">
        <is>
          <t>Vertical</t>
        </is>
      </c>
      <c r="U1039" t="n">
        <v>92</v>
      </c>
      <c r="V1039" t="b">
        <v>1</v>
      </c>
      <c r="W1039" t="inlineStr">
        <is>
          <t>ATF Fuel 2!N3:N94</t>
        </is>
      </c>
      <c r="X1039">
        <f>(1+(R[0]C[-8]/R[-1]C[-8])-1)*R[-1]C[0]</f>
        <v/>
      </c>
    </row>
    <row r="1040">
      <c r="A1040" t="inlineStr">
        <is>
          <t>ATF Fuel 2</t>
        </is>
      </c>
      <c r="B1040" t="inlineStr">
        <is>
          <t>O60</t>
        </is>
      </c>
      <c r="C1040" t="n">
        <v>60</v>
      </c>
      <c r="D1040" t="n">
        <v>15</v>
      </c>
      <c r="E1040" t="inlineStr">
        <is>
          <t>Calculation</t>
        </is>
      </c>
      <c r="F1040" t="inlineStr">
        <is>
          <t>'=(1+(J60/J59)-1)*O59</t>
        </is>
      </c>
      <c r="G1040" t="n">
        <v>58.26333845971848</v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11</v>
      </c>
      <c r="M1040" t="inlineStr">
        <is>
          <t>Values must be of type &lt;class 'str'&gt;</t>
        </is>
      </c>
      <c r="N1040" t="inlineStr">
        <is>
          <t>00000000</t>
        </is>
      </c>
      <c r="O1040" t="inlineStr">
        <is>
          <t>left</t>
        </is>
      </c>
      <c r="R1040" t="b">
        <v>1</v>
      </c>
      <c r="S1040" t="inlineStr">
        <is>
          <t>G000162</t>
        </is>
      </c>
      <c r="T1040" t="inlineStr">
        <is>
          <t>Vertical</t>
        </is>
      </c>
      <c r="U1040" t="n">
        <v>92</v>
      </c>
      <c r="V1040" t="b">
        <v>1</v>
      </c>
      <c r="W1040" t="inlineStr">
        <is>
          <t>ATF Fuel 2!O3:O94</t>
        </is>
      </c>
      <c r="X1040">
        <f>(1+(R[0]C[-5]/R[-1]C[-5])-1)*R[-1]C[0]</f>
        <v/>
      </c>
    </row>
    <row r="1041">
      <c r="A1041" t="inlineStr">
        <is>
          <t>ATF Fuel 2</t>
        </is>
      </c>
      <c r="B1041" t="inlineStr">
        <is>
          <t>P60</t>
        </is>
      </c>
      <c r="C1041" t="n">
        <v>60</v>
      </c>
      <c r="D1041" t="n">
        <v>16</v>
      </c>
      <c r="E1041" t="inlineStr">
        <is>
          <t>Calculation</t>
        </is>
      </c>
      <c r="F1041" t="inlineStr">
        <is>
          <t>'=(1+(H60/H59)-1)*P59</t>
        </is>
      </c>
      <c r="G1041" t="n">
        <v>95.551765209359</v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11</v>
      </c>
      <c r="M1041" t="inlineStr">
        <is>
          <t>Values must be of type &lt;class 'str'&gt;</t>
        </is>
      </c>
      <c r="N1041" t="inlineStr">
        <is>
          <t>00000000</t>
        </is>
      </c>
      <c r="O1041" t="inlineStr">
        <is>
          <t>left</t>
        </is>
      </c>
      <c r="R1041" t="b">
        <v>1</v>
      </c>
      <c r="S1041" t="inlineStr">
        <is>
          <t>G000161</t>
        </is>
      </c>
      <c r="T1041" t="inlineStr">
        <is>
          <t>Vertical</t>
        </is>
      </c>
      <c r="U1041" t="n">
        <v>92</v>
      </c>
      <c r="V1041" t="b">
        <v>1</v>
      </c>
      <c r="W1041" t="inlineStr">
        <is>
          <t>ATF Fuel 2!P3:P94</t>
        </is>
      </c>
      <c r="X1041">
        <f>(1+(R[0]C[-8]/R[-1]C[-8])-1)*R[-1]C[0]</f>
        <v/>
      </c>
    </row>
    <row r="1042">
      <c r="A1042" t="inlineStr">
        <is>
          <t>ATF Fuel 2</t>
        </is>
      </c>
      <c r="B1042" t="inlineStr">
        <is>
          <t>Q60</t>
        </is>
      </c>
      <c r="C1042" t="n">
        <v>60</v>
      </c>
      <c r="D1042" t="n">
        <v>17</v>
      </c>
      <c r="E1042" t="inlineStr">
        <is>
          <t>Output</t>
        </is>
      </c>
      <c r="F1042" t="inlineStr">
        <is>
          <t>'=M60/N60-1</t>
        </is>
      </c>
      <c r="G1042" t="n">
        <v>0.640685817647227</v>
      </c>
      <c r="H1042" t="inlineStr"/>
      <c r="I1042" t="inlineStr">
        <is>
          <t>0.0%</t>
        </is>
      </c>
      <c r="J1042" t="b">
        <v>0</v>
      </c>
      <c r="K1042" t="b">
        <v>0</v>
      </c>
      <c r="L1042" t="n">
        <v>11</v>
      </c>
      <c r="M1042" t="inlineStr">
        <is>
          <t>Values must be of type &lt;class 'str'&gt;</t>
        </is>
      </c>
      <c r="N1042" t="inlineStr">
        <is>
          <t>00000000</t>
        </is>
      </c>
      <c r="O1042" t="n">
        <v/>
      </c>
      <c r="R1042" t="b">
        <v>1</v>
      </c>
      <c r="S1042" t="inlineStr">
        <is>
          <t>G000153</t>
        </is>
      </c>
      <c r="T1042" t="inlineStr">
        <is>
          <t>Vertical</t>
        </is>
      </c>
      <c r="U1042" t="n">
        <v>93</v>
      </c>
      <c r="V1042" t="b">
        <v>1</v>
      </c>
      <c r="W1042" t="inlineStr">
        <is>
          <t>ATF Fuel 2!Q2:Q94</t>
        </is>
      </c>
      <c r="X1042">
        <f>R[0]C[-4]/R[0]C[-3]-1</f>
        <v/>
      </c>
    </row>
    <row r="1043">
      <c r="A1043" t="inlineStr">
        <is>
          <t>ATF Fuel 2</t>
        </is>
      </c>
      <c r="B1043" t="inlineStr">
        <is>
          <t>A61</t>
        </is>
      </c>
      <c r="C1043" t="n">
        <v>61</v>
      </c>
      <c r="D1043" t="n">
        <v>1</v>
      </c>
      <c r="E1043" t="inlineStr">
        <is>
          <t>Input</t>
        </is>
      </c>
      <c r="F1043" t="n">
        <v/>
      </c>
      <c r="G1043" t="inlineStr">
        <is>
          <t>March 01, 2015</t>
        </is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11</v>
      </c>
      <c r="M1043" t="inlineStr">
        <is>
          <t>Values must be of type &lt;class 'str'&gt;</t>
        </is>
      </c>
      <c r="N1043" t="inlineStr">
        <is>
          <t>00000000</t>
        </is>
      </c>
      <c r="O1043" t="n">
        <v/>
      </c>
      <c r="R1043" t="b">
        <v>1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</row>
    <row r="1044">
      <c r="A1044" t="inlineStr">
        <is>
          <t>ATF Fuel 2</t>
        </is>
      </c>
      <c r="B1044" t="inlineStr">
        <is>
          <t>B61</t>
        </is>
      </c>
      <c r="C1044" t="n">
        <v>61</v>
      </c>
      <c r="D1044" t="n">
        <v>2</v>
      </c>
      <c r="E1044" t="inlineStr">
        <is>
          <t>Input</t>
        </is>
      </c>
      <c r="F1044" t="n">
        <v/>
      </c>
      <c r="G1044" t="n">
        <v>54223</v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11</v>
      </c>
      <c r="M1044" t="inlineStr">
        <is>
          <t>Values must be of type &lt;class 'str'&gt;</t>
        </is>
      </c>
      <c r="N1044" t="inlineStr">
        <is>
          <t>00000000</t>
        </is>
      </c>
      <c r="O1044" t="n">
        <v/>
      </c>
      <c r="R1044" t="b">
        <v>1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</row>
    <row r="1045">
      <c r="A1045" t="inlineStr">
        <is>
          <t>ATF Fuel 2</t>
        </is>
      </c>
      <c r="B1045" t="inlineStr">
        <is>
          <t>C61</t>
        </is>
      </c>
      <c r="C1045" t="n">
        <v>61</v>
      </c>
      <c r="D1045" t="n">
        <v>3</v>
      </c>
      <c r="E1045" t="inlineStr">
        <is>
          <t>Output</t>
        </is>
      </c>
      <c r="F1045" t="inlineStr">
        <is>
          <t>'=B61/B60-1</t>
        </is>
      </c>
      <c r="G1045" t="n">
        <v>0.07997034727231944</v>
      </c>
      <c r="H1045" t="inlineStr"/>
      <c r="I1045" t="inlineStr">
        <is>
          <t>0%</t>
        </is>
      </c>
      <c r="J1045" t="b">
        <v>0</v>
      </c>
      <c r="K1045" t="b">
        <v>0</v>
      </c>
      <c r="L1045" t="n">
        <v>11</v>
      </c>
      <c r="M1045" t="n">
        <v/>
      </c>
      <c r="N1045" t="inlineStr">
        <is>
          <t>00000000</t>
        </is>
      </c>
      <c r="O1045" t="n">
        <v/>
      </c>
      <c r="R1045" t="b">
        <v>1</v>
      </c>
      <c r="S1045" t="inlineStr">
        <is>
          <t>G000154</t>
        </is>
      </c>
      <c r="T1045" t="inlineStr">
        <is>
          <t>Vertical</t>
        </is>
      </c>
      <c r="U1045" t="n">
        <v>92</v>
      </c>
      <c r="V1045" t="b">
        <v>1</v>
      </c>
      <c r="W1045" t="inlineStr">
        <is>
          <t>ATF Fuel 2!C3:C94</t>
        </is>
      </c>
      <c r="X1045">
        <f>R[0]C[-1]/R[-1]C[-1]-1</f>
        <v/>
      </c>
    </row>
    <row r="1046">
      <c r="A1046" t="inlineStr">
        <is>
          <t>ATF Fuel 2</t>
        </is>
      </c>
      <c r="B1046" t="inlineStr">
        <is>
          <t>D61</t>
        </is>
      </c>
      <c r="C1046" t="n">
        <v>61</v>
      </c>
      <c r="D1046" t="n">
        <v>4</v>
      </c>
      <c r="E1046" t="inlineStr">
        <is>
          <t>Input</t>
        </is>
      </c>
      <c r="F1046" t="n">
        <v/>
      </c>
      <c r="G1046" t="n">
        <v>61.9</v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11</v>
      </c>
      <c r="M1046" t="inlineStr">
        <is>
          <t>Values must be of type &lt;class 'str'&gt;</t>
        </is>
      </c>
      <c r="N1046" t="inlineStr">
        <is>
          <t>00000000</t>
        </is>
      </c>
      <c r="O1046" t="n">
        <v/>
      </c>
      <c r="R1046" t="b">
        <v>1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</row>
    <row r="1047">
      <c r="A1047" t="inlineStr">
        <is>
          <t>ATF Fuel 2</t>
        </is>
      </c>
      <c r="B1047" t="inlineStr">
        <is>
          <t>E61</t>
        </is>
      </c>
      <c r="C1047" t="n">
        <v>61</v>
      </c>
      <c r="D1047" t="n">
        <v>5</v>
      </c>
      <c r="E1047" t="inlineStr">
        <is>
          <t>Output</t>
        </is>
      </c>
      <c r="F1047" t="inlineStr">
        <is>
          <t>'=B61/B60-1</t>
        </is>
      </c>
      <c r="G1047" t="n">
        <v>0.07997034727231944</v>
      </c>
      <c r="H1047" t="inlineStr"/>
      <c r="I1047" t="inlineStr">
        <is>
          <t>0%</t>
        </is>
      </c>
      <c r="J1047" t="b">
        <v>0</v>
      </c>
      <c r="K1047" t="b">
        <v>0</v>
      </c>
      <c r="L1047" t="n">
        <v>11</v>
      </c>
      <c r="M1047" t="inlineStr">
        <is>
          <t>Values must be of type &lt;class 'str'&gt;</t>
        </is>
      </c>
      <c r="N1047" t="inlineStr">
        <is>
          <t>00000000</t>
        </is>
      </c>
      <c r="O1047" t="n">
        <v/>
      </c>
      <c r="R1047" t="b">
        <v>1</v>
      </c>
      <c r="S1047" t="inlineStr">
        <is>
          <t>G000158</t>
        </is>
      </c>
      <c r="T1047" t="inlineStr">
        <is>
          <t>Vertical</t>
        </is>
      </c>
      <c r="U1047" t="n">
        <v>92</v>
      </c>
      <c r="V1047" t="b">
        <v>1</v>
      </c>
      <c r="W1047" t="inlineStr">
        <is>
          <t>ATF Fuel 2!E3:E94</t>
        </is>
      </c>
      <c r="X1047">
        <f>R[0]C[-3]/R[-1]C[-3]-1</f>
        <v/>
      </c>
    </row>
    <row r="1048">
      <c r="A1048" t="inlineStr">
        <is>
          <t>ATF Fuel 2</t>
        </is>
      </c>
      <c r="B1048" t="inlineStr">
        <is>
          <t>F61</t>
        </is>
      </c>
      <c r="C1048" t="n">
        <v>61</v>
      </c>
      <c r="D1048" t="n">
        <v>6</v>
      </c>
      <c r="E1048" t="inlineStr">
        <is>
          <t>Input</t>
        </is>
      </c>
      <c r="F1048" t="n">
        <v/>
      </c>
      <c r="G1048" t="n">
        <v>59.15</v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11</v>
      </c>
      <c r="M1048" t="inlineStr">
        <is>
          <t>Values must be of type &lt;class 'str'&gt;</t>
        </is>
      </c>
      <c r="N1048" t="inlineStr">
        <is>
          <t>00000000</t>
        </is>
      </c>
      <c r="O1048" t="n">
        <v/>
      </c>
      <c r="R1048" t="b">
        <v>1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</row>
    <row r="1049">
      <c r="A1049" t="inlineStr">
        <is>
          <t>ATF Fuel 2</t>
        </is>
      </c>
      <c r="B1049" t="inlineStr">
        <is>
          <t>G61</t>
        </is>
      </c>
      <c r="C1049" t="n">
        <v>61</v>
      </c>
      <c r="D1049" t="n">
        <v>7</v>
      </c>
      <c r="E1049" t="inlineStr">
        <is>
          <t>Output</t>
        </is>
      </c>
      <c r="F1049" t="inlineStr">
        <is>
          <t>'=F61/F60-1</t>
        </is>
      </c>
      <c r="G1049" t="n">
        <v>0.03771929824561404</v>
      </c>
      <c r="H1049" t="inlineStr"/>
      <c r="I1049" t="inlineStr">
        <is>
          <t>0%</t>
        </is>
      </c>
      <c r="J1049" t="b">
        <v>0</v>
      </c>
      <c r="K1049" t="b">
        <v>0</v>
      </c>
      <c r="L1049" t="n">
        <v>11</v>
      </c>
      <c r="M1049" t="inlineStr">
        <is>
          <t>Values must be of type &lt;class 'str'&gt;</t>
        </is>
      </c>
      <c r="N1049" t="inlineStr">
        <is>
          <t>00000000</t>
        </is>
      </c>
      <c r="O1049" t="n">
        <v/>
      </c>
      <c r="R1049" t="b">
        <v>1</v>
      </c>
      <c r="S1049" t="inlineStr">
        <is>
          <t>G000155</t>
        </is>
      </c>
      <c r="T1049" t="inlineStr">
        <is>
          <t>Vertical</t>
        </is>
      </c>
      <c r="U1049" t="n">
        <v>93</v>
      </c>
      <c r="V1049" t="b">
        <v>1</v>
      </c>
      <c r="W1049" t="inlineStr">
        <is>
          <t>ATF Fuel 2!G3:G95</t>
        </is>
      </c>
      <c r="X1049">
        <f>R[0]C[-1]/R[-1]C[-1]-1</f>
        <v/>
      </c>
    </row>
    <row r="1050">
      <c r="A1050" t="inlineStr">
        <is>
          <t>ATF Fuel 2</t>
        </is>
      </c>
      <c r="B1050" t="inlineStr">
        <is>
          <t>H61</t>
        </is>
      </c>
      <c r="C1050" t="n">
        <v>61</v>
      </c>
      <c r="D1050" t="n">
        <v>8</v>
      </c>
      <c r="E1050" t="inlineStr">
        <is>
          <t>Calculation</t>
        </is>
      </c>
      <c r="F1050" t="inlineStr">
        <is>
          <t>'=D61*F61</t>
        </is>
      </c>
      <c r="G1050" t="n">
        <v>3661.385</v>
      </c>
      <c r="H1050" t="inlineStr"/>
      <c r="I1050" t="inlineStr">
        <is>
          <t>0</t>
        </is>
      </c>
      <c r="J1050" t="b">
        <v>0</v>
      </c>
      <c r="K1050" t="b">
        <v>0</v>
      </c>
      <c r="L1050" t="n">
        <v>11</v>
      </c>
      <c r="M1050" t="inlineStr">
        <is>
          <t>Values must be of type &lt;class 'str'&gt;</t>
        </is>
      </c>
      <c r="N1050" t="inlineStr">
        <is>
          <t>00000000</t>
        </is>
      </c>
      <c r="O1050" t="n">
        <v/>
      </c>
      <c r="R1050" t="b">
        <v>1</v>
      </c>
      <c r="S1050" t="inlineStr">
        <is>
          <t>G000152</t>
        </is>
      </c>
      <c r="T1050" t="inlineStr">
        <is>
          <t>Vertical</t>
        </is>
      </c>
      <c r="U1050" t="n">
        <v>98</v>
      </c>
      <c r="V1050" t="b">
        <v>1</v>
      </c>
      <c r="W1050" t="inlineStr">
        <is>
          <t>ATF Fuel 2!H2:H99</t>
        </is>
      </c>
      <c r="X1050">
        <f>R[0]C[-4]*R[0]C[-2]</f>
        <v/>
      </c>
    </row>
    <row r="1051">
      <c r="A1051" t="inlineStr">
        <is>
          <t>ATF Fuel 2</t>
        </is>
      </c>
      <c r="B1051" t="inlineStr">
        <is>
          <t>I61</t>
        </is>
      </c>
      <c r="C1051" t="n">
        <v>61</v>
      </c>
      <c r="D1051" t="n">
        <v>9</v>
      </c>
      <c r="E1051" t="inlineStr">
        <is>
          <t>Output</t>
        </is>
      </c>
      <c r="F1051" t="inlineStr">
        <is>
          <t>'=H61/H60-1</t>
        </is>
      </c>
      <c r="G1051" t="n">
        <v>0.036045557441992</v>
      </c>
      <c r="H1051" t="inlineStr"/>
      <c r="I1051" t="inlineStr">
        <is>
          <t>0%</t>
        </is>
      </c>
      <c r="J1051" t="b">
        <v>0</v>
      </c>
      <c r="K1051" t="b">
        <v>0</v>
      </c>
      <c r="L1051" t="n">
        <v>11</v>
      </c>
      <c r="M1051" t="inlineStr">
        <is>
          <t>FFFF0000</t>
        </is>
      </c>
      <c r="N1051" t="inlineStr">
        <is>
          <t>00000000</t>
        </is>
      </c>
      <c r="O1051" t="n">
        <v/>
      </c>
      <c r="R1051" t="b">
        <v>1</v>
      </c>
      <c r="S1051" t="inlineStr">
        <is>
          <t>G000156</t>
        </is>
      </c>
      <c r="T1051" t="inlineStr">
        <is>
          <t>Vertical</t>
        </is>
      </c>
      <c r="U1051" t="n">
        <v>97</v>
      </c>
      <c r="V1051" t="b">
        <v>1</v>
      </c>
      <c r="W1051" t="inlineStr">
        <is>
          <t>ATF Fuel 2!I3:I99</t>
        </is>
      </c>
      <c r="X1051">
        <f>R[0]C[-1]/R[-1]C[-1]-1</f>
        <v/>
      </c>
    </row>
    <row r="1052">
      <c r="A1052" t="inlineStr">
        <is>
          <t>ATF Fuel 2</t>
        </is>
      </c>
      <c r="B1052" t="inlineStr">
        <is>
          <t>J61</t>
        </is>
      </c>
      <c r="C1052" t="n">
        <v>61</v>
      </c>
      <c r="D1052" t="n">
        <v>10</v>
      </c>
      <c r="E1052" t="inlineStr">
        <is>
          <t>Input</t>
        </is>
      </c>
      <c r="F1052" t="n">
        <v/>
      </c>
      <c r="G1052" t="n">
        <v>49.59</v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11</v>
      </c>
      <c r="M1052" t="inlineStr">
        <is>
          <t>Values must be of type &lt;class 'str'&gt;</t>
        </is>
      </c>
      <c r="N1052" t="inlineStr">
        <is>
          <t>00000000</t>
        </is>
      </c>
      <c r="O1052" t="n">
        <v/>
      </c>
      <c r="R1052" t="b">
        <v>1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</row>
    <row r="1053">
      <c r="A1053" t="inlineStr">
        <is>
          <t>ATF Fuel 2</t>
        </is>
      </c>
      <c r="B1053" t="inlineStr">
        <is>
          <t>K61</t>
        </is>
      </c>
      <c r="C1053" t="n">
        <v>61</v>
      </c>
      <c r="D1053" t="n">
        <v>11</v>
      </c>
      <c r="E1053" t="inlineStr">
        <is>
          <t>Output</t>
        </is>
      </c>
      <c r="F1053" t="inlineStr">
        <is>
          <t>'=J61/J60-1</t>
        </is>
      </c>
      <c r="G1053" t="n">
        <v>0.006903553299492549</v>
      </c>
      <c r="H1053" t="inlineStr"/>
      <c r="I1053" t="inlineStr">
        <is>
          <t>0%</t>
        </is>
      </c>
      <c r="J1053" t="b">
        <v>0</v>
      </c>
      <c r="K1053" t="b">
        <v>0</v>
      </c>
      <c r="L1053" t="n">
        <v>11</v>
      </c>
      <c r="M1053" t="inlineStr">
        <is>
          <t>Values must be of type &lt;class 'str'&gt;</t>
        </is>
      </c>
      <c r="N1053" t="inlineStr">
        <is>
          <t>00000000</t>
        </is>
      </c>
      <c r="O1053" t="n">
        <v/>
      </c>
      <c r="R1053" t="b">
        <v>1</v>
      </c>
      <c r="S1053" t="inlineStr">
        <is>
          <t>G000157</t>
        </is>
      </c>
      <c r="T1053" t="inlineStr">
        <is>
          <t>Vertical</t>
        </is>
      </c>
      <c r="U1053" t="n">
        <v>93</v>
      </c>
      <c r="V1053" t="b">
        <v>1</v>
      </c>
      <c r="W1053" t="inlineStr">
        <is>
          <t>ATF Fuel 2!K3:K95</t>
        </is>
      </c>
      <c r="X1053">
        <f>R[0]C[-1]/R[-1]C[-1]-1</f>
        <v/>
      </c>
    </row>
    <row r="1054">
      <c r="A1054" t="inlineStr">
        <is>
          <t>ATF Fuel 2</t>
        </is>
      </c>
      <c r="B1054" t="inlineStr">
        <is>
          <t>L61</t>
        </is>
      </c>
      <c r="C1054" t="n">
        <v>61</v>
      </c>
      <c r="D1054" t="n">
        <v>12</v>
      </c>
      <c r="E1054" t="inlineStr">
        <is>
          <t>Input</t>
        </is>
      </c>
      <c r="F1054" t="n">
        <v/>
      </c>
      <c r="G1054" t="inlineStr">
        <is>
          <t>March 01, 2015</t>
        </is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11</v>
      </c>
      <c r="M1054" t="inlineStr">
        <is>
          <t>Values must be of type &lt;class 'str'&gt;</t>
        </is>
      </c>
      <c r="N1054" t="inlineStr">
        <is>
          <t>00000000</t>
        </is>
      </c>
      <c r="O1054" t="inlineStr">
        <is>
          <t>left</t>
        </is>
      </c>
      <c r="R1054" t="b">
        <v>1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</row>
    <row r="1055">
      <c r="A1055" t="inlineStr">
        <is>
          <t>ATF Fuel 2</t>
        </is>
      </c>
      <c r="B1055" t="inlineStr">
        <is>
          <t>M61</t>
        </is>
      </c>
      <c r="C1055" t="n">
        <v>61</v>
      </c>
      <c r="D1055" t="n">
        <v>13</v>
      </c>
      <c r="E1055" t="inlineStr">
        <is>
          <t>Calculation</t>
        </is>
      </c>
      <c r="F1055" t="inlineStr">
        <is>
          <t>'=(1+(B61/B60)-1)*M60</t>
        </is>
      </c>
      <c r="G1055" t="n">
        <v>122.229028002187</v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11</v>
      </c>
      <c r="M1055" t="inlineStr">
        <is>
          <t>Values must be of type &lt;class 'str'&gt;</t>
        </is>
      </c>
      <c r="N1055" t="inlineStr">
        <is>
          <t>00000000</t>
        </is>
      </c>
      <c r="O1055" t="inlineStr">
        <is>
          <t>left</t>
        </is>
      </c>
      <c r="R1055" t="b">
        <v>1</v>
      </c>
      <c r="S1055" t="inlineStr">
        <is>
          <t>G000159</t>
        </is>
      </c>
      <c r="T1055" t="inlineStr">
        <is>
          <t>Vertical</t>
        </is>
      </c>
      <c r="U1055" t="n">
        <v>92</v>
      </c>
      <c r="V1055" t="b">
        <v>1</v>
      </c>
      <c r="W1055" t="inlineStr">
        <is>
          <t>ATF Fuel 2!M3:M94</t>
        </is>
      </c>
      <c r="X1055">
        <f>(1+(R[0]C[-11]/R[-1]C[-11])-1)*R[-1]C[0]</f>
        <v/>
      </c>
    </row>
    <row r="1056">
      <c r="A1056" t="inlineStr">
        <is>
          <t>ATF Fuel 2</t>
        </is>
      </c>
      <c r="B1056" t="inlineStr">
        <is>
          <t>N61</t>
        </is>
      </c>
      <c r="C1056" t="n">
        <v>61</v>
      </c>
      <c r="D1056" t="n">
        <v>14</v>
      </c>
      <c r="E1056" t="inlineStr">
        <is>
          <t>Calculation</t>
        </is>
      </c>
      <c r="F1056" t="inlineStr">
        <is>
          <t>'=(1+(F61/F60)-1)*N60</t>
        </is>
      </c>
      <c r="G1056" t="n">
        <v>71.58417039816055</v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11</v>
      </c>
      <c r="M1056" t="inlineStr">
        <is>
          <t>Values must be of type &lt;class 'str'&gt;</t>
        </is>
      </c>
      <c r="N1056" t="inlineStr">
        <is>
          <t>00000000</t>
        </is>
      </c>
      <c r="O1056" t="inlineStr">
        <is>
          <t>left</t>
        </is>
      </c>
      <c r="R1056" t="b">
        <v>1</v>
      </c>
      <c r="S1056" t="inlineStr">
        <is>
          <t>G000160</t>
        </is>
      </c>
      <c r="T1056" t="inlineStr">
        <is>
          <t>Vertical</t>
        </is>
      </c>
      <c r="U1056" t="n">
        <v>92</v>
      </c>
      <c r="V1056" t="b">
        <v>1</v>
      </c>
      <c r="W1056" t="inlineStr">
        <is>
          <t>ATF Fuel 2!N3:N94</t>
        </is>
      </c>
      <c r="X1056">
        <f>(1+(R[0]C[-8]/R[-1]C[-8])-1)*R[-1]C[0]</f>
        <v/>
      </c>
    </row>
    <row r="1057">
      <c r="A1057" t="inlineStr">
        <is>
          <t>ATF Fuel 2</t>
        </is>
      </c>
      <c r="B1057" t="inlineStr">
        <is>
          <t>O61</t>
        </is>
      </c>
      <c r="C1057" t="n">
        <v>61</v>
      </c>
      <c r="D1057" t="n">
        <v>15</v>
      </c>
      <c r="E1057" t="inlineStr">
        <is>
          <t>Calculation</t>
        </is>
      </c>
      <c r="F1057" t="inlineStr">
        <is>
          <t>'=(1+(J61/J60)-1)*O60</t>
        </is>
      </c>
      <c r="G1057" t="n">
        <v>58.66556252218153</v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11</v>
      </c>
      <c r="M1057" t="inlineStr">
        <is>
          <t>Values must be of type &lt;class 'str'&gt;</t>
        </is>
      </c>
      <c r="N1057" t="inlineStr">
        <is>
          <t>00000000</t>
        </is>
      </c>
      <c r="O1057" t="inlineStr">
        <is>
          <t>left</t>
        </is>
      </c>
      <c r="R1057" t="b">
        <v>1</v>
      </c>
      <c r="S1057" t="inlineStr">
        <is>
          <t>G000162</t>
        </is>
      </c>
      <c r="T1057" t="inlineStr">
        <is>
          <t>Vertical</t>
        </is>
      </c>
      <c r="U1057" t="n">
        <v>92</v>
      </c>
      <c r="V1057" t="b">
        <v>1</v>
      </c>
      <c r="W1057" t="inlineStr">
        <is>
          <t>ATF Fuel 2!O3:O94</t>
        </is>
      </c>
      <c r="X1057">
        <f>(1+(R[0]C[-5]/R[-1]C[-5])-1)*R[-1]C[0]</f>
        <v/>
      </c>
    </row>
    <row r="1058">
      <c r="A1058" t="inlineStr">
        <is>
          <t>ATF Fuel 2</t>
        </is>
      </c>
      <c r="B1058" t="inlineStr">
        <is>
          <t>P61</t>
        </is>
      </c>
      <c r="C1058" t="n">
        <v>61</v>
      </c>
      <c r="D1058" t="n">
        <v>16</v>
      </c>
      <c r="E1058" t="inlineStr">
        <is>
          <t>Calculation</t>
        </is>
      </c>
      <c r="F1058" t="inlineStr">
        <is>
          <t>'=(1+(H61/H60)-1)*P60</t>
        </is>
      </c>
      <c r="G1058" t="n">
        <v>98.99598185089667</v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11</v>
      </c>
      <c r="M1058" t="inlineStr">
        <is>
          <t>Values must be of type &lt;class 'str'&gt;</t>
        </is>
      </c>
      <c r="N1058" t="inlineStr">
        <is>
          <t>00000000</t>
        </is>
      </c>
      <c r="O1058" t="inlineStr">
        <is>
          <t>left</t>
        </is>
      </c>
      <c r="R1058" t="b">
        <v>1</v>
      </c>
      <c r="S1058" t="inlineStr">
        <is>
          <t>G000161</t>
        </is>
      </c>
      <c r="T1058" t="inlineStr">
        <is>
          <t>Vertical</t>
        </is>
      </c>
      <c r="U1058" t="n">
        <v>92</v>
      </c>
      <c r="V1058" t="b">
        <v>1</v>
      </c>
      <c r="W1058" t="inlineStr">
        <is>
          <t>ATF Fuel 2!P3:P94</t>
        </is>
      </c>
      <c r="X1058">
        <f>(1+(R[0]C[-8]/R[-1]C[-8])-1)*R[-1]C[0]</f>
        <v/>
      </c>
    </row>
    <row r="1059">
      <c r="A1059" t="inlineStr">
        <is>
          <t>ATF Fuel 2</t>
        </is>
      </c>
      <c r="B1059" t="inlineStr">
        <is>
          <t>Q61</t>
        </is>
      </c>
      <c r="C1059" t="n">
        <v>61</v>
      </c>
      <c r="D1059" t="n">
        <v>17</v>
      </c>
      <c r="E1059" t="inlineStr">
        <is>
          <t>Output</t>
        </is>
      </c>
      <c r="F1059" t="inlineStr">
        <is>
          <t>'=M61/N61-1</t>
        </is>
      </c>
      <c r="G1059" t="n">
        <v>0.7074868273576838</v>
      </c>
      <c r="H1059" t="inlineStr"/>
      <c r="I1059" t="inlineStr">
        <is>
          <t>0.0%</t>
        </is>
      </c>
      <c r="J1059" t="b">
        <v>0</v>
      </c>
      <c r="K1059" t="b">
        <v>0</v>
      </c>
      <c r="L1059" t="n">
        <v>11</v>
      </c>
      <c r="M1059" t="inlineStr">
        <is>
          <t>Values must be of type &lt;class 'str'&gt;</t>
        </is>
      </c>
      <c r="N1059" t="inlineStr">
        <is>
          <t>00000000</t>
        </is>
      </c>
      <c r="O1059" t="n">
        <v/>
      </c>
      <c r="R1059" t="b">
        <v>1</v>
      </c>
      <c r="S1059" t="inlineStr">
        <is>
          <t>G000153</t>
        </is>
      </c>
      <c r="T1059" t="inlineStr">
        <is>
          <t>Vertical</t>
        </is>
      </c>
      <c r="U1059" t="n">
        <v>93</v>
      </c>
      <c r="V1059" t="b">
        <v>1</v>
      </c>
      <c r="W1059" t="inlineStr">
        <is>
          <t>ATF Fuel 2!Q2:Q94</t>
        </is>
      </c>
      <c r="X1059">
        <f>R[0]C[-4]/R[0]C[-3]-1</f>
        <v/>
      </c>
    </row>
    <row r="1060">
      <c r="A1060" t="inlineStr">
        <is>
          <t>ATF Fuel 2</t>
        </is>
      </c>
      <c r="B1060" t="inlineStr">
        <is>
          <t>A62</t>
        </is>
      </c>
      <c r="C1060" t="n">
        <v>62</v>
      </c>
      <c r="D1060" t="n">
        <v>1</v>
      </c>
      <c r="E1060" t="inlineStr">
        <is>
          <t>Input</t>
        </is>
      </c>
      <c r="F1060" t="n">
        <v/>
      </c>
      <c r="G1060" t="inlineStr">
        <is>
          <t>April 01, 2015</t>
        </is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11</v>
      </c>
      <c r="M1060" t="inlineStr">
        <is>
          <t>Values must be of type &lt;class 'str'&gt;</t>
        </is>
      </c>
      <c r="N1060" t="inlineStr">
        <is>
          <t>00000000</t>
        </is>
      </c>
      <c r="O1060" t="n">
        <v/>
      </c>
      <c r="R1060" t="b">
        <v>1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</row>
    <row r="1061">
      <c r="A1061" t="inlineStr">
        <is>
          <t>ATF Fuel 2</t>
        </is>
      </c>
      <c r="B1061" t="inlineStr">
        <is>
          <t>B62</t>
        </is>
      </c>
      <c r="C1061" t="n">
        <v>62</v>
      </c>
      <c r="D1061" t="n">
        <v>2</v>
      </c>
      <c r="E1061" t="inlineStr">
        <is>
          <t>Input</t>
        </is>
      </c>
      <c r="F1061" t="n">
        <v/>
      </c>
      <c r="G1061" t="n">
        <v>53280.5</v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11</v>
      </c>
      <c r="M1061" t="inlineStr">
        <is>
          <t>Values must be of type &lt;class 'str'&gt;</t>
        </is>
      </c>
      <c r="N1061" t="inlineStr">
        <is>
          <t>00000000</t>
        </is>
      </c>
      <c r="O1061" t="n">
        <v/>
      </c>
      <c r="R1061" t="b">
        <v>1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</row>
    <row r="1062">
      <c r="A1062" t="inlineStr">
        <is>
          <t>ATF Fuel 2</t>
        </is>
      </c>
      <c r="B1062" t="inlineStr">
        <is>
          <t>C62</t>
        </is>
      </c>
      <c r="C1062" t="n">
        <v>62</v>
      </c>
      <c r="D1062" t="n">
        <v>3</v>
      </c>
      <c r="E1062" t="inlineStr">
        <is>
          <t>Output</t>
        </is>
      </c>
      <c r="F1062" t="inlineStr">
        <is>
          <t>'=B62/B61-1</t>
        </is>
      </c>
      <c r="G1062" t="n">
        <v>-0.01738192280028772</v>
      </c>
      <c r="H1062" t="inlineStr"/>
      <c r="I1062" t="inlineStr">
        <is>
          <t>0%</t>
        </is>
      </c>
      <c r="J1062" t="b">
        <v>0</v>
      </c>
      <c r="K1062" t="b">
        <v>0</v>
      </c>
      <c r="L1062" t="n">
        <v>11</v>
      </c>
      <c r="M1062" t="n">
        <v/>
      </c>
      <c r="N1062" t="inlineStr">
        <is>
          <t>00000000</t>
        </is>
      </c>
      <c r="O1062" t="n">
        <v/>
      </c>
      <c r="R1062" t="b">
        <v>1</v>
      </c>
      <c r="S1062" t="inlineStr">
        <is>
          <t>G000154</t>
        </is>
      </c>
      <c r="T1062" t="inlineStr">
        <is>
          <t>Vertical</t>
        </is>
      </c>
      <c r="U1062" t="n">
        <v>92</v>
      </c>
      <c r="V1062" t="b">
        <v>1</v>
      </c>
      <c r="W1062" t="inlineStr">
        <is>
          <t>ATF Fuel 2!C3:C94</t>
        </is>
      </c>
      <c r="X1062">
        <f>R[0]C[-1]/R[-1]C[-1]-1</f>
        <v/>
      </c>
    </row>
    <row r="1063">
      <c r="A1063" t="inlineStr">
        <is>
          <t>ATF Fuel 2</t>
        </is>
      </c>
      <c r="B1063" t="inlineStr">
        <is>
          <t>D62</t>
        </is>
      </c>
      <c r="C1063" t="n">
        <v>62</v>
      </c>
      <c r="D1063" t="n">
        <v>4</v>
      </c>
      <c r="E1063" t="inlineStr">
        <is>
          <t>Input</t>
        </is>
      </c>
      <c r="F1063" t="n">
        <v/>
      </c>
      <c r="G1063" t="n">
        <v>62.04</v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11</v>
      </c>
      <c r="M1063" t="inlineStr">
        <is>
          <t>Values must be of type &lt;class 'str'&gt;</t>
        </is>
      </c>
      <c r="N1063" t="inlineStr">
        <is>
          <t>00000000</t>
        </is>
      </c>
      <c r="O1063" t="n">
        <v/>
      </c>
      <c r="R1063" t="b">
        <v>1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</row>
    <row r="1064">
      <c r="A1064" t="inlineStr">
        <is>
          <t>ATF Fuel 2</t>
        </is>
      </c>
      <c r="B1064" t="inlineStr">
        <is>
          <t>E62</t>
        </is>
      </c>
      <c r="C1064" t="n">
        <v>62</v>
      </c>
      <c r="D1064" t="n">
        <v>5</v>
      </c>
      <c r="E1064" t="inlineStr">
        <is>
          <t>Output</t>
        </is>
      </c>
      <c r="F1064" t="inlineStr">
        <is>
          <t>'=B62/B61-1</t>
        </is>
      </c>
      <c r="G1064" t="n">
        <v>-0.01738192280028772</v>
      </c>
      <c r="H1064" t="inlineStr"/>
      <c r="I1064" t="inlineStr">
        <is>
          <t>0%</t>
        </is>
      </c>
      <c r="J1064" t="b">
        <v>0</v>
      </c>
      <c r="K1064" t="b">
        <v>0</v>
      </c>
      <c r="L1064" t="n">
        <v>11</v>
      </c>
      <c r="M1064" t="inlineStr">
        <is>
          <t>Values must be of type &lt;class 'str'&gt;</t>
        </is>
      </c>
      <c r="N1064" t="inlineStr">
        <is>
          <t>00000000</t>
        </is>
      </c>
      <c r="O1064" t="n">
        <v/>
      </c>
      <c r="R1064" t="b">
        <v>1</v>
      </c>
      <c r="S1064" t="inlineStr">
        <is>
          <t>G000158</t>
        </is>
      </c>
      <c r="T1064" t="inlineStr">
        <is>
          <t>Vertical</t>
        </is>
      </c>
      <c r="U1064" t="n">
        <v>92</v>
      </c>
      <c r="V1064" t="b">
        <v>1</v>
      </c>
      <c r="W1064" t="inlineStr">
        <is>
          <t>ATF Fuel 2!E3:E94</t>
        </is>
      </c>
      <c r="X1064">
        <f>R[0]C[-3]/R[-1]C[-3]-1</f>
        <v/>
      </c>
    </row>
    <row r="1065">
      <c r="A1065" t="inlineStr">
        <is>
          <t>ATF Fuel 2</t>
        </is>
      </c>
      <c r="B1065" t="inlineStr">
        <is>
          <t>F62</t>
        </is>
      </c>
      <c r="C1065" t="n">
        <v>62</v>
      </c>
      <c r="D1065" t="n">
        <v>6</v>
      </c>
      <c r="E1065" t="inlineStr">
        <is>
          <t>Input</t>
        </is>
      </c>
      <c r="F1065" t="n">
        <v/>
      </c>
      <c r="G1065" t="n">
        <v>57.55</v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11</v>
      </c>
      <c r="M1065" t="inlineStr">
        <is>
          <t>Values must be of type &lt;class 'str'&gt;</t>
        </is>
      </c>
      <c r="N1065" t="inlineStr">
        <is>
          <t>00000000</t>
        </is>
      </c>
      <c r="O1065" t="n">
        <v/>
      </c>
      <c r="R1065" t="b">
        <v>1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</row>
    <row r="1066">
      <c r="A1066" t="inlineStr">
        <is>
          <t>ATF Fuel 2</t>
        </is>
      </c>
      <c r="B1066" t="inlineStr">
        <is>
          <t>G62</t>
        </is>
      </c>
      <c r="C1066" t="n">
        <v>62</v>
      </c>
      <c r="D1066" t="n">
        <v>7</v>
      </c>
      <c r="E1066" t="inlineStr">
        <is>
          <t>Output</t>
        </is>
      </c>
      <c r="F1066" t="inlineStr">
        <is>
          <t>'=F62/F61-1</t>
        </is>
      </c>
      <c r="G1066" t="n">
        <v>-0.02704987320371943</v>
      </c>
      <c r="H1066" t="inlineStr"/>
      <c r="I1066" t="inlineStr">
        <is>
          <t>0%</t>
        </is>
      </c>
      <c r="J1066" t="b">
        <v>0</v>
      </c>
      <c r="K1066" t="b">
        <v>0</v>
      </c>
      <c r="L1066" t="n">
        <v>11</v>
      </c>
      <c r="M1066" t="inlineStr">
        <is>
          <t>Values must be of type &lt;class 'str'&gt;</t>
        </is>
      </c>
      <c r="N1066" t="inlineStr">
        <is>
          <t>00000000</t>
        </is>
      </c>
      <c r="O1066" t="n">
        <v/>
      </c>
      <c r="R1066" t="b">
        <v>1</v>
      </c>
      <c r="S1066" t="inlineStr">
        <is>
          <t>G000155</t>
        </is>
      </c>
      <c r="T1066" t="inlineStr">
        <is>
          <t>Vertical</t>
        </is>
      </c>
      <c r="U1066" t="n">
        <v>93</v>
      </c>
      <c r="V1066" t="b">
        <v>1</v>
      </c>
      <c r="W1066" t="inlineStr">
        <is>
          <t>ATF Fuel 2!G3:G95</t>
        </is>
      </c>
      <c r="X1066">
        <f>R[0]C[-1]/R[-1]C[-1]-1</f>
        <v/>
      </c>
    </row>
    <row r="1067">
      <c r="A1067" t="inlineStr">
        <is>
          <t>ATF Fuel 2</t>
        </is>
      </c>
      <c r="B1067" t="inlineStr">
        <is>
          <t>H62</t>
        </is>
      </c>
      <c r="C1067" t="n">
        <v>62</v>
      </c>
      <c r="D1067" t="n">
        <v>8</v>
      </c>
      <c r="E1067" t="inlineStr">
        <is>
          <t>Calculation</t>
        </is>
      </c>
      <c r="F1067" t="inlineStr">
        <is>
          <t>'=D62*F62</t>
        </is>
      </c>
      <c r="G1067" t="n">
        <v>3570.402</v>
      </c>
      <c r="H1067" t="inlineStr"/>
      <c r="I1067" t="inlineStr">
        <is>
          <t>0</t>
        </is>
      </c>
      <c r="J1067" t="b">
        <v>0</v>
      </c>
      <c r="K1067" t="b">
        <v>0</v>
      </c>
      <c r="L1067" t="n">
        <v>11</v>
      </c>
      <c r="M1067" t="inlineStr">
        <is>
          <t>Values must be of type &lt;class 'str'&gt;</t>
        </is>
      </c>
      <c r="N1067" t="inlineStr">
        <is>
          <t>00000000</t>
        </is>
      </c>
      <c r="O1067" t="n">
        <v/>
      </c>
      <c r="R1067" t="b">
        <v>1</v>
      </c>
      <c r="S1067" t="inlineStr">
        <is>
          <t>G000152</t>
        </is>
      </c>
      <c r="T1067" t="inlineStr">
        <is>
          <t>Vertical</t>
        </is>
      </c>
      <c r="U1067" t="n">
        <v>98</v>
      </c>
      <c r="V1067" t="b">
        <v>1</v>
      </c>
      <c r="W1067" t="inlineStr">
        <is>
          <t>ATF Fuel 2!H2:H99</t>
        </is>
      </c>
      <c r="X1067">
        <f>R[0]C[-4]*R[0]C[-2]</f>
        <v/>
      </c>
    </row>
    <row r="1068">
      <c r="A1068" t="inlineStr">
        <is>
          <t>ATF Fuel 2</t>
        </is>
      </c>
      <c r="B1068" t="inlineStr">
        <is>
          <t>I62</t>
        </is>
      </c>
      <c r="C1068" t="n">
        <v>62</v>
      </c>
      <c r="D1068" t="n">
        <v>9</v>
      </c>
      <c r="E1068" t="inlineStr">
        <is>
          <t>Output</t>
        </is>
      </c>
      <c r="F1068" t="inlineStr">
        <is>
          <t>'=H62/H61-1</t>
        </is>
      </c>
      <c r="G1068" t="n">
        <v>-0.02484933979901049</v>
      </c>
      <c r="H1068" t="inlineStr"/>
      <c r="I1068" t="inlineStr">
        <is>
          <t>0%</t>
        </is>
      </c>
      <c r="J1068" t="b">
        <v>0</v>
      </c>
      <c r="K1068" t="b">
        <v>0</v>
      </c>
      <c r="L1068" t="n">
        <v>11</v>
      </c>
      <c r="M1068" t="inlineStr">
        <is>
          <t>FFFF0000</t>
        </is>
      </c>
      <c r="N1068" t="inlineStr">
        <is>
          <t>00000000</t>
        </is>
      </c>
      <c r="O1068" t="n">
        <v/>
      </c>
      <c r="R1068" t="b">
        <v>1</v>
      </c>
      <c r="S1068" t="inlineStr">
        <is>
          <t>G000156</t>
        </is>
      </c>
      <c r="T1068" t="inlineStr">
        <is>
          <t>Vertical</t>
        </is>
      </c>
      <c r="U1068" t="n">
        <v>97</v>
      </c>
      <c r="V1068" t="b">
        <v>1</v>
      </c>
      <c r="W1068" t="inlineStr">
        <is>
          <t>ATF Fuel 2!I3:I99</t>
        </is>
      </c>
      <c r="X1068">
        <f>R[0]C[-1]/R[-1]C[-1]-1</f>
        <v/>
      </c>
    </row>
    <row r="1069">
      <c r="A1069" t="inlineStr">
        <is>
          <t>ATF Fuel 2</t>
        </is>
      </c>
      <c r="B1069" t="inlineStr">
        <is>
          <t>J62</t>
        </is>
      </c>
      <c r="C1069" t="n">
        <v>62</v>
      </c>
      <c r="D1069" t="n">
        <v>10</v>
      </c>
      <c r="E1069" t="inlineStr">
        <is>
          <t>Input</t>
        </is>
      </c>
      <c r="F1069" t="n">
        <v/>
      </c>
      <c r="G1069" t="n">
        <v>50.12</v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11</v>
      </c>
      <c r="M1069" t="inlineStr">
        <is>
          <t>Values must be of type &lt;class 'str'&gt;</t>
        </is>
      </c>
      <c r="N1069" t="inlineStr">
        <is>
          <t>00000000</t>
        </is>
      </c>
      <c r="O1069" t="n">
        <v/>
      </c>
      <c r="R1069" t="b">
        <v>1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</row>
    <row r="1070">
      <c r="A1070" t="inlineStr">
        <is>
          <t>ATF Fuel 2</t>
        </is>
      </c>
      <c r="B1070" t="inlineStr">
        <is>
          <t>K62</t>
        </is>
      </c>
      <c r="C1070" t="n">
        <v>62</v>
      </c>
      <c r="D1070" t="n">
        <v>11</v>
      </c>
      <c r="E1070" t="inlineStr">
        <is>
          <t>Output</t>
        </is>
      </c>
      <c r="F1070" t="inlineStr">
        <is>
          <t>'=J62/J61-1</t>
        </is>
      </c>
      <c r="G1070" t="n">
        <v>0.01068763863682176</v>
      </c>
      <c r="H1070" t="inlineStr"/>
      <c r="I1070" t="inlineStr">
        <is>
          <t>0%</t>
        </is>
      </c>
      <c r="J1070" t="b">
        <v>0</v>
      </c>
      <c r="K1070" t="b">
        <v>0</v>
      </c>
      <c r="L1070" t="n">
        <v>11</v>
      </c>
      <c r="M1070" t="inlineStr">
        <is>
          <t>Values must be of type &lt;class 'str'&gt;</t>
        </is>
      </c>
      <c r="N1070" t="inlineStr">
        <is>
          <t>00000000</t>
        </is>
      </c>
      <c r="O1070" t="n">
        <v/>
      </c>
      <c r="R1070" t="b">
        <v>1</v>
      </c>
      <c r="S1070" t="inlineStr">
        <is>
          <t>G000157</t>
        </is>
      </c>
      <c r="T1070" t="inlineStr">
        <is>
          <t>Vertical</t>
        </is>
      </c>
      <c r="U1070" t="n">
        <v>93</v>
      </c>
      <c r="V1070" t="b">
        <v>1</v>
      </c>
      <c r="W1070" t="inlineStr">
        <is>
          <t>ATF Fuel 2!K3:K95</t>
        </is>
      </c>
      <c r="X1070">
        <f>R[0]C[-1]/R[-1]C[-1]-1</f>
        <v/>
      </c>
    </row>
    <row r="1071">
      <c r="A1071" t="inlineStr">
        <is>
          <t>ATF Fuel 2</t>
        </is>
      </c>
      <c r="B1071" t="inlineStr">
        <is>
          <t>L62</t>
        </is>
      </c>
      <c r="C1071" t="n">
        <v>62</v>
      </c>
      <c r="D1071" t="n">
        <v>12</v>
      </c>
      <c r="E1071" t="inlineStr">
        <is>
          <t>Input</t>
        </is>
      </c>
      <c r="F1071" t="n">
        <v/>
      </c>
      <c r="G1071" t="inlineStr">
        <is>
          <t>April 01, 2015</t>
        </is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11</v>
      </c>
      <c r="M1071" t="inlineStr">
        <is>
          <t>Values must be of type &lt;class 'str'&gt;</t>
        </is>
      </c>
      <c r="N1071" t="inlineStr">
        <is>
          <t>00000000</t>
        </is>
      </c>
      <c r="O1071" t="inlineStr">
        <is>
          <t>left</t>
        </is>
      </c>
      <c r="R1071" t="b">
        <v>1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</row>
    <row r="1072">
      <c r="A1072" t="inlineStr">
        <is>
          <t>ATF Fuel 2</t>
        </is>
      </c>
      <c r="B1072" t="inlineStr">
        <is>
          <t>M62</t>
        </is>
      </c>
      <c r="C1072" t="n">
        <v>62</v>
      </c>
      <c r="D1072" t="n">
        <v>13</v>
      </c>
      <c r="E1072" t="inlineStr">
        <is>
          <t>Calculation</t>
        </is>
      </c>
      <c r="F1072" t="inlineStr">
        <is>
          <t>'=(1+(B62/B61)-1)*M61</t>
        </is>
      </c>
      <c r="G1072" t="n">
        <v>120.1044524734988</v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11</v>
      </c>
      <c r="M1072" t="inlineStr">
        <is>
          <t>Values must be of type &lt;class 'str'&gt;</t>
        </is>
      </c>
      <c r="N1072" t="inlineStr">
        <is>
          <t>00000000</t>
        </is>
      </c>
      <c r="O1072" t="inlineStr">
        <is>
          <t>left</t>
        </is>
      </c>
      <c r="R1072" t="b">
        <v>1</v>
      </c>
      <c r="S1072" t="inlineStr">
        <is>
          <t>G000159</t>
        </is>
      </c>
      <c r="T1072" t="inlineStr">
        <is>
          <t>Vertical</t>
        </is>
      </c>
      <c r="U1072" t="n">
        <v>92</v>
      </c>
      <c r="V1072" t="b">
        <v>1</v>
      </c>
      <c r="W1072" t="inlineStr">
        <is>
          <t>ATF Fuel 2!M3:M94</t>
        </is>
      </c>
      <c r="X1072">
        <f>(1+(R[0]C[-11]/R[-1]C[-11])-1)*R[-1]C[0]</f>
        <v/>
      </c>
    </row>
    <row r="1073">
      <c r="A1073" t="inlineStr">
        <is>
          <t>ATF Fuel 2</t>
        </is>
      </c>
      <c r="B1073" t="inlineStr">
        <is>
          <t>N62</t>
        </is>
      </c>
      <c r="C1073" t="n">
        <v>62</v>
      </c>
      <c r="D1073" t="n">
        <v>14</v>
      </c>
      <c r="E1073" t="inlineStr">
        <is>
          <t>Calculation</t>
        </is>
      </c>
      <c r="F1073" t="inlineStr">
        <is>
          <t>'=(1+(F62/F61)-1)*N61</t>
        </is>
      </c>
      <c r="G1073" t="n">
        <v>69.64782766549686</v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11</v>
      </c>
      <c r="M1073" t="inlineStr">
        <is>
          <t>Values must be of type &lt;class 'str'&gt;</t>
        </is>
      </c>
      <c r="N1073" t="inlineStr">
        <is>
          <t>00000000</t>
        </is>
      </c>
      <c r="O1073" t="inlineStr">
        <is>
          <t>left</t>
        </is>
      </c>
      <c r="R1073" t="b">
        <v>1</v>
      </c>
      <c r="S1073" t="inlineStr">
        <is>
          <t>G000160</t>
        </is>
      </c>
      <c r="T1073" t="inlineStr">
        <is>
          <t>Vertical</t>
        </is>
      </c>
      <c r="U1073" t="n">
        <v>92</v>
      </c>
      <c r="V1073" t="b">
        <v>1</v>
      </c>
      <c r="W1073" t="inlineStr">
        <is>
          <t>ATF Fuel 2!N3:N94</t>
        </is>
      </c>
      <c r="X1073">
        <f>(1+(R[0]C[-8]/R[-1]C[-8])-1)*R[-1]C[0]</f>
        <v/>
      </c>
    </row>
    <row r="1074">
      <c r="A1074" t="inlineStr">
        <is>
          <t>ATF Fuel 2</t>
        </is>
      </c>
      <c r="B1074" t="inlineStr">
        <is>
          <t>O62</t>
        </is>
      </c>
      <c r="C1074" t="n">
        <v>62</v>
      </c>
      <c r="D1074" t="n">
        <v>15</v>
      </c>
      <c r="E1074" t="inlineStr">
        <is>
          <t>Calculation</t>
        </is>
      </c>
      <c r="F1074" t="inlineStr">
        <is>
          <t>'=(1+(J62/J61)-1)*O61</t>
        </is>
      </c>
      <c r="G1074" t="n">
        <v>59.29255885484447</v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11</v>
      </c>
      <c r="M1074" t="inlineStr">
        <is>
          <t>Values must be of type &lt;class 'str'&gt;</t>
        </is>
      </c>
      <c r="N1074" t="inlineStr">
        <is>
          <t>00000000</t>
        </is>
      </c>
      <c r="O1074" t="inlineStr">
        <is>
          <t>left</t>
        </is>
      </c>
      <c r="R1074" t="b">
        <v>1</v>
      </c>
      <c r="S1074" t="inlineStr">
        <is>
          <t>G000162</t>
        </is>
      </c>
      <c r="T1074" t="inlineStr">
        <is>
          <t>Vertical</t>
        </is>
      </c>
      <c r="U1074" t="n">
        <v>92</v>
      </c>
      <c r="V1074" t="b">
        <v>1</v>
      </c>
      <c r="W1074" t="inlineStr">
        <is>
          <t>ATF Fuel 2!O3:O94</t>
        </is>
      </c>
      <c r="X1074">
        <f>(1+(R[0]C[-5]/R[-1]C[-5])-1)*R[-1]C[0]</f>
        <v/>
      </c>
    </row>
    <row r="1075">
      <c r="A1075" t="inlineStr">
        <is>
          <t>ATF Fuel 2</t>
        </is>
      </c>
      <c r="B1075" t="inlineStr">
        <is>
          <t>P62</t>
        </is>
      </c>
      <c r="C1075" t="n">
        <v>62</v>
      </c>
      <c r="D1075" t="n">
        <v>16</v>
      </c>
      <c r="E1075" t="inlineStr">
        <is>
          <t>Calculation</t>
        </is>
      </c>
      <c r="F1075" t="inlineStr">
        <is>
          <t>'=(1+(H62/H61)-1)*P61</t>
        </is>
      </c>
      <c r="G1075" t="n">
        <v>96.53599705914708</v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11</v>
      </c>
      <c r="M1075" t="inlineStr">
        <is>
          <t>Values must be of type &lt;class 'str'&gt;</t>
        </is>
      </c>
      <c r="N1075" t="inlineStr">
        <is>
          <t>00000000</t>
        </is>
      </c>
      <c r="O1075" t="inlineStr">
        <is>
          <t>left</t>
        </is>
      </c>
      <c r="R1075" t="b">
        <v>1</v>
      </c>
      <c r="S1075" t="inlineStr">
        <is>
          <t>G000161</t>
        </is>
      </c>
      <c r="T1075" t="inlineStr">
        <is>
          <t>Vertical</t>
        </is>
      </c>
      <c r="U1075" t="n">
        <v>92</v>
      </c>
      <c r="V1075" t="b">
        <v>1</v>
      </c>
      <c r="W1075" t="inlineStr">
        <is>
          <t>ATF Fuel 2!P3:P94</t>
        </is>
      </c>
      <c r="X1075">
        <f>(1+(R[0]C[-8]/R[-1]C[-8])-1)*R[-1]C[0]</f>
        <v/>
      </c>
    </row>
    <row r="1076">
      <c r="A1076" t="inlineStr">
        <is>
          <t>ATF Fuel 2</t>
        </is>
      </c>
      <c r="B1076" t="inlineStr">
        <is>
          <t>Q62</t>
        </is>
      </c>
      <c r="C1076" t="n">
        <v>62</v>
      </c>
      <c r="D1076" t="n">
        <v>17</v>
      </c>
      <c r="E1076" t="inlineStr">
        <is>
          <t>Output</t>
        </is>
      </c>
      <c r="F1076" t="inlineStr">
        <is>
          <t>'=M62/N62-1</t>
        </is>
      </c>
      <c r="G1076" t="n">
        <v>0.7244536764353073</v>
      </c>
      <c r="H1076" t="inlineStr"/>
      <c r="I1076" t="inlineStr">
        <is>
          <t>0.0%</t>
        </is>
      </c>
      <c r="J1076" t="b">
        <v>0</v>
      </c>
      <c r="K1076" t="b">
        <v>0</v>
      </c>
      <c r="L1076" t="n">
        <v>11</v>
      </c>
      <c r="M1076" t="inlineStr">
        <is>
          <t>Values must be of type &lt;class 'str'&gt;</t>
        </is>
      </c>
      <c r="N1076" t="inlineStr">
        <is>
          <t>00000000</t>
        </is>
      </c>
      <c r="O1076" t="n">
        <v/>
      </c>
      <c r="R1076" t="b">
        <v>1</v>
      </c>
      <c r="S1076" t="inlineStr">
        <is>
          <t>G000153</t>
        </is>
      </c>
      <c r="T1076" t="inlineStr">
        <is>
          <t>Vertical</t>
        </is>
      </c>
      <c r="U1076" t="n">
        <v>93</v>
      </c>
      <c r="V1076" t="b">
        <v>1</v>
      </c>
      <c r="W1076" t="inlineStr">
        <is>
          <t>ATF Fuel 2!Q2:Q94</t>
        </is>
      </c>
      <c r="X1076">
        <f>R[0]C[-4]/R[0]C[-3]-1</f>
        <v/>
      </c>
    </row>
    <row r="1077">
      <c r="A1077" t="inlineStr">
        <is>
          <t>ATF Fuel 2</t>
        </is>
      </c>
      <c r="B1077" t="inlineStr">
        <is>
          <t>A63</t>
        </is>
      </c>
      <c r="C1077" t="n">
        <v>63</v>
      </c>
      <c r="D1077" t="n">
        <v>1</v>
      </c>
      <c r="E1077" t="inlineStr">
        <is>
          <t>Input</t>
        </is>
      </c>
      <c r="F1077" t="n">
        <v/>
      </c>
      <c r="G1077" t="inlineStr">
        <is>
          <t>May 01, 2015</t>
        </is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11</v>
      </c>
      <c r="M1077" t="inlineStr">
        <is>
          <t>Values must be of type &lt;class 'str'&gt;</t>
        </is>
      </c>
      <c r="N1077" t="inlineStr">
        <is>
          <t>00000000</t>
        </is>
      </c>
      <c r="O1077" t="n">
        <v/>
      </c>
      <c r="R1077" t="b">
        <v>1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</row>
    <row r="1078">
      <c r="A1078" t="inlineStr">
        <is>
          <t>ATF Fuel 2</t>
        </is>
      </c>
      <c r="B1078" t="inlineStr">
        <is>
          <t>B63</t>
        </is>
      </c>
      <c r="C1078" t="n">
        <v>63</v>
      </c>
      <c r="D1078" t="n">
        <v>2</v>
      </c>
      <c r="E1078" t="inlineStr">
        <is>
          <t>Input</t>
        </is>
      </c>
      <c r="F1078" t="n">
        <v/>
      </c>
      <c r="G1078" t="n">
        <v>53589.1825</v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11</v>
      </c>
      <c r="M1078" t="inlineStr">
        <is>
          <t>Values must be of type &lt;class 'str'&gt;</t>
        </is>
      </c>
      <c r="N1078" t="inlineStr">
        <is>
          <t>00000000</t>
        </is>
      </c>
      <c r="O1078" t="n">
        <v/>
      </c>
      <c r="R1078" t="b">
        <v>1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</row>
    <row r="1079">
      <c r="A1079" t="inlineStr">
        <is>
          <t>ATF Fuel 2</t>
        </is>
      </c>
      <c r="B1079" t="inlineStr">
        <is>
          <t>C63</t>
        </is>
      </c>
      <c r="C1079" t="n">
        <v>63</v>
      </c>
      <c r="D1079" t="n">
        <v>3</v>
      </c>
      <c r="E1079" t="inlineStr">
        <is>
          <t>Output</t>
        </is>
      </c>
      <c r="F1079" t="inlineStr">
        <is>
          <t>'=B63/B62-1</t>
        </is>
      </c>
      <c r="G1079" t="n">
        <v>0.005793536096695862</v>
      </c>
      <c r="H1079" t="inlineStr"/>
      <c r="I1079" t="inlineStr">
        <is>
          <t>0%</t>
        </is>
      </c>
      <c r="J1079" t="b">
        <v>0</v>
      </c>
      <c r="K1079" t="b">
        <v>0</v>
      </c>
      <c r="L1079" t="n">
        <v>11</v>
      </c>
      <c r="M1079" t="n">
        <v/>
      </c>
      <c r="N1079" t="inlineStr">
        <is>
          <t>00000000</t>
        </is>
      </c>
      <c r="O1079" t="n">
        <v/>
      </c>
      <c r="R1079" t="b">
        <v>1</v>
      </c>
      <c r="S1079" t="inlineStr">
        <is>
          <t>G000154</t>
        </is>
      </c>
      <c r="T1079" t="inlineStr">
        <is>
          <t>Vertical</t>
        </is>
      </c>
      <c r="U1079" t="n">
        <v>92</v>
      </c>
      <c r="V1079" t="b">
        <v>1</v>
      </c>
      <c r="W1079" t="inlineStr">
        <is>
          <t>ATF Fuel 2!C3:C94</t>
        </is>
      </c>
      <c r="X1079">
        <f>R[0]C[-1]/R[-1]C[-1]-1</f>
        <v/>
      </c>
    </row>
    <row r="1080">
      <c r="A1080" t="inlineStr">
        <is>
          <t>ATF Fuel 2</t>
        </is>
      </c>
      <c r="B1080" t="inlineStr">
        <is>
          <t>D63</t>
        </is>
      </c>
      <c r="C1080" t="n">
        <v>63</v>
      </c>
      <c r="D1080" t="n">
        <v>4</v>
      </c>
      <c r="E1080" t="inlineStr">
        <is>
          <t>Input</t>
        </is>
      </c>
      <c r="F1080" t="n">
        <v/>
      </c>
      <c r="G1080" t="n">
        <v>63.54</v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11</v>
      </c>
      <c r="M1080" t="inlineStr">
        <is>
          <t>Values must be of type &lt;class 'str'&gt;</t>
        </is>
      </c>
      <c r="N1080" t="inlineStr">
        <is>
          <t>00000000</t>
        </is>
      </c>
      <c r="O1080" t="n">
        <v/>
      </c>
      <c r="R1080" t="b">
        <v>1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</row>
    <row r="1081">
      <c r="A1081" t="inlineStr">
        <is>
          <t>ATF Fuel 2</t>
        </is>
      </c>
      <c r="B1081" t="inlineStr">
        <is>
          <t>E63</t>
        </is>
      </c>
      <c r="C1081" t="n">
        <v>63</v>
      </c>
      <c r="D1081" t="n">
        <v>5</v>
      </c>
      <c r="E1081" t="inlineStr">
        <is>
          <t>Output</t>
        </is>
      </c>
      <c r="F1081" t="inlineStr">
        <is>
          <t>'=B63/B62-1</t>
        </is>
      </c>
      <c r="G1081" t="n">
        <v>0.005793536096695862</v>
      </c>
      <c r="H1081" t="inlineStr"/>
      <c r="I1081" t="inlineStr">
        <is>
          <t>0%</t>
        </is>
      </c>
      <c r="J1081" t="b">
        <v>0</v>
      </c>
      <c r="K1081" t="b">
        <v>0</v>
      </c>
      <c r="L1081" t="n">
        <v>11</v>
      </c>
      <c r="M1081" t="inlineStr">
        <is>
          <t>Values must be of type &lt;class 'str'&gt;</t>
        </is>
      </c>
      <c r="N1081" t="inlineStr">
        <is>
          <t>00000000</t>
        </is>
      </c>
      <c r="O1081" t="n">
        <v/>
      </c>
      <c r="R1081" t="b">
        <v>1</v>
      </c>
      <c r="S1081" t="inlineStr">
        <is>
          <t>G000158</t>
        </is>
      </c>
      <c r="T1081" t="inlineStr">
        <is>
          <t>Vertical</t>
        </is>
      </c>
      <c r="U1081" t="n">
        <v>92</v>
      </c>
      <c r="V1081" t="b">
        <v>1</v>
      </c>
      <c r="W1081" t="inlineStr">
        <is>
          <t>ATF Fuel 2!E3:E94</t>
        </is>
      </c>
      <c r="X1081">
        <f>R[0]C[-3]/R[-1]C[-3]-1</f>
        <v/>
      </c>
    </row>
    <row r="1082">
      <c r="A1082" t="inlineStr">
        <is>
          <t>ATF Fuel 2</t>
        </is>
      </c>
      <c r="B1082" t="inlineStr">
        <is>
          <t>F63</t>
        </is>
      </c>
      <c r="C1082" t="n">
        <v>63</v>
      </c>
      <c r="D1082" t="n">
        <v>6</v>
      </c>
      <c r="E1082" t="inlineStr">
        <is>
          <t>Input</t>
        </is>
      </c>
      <c r="F1082" t="n">
        <v/>
      </c>
      <c r="G1082" t="n">
        <v>64.93000000000001</v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11</v>
      </c>
      <c r="M1082" t="inlineStr">
        <is>
          <t>Values must be of type &lt;class 'str'&gt;</t>
        </is>
      </c>
      <c r="N1082" t="inlineStr">
        <is>
          <t>00000000</t>
        </is>
      </c>
      <c r="O1082" t="n">
        <v/>
      </c>
      <c r="R1082" t="b">
        <v>1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</row>
    <row r="1083">
      <c r="A1083" t="inlineStr">
        <is>
          <t>ATF Fuel 2</t>
        </is>
      </c>
      <c r="B1083" t="inlineStr">
        <is>
          <t>G63</t>
        </is>
      </c>
      <c r="C1083" t="n">
        <v>63</v>
      </c>
      <c r="D1083" t="n">
        <v>7</v>
      </c>
      <c r="E1083" t="inlineStr">
        <is>
          <t>Output</t>
        </is>
      </c>
      <c r="F1083" t="inlineStr">
        <is>
          <t>'=F63/F62-1</t>
        </is>
      </c>
      <c r="G1083" t="n">
        <v>0.1282363162467421</v>
      </c>
      <c r="H1083" t="inlineStr"/>
      <c r="I1083" t="inlineStr">
        <is>
          <t>0%</t>
        </is>
      </c>
      <c r="J1083" t="b">
        <v>0</v>
      </c>
      <c r="K1083" t="b">
        <v>0</v>
      </c>
      <c r="L1083" t="n">
        <v>11</v>
      </c>
      <c r="M1083" t="inlineStr">
        <is>
          <t>Values must be of type &lt;class 'str'&gt;</t>
        </is>
      </c>
      <c r="N1083" t="inlineStr">
        <is>
          <t>00000000</t>
        </is>
      </c>
      <c r="O1083" t="n">
        <v/>
      </c>
      <c r="R1083" t="b">
        <v>1</v>
      </c>
      <c r="S1083" t="inlineStr">
        <is>
          <t>G000155</t>
        </is>
      </c>
      <c r="T1083" t="inlineStr">
        <is>
          <t>Vertical</t>
        </is>
      </c>
      <c r="U1083" t="n">
        <v>93</v>
      </c>
      <c r="V1083" t="b">
        <v>1</v>
      </c>
      <c r="W1083" t="inlineStr">
        <is>
          <t>ATF Fuel 2!G3:G95</t>
        </is>
      </c>
      <c r="X1083">
        <f>R[0]C[-1]/R[-1]C[-1]-1</f>
        <v/>
      </c>
    </row>
    <row r="1084">
      <c r="A1084" t="inlineStr">
        <is>
          <t>ATF Fuel 2</t>
        </is>
      </c>
      <c r="B1084" t="inlineStr">
        <is>
          <t>H63</t>
        </is>
      </c>
      <c r="C1084" t="n">
        <v>63</v>
      </c>
      <c r="D1084" t="n">
        <v>8</v>
      </c>
      <c r="E1084" t="inlineStr">
        <is>
          <t>Calculation</t>
        </is>
      </c>
      <c r="F1084" t="inlineStr">
        <is>
          <t>'=D63*F63</t>
        </is>
      </c>
      <c r="G1084" t="n">
        <v>4125.6522</v>
      </c>
      <c r="H1084" t="inlineStr"/>
      <c r="I1084" t="inlineStr">
        <is>
          <t>0</t>
        </is>
      </c>
      <c r="J1084" t="b">
        <v>0</v>
      </c>
      <c r="K1084" t="b">
        <v>0</v>
      </c>
      <c r="L1084" t="n">
        <v>11</v>
      </c>
      <c r="M1084" t="inlineStr">
        <is>
          <t>Values must be of type &lt;class 'str'&gt;</t>
        </is>
      </c>
      <c r="N1084" t="inlineStr">
        <is>
          <t>00000000</t>
        </is>
      </c>
      <c r="O1084" t="n">
        <v/>
      </c>
      <c r="R1084" t="b">
        <v>1</v>
      </c>
      <c r="S1084" t="inlineStr">
        <is>
          <t>G000152</t>
        </is>
      </c>
      <c r="T1084" t="inlineStr">
        <is>
          <t>Vertical</t>
        </is>
      </c>
      <c r="U1084" t="n">
        <v>98</v>
      </c>
      <c r="V1084" t="b">
        <v>1</v>
      </c>
      <c r="W1084" t="inlineStr">
        <is>
          <t>ATF Fuel 2!H2:H99</t>
        </is>
      </c>
      <c r="X1084">
        <f>R[0]C[-4]*R[0]C[-2]</f>
        <v/>
      </c>
    </row>
    <row r="1085">
      <c r="A1085" t="inlineStr">
        <is>
          <t>ATF Fuel 2</t>
        </is>
      </c>
      <c r="B1085" t="inlineStr">
        <is>
          <t>I63</t>
        </is>
      </c>
      <c r="C1085" t="n">
        <v>63</v>
      </c>
      <c r="D1085" t="n">
        <v>9</v>
      </c>
      <c r="E1085" t="inlineStr">
        <is>
          <t>Output</t>
        </is>
      </c>
      <c r="F1085" t="inlineStr">
        <is>
          <t>'=H63/H62-1</t>
        </is>
      </c>
      <c r="G1085" t="n">
        <v>0.1555147571617987</v>
      </c>
      <c r="H1085" t="inlineStr"/>
      <c r="I1085" t="inlineStr">
        <is>
          <t>0%</t>
        </is>
      </c>
      <c r="J1085" t="b">
        <v>0</v>
      </c>
      <c r="K1085" t="b">
        <v>0</v>
      </c>
      <c r="L1085" t="n">
        <v>11</v>
      </c>
      <c r="M1085" t="inlineStr">
        <is>
          <t>FFFF0000</t>
        </is>
      </c>
      <c r="N1085" t="inlineStr">
        <is>
          <t>00000000</t>
        </is>
      </c>
      <c r="O1085" t="n">
        <v/>
      </c>
      <c r="R1085" t="b">
        <v>1</v>
      </c>
      <c r="S1085" t="inlineStr">
        <is>
          <t>G000156</t>
        </is>
      </c>
      <c r="T1085" t="inlineStr">
        <is>
          <t>Vertical</t>
        </is>
      </c>
      <c r="U1085" t="n">
        <v>97</v>
      </c>
      <c r="V1085" t="b">
        <v>1</v>
      </c>
      <c r="W1085" t="inlineStr">
        <is>
          <t>ATF Fuel 2!I3:I99</t>
        </is>
      </c>
      <c r="X1085">
        <f>R[0]C[-1]/R[-1]C[-1]-1</f>
        <v/>
      </c>
    </row>
    <row r="1086">
      <c r="A1086" t="inlineStr">
        <is>
          <t>ATF Fuel 2</t>
        </is>
      </c>
      <c r="B1086" t="inlineStr">
        <is>
          <t>J63</t>
        </is>
      </c>
      <c r="C1086" t="n">
        <v>63</v>
      </c>
      <c r="D1086" t="n">
        <v>10</v>
      </c>
      <c r="E1086" t="inlineStr">
        <is>
          <t>Input</t>
        </is>
      </c>
      <c r="F1086" t="n">
        <v/>
      </c>
      <c r="G1086" t="n">
        <v>59.1</v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11</v>
      </c>
      <c r="M1086" t="inlineStr">
        <is>
          <t>Values must be of type &lt;class 'str'&gt;</t>
        </is>
      </c>
      <c r="N1086" t="inlineStr">
        <is>
          <t>00000000</t>
        </is>
      </c>
      <c r="O1086" t="n">
        <v/>
      </c>
      <c r="R1086" t="b">
        <v>1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</row>
    <row r="1087">
      <c r="A1087" t="inlineStr">
        <is>
          <t>ATF Fuel 2</t>
        </is>
      </c>
      <c r="B1087" t="inlineStr">
        <is>
          <t>K63</t>
        </is>
      </c>
      <c r="C1087" t="n">
        <v>63</v>
      </c>
      <c r="D1087" t="n">
        <v>11</v>
      </c>
      <c r="E1087" t="inlineStr">
        <is>
          <t>Output</t>
        </is>
      </c>
      <c r="F1087" t="inlineStr">
        <is>
          <t>'=J63/J62-1</t>
        </is>
      </c>
      <c r="G1087" t="n">
        <v>0.1791699920191541</v>
      </c>
      <c r="H1087" t="inlineStr"/>
      <c r="I1087" t="inlineStr">
        <is>
          <t>0%</t>
        </is>
      </c>
      <c r="J1087" t="b">
        <v>0</v>
      </c>
      <c r="K1087" t="b">
        <v>0</v>
      </c>
      <c r="L1087" t="n">
        <v>11</v>
      </c>
      <c r="M1087" t="inlineStr">
        <is>
          <t>Values must be of type &lt;class 'str'&gt;</t>
        </is>
      </c>
      <c r="N1087" t="inlineStr">
        <is>
          <t>00000000</t>
        </is>
      </c>
      <c r="O1087" t="n">
        <v/>
      </c>
      <c r="R1087" t="b">
        <v>1</v>
      </c>
      <c r="S1087" t="inlineStr">
        <is>
          <t>G000157</t>
        </is>
      </c>
      <c r="T1087" t="inlineStr">
        <is>
          <t>Vertical</t>
        </is>
      </c>
      <c r="U1087" t="n">
        <v>93</v>
      </c>
      <c r="V1087" t="b">
        <v>1</v>
      </c>
      <c r="W1087" t="inlineStr">
        <is>
          <t>ATF Fuel 2!K3:K95</t>
        </is>
      </c>
      <c r="X1087">
        <f>R[0]C[-1]/R[-1]C[-1]-1</f>
        <v/>
      </c>
    </row>
    <row r="1088">
      <c r="A1088" t="inlineStr">
        <is>
          <t>ATF Fuel 2</t>
        </is>
      </c>
      <c r="B1088" t="inlineStr">
        <is>
          <t>L63</t>
        </is>
      </c>
      <c r="C1088" t="n">
        <v>63</v>
      </c>
      <c r="D1088" t="n">
        <v>12</v>
      </c>
      <c r="E1088" t="inlineStr">
        <is>
          <t>Input</t>
        </is>
      </c>
      <c r="F1088" t="n">
        <v/>
      </c>
      <c r="G1088" t="inlineStr">
        <is>
          <t>May 01, 2015</t>
        </is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11</v>
      </c>
      <c r="M1088" t="inlineStr">
        <is>
          <t>Values must be of type &lt;class 'str'&gt;</t>
        </is>
      </c>
      <c r="N1088" t="inlineStr">
        <is>
          <t>00000000</t>
        </is>
      </c>
      <c r="O1088" t="inlineStr">
        <is>
          <t>left</t>
        </is>
      </c>
      <c r="R1088" t="b">
        <v>1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</row>
    <row r="1089">
      <c r="A1089" t="inlineStr">
        <is>
          <t>ATF Fuel 2</t>
        </is>
      </c>
      <c r="B1089" t="inlineStr">
        <is>
          <t>M63</t>
        </is>
      </c>
      <c r="C1089" t="n">
        <v>63</v>
      </c>
      <c r="D1089" t="n">
        <v>13</v>
      </c>
      <c r="E1089" t="inlineStr">
        <is>
          <t>Calculation</t>
        </is>
      </c>
      <c r="F1089" t="inlineStr">
        <is>
          <t>'=(1+(B63/B62)-1)*M62</t>
        </is>
      </c>
      <c r="G1089" t="n">
        <v>120.8002819542778</v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11</v>
      </c>
      <c r="M1089" t="inlineStr">
        <is>
          <t>Values must be of type &lt;class 'str'&gt;</t>
        </is>
      </c>
      <c r="N1089" t="inlineStr">
        <is>
          <t>00000000</t>
        </is>
      </c>
      <c r="O1089" t="inlineStr">
        <is>
          <t>left</t>
        </is>
      </c>
      <c r="R1089" t="b">
        <v>1</v>
      </c>
      <c r="S1089" t="inlineStr">
        <is>
          <t>G000159</t>
        </is>
      </c>
      <c r="T1089" t="inlineStr">
        <is>
          <t>Vertical</t>
        </is>
      </c>
      <c r="U1089" t="n">
        <v>92</v>
      </c>
      <c r="V1089" t="b">
        <v>1</v>
      </c>
      <c r="W1089" t="inlineStr">
        <is>
          <t>ATF Fuel 2!M3:M94</t>
        </is>
      </c>
      <c r="X1089">
        <f>(1+(R[0]C[-11]/R[-1]C[-11])-1)*R[-1]C[0]</f>
        <v/>
      </c>
    </row>
    <row r="1090">
      <c r="A1090" t="inlineStr">
        <is>
          <t>ATF Fuel 2</t>
        </is>
      </c>
      <c r="B1090" t="inlineStr">
        <is>
          <t>N63</t>
        </is>
      </c>
      <c r="C1090" t="n">
        <v>63</v>
      </c>
      <c r="D1090" t="n">
        <v>14</v>
      </c>
      <c r="E1090" t="inlineStr">
        <is>
          <t>Calculation</t>
        </is>
      </c>
      <c r="F1090" t="inlineStr">
        <is>
          <t>'=(1+(F63/F62)-1)*N62</t>
        </is>
      </c>
      <c r="G1090" t="n">
        <v>78.57920851990809</v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11</v>
      </c>
      <c r="M1090" t="inlineStr">
        <is>
          <t>Values must be of type &lt;class 'str'&gt;</t>
        </is>
      </c>
      <c r="N1090" t="inlineStr">
        <is>
          <t>00000000</t>
        </is>
      </c>
      <c r="O1090" t="inlineStr">
        <is>
          <t>left</t>
        </is>
      </c>
      <c r="R1090" t="b">
        <v>1</v>
      </c>
      <c r="S1090" t="inlineStr">
        <is>
          <t>G000160</t>
        </is>
      </c>
      <c r="T1090" t="inlineStr">
        <is>
          <t>Vertical</t>
        </is>
      </c>
      <c r="U1090" t="n">
        <v>92</v>
      </c>
      <c r="V1090" t="b">
        <v>1</v>
      </c>
      <c r="W1090" t="inlineStr">
        <is>
          <t>ATF Fuel 2!N3:N94</t>
        </is>
      </c>
      <c r="X1090">
        <f>(1+(R[0]C[-8]/R[-1]C[-8])-1)*R[-1]C[0]</f>
        <v/>
      </c>
    </row>
    <row r="1091">
      <c r="A1091" t="inlineStr">
        <is>
          <t>ATF Fuel 2</t>
        </is>
      </c>
      <c r="B1091" t="inlineStr">
        <is>
          <t>O63</t>
        </is>
      </c>
      <c r="C1091" t="n">
        <v>63</v>
      </c>
      <c r="D1091" t="n">
        <v>15</v>
      </c>
      <c r="E1091" t="inlineStr">
        <is>
          <t>Calculation</t>
        </is>
      </c>
      <c r="F1091" t="inlineStr">
        <is>
          <t>'=(1+(J63/J62)-1)*O62</t>
        </is>
      </c>
      <c r="G1091" t="n">
        <v>69.91600615166216</v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11</v>
      </c>
      <c r="M1091" t="inlineStr">
        <is>
          <t>Values must be of type &lt;class 'str'&gt;</t>
        </is>
      </c>
      <c r="N1091" t="inlineStr">
        <is>
          <t>00000000</t>
        </is>
      </c>
      <c r="O1091" t="inlineStr">
        <is>
          <t>left</t>
        </is>
      </c>
      <c r="R1091" t="b">
        <v>1</v>
      </c>
      <c r="S1091" t="inlineStr">
        <is>
          <t>G000162</t>
        </is>
      </c>
      <c r="T1091" t="inlineStr">
        <is>
          <t>Vertical</t>
        </is>
      </c>
      <c r="U1091" t="n">
        <v>92</v>
      </c>
      <c r="V1091" t="b">
        <v>1</v>
      </c>
      <c r="W1091" t="inlineStr">
        <is>
          <t>ATF Fuel 2!O3:O94</t>
        </is>
      </c>
      <c r="X1091">
        <f>(1+(R[0]C[-5]/R[-1]C[-5])-1)*R[-1]C[0]</f>
        <v/>
      </c>
    </row>
    <row r="1092">
      <c r="A1092" t="inlineStr">
        <is>
          <t>ATF Fuel 2</t>
        </is>
      </c>
      <c r="B1092" t="inlineStr">
        <is>
          <t>P63</t>
        </is>
      </c>
      <c r="C1092" t="n">
        <v>63</v>
      </c>
      <c r="D1092" t="n">
        <v>16</v>
      </c>
      <c r="E1092" t="inlineStr">
        <is>
          <t>Calculation</t>
        </is>
      </c>
      <c r="F1092" t="inlineStr">
        <is>
          <t>'=(1+(H63/H62)-1)*P62</t>
        </is>
      </c>
      <c r="G1092" t="n">
        <v>111.5487691991725</v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11</v>
      </c>
      <c r="M1092" t="inlineStr">
        <is>
          <t>Values must be of type &lt;class 'str'&gt;</t>
        </is>
      </c>
      <c r="N1092" t="inlineStr">
        <is>
          <t>00000000</t>
        </is>
      </c>
      <c r="O1092" t="inlineStr">
        <is>
          <t>left</t>
        </is>
      </c>
      <c r="R1092" t="b">
        <v>1</v>
      </c>
      <c r="S1092" t="inlineStr">
        <is>
          <t>G000161</t>
        </is>
      </c>
      <c r="T1092" t="inlineStr">
        <is>
          <t>Vertical</t>
        </is>
      </c>
      <c r="U1092" t="n">
        <v>92</v>
      </c>
      <c r="V1092" t="b">
        <v>1</v>
      </c>
      <c r="W1092" t="inlineStr">
        <is>
          <t>ATF Fuel 2!P3:P94</t>
        </is>
      </c>
      <c r="X1092">
        <f>(1+(R[0]C[-8]/R[-1]C[-8])-1)*R[-1]C[0]</f>
        <v/>
      </c>
    </row>
    <row r="1093">
      <c r="A1093" t="inlineStr">
        <is>
          <t>ATF Fuel 2</t>
        </is>
      </c>
      <c r="B1093" t="inlineStr">
        <is>
          <t>Q63</t>
        </is>
      </c>
      <c r="C1093" t="n">
        <v>63</v>
      </c>
      <c r="D1093" t="n">
        <v>17</v>
      </c>
      <c r="E1093" t="inlineStr">
        <is>
          <t>Output</t>
        </is>
      </c>
      <c r="F1093" t="inlineStr">
        <is>
          <t>'=M63/N63-1</t>
        </is>
      </c>
      <c r="G1093" t="n">
        <v>0.5373059137350946</v>
      </c>
      <c r="H1093" t="inlineStr"/>
      <c r="I1093" t="inlineStr">
        <is>
          <t>0.0%</t>
        </is>
      </c>
      <c r="J1093" t="b">
        <v>0</v>
      </c>
      <c r="K1093" t="b">
        <v>0</v>
      </c>
      <c r="L1093" t="n">
        <v>11</v>
      </c>
      <c r="M1093" t="inlineStr">
        <is>
          <t>Values must be of type &lt;class 'str'&gt;</t>
        </is>
      </c>
      <c r="N1093" t="inlineStr">
        <is>
          <t>00000000</t>
        </is>
      </c>
      <c r="O1093" t="n">
        <v/>
      </c>
      <c r="R1093" t="b">
        <v>1</v>
      </c>
      <c r="S1093" t="inlineStr">
        <is>
          <t>G000153</t>
        </is>
      </c>
      <c r="T1093" t="inlineStr">
        <is>
          <t>Vertical</t>
        </is>
      </c>
      <c r="U1093" t="n">
        <v>93</v>
      </c>
      <c r="V1093" t="b">
        <v>1</v>
      </c>
      <c r="W1093" t="inlineStr">
        <is>
          <t>ATF Fuel 2!Q2:Q94</t>
        </is>
      </c>
      <c r="X1093">
        <f>R[0]C[-4]/R[0]C[-3]-1</f>
        <v/>
      </c>
    </row>
    <row r="1094">
      <c r="A1094" t="inlineStr">
        <is>
          <t>ATF Fuel 2</t>
        </is>
      </c>
      <c r="B1094" t="inlineStr">
        <is>
          <t>A64</t>
        </is>
      </c>
      <c r="C1094" t="n">
        <v>64</v>
      </c>
      <c r="D1094" t="n">
        <v>1</v>
      </c>
      <c r="E1094" t="inlineStr">
        <is>
          <t>Input</t>
        </is>
      </c>
      <c r="F1094" t="n">
        <v/>
      </c>
      <c r="G1094" t="inlineStr">
        <is>
          <t>June 01, 2015</t>
        </is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11</v>
      </c>
      <c r="M1094" t="inlineStr">
        <is>
          <t>Values must be of type &lt;class 'str'&gt;</t>
        </is>
      </c>
      <c r="N1094" t="inlineStr">
        <is>
          <t>00000000</t>
        </is>
      </c>
      <c r="O1094" t="n">
        <v/>
      </c>
      <c r="R1094" t="b">
        <v>1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</row>
    <row r="1095">
      <c r="A1095" t="inlineStr">
        <is>
          <t>ATF Fuel 2</t>
        </is>
      </c>
      <c r="B1095" t="inlineStr">
        <is>
          <t>B64</t>
        </is>
      </c>
      <c r="C1095" t="n">
        <v>64</v>
      </c>
      <c r="D1095" t="n">
        <v>2</v>
      </c>
      <c r="E1095" t="inlineStr">
        <is>
          <t>Input</t>
        </is>
      </c>
      <c r="F1095" t="n">
        <v/>
      </c>
      <c r="G1095" t="n">
        <v>57433.275</v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11</v>
      </c>
      <c r="M1095" t="inlineStr">
        <is>
          <t>Values must be of type &lt;class 'str'&gt;</t>
        </is>
      </c>
      <c r="N1095" t="inlineStr">
        <is>
          <t>00000000</t>
        </is>
      </c>
      <c r="O1095" t="n">
        <v/>
      </c>
      <c r="R1095" t="b">
        <v>1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</row>
    <row r="1096">
      <c r="A1096" t="inlineStr">
        <is>
          <t>ATF Fuel 2</t>
        </is>
      </c>
      <c r="B1096" t="inlineStr">
        <is>
          <t>C64</t>
        </is>
      </c>
      <c r="C1096" t="n">
        <v>64</v>
      </c>
      <c r="D1096" t="n">
        <v>3</v>
      </c>
      <c r="E1096" t="inlineStr">
        <is>
          <t>Output</t>
        </is>
      </c>
      <c r="F1096" t="inlineStr">
        <is>
          <t>'=B64/B63-1</t>
        </is>
      </c>
      <c r="G1096" t="n">
        <v>0.0717326206646276</v>
      </c>
      <c r="H1096" t="inlineStr"/>
      <c r="I1096" t="inlineStr">
        <is>
          <t>0%</t>
        </is>
      </c>
      <c r="J1096" t="b">
        <v>0</v>
      </c>
      <c r="K1096" t="b">
        <v>0</v>
      </c>
      <c r="L1096" t="n">
        <v>11</v>
      </c>
      <c r="M1096" t="n">
        <v/>
      </c>
      <c r="N1096" t="inlineStr">
        <is>
          <t>00000000</t>
        </is>
      </c>
      <c r="O1096" t="n">
        <v/>
      </c>
      <c r="R1096" t="b">
        <v>1</v>
      </c>
      <c r="S1096" t="inlineStr">
        <is>
          <t>G000154</t>
        </is>
      </c>
      <c r="T1096" t="inlineStr">
        <is>
          <t>Vertical</t>
        </is>
      </c>
      <c r="U1096" t="n">
        <v>92</v>
      </c>
      <c r="V1096" t="b">
        <v>1</v>
      </c>
      <c r="W1096" t="inlineStr">
        <is>
          <t>ATF Fuel 2!C3:C94</t>
        </is>
      </c>
      <c r="X1096">
        <f>R[0]C[-1]/R[-1]C[-1]-1</f>
        <v/>
      </c>
    </row>
    <row r="1097">
      <c r="A1097" t="inlineStr">
        <is>
          <t>ATF Fuel 2</t>
        </is>
      </c>
      <c r="B1097" t="inlineStr">
        <is>
          <t>D64</t>
        </is>
      </c>
      <c r="C1097" t="n">
        <v>64</v>
      </c>
      <c r="D1097" t="n">
        <v>4</v>
      </c>
      <c r="E1097" t="inlineStr">
        <is>
          <t>Input</t>
        </is>
      </c>
      <c r="F1097" t="n">
        <v/>
      </c>
      <c r="G1097" t="n">
        <v>63.8</v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11</v>
      </c>
      <c r="M1097" t="inlineStr">
        <is>
          <t>Values must be of type &lt;class 'str'&gt;</t>
        </is>
      </c>
      <c r="N1097" t="inlineStr">
        <is>
          <t>00000000</t>
        </is>
      </c>
      <c r="O1097" t="n">
        <v/>
      </c>
      <c r="R1097" t="b">
        <v>1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</row>
    <row r="1098">
      <c r="A1098" t="inlineStr">
        <is>
          <t>ATF Fuel 2</t>
        </is>
      </c>
      <c r="B1098" t="inlineStr">
        <is>
          <t>E64</t>
        </is>
      </c>
      <c r="C1098" t="n">
        <v>64</v>
      </c>
      <c r="D1098" t="n">
        <v>5</v>
      </c>
      <c r="E1098" t="inlineStr">
        <is>
          <t>Output</t>
        </is>
      </c>
      <c r="F1098" t="inlineStr">
        <is>
          <t>'=B64/B63-1</t>
        </is>
      </c>
      <c r="G1098" t="n">
        <v>0.0717326206646276</v>
      </c>
      <c r="H1098" t="inlineStr"/>
      <c r="I1098" t="inlineStr">
        <is>
          <t>0%</t>
        </is>
      </c>
      <c r="J1098" t="b">
        <v>0</v>
      </c>
      <c r="K1098" t="b">
        <v>0</v>
      </c>
      <c r="L1098" t="n">
        <v>11</v>
      </c>
      <c r="M1098" t="inlineStr">
        <is>
          <t>Values must be of type &lt;class 'str'&gt;</t>
        </is>
      </c>
      <c r="N1098" t="inlineStr">
        <is>
          <t>00000000</t>
        </is>
      </c>
      <c r="O1098" t="n">
        <v/>
      </c>
      <c r="R1098" t="b">
        <v>1</v>
      </c>
      <c r="S1098" t="inlineStr">
        <is>
          <t>G000158</t>
        </is>
      </c>
      <c r="T1098" t="inlineStr">
        <is>
          <t>Vertical</t>
        </is>
      </c>
      <c r="U1098" t="n">
        <v>92</v>
      </c>
      <c r="V1098" t="b">
        <v>1</v>
      </c>
      <c r="W1098" t="inlineStr">
        <is>
          <t>ATF Fuel 2!E3:E94</t>
        </is>
      </c>
      <c r="X1098">
        <f>R[0]C[-3]/R[-1]C[-3]-1</f>
        <v/>
      </c>
    </row>
    <row r="1099">
      <c r="A1099" t="inlineStr">
        <is>
          <t>ATF Fuel 2</t>
        </is>
      </c>
      <c r="B1099" t="inlineStr">
        <is>
          <t>F64</t>
        </is>
      </c>
      <c r="C1099" t="n">
        <v>64</v>
      </c>
      <c r="D1099" t="n">
        <v>6</v>
      </c>
      <c r="E1099" t="inlineStr">
        <is>
          <t>Input</t>
        </is>
      </c>
      <c r="F1099" t="n">
        <v/>
      </c>
      <c r="G1099" t="n">
        <v>60.36</v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11</v>
      </c>
      <c r="M1099" t="inlineStr">
        <is>
          <t>Values must be of type &lt;class 'str'&gt;</t>
        </is>
      </c>
      <c r="N1099" t="inlineStr">
        <is>
          <t>00000000</t>
        </is>
      </c>
      <c r="O1099" t="n">
        <v/>
      </c>
      <c r="R1099" t="b">
        <v>1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</row>
    <row r="1100">
      <c r="A1100" t="inlineStr">
        <is>
          <t>ATF Fuel 2</t>
        </is>
      </c>
      <c r="B1100" t="inlineStr">
        <is>
          <t>G64</t>
        </is>
      </c>
      <c r="C1100" t="n">
        <v>64</v>
      </c>
      <c r="D1100" t="n">
        <v>7</v>
      </c>
      <c r="E1100" t="inlineStr">
        <is>
          <t>Output</t>
        </is>
      </c>
      <c r="F1100" t="inlineStr">
        <is>
          <t>'=F64/F63-1</t>
        </is>
      </c>
      <c r="G1100" t="n">
        <v>-0.07038348991221322</v>
      </c>
      <c r="H1100" t="inlineStr"/>
      <c r="I1100" t="inlineStr">
        <is>
          <t>0%</t>
        </is>
      </c>
      <c r="J1100" t="b">
        <v>0</v>
      </c>
      <c r="K1100" t="b">
        <v>0</v>
      </c>
      <c r="L1100" t="n">
        <v>11</v>
      </c>
      <c r="M1100" t="inlineStr">
        <is>
          <t>Values must be of type &lt;class 'str'&gt;</t>
        </is>
      </c>
      <c r="N1100" t="inlineStr">
        <is>
          <t>00000000</t>
        </is>
      </c>
      <c r="O1100" t="n">
        <v/>
      </c>
      <c r="R1100" t="b">
        <v>1</v>
      </c>
      <c r="S1100" t="inlineStr">
        <is>
          <t>G000155</t>
        </is>
      </c>
      <c r="T1100" t="inlineStr">
        <is>
          <t>Vertical</t>
        </is>
      </c>
      <c r="U1100" t="n">
        <v>93</v>
      </c>
      <c r="V1100" t="b">
        <v>1</v>
      </c>
      <c r="W1100" t="inlineStr">
        <is>
          <t>ATF Fuel 2!G3:G95</t>
        </is>
      </c>
      <c r="X1100">
        <f>R[0]C[-1]/R[-1]C[-1]-1</f>
        <v/>
      </c>
    </row>
    <row r="1101">
      <c r="A1101" t="inlineStr">
        <is>
          <t>ATF Fuel 2</t>
        </is>
      </c>
      <c r="B1101" t="inlineStr">
        <is>
          <t>H64</t>
        </is>
      </c>
      <c r="C1101" t="n">
        <v>64</v>
      </c>
      <c r="D1101" t="n">
        <v>8</v>
      </c>
      <c r="E1101" t="inlineStr">
        <is>
          <t>Calculation</t>
        </is>
      </c>
      <c r="F1101" t="inlineStr">
        <is>
          <t>'=D64*F64</t>
        </is>
      </c>
      <c r="G1101" t="n">
        <v>3850.968</v>
      </c>
      <c r="H1101" t="inlineStr"/>
      <c r="I1101" t="inlineStr">
        <is>
          <t>0</t>
        </is>
      </c>
      <c r="J1101" t="b">
        <v>0</v>
      </c>
      <c r="K1101" t="b">
        <v>0</v>
      </c>
      <c r="L1101" t="n">
        <v>11</v>
      </c>
      <c r="M1101" t="inlineStr">
        <is>
          <t>Values must be of type &lt;class 'str'&gt;</t>
        </is>
      </c>
      <c r="N1101" t="inlineStr">
        <is>
          <t>00000000</t>
        </is>
      </c>
      <c r="O1101" t="n">
        <v/>
      </c>
      <c r="R1101" t="b">
        <v>1</v>
      </c>
      <c r="S1101" t="inlineStr">
        <is>
          <t>G000152</t>
        </is>
      </c>
      <c r="T1101" t="inlineStr">
        <is>
          <t>Vertical</t>
        </is>
      </c>
      <c r="U1101" t="n">
        <v>98</v>
      </c>
      <c r="V1101" t="b">
        <v>1</v>
      </c>
      <c r="W1101" t="inlineStr">
        <is>
          <t>ATF Fuel 2!H2:H99</t>
        </is>
      </c>
      <c r="X1101">
        <f>R[0]C[-4]*R[0]C[-2]</f>
        <v/>
      </c>
    </row>
    <row r="1102">
      <c r="A1102" t="inlineStr">
        <is>
          <t>ATF Fuel 2</t>
        </is>
      </c>
      <c r="B1102" t="inlineStr">
        <is>
          <t>I64</t>
        </is>
      </c>
      <c r="C1102" t="n">
        <v>64</v>
      </c>
      <c r="D1102" t="n">
        <v>9</v>
      </c>
      <c r="E1102" t="inlineStr">
        <is>
          <t>Output</t>
        </is>
      </c>
      <c r="F1102" t="inlineStr">
        <is>
          <t>'=H64/H63-1</t>
        </is>
      </c>
      <c r="G1102" t="n">
        <v>-0.06657958225368599</v>
      </c>
      <c r="H1102" t="inlineStr"/>
      <c r="I1102" t="inlineStr">
        <is>
          <t>0%</t>
        </is>
      </c>
      <c r="J1102" t="b">
        <v>0</v>
      </c>
      <c r="K1102" t="b">
        <v>0</v>
      </c>
      <c r="L1102" t="n">
        <v>11</v>
      </c>
      <c r="M1102" t="inlineStr">
        <is>
          <t>FFFF0000</t>
        </is>
      </c>
      <c r="N1102" t="inlineStr">
        <is>
          <t>00000000</t>
        </is>
      </c>
      <c r="O1102" t="n">
        <v/>
      </c>
      <c r="R1102" t="b">
        <v>1</v>
      </c>
      <c r="S1102" t="inlineStr">
        <is>
          <t>G000156</t>
        </is>
      </c>
      <c r="T1102" t="inlineStr">
        <is>
          <t>Vertical</t>
        </is>
      </c>
      <c r="U1102" t="n">
        <v>97</v>
      </c>
      <c r="V1102" t="b">
        <v>1</v>
      </c>
      <c r="W1102" t="inlineStr">
        <is>
          <t>ATF Fuel 2!I3:I99</t>
        </is>
      </c>
      <c r="X1102">
        <f>R[0]C[-1]/R[-1]C[-1]-1</f>
        <v/>
      </c>
    </row>
    <row r="1103">
      <c r="A1103" t="inlineStr">
        <is>
          <t>ATF Fuel 2</t>
        </is>
      </c>
      <c r="B1103" t="inlineStr">
        <is>
          <t>J64</t>
        </is>
      </c>
      <c r="C1103" t="n">
        <v>64</v>
      </c>
      <c r="D1103" t="n">
        <v>10</v>
      </c>
      <c r="E1103" t="inlineStr">
        <is>
          <t>Input</t>
        </is>
      </c>
      <c r="F1103" t="n">
        <v/>
      </c>
      <c r="G1103" t="n">
        <v>60.24</v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11</v>
      </c>
      <c r="M1103" t="inlineStr">
        <is>
          <t>Values must be of type &lt;class 'str'&gt;</t>
        </is>
      </c>
      <c r="N1103" t="inlineStr">
        <is>
          <t>00000000</t>
        </is>
      </c>
      <c r="O1103" t="n">
        <v/>
      </c>
      <c r="R1103" t="b">
        <v>1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</row>
    <row r="1104">
      <c r="A1104" t="inlineStr">
        <is>
          <t>ATF Fuel 2</t>
        </is>
      </c>
      <c r="B1104" t="inlineStr">
        <is>
          <t>K64</t>
        </is>
      </c>
      <c r="C1104" t="n">
        <v>64</v>
      </c>
      <c r="D1104" t="n">
        <v>11</v>
      </c>
      <c r="E1104" t="inlineStr">
        <is>
          <t>Output</t>
        </is>
      </c>
      <c r="F1104" t="inlineStr">
        <is>
          <t>'=J64/J63-1</t>
        </is>
      </c>
      <c r="G1104" t="n">
        <v>0.01928934010152283</v>
      </c>
      <c r="H1104" t="inlineStr"/>
      <c r="I1104" t="inlineStr">
        <is>
          <t>0%</t>
        </is>
      </c>
      <c r="J1104" t="b">
        <v>0</v>
      </c>
      <c r="K1104" t="b">
        <v>0</v>
      </c>
      <c r="L1104" t="n">
        <v>11</v>
      </c>
      <c r="M1104" t="inlineStr">
        <is>
          <t>Values must be of type &lt;class 'str'&gt;</t>
        </is>
      </c>
      <c r="N1104" t="inlineStr">
        <is>
          <t>00000000</t>
        </is>
      </c>
      <c r="O1104" t="n">
        <v/>
      </c>
      <c r="R1104" t="b">
        <v>1</v>
      </c>
      <c r="S1104" t="inlineStr">
        <is>
          <t>G000157</t>
        </is>
      </c>
      <c r="T1104" t="inlineStr">
        <is>
          <t>Vertical</t>
        </is>
      </c>
      <c r="U1104" t="n">
        <v>93</v>
      </c>
      <c r="V1104" t="b">
        <v>1</v>
      </c>
      <c r="W1104" t="inlineStr">
        <is>
          <t>ATF Fuel 2!K3:K95</t>
        </is>
      </c>
      <c r="X1104">
        <f>R[0]C[-1]/R[-1]C[-1]-1</f>
        <v/>
      </c>
    </row>
    <row r="1105">
      <c r="A1105" t="inlineStr">
        <is>
          <t>ATF Fuel 2</t>
        </is>
      </c>
      <c r="B1105" t="inlineStr">
        <is>
          <t>L64</t>
        </is>
      </c>
      <c r="C1105" t="n">
        <v>64</v>
      </c>
      <c r="D1105" t="n">
        <v>12</v>
      </c>
      <c r="E1105" t="inlineStr">
        <is>
          <t>Input</t>
        </is>
      </c>
      <c r="F1105" t="n">
        <v/>
      </c>
      <c r="G1105" t="inlineStr">
        <is>
          <t>June 01, 2015</t>
        </is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11</v>
      </c>
      <c r="M1105" t="inlineStr">
        <is>
          <t>Values must be of type &lt;class 'str'&gt;</t>
        </is>
      </c>
      <c r="N1105" t="inlineStr">
        <is>
          <t>00000000</t>
        </is>
      </c>
      <c r="O1105" t="inlineStr">
        <is>
          <t>left</t>
        </is>
      </c>
      <c r="R1105" t="b">
        <v>1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</row>
    <row r="1106">
      <c r="A1106" t="inlineStr">
        <is>
          <t>ATF Fuel 2</t>
        </is>
      </c>
      <c r="B1106" t="inlineStr">
        <is>
          <t>M64</t>
        </is>
      </c>
      <c r="C1106" t="n">
        <v>64</v>
      </c>
      <c r="D1106" t="n">
        <v>13</v>
      </c>
      <c r="E1106" t="inlineStr">
        <is>
          <t>Calculation</t>
        </is>
      </c>
      <c r="F1106" t="inlineStr">
        <is>
          <t>'=(1+(B64/B63)-1)*M63</t>
        </is>
      </c>
      <c r="G1106" t="n">
        <v>129.4656027558841</v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11</v>
      </c>
      <c r="M1106" t="inlineStr">
        <is>
          <t>Values must be of type &lt;class 'str'&gt;</t>
        </is>
      </c>
      <c r="N1106" t="inlineStr">
        <is>
          <t>00000000</t>
        </is>
      </c>
      <c r="O1106" t="inlineStr">
        <is>
          <t>left</t>
        </is>
      </c>
      <c r="R1106" t="b">
        <v>1</v>
      </c>
      <c r="S1106" t="inlineStr">
        <is>
          <t>G000159</t>
        </is>
      </c>
      <c r="T1106" t="inlineStr">
        <is>
          <t>Vertical</t>
        </is>
      </c>
      <c r="U1106" t="n">
        <v>92</v>
      </c>
      <c r="V1106" t="b">
        <v>1</v>
      </c>
      <c r="W1106" t="inlineStr">
        <is>
          <t>ATF Fuel 2!M3:M94</t>
        </is>
      </c>
      <c r="X1106">
        <f>(1+(R[0]C[-11]/R[-1]C[-11])-1)*R[-1]C[0]</f>
        <v/>
      </c>
    </row>
    <row r="1107">
      <c r="A1107" t="inlineStr">
        <is>
          <t>ATF Fuel 2</t>
        </is>
      </c>
      <c r="B1107" t="inlineStr">
        <is>
          <t>N64</t>
        </is>
      </c>
      <c r="C1107" t="n">
        <v>64</v>
      </c>
      <c r="D1107" t="n">
        <v>14</v>
      </c>
      <c r="E1107" t="inlineStr">
        <is>
          <t>Calculation</t>
        </is>
      </c>
      <c r="F1107" t="inlineStr">
        <is>
          <t>'=(1+(F64/F63)-1)*N63</t>
        </is>
      </c>
      <c r="G1107" t="n">
        <v>73.04852958973746</v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11</v>
      </c>
      <c r="M1107" t="inlineStr">
        <is>
          <t>Values must be of type &lt;class 'str'&gt;</t>
        </is>
      </c>
      <c r="N1107" t="inlineStr">
        <is>
          <t>00000000</t>
        </is>
      </c>
      <c r="O1107" t="inlineStr">
        <is>
          <t>left</t>
        </is>
      </c>
      <c r="R1107" t="b">
        <v>1</v>
      </c>
      <c r="S1107" t="inlineStr">
        <is>
          <t>G000160</t>
        </is>
      </c>
      <c r="T1107" t="inlineStr">
        <is>
          <t>Vertical</t>
        </is>
      </c>
      <c r="U1107" t="n">
        <v>92</v>
      </c>
      <c r="V1107" t="b">
        <v>1</v>
      </c>
      <c r="W1107" t="inlineStr">
        <is>
          <t>ATF Fuel 2!N3:N94</t>
        </is>
      </c>
      <c r="X1107">
        <f>(1+(R[0]C[-8]/R[-1]C[-8])-1)*R[-1]C[0]</f>
        <v/>
      </c>
    </row>
    <row r="1108">
      <c r="A1108" t="inlineStr">
        <is>
          <t>ATF Fuel 2</t>
        </is>
      </c>
      <c r="B1108" t="inlineStr">
        <is>
          <t>O64</t>
        </is>
      </c>
      <c r="C1108" t="n">
        <v>64</v>
      </c>
      <c r="D1108" t="n">
        <v>15</v>
      </c>
      <c r="E1108" t="inlineStr">
        <is>
          <t>Calculation</t>
        </is>
      </c>
      <c r="F1108" t="inlineStr">
        <is>
          <t>'=(1+(J64/J63)-1)*O63</t>
        </is>
      </c>
      <c r="G1108" t="n">
        <v>71.26463977286171</v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11</v>
      </c>
      <c r="M1108" t="inlineStr">
        <is>
          <t>Values must be of type &lt;class 'str'&gt;</t>
        </is>
      </c>
      <c r="N1108" t="inlineStr">
        <is>
          <t>00000000</t>
        </is>
      </c>
      <c r="O1108" t="inlineStr">
        <is>
          <t>left</t>
        </is>
      </c>
      <c r="R1108" t="b">
        <v>1</v>
      </c>
      <c r="S1108" t="inlineStr">
        <is>
          <t>G000162</t>
        </is>
      </c>
      <c r="T1108" t="inlineStr">
        <is>
          <t>Vertical</t>
        </is>
      </c>
      <c r="U1108" t="n">
        <v>92</v>
      </c>
      <c r="V1108" t="b">
        <v>1</v>
      </c>
      <c r="W1108" t="inlineStr">
        <is>
          <t>ATF Fuel 2!O3:O94</t>
        </is>
      </c>
      <c r="X1108">
        <f>(1+(R[0]C[-5]/R[-1]C[-5])-1)*R[-1]C[0]</f>
        <v/>
      </c>
    </row>
    <row r="1109">
      <c r="A1109" t="inlineStr">
        <is>
          <t>ATF Fuel 2</t>
        </is>
      </c>
      <c r="B1109" t="inlineStr">
        <is>
          <t>P64</t>
        </is>
      </c>
      <c r="C1109" t="n">
        <v>64</v>
      </c>
      <c r="D1109" t="n">
        <v>16</v>
      </c>
      <c r="E1109" t="inlineStr">
        <is>
          <t>Calculation</t>
        </is>
      </c>
      <c r="F1109" t="inlineStr">
        <is>
          <t>'=(1+(H64/H63)-1)*P63</t>
        </is>
      </c>
      <c r="G1109" t="n">
        <v>104.1218987449787</v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11</v>
      </c>
      <c r="M1109" t="inlineStr">
        <is>
          <t>Values must be of type &lt;class 'str'&gt;</t>
        </is>
      </c>
      <c r="N1109" t="inlineStr">
        <is>
          <t>00000000</t>
        </is>
      </c>
      <c r="O1109" t="inlineStr">
        <is>
          <t>left</t>
        </is>
      </c>
      <c r="R1109" t="b">
        <v>1</v>
      </c>
      <c r="S1109" t="inlineStr">
        <is>
          <t>G000161</t>
        </is>
      </c>
      <c r="T1109" t="inlineStr">
        <is>
          <t>Vertical</t>
        </is>
      </c>
      <c r="U1109" t="n">
        <v>92</v>
      </c>
      <c r="V1109" t="b">
        <v>1</v>
      </c>
      <c r="W1109" t="inlineStr">
        <is>
          <t>ATF Fuel 2!P3:P94</t>
        </is>
      </c>
      <c r="X1109">
        <f>(1+(R[0]C[-8]/R[-1]C[-8])-1)*R[-1]C[0]</f>
        <v/>
      </c>
    </row>
    <row r="1110">
      <c r="A1110" t="inlineStr">
        <is>
          <t>ATF Fuel 2</t>
        </is>
      </c>
      <c r="B1110" t="inlineStr">
        <is>
          <t>Q64</t>
        </is>
      </c>
      <c r="C1110" t="n">
        <v>64</v>
      </c>
      <c r="D1110" t="n">
        <v>17</v>
      </c>
      <c r="E1110" t="inlineStr">
        <is>
          <t>Output</t>
        </is>
      </c>
      <c r="F1110" t="inlineStr">
        <is>
          <t>'=M64/N64-1</t>
        </is>
      </c>
      <c r="G1110" t="n">
        <v>0.7723231868321232</v>
      </c>
      <c r="H1110" t="inlineStr"/>
      <c r="I1110" t="inlineStr">
        <is>
          <t>0.0%</t>
        </is>
      </c>
      <c r="J1110" t="b">
        <v>0</v>
      </c>
      <c r="K1110" t="b">
        <v>0</v>
      </c>
      <c r="L1110" t="n">
        <v>11</v>
      </c>
      <c r="M1110" t="inlineStr">
        <is>
          <t>Values must be of type &lt;class 'str'&gt;</t>
        </is>
      </c>
      <c r="N1110" t="inlineStr">
        <is>
          <t>00000000</t>
        </is>
      </c>
      <c r="O1110" t="n">
        <v/>
      </c>
      <c r="R1110" t="b">
        <v>1</v>
      </c>
      <c r="S1110" t="inlineStr">
        <is>
          <t>G000153</t>
        </is>
      </c>
      <c r="T1110" t="inlineStr">
        <is>
          <t>Vertical</t>
        </is>
      </c>
      <c r="U1110" t="n">
        <v>93</v>
      </c>
      <c r="V1110" t="b">
        <v>1</v>
      </c>
      <c r="W1110" t="inlineStr">
        <is>
          <t>ATF Fuel 2!Q2:Q94</t>
        </is>
      </c>
      <c r="X1110">
        <f>R[0]C[-4]/R[0]C[-3]-1</f>
        <v/>
      </c>
    </row>
    <row r="1111">
      <c r="A1111" t="inlineStr">
        <is>
          <t>ATF Fuel 2</t>
        </is>
      </c>
      <c r="B1111" t="inlineStr">
        <is>
          <t>A65</t>
        </is>
      </c>
      <c r="C1111" t="n">
        <v>65</v>
      </c>
      <c r="D1111" t="n">
        <v>1</v>
      </c>
      <c r="E1111" t="inlineStr">
        <is>
          <t>Input</t>
        </is>
      </c>
      <c r="F1111" t="n">
        <v/>
      </c>
      <c r="G1111" t="inlineStr">
        <is>
          <t>July 01, 2015</t>
        </is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11</v>
      </c>
      <c r="M1111" t="inlineStr">
        <is>
          <t>Values must be of type &lt;class 'str'&gt;</t>
        </is>
      </c>
      <c r="N1111" t="inlineStr">
        <is>
          <t>00000000</t>
        </is>
      </c>
      <c r="O1111" t="n">
        <v/>
      </c>
      <c r="R1111" t="b">
        <v>1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</row>
    <row r="1112">
      <c r="A1112" t="inlineStr">
        <is>
          <t>ATF Fuel 2</t>
        </is>
      </c>
      <c r="B1112" t="inlineStr">
        <is>
          <t>B65</t>
        </is>
      </c>
      <c r="C1112" t="n">
        <v>65</v>
      </c>
      <c r="D1112" t="n">
        <v>2</v>
      </c>
      <c r="E1112" t="inlineStr">
        <is>
          <t>Input</t>
        </is>
      </c>
      <c r="F1112" t="n">
        <v/>
      </c>
      <c r="G1112" t="n">
        <v>55291.01</v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11</v>
      </c>
      <c r="M1112" t="inlineStr">
        <is>
          <t>Values must be of type &lt;class 'str'&gt;</t>
        </is>
      </c>
      <c r="N1112" t="inlineStr">
        <is>
          <t>00000000</t>
        </is>
      </c>
      <c r="O1112" t="n">
        <v/>
      </c>
      <c r="R1112" t="b">
        <v>1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</row>
    <row r="1113">
      <c r="A1113" t="inlineStr">
        <is>
          <t>ATF Fuel 2</t>
        </is>
      </c>
      <c r="B1113" t="inlineStr">
        <is>
          <t>C65</t>
        </is>
      </c>
      <c r="C1113" t="n">
        <v>65</v>
      </c>
      <c r="D1113" t="n">
        <v>3</v>
      </c>
      <c r="E1113" t="inlineStr">
        <is>
          <t>Output</t>
        </is>
      </c>
      <c r="F1113" t="inlineStr">
        <is>
          <t>'=B65/B64-1</t>
        </is>
      </c>
      <c r="G1113" t="n">
        <v>-0.03730006690372434</v>
      </c>
      <c r="H1113" t="inlineStr"/>
      <c r="I1113" t="inlineStr">
        <is>
          <t>0%</t>
        </is>
      </c>
      <c r="J1113" t="b">
        <v>0</v>
      </c>
      <c r="K1113" t="b">
        <v>0</v>
      </c>
      <c r="L1113" t="n">
        <v>11</v>
      </c>
      <c r="M1113" t="n">
        <v/>
      </c>
      <c r="N1113" t="inlineStr">
        <is>
          <t>00000000</t>
        </is>
      </c>
      <c r="O1113" t="n">
        <v/>
      </c>
      <c r="R1113" t="b">
        <v>1</v>
      </c>
      <c r="S1113" t="inlineStr">
        <is>
          <t>G000154</t>
        </is>
      </c>
      <c r="T1113" t="inlineStr">
        <is>
          <t>Vertical</t>
        </is>
      </c>
      <c r="U1113" t="n">
        <v>92</v>
      </c>
      <c r="V1113" t="b">
        <v>1</v>
      </c>
      <c r="W1113" t="inlineStr">
        <is>
          <t>ATF Fuel 2!C3:C94</t>
        </is>
      </c>
      <c r="X1113">
        <f>R[0]C[-1]/R[-1]C[-1]-1</f>
        <v/>
      </c>
    </row>
    <row r="1114">
      <c r="A1114" t="inlineStr">
        <is>
          <t>ATF Fuel 2</t>
        </is>
      </c>
      <c r="B1114" t="inlineStr">
        <is>
          <t>D65</t>
        </is>
      </c>
      <c r="C1114" t="n">
        <v>65</v>
      </c>
      <c r="D1114" t="n">
        <v>4</v>
      </c>
      <c r="E1114" t="inlineStr">
        <is>
          <t>Input</t>
        </is>
      </c>
      <c r="F1114" t="n">
        <v/>
      </c>
      <c r="G1114" t="n">
        <v>63.66</v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11</v>
      </c>
      <c r="M1114" t="inlineStr">
        <is>
          <t>Values must be of type &lt;class 'str'&gt;</t>
        </is>
      </c>
      <c r="N1114" t="inlineStr">
        <is>
          <t>00000000</t>
        </is>
      </c>
      <c r="O1114" t="n">
        <v/>
      </c>
      <c r="R1114" t="b">
        <v>1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</row>
    <row r="1115">
      <c r="A1115" t="inlineStr">
        <is>
          <t>ATF Fuel 2</t>
        </is>
      </c>
      <c r="B1115" t="inlineStr">
        <is>
          <t>E65</t>
        </is>
      </c>
      <c r="C1115" t="n">
        <v>65</v>
      </c>
      <c r="D1115" t="n">
        <v>5</v>
      </c>
      <c r="E1115" t="inlineStr">
        <is>
          <t>Output</t>
        </is>
      </c>
      <c r="F1115" t="inlineStr">
        <is>
          <t>'=B65/B64-1</t>
        </is>
      </c>
      <c r="G1115" t="n">
        <v>-0.03730006690372434</v>
      </c>
      <c r="H1115" t="inlineStr"/>
      <c r="I1115" t="inlineStr">
        <is>
          <t>0%</t>
        </is>
      </c>
      <c r="J1115" t="b">
        <v>0</v>
      </c>
      <c r="K1115" t="b">
        <v>0</v>
      </c>
      <c r="L1115" t="n">
        <v>11</v>
      </c>
      <c r="M1115" t="inlineStr">
        <is>
          <t>Values must be of type &lt;class 'str'&gt;</t>
        </is>
      </c>
      <c r="N1115" t="inlineStr">
        <is>
          <t>00000000</t>
        </is>
      </c>
      <c r="O1115" t="n">
        <v/>
      </c>
      <c r="R1115" t="b">
        <v>1</v>
      </c>
      <c r="S1115" t="inlineStr">
        <is>
          <t>G000158</t>
        </is>
      </c>
      <c r="T1115" t="inlineStr">
        <is>
          <t>Vertical</t>
        </is>
      </c>
      <c r="U1115" t="n">
        <v>92</v>
      </c>
      <c r="V1115" t="b">
        <v>1</v>
      </c>
      <c r="W1115" t="inlineStr">
        <is>
          <t>ATF Fuel 2!E3:E94</t>
        </is>
      </c>
      <c r="X1115">
        <f>R[0]C[-3]/R[-1]C[-3]-1</f>
        <v/>
      </c>
    </row>
    <row r="1116">
      <c r="A1116" t="inlineStr">
        <is>
          <t>ATF Fuel 2</t>
        </is>
      </c>
      <c r="B1116" t="inlineStr">
        <is>
          <t>F65</t>
        </is>
      </c>
      <c r="C1116" t="n">
        <v>65</v>
      </c>
      <c r="D1116" t="n">
        <v>6</v>
      </c>
      <c r="E1116" t="inlineStr">
        <is>
          <t>Input</t>
        </is>
      </c>
      <c r="F1116" t="n">
        <v/>
      </c>
      <c r="G1116" t="n">
        <v>54.72</v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11</v>
      </c>
      <c r="M1116" t="inlineStr">
        <is>
          <t>Values must be of type &lt;class 'str'&gt;</t>
        </is>
      </c>
      <c r="N1116" t="inlineStr">
        <is>
          <t>00000000</t>
        </is>
      </c>
      <c r="O1116" t="n">
        <v/>
      </c>
      <c r="R1116" t="b">
        <v>1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</row>
    <row r="1117">
      <c r="A1117" t="inlineStr">
        <is>
          <t>ATF Fuel 2</t>
        </is>
      </c>
      <c r="B1117" t="inlineStr">
        <is>
          <t>G65</t>
        </is>
      </c>
      <c r="C1117" t="n">
        <v>65</v>
      </c>
      <c r="D1117" t="n">
        <v>7</v>
      </c>
      <c r="E1117" t="inlineStr">
        <is>
          <t>Output</t>
        </is>
      </c>
      <c r="F1117" t="inlineStr">
        <is>
          <t>'=F65/F64-1</t>
        </is>
      </c>
      <c r="G1117" t="n">
        <v>-0.09343936381709739</v>
      </c>
      <c r="H1117" t="inlineStr"/>
      <c r="I1117" t="inlineStr">
        <is>
          <t>0%</t>
        </is>
      </c>
      <c r="J1117" t="b">
        <v>0</v>
      </c>
      <c r="K1117" t="b">
        <v>0</v>
      </c>
      <c r="L1117" t="n">
        <v>11</v>
      </c>
      <c r="M1117" t="inlineStr">
        <is>
          <t>Values must be of type &lt;class 'str'&gt;</t>
        </is>
      </c>
      <c r="N1117" t="inlineStr">
        <is>
          <t>00000000</t>
        </is>
      </c>
      <c r="O1117" t="n">
        <v/>
      </c>
      <c r="R1117" t="b">
        <v>1</v>
      </c>
      <c r="S1117" t="inlineStr">
        <is>
          <t>G000155</t>
        </is>
      </c>
      <c r="T1117" t="inlineStr">
        <is>
          <t>Vertical</t>
        </is>
      </c>
      <c r="U1117" t="n">
        <v>93</v>
      </c>
      <c r="V1117" t="b">
        <v>1</v>
      </c>
      <c r="W1117" t="inlineStr">
        <is>
          <t>ATF Fuel 2!G3:G95</t>
        </is>
      </c>
      <c r="X1117">
        <f>R[0]C[-1]/R[-1]C[-1]-1</f>
        <v/>
      </c>
    </row>
    <row r="1118">
      <c r="A1118" t="inlineStr">
        <is>
          <t>ATF Fuel 2</t>
        </is>
      </c>
      <c r="B1118" t="inlineStr">
        <is>
          <t>H65</t>
        </is>
      </c>
      <c r="C1118" t="n">
        <v>65</v>
      </c>
      <c r="D1118" t="n">
        <v>8</v>
      </c>
      <c r="E1118" t="inlineStr">
        <is>
          <t>Calculation</t>
        </is>
      </c>
      <c r="F1118" t="inlineStr">
        <is>
          <t>'=D65*F65</t>
        </is>
      </c>
      <c r="G1118" t="n">
        <v>3483.4752</v>
      </c>
      <c r="H1118" t="inlineStr"/>
      <c r="I1118" t="inlineStr">
        <is>
          <t>0</t>
        </is>
      </c>
      <c r="J1118" t="b">
        <v>0</v>
      </c>
      <c r="K1118" t="b">
        <v>0</v>
      </c>
      <c r="L1118" t="n">
        <v>11</v>
      </c>
      <c r="M1118" t="inlineStr">
        <is>
          <t>Values must be of type &lt;class 'str'&gt;</t>
        </is>
      </c>
      <c r="N1118" t="inlineStr">
        <is>
          <t>00000000</t>
        </is>
      </c>
      <c r="O1118" t="n">
        <v/>
      </c>
      <c r="R1118" t="b">
        <v>1</v>
      </c>
      <c r="S1118" t="inlineStr">
        <is>
          <t>G000152</t>
        </is>
      </c>
      <c r="T1118" t="inlineStr">
        <is>
          <t>Vertical</t>
        </is>
      </c>
      <c r="U1118" t="n">
        <v>98</v>
      </c>
      <c r="V1118" t="b">
        <v>1</v>
      </c>
      <c r="W1118" t="inlineStr">
        <is>
          <t>ATF Fuel 2!H2:H99</t>
        </is>
      </c>
      <c r="X1118">
        <f>R[0]C[-4]*R[0]C[-2]</f>
        <v/>
      </c>
    </row>
    <row r="1119">
      <c r="A1119" t="inlineStr">
        <is>
          <t>ATF Fuel 2</t>
        </is>
      </c>
      <c r="B1119" t="inlineStr">
        <is>
          <t>I65</t>
        </is>
      </c>
      <c r="C1119" t="n">
        <v>65</v>
      </c>
      <c r="D1119" t="n">
        <v>9</v>
      </c>
      <c r="E1119" t="inlineStr">
        <is>
          <t>Output</t>
        </is>
      </c>
      <c r="F1119" t="inlineStr">
        <is>
          <t>'=H65/H64-1</t>
        </is>
      </c>
      <c r="G1119" t="n">
        <v>-0.09542868182753017</v>
      </c>
      <c r="H1119" t="inlineStr"/>
      <c r="I1119" t="inlineStr">
        <is>
          <t>0%</t>
        </is>
      </c>
      <c r="J1119" t="b">
        <v>0</v>
      </c>
      <c r="K1119" t="b">
        <v>0</v>
      </c>
      <c r="L1119" t="n">
        <v>11</v>
      </c>
      <c r="M1119" t="inlineStr">
        <is>
          <t>FFFF0000</t>
        </is>
      </c>
      <c r="N1119" t="inlineStr">
        <is>
          <t>00000000</t>
        </is>
      </c>
      <c r="O1119" t="n">
        <v/>
      </c>
      <c r="R1119" t="b">
        <v>1</v>
      </c>
      <c r="S1119" t="inlineStr">
        <is>
          <t>G000156</t>
        </is>
      </c>
      <c r="T1119" t="inlineStr">
        <is>
          <t>Vertical</t>
        </is>
      </c>
      <c r="U1119" t="n">
        <v>97</v>
      </c>
      <c r="V1119" t="b">
        <v>1</v>
      </c>
      <c r="W1119" t="inlineStr">
        <is>
          <t>ATF Fuel 2!I3:I99</t>
        </is>
      </c>
      <c r="X1119">
        <f>R[0]C[-1]/R[-1]C[-1]-1</f>
        <v/>
      </c>
    </row>
    <row r="1120">
      <c r="A1120" t="inlineStr">
        <is>
          <t>ATF Fuel 2</t>
        </is>
      </c>
      <c r="B1120" t="inlineStr">
        <is>
          <t>J65</t>
        </is>
      </c>
      <c r="C1120" t="n">
        <v>65</v>
      </c>
      <c r="D1120" t="n">
        <v>10</v>
      </c>
      <c r="E1120" t="inlineStr">
        <is>
          <t>Input</t>
        </is>
      </c>
      <c r="F1120" t="n">
        <v/>
      </c>
      <c r="G1120" t="n">
        <v>56.94</v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11</v>
      </c>
      <c r="M1120" t="inlineStr">
        <is>
          <t>Values must be of type &lt;class 'str'&gt;</t>
        </is>
      </c>
      <c r="N1120" t="inlineStr">
        <is>
          <t>00000000</t>
        </is>
      </c>
      <c r="O1120" t="n">
        <v/>
      </c>
      <c r="R1120" t="b">
        <v>1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</row>
    <row r="1121">
      <c r="A1121" t="inlineStr">
        <is>
          <t>ATF Fuel 2</t>
        </is>
      </c>
      <c r="B1121" t="inlineStr">
        <is>
          <t>K65</t>
        </is>
      </c>
      <c r="C1121" t="n">
        <v>65</v>
      </c>
      <c r="D1121" t="n">
        <v>11</v>
      </c>
      <c r="E1121" t="inlineStr">
        <is>
          <t>Output</t>
        </is>
      </c>
      <c r="F1121" t="inlineStr">
        <is>
          <t>'=J65/J64-1</t>
        </is>
      </c>
      <c r="G1121" t="n">
        <v>-0.05478087649402397</v>
      </c>
      <c r="H1121" t="inlineStr"/>
      <c r="I1121" t="inlineStr">
        <is>
          <t>0%</t>
        </is>
      </c>
      <c r="J1121" t="b">
        <v>0</v>
      </c>
      <c r="K1121" t="b">
        <v>0</v>
      </c>
      <c r="L1121" t="n">
        <v>11</v>
      </c>
      <c r="M1121" t="inlineStr">
        <is>
          <t>Values must be of type &lt;class 'str'&gt;</t>
        </is>
      </c>
      <c r="N1121" t="inlineStr">
        <is>
          <t>00000000</t>
        </is>
      </c>
      <c r="O1121" t="n">
        <v/>
      </c>
      <c r="R1121" t="b">
        <v>1</v>
      </c>
      <c r="S1121" t="inlineStr">
        <is>
          <t>G000157</t>
        </is>
      </c>
      <c r="T1121" t="inlineStr">
        <is>
          <t>Vertical</t>
        </is>
      </c>
      <c r="U1121" t="n">
        <v>93</v>
      </c>
      <c r="V1121" t="b">
        <v>1</v>
      </c>
      <c r="W1121" t="inlineStr">
        <is>
          <t>ATF Fuel 2!K3:K95</t>
        </is>
      </c>
      <c r="X1121">
        <f>R[0]C[-1]/R[-1]C[-1]-1</f>
        <v/>
      </c>
    </row>
    <row r="1122">
      <c r="A1122" t="inlineStr">
        <is>
          <t>ATF Fuel 2</t>
        </is>
      </c>
      <c r="B1122" t="inlineStr">
        <is>
          <t>L65</t>
        </is>
      </c>
      <c r="C1122" t="n">
        <v>65</v>
      </c>
      <c r="D1122" t="n">
        <v>12</v>
      </c>
      <c r="E1122" t="inlineStr">
        <is>
          <t>Input</t>
        </is>
      </c>
      <c r="F1122" t="n">
        <v/>
      </c>
      <c r="G1122" t="inlineStr">
        <is>
          <t>July 01, 2015</t>
        </is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11</v>
      </c>
      <c r="M1122" t="inlineStr">
        <is>
          <t>Values must be of type &lt;class 'str'&gt;</t>
        </is>
      </c>
      <c r="N1122" t="inlineStr">
        <is>
          <t>00000000</t>
        </is>
      </c>
      <c r="O1122" t="inlineStr">
        <is>
          <t>left</t>
        </is>
      </c>
      <c r="R1122" t="b">
        <v>1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</row>
    <row r="1123">
      <c r="A1123" t="inlineStr">
        <is>
          <t>ATF Fuel 2</t>
        </is>
      </c>
      <c r="B1123" t="inlineStr">
        <is>
          <t>M65</t>
        </is>
      </c>
      <c r="C1123" t="n">
        <v>65</v>
      </c>
      <c r="D1123" t="n">
        <v>13</v>
      </c>
      <c r="E1123" t="inlineStr">
        <is>
          <t>Calculation</t>
        </is>
      </c>
      <c r="F1123" t="inlineStr">
        <is>
          <t>'=(1+(B65/B64)-1)*M64</t>
        </is>
      </c>
      <c r="G1123" t="n">
        <v>124.6365271113586</v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11</v>
      </c>
      <c r="M1123" t="inlineStr">
        <is>
          <t>Values must be of type &lt;class 'str'&gt;</t>
        </is>
      </c>
      <c r="N1123" t="inlineStr">
        <is>
          <t>00000000</t>
        </is>
      </c>
      <c r="O1123" t="inlineStr">
        <is>
          <t>left</t>
        </is>
      </c>
      <c r="R1123" t="b">
        <v>1</v>
      </c>
      <c r="S1123" t="inlineStr">
        <is>
          <t>G000159</t>
        </is>
      </c>
      <c r="T1123" t="inlineStr">
        <is>
          <t>Vertical</t>
        </is>
      </c>
      <c r="U1123" t="n">
        <v>92</v>
      </c>
      <c r="V1123" t="b">
        <v>1</v>
      </c>
      <c r="W1123" t="inlineStr">
        <is>
          <t>ATF Fuel 2!M3:M94</t>
        </is>
      </c>
      <c r="X1123">
        <f>(1+(R[0]C[-11]/R[-1]C[-11])-1)*R[-1]C[0]</f>
        <v/>
      </c>
    </row>
    <row r="1124">
      <c r="A1124" t="inlineStr">
        <is>
          <t>ATF Fuel 2</t>
        </is>
      </c>
      <c r="B1124" t="inlineStr">
        <is>
          <t>N65</t>
        </is>
      </c>
      <c r="C1124" t="n">
        <v>65</v>
      </c>
      <c r="D1124" t="n">
        <v>14</v>
      </c>
      <c r="E1124" t="inlineStr">
        <is>
          <t>Calculation</t>
        </is>
      </c>
      <c r="F1124" t="inlineStr">
        <is>
          <t>'=(1+(F65/F64)-1)*N64</t>
        </is>
      </c>
      <c r="G1124" t="n">
        <v>66.22292145709797</v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11</v>
      </c>
      <c r="M1124" t="inlineStr">
        <is>
          <t>Values must be of type &lt;class 'str'&gt;</t>
        </is>
      </c>
      <c r="N1124" t="inlineStr">
        <is>
          <t>00000000</t>
        </is>
      </c>
      <c r="O1124" t="inlineStr">
        <is>
          <t>left</t>
        </is>
      </c>
      <c r="R1124" t="b">
        <v>1</v>
      </c>
      <c r="S1124" t="inlineStr">
        <is>
          <t>G000160</t>
        </is>
      </c>
      <c r="T1124" t="inlineStr">
        <is>
          <t>Vertical</t>
        </is>
      </c>
      <c r="U1124" t="n">
        <v>92</v>
      </c>
      <c r="V1124" t="b">
        <v>1</v>
      </c>
      <c r="W1124" t="inlineStr">
        <is>
          <t>ATF Fuel 2!N3:N94</t>
        </is>
      </c>
      <c r="X1124">
        <f>(1+(R[0]C[-8]/R[-1]C[-8])-1)*R[-1]C[0]</f>
        <v/>
      </c>
    </row>
    <row r="1125">
      <c r="A1125" t="inlineStr">
        <is>
          <t>ATF Fuel 2</t>
        </is>
      </c>
      <c r="B1125" t="inlineStr">
        <is>
          <t>O65</t>
        </is>
      </c>
      <c r="C1125" t="n">
        <v>65</v>
      </c>
      <c r="D1125" t="n">
        <v>15</v>
      </c>
      <c r="E1125" t="inlineStr">
        <is>
          <t>Calculation</t>
        </is>
      </c>
      <c r="F1125" t="inlineStr">
        <is>
          <t>'=(1+(J65/J64)-1)*O64</t>
        </is>
      </c>
      <c r="G1125" t="n">
        <v>67.36070034307346</v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11</v>
      </c>
      <c r="M1125" t="inlineStr">
        <is>
          <t>Values must be of type &lt;class 'str'&gt;</t>
        </is>
      </c>
      <c r="N1125" t="inlineStr">
        <is>
          <t>00000000</t>
        </is>
      </c>
      <c r="O1125" t="inlineStr">
        <is>
          <t>left</t>
        </is>
      </c>
      <c r="R1125" t="b">
        <v>1</v>
      </c>
      <c r="S1125" t="inlineStr">
        <is>
          <t>G000162</t>
        </is>
      </c>
      <c r="T1125" t="inlineStr">
        <is>
          <t>Vertical</t>
        </is>
      </c>
      <c r="U1125" t="n">
        <v>92</v>
      </c>
      <c r="V1125" t="b">
        <v>1</v>
      </c>
      <c r="W1125" t="inlineStr">
        <is>
          <t>ATF Fuel 2!O3:O94</t>
        </is>
      </c>
      <c r="X1125">
        <f>(1+(R[0]C[-5]/R[-1]C[-5])-1)*R[-1]C[0]</f>
        <v/>
      </c>
    </row>
    <row r="1126">
      <c r="A1126" t="inlineStr">
        <is>
          <t>ATF Fuel 2</t>
        </is>
      </c>
      <c r="B1126" t="inlineStr">
        <is>
          <t>P65</t>
        </is>
      </c>
      <c r="C1126" t="n">
        <v>65</v>
      </c>
      <c r="D1126" t="n">
        <v>16</v>
      </c>
      <c r="E1126" t="inlineStr">
        <is>
          <t>Calculation</t>
        </is>
      </c>
      <c r="F1126" t="inlineStr">
        <is>
          <t>'=(1+(H65/H64)-1)*P64</t>
        </is>
      </c>
      <c r="G1126" t="n">
        <v>94.18568319836584</v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11</v>
      </c>
      <c r="M1126" t="inlineStr">
        <is>
          <t>Values must be of type &lt;class 'str'&gt;</t>
        </is>
      </c>
      <c r="N1126" t="inlineStr">
        <is>
          <t>00000000</t>
        </is>
      </c>
      <c r="O1126" t="inlineStr">
        <is>
          <t>left</t>
        </is>
      </c>
      <c r="R1126" t="b">
        <v>1</v>
      </c>
      <c r="S1126" t="inlineStr">
        <is>
          <t>G000161</t>
        </is>
      </c>
      <c r="T1126" t="inlineStr">
        <is>
          <t>Vertical</t>
        </is>
      </c>
      <c r="U1126" t="n">
        <v>92</v>
      </c>
      <c r="V1126" t="b">
        <v>1</v>
      </c>
      <c r="W1126" t="inlineStr">
        <is>
          <t>ATF Fuel 2!P3:P94</t>
        </is>
      </c>
      <c r="X1126">
        <f>(1+(R[0]C[-8]/R[-1]C[-8])-1)*R[-1]C[0]</f>
        <v/>
      </c>
    </row>
    <row r="1127">
      <c r="A1127" t="inlineStr">
        <is>
          <t>ATF Fuel 2</t>
        </is>
      </c>
      <c r="B1127" t="inlineStr">
        <is>
          <t>Q65</t>
        </is>
      </c>
      <c r="C1127" t="n">
        <v>65</v>
      </c>
      <c r="D1127" t="n">
        <v>17</v>
      </c>
      <c r="E1127" t="inlineStr">
        <is>
          <t>Output</t>
        </is>
      </c>
      <c r="F1127" t="inlineStr">
        <is>
          <t>'=M65/N65-1</t>
        </is>
      </c>
      <c r="G1127" t="n">
        <v>0.8820753353822286</v>
      </c>
      <c r="H1127" t="inlineStr"/>
      <c r="I1127" t="inlineStr">
        <is>
          <t>0.0%</t>
        </is>
      </c>
      <c r="J1127" t="b">
        <v>0</v>
      </c>
      <c r="K1127" t="b">
        <v>0</v>
      </c>
      <c r="L1127" t="n">
        <v>11</v>
      </c>
      <c r="M1127" t="inlineStr">
        <is>
          <t>Values must be of type &lt;class 'str'&gt;</t>
        </is>
      </c>
      <c r="N1127" t="inlineStr">
        <is>
          <t>00000000</t>
        </is>
      </c>
      <c r="O1127" t="n">
        <v/>
      </c>
      <c r="R1127" t="b">
        <v>1</v>
      </c>
      <c r="S1127" t="inlineStr">
        <is>
          <t>G000153</t>
        </is>
      </c>
      <c r="T1127" t="inlineStr">
        <is>
          <t>Vertical</t>
        </is>
      </c>
      <c r="U1127" t="n">
        <v>93</v>
      </c>
      <c r="V1127" t="b">
        <v>1</v>
      </c>
      <c r="W1127" t="inlineStr">
        <is>
          <t>ATF Fuel 2!Q2:Q94</t>
        </is>
      </c>
      <c r="X1127">
        <f>R[0]C[-4]/R[0]C[-3]-1</f>
        <v/>
      </c>
    </row>
    <row r="1128">
      <c r="A1128" t="inlineStr">
        <is>
          <t>ATF Fuel 2</t>
        </is>
      </c>
      <c r="B1128" t="inlineStr">
        <is>
          <t>A66</t>
        </is>
      </c>
      <c r="C1128" t="n">
        <v>66</v>
      </c>
      <c r="D1128" t="n">
        <v>1</v>
      </c>
      <c r="E1128" t="inlineStr">
        <is>
          <t>Input</t>
        </is>
      </c>
      <c r="F1128" t="n">
        <v/>
      </c>
      <c r="G1128" t="inlineStr">
        <is>
          <t>August 01, 2015</t>
        </is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11</v>
      </c>
      <c r="M1128" t="inlineStr">
        <is>
          <t>Values must be of type &lt;class 'str'&gt;</t>
        </is>
      </c>
      <c r="N1128" t="inlineStr">
        <is>
          <t>00000000</t>
        </is>
      </c>
      <c r="O1128" t="n">
        <v/>
      </c>
      <c r="R1128" t="b">
        <v>1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</row>
    <row r="1129">
      <c r="A1129" t="inlineStr">
        <is>
          <t>ATF Fuel 2</t>
        </is>
      </c>
      <c r="B1129" t="inlineStr">
        <is>
          <t>B66</t>
        </is>
      </c>
      <c r="C1129" t="n">
        <v>66</v>
      </c>
      <c r="D1129" t="n">
        <v>2</v>
      </c>
      <c r="E1129" t="inlineStr">
        <is>
          <t>Input</t>
        </is>
      </c>
      <c r="F1129" t="n">
        <v/>
      </c>
      <c r="G1129" t="n">
        <v>50204.425</v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11</v>
      </c>
      <c r="M1129" t="inlineStr">
        <is>
          <t>Values must be of type &lt;class 'str'&gt;</t>
        </is>
      </c>
      <c r="N1129" t="inlineStr">
        <is>
          <t>00000000</t>
        </is>
      </c>
      <c r="O1129" t="n">
        <v/>
      </c>
      <c r="R1129" t="b">
        <v>1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</row>
    <row r="1130">
      <c r="A1130" t="inlineStr">
        <is>
          <t>ATF Fuel 2</t>
        </is>
      </c>
      <c r="B1130" t="inlineStr">
        <is>
          <t>C66</t>
        </is>
      </c>
      <c r="C1130" t="n">
        <v>66</v>
      </c>
      <c r="D1130" t="n">
        <v>3</v>
      </c>
      <c r="E1130" t="inlineStr">
        <is>
          <t>Output</t>
        </is>
      </c>
      <c r="F1130" t="inlineStr">
        <is>
          <t>'=B66/B65-1</t>
        </is>
      </c>
      <c r="G1130" t="n">
        <v>-0.09199660125579179</v>
      </c>
      <c r="H1130" t="inlineStr"/>
      <c r="I1130" t="inlineStr">
        <is>
          <t>0%</t>
        </is>
      </c>
      <c r="J1130" t="b">
        <v>0</v>
      </c>
      <c r="K1130" t="b">
        <v>0</v>
      </c>
      <c r="L1130" t="n">
        <v>11</v>
      </c>
      <c r="M1130" t="n">
        <v/>
      </c>
      <c r="N1130" t="inlineStr">
        <is>
          <t>00000000</t>
        </is>
      </c>
      <c r="O1130" t="n">
        <v/>
      </c>
      <c r="R1130" t="b">
        <v>1</v>
      </c>
      <c r="S1130" t="inlineStr">
        <is>
          <t>G000154</t>
        </is>
      </c>
      <c r="T1130" t="inlineStr">
        <is>
          <t>Vertical</t>
        </is>
      </c>
      <c r="U1130" t="n">
        <v>92</v>
      </c>
      <c r="V1130" t="b">
        <v>1</v>
      </c>
      <c r="W1130" t="inlineStr">
        <is>
          <t>ATF Fuel 2!C3:C94</t>
        </is>
      </c>
      <c r="X1130">
        <f>R[0]C[-1]/R[-1]C[-1]-1</f>
        <v/>
      </c>
    </row>
    <row r="1131">
      <c r="A1131" t="inlineStr">
        <is>
          <t>ATF Fuel 2</t>
        </is>
      </c>
      <c r="B1131" t="inlineStr">
        <is>
          <t>D66</t>
        </is>
      </c>
      <c r="C1131" t="n">
        <v>66</v>
      </c>
      <c r="D1131" t="n">
        <v>4</v>
      </c>
      <c r="E1131" t="inlineStr">
        <is>
          <t>Input</t>
        </is>
      </c>
      <c r="F1131" t="n">
        <v/>
      </c>
      <c r="G1131" t="n">
        <v>64.01000000000001</v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11</v>
      </c>
      <c r="M1131" t="inlineStr">
        <is>
          <t>Values must be of type &lt;class 'str'&gt;</t>
        </is>
      </c>
      <c r="N1131" t="inlineStr">
        <is>
          <t>00000000</t>
        </is>
      </c>
      <c r="O1131" t="n">
        <v/>
      </c>
      <c r="R1131" t="b">
        <v>1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</row>
    <row r="1132">
      <c r="A1132" t="inlineStr">
        <is>
          <t>ATF Fuel 2</t>
        </is>
      </c>
      <c r="B1132" t="inlineStr">
        <is>
          <t>E66</t>
        </is>
      </c>
      <c r="C1132" t="n">
        <v>66</v>
      </c>
      <c r="D1132" t="n">
        <v>5</v>
      </c>
      <c r="E1132" t="inlineStr">
        <is>
          <t>Output</t>
        </is>
      </c>
      <c r="F1132" t="inlineStr">
        <is>
          <t>'=B66/B65-1</t>
        </is>
      </c>
      <c r="G1132" t="n">
        <v>-0.09199660125579179</v>
      </c>
      <c r="H1132" t="inlineStr"/>
      <c r="I1132" t="inlineStr">
        <is>
          <t>0%</t>
        </is>
      </c>
      <c r="J1132" t="b">
        <v>0</v>
      </c>
      <c r="K1132" t="b">
        <v>0</v>
      </c>
      <c r="L1132" t="n">
        <v>11</v>
      </c>
      <c r="M1132" t="inlineStr">
        <is>
          <t>Values must be of type &lt;class 'str'&gt;</t>
        </is>
      </c>
      <c r="N1132" t="inlineStr">
        <is>
          <t>00000000</t>
        </is>
      </c>
      <c r="O1132" t="n">
        <v/>
      </c>
      <c r="R1132" t="b">
        <v>1</v>
      </c>
      <c r="S1132" t="inlineStr">
        <is>
          <t>G000158</t>
        </is>
      </c>
      <c r="T1132" t="inlineStr">
        <is>
          <t>Vertical</t>
        </is>
      </c>
      <c r="U1132" t="n">
        <v>92</v>
      </c>
      <c r="V1132" t="b">
        <v>1</v>
      </c>
      <c r="W1132" t="inlineStr">
        <is>
          <t>ATF Fuel 2!E3:E94</t>
        </is>
      </c>
      <c r="X1132">
        <f>R[0]C[-3]/R[-1]C[-3]-1</f>
        <v/>
      </c>
    </row>
    <row r="1133">
      <c r="A1133" t="inlineStr">
        <is>
          <t>ATF Fuel 2</t>
        </is>
      </c>
      <c r="B1133" t="inlineStr">
        <is>
          <t>F66</t>
        </is>
      </c>
      <c r="C1133" t="n">
        <v>66</v>
      </c>
      <c r="D1133" t="n">
        <v>6</v>
      </c>
      <c r="E1133" t="inlineStr">
        <is>
          <t>Input</t>
        </is>
      </c>
      <c r="F1133" t="n">
        <v/>
      </c>
      <c r="G1133" t="n">
        <v>47.54</v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11</v>
      </c>
      <c r="M1133" t="inlineStr">
        <is>
          <t>Values must be of type &lt;class 'str'&gt;</t>
        </is>
      </c>
      <c r="N1133" t="inlineStr">
        <is>
          <t>00000000</t>
        </is>
      </c>
      <c r="O1133" t="n">
        <v/>
      </c>
      <c r="R1133" t="b">
        <v>1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</row>
    <row r="1134">
      <c r="A1134" t="inlineStr">
        <is>
          <t>ATF Fuel 2</t>
        </is>
      </c>
      <c r="B1134" t="inlineStr">
        <is>
          <t>G66</t>
        </is>
      </c>
      <c r="C1134" t="n">
        <v>66</v>
      </c>
      <c r="D1134" t="n">
        <v>7</v>
      </c>
      <c r="E1134" t="inlineStr">
        <is>
          <t>Output</t>
        </is>
      </c>
      <c r="F1134" t="inlineStr">
        <is>
          <t>'=F66/F65-1</t>
        </is>
      </c>
      <c r="G1134" t="n">
        <v>-0.1312134502923976</v>
      </c>
      <c r="H1134" t="inlineStr"/>
      <c r="I1134" t="inlineStr">
        <is>
          <t>0%</t>
        </is>
      </c>
      <c r="J1134" t="b">
        <v>0</v>
      </c>
      <c r="K1134" t="b">
        <v>0</v>
      </c>
      <c r="L1134" t="n">
        <v>11</v>
      </c>
      <c r="M1134" t="inlineStr">
        <is>
          <t>Values must be of type &lt;class 'str'&gt;</t>
        </is>
      </c>
      <c r="N1134" t="inlineStr">
        <is>
          <t>00000000</t>
        </is>
      </c>
      <c r="O1134" t="n">
        <v/>
      </c>
      <c r="R1134" t="b">
        <v>1</v>
      </c>
      <c r="S1134" t="inlineStr">
        <is>
          <t>G000155</t>
        </is>
      </c>
      <c r="T1134" t="inlineStr">
        <is>
          <t>Vertical</t>
        </is>
      </c>
      <c r="U1134" t="n">
        <v>93</v>
      </c>
      <c r="V1134" t="b">
        <v>1</v>
      </c>
      <c r="W1134" t="inlineStr">
        <is>
          <t>ATF Fuel 2!G3:G95</t>
        </is>
      </c>
      <c r="X1134">
        <f>R[0]C[-1]/R[-1]C[-1]-1</f>
        <v/>
      </c>
    </row>
    <row r="1135">
      <c r="A1135" t="inlineStr">
        <is>
          <t>ATF Fuel 2</t>
        </is>
      </c>
      <c r="B1135" t="inlineStr">
        <is>
          <t>H66</t>
        </is>
      </c>
      <c r="C1135" t="n">
        <v>66</v>
      </c>
      <c r="D1135" t="n">
        <v>8</v>
      </c>
      <c r="E1135" t="inlineStr">
        <is>
          <t>Calculation</t>
        </is>
      </c>
      <c r="F1135" t="inlineStr">
        <is>
          <t>'=D66*F66</t>
        </is>
      </c>
      <c r="G1135" t="n">
        <v>3043.0354</v>
      </c>
      <c r="H1135" t="inlineStr"/>
      <c r="I1135" t="inlineStr">
        <is>
          <t>0</t>
        </is>
      </c>
      <c r="J1135" t="b">
        <v>0</v>
      </c>
      <c r="K1135" t="b">
        <v>0</v>
      </c>
      <c r="L1135" t="n">
        <v>11</v>
      </c>
      <c r="M1135" t="inlineStr">
        <is>
          <t>Values must be of type &lt;class 'str'&gt;</t>
        </is>
      </c>
      <c r="N1135" t="inlineStr">
        <is>
          <t>00000000</t>
        </is>
      </c>
      <c r="O1135" t="n">
        <v/>
      </c>
      <c r="R1135" t="b">
        <v>1</v>
      </c>
      <c r="S1135" t="inlineStr">
        <is>
          <t>G000152</t>
        </is>
      </c>
      <c r="T1135" t="inlineStr">
        <is>
          <t>Vertical</t>
        </is>
      </c>
      <c r="U1135" t="n">
        <v>98</v>
      </c>
      <c r="V1135" t="b">
        <v>1</v>
      </c>
      <c r="W1135" t="inlineStr">
        <is>
          <t>ATF Fuel 2!H2:H99</t>
        </is>
      </c>
      <c r="X1135">
        <f>R[0]C[-4]*R[0]C[-2]</f>
        <v/>
      </c>
    </row>
    <row r="1136">
      <c r="A1136" t="inlineStr">
        <is>
          <t>ATF Fuel 2</t>
        </is>
      </c>
      <c r="B1136" t="inlineStr">
        <is>
          <t>I66</t>
        </is>
      </c>
      <c r="C1136" t="n">
        <v>66</v>
      </c>
      <c r="D1136" t="n">
        <v>9</v>
      </c>
      <c r="E1136" t="inlineStr">
        <is>
          <t>Output</t>
        </is>
      </c>
      <c r="F1136" t="inlineStr">
        <is>
          <t>'=H66/H65-1</t>
        </is>
      </c>
      <c r="G1136" t="n">
        <v>-0.1264368984168452</v>
      </c>
      <c r="H1136" t="inlineStr"/>
      <c r="I1136" t="inlineStr">
        <is>
          <t>0%</t>
        </is>
      </c>
      <c r="J1136" t="b">
        <v>0</v>
      </c>
      <c r="K1136" t="b">
        <v>0</v>
      </c>
      <c r="L1136" t="n">
        <v>11</v>
      </c>
      <c r="M1136" t="inlineStr">
        <is>
          <t>FFFF0000</t>
        </is>
      </c>
      <c r="N1136" t="inlineStr">
        <is>
          <t>00000000</t>
        </is>
      </c>
      <c r="O1136" t="n">
        <v/>
      </c>
      <c r="R1136" t="b">
        <v>1</v>
      </c>
      <c r="S1136" t="inlineStr">
        <is>
          <t>G000156</t>
        </is>
      </c>
      <c r="T1136" t="inlineStr">
        <is>
          <t>Vertical</t>
        </is>
      </c>
      <c r="U1136" t="n">
        <v>97</v>
      </c>
      <c r="V1136" t="b">
        <v>1</v>
      </c>
      <c r="W1136" t="inlineStr">
        <is>
          <t>ATF Fuel 2!I3:I99</t>
        </is>
      </c>
      <c r="X1136">
        <f>R[0]C[-1]/R[-1]C[-1]-1</f>
        <v/>
      </c>
    </row>
    <row r="1137">
      <c r="A1137" t="inlineStr">
        <is>
          <t>ATF Fuel 2</t>
        </is>
      </c>
      <c r="B1137" t="inlineStr">
        <is>
          <t>J66</t>
        </is>
      </c>
      <c r="C1137" t="n">
        <v>66</v>
      </c>
      <c r="D1137" t="n">
        <v>10</v>
      </c>
      <c r="E1137" t="inlineStr">
        <is>
          <t>Input</t>
        </is>
      </c>
      <c r="F1137" t="n">
        <v/>
      </c>
      <c r="G1137" t="n">
        <v>45.25</v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11</v>
      </c>
      <c r="M1137" t="inlineStr">
        <is>
          <t>Values must be of type &lt;class 'str'&gt;</t>
        </is>
      </c>
      <c r="N1137" t="inlineStr">
        <is>
          <t>00000000</t>
        </is>
      </c>
      <c r="O1137" t="n">
        <v/>
      </c>
      <c r="R1137" t="b">
        <v>1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</row>
    <row r="1138">
      <c r="A1138" t="inlineStr">
        <is>
          <t>ATF Fuel 2</t>
        </is>
      </c>
      <c r="B1138" t="inlineStr">
        <is>
          <t>K66</t>
        </is>
      </c>
      <c r="C1138" t="n">
        <v>66</v>
      </c>
      <c r="D1138" t="n">
        <v>11</v>
      </c>
      <c r="E1138" t="inlineStr">
        <is>
          <t>Output</t>
        </is>
      </c>
      <c r="F1138" t="inlineStr">
        <is>
          <t>'=J66/J65-1</t>
        </is>
      </c>
      <c r="G1138" t="n">
        <v>-0.2053038285914998</v>
      </c>
      <c r="H1138" t="inlineStr"/>
      <c r="I1138" t="inlineStr">
        <is>
          <t>0%</t>
        </is>
      </c>
      <c r="J1138" t="b">
        <v>0</v>
      </c>
      <c r="K1138" t="b">
        <v>0</v>
      </c>
      <c r="L1138" t="n">
        <v>11</v>
      </c>
      <c r="M1138" t="inlineStr">
        <is>
          <t>Values must be of type &lt;class 'str'&gt;</t>
        </is>
      </c>
      <c r="N1138" t="inlineStr">
        <is>
          <t>00000000</t>
        </is>
      </c>
      <c r="O1138" t="n">
        <v/>
      </c>
      <c r="R1138" t="b">
        <v>1</v>
      </c>
      <c r="S1138" t="inlineStr">
        <is>
          <t>G000157</t>
        </is>
      </c>
      <c r="T1138" t="inlineStr">
        <is>
          <t>Vertical</t>
        </is>
      </c>
      <c r="U1138" t="n">
        <v>93</v>
      </c>
      <c r="V1138" t="b">
        <v>1</v>
      </c>
      <c r="W1138" t="inlineStr">
        <is>
          <t>ATF Fuel 2!K3:K95</t>
        </is>
      </c>
      <c r="X1138">
        <f>R[0]C[-1]/R[-1]C[-1]-1</f>
        <v/>
      </c>
    </row>
    <row r="1139">
      <c r="A1139" t="inlineStr">
        <is>
          <t>ATF Fuel 2</t>
        </is>
      </c>
      <c r="B1139" t="inlineStr">
        <is>
          <t>L66</t>
        </is>
      </c>
      <c r="C1139" t="n">
        <v>66</v>
      </c>
      <c r="D1139" t="n">
        <v>12</v>
      </c>
      <c r="E1139" t="inlineStr">
        <is>
          <t>Input</t>
        </is>
      </c>
      <c r="F1139" t="n">
        <v/>
      </c>
      <c r="G1139" t="inlineStr">
        <is>
          <t>August 01, 2015</t>
        </is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11</v>
      </c>
      <c r="M1139" t="inlineStr">
        <is>
          <t>Values must be of type &lt;class 'str'&gt;</t>
        </is>
      </c>
      <c r="N1139" t="inlineStr">
        <is>
          <t>00000000</t>
        </is>
      </c>
      <c r="O1139" t="inlineStr">
        <is>
          <t>left</t>
        </is>
      </c>
      <c r="R1139" t="b">
        <v>1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</row>
    <row r="1140">
      <c r="A1140" t="inlineStr">
        <is>
          <t>ATF Fuel 2</t>
        </is>
      </c>
      <c r="B1140" t="inlineStr">
        <is>
          <t>M66</t>
        </is>
      </c>
      <c r="C1140" t="n">
        <v>66</v>
      </c>
      <c r="D1140" t="n">
        <v>13</v>
      </c>
      <c r="E1140" t="inlineStr">
        <is>
          <t>Calculation</t>
        </is>
      </c>
      <c r="F1140" t="inlineStr">
        <is>
          <t>'=(1+(B66/B65)-1)*M65</t>
        </is>
      </c>
      <c r="G1140" t="n">
        <v>113.1703902247883</v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11</v>
      </c>
      <c r="M1140" t="inlineStr">
        <is>
          <t>Values must be of type &lt;class 'str'&gt;</t>
        </is>
      </c>
      <c r="N1140" t="inlineStr">
        <is>
          <t>00000000</t>
        </is>
      </c>
      <c r="O1140" t="inlineStr">
        <is>
          <t>left</t>
        </is>
      </c>
      <c r="R1140" t="b">
        <v>1</v>
      </c>
      <c r="S1140" t="inlineStr">
        <is>
          <t>G000159</t>
        </is>
      </c>
      <c r="T1140" t="inlineStr">
        <is>
          <t>Vertical</t>
        </is>
      </c>
      <c r="U1140" t="n">
        <v>92</v>
      </c>
      <c r="V1140" t="b">
        <v>1</v>
      </c>
      <c r="W1140" t="inlineStr">
        <is>
          <t>ATF Fuel 2!M3:M94</t>
        </is>
      </c>
      <c r="X1140">
        <f>(1+(R[0]C[-11]/R[-1]C[-11])-1)*R[-1]C[0]</f>
        <v/>
      </c>
    </row>
    <row r="1141">
      <c r="A1141" t="inlineStr">
        <is>
          <t>ATF Fuel 2</t>
        </is>
      </c>
      <c r="B1141" t="inlineStr">
        <is>
          <t>N66</t>
        </is>
      </c>
      <c r="C1141" t="n">
        <v>66</v>
      </c>
      <c r="D1141" t="n">
        <v>14</v>
      </c>
      <c r="E1141" t="inlineStr">
        <is>
          <t>Calculation</t>
        </is>
      </c>
      <c r="F1141" t="inlineStr">
        <is>
          <t>'=(1+(F66/F65)-1)*N65</t>
        </is>
      </c>
      <c r="G1141" t="n">
        <v>57.53358344426969</v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11</v>
      </c>
      <c r="M1141" t="inlineStr">
        <is>
          <t>Values must be of type &lt;class 'str'&gt;</t>
        </is>
      </c>
      <c r="N1141" t="inlineStr">
        <is>
          <t>00000000</t>
        </is>
      </c>
      <c r="O1141" t="inlineStr">
        <is>
          <t>left</t>
        </is>
      </c>
      <c r="R1141" t="b">
        <v>1</v>
      </c>
      <c r="S1141" t="inlineStr">
        <is>
          <t>G000160</t>
        </is>
      </c>
      <c r="T1141" t="inlineStr">
        <is>
          <t>Vertical</t>
        </is>
      </c>
      <c r="U1141" t="n">
        <v>92</v>
      </c>
      <c r="V1141" t="b">
        <v>1</v>
      </c>
      <c r="W1141" t="inlineStr">
        <is>
          <t>ATF Fuel 2!N3:N94</t>
        </is>
      </c>
      <c r="X1141">
        <f>(1+(R[0]C[-8]/R[-1]C[-8])-1)*R[-1]C[0]</f>
        <v/>
      </c>
    </row>
    <row r="1142">
      <c r="A1142" t="inlineStr">
        <is>
          <t>ATF Fuel 2</t>
        </is>
      </c>
      <c r="B1142" t="inlineStr">
        <is>
          <t>O66</t>
        </is>
      </c>
      <c r="C1142" t="n">
        <v>66</v>
      </c>
      <c r="D1142" t="n">
        <v>15</v>
      </c>
      <c r="E1142" t="inlineStr">
        <is>
          <t>Calculation</t>
        </is>
      </c>
      <c r="F1142" t="inlineStr">
        <is>
          <t>'=(1+(J66/J65)-1)*O65</t>
        </is>
      </c>
      <c r="G1142" t="n">
        <v>53.53129066603574</v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11</v>
      </c>
      <c r="M1142" t="inlineStr">
        <is>
          <t>Values must be of type &lt;class 'str'&gt;</t>
        </is>
      </c>
      <c r="N1142" t="inlineStr">
        <is>
          <t>00000000</t>
        </is>
      </c>
      <c r="O1142" t="inlineStr">
        <is>
          <t>left</t>
        </is>
      </c>
      <c r="R1142" t="b">
        <v>1</v>
      </c>
      <c r="S1142" t="inlineStr">
        <is>
          <t>G000162</t>
        </is>
      </c>
      <c r="T1142" t="inlineStr">
        <is>
          <t>Vertical</t>
        </is>
      </c>
      <c r="U1142" t="n">
        <v>92</v>
      </c>
      <c r="V1142" t="b">
        <v>1</v>
      </c>
      <c r="W1142" t="inlineStr">
        <is>
          <t>ATF Fuel 2!O3:O94</t>
        </is>
      </c>
      <c r="X1142">
        <f>(1+(R[0]C[-5]/R[-1]C[-5])-1)*R[-1]C[0]</f>
        <v/>
      </c>
    </row>
    <row r="1143">
      <c r="A1143" t="inlineStr">
        <is>
          <t>ATF Fuel 2</t>
        </is>
      </c>
      <c r="B1143" t="inlineStr">
        <is>
          <t>P66</t>
        </is>
      </c>
      <c r="C1143" t="n">
        <v>66</v>
      </c>
      <c r="D1143" t="n">
        <v>16</v>
      </c>
      <c r="E1143" t="inlineStr">
        <is>
          <t>Calculation</t>
        </is>
      </c>
      <c r="F1143" t="inlineStr">
        <is>
          <t>'=(1+(H66/H65)-1)*P65</t>
        </is>
      </c>
      <c r="G1143" t="n">
        <v>82.27713753949288</v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11</v>
      </c>
      <c r="M1143" t="inlineStr">
        <is>
          <t>Values must be of type &lt;class 'str'&gt;</t>
        </is>
      </c>
      <c r="N1143" t="inlineStr">
        <is>
          <t>00000000</t>
        </is>
      </c>
      <c r="O1143" t="inlineStr">
        <is>
          <t>left</t>
        </is>
      </c>
      <c r="R1143" t="b">
        <v>1</v>
      </c>
      <c r="S1143" t="inlineStr">
        <is>
          <t>G000161</t>
        </is>
      </c>
      <c r="T1143" t="inlineStr">
        <is>
          <t>Vertical</t>
        </is>
      </c>
      <c r="U1143" t="n">
        <v>92</v>
      </c>
      <c r="V1143" t="b">
        <v>1</v>
      </c>
      <c r="W1143" t="inlineStr">
        <is>
          <t>ATF Fuel 2!P3:P94</t>
        </is>
      </c>
      <c r="X1143">
        <f>(1+(R[0]C[-8]/R[-1]C[-8])-1)*R[-1]C[0]</f>
        <v/>
      </c>
    </row>
    <row r="1144">
      <c r="A1144" t="inlineStr">
        <is>
          <t>ATF Fuel 2</t>
        </is>
      </c>
      <c r="B1144" t="inlineStr">
        <is>
          <t>Q66</t>
        </is>
      </c>
      <c r="C1144" t="n">
        <v>66</v>
      </c>
      <c r="D1144" t="n">
        <v>17</v>
      </c>
      <c r="E1144" t="inlineStr">
        <is>
          <t>Output</t>
        </is>
      </c>
      <c r="F1144" t="inlineStr">
        <is>
          <t>'=M66/N66-1</t>
        </is>
      </c>
      <c r="G1144" t="n">
        <v>0.9670318351439311</v>
      </c>
      <c r="H1144" t="inlineStr"/>
      <c r="I1144" t="inlineStr">
        <is>
          <t>0.0%</t>
        </is>
      </c>
      <c r="J1144" t="b">
        <v>0</v>
      </c>
      <c r="K1144" t="b">
        <v>0</v>
      </c>
      <c r="L1144" t="n">
        <v>11</v>
      </c>
      <c r="M1144" t="inlineStr">
        <is>
          <t>Values must be of type &lt;class 'str'&gt;</t>
        </is>
      </c>
      <c r="N1144" t="inlineStr">
        <is>
          <t>00000000</t>
        </is>
      </c>
      <c r="O1144" t="n">
        <v/>
      </c>
      <c r="R1144" t="b">
        <v>1</v>
      </c>
      <c r="S1144" t="inlineStr">
        <is>
          <t>G000153</t>
        </is>
      </c>
      <c r="T1144" t="inlineStr">
        <is>
          <t>Vertical</t>
        </is>
      </c>
      <c r="U1144" t="n">
        <v>93</v>
      </c>
      <c r="V1144" t="b">
        <v>1</v>
      </c>
      <c r="W1144" t="inlineStr">
        <is>
          <t>ATF Fuel 2!Q2:Q94</t>
        </is>
      </c>
      <c r="X1144">
        <f>R[0]C[-4]/R[0]C[-3]-1</f>
        <v/>
      </c>
    </row>
    <row r="1145">
      <c r="A1145" t="inlineStr">
        <is>
          <t>ATF Fuel 2</t>
        </is>
      </c>
      <c r="B1145" t="inlineStr">
        <is>
          <t>A67</t>
        </is>
      </c>
      <c r="C1145" t="n">
        <v>67</v>
      </c>
      <c r="D1145" t="n">
        <v>1</v>
      </c>
      <c r="E1145" t="inlineStr">
        <is>
          <t>Input</t>
        </is>
      </c>
      <c r="F1145" t="n">
        <v/>
      </c>
      <c r="G1145" t="inlineStr">
        <is>
          <t>September 01, 2015</t>
        </is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11</v>
      </c>
      <c r="M1145" t="inlineStr">
        <is>
          <t>Values must be of type &lt;class 'str'&gt;</t>
        </is>
      </c>
      <c r="N1145" t="inlineStr">
        <is>
          <t>00000000</t>
        </is>
      </c>
      <c r="O1145" t="n">
        <v/>
      </c>
      <c r="R1145" t="b">
        <v>1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</row>
    <row r="1146">
      <c r="A1146" t="inlineStr">
        <is>
          <t>ATF Fuel 2</t>
        </is>
      </c>
      <c r="B1146" t="inlineStr">
        <is>
          <t>B67</t>
        </is>
      </c>
      <c r="C1146" t="n">
        <v>67</v>
      </c>
      <c r="D1146" t="n">
        <v>2</v>
      </c>
      <c r="E1146" t="inlineStr">
        <is>
          <t>Input</t>
        </is>
      </c>
      <c r="F1146" t="n">
        <v/>
      </c>
      <c r="G1146" t="n">
        <v>44388.0575</v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11</v>
      </c>
      <c r="M1146" t="inlineStr">
        <is>
          <t>Values must be of type &lt;class 'str'&gt;</t>
        </is>
      </c>
      <c r="N1146" t="inlineStr">
        <is>
          <t>00000000</t>
        </is>
      </c>
      <c r="O1146" t="n">
        <v/>
      </c>
      <c r="R1146" t="b">
        <v>1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</row>
    <row r="1147">
      <c r="A1147" t="inlineStr">
        <is>
          <t>ATF Fuel 2</t>
        </is>
      </c>
      <c r="B1147" t="inlineStr">
        <is>
          <t>C67</t>
        </is>
      </c>
      <c r="C1147" t="n">
        <v>67</v>
      </c>
      <c r="D1147" t="n">
        <v>3</v>
      </c>
      <c r="E1147" t="inlineStr">
        <is>
          <t>Output</t>
        </is>
      </c>
      <c r="F1147" t="inlineStr">
        <is>
          <t>'=B67/B66-1</t>
        </is>
      </c>
      <c r="G1147" t="n">
        <v>-0.1158536822202425</v>
      </c>
      <c r="H1147" t="inlineStr"/>
      <c r="I1147" t="inlineStr">
        <is>
          <t>0%</t>
        </is>
      </c>
      <c r="J1147" t="b">
        <v>0</v>
      </c>
      <c r="K1147" t="b">
        <v>0</v>
      </c>
      <c r="L1147" t="n">
        <v>11</v>
      </c>
      <c r="M1147" t="n">
        <v/>
      </c>
      <c r="N1147" t="inlineStr">
        <is>
          <t>00000000</t>
        </is>
      </c>
      <c r="O1147" t="n">
        <v/>
      </c>
      <c r="R1147" t="b">
        <v>1</v>
      </c>
      <c r="S1147" t="inlineStr">
        <is>
          <t>G000154</t>
        </is>
      </c>
      <c r="T1147" t="inlineStr">
        <is>
          <t>Vertical</t>
        </is>
      </c>
      <c r="U1147" t="n">
        <v>92</v>
      </c>
      <c r="V1147" t="b">
        <v>1</v>
      </c>
      <c r="W1147" t="inlineStr">
        <is>
          <t>ATF Fuel 2!C3:C94</t>
        </is>
      </c>
      <c r="X1147">
        <f>R[0]C[-1]/R[-1]C[-1]-1</f>
        <v/>
      </c>
    </row>
    <row r="1148">
      <c r="A1148" t="inlineStr">
        <is>
          <t>ATF Fuel 2</t>
        </is>
      </c>
      <c r="B1148" t="inlineStr">
        <is>
          <t>D67</t>
        </is>
      </c>
      <c r="C1148" t="n">
        <v>67</v>
      </c>
      <c r="D1148" t="n">
        <v>4</v>
      </c>
      <c r="E1148" t="inlineStr">
        <is>
          <t>Input</t>
        </is>
      </c>
      <c r="F1148" t="n">
        <v/>
      </c>
      <c r="G1148" t="n">
        <v>66.45</v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11</v>
      </c>
      <c r="M1148" t="inlineStr">
        <is>
          <t>Values must be of type &lt;class 'str'&gt;</t>
        </is>
      </c>
      <c r="N1148" t="inlineStr">
        <is>
          <t>00000000</t>
        </is>
      </c>
      <c r="O1148" t="n">
        <v/>
      </c>
      <c r="R1148" t="b">
        <v>1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</row>
    <row r="1149">
      <c r="A1149" t="inlineStr">
        <is>
          <t>ATF Fuel 2</t>
        </is>
      </c>
      <c r="B1149" t="inlineStr">
        <is>
          <t>E67</t>
        </is>
      </c>
      <c r="C1149" t="n">
        <v>67</v>
      </c>
      <c r="D1149" t="n">
        <v>5</v>
      </c>
      <c r="E1149" t="inlineStr">
        <is>
          <t>Output</t>
        </is>
      </c>
      <c r="F1149" t="inlineStr">
        <is>
          <t>'=B67/B66-1</t>
        </is>
      </c>
      <c r="G1149" t="n">
        <v>-0.1158536822202425</v>
      </c>
      <c r="H1149" t="inlineStr"/>
      <c r="I1149" t="inlineStr">
        <is>
          <t>0%</t>
        </is>
      </c>
      <c r="J1149" t="b">
        <v>0</v>
      </c>
      <c r="K1149" t="b">
        <v>0</v>
      </c>
      <c r="L1149" t="n">
        <v>11</v>
      </c>
      <c r="M1149" t="inlineStr">
        <is>
          <t>Values must be of type &lt;class 'str'&gt;</t>
        </is>
      </c>
      <c r="N1149" t="inlineStr">
        <is>
          <t>00000000</t>
        </is>
      </c>
      <c r="O1149" t="n">
        <v/>
      </c>
      <c r="R1149" t="b">
        <v>1</v>
      </c>
      <c r="S1149" t="inlineStr">
        <is>
          <t>G000158</t>
        </is>
      </c>
      <c r="T1149" t="inlineStr">
        <is>
          <t>Vertical</t>
        </is>
      </c>
      <c r="U1149" t="n">
        <v>92</v>
      </c>
      <c r="V1149" t="b">
        <v>1</v>
      </c>
      <c r="W1149" t="inlineStr">
        <is>
          <t>ATF Fuel 2!E3:E94</t>
        </is>
      </c>
      <c r="X1149">
        <f>R[0]C[-3]/R[-1]C[-3]-1</f>
        <v/>
      </c>
    </row>
    <row r="1150">
      <c r="A1150" t="inlineStr">
        <is>
          <t>ATF Fuel 2</t>
        </is>
      </c>
      <c r="B1150" t="inlineStr">
        <is>
          <t>F67</t>
        </is>
      </c>
      <c r="C1150" t="n">
        <v>67</v>
      </c>
      <c r="D1150" t="n">
        <v>6</v>
      </c>
      <c r="E1150" t="inlineStr">
        <is>
          <t>Input</t>
        </is>
      </c>
      <c r="F1150" t="n">
        <v/>
      </c>
      <c r="G1150" t="n">
        <v>46.42</v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11</v>
      </c>
      <c r="M1150" t="inlineStr">
        <is>
          <t>Values must be of type &lt;class 'str'&gt;</t>
        </is>
      </c>
      <c r="N1150" t="inlineStr">
        <is>
          <t>00000000</t>
        </is>
      </c>
      <c r="O1150" t="n">
        <v/>
      </c>
      <c r="R1150" t="b">
        <v>1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</row>
    <row r="1151">
      <c r="A1151" t="inlineStr">
        <is>
          <t>ATF Fuel 2</t>
        </is>
      </c>
      <c r="B1151" t="inlineStr">
        <is>
          <t>G67</t>
        </is>
      </c>
      <c r="C1151" t="n">
        <v>67</v>
      </c>
      <c r="D1151" t="n">
        <v>7</v>
      </c>
      <c r="E1151" t="inlineStr">
        <is>
          <t>Output</t>
        </is>
      </c>
      <c r="F1151" t="inlineStr">
        <is>
          <t>'=F67/F66-1</t>
        </is>
      </c>
      <c r="G1151" t="n">
        <v>-0.02355910811947826</v>
      </c>
      <c r="H1151" t="inlineStr"/>
      <c r="I1151" t="inlineStr">
        <is>
          <t>0%</t>
        </is>
      </c>
      <c r="J1151" t="b">
        <v>0</v>
      </c>
      <c r="K1151" t="b">
        <v>0</v>
      </c>
      <c r="L1151" t="n">
        <v>11</v>
      </c>
      <c r="M1151" t="inlineStr">
        <is>
          <t>Values must be of type &lt;class 'str'&gt;</t>
        </is>
      </c>
      <c r="N1151" t="inlineStr">
        <is>
          <t>00000000</t>
        </is>
      </c>
      <c r="O1151" t="n">
        <v/>
      </c>
      <c r="R1151" t="b">
        <v>1</v>
      </c>
      <c r="S1151" t="inlineStr">
        <is>
          <t>G000155</t>
        </is>
      </c>
      <c r="T1151" t="inlineStr">
        <is>
          <t>Vertical</t>
        </is>
      </c>
      <c r="U1151" t="n">
        <v>93</v>
      </c>
      <c r="V1151" t="b">
        <v>1</v>
      </c>
      <c r="W1151" t="inlineStr">
        <is>
          <t>ATF Fuel 2!G3:G95</t>
        </is>
      </c>
      <c r="X1151">
        <f>R[0]C[-1]/R[-1]C[-1]-1</f>
        <v/>
      </c>
    </row>
    <row r="1152">
      <c r="A1152" t="inlineStr">
        <is>
          <t>ATF Fuel 2</t>
        </is>
      </c>
      <c r="B1152" t="inlineStr">
        <is>
          <t>H67</t>
        </is>
      </c>
      <c r="C1152" t="n">
        <v>67</v>
      </c>
      <c r="D1152" t="n">
        <v>8</v>
      </c>
      <c r="E1152" t="inlineStr">
        <is>
          <t>Calculation</t>
        </is>
      </c>
      <c r="F1152" t="inlineStr">
        <is>
          <t>'=D67*F67</t>
        </is>
      </c>
      <c r="G1152" t="n">
        <v>3084.609</v>
      </c>
      <c r="H1152" t="inlineStr"/>
      <c r="I1152" t="inlineStr">
        <is>
          <t>0</t>
        </is>
      </c>
      <c r="J1152" t="b">
        <v>0</v>
      </c>
      <c r="K1152" t="b">
        <v>0</v>
      </c>
      <c r="L1152" t="n">
        <v>11</v>
      </c>
      <c r="M1152" t="inlineStr">
        <is>
          <t>Values must be of type &lt;class 'str'&gt;</t>
        </is>
      </c>
      <c r="N1152" t="inlineStr">
        <is>
          <t>00000000</t>
        </is>
      </c>
      <c r="O1152" t="n">
        <v/>
      </c>
      <c r="R1152" t="b">
        <v>1</v>
      </c>
      <c r="S1152" t="inlineStr">
        <is>
          <t>G000152</t>
        </is>
      </c>
      <c r="T1152" t="inlineStr">
        <is>
          <t>Vertical</t>
        </is>
      </c>
      <c r="U1152" t="n">
        <v>98</v>
      </c>
      <c r="V1152" t="b">
        <v>1</v>
      </c>
      <c r="W1152" t="inlineStr">
        <is>
          <t>ATF Fuel 2!H2:H99</t>
        </is>
      </c>
      <c r="X1152">
        <f>R[0]C[-4]*R[0]C[-2]</f>
        <v/>
      </c>
    </row>
    <row r="1153">
      <c r="A1153" t="inlineStr">
        <is>
          <t>ATF Fuel 2</t>
        </is>
      </c>
      <c r="B1153" t="inlineStr">
        <is>
          <t>I67</t>
        </is>
      </c>
      <c r="C1153" t="n">
        <v>67</v>
      </c>
      <c r="D1153" t="n">
        <v>9</v>
      </c>
      <c r="E1153" t="inlineStr">
        <is>
          <t>Output</t>
        </is>
      </c>
      <c r="F1153" t="inlineStr">
        <is>
          <t>'=H67/H66-1</t>
        </is>
      </c>
      <c r="G1153" t="n">
        <v>0.01366188510327548</v>
      </c>
      <c r="H1153" t="inlineStr"/>
      <c r="I1153" t="inlineStr">
        <is>
          <t>0%</t>
        </is>
      </c>
      <c r="J1153" t="b">
        <v>0</v>
      </c>
      <c r="K1153" t="b">
        <v>0</v>
      </c>
      <c r="L1153" t="n">
        <v>11</v>
      </c>
      <c r="M1153" t="inlineStr">
        <is>
          <t>FFFF0000</t>
        </is>
      </c>
      <c r="N1153" t="inlineStr">
        <is>
          <t>00000000</t>
        </is>
      </c>
      <c r="O1153" t="n">
        <v/>
      </c>
      <c r="R1153" t="b">
        <v>1</v>
      </c>
      <c r="S1153" t="inlineStr">
        <is>
          <t>G000156</t>
        </is>
      </c>
      <c r="T1153" t="inlineStr">
        <is>
          <t>Vertical</t>
        </is>
      </c>
      <c r="U1153" t="n">
        <v>97</v>
      </c>
      <c r="V1153" t="b">
        <v>1</v>
      </c>
      <c r="W1153" t="inlineStr">
        <is>
          <t>ATF Fuel 2!I3:I99</t>
        </is>
      </c>
      <c r="X1153">
        <f>R[0]C[-1]/R[-1]C[-1]-1</f>
        <v/>
      </c>
    </row>
    <row r="1154">
      <c r="A1154" t="inlineStr">
        <is>
          <t>ATF Fuel 2</t>
        </is>
      </c>
      <c r="B1154" t="inlineStr">
        <is>
          <t>J67</t>
        </is>
      </c>
      <c r="C1154" t="n">
        <v>67</v>
      </c>
      <c r="D1154" t="n">
        <v>10</v>
      </c>
      <c r="E1154" t="inlineStr">
        <is>
          <t>Input</t>
        </is>
      </c>
      <c r="F1154" t="n">
        <v/>
      </c>
      <c r="G1154" t="n">
        <v>45.38</v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11</v>
      </c>
      <c r="M1154" t="inlineStr">
        <is>
          <t>Values must be of type &lt;class 'str'&gt;</t>
        </is>
      </c>
      <c r="N1154" t="inlineStr">
        <is>
          <t>00000000</t>
        </is>
      </c>
      <c r="O1154" t="n">
        <v/>
      </c>
      <c r="R1154" t="b">
        <v>1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</row>
    <row r="1155">
      <c r="A1155" t="inlineStr">
        <is>
          <t>ATF Fuel 2</t>
        </is>
      </c>
      <c r="B1155" t="inlineStr">
        <is>
          <t>K67</t>
        </is>
      </c>
      <c r="C1155" t="n">
        <v>67</v>
      </c>
      <c r="D1155" t="n">
        <v>11</v>
      </c>
      <c r="E1155" t="inlineStr">
        <is>
          <t>Output</t>
        </is>
      </c>
      <c r="F1155" t="inlineStr">
        <is>
          <t>'=J67/J66-1</t>
        </is>
      </c>
      <c r="G1155" t="n">
        <v>0.002872928176795631</v>
      </c>
      <c r="H1155" t="inlineStr"/>
      <c r="I1155" t="inlineStr">
        <is>
          <t>0%</t>
        </is>
      </c>
      <c r="J1155" t="b">
        <v>0</v>
      </c>
      <c r="K1155" t="b">
        <v>0</v>
      </c>
      <c r="L1155" t="n">
        <v>11</v>
      </c>
      <c r="M1155" t="inlineStr">
        <is>
          <t>Values must be of type &lt;class 'str'&gt;</t>
        </is>
      </c>
      <c r="N1155" t="inlineStr">
        <is>
          <t>00000000</t>
        </is>
      </c>
      <c r="O1155" t="n">
        <v/>
      </c>
      <c r="R1155" t="b">
        <v>1</v>
      </c>
      <c r="S1155" t="inlineStr">
        <is>
          <t>G000157</t>
        </is>
      </c>
      <c r="T1155" t="inlineStr">
        <is>
          <t>Vertical</t>
        </is>
      </c>
      <c r="U1155" t="n">
        <v>93</v>
      </c>
      <c r="V1155" t="b">
        <v>1</v>
      </c>
      <c r="W1155" t="inlineStr">
        <is>
          <t>ATF Fuel 2!K3:K95</t>
        </is>
      </c>
      <c r="X1155">
        <f>R[0]C[-1]/R[-1]C[-1]-1</f>
        <v/>
      </c>
    </row>
    <row r="1156">
      <c r="A1156" t="inlineStr">
        <is>
          <t>ATF Fuel 2</t>
        </is>
      </c>
      <c r="B1156" t="inlineStr">
        <is>
          <t>L67</t>
        </is>
      </c>
      <c r="C1156" t="n">
        <v>67</v>
      </c>
      <c r="D1156" t="n">
        <v>12</v>
      </c>
      <c r="E1156" t="inlineStr">
        <is>
          <t>Input</t>
        </is>
      </c>
      <c r="F1156" t="n">
        <v/>
      </c>
      <c r="G1156" t="inlineStr">
        <is>
          <t>September 01, 2015</t>
        </is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11</v>
      </c>
      <c r="M1156" t="inlineStr">
        <is>
          <t>Values must be of type &lt;class 'str'&gt;</t>
        </is>
      </c>
      <c r="N1156" t="inlineStr">
        <is>
          <t>00000000</t>
        </is>
      </c>
      <c r="O1156" t="inlineStr">
        <is>
          <t>left</t>
        </is>
      </c>
      <c r="R1156" t="b">
        <v>1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</row>
    <row r="1157">
      <c r="A1157" t="inlineStr">
        <is>
          <t>ATF Fuel 2</t>
        </is>
      </c>
      <c r="B1157" t="inlineStr">
        <is>
          <t>M67</t>
        </is>
      </c>
      <c r="C1157" t="n">
        <v>67</v>
      </c>
      <c r="D1157" t="n">
        <v>13</v>
      </c>
      <c r="E1157" t="inlineStr">
        <is>
          <t>Calculation</t>
        </is>
      </c>
      <c r="F1157" t="inlineStr">
        <is>
          <t>'=(1+(B67/B66)-1)*M66</t>
        </is>
      </c>
      <c r="G1157" t="n">
        <v>100.0591837989448</v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11</v>
      </c>
      <c r="M1157" t="inlineStr">
        <is>
          <t>Values must be of type &lt;class 'str'&gt;</t>
        </is>
      </c>
      <c r="N1157" t="inlineStr">
        <is>
          <t>00000000</t>
        </is>
      </c>
      <c r="O1157" t="inlineStr">
        <is>
          <t>left</t>
        </is>
      </c>
      <c r="R1157" t="b">
        <v>1</v>
      </c>
      <c r="S1157" t="inlineStr">
        <is>
          <t>G000159</t>
        </is>
      </c>
      <c r="T1157" t="inlineStr">
        <is>
          <t>Vertical</t>
        </is>
      </c>
      <c r="U1157" t="n">
        <v>92</v>
      </c>
      <c r="V1157" t="b">
        <v>1</v>
      </c>
      <c r="W1157" t="inlineStr">
        <is>
          <t>ATF Fuel 2!M3:M94</t>
        </is>
      </c>
      <c r="X1157">
        <f>(1+(R[0]C[-11]/R[-1]C[-11])-1)*R[-1]C[0]</f>
        <v/>
      </c>
    </row>
    <row r="1158">
      <c r="A1158" t="inlineStr">
        <is>
          <t>ATF Fuel 2</t>
        </is>
      </c>
      <c r="B1158" t="inlineStr">
        <is>
          <t>N67</t>
        </is>
      </c>
      <c r="C1158" t="n">
        <v>67</v>
      </c>
      <c r="D1158" t="n">
        <v>14</v>
      </c>
      <c r="E1158" t="inlineStr">
        <is>
          <t>Calculation</t>
        </is>
      </c>
      <c r="F1158" t="inlineStr">
        <is>
          <t>'=(1+(F67/F66)-1)*N66</t>
        </is>
      </c>
      <c r="G1158" t="n">
        <v>56.17814353140511</v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11</v>
      </c>
      <c r="M1158" t="inlineStr">
        <is>
          <t>Values must be of type &lt;class 'str'&gt;</t>
        </is>
      </c>
      <c r="N1158" t="inlineStr">
        <is>
          <t>00000000</t>
        </is>
      </c>
      <c r="O1158" t="inlineStr">
        <is>
          <t>left</t>
        </is>
      </c>
      <c r="R1158" t="b">
        <v>1</v>
      </c>
      <c r="S1158" t="inlineStr">
        <is>
          <t>G000160</t>
        </is>
      </c>
      <c r="T1158" t="inlineStr">
        <is>
          <t>Vertical</t>
        </is>
      </c>
      <c r="U1158" t="n">
        <v>92</v>
      </c>
      <c r="V1158" t="b">
        <v>1</v>
      </c>
      <c r="W1158" t="inlineStr">
        <is>
          <t>ATF Fuel 2!N3:N94</t>
        </is>
      </c>
      <c r="X1158">
        <f>(1+(R[0]C[-8]/R[-1]C[-8])-1)*R[-1]C[0]</f>
        <v/>
      </c>
    </row>
    <row r="1159">
      <c r="A1159" t="inlineStr">
        <is>
          <t>ATF Fuel 2</t>
        </is>
      </c>
      <c r="B1159" t="inlineStr">
        <is>
          <t>O67</t>
        </is>
      </c>
      <c r="C1159" t="n">
        <v>67</v>
      </c>
      <c r="D1159" t="n">
        <v>15</v>
      </c>
      <c r="E1159" t="inlineStr">
        <is>
          <t>Calculation</t>
        </is>
      </c>
      <c r="F1159" t="inlineStr">
        <is>
          <t>'=(1+(J67/J66)-1)*O66</t>
        </is>
      </c>
      <c r="G1159" t="n">
        <v>53.68508221933044</v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11</v>
      </c>
      <c r="M1159" t="inlineStr">
        <is>
          <t>Values must be of type &lt;class 'str'&gt;</t>
        </is>
      </c>
      <c r="N1159" t="inlineStr">
        <is>
          <t>00000000</t>
        </is>
      </c>
      <c r="O1159" t="inlineStr">
        <is>
          <t>left</t>
        </is>
      </c>
      <c r="R1159" t="b">
        <v>1</v>
      </c>
      <c r="S1159" t="inlineStr">
        <is>
          <t>G000162</t>
        </is>
      </c>
      <c r="T1159" t="inlineStr">
        <is>
          <t>Vertical</t>
        </is>
      </c>
      <c r="U1159" t="n">
        <v>92</v>
      </c>
      <c r="V1159" t="b">
        <v>1</v>
      </c>
      <c r="W1159" t="inlineStr">
        <is>
          <t>ATF Fuel 2!O3:O94</t>
        </is>
      </c>
      <c r="X1159">
        <f>(1+(R[0]C[-5]/R[-1]C[-5])-1)*R[-1]C[0]</f>
        <v/>
      </c>
    </row>
    <row r="1160">
      <c r="A1160" t="inlineStr">
        <is>
          <t>ATF Fuel 2</t>
        </is>
      </c>
      <c r="B1160" t="inlineStr">
        <is>
          <t>P67</t>
        </is>
      </c>
      <c r="C1160" t="n">
        <v>67</v>
      </c>
      <c r="D1160" t="n">
        <v>16</v>
      </c>
      <c r="E1160" t="inlineStr">
        <is>
          <t>Calculation</t>
        </is>
      </c>
      <c r="F1160" t="inlineStr">
        <is>
          <t>'=(1+(H67/H66)-1)*P66</t>
        </is>
      </c>
      <c r="G1160" t="n">
        <v>83.40119833918384</v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11</v>
      </c>
      <c r="M1160" t="inlineStr">
        <is>
          <t>Values must be of type &lt;class 'str'&gt;</t>
        </is>
      </c>
      <c r="N1160" t="inlineStr">
        <is>
          <t>00000000</t>
        </is>
      </c>
      <c r="O1160" t="inlineStr">
        <is>
          <t>left</t>
        </is>
      </c>
      <c r="R1160" t="b">
        <v>1</v>
      </c>
      <c r="S1160" t="inlineStr">
        <is>
          <t>G000161</t>
        </is>
      </c>
      <c r="T1160" t="inlineStr">
        <is>
          <t>Vertical</t>
        </is>
      </c>
      <c r="U1160" t="n">
        <v>92</v>
      </c>
      <c r="V1160" t="b">
        <v>1</v>
      </c>
      <c r="W1160" t="inlineStr">
        <is>
          <t>ATF Fuel 2!P3:P94</t>
        </is>
      </c>
      <c r="X1160">
        <f>(1+(R[0]C[-8]/R[-1]C[-8])-1)*R[-1]C[0]</f>
        <v/>
      </c>
    </row>
    <row r="1161">
      <c r="A1161" t="inlineStr">
        <is>
          <t>ATF Fuel 2</t>
        </is>
      </c>
      <c r="B1161" t="inlineStr">
        <is>
          <t>Q67</t>
        </is>
      </c>
      <c r="C1161" t="n">
        <v>67</v>
      </c>
      <c r="D1161" t="n">
        <v>17</v>
      </c>
      <c r="E1161" t="inlineStr">
        <is>
          <t>Output</t>
        </is>
      </c>
      <c r="F1161" t="inlineStr">
        <is>
          <t>'=M67/N67-1</t>
        </is>
      </c>
      <c r="G1161" t="n">
        <v>0.7811052040729867</v>
      </c>
      <c r="H1161" t="inlineStr"/>
      <c r="I1161" t="inlineStr">
        <is>
          <t>0.0%</t>
        </is>
      </c>
      <c r="J1161" t="b">
        <v>0</v>
      </c>
      <c r="K1161" t="b">
        <v>0</v>
      </c>
      <c r="L1161" t="n">
        <v>11</v>
      </c>
      <c r="M1161" t="inlineStr">
        <is>
          <t>Values must be of type &lt;class 'str'&gt;</t>
        </is>
      </c>
      <c r="N1161" t="inlineStr">
        <is>
          <t>00000000</t>
        </is>
      </c>
      <c r="O1161" t="n">
        <v/>
      </c>
      <c r="R1161" t="b">
        <v>1</v>
      </c>
      <c r="S1161" t="inlineStr">
        <is>
          <t>G000153</t>
        </is>
      </c>
      <c r="T1161" t="inlineStr">
        <is>
          <t>Vertical</t>
        </is>
      </c>
      <c r="U1161" t="n">
        <v>93</v>
      </c>
      <c r="V1161" t="b">
        <v>1</v>
      </c>
      <c r="W1161" t="inlineStr">
        <is>
          <t>ATF Fuel 2!Q2:Q94</t>
        </is>
      </c>
      <c r="X1161">
        <f>R[0]C[-4]/R[0]C[-3]-1</f>
        <v/>
      </c>
    </row>
    <row r="1162">
      <c r="A1162" t="inlineStr">
        <is>
          <t>ATF Fuel 2</t>
        </is>
      </c>
      <c r="B1162" t="inlineStr">
        <is>
          <t>A68</t>
        </is>
      </c>
      <c r="C1162" t="n">
        <v>68</v>
      </c>
      <c r="D1162" t="n">
        <v>1</v>
      </c>
      <c r="E1162" t="inlineStr">
        <is>
          <t>Input</t>
        </is>
      </c>
      <c r="F1162" t="n">
        <v/>
      </c>
      <c r="G1162" t="inlineStr">
        <is>
          <t>October 01, 2015</t>
        </is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11</v>
      </c>
      <c r="M1162" t="inlineStr">
        <is>
          <t>Values must be of type &lt;class 'str'&gt;</t>
        </is>
      </c>
      <c r="N1162" t="inlineStr">
        <is>
          <t>00000000</t>
        </is>
      </c>
      <c r="O1162" t="n">
        <v/>
      </c>
      <c r="R1162" t="b">
        <v>1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</row>
    <row r="1163">
      <c r="A1163" t="inlineStr">
        <is>
          <t>ATF Fuel 2</t>
        </is>
      </c>
      <c r="B1163" t="inlineStr">
        <is>
          <t>B68</t>
        </is>
      </c>
      <c r="C1163" t="n">
        <v>68</v>
      </c>
      <c r="D1163" t="n">
        <v>2</v>
      </c>
      <c r="E1163" t="inlineStr">
        <is>
          <t>Input</t>
        </is>
      </c>
      <c r="F1163" t="n">
        <v/>
      </c>
      <c r="G1163" t="n">
        <v>46716.475</v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11</v>
      </c>
      <c r="M1163" t="inlineStr">
        <is>
          <t>Values must be of type &lt;class 'str'&gt;</t>
        </is>
      </c>
      <c r="N1163" t="inlineStr">
        <is>
          <t>00000000</t>
        </is>
      </c>
      <c r="O1163" t="n">
        <v/>
      </c>
      <c r="R1163" t="b">
        <v>1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</row>
    <row r="1164">
      <c r="A1164" t="inlineStr">
        <is>
          <t>ATF Fuel 2</t>
        </is>
      </c>
      <c r="B1164" t="inlineStr">
        <is>
          <t>C68</t>
        </is>
      </c>
      <c r="C1164" t="n">
        <v>68</v>
      </c>
      <c r="D1164" t="n">
        <v>3</v>
      </c>
      <c r="E1164" t="inlineStr">
        <is>
          <t>Output</t>
        </is>
      </c>
      <c r="F1164" t="inlineStr">
        <is>
          <t>'=B68/B67-1</t>
        </is>
      </c>
      <c r="G1164" t="n">
        <v>0.0524559449351889</v>
      </c>
      <c r="H1164" t="inlineStr"/>
      <c r="I1164" t="inlineStr">
        <is>
          <t>0%</t>
        </is>
      </c>
      <c r="J1164" t="b">
        <v>0</v>
      </c>
      <c r="K1164" t="b">
        <v>0</v>
      </c>
      <c r="L1164" t="n">
        <v>11</v>
      </c>
      <c r="M1164" t="n">
        <v/>
      </c>
      <c r="N1164" t="inlineStr">
        <is>
          <t>00000000</t>
        </is>
      </c>
      <c r="O1164" t="n">
        <v/>
      </c>
      <c r="R1164" t="b">
        <v>1</v>
      </c>
      <c r="S1164" t="inlineStr">
        <is>
          <t>G000154</t>
        </is>
      </c>
      <c r="T1164" t="inlineStr">
        <is>
          <t>Vertical</t>
        </is>
      </c>
      <c r="U1164" t="n">
        <v>92</v>
      </c>
      <c r="V1164" t="b">
        <v>1</v>
      </c>
      <c r="W1164" t="inlineStr">
        <is>
          <t>ATF Fuel 2!C3:C94</t>
        </is>
      </c>
      <c r="X1164">
        <f>R[0]C[-1]/R[-1]C[-1]-1</f>
        <v/>
      </c>
    </row>
    <row r="1165">
      <c r="A1165" t="inlineStr">
        <is>
          <t>ATF Fuel 2</t>
        </is>
      </c>
      <c r="B1165" t="inlineStr">
        <is>
          <t>D68</t>
        </is>
      </c>
      <c r="C1165" t="n">
        <v>68</v>
      </c>
      <c r="D1165" t="n">
        <v>4</v>
      </c>
      <c r="E1165" t="inlineStr">
        <is>
          <t>Input</t>
        </is>
      </c>
      <c r="F1165" t="n">
        <v/>
      </c>
      <c r="G1165" t="n">
        <v>65.58</v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11</v>
      </c>
      <c r="M1165" t="inlineStr">
        <is>
          <t>Values must be of type &lt;class 'str'&gt;</t>
        </is>
      </c>
      <c r="N1165" t="inlineStr">
        <is>
          <t>00000000</t>
        </is>
      </c>
      <c r="O1165" t="n">
        <v/>
      </c>
      <c r="R1165" t="b">
        <v>1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</row>
    <row r="1166">
      <c r="A1166" t="inlineStr">
        <is>
          <t>ATF Fuel 2</t>
        </is>
      </c>
      <c r="B1166" t="inlineStr">
        <is>
          <t>E68</t>
        </is>
      </c>
      <c r="C1166" t="n">
        <v>68</v>
      </c>
      <c r="D1166" t="n">
        <v>5</v>
      </c>
      <c r="E1166" t="inlineStr">
        <is>
          <t>Output</t>
        </is>
      </c>
      <c r="F1166" t="inlineStr">
        <is>
          <t>'=B68/B67-1</t>
        </is>
      </c>
      <c r="G1166" t="n">
        <v>0.0524559449351889</v>
      </c>
      <c r="H1166" t="inlineStr"/>
      <c r="I1166" t="inlineStr">
        <is>
          <t>0%</t>
        </is>
      </c>
      <c r="J1166" t="b">
        <v>0</v>
      </c>
      <c r="K1166" t="b">
        <v>0</v>
      </c>
      <c r="L1166" t="n">
        <v>11</v>
      </c>
      <c r="M1166" t="inlineStr">
        <is>
          <t>Values must be of type &lt;class 'str'&gt;</t>
        </is>
      </c>
      <c r="N1166" t="inlineStr">
        <is>
          <t>00000000</t>
        </is>
      </c>
      <c r="O1166" t="n">
        <v/>
      </c>
      <c r="R1166" t="b">
        <v>1</v>
      </c>
      <c r="S1166" t="inlineStr">
        <is>
          <t>G000158</t>
        </is>
      </c>
      <c r="T1166" t="inlineStr">
        <is>
          <t>Vertical</t>
        </is>
      </c>
      <c r="U1166" t="n">
        <v>92</v>
      </c>
      <c r="V1166" t="b">
        <v>1</v>
      </c>
      <c r="W1166" t="inlineStr">
        <is>
          <t>ATF Fuel 2!E3:E94</t>
        </is>
      </c>
      <c r="X1166">
        <f>R[0]C[-3]/R[-1]C[-3]-1</f>
        <v/>
      </c>
    </row>
    <row r="1167">
      <c r="A1167" t="inlineStr">
        <is>
          <t>ATF Fuel 2</t>
        </is>
      </c>
      <c r="B1167" t="inlineStr">
        <is>
          <t>F68</t>
        </is>
      </c>
      <c r="C1167" t="n">
        <v>68</v>
      </c>
      <c r="D1167" t="n">
        <v>6</v>
      </c>
      <c r="E1167" t="inlineStr">
        <is>
          <t>Input</t>
        </is>
      </c>
      <c r="F1167" t="n">
        <v/>
      </c>
      <c r="G1167" t="n">
        <v>51.66</v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11</v>
      </c>
      <c r="M1167" t="inlineStr">
        <is>
          <t>Values must be of type &lt;class 'str'&gt;</t>
        </is>
      </c>
      <c r="N1167" t="inlineStr">
        <is>
          <t>00000000</t>
        </is>
      </c>
      <c r="O1167" t="n">
        <v/>
      </c>
      <c r="R1167" t="b">
        <v>1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</row>
    <row r="1168">
      <c r="A1168" t="inlineStr">
        <is>
          <t>ATF Fuel 2</t>
        </is>
      </c>
      <c r="B1168" t="inlineStr">
        <is>
          <t>G68</t>
        </is>
      </c>
      <c r="C1168" t="n">
        <v>68</v>
      </c>
      <c r="D1168" t="n">
        <v>7</v>
      </c>
      <c r="E1168" t="inlineStr">
        <is>
          <t>Output</t>
        </is>
      </c>
      <c r="F1168" t="inlineStr">
        <is>
          <t>'=F68/F67-1</t>
        </is>
      </c>
      <c r="G1168" t="n">
        <v>0.1128823782852217</v>
      </c>
      <c r="H1168" t="inlineStr"/>
      <c r="I1168" t="inlineStr">
        <is>
          <t>0%</t>
        </is>
      </c>
      <c r="J1168" t="b">
        <v>0</v>
      </c>
      <c r="K1168" t="b">
        <v>0</v>
      </c>
      <c r="L1168" t="n">
        <v>11</v>
      </c>
      <c r="M1168" t="inlineStr">
        <is>
          <t>Values must be of type &lt;class 'str'&gt;</t>
        </is>
      </c>
      <c r="N1168" t="inlineStr">
        <is>
          <t>00000000</t>
        </is>
      </c>
      <c r="O1168" t="n">
        <v/>
      </c>
      <c r="R1168" t="b">
        <v>1</v>
      </c>
      <c r="S1168" t="inlineStr">
        <is>
          <t>G000155</t>
        </is>
      </c>
      <c r="T1168" t="inlineStr">
        <is>
          <t>Vertical</t>
        </is>
      </c>
      <c r="U1168" t="n">
        <v>93</v>
      </c>
      <c r="V1168" t="b">
        <v>1</v>
      </c>
      <c r="W1168" t="inlineStr">
        <is>
          <t>ATF Fuel 2!G3:G95</t>
        </is>
      </c>
      <c r="X1168">
        <f>R[0]C[-1]/R[-1]C[-1]-1</f>
        <v/>
      </c>
    </row>
    <row r="1169">
      <c r="A1169" t="inlineStr">
        <is>
          <t>ATF Fuel 2</t>
        </is>
      </c>
      <c r="B1169" t="inlineStr">
        <is>
          <t>H68</t>
        </is>
      </c>
      <c r="C1169" t="n">
        <v>68</v>
      </c>
      <c r="D1169" t="n">
        <v>8</v>
      </c>
      <c r="E1169" t="inlineStr">
        <is>
          <t>Calculation</t>
        </is>
      </c>
      <c r="F1169" t="inlineStr">
        <is>
          <t>'=D68*F68</t>
        </is>
      </c>
      <c r="G1169" t="n">
        <v>3387.8628</v>
      </c>
      <c r="H1169" t="inlineStr"/>
      <c r="I1169" t="inlineStr">
        <is>
          <t>0</t>
        </is>
      </c>
      <c r="J1169" t="b">
        <v>0</v>
      </c>
      <c r="K1169" t="b">
        <v>0</v>
      </c>
      <c r="L1169" t="n">
        <v>11</v>
      </c>
      <c r="M1169" t="inlineStr">
        <is>
          <t>Values must be of type &lt;class 'str'&gt;</t>
        </is>
      </c>
      <c r="N1169" t="inlineStr">
        <is>
          <t>00000000</t>
        </is>
      </c>
      <c r="O1169" t="n">
        <v/>
      </c>
      <c r="R1169" t="b">
        <v>1</v>
      </c>
      <c r="S1169" t="inlineStr">
        <is>
          <t>G000152</t>
        </is>
      </c>
      <c r="T1169" t="inlineStr">
        <is>
          <t>Vertical</t>
        </is>
      </c>
      <c r="U1169" t="n">
        <v>98</v>
      </c>
      <c r="V1169" t="b">
        <v>1</v>
      </c>
      <c r="W1169" t="inlineStr">
        <is>
          <t>ATF Fuel 2!H2:H99</t>
        </is>
      </c>
      <c r="X1169">
        <f>R[0]C[-4]*R[0]C[-2]</f>
        <v/>
      </c>
    </row>
    <row r="1170">
      <c r="A1170" t="inlineStr">
        <is>
          <t>ATF Fuel 2</t>
        </is>
      </c>
      <c r="B1170" t="inlineStr">
        <is>
          <t>I68</t>
        </is>
      </c>
      <c r="C1170" t="n">
        <v>68</v>
      </c>
      <c r="D1170" t="n">
        <v>9</v>
      </c>
      <c r="E1170" t="inlineStr">
        <is>
          <t>Output</t>
        </is>
      </c>
      <c r="F1170" t="inlineStr">
        <is>
          <t>'=H68/H67-1</t>
        </is>
      </c>
      <c r="G1170" t="n">
        <v>0.09831190922415112</v>
      </c>
      <c r="H1170" t="inlineStr"/>
      <c r="I1170" t="inlineStr">
        <is>
          <t>0%</t>
        </is>
      </c>
      <c r="J1170" t="b">
        <v>0</v>
      </c>
      <c r="K1170" t="b">
        <v>0</v>
      </c>
      <c r="L1170" t="n">
        <v>11</v>
      </c>
      <c r="M1170" t="inlineStr">
        <is>
          <t>FFFF0000</t>
        </is>
      </c>
      <c r="N1170" t="inlineStr">
        <is>
          <t>00000000</t>
        </is>
      </c>
      <c r="O1170" t="n">
        <v/>
      </c>
      <c r="R1170" t="b">
        <v>1</v>
      </c>
      <c r="S1170" t="inlineStr">
        <is>
          <t>G000156</t>
        </is>
      </c>
      <c r="T1170" t="inlineStr">
        <is>
          <t>Vertical</t>
        </is>
      </c>
      <c r="U1170" t="n">
        <v>97</v>
      </c>
      <c r="V1170" t="b">
        <v>1</v>
      </c>
      <c r="W1170" t="inlineStr">
        <is>
          <t>ATF Fuel 2!I3:I99</t>
        </is>
      </c>
      <c r="X1170">
        <f>R[0]C[-1]/R[-1]C[-1]-1</f>
        <v/>
      </c>
    </row>
    <row r="1171">
      <c r="A1171" t="inlineStr">
        <is>
          <t>ATF Fuel 2</t>
        </is>
      </c>
      <c r="B1171" t="inlineStr">
        <is>
          <t>J68</t>
        </is>
      </c>
      <c r="C1171" t="n">
        <v>68</v>
      </c>
      <c r="D1171" t="n">
        <v>10</v>
      </c>
      <c r="E1171" t="inlineStr">
        <is>
          <t>Input</t>
        </is>
      </c>
      <c r="F1171" t="n">
        <v/>
      </c>
      <c r="G1171" t="n">
        <v>44.75</v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11</v>
      </c>
      <c r="M1171" t="inlineStr">
        <is>
          <t>Values must be of type &lt;class 'str'&gt;</t>
        </is>
      </c>
      <c r="N1171" t="inlineStr">
        <is>
          <t>00000000</t>
        </is>
      </c>
      <c r="O1171" t="n">
        <v/>
      </c>
      <c r="R1171" t="b">
        <v>1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</row>
    <row r="1172">
      <c r="A1172" t="inlineStr">
        <is>
          <t>ATF Fuel 2</t>
        </is>
      </c>
      <c r="B1172" t="inlineStr">
        <is>
          <t>K68</t>
        </is>
      </c>
      <c r="C1172" t="n">
        <v>68</v>
      </c>
      <c r="D1172" t="n">
        <v>11</v>
      </c>
      <c r="E1172" t="inlineStr">
        <is>
          <t>Output</t>
        </is>
      </c>
      <c r="F1172" t="inlineStr">
        <is>
          <t>'=J68/J67-1</t>
        </is>
      </c>
      <c r="G1172" t="n">
        <v>-0.01388276773909214</v>
      </c>
      <c r="H1172" t="inlineStr"/>
      <c r="I1172" t="inlineStr">
        <is>
          <t>0%</t>
        </is>
      </c>
      <c r="J1172" t="b">
        <v>0</v>
      </c>
      <c r="K1172" t="b">
        <v>0</v>
      </c>
      <c r="L1172" t="n">
        <v>11</v>
      </c>
      <c r="M1172" t="inlineStr">
        <is>
          <t>Values must be of type &lt;class 'str'&gt;</t>
        </is>
      </c>
      <c r="N1172" t="inlineStr">
        <is>
          <t>00000000</t>
        </is>
      </c>
      <c r="O1172" t="n">
        <v/>
      </c>
      <c r="R1172" t="b">
        <v>1</v>
      </c>
      <c r="S1172" t="inlineStr">
        <is>
          <t>G000157</t>
        </is>
      </c>
      <c r="T1172" t="inlineStr">
        <is>
          <t>Vertical</t>
        </is>
      </c>
      <c r="U1172" t="n">
        <v>93</v>
      </c>
      <c r="V1172" t="b">
        <v>1</v>
      </c>
      <c r="W1172" t="inlineStr">
        <is>
          <t>ATF Fuel 2!K3:K95</t>
        </is>
      </c>
      <c r="X1172">
        <f>R[0]C[-1]/R[-1]C[-1]-1</f>
        <v/>
      </c>
    </row>
    <row r="1173">
      <c r="A1173" t="inlineStr">
        <is>
          <t>ATF Fuel 2</t>
        </is>
      </c>
      <c r="B1173" t="inlineStr">
        <is>
          <t>L68</t>
        </is>
      </c>
      <c r="C1173" t="n">
        <v>68</v>
      </c>
      <c r="D1173" t="n">
        <v>12</v>
      </c>
      <c r="E1173" t="inlineStr">
        <is>
          <t>Input</t>
        </is>
      </c>
      <c r="F1173" t="n">
        <v/>
      </c>
      <c r="G1173" t="inlineStr">
        <is>
          <t>October 01, 2015</t>
        </is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11</v>
      </c>
      <c r="M1173" t="inlineStr">
        <is>
          <t>Values must be of type &lt;class 'str'&gt;</t>
        </is>
      </c>
      <c r="N1173" t="inlineStr">
        <is>
          <t>00000000</t>
        </is>
      </c>
      <c r="O1173" t="inlineStr">
        <is>
          <t>left</t>
        </is>
      </c>
      <c r="R1173" t="b">
        <v>1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</row>
    <row r="1174">
      <c r="A1174" t="inlineStr">
        <is>
          <t>ATF Fuel 2</t>
        </is>
      </c>
      <c r="B1174" t="inlineStr">
        <is>
          <t>M68</t>
        </is>
      </c>
      <c r="C1174" t="n">
        <v>68</v>
      </c>
      <c r="D1174" t="n">
        <v>13</v>
      </c>
      <c r="E1174" t="inlineStr">
        <is>
          <t>Calculation</t>
        </is>
      </c>
      <c r="F1174" t="inlineStr">
        <is>
          <t>'=(1+(B68/B67)-1)*M67</t>
        </is>
      </c>
      <c r="G1174" t="n">
        <v>105.3078828345622</v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11</v>
      </c>
      <c r="M1174" t="inlineStr">
        <is>
          <t>Values must be of type &lt;class 'str'&gt;</t>
        </is>
      </c>
      <c r="N1174" t="inlineStr">
        <is>
          <t>00000000</t>
        </is>
      </c>
      <c r="O1174" t="inlineStr">
        <is>
          <t>left</t>
        </is>
      </c>
      <c r="R1174" t="b">
        <v>1</v>
      </c>
      <c r="S1174" t="inlineStr">
        <is>
          <t>G000159</t>
        </is>
      </c>
      <c r="T1174" t="inlineStr">
        <is>
          <t>Vertical</t>
        </is>
      </c>
      <c r="U1174" t="n">
        <v>92</v>
      </c>
      <c r="V1174" t="b">
        <v>1</v>
      </c>
      <c r="W1174" t="inlineStr">
        <is>
          <t>ATF Fuel 2!M3:M94</t>
        </is>
      </c>
      <c r="X1174">
        <f>(1+(R[0]C[-11]/R[-1]C[-11])-1)*R[-1]C[0]</f>
        <v/>
      </c>
    </row>
    <row r="1175">
      <c r="A1175" t="inlineStr">
        <is>
          <t>ATF Fuel 2</t>
        </is>
      </c>
      <c r="B1175" t="inlineStr">
        <is>
          <t>N68</t>
        </is>
      </c>
      <c r="C1175" t="n">
        <v>68</v>
      </c>
      <c r="D1175" t="n">
        <v>14</v>
      </c>
      <c r="E1175" t="inlineStr">
        <is>
          <t>Calculation</t>
        </is>
      </c>
      <c r="F1175" t="inlineStr">
        <is>
          <t>'=(1+(F68/F67)-1)*N67</t>
        </is>
      </c>
      <c r="G1175" t="n">
        <v>62.51966598087866</v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11</v>
      </c>
      <c r="M1175" t="inlineStr">
        <is>
          <t>Values must be of type &lt;class 'str'&gt;</t>
        </is>
      </c>
      <c r="N1175" t="inlineStr">
        <is>
          <t>00000000</t>
        </is>
      </c>
      <c r="O1175" t="inlineStr">
        <is>
          <t>left</t>
        </is>
      </c>
      <c r="R1175" t="b">
        <v>1</v>
      </c>
      <c r="S1175" t="inlineStr">
        <is>
          <t>G000160</t>
        </is>
      </c>
      <c r="T1175" t="inlineStr">
        <is>
          <t>Vertical</t>
        </is>
      </c>
      <c r="U1175" t="n">
        <v>92</v>
      </c>
      <c r="V1175" t="b">
        <v>1</v>
      </c>
      <c r="W1175" t="inlineStr">
        <is>
          <t>ATF Fuel 2!N3:N94</t>
        </is>
      </c>
      <c r="X1175">
        <f>(1+(R[0]C[-8]/R[-1]C[-8])-1)*R[-1]C[0]</f>
        <v/>
      </c>
    </row>
    <row r="1176">
      <c r="A1176" t="inlineStr">
        <is>
          <t>ATF Fuel 2</t>
        </is>
      </c>
      <c r="B1176" t="inlineStr">
        <is>
          <t>O68</t>
        </is>
      </c>
      <c r="C1176" t="n">
        <v>68</v>
      </c>
      <c r="D1176" t="n">
        <v>15</v>
      </c>
      <c r="E1176" t="inlineStr">
        <is>
          <t>Calculation</t>
        </is>
      </c>
      <c r="F1176" t="inlineStr">
        <is>
          <t>'=(1+(J68/J67)-1)*O67</t>
        </is>
      </c>
      <c r="G1176" t="n">
        <v>52.93978469182542</v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11</v>
      </c>
      <c r="M1176" t="inlineStr">
        <is>
          <t>Values must be of type &lt;class 'str'&gt;</t>
        </is>
      </c>
      <c r="N1176" t="inlineStr">
        <is>
          <t>00000000</t>
        </is>
      </c>
      <c r="O1176" t="inlineStr">
        <is>
          <t>left</t>
        </is>
      </c>
      <c r="R1176" t="b">
        <v>1</v>
      </c>
      <c r="S1176" t="inlineStr">
        <is>
          <t>G000162</t>
        </is>
      </c>
      <c r="T1176" t="inlineStr">
        <is>
          <t>Vertical</t>
        </is>
      </c>
      <c r="U1176" t="n">
        <v>92</v>
      </c>
      <c r="V1176" t="b">
        <v>1</v>
      </c>
      <c r="W1176" t="inlineStr">
        <is>
          <t>ATF Fuel 2!O3:O94</t>
        </is>
      </c>
      <c r="X1176">
        <f>(1+(R[0]C[-5]/R[-1]C[-5])-1)*R[-1]C[0]</f>
        <v/>
      </c>
    </row>
    <row r="1177">
      <c r="A1177" t="inlineStr">
        <is>
          <t>ATF Fuel 2</t>
        </is>
      </c>
      <c r="B1177" t="inlineStr">
        <is>
          <t>P68</t>
        </is>
      </c>
      <c r="C1177" t="n">
        <v>68</v>
      </c>
      <c r="D1177" t="n">
        <v>16</v>
      </c>
      <c r="E1177" t="inlineStr">
        <is>
          <t>Calculation</t>
        </is>
      </c>
      <c r="F1177" t="inlineStr">
        <is>
          <t>'=(1+(H68/H67)-1)*P67</t>
        </is>
      </c>
      <c r="G1177" t="n">
        <v>91.60052937949108</v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11</v>
      </c>
      <c r="M1177" t="inlineStr">
        <is>
          <t>Values must be of type &lt;class 'str'&gt;</t>
        </is>
      </c>
      <c r="N1177" t="inlineStr">
        <is>
          <t>00000000</t>
        </is>
      </c>
      <c r="O1177" t="inlineStr">
        <is>
          <t>left</t>
        </is>
      </c>
      <c r="R1177" t="b">
        <v>1</v>
      </c>
      <c r="S1177" t="inlineStr">
        <is>
          <t>G000161</t>
        </is>
      </c>
      <c r="T1177" t="inlineStr">
        <is>
          <t>Vertical</t>
        </is>
      </c>
      <c r="U1177" t="n">
        <v>92</v>
      </c>
      <c r="V1177" t="b">
        <v>1</v>
      </c>
      <c r="W1177" t="inlineStr">
        <is>
          <t>ATF Fuel 2!P3:P94</t>
        </is>
      </c>
      <c r="X1177">
        <f>(1+(R[0]C[-8]/R[-1]C[-8])-1)*R[-1]C[0]</f>
        <v/>
      </c>
    </row>
    <row r="1178">
      <c r="A1178" t="inlineStr">
        <is>
          <t>ATF Fuel 2</t>
        </is>
      </c>
      <c r="B1178" t="inlineStr">
        <is>
          <t>Q68</t>
        </is>
      </c>
      <c r="C1178" t="n">
        <v>68</v>
      </c>
      <c r="D1178" t="n">
        <v>17</v>
      </c>
      <c r="E1178" t="inlineStr">
        <is>
          <t>Output</t>
        </is>
      </c>
      <c r="F1178" t="inlineStr">
        <is>
          <t>'=M68/N68-1</t>
        </is>
      </c>
      <c r="G1178" t="n">
        <v>0.684396120522623</v>
      </c>
      <c r="H1178" t="inlineStr"/>
      <c r="I1178" t="inlineStr">
        <is>
          <t>0.0%</t>
        </is>
      </c>
      <c r="J1178" t="b">
        <v>0</v>
      </c>
      <c r="K1178" t="b">
        <v>0</v>
      </c>
      <c r="L1178" t="n">
        <v>11</v>
      </c>
      <c r="M1178" t="inlineStr">
        <is>
          <t>Values must be of type &lt;class 'str'&gt;</t>
        </is>
      </c>
      <c r="N1178" t="inlineStr">
        <is>
          <t>00000000</t>
        </is>
      </c>
      <c r="O1178" t="n">
        <v/>
      </c>
      <c r="R1178" t="b">
        <v>1</v>
      </c>
      <c r="S1178" t="inlineStr">
        <is>
          <t>G000153</t>
        </is>
      </c>
      <c r="T1178" t="inlineStr">
        <is>
          <t>Vertical</t>
        </is>
      </c>
      <c r="U1178" t="n">
        <v>93</v>
      </c>
      <c r="V1178" t="b">
        <v>1</v>
      </c>
      <c r="W1178" t="inlineStr">
        <is>
          <t>ATF Fuel 2!Q2:Q94</t>
        </is>
      </c>
      <c r="X1178">
        <f>R[0]C[-4]/R[0]C[-3]-1</f>
        <v/>
      </c>
    </row>
    <row r="1179">
      <c r="A1179" t="inlineStr">
        <is>
          <t>ATF Fuel 2</t>
        </is>
      </c>
      <c r="B1179" t="inlineStr">
        <is>
          <t>A69</t>
        </is>
      </c>
      <c r="C1179" t="n">
        <v>69</v>
      </c>
      <c r="D1179" t="n">
        <v>1</v>
      </c>
      <c r="E1179" t="inlineStr">
        <is>
          <t>Input</t>
        </is>
      </c>
      <c r="F1179" t="n">
        <v/>
      </c>
      <c r="G1179" t="inlineStr">
        <is>
          <t>November 01, 2015</t>
        </is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11</v>
      </c>
      <c r="M1179" t="inlineStr">
        <is>
          <t>Values must be of type &lt;class 'str'&gt;</t>
        </is>
      </c>
      <c r="N1179" t="inlineStr">
        <is>
          <t>00000000</t>
        </is>
      </c>
      <c r="O1179" t="n">
        <v/>
      </c>
      <c r="R1179" t="b">
        <v>1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</row>
    <row r="1180">
      <c r="A1180" t="inlineStr">
        <is>
          <t>ATF Fuel 2</t>
        </is>
      </c>
      <c r="B1180" t="inlineStr">
        <is>
          <t>B69</t>
        </is>
      </c>
      <c r="C1180" t="n">
        <v>69</v>
      </c>
      <c r="D1180" t="n">
        <v>2</v>
      </c>
      <c r="E1180" t="inlineStr">
        <is>
          <t>Input</t>
        </is>
      </c>
      <c r="F1180" t="n">
        <v/>
      </c>
      <c r="G1180" t="n">
        <v>46493.61</v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11</v>
      </c>
      <c r="M1180" t="inlineStr">
        <is>
          <t>Values must be of type &lt;class 'str'&gt;</t>
        </is>
      </c>
      <c r="N1180" t="inlineStr">
        <is>
          <t>00000000</t>
        </is>
      </c>
      <c r="O1180" t="n">
        <v/>
      </c>
      <c r="R1180" t="b">
        <v>1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</row>
    <row r="1181">
      <c r="A1181" t="inlineStr">
        <is>
          <t>ATF Fuel 2</t>
        </is>
      </c>
      <c r="B1181" t="inlineStr">
        <is>
          <t>C69</t>
        </is>
      </c>
      <c r="C1181" t="n">
        <v>69</v>
      </c>
      <c r="D1181" t="n">
        <v>3</v>
      </c>
      <c r="E1181" t="inlineStr">
        <is>
          <t>Output</t>
        </is>
      </c>
      <c r="F1181" t="inlineStr">
        <is>
          <t>'=B69/B68-1</t>
        </is>
      </c>
      <c r="G1181" t="n">
        <v>-0.004770586821886691</v>
      </c>
      <c r="H1181" t="inlineStr"/>
      <c r="I1181" t="inlineStr">
        <is>
          <t>0%</t>
        </is>
      </c>
      <c r="J1181" t="b">
        <v>0</v>
      </c>
      <c r="K1181" t="b">
        <v>0</v>
      </c>
      <c r="L1181" t="n">
        <v>11</v>
      </c>
      <c r="M1181" t="n">
        <v/>
      </c>
      <c r="N1181" t="inlineStr">
        <is>
          <t>00000000</t>
        </is>
      </c>
      <c r="O1181" t="n">
        <v/>
      </c>
      <c r="R1181" t="b">
        <v>1</v>
      </c>
      <c r="S1181" t="inlineStr">
        <is>
          <t>G000154</t>
        </is>
      </c>
      <c r="T1181" t="inlineStr">
        <is>
          <t>Vertical</t>
        </is>
      </c>
      <c r="U1181" t="n">
        <v>92</v>
      </c>
      <c r="V1181" t="b">
        <v>1</v>
      </c>
      <c r="W1181" t="inlineStr">
        <is>
          <t>ATF Fuel 2!C3:C94</t>
        </is>
      </c>
      <c r="X1181">
        <f>R[0]C[-1]/R[-1]C[-1]-1</f>
        <v/>
      </c>
    </row>
    <row r="1182">
      <c r="A1182" t="inlineStr">
        <is>
          <t>ATF Fuel 2</t>
        </is>
      </c>
      <c r="B1182" t="inlineStr">
        <is>
          <t>D69</t>
        </is>
      </c>
      <c r="C1182" t="n">
        <v>69</v>
      </c>
      <c r="D1182" t="n">
        <v>4</v>
      </c>
      <c r="E1182" t="inlineStr">
        <is>
          <t>Input</t>
        </is>
      </c>
      <c r="F1182" t="n">
        <v/>
      </c>
      <c r="G1182" t="n">
        <v>65.38</v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11</v>
      </c>
      <c r="M1182" t="inlineStr">
        <is>
          <t>Values must be of type &lt;class 'str'&gt;</t>
        </is>
      </c>
      <c r="N1182" t="inlineStr">
        <is>
          <t>00000000</t>
        </is>
      </c>
      <c r="O1182" t="n">
        <v/>
      </c>
      <c r="R1182" t="b">
        <v>1</v>
      </c>
      <c r="S1182" t="n">
        <v/>
      </c>
      <c r="T1182" t="n">
        <v/>
      </c>
      <c r="U1182" t="n">
        <v/>
      </c>
      <c r="V1182" t="b">
        <v>0</v>
      </c>
      <c r="W1182" t="inlineStr"/>
      <c r="X1182" t="n">
        <v/>
      </c>
    </row>
    <row r="1183">
      <c r="A1183" t="inlineStr">
        <is>
          <t>ATF Fuel 2</t>
        </is>
      </c>
      <c r="B1183" t="inlineStr">
        <is>
          <t>E69</t>
        </is>
      </c>
      <c r="C1183" t="n">
        <v>69</v>
      </c>
      <c r="D1183" t="n">
        <v>5</v>
      </c>
      <c r="E1183" t="inlineStr">
        <is>
          <t>Output</t>
        </is>
      </c>
      <c r="F1183" t="inlineStr">
        <is>
          <t>'=B69/B68-1</t>
        </is>
      </c>
      <c r="G1183" t="n">
        <v>-0.004770586821886691</v>
      </c>
      <c r="H1183" t="inlineStr"/>
      <c r="I1183" t="inlineStr">
        <is>
          <t>0%</t>
        </is>
      </c>
      <c r="J1183" t="b">
        <v>0</v>
      </c>
      <c r="K1183" t="b">
        <v>0</v>
      </c>
      <c r="L1183" t="n">
        <v>11</v>
      </c>
      <c r="M1183" t="inlineStr">
        <is>
          <t>Values must be of type &lt;class 'str'&gt;</t>
        </is>
      </c>
      <c r="N1183" t="inlineStr">
        <is>
          <t>00000000</t>
        </is>
      </c>
      <c r="O1183" t="n">
        <v/>
      </c>
      <c r="R1183" t="b">
        <v>1</v>
      </c>
      <c r="S1183" t="inlineStr">
        <is>
          <t>G000158</t>
        </is>
      </c>
      <c r="T1183" t="inlineStr">
        <is>
          <t>Vertical</t>
        </is>
      </c>
      <c r="U1183" t="n">
        <v>92</v>
      </c>
      <c r="V1183" t="b">
        <v>1</v>
      </c>
      <c r="W1183" t="inlineStr">
        <is>
          <t>ATF Fuel 2!E3:E94</t>
        </is>
      </c>
      <c r="X1183">
        <f>R[0]C[-3]/R[-1]C[-3]-1</f>
        <v/>
      </c>
    </row>
    <row r="1184">
      <c r="A1184" t="inlineStr">
        <is>
          <t>ATF Fuel 2</t>
        </is>
      </c>
      <c r="B1184" t="inlineStr">
        <is>
          <t>F69</t>
        </is>
      </c>
      <c r="C1184" t="n">
        <v>69</v>
      </c>
      <c r="D1184" t="n">
        <v>6</v>
      </c>
      <c r="E1184" t="inlineStr">
        <is>
          <t>Input</t>
        </is>
      </c>
      <c r="F1184" t="n">
        <v/>
      </c>
      <c r="G1184" t="n">
        <v>46.09</v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11</v>
      </c>
      <c r="M1184" t="inlineStr">
        <is>
          <t>Values must be of type &lt;class 'str'&gt;</t>
        </is>
      </c>
      <c r="N1184" t="inlineStr">
        <is>
          <t>00000000</t>
        </is>
      </c>
      <c r="O1184" t="n">
        <v/>
      </c>
      <c r="R1184" t="b">
        <v>1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</row>
    <row r="1185">
      <c r="A1185" t="inlineStr">
        <is>
          <t>ATF Fuel 2</t>
        </is>
      </c>
      <c r="B1185" t="inlineStr">
        <is>
          <t>G69</t>
        </is>
      </c>
      <c r="C1185" t="n">
        <v>69</v>
      </c>
      <c r="D1185" t="n">
        <v>7</v>
      </c>
      <c r="E1185" t="inlineStr">
        <is>
          <t>Output</t>
        </is>
      </c>
      <c r="F1185" t="inlineStr">
        <is>
          <t>'=F69/F68-1</t>
        </is>
      </c>
      <c r="G1185" t="n">
        <v>-0.1078203639179248</v>
      </c>
      <c r="H1185" t="inlineStr"/>
      <c r="I1185" t="inlineStr">
        <is>
          <t>0%</t>
        </is>
      </c>
      <c r="J1185" t="b">
        <v>0</v>
      </c>
      <c r="K1185" t="b">
        <v>0</v>
      </c>
      <c r="L1185" t="n">
        <v>11</v>
      </c>
      <c r="M1185" t="inlineStr">
        <is>
          <t>Values must be of type &lt;class 'str'&gt;</t>
        </is>
      </c>
      <c r="N1185" t="inlineStr">
        <is>
          <t>00000000</t>
        </is>
      </c>
      <c r="O1185" t="n">
        <v/>
      </c>
      <c r="R1185" t="b">
        <v>1</v>
      </c>
      <c r="S1185" t="inlineStr">
        <is>
          <t>G000155</t>
        </is>
      </c>
      <c r="T1185" t="inlineStr">
        <is>
          <t>Vertical</t>
        </is>
      </c>
      <c r="U1185" t="n">
        <v>93</v>
      </c>
      <c r="V1185" t="b">
        <v>1</v>
      </c>
      <c r="W1185" t="inlineStr">
        <is>
          <t>ATF Fuel 2!G3:G95</t>
        </is>
      </c>
      <c r="X1185">
        <f>R[0]C[-1]/R[-1]C[-1]-1</f>
        <v/>
      </c>
    </row>
    <row r="1186">
      <c r="A1186" t="inlineStr">
        <is>
          <t>ATF Fuel 2</t>
        </is>
      </c>
      <c r="B1186" t="inlineStr">
        <is>
          <t>H69</t>
        </is>
      </c>
      <c r="C1186" t="n">
        <v>69</v>
      </c>
      <c r="D1186" t="n">
        <v>8</v>
      </c>
      <c r="E1186" t="inlineStr">
        <is>
          <t>Calculation</t>
        </is>
      </c>
      <c r="F1186" t="inlineStr">
        <is>
          <t>'=D69*F69</t>
        </is>
      </c>
      <c r="G1186" t="n">
        <v>3013.3642</v>
      </c>
      <c r="H1186" t="inlineStr"/>
      <c r="I1186" t="inlineStr">
        <is>
          <t>0</t>
        </is>
      </c>
      <c r="J1186" t="b">
        <v>0</v>
      </c>
      <c r="K1186" t="b">
        <v>0</v>
      </c>
      <c r="L1186" t="n">
        <v>11</v>
      </c>
      <c r="M1186" t="inlineStr">
        <is>
          <t>Values must be of type &lt;class 'str'&gt;</t>
        </is>
      </c>
      <c r="N1186" t="inlineStr">
        <is>
          <t>00000000</t>
        </is>
      </c>
      <c r="O1186" t="n">
        <v/>
      </c>
      <c r="R1186" t="b">
        <v>1</v>
      </c>
      <c r="S1186" t="inlineStr">
        <is>
          <t>G000152</t>
        </is>
      </c>
      <c r="T1186" t="inlineStr">
        <is>
          <t>Vertical</t>
        </is>
      </c>
      <c r="U1186" t="n">
        <v>98</v>
      </c>
      <c r="V1186" t="b">
        <v>1</v>
      </c>
      <c r="W1186" t="inlineStr">
        <is>
          <t>ATF Fuel 2!H2:H99</t>
        </is>
      </c>
      <c r="X1186">
        <f>R[0]C[-4]*R[0]C[-2]</f>
        <v/>
      </c>
    </row>
    <row r="1187">
      <c r="A1187" t="inlineStr">
        <is>
          <t>ATF Fuel 2</t>
        </is>
      </c>
      <c r="B1187" t="inlineStr">
        <is>
          <t>I69</t>
        </is>
      </c>
      <c r="C1187" t="n">
        <v>69</v>
      </c>
      <c r="D1187" t="n">
        <v>9</v>
      </c>
      <c r="E1187" t="inlineStr">
        <is>
          <t>Output</t>
        </is>
      </c>
      <c r="F1187" t="inlineStr">
        <is>
          <t>'=H69/H68-1</t>
        </is>
      </c>
      <c r="G1187" t="n">
        <v>-0.1105412533234816</v>
      </c>
      <c r="H1187" t="inlineStr"/>
      <c r="I1187" t="inlineStr">
        <is>
          <t>0%</t>
        </is>
      </c>
      <c r="J1187" t="b">
        <v>0</v>
      </c>
      <c r="K1187" t="b">
        <v>0</v>
      </c>
      <c r="L1187" t="n">
        <v>11</v>
      </c>
      <c r="M1187" t="inlineStr">
        <is>
          <t>FFFF0000</t>
        </is>
      </c>
      <c r="N1187" t="inlineStr">
        <is>
          <t>00000000</t>
        </is>
      </c>
      <c r="O1187" t="n">
        <v/>
      </c>
      <c r="R1187" t="b">
        <v>1</v>
      </c>
      <c r="S1187" t="inlineStr">
        <is>
          <t>G000156</t>
        </is>
      </c>
      <c r="T1187" t="inlineStr">
        <is>
          <t>Vertical</t>
        </is>
      </c>
      <c r="U1187" t="n">
        <v>97</v>
      </c>
      <c r="V1187" t="b">
        <v>1</v>
      </c>
      <c r="W1187" t="inlineStr">
        <is>
          <t>ATF Fuel 2!I3:I99</t>
        </is>
      </c>
      <c r="X1187">
        <f>R[0]C[-1]/R[-1]C[-1]-1</f>
        <v/>
      </c>
    </row>
    <row r="1188">
      <c r="A1188" t="inlineStr">
        <is>
          <t>ATF Fuel 2</t>
        </is>
      </c>
      <c r="B1188" t="inlineStr">
        <is>
          <t>J69</t>
        </is>
      </c>
      <c r="C1188" t="n">
        <v>69</v>
      </c>
      <c r="D1188" t="n">
        <v>10</v>
      </c>
      <c r="E1188" t="inlineStr">
        <is>
          <t>Input</t>
        </is>
      </c>
      <c r="F1188" t="n">
        <v/>
      </c>
      <c r="G1188" t="n">
        <v>46.12</v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11</v>
      </c>
      <c r="M1188" t="inlineStr">
        <is>
          <t>Values must be of type &lt;class 'str'&gt;</t>
        </is>
      </c>
      <c r="N1188" t="inlineStr">
        <is>
          <t>00000000</t>
        </is>
      </c>
      <c r="O1188" t="n">
        <v/>
      </c>
      <c r="R1188" t="b">
        <v>1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</row>
    <row r="1189">
      <c r="A1189" t="inlineStr">
        <is>
          <t>ATF Fuel 2</t>
        </is>
      </c>
      <c r="B1189" t="inlineStr">
        <is>
          <t>K69</t>
        </is>
      </c>
      <c r="C1189" t="n">
        <v>69</v>
      </c>
      <c r="D1189" t="n">
        <v>11</v>
      </c>
      <c r="E1189" t="inlineStr">
        <is>
          <t>Output</t>
        </is>
      </c>
      <c r="F1189" t="inlineStr">
        <is>
          <t>'=J69/J68-1</t>
        </is>
      </c>
      <c r="G1189" t="n">
        <v>0.03061452513966478</v>
      </c>
      <c r="H1189" t="inlineStr"/>
      <c r="I1189" t="inlineStr">
        <is>
          <t>0%</t>
        </is>
      </c>
      <c r="J1189" t="b">
        <v>0</v>
      </c>
      <c r="K1189" t="b">
        <v>0</v>
      </c>
      <c r="L1189" t="n">
        <v>11</v>
      </c>
      <c r="M1189" t="inlineStr">
        <is>
          <t>Values must be of type &lt;class 'str'&gt;</t>
        </is>
      </c>
      <c r="N1189" t="inlineStr">
        <is>
          <t>00000000</t>
        </is>
      </c>
      <c r="O1189" t="n">
        <v/>
      </c>
      <c r="R1189" t="b">
        <v>1</v>
      </c>
      <c r="S1189" t="inlineStr">
        <is>
          <t>G000157</t>
        </is>
      </c>
      <c r="T1189" t="inlineStr">
        <is>
          <t>Vertical</t>
        </is>
      </c>
      <c r="U1189" t="n">
        <v>93</v>
      </c>
      <c r="V1189" t="b">
        <v>1</v>
      </c>
      <c r="W1189" t="inlineStr">
        <is>
          <t>ATF Fuel 2!K3:K95</t>
        </is>
      </c>
      <c r="X1189">
        <f>R[0]C[-1]/R[-1]C[-1]-1</f>
        <v/>
      </c>
    </row>
    <row r="1190">
      <c r="A1190" t="inlineStr">
        <is>
          <t>ATF Fuel 2</t>
        </is>
      </c>
      <c r="B1190" t="inlineStr">
        <is>
          <t>L69</t>
        </is>
      </c>
      <c r="C1190" t="n">
        <v>69</v>
      </c>
      <c r="D1190" t="n">
        <v>12</v>
      </c>
      <c r="E1190" t="inlineStr">
        <is>
          <t>Input</t>
        </is>
      </c>
      <c r="F1190" t="n">
        <v/>
      </c>
      <c r="G1190" t="inlineStr">
        <is>
          <t>November 01, 2015</t>
        </is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11</v>
      </c>
      <c r="M1190" t="inlineStr">
        <is>
          <t>Values must be of type &lt;class 'str'&gt;</t>
        </is>
      </c>
      <c r="N1190" t="inlineStr">
        <is>
          <t>00000000</t>
        </is>
      </c>
      <c r="O1190" t="inlineStr">
        <is>
          <t>left</t>
        </is>
      </c>
      <c r="R1190" t="b">
        <v>1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</row>
    <row r="1191">
      <c r="A1191" t="inlineStr">
        <is>
          <t>ATF Fuel 2</t>
        </is>
      </c>
      <c r="B1191" t="inlineStr">
        <is>
          <t>M69</t>
        </is>
      </c>
      <c r="C1191" t="n">
        <v>69</v>
      </c>
      <c r="D1191" t="n">
        <v>13</v>
      </c>
      <c r="E1191" t="inlineStr">
        <is>
          <t>Calculation</t>
        </is>
      </c>
      <c r="F1191" t="inlineStr">
        <is>
          <t>'=(1+(B69/B68)-1)*M68</t>
        </is>
      </c>
      <c r="G1191" t="n">
        <v>104.8055024364709</v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11</v>
      </c>
      <c r="M1191" t="inlineStr">
        <is>
          <t>Values must be of type &lt;class 'str'&gt;</t>
        </is>
      </c>
      <c r="N1191" t="inlineStr">
        <is>
          <t>00000000</t>
        </is>
      </c>
      <c r="O1191" t="inlineStr">
        <is>
          <t>left</t>
        </is>
      </c>
      <c r="R1191" t="b">
        <v>1</v>
      </c>
      <c r="S1191" t="inlineStr">
        <is>
          <t>G000159</t>
        </is>
      </c>
      <c r="T1191" t="inlineStr">
        <is>
          <t>Vertical</t>
        </is>
      </c>
      <c r="U1191" t="n">
        <v>92</v>
      </c>
      <c r="V1191" t="b">
        <v>1</v>
      </c>
      <c r="W1191" t="inlineStr">
        <is>
          <t>ATF Fuel 2!M3:M94</t>
        </is>
      </c>
      <c r="X1191">
        <f>(1+(R[0]C[-11]/R[-1]C[-11])-1)*R[-1]C[0]</f>
        <v/>
      </c>
    </row>
    <row r="1192">
      <c r="A1192" t="inlineStr">
        <is>
          <t>ATF Fuel 2</t>
        </is>
      </c>
      <c r="B1192" t="inlineStr">
        <is>
          <t>N69</t>
        </is>
      </c>
      <c r="C1192" t="n">
        <v>69</v>
      </c>
      <c r="D1192" t="n">
        <v>14</v>
      </c>
      <c r="E1192" t="inlineStr">
        <is>
          <t>Calculation</t>
        </is>
      </c>
      <c r="F1192" t="inlineStr">
        <is>
          <t>'=(1+(F69/F68)-1)*N68</t>
        </is>
      </c>
      <c r="G1192" t="n">
        <v>55.77877284279322</v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11</v>
      </c>
      <c r="M1192" t="inlineStr">
        <is>
          <t>Values must be of type &lt;class 'str'&gt;</t>
        </is>
      </c>
      <c r="N1192" t="inlineStr">
        <is>
          <t>00000000</t>
        </is>
      </c>
      <c r="O1192" t="inlineStr">
        <is>
          <t>left</t>
        </is>
      </c>
      <c r="R1192" t="b">
        <v>1</v>
      </c>
      <c r="S1192" t="inlineStr">
        <is>
          <t>G000160</t>
        </is>
      </c>
      <c r="T1192" t="inlineStr">
        <is>
          <t>Vertical</t>
        </is>
      </c>
      <c r="U1192" t="n">
        <v>92</v>
      </c>
      <c r="V1192" t="b">
        <v>1</v>
      </c>
      <c r="W1192" t="inlineStr">
        <is>
          <t>ATF Fuel 2!N3:N94</t>
        </is>
      </c>
      <c r="X1192">
        <f>(1+(R[0]C[-8]/R[-1]C[-8])-1)*R[-1]C[0]</f>
        <v/>
      </c>
    </row>
    <row r="1193">
      <c r="A1193" t="inlineStr">
        <is>
          <t>ATF Fuel 2</t>
        </is>
      </c>
      <c r="B1193" t="inlineStr">
        <is>
          <t>O69</t>
        </is>
      </c>
      <c r="C1193" t="n">
        <v>69</v>
      </c>
      <c r="D1193" t="n">
        <v>15</v>
      </c>
      <c r="E1193" t="inlineStr">
        <is>
          <t>Calculation</t>
        </is>
      </c>
      <c r="F1193" t="inlineStr">
        <is>
          <t>'=(1+(J69/J68)-1)*O68</t>
        </is>
      </c>
      <c r="G1193" t="n">
        <v>54.56051106116175</v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11</v>
      </c>
      <c r="M1193" t="inlineStr">
        <is>
          <t>Values must be of type &lt;class 'str'&gt;</t>
        </is>
      </c>
      <c r="N1193" t="inlineStr">
        <is>
          <t>00000000</t>
        </is>
      </c>
      <c r="O1193" t="inlineStr">
        <is>
          <t>left</t>
        </is>
      </c>
      <c r="R1193" t="b">
        <v>1</v>
      </c>
      <c r="S1193" t="inlineStr">
        <is>
          <t>G000162</t>
        </is>
      </c>
      <c r="T1193" t="inlineStr">
        <is>
          <t>Vertical</t>
        </is>
      </c>
      <c r="U1193" t="n">
        <v>92</v>
      </c>
      <c r="V1193" t="b">
        <v>1</v>
      </c>
      <c r="W1193" t="inlineStr">
        <is>
          <t>ATF Fuel 2!O3:O94</t>
        </is>
      </c>
      <c r="X1193">
        <f>(1+(R[0]C[-5]/R[-1]C[-5])-1)*R[-1]C[0]</f>
        <v/>
      </c>
    </row>
    <row r="1194">
      <c r="A1194" t="inlineStr">
        <is>
          <t>ATF Fuel 2</t>
        </is>
      </c>
      <c r="B1194" t="inlineStr">
        <is>
          <t>P69</t>
        </is>
      </c>
      <c r="C1194" t="n">
        <v>69</v>
      </c>
      <c r="D1194" t="n">
        <v>16</v>
      </c>
      <c r="E1194" t="inlineStr">
        <is>
          <t>Calculation</t>
        </is>
      </c>
      <c r="F1194" t="inlineStr">
        <is>
          <t>'=(1+(H69/H68)-1)*P68</t>
        </is>
      </c>
      <c r="G1194" t="n">
        <v>81.47489205678772</v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11</v>
      </c>
      <c r="M1194" t="inlineStr">
        <is>
          <t>Values must be of type &lt;class 'str'&gt;</t>
        </is>
      </c>
      <c r="N1194" t="inlineStr">
        <is>
          <t>00000000</t>
        </is>
      </c>
      <c r="O1194" t="inlineStr">
        <is>
          <t>left</t>
        </is>
      </c>
      <c r="R1194" t="b">
        <v>1</v>
      </c>
      <c r="S1194" t="inlineStr">
        <is>
          <t>G000161</t>
        </is>
      </c>
      <c r="T1194" t="inlineStr">
        <is>
          <t>Vertical</t>
        </is>
      </c>
      <c r="U1194" t="n">
        <v>92</v>
      </c>
      <c r="V1194" t="b">
        <v>1</v>
      </c>
      <c r="W1194" t="inlineStr">
        <is>
          <t>ATF Fuel 2!P3:P94</t>
        </is>
      </c>
      <c r="X1194">
        <f>(1+(R[0]C[-8]/R[-1]C[-8])-1)*R[-1]C[0]</f>
        <v/>
      </c>
    </row>
    <row r="1195">
      <c r="A1195" t="inlineStr">
        <is>
          <t>ATF Fuel 2</t>
        </is>
      </c>
      <c r="B1195" t="inlineStr">
        <is>
          <t>Q69</t>
        </is>
      </c>
      <c r="C1195" t="n">
        <v>69</v>
      </c>
      <c r="D1195" t="n">
        <v>17</v>
      </c>
      <c r="E1195" t="inlineStr">
        <is>
          <t>Output</t>
        </is>
      </c>
      <c r="F1195" t="inlineStr">
        <is>
          <t>'=M69/N69-1</t>
        </is>
      </c>
      <c r="G1195" t="n">
        <v>0.8789495913051815</v>
      </c>
      <c r="H1195" t="inlineStr"/>
      <c r="I1195" t="inlineStr">
        <is>
          <t>0.0%</t>
        </is>
      </c>
      <c r="J1195" t="b">
        <v>0</v>
      </c>
      <c r="K1195" t="b">
        <v>0</v>
      </c>
      <c r="L1195" t="n">
        <v>11</v>
      </c>
      <c r="M1195" t="inlineStr">
        <is>
          <t>Values must be of type &lt;class 'str'&gt;</t>
        </is>
      </c>
      <c r="N1195" t="inlineStr">
        <is>
          <t>00000000</t>
        </is>
      </c>
      <c r="O1195" t="n">
        <v/>
      </c>
      <c r="R1195" t="b">
        <v>1</v>
      </c>
      <c r="S1195" t="inlineStr">
        <is>
          <t>G000153</t>
        </is>
      </c>
      <c r="T1195" t="inlineStr">
        <is>
          <t>Vertical</t>
        </is>
      </c>
      <c r="U1195" t="n">
        <v>93</v>
      </c>
      <c r="V1195" t="b">
        <v>1</v>
      </c>
      <c r="W1195" t="inlineStr">
        <is>
          <t>ATF Fuel 2!Q2:Q94</t>
        </is>
      </c>
      <c r="X1195">
        <f>R[0]C[-4]/R[0]C[-3]-1</f>
        <v/>
      </c>
    </row>
    <row r="1196">
      <c r="A1196" t="inlineStr">
        <is>
          <t>ATF Fuel 2</t>
        </is>
      </c>
      <c r="B1196" t="inlineStr">
        <is>
          <t>A70</t>
        </is>
      </c>
      <c r="C1196" t="n">
        <v>70</v>
      </c>
      <c r="D1196" t="n">
        <v>1</v>
      </c>
      <c r="E1196" t="inlineStr">
        <is>
          <t>Input</t>
        </is>
      </c>
      <c r="F1196" t="n">
        <v/>
      </c>
      <c r="G1196" t="inlineStr">
        <is>
          <t>December 01, 2015</t>
        </is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11</v>
      </c>
      <c r="M1196" t="inlineStr">
        <is>
          <t>Values must be of type &lt;class 'str'&gt;</t>
        </is>
      </c>
      <c r="N1196" t="inlineStr">
        <is>
          <t>FFFFFF00</t>
        </is>
      </c>
      <c r="O1196" t="n">
        <v/>
      </c>
      <c r="R1196" t="b">
        <v>1</v>
      </c>
      <c r="S1196" t="n">
        <v/>
      </c>
      <c r="T1196" t="n">
        <v/>
      </c>
      <c r="U1196" t="n">
        <v/>
      </c>
      <c r="V1196" t="b">
        <v>0</v>
      </c>
      <c r="W1196" t="inlineStr"/>
      <c r="X1196" t="n">
        <v/>
      </c>
    </row>
    <row r="1197">
      <c r="A1197" t="inlineStr">
        <is>
          <t>ATF Fuel 2</t>
        </is>
      </c>
      <c r="B1197" t="inlineStr">
        <is>
          <t>B70</t>
        </is>
      </c>
      <c r="C1197" t="n">
        <v>70</v>
      </c>
      <c r="D1197" t="n">
        <v>2</v>
      </c>
      <c r="E1197" t="inlineStr">
        <is>
          <t>Input</t>
        </is>
      </c>
      <c r="F1197" t="n">
        <v/>
      </c>
      <c r="G1197" t="n">
        <v>46406.12</v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11</v>
      </c>
      <c r="M1197" t="inlineStr">
        <is>
          <t>Values must be of type &lt;class 'str'&gt;</t>
        </is>
      </c>
      <c r="N1197" t="inlineStr">
        <is>
          <t>FFFFFF00</t>
        </is>
      </c>
      <c r="O1197" t="n">
        <v/>
      </c>
      <c r="R1197" t="b">
        <v>1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</row>
    <row r="1198">
      <c r="A1198" t="inlineStr">
        <is>
          <t>ATF Fuel 2</t>
        </is>
      </c>
      <c r="B1198" t="inlineStr">
        <is>
          <t>C70</t>
        </is>
      </c>
      <c r="C1198" t="n">
        <v>70</v>
      </c>
      <c r="D1198" t="n">
        <v>3</v>
      </c>
      <c r="E1198" t="inlineStr">
        <is>
          <t>Output</t>
        </is>
      </c>
      <c r="F1198" t="inlineStr">
        <is>
          <t>'=B70/B69-1</t>
        </is>
      </c>
      <c r="G1198" t="n">
        <v>-0.001881763967134575</v>
      </c>
      <c r="H1198" t="inlineStr"/>
      <c r="I1198" t="inlineStr">
        <is>
          <t>0%</t>
        </is>
      </c>
      <c r="J1198" t="b">
        <v>0</v>
      </c>
      <c r="K1198" t="b">
        <v>0</v>
      </c>
      <c r="L1198" t="n">
        <v>11</v>
      </c>
      <c r="M1198" t="n">
        <v/>
      </c>
      <c r="N1198" t="inlineStr">
        <is>
          <t>00000000</t>
        </is>
      </c>
      <c r="O1198" t="n">
        <v/>
      </c>
      <c r="R1198" t="b">
        <v>1</v>
      </c>
      <c r="S1198" t="inlineStr">
        <is>
          <t>G000154</t>
        </is>
      </c>
      <c r="T1198" t="inlineStr">
        <is>
          <t>Vertical</t>
        </is>
      </c>
      <c r="U1198" t="n">
        <v>92</v>
      </c>
      <c r="V1198" t="b">
        <v>1</v>
      </c>
      <c r="W1198" t="inlineStr">
        <is>
          <t>ATF Fuel 2!C3:C94</t>
        </is>
      </c>
      <c r="X1198">
        <f>R[0]C[-1]/R[-1]C[-1]-1</f>
        <v/>
      </c>
    </row>
    <row r="1199">
      <c r="A1199" t="inlineStr">
        <is>
          <t>ATF Fuel 2</t>
        </is>
      </c>
      <c r="B1199" t="inlineStr">
        <is>
          <t>D70</t>
        </is>
      </c>
      <c r="C1199" t="n">
        <v>70</v>
      </c>
      <c r="D1199" t="n">
        <v>4</v>
      </c>
      <c r="E1199" t="inlineStr">
        <is>
          <t>Input</t>
        </is>
      </c>
      <c r="F1199" t="n">
        <v/>
      </c>
      <c r="G1199" t="n">
        <v>66.52</v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11</v>
      </c>
      <c r="M1199" t="inlineStr">
        <is>
          <t>Values must be of type &lt;class 'str'&gt;</t>
        </is>
      </c>
      <c r="N1199" t="inlineStr">
        <is>
          <t>00000000</t>
        </is>
      </c>
      <c r="O1199" t="n">
        <v/>
      </c>
      <c r="R1199" t="b">
        <v>1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</row>
    <row r="1200">
      <c r="A1200" t="inlineStr">
        <is>
          <t>ATF Fuel 2</t>
        </is>
      </c>
      <c r="B1200" t="inlineStr">
        <is>
          <t>E70</t>
        </is>
      </c>
      <c r="C1200" t="n">
        <v>70</v>
      </c>
      <c r="D1200" t="n">
        <v>5</v>
      </c>
      <c r="E1200" t="inlineStr">
        <is>
          <t>Output</t>
        </is>
      </c>
      <c r="F1200" t="inlineStr">
        <is>
          <t>'=B70/B69-1</t>
        </is>
      </c>
      <c r="G1200" t="n">
        <v>-0.001881763967134575</v>
      </c>
      <c r="H1200" t="inlineStr"/>
      <c r="I1200" t="inlineStr">
        <is>
          <t>0%</t>
        </is>
      </c>
      <c r="J1200" t="b">
        <v>0</v>
      </c>
      <c r="K1200" t="b">
        <v>0</v>
      </c>
      <c r="L1200" t="n">
        <v>11</v>
      </c>
      <c r="M1200" t="inlineStr">
        <is>
          <t>Values must be of type &lt;class 'str'&gt;</t>
        </is>
      </c>
      <c r="N1200" t="inlineStr">
        <is>
          <t>00000000</t>
        </is>
      </c>
      <c r="O1200" t="n">
        <v/>
      </c>
      <c r="R1200" t="b">
        <v>1</v>
      </c>
      <c r="S1200" t="inlineStr">
        <is>
          <t>G000158</t>
        </is>
      </c>
      <c r="T1200" t="inlineStr">
        <is>
          <t>Vertical</t>
        </is>
      </c>
      <c r="U1200" t="n">
        <v>92</v>
      </c>
      <c r="V1200" t="b">
        <v>1</v>
      </c>
      <c r="W1200" t="inlineStr">
        <is>
          <t>ATF Fuel 2!E3:E94</t>
        </is>
      </c>
      <c r="X1200">
        <f>R[0]C[-3]/R[-1]C[-3]-1</f>
        <v/>
      </c>
    </row>
    <row r="1201">
      <c r="A1201" t="inlineStr">
        <is>
          <t>ATF Fuel 2</t>
        </is>
      </c>
      <c r="B1201" t="inlineStr">
        <is>
          <t>F70</t>
        </is>
      </c>
      <c r="C1201" t="n">
        <v>70</v>
      </c>
      <c r="D1201" t="n">
        <v>6</v>
      </c>
      <c r="E1201" t="inlineStr">
        <is>
          <t>Input</t>
        </is>
      </c>
      <c r="F1201" t="n">
        <v/>
      </c>
      <c r="G1201" t="n">
        <v>39.69</v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11</v>
      </c>
      <c r="M1201" t="inlineStr">
        <is>
          <t>Values must be of type &lt;class 'str'&gt;</t>
        </is>
      </c>
      <c r="N1201" t="inlineStr">
        <is>
          <t>FFFFFF00</t>
        </is>
      </c>
      <c r="O1201" t="n">
        <v/>
      </c>
      <c r="R1201" t="b">
        <v>1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</row>
    <row r="1202">
      <c r="A1202" t="inlineStr">
        <is>
          <t>ATF Fuel 2</t>
        </is>
      </c>
      <c r="B1202" t="inlineStr">
        <is>
          <t>G70</t>
        </is>
      </c>
      <c r="C1202" t="n">
        <v>70</v>
      </c>
      <c r="D1202" t="n">
        <v>7</v>
      </c>
      <c r="E1202" t="inlineStr">
        <is>
          <t>Output</t>
        </is>
      </c>
      <c r="F1202" t="inlineStr">
        <is>
          <t>'=F70/F69-1</t>
        </is>
      </c>
      <c r="G1202" t="n">
        <v>-0.1388587546105448</v>
      </c>
      <c r="H1202" t="inlineStr"/>
      <c r="I1202" t="inlineStr">
        <is>
          <t>0%</t>
        </is>
      </c>
      <c r="J1202" t="b">
        <v>0</v>
      </c>
      <c r="K1202" t="b">
        <v>0</v>
      </c>
      <c r="L1202" t="n">
        <v>11</v>
      </c>
      <c r="M1202" t="inlineStr">
        <is>
          <t>Values must be of type &lt;class 'str'&gt;</t>
        </is>
      </c>
      <c r="N1202" t="inlineStr">
        <is>
          <t>00000000</t>
        </is>
      </c>
      <c r="O1202" t="n">
        <v/>
      </c>
      <c r="R1202" t="b">
        <v>1</v>
      </c>
      <c r="S1202" t="inlineStr">
        <is>
          <t>G000155</t>
        </is>
      </c>
      <c r="T1202" t="inlineStr">
        <is>
          <t>Vertical</t>
        </is>
      </c>
      <c r="U1202" t="n">
        <v>93</v>
      </c>
      <c r="V1202" t="b">
        <v>1</v>
      </c>
      <c r="W1202" t="inlineStr">
        <is>
          <t>ATF Fuel 2!G3:G95</t>
        </is>
      </c>
      <c r="X1202">
        <f>R[0]C[-1]/R[-1]C[-1]-1</f>
        <v/>
      </c>
    </row>
    <row r="1203">
      <c r="A1203" t="inlineStr">
        <is>
          <t>ATF Fuel 2</t>
        </is>
      </c>
      <c r="B1203" t="inlineStr">
        <is>
          <t>H70</t>
        </is>
      </c>
      <c r="C1203" t="n">
        <v>70</v>
      </c>
      <c r="D1203" t="n">
        <v>8</v>
      </c>
      <c r="E1203" t="inlineStr">
        <is>
          <t>Calculation</t>
        </is>
      </c>
      <c r="F1203" t="inlineStr">
        <is>
          <t>'=D70*F70</t>
        </is>
      </c>
      <c r="G1203" t="n">
        <v>2640.1788</v>
      </c>
      <c r="H1203" t="inlineStr"/>
      <c r="I1203" t="inlineStr">
        <is>
          <t>0</t>
        </is>
      </c>
      <c r="J1203" t="b">
        <v>0</v>
      </c>
      <c r="K1203" t="b">
        <v>0</v>
      </c>
      <c r="L1203" t="n">
        <v>11</v>
      </c>
      <c r="M1203" t="inlineStr">
        <is>
          <t>Values must be of type &lt;class 'str'&gt;</t>
        </is>
      </c>
      <c r="N1203" t="inlineStr">
        <is>
          <t>00000000</t>
        </is>
      </c>
      <c r="O1203" t="n">
        <v/>
      </c>
      <c r="R1203" t="b">
        <v>1</v>
      </c>
      <c r="S1203" t="inlineStr">
        <is>
          <t>G000152</t>
        </is>
      </c>
      <c r="T1203" t="inlineStr">
        <is>
          <t>Vertical</t>
        </is>
      </c>
      <c r="U1203" t="n">
        <v>98</v>
      </c>
      <c r="V1203" t="b">
        <v>1</v>
      </c>
      <c r="W1203" t="inlineStr">
        <is>
          <t>ATF Fuel 2!H2:H99</t>
        </is>
      </c>
      <c r="X1203">
        <f>R[0]C[-4]*R[0]C[-2]</f>
        <v/>
      </c>
    </row>
    <row r="1204">
      <c r="A1204" t="inlineStr">
        <is>
          <t>ATF Fuel 2</t>
        </is>
      </c>
      <c r="B1204" t="inlineStr">
        <is>
          <t>I70</t>
        </is>
      </c>
      <c r="C1204" t="n">
        <v>70</v>
      </c>
      <c r="D1204" t="n">
        <v>9</v>
      </c>
      <c r="E1204" t="inlineStr">
        <is>
          <t>Output</t>
        </is>
      </c>
      <c r="F1204" t="inlineStr">
        <is>
          <t>'=H70/H69-1</t>
        </is>
      </c>
      <c r="G1204" t="n">
        <v>-0.1238434438160513</v>
      </c>
      <c r="H1204" t="inlineStr"/>
      <c r="I1204" t="inlineStr">
        <is>
          <t>0%</t>
        </is>
      </c>
      <c r="J1204" t="b">
        <v>0</v>
      </c>
      <c r="K1204" t="b">
        <v>0</v>
      </c>
      <c r="L1204" t="n">
        <v>11</v>
      </c>
      <c r="M1204" t="inlineStr">
        <is>
          <t>FFFF0000</t>
        </is>
      </c>
      <c r="N1204" t="inlineStr">
        <is>
          <t>00000000</t>
        </is>
      </c>
      <c r="O1204" t="n">
        <v/>
      </c>
      <c r="R1204" t="b">
        <v>1</v>
      </c>
      <c r="S1204" t="inlineStr">
        <is>
          <t>G000156</t>
        </is>
      </c>
      <c r="T1204" t="inlineStr">
        <is>
          <t>Vertical</t>
        </is>
      </c>
      <c r="U1204" t="n">
        <v>97</v>
      </c>
      <c r="V1204" t="b">
        <v>1</v>
      </c>
      <c r="W1204" t="inlineStr">
        <is>
          <t>ATF Fuel 2!I3:I99</t>
        </is>
      </c>
      <c r="X1204">
        <f>R[0]C[-1]/R[-1]C[-1]-1</f>
        <v/>
      </c>
    </row>
    <row r="1205">
      <c r="A1205" t="inlineStr">
        <is>
          <t>ATF Fuel 2</t>
        </is>
      </c>
      <c r="B1205" t="inlineStr">
        <is>
          <t>J70</t>
        </is>
      </c>
      <c r="C1205" t="n">
        <v>70</v>
      </c>
      <c r="D1205" t="n">
        <v>10</v>
      </c>
      <c r="E1205" t="inlineStr">
        <is>
          <t>Input</t>
        </is>
      </c>
      <c r="F1205" t="n">
        <v/>
      </c>
      <c r="G1205" t="n">
        <v>40.58</v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11</v>
      </c>
      <c r="M1205" t="inlineStr">
        <is>
          <t>Values must be of type &lt;class 'str'&gt;</t>
        </is>
      </c>
      <c r="N1205" t="inlineStr">
        <is>
          <t>FFFFFF00</t>
        </is>
      </c>
      <c r="O1205" t="n">
        <v/>
      </c>
      <c r="R1205" t="b">
        <v>1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</row>
    <row r="1206">
      <c r="A1206" t="inlineStr">
        <is>
          <t>ATF Fuel 2</t>
        </is>
      </c>
      <c r="B1206" t="inlineStr">
        <is>
          <t>K70</t>
        </is>
      </c>
      <c r="C1206" t="n">
        <v>70</v>
      </c>
      <c r="D1206" t="n">
        <v>11</v>
      </c>
      <c r="E1206" t="inlineStr">
        <is>
          <t>Output</t>
        </is>
      </c>
      <c r="F1206" t="inlineStr">
        <is>
          <t>'=J70/J69-1</t>
        </is>
      </c>
      <c r="G1206" t="n">
        <v>-0.1201214223764093</v>
      </c>
      <c r="H1206" t="inlineStr"/>
      <c r="I1206" t="inlineStr">
        <is>
          <t>0%</t>
        </is>
      </c>
      <c r="J1206" t="b">
        <v>0</v>
      </c>
      <c r="K1206" t="b">
        <v>0</v>
      </c>
      <c r="L1206" t="n">
        <v>11</v>
      </c>
      <c r="M1206" t="inlineStr">
        <is>
          <t>Values must be of type &lt;class 'str'&gt;</t>
        </is>
      </c>
      <c r="N1206" t="inlineStr">
        <is>
          <t>00000000</t>
        </is>
      </c>
      <c r="O1206" t="n">
        <v/>
      </c>
      <c r="R1206" t="b">
        <v>1</v>
      </c>
      <c r="S1206" t="inlineStr">
        <is>
          <t>G000157</t>
        </is>
      </c>
      <c r="T1206" t="inlineStr">
        <is>
          <t>Vertical</t>
        </is>
      </c>
      <c r="U1206" t="n">
        <v>93</v>
      </c>
      <c r="V1206" t="b">
        <v>1</v>
      </c>
      <c r="W1206" t="inlineStr">
        <is>
          <t>ATF Fuel 2!K3:K95</t>
        </is>
      </c>
      <c r="X1206">
        <f>R[0]C[-1]/R[-1]C[-1]-1</f>
        <v/>
      </c>
    </row>
    <row r="1207">
      <c r="A1207" t="inlineStr">
        <is>
          <t>ATF Fuel 2</t>
        </is>
      </c>
      <c r="B1207" t="inlineStr">
        <is>
          <t>L70</t>
        </is>
      </c>
      <c r="C1207" t="n">
        <v>70</v>
      </c>
      <c r="D1207" t="n">
        <v>12</v>
      </c>
      <c r="E1207" t="inlineStr">
        <is>
          <t>Input</t>
        </is>
      </c>
      <c r="F1207" t="n">
        <v/>
      </c>
      <c r="G1207" t="inlineStr">
        <is>
          <t>December 01, 2015</t>
        </is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11</v>
      </c>
      <c r="M1207" t="inlineStr">
        <is>
          <t>Values must be of type &lt;class 'str'&gt;</t>
        </is>
      </c>
      <c r="N1207" t="inlineStr">
        <is>
          <t>FFFFFF00</t>
        </is>
      </c>
      <c r="O1207" t="inlineStr">
        <is>
          <t>left</t>
        </is>
      </c>
      <c r="R1207" t="b">
        <v>1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</row>
    <row r="1208">
      <c r="A1208" t="inlineStr">
        <is>
          <t>ATF Fuel 2</t>
        </is>
      </c>
      <c r="B1208" t="inlineStr">
        <is>
          <t>M70</t>
        </is>
      </c>
      <c r="C1208" t="n">
        <v>70</v>
      </c>
      <c r="D1208" t="n">
        <v>13</v>
      </c>
      <c r="E1208" t="inlineStr">
        <is>
          <t>Calculation</t>
        </is>
      </c>
      <c r="F1208" t="inlineStr">
        <is>
          <t>'=(1+(B70/B69)-1)*M69</t>
        </is>
      </c>
      <c r="G1208" t="n">
        <v>104.6082832184285</v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11</v>
      </c>
      <c r="M1208" t="inlineStr">
        <is>
          <t>Values must be of type &lt;class 'str'&gt;</t>
        </is>
      </c>
      <c r="N1208" t="inlineStr">
        <is>
          <t>FFFFFF00</t>
        </is>
      </c>
      <c r="O1208" t="inlineStr">
        <is>
          <t>left</t>
        </is>
      </c>
      <c r="R1208" t="b">
        <v>1</v>
      </c>
      <c r="S1208" t="inlineStr">
        <is>
          <t>G000159</t>
        </is>
      </c>
      <c r="T1208" t="inlineStr">
        <is>
          <t>Vertical</t>
        </is>
      </c>
      <c r="U1208" t="n">
        <v>92</v>
      </c>
      <c r="V1208" t="b">
        <v>1</v>
      </c>
      <c r="W1208" t="inlineStr">
        <is>
          <t>ATF Fuel 2!M3:M94</t>
        </is>
      </c>
      <c r="X1208">
        <f>(1+(R[0]C[-11]/R[-1]C[-11])-1)*R[-1]C[0]</f>
        <v/>
      </c>
    </row>
    <row r="1209">
      <c r="A1209" t="inlineStr">
        <is>
          <t>ATF Fuel 2</t>
        </is>
      </c>
      <c r="B1209" t="inlineStr">
        <is>
          <t>N70</t>
        </is>
      </c>
      <c r="C1209" t="n">
        <v>70</v>
      </c>
      <c r="D1209" t="n">
        <v>14</v>
      </c>
      <c r="E1209" t="inlineStr">
        <is>
          <t>Calculation</t>
        </is>
      </c>
      <c r="F1209" t="inlineStr">
        <is>
          <t>'=(1+(F70/F69)-1)*N69</t>
        </is>
      </c>
      <c r="G1209" t="n">
        <v>48.03340191213848</v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11</v>
      </c>
      <c r="M1209" t="inlineStr">
        <is>
          <t>Values must be of type &lt;class 'str'&gt;</t>
        </is>
      </c>
      <c r="N1209" t="inlineStr">
        <is>
          <t>FFFFFF00</t>
        </is>
      </c>
      <c r="O1209" t="inlineStr">
        <is>
          <t>left</t>
        </is>
      </c>
      <c r="R1209" t="b">
        <v>1</v>
      </c>
      <c r="S1209" t="inlineStr">
        <is>
          <t>G000160</t>
        </is>
      </c>
      <c r="T1209" t="inlineStr">
        <is>
          <t>Vertical</t>
        </is>
      </c>
      <c r="U1209" t="n">
        <v>92</v>
      </c>
      <c r="V1209" t="b">
        <v>1</v>
      </c>
      <c r="W1209" t="inlineStr">
        <is>
          <t>ATF Fuel 2!N3:N94</t>
        </is>
      </c>
      <c r="X1209">
        <f>(1+(R[0]C[-8]/R[-1]C[-8])-1)*R[-1]C[0]</f>
        <v/>
      </c>
    </row>
    <row r="1210">
      <c r="A1210" t="inlineStr">
        <is>
          <t>ATF Fuel 2</t>
        </is>
      </c>
      <c r="B1210" t="inlineStr">
        <is>
          <t>O70</t>
        </is>
      </c>
      <c r="C1210" t="n">
        <v>70</v>
      </c>
      <c r="D1210" t="n">
        <v>15</v>
      </c>
      <c r="E1210" t="inlineStr">
        <is>
          <t>Calculation</t>
        </is>
      </c>
      <c r="F1210" t="inlineStr">
        <is>
          <t>'=(1+(J70/J69)-1)*O69</t>
        </is>
      </c>
      <c r="G1210" t="n">
        <v>48.00662486691119</v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11</v>
      </c>
      <c r="M1210" t="inlineStr">
        <is>
          <t>Values must be of type &lt;class 'str'&gt;</t>
        </is>
      </c>
      <c r="N1210" t="inlineStr">
        <is>
          <t>FFFFFF00</t>
        </is>
      </c>
      <c r="O1210" t="inlineStr">
        <is>
          <t>left</t>
        </is>
      </c>
      <c r="R1210" t="b">
        <v>1</v>
      </c>
      <c r="S1210" t="inlineStr">
        <is>
          <t>G000162</t>
        </is>
      </c>
      <c r="T1210" t="inlineStr">
        <is>
          <t>Vertical</t>
        </is>
      </c>
      <c r="U1210" t="n">
        <v>92</v>
      </c>
      <c r="V1210" t="b">
        <v>1</v>
      </c>
      <c r="W1210" t="inlineStr">
        <is>
          <t>ATF Fuel 2!O3:O94</t>
        </is>
      </c>
      <c r="X1210">
        <f>(1+(R[0]C[-5]/R[-1]C[-5])-1)*R[-1]C[0]</f>
        <v/>
      </c>
    </row>
    <row r="1211">
      <c r="A1211" t="inlineStr">
        <is>
          <t>ATF Fuel 2</t>
        </is>
      </c>
      <c r="B1211" t="inlineStr">
        <is>
          <t>P70</t>
        </is>
      </c>
      <c r="C1211" t="n">
        <v>70</v>
      </c>
      <c r="D1211" t="n">
        <v>16</v>
      </c>
      <c r="E1211" t="inlineStr">
        <is>
          <t>Calculation</t>
        </is>
      </c>
      <c r="F1211" t="inlineStr">
        <is>
          <t>'=(1+(H70/H69)-1)*P69</t>
        </is>
      </c>
      <c r="G1211" t="n">
        <v>71.38476083993407</v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11</v>
      </c>
      <c r="M1211" t="inlineStr">
        <is>
          <t>Values must be of type &lt;class 'str'&gt;</t>
        </is>
      </c>
      <c r="N1211" t="inlineStr">
        <is>
          <t>00000000</t>
        </is>
      </c>
      <c r="O1211" t="inlineStr">
        <is>
          <t>left</t>
        </is>
      </c>
      <c r="R1211" t="b">
        <v>1</v>
      </c>
      <c r="S1211" t="inlineStr">
        <is>
          <t>G000161</t>
        </is>
      </c>
      <c r="T1211" t="inlineStr">
        <is>
          <t>Vertical</t>
        </is>
      </c>
      <c r="U1211" t="n">
        <v>92</v>
      </c>
      <c r="V1211" t="b">
        <v>1</v>
      </c>
      <c r="W1211" t="inlineStr">
        <is>
          <t>ATF Fuel 2!P3:P94</t>
        </is>
      </c>
      <c r="X1211">
        <f>(1+(R[0]C[-8]/R[-1]C[-8])-1)*R[-1]C[0]</f>
        <v/>
      </c>
    </row>
    <row r="1212">
      <c r="A1212" t="inlineStr">
        <is>
          <t>ATF Fuel 2</t>
        </is>
      </c>
      <c r="B1212" t="inlineStr">
        <is>
          <t>Q70</t>
        </is>
      </c>
      <c r="C1212" t="n">
        <v>70</v>
      </c>
      <c r="D1212" t="n">
        <v>17</v>
      </c>
      <c r="E1212" t="inlineStr">
        <is>
          <t>Output</t>
        </is>
      </c>
      <c r="F1212" t="inlineStr">
        <is>
          <t>'=M70/N70-1</t>
        </is>
      </c>
      <c r="G1212" t="n">
        <v>1.177823744605377</v>
      </c>
      <c r="H1212" t="inlineStr"/>
      <c r="I1212" t="inlineStr">
        <is>
          <t>0.0%</t>
        </is>
      </c>
      <c r="J1212" t="b">
        <v>0</v>
      </c>
      <c r="K1212" t="b">
        <v>0</v>
      </c>
      <c r="L1212" t="n">
        <v>11</v>
      </c>
      <c r="M1212" t="inlineStr">
        <is>
          <t>Values must be of type &lt;class 'str'&gt;</t>
        </is>
      </c>
      <c r="N1212" t="inlineStr">
        <is>
          <t>FFFFFF00</t>
        </is>
      </c>
      <c r="O1212" t="n">
        <v/>
      </c>
      <c r="R1212" t="b">
        <v>1</v>
      </c>
      <c r="S1212" t="inlineStr">
        <is>
          <t>G000153</t>
        </is>
      </c>
      <c r="T1212" t="inlineStr">
        <is>
          <t>Vertical</t>
        </is>
      </c>
      <c r="U1212" t="n">
        <v>93</v>
      </c>
      <c r="V1212" t="b">
        <v>1</v>
      </c>
      <c r="W1212" t="inlineStr">
        <is>
          <t>ATF Fuel 2!Q2:Q94</t>
        </is>
      </c>
      <c r="X1212">
        <f>R[0]C[-4]/R[0]C[-3]-1</f>
        <v/>
      </c>
    </row>
    <row r="1213">
      <c r="A1213" t="inlineStr">
        <is>
          <t>ATF Fuel 2</t>
        </is>
      </c>
      <c r="B1213" t="inlineStr">
        <is>
          <t>A71</t>
        </is>
      </c>
      <c r="C1213" t="n">
        <v>71</v>
      </c>
      <c r="D1213" t="n">
        <v>1</v>
      </c>
      <c r="E1213" t="inlineStr">
        <is>
          <t>Input</t>
        </is>
      </c>
      <c r="F1213" t="n">
        <v/>
      </c>
      <c r="G1213" t="inlineStr">
        <is>
          <t>January 01, 2016</t>
        </is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11</v>
      </c>
      <c r="M1213" t="inlineStr">
        <is>
          <t>Values must be of type &lt;class 'str'&gt;</t>
        </is>
      </c>
      <c r="N1213" t="inlineStr">
        <is>
          <t>00000000</t>
        </is>
      </c>
      <c r="O1213" t="n">
        <v/>
      </c>
      <c r="R1213" t="b">
        <v>1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</row>
    <row r="1214">
      <c r="A1214" t="inlineStr">
        <is>
          <t>ATF Fuel 2</t>
        </is>
      </c>
      <c r="B1214" t="inlineStr">
        <is>
          <t>B71</t>
        </is>
      </c>
      <c r="C1214" t="n">
        <v>71</v>
      </c>
      <c r="D1214" t="n">
        <v>2</v>
      </c>
      <c r="E1214" t="inlineStr">
        <is>
          <t>Input</t>
        </is>
      </c>
      <c r="F1214" t="n">
        <v/>
      </c>
      <c r="G1214" t="n">
        <v>41922.23</v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11</v>
      </c>
      <c r="M1214" t="inlineStr">
        <is>
          <t>Values must be of type &lt;class 'str'&gt;</t>
        </is>
      </c>
      <c r="N1214" t="inlineStr">
        <is>
          <t>00000000</t>
        </is>
      </c>
      <c r="O1214" t="n">
        <v/>
      </c>
      <c r="R1214" t="b">
        <v>1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</row>
    <row r="1215">
      <c r="A1215" t="inlineStr">
        <is>
          <t>ATF Fuel 2</t>
        </is>
      </c>
      <c r="B1215" t="inlineStr">
        <is>
          <t>C71</t>
        </is>
      </c>
      <c r="C1215" t="n">
        <v>71</v>
      </c>
      <c r="D1215" t="n">
        <v>3</v>
      </c>
      <c r="E1215" t="inlineStr">
        <is>
          <t>Output</t>
        </is>
      </c>
      <c r="F1215" t="inlineStr">
        <is>
          <t>'=B71/B70-1</t>
        </is>
      </c>
      <c r="G1215" t="n">
        <v>-0.09662281612856238</v>
      </c>
      <c r="H1215" t="inlineStr"/>
      <c r="I1215" t="inlineStr">
        <is>
          <t>0%</t>
        </is>
      </c>
      <c r="J1215" t="b">
        <v>0</v>
      </c>
      <c r="K1215" t="b">
        <v>0</v>
      </c>
      <c r="L1215" t="n">
        <v>11</v>
      </c>
      <c r="M1215" t="n">
        <v/>
      </c>
      <c r="N1215" t="inlineStr">
        <is>
          <t>00000000</t>
        </is>
      </c>
      <c r="O1215" t="n">
        <v/>
      </c>
      <c r="R1215" t="b">
        <v>1</v>
      </c>
      <c r="S1215" t="inlineStr">
        <is>
          <t>G000154</t>
        </is>
      </c>
      <c r="T1215" t="inlineStr">
        <is>
          <t>Vertical</t>
        </is>
      </c>
      <c r="U1215" t="n">
        <v>92</v>
      </c>
      <c r="V1215" t="b">
        <v>1</v>
      </c>
      <c r="W1215" t="inlineStr">
        <is>
          <t>ATF Fuel 2!C3:C94</t>
        </is>
      </c>
      <c r="X1215">
        <f>R[0]C[-1]/R[-1]C[-1]-1</f>
        <v/>
      </c>
    </row>
    <row r="1216">
      <c r="A1216" t="inlineStr">
        <is>
          <t>ATF Fuel 2</t>
        </is>
      </c>
      <c r="B1216" t="inlineStr">
        <is>
          <t>D71</t>
        </is>
      </c>
      <c r="C1216" t="n">
        <v>71</v>
      </c>
      <c r="D1216" t="n">
        <v>4</v>
      </c>
      <c r="E1216" t="inlineStr">
        <is>
          <t>Input</t>
        </is>
      </c>
      <c r="F1216" t="n">
        <v/>
      </c>
      <c r="G1216" t="n">
        <v>66.18000000000001</v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11</v>
      </c>
      <c r="M1216" t="inlineStr">
        <is>
          <t>Values must be of type &lt;class 'str'&gt;</t>
        </is>
      </c>
      <c r="N1216" t="inlineStr">
        <is>
          <t>00000000</t>
        </is>
      </c>
      <c r="O1216" t="n">
        <v/>
      </c>
      <c r="R1216" t="b">
        <v>1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</row>
    <row r="1217">
      <c r="A1217" t="inlineStr">
        <is>
          <t>ATF Fuel 2</t>
        </is>
      </c>
      <c r="B1217" t="inlineStr">
        <is>
          <t>E71</t>
        </is>
      </c>
      <c r="C1217" t="n">
        <v>71</v>
      </c>
      <c r="D1217" t="n">
        <v>5</v>
      </c>
      <c r="E1217" t="inlineStr">
        <is>
          <t>Output</t>
        </is>
      </c>
      <c r="F1217" t="inlineStr">
        <is>
          <t>'=B71/B70-1</t>
        </is>
      </c>
      <c r="G1217" t="n">
        <v>-0.09662281612856238</v>
      </c>
      <c r="H1217" t="inlineStr"/>
      <c r="I1217" t="inlineStr">
        <is>
          <t>0%</t>
        </is>
      </c>
      <c r="J1217" t="b">
        <v>0</v>
      </c>
      <c r="K1217" t="b">
        <v>0</v>
      </c>
      <c r="L1217" t="n">
        <v>11</v>
      </c>
      <c r="M1217" t="inlineStr">
        <is>
          <t>Values must be of type &lt;class 'str'&gt;</t>
        </is>
      </c>
      <c r="N1217" t="inlineStr">
        <is>
          <t>00000000</t>
        </is>
      </c>
      <c r="O1217" t="n">
        <v/>
      </c>
      <c r="R1217" t="b">
        <v>1</v>
      </c>
      <c r="S1217" t="inlineStr">
        <is>
          <t>G000158</t>
        </is>
      </c>
      <c r="T1217" t="inlineStr">
        <is>
          <t>Vertical</t>
        </is>
      </c>
      <c r="U1217" t="n">
        <v>92</v>
      </c>
      <c r="V1217" t="b">
        <v>1</v>
      </c>
      <c r="W1217" t="inlineStr">
        <is>
          <t>ATF Fuel 2!E3:E94</t>
        </is>
      </c>
      <c r="X1217">
        <f>R[0]C[-3]/R[-1]C[-3]-1</f>
        <v/>
      </c>
    </row>
    <row r="1218">
      <c r="A1218" t="inlineStr">
        <is>
          <t>ATF Fuel 2</t>
        </is>
      </c>
      <c r="B1218" t="inlineStr">
        <is>
          <t>F71</t>
        </is>
      </c>
      <c r="C1218" t="n">
        <v>71</v>
      </c>
      <c r="D1218" t="n">
        <v>6</v>
      </c>
      <c r="E1218" t="inlineStr">
        <is>
          <t>Input</t>
        </is>
      </c>
      <c r="F1218" t="n">
        <v/>
      </c>
      <c r="G1218" t="n">
        <v>33.57</v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11</v>
      </c>
      <c r="M1218" t="inlineStr">
        <is>
          <t>Values must be of type &lt;class 'str'&gt;</t>
        </is>
      </c>
      <c r="N1218" t="inlineStr">
        <is>
          <t>00000000</t>
        </is>
      </c>
      <c r="O1218" t="n">
        <v/>
      </c>
      <c r="R1218" t="b">
        <v>1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</row>
    <row r="1219">
      <c r="A1219" t="inlineStr">
        <is>
          <t>ATF Fuel 2</t>
        </is>
      </c>
      <c r="B1219" t="inlineStr">
        <is>
          <t>G71</t>
        </is>
      </c>
      <c r="C1219" t="n">
        <v>71</v>
      </c>
      <c r="D1219" t="n">
        <v>7</v>
      </c>
      <c r="E1219" t="inlineStr">
        <is>
          <t>Output</t>
        </is>
      </c>
      <c r="F1219" t="inlineStr">
        <is>
          <t>'=F71/F70-1</t>
        </is>
      </c>
      <c r="G1219" t="n">
        <v>-0.1541950113378684</v>
      </c>
      <c r="H1219" t="inlineStr"/>
      <c r="I1219" t="inlineStr">
        <is>
          <t>0%</t>
        </is>
      </c>
      <c r="J1219" t="b">
        <v>0</v>
      </c>
      <c r="K1219" t="b">
        <v>0</v>
      </c>
      <c r="L1219" t="n">
        <v>11</v>
      </c>
      <c r="M1219" t="inlineStr">
        <is>
          <t>Values must be of type &lt;class 'str'&gt;</t>
        </is>
      </c>
      <c r="N1219" t="inlineStr">
        <is>
          <t>00000000</t>
        </is>
      </c>
      <c r="O1219" t="n">
        <v/>
      </c>
      <c r="R1219" t="b">
        <v>1</v>
      </c>
      <c r="S1219" t="inlineStr">
        <is>
          <t>G000155</t>
        </is>
      </c>
      <c r="T1219" t="inlineStr">
        <is>
          <t>Vertical</t>
        </is>
      </c>
      <c r="U1219" t="n">
        <v>93</v>
      </c>
      <c r="V1219" t="b">
        <v>1</v>
      </c>
      <c r="W1219" t="inlineStr">
        <is>
          <t>ATF Fuel 2!G3:G95</t>
        </is>
      </c>
      <c r="X1219">
        <f>R[0]C[-1]/R[-1]C[-1]-1</f>
        <v/>
      </c>
    </row>
    <row r="1220">
      <c r="A1220" t="inlineStr">
        <is>
          <t>ATF Fuel 2</t>
        </is>
      </c>
      <c r="B1220" t="inlineStr">
        <is>
          <t>H71</t>
        </is>
      </c>
      <c r="C1220" t="n">
        <v>71</v>
      </c>
      <c r="D1220" t="n">
        <v>8</v>
      </c>
      <c r="E1220" t="inlineStr">
        <is>
          <t>Calculation</t>
        </is>
      </c>
      <c r="F1220" t="inlineStr">
        <is>
          <t>'=D71*F71</t>
        </is>
      </c>
      <c r="G1220" t="n">
        <v>2221.6626</v>
      </c>
      <c r="H1220" t="inlineStr"/>
      <c r="I1220" t="inlineStr">
        <is>
          <t>0</t>
        </is>
      </c>
      <c r="J1220" t="b">
        <v>0</v>
      </c>
      <c r="K1220" t="b">
        <v>0</v>
      </c>
      <c r="L1220" t="n">
        <v>11</v>
      </c>
      <c r="M1220" t="inlineStr">
        <is>
          <t>Values must be of type &lt;class 'str'&gt;</t>
        </is>
      </c>
      <c r="N1220" t="inlineStr">
        <is>
          <t>00000000</t>
        </is>
      </c>
      <c r="O1220" t="n">
        <v/>
      </c>
      <c r="R1220" t="b">
        <v>1</v>
      </c>
      <c r="S1220" t="inlineStr">
        <is>
          <t>G000152</t>
        </is>
      </c>
      <c r="T1220" t="inlineStr">
        <is>
          <t>Vertical</t>
        </is>
      </c>
      <c r="U1220" t="n">
        <v>98</v>
      </c>
      <c r="V1220" t="b">
        <v>1</v>
      </c>
      <c r="W1220" t="inlineStr">
        <is>
          <t>ATF Fuel 2!H2:H99</t>
        </is>
      </c>
      <c r="X1220">
        <f>R[0]C[-4]*R[0]C[-2]</f>
        <v/>
      </c>
    </row>
    <row r="1221">
      <c r="A1221" t="inlineStr">
        <is>
          <t>ATF Fuel 2</t>
        </is>
      </c>
      <c r="B1221" t="inlineStr">
        <is>
          <t>I71</t>
        </is>
      </c>
      <c r="C1221" t="n">
        <v>71</v>
      </c>
      <c r="D1221" t="n">
        <v>9</v>
      </c>
      <c r="E1221" t="inlineStr">
        <is>
          <t>Output</t>
        </is>
      </c>
      <c r="F1221" t="inlineStr">
        <is>
          <t>'=H71/H70-1</t>
        </is>
      </c>
      <c r="G1221" t="n">
        <v>-0.1585181276359009</v>
      </c>
      <c r="H1221" t="inlineStr"/>
      <c r="I1221" t="inlineStr">
        <is>
          <t>0%</t>
        </is>
      </c>
      <c r="J1221" t="b">
        <v>0</v>
      </c>
      <c r="K1221" t="b">
        <v>0</v>
      </c>
      <c r="L1221" t="n">
        <v>11</v>
      </c>
      <c r="M1221" t="inlineStr">
        <is>
          <t>FFFF0000</t>
        </is>
      </c>
      <c r="N1221" t="inlineStr">
        <is>
          <t>00000000</t>
        </is>
      </c>
      <c r="O1221" t="n">
        <v/>
      </c>
      <c r="R1221" t="b">
        <v>1</v>
      </c>
      <c r="S1221" t="inlineStr">
        <is>
          <t>G000156</t>
        </is>
      </c>
      <c r="T1221" t="inlineStr">
        <is>
          <t>Vertical</t>
        </is>
      </c>
      <c r="U1221" t="n">
        <v>97</v>
      </c>
      <c r="V1221" t="b">
        <v>1</v>
      </c>
      <c r="W1221" t="inlineStr">
        <is>
          <t>ATF Fuel 2!I3:I99</t>
        </is>
      </c>
      <c r="X1221">
        <f>R[0]C[-1]/R[-1]C[-1]-1</f>
        <v/>
      </c>
    </row>
    <row r="1222">
      <c r="A1222" t="inlineStr">
        <is>
          <t>ATF Fuel 2</t>
        </is>
      </c>
      <c r="B1222" t="inlineStr">
        <is>
          <t>J71</t>
        </is>
      </c>
      <c r="C1222" t="n">
        <v>71</v>
      </c>
      <c r="D1222" t="n">
        <v>10</v>
      </c>
      <c r="E1222" t="inlineStr">
        <is>
          <t>Input</t>
        </is>
      </c>
      <c r="F1222" t="n">
        <v/>
      </c>
      <c r="G1222" t="n">
        <v>37.13</v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11</v>
      </c>
      <c r="M1222" t="inlineStr">
        <is>
          <t>Values must be of type &lt;class 'str'&gt;</t>
        </is>
      </c>
      <c r="N1222" t="inlineStr">
        <is>
          <t>00000000</t>
        </is>
      </c>
      <c r="O1222" t="n">
        <v/>
      </c>
      <c r="R1222" t="b">
        <v>1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</row>
    <row r="1223">
      <c r="A1223" t="inlineStr">
        <is>
          <t>ATF Fuel 2</t>
        </is>
      </c>
      <c r="B1223" t="inlineStr">
        <is>
          <t>K71</t>
        </is>
      </c>
      <c r="C1223" t="n">
        <v>71</v>
      </c>
      <c r="D1223" t="n">
        <v>11</v>
      </c>
      <c r="E1223" t="inlineStr">
        <is>
          <t>Output</t>
        </is>
      </c>
      <c r="F1223" t="inlineStr">
        <is>
          <t>'=J71/J70-1</t>
        </is>
      </c>
      <c r="G1223" t="n">
        <v>-0.08501724987678649</v>
      </c>
      <c r="H1223" t="inlineStr"/>
      <c r="I1223" t="inlineStr">
        <is>
          <t>0%</t>
        </is>
      </c>
      <c r="J1223" t="b">
        <v>0</v>
      </c>
      <c r="K1223" t="b">
        <v>0</v>
      </c>
      <c r="L1223" t="n">
        <v>11</v>
      </c>
      <c r="M1223" t="inlineStr">
        <is>
          <t>Values must be of type &lt;class 'str'&gt;</t>
        </is>
      </c>
      <c r="N1223" t="inlineStr">
        <is>
          <t>00000000</t>
        </is>
      </c>
      <c r="O1223" t="n">
        <v/>
      </c>
      <c r="R1223" t="b">
        <v>1</v>
      </c>
      <c r="S1223" t="inlineStr">
        <is>
          <t>G000157</t>
        </is>
      </c>
      <c r="T1223" t="inlineStr">
        <is>
          <t>Vertical</t>
        </is>
      </c>
      <c r="U1223" t="n">
        <v>93</v>
      </c>
      <c r="V1223" t="b">
        <v>1</v>
      </c>
      <c r="W1223" t="inlineStr">
        <is>
          <t>ATF Fuel 2!K3:K95</t>
        </is>
      </c>
      <c r="X1223">
        <f>R[0]C[-1]/R[-1]C[-1]-1</f>
        <v/>
      </c>
    </row>
    <row r="1224">
      <c r="A1224" t="inlineStr">
        <is>
          <t>ATF Fuel 2</t>
        </is>
      </c>
      <c r="B1224" t="inlineStr">
        <is>
          <t>L71</t>
        </is>
      </c>
      <c r="C1224" t="n">
        <v>71</v>
      </c>
      <c r="D1224" t="n">
        <v>12</v>
      </c>
      <c r="E1224" t="inlineStr">
        <is>
          <t>Input</t>
        </is>
      </c>
      <c r="F1224" t="n">
        <v/>
      </c>
      <c r="G1224" t="inlineStr">
        <is>
          <t>January 01, 2016</t>
        </is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11</v>
      </c>
      <c r="M1224" t="inlineStr">
        <is>
          <t>Values must be of type &lt;class 'str'&gt;</t>
        </is>
      </c>
      <c r="N1224" t="inlineStr">
        <is>
          <t>00000000</t>
        </is>
      </c>
      <c r="O1224" t="inlineStr">
        <is>
          <t>left</t>
        </is>
      </c>
      <c r="R1224" t="b">
        <v>1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</row>
    <row r="1225">
      <c r="A1225" t="inlineStr">
        <is>
          <t>ATF Fuel 2</t>
        </is>
      </c>
      <c r="B1225" t="inlineStr">
        <is>
          <t>M71</t>
        </is>
      </c>
      <c r="C1225" t="n">
        <v>71</v>
      </c>
      <c r="D1225" t="n">
        <v>13</v>
      </c>
      <c r="E1225" t="inlineStr">
        <is>
          <t>Calculation</t>
        </is>
      </c>
      <c r="F1225" t="inlineStr">
        <is>
          <t>'=(1+(B71/B70)-1)*M70</t>
        </is>
      </c>
      <c r="G1225" t="n">
        <v>94.50073630348969</v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11</v>
      </c>
      <c r="M1225" t="inlineStr">
        <is>
          <t>Values must be of type &lt;class 'str'&gt;</t>
        </is>
      </c>
      <c r="N1225" t="inlineStr">
        <is>
          <t>00000000</t>
        </is>
      </c>
      <c r="O1225" t="inlineStr">
        <is>
          <t>left</t>
        </is>
      </c>
      <c r="R1225" t="b">
        <v>1</v>
      </c>
      <c r="S1225" t="inlineStr">
        <is>
          <t>G000159</t>
        </is>
      </c>
      <c r="T1225" t="inlineStr">
        <is>
          <t>Vertical</t>
        </is>
      </c>
      <c r="U1225" t="n">
        <v>92</v>
      </c>
      <c r="V1225" t="b">
        <v>1</v>
      </c>
      <c r="W1225" t="inlineStr">
        <is>
          <t>ATF Fuel 2!M3:M94</t>
        </is>
      </c>
      <c r="X1225">
        <f>(1+(R[0]C[-11]/R[-1]C[-11])-1)*R[-1]C[0]</f>
        <v/>
      </c>
    </row>
    <row r="1226">
      <c r="A1226" t="inlineStr">
        <is>
          <t>ATF Fuel 2</t>
        </is>
      </c>
      <c r="B1226" t="inlineStr">
        <is>
          <t>N71</t>
        </is>
      </c>
      <c r="C1226" t="n">
        <v>71</v>
      </c>
      <c r="D1226" t="n">
        <v>14</v>
      </c>
      <c r="E1226" t="inlineStr">
        <is>
          <t>Calculation</t>
        </is>
      </c>
      <c r="F1226" t="inlineStr">
        <is>
          <t>'=(1+(F71/F70)-1)*N70</t>
        </is>
      </c>
      <c r="G1226" t="n">
        <v>40.62689095969989</v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11</v>
      </c>
      <c r="M1226" t="inlineStr">
        <is>
          <t>Values must be of type &lt;class 'str'&gt;</t>
        </is>
      </c>
      <c r="N1226" t="inlineStr">
        <is>
          <t>00000000</t>
        </is>
      </c>
      <c r="O1226" t="inlineStr">
        <is>
          <t>left</t>
        </is>
      </c>
      <c r="R1226" t="b">
        <v>1</v>
      </c>
      <c r="S1226" t="inlineStr">
        <is>
          <t>G000160</t>
        </is>
      </c>
      <c r="T1226" t="inlineStr">
        <is>
          <t>Vertical</t>
        </is>
      </c>
      <c r="U1226" t="n">
        <v>92</v>
      </c>
      <c r="V1226" t="b">
        <v>1</v>
      </c>
      <c r="W1226" t="inlineStr">
        <is>
          <t>ATF Fuel 2!N3:N94</t>
        </is>
      </c>
      <c r="X1226">
        <f>(1+(R[0]C[-8]/R[-1]C[-8])-1)*R[-1]C[0]</f>
        <v/>
      </c>
    </row>
    <row r="1227">
      <c r="A1227" t="inlineStr">
        <is>
          <t>ATF Fuel 2</t>
        </is>
      </c>
      <c r="B1227" t="inlineStr">
        <is>
          <t>O71</t>
        </is>
      </c>
      <c r="C1227" t="n">
        <v>71</v>
      </c>
      <c r="D1227" t="n">
        <v>15</v>
      </c>
      <c r="E1227" t="inlineStr">
        <is>
          <t>Calculation</t>
        </is>
      </c>
      <c r="F1227" t="inlineStr">
        <is>
          <t>'=(1+(J71/J70)-1)*O70</t>
        </is>
      </c>
      <c r="G1227" t="n">
        <v>43.92523364485985</v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11</v>
      </c>
      <c r="M1227" t="inlineStr">
        <is>
          <t>Values must be of type &lt;class 'str'&gt;</t>
        </is>
      </c>
      <c r="N1227" t="inlineStr">
        <is>
          <t>00000000</t>
        </is>
      </c>
      <c r="O1227" t="inlineStr">
        <is>
          <t>left</t>
        </is>
      </c>
      <c r="R1227" t="b">
        <v>1</v>
      </c>
      <c r="S1227" t="inlineStr">
        <is>
          <t>G000162</t>
        </is>
      </c>
      <c r="T1227" t="inlineStr">
        <is>
          <t>Vertical</t>
        </is>
      </c>
      <c r="U1227" t="n">
        <v>92</v>
      </c>
      <c r="V1227" t="b">
        <v>1</v>
      </c>
      <c r="W1227" t="inlineStr">
        <is>
          <t>ATF Fuel 2!O3:O94</t>
        </is>
      </c>
      <c r="X1227">
        <f>(1+(R[0]C[-5]/R[-1]C[-5])-1)*R[-1]C[0]</f>
        <v/>
      </c>
    </row>
    <row r="1228">
      <c r="A1228" t="inlineStr">
        <is>
          <t>ATF Fuel 2</t>
        </is>
      </c>
      <c r="B1228" t="inlineStr">
        <is>
          <t>P71</t>
        </is>
      </c>
      <c r="C1228" t="n">
        <v>71</v>
      </c>
      <c r="D1228" t="n">
        <v>16</v>
      </c>
      <c r="E1228" t="inlineStr">
        <is>
          <t>Calculation</t>
        </is>
      </c>
      <c r="F1228" t="inlineStr">
        <is>
          <t>'=(1+(H71/H70)-1)*P70</t>
        </is>
      </c>
      <c r="G1228" t="n">
        <v>60.06898220985114</v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11</v>
      </c>
      <c r="M1228" t="inlineStr">
        <is>
          <t>Values must be of type &lt;class 'str'&gt;</t>
        </is>
      </c>
      <c r="N1228" t="inlineStr">
        <is>
          <t>00000000</t>
        </is>
      </c>
      <c r="O1228" t="inlineStr">
        <is>
          <t>left</t>
        </is>
      </c>
      <c r="R1228" t="b">
        <v>1</v>
      </c>
      <c r="S1228" t="inlineStr">
        <is>
          <t>G000161</t>
        </is>
      </c>
      <c r="T1228" t="inlineStr">
        <is>
          <t>Vertical</t>
        </is>
      </c>
      <c r="U1228" t="n">
        <v>92</v>
      </c>
      <c r="V1228" t="b">
        <v>1</v>
      </c>
      <c r="W1228" t="inlineStr">
        <is>
          <t>ATF Fuel 2!P3:P94</t>
        </is>
      </c>
      <c r="X1228">
        <f>(1+(R[0]C[-8]/R[-1]C[-8])-1)*R[-1]C[0]</f>
        <v/>
      </c>
    </row>
    <row r="1229">
      <c r="A1229" t="inlineStr">
        <is>
          <t>ATF Fuel 2</t>
        </is>
      </c>
      <c r="B1229" t="inlineStr">
        <is>
          <t>Q71</t>
        </is>
      </c>
      <c r="C1229" t="n">
        <v>71</v>
      </c>
      <c r="D1229" t="n">
        <v>17</v>
      </c>
      <c r="E1229" t="inlineStr">
        <is>
          <t>Output</t>
        </is>
      </c>
      <c r="F1229" t="inlineStr">
        <is>
          <t>'=M71/N71-1</t>
        </is>
      </c>
      <c r="G1229" t="n">
        <v>1.326063699957506</v>
      </c>
      <c r="H1229" t="inlineStr"/>
      <c r="I1229" t="inlineStr">
        <is>
          <t>0.0%</t>
        </is>
      </c>
      <c r="J1229" t="b">
        <v>0</v>
      </c>
      <c r="K1229" t="b">
        <v>0</v>
      </c>
      <c r="L1229" t="n">
        <v>11</v>
      </c>
      <c r="M1229" t="inlineStr">
        <is>
          <t>Values must be of type &lt;class 'str'&gt;</t>
        </is>
      </c>
      <c r="N1229" t="inlineStr">
        <is>
          <t>00000000</t>
        </is>
      </c>
      <c r="O1229" t="n">
        <v/>
      </c>
      <c r="R1229" t="b">
        <v>1</v>
      </c>
      <c r="S1229" t="inlineStr">
        <is>
          <t>G000153</t>
        </is>
      </c>
      <c r="T1229" t="inlineStr">
        <is>
          <t>Vertical</t>
        </is>
      </c>
      <c r="U1229" t="n">
        <v>93</v>
      </c>
      <c r="V1229" t="b">
        <v>1</v>
      </c>
      <c r="W1229" t="inlineStr">
        <is>
          <t>ATF Fuel 2!Q2:Q94</t>
        </is>
      </c>
      <c r="X1229">
        <f>R[0]C[-4]/R[0]C[-3]-1</f>
        <v/>
      </c>
    </row>
    <row r="1230">
      <c r="A1230" t="inlineStr">
        <is>
          <t>ATF Fuel 2</t>
        </is>
      </c>
      <c r="B1230" t="inlineStr">
        <is>
          <t>A72</t>
        </is>
      </c>
      <c r="C1230" t="n">
        <v>72</v>
      </c>
      <c r="D1230" t="n">
        <v>1</v>
      </c>
      <c r="E1230" t="inlineStr">
        <is>
          <t>Input</t>
        </is>
      </c>
      <c r="F1230" t="n">
        <v/>
      </c>
      <c r="G1230" t="inlineStr">
        <is>
          <t>February 01,2016</t>
        </is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11</v>
      </c>
      <c r="M1230" t="inlineStr">
        <is>
          <t>Values must be of type &lt;class 'str'&gt;</t>
        </is>
      </c>
      <c r="N1230" t="inlineStr">
        <is>
          <t>00000000</t>
        </is>
      </c>
      <c r="O1230" t="n">
        <v/>
      </c>
      <c r="R1230" t="b">
        <v>1</v>
      </c>
      <c r="S1230" t="n">
        <v/>
      </c>
      <c r="T1230" t="n">
        <v/>
      </c>
      <c r="U1230" t="n">
        <v/>
      </c>
      <c r="V1230" t="b">
        <v>0</v>
      </c>
      <c r="W1230" t="inlineStr"/>
      <c r="X1230" t="n">
        <v/>
      </c>
    </row>
    <row r="1231">
      <c r="A1231" t="inlineStr">
        <is>
          <t>ATF Fuel 2</t>
        </is>
      </c>
      <c r="B1231" t="inlineStr">
        <is>
          <t>B72</t>
        </is>
      </c>
      <c r="C1231" t="n">
        <v>72</v>
      </c>
      <c r="D1231" t="n">
        <v>2</v>
      </c>
      <c r="E1231" t="inlineStr">
        <is>
          <t>Input</t>
        </is>
      </c>
      <c r="F1231" t="n">
        <v/>
      </c>
      <c r="G1231" t="n">
        <v>37121.7925</v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11</v>
      </c>
      <c r="M1231" t="inlineStr">
        <is>
          <t>Values must be of type &lt;class 'str'&gt;</t>
        </is>
      </c>
      <c r="N1231" t="inlineStr">
        <is>
          <t>00000000</t>
        </is>
      </c>
      <c r="O1231" t="n">
        <v/>
      </c>
      <c r="R1231" t="b">
        <v>1</v>
      </c>
      <c r="S1231" t="n">
        <v/>
      </c>
      <c r="T1231" t="n">
        <v/>
      </c>
      <c r="U1231" t="n">
        <v/>
      </c>
      <c r="V1231" t="b">
        <v>0</v>
      </c>
      <c r="W1231" t="inlineStr"/>
      <c r="X1231" t="n">
        <v/>
      </c>
    </row>
    <row r="1232">
      <c r="A1232" t="inlineStr">
        <is>
          <t>ATF Fuel 2</t>
        </is>
      </c>
      <c r="B1232" t="inlineStr">
        <is>
          <t>C72</t>
        </is>
      </c>
      <c r="C1232" t="n">
        <v>72</v>
      </c>
      <c r="D1232" t="n">
        <v>3</v>
      </c>
      <c r="E1232" t="inlineStr">
        <is>
          <t>Output</t>
        </is>
      </c>
      <c r="F1232" t="inlineStr">
        <is>
          <t>'=B72/B71-1</t>
        </is>
      </c>
      <c r="G1232" t="n">
        <v>-0.1145081618988303</v>
      </c>
      <c r="H1232" t="inlineStr"/>
      <c r="I1232" t="inlineStr">
        <is>
          <t>0%</t>
        </is>
      </c>
      <c r="J1232" t="b">
        <v>0</v>
      </c>
      <c r="K1232" t="b">
        <v>0</v>
      </c>
      <c r="L1232" t="n">
        <v>11</v>
      </c>
      <c r="M1232" t="n">
        <v/>
      </c>
      <c r="N1232" t="inlineStr">
        <is>
          <t>00000000</t>
        </is>
      </c>
      <c r="O1232" t="n">
        <v/>
      </c>
      <c r="R1232" t="b">
        <v>1</v>
      </c>
      <c r="S1232" t="inlineStr">
        <is>
          <t>G000154</t>
        </is>
      </c>
      <c r="T1232" t="inlineStr">
        <is>
          <t>Vertical</t>
        </is>
      </c>
      <c r="U1232" t="n">
        <v>92</v>
      </c>
      <c r="V1232" t="b">
        <v>1</v>
      </c>
      <c r="W1232" t="inlineStr">
        <is>
          <t>ATF Fuel 2!C3:C94</t>
        </is>
      </c>
      <c r="X1232">
        <f>R[0]C[-1]/R[-1]C[-1]-1</f>
        <v/>
      </c>
    </row>
    <row r="1233">
      <c r="A1233" t="inlineStr">
        <is>
          <t>ATF Fuel 2</t>
        </is>
      </c>
      <c r="B1233" t="inlineStr">
        <is>
          <t>D72</t>
        </is>
      </c>
      <c r="C1233" t="n">
        <v>72</v>
      </c>
      <c r="D1233" t="n">
        <v>4</v>
      </c>
      <c r="E1233" t="inlineStr">
        <is>
          <t>Input</t>
        </is>
      </c>
      <c r="F1233" t="n">
        <v/>
      </c>
      <c r="G1233" t="n">
        <v>67.77</v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11</v>
      </c>
      <c r="M1233" t="inlineStr">
        <is>
          <t>Values must be of type &lt;class 'str'&gt;</t>
        </is>
      </c>
      <c r="N1233" t="inlineStr">
        <is>
          <t>00000000</t>
        </is>
      </c>
      <c r="O1233" t="n">
        <v/>
      </c>
      <c r="R1233" t="b">
        <v>1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</row>
    <row r="1234">
      <c r="A1234" t="inlineStr">
        <is>
          <t>ATF Fuel 2</t>
        </is>
      </c>
      <c r="B1234" t="inlineStr">
        <is>
          <t>E72</t>
        </is>
      </c>
      <c r="C1234" t="n">
        <v>72</v>
      </c>
      <c r="D1234" t="n">
        <v>5</v>
      </c>
      <c r="E1234" t="inlineStr">
        <is>
          <t>Output</t>
        </is>
      </c>
      <c r="F1234" t="inlineStr">
        <is>
          <t>'=B72/B71-1</t>
        </is>
      </c>
      <c r="G1234" t="n">
        <v>-0.1145081618988303</v>
      </c>
      <c r="H1234" t="inlineStr"/>
      <c r="I1234" t="inlineStr">
        <is>
          <t>0%</t>
        </is>
      </c>
      <c r="J1234" t="b">
        <v>0</v>
      </c>
      <c r="K1234" t="b">
        <v>0</v>
      </c>
      <c r="L1234" t="n">
        <v>11</v>
      </c>
      <c r="M1234" t="inlineStr">
        <is>
          <t>Values must be of type &lt;class 'str'&gt;</t>
        </is>
      </c>
      <c r="N1234" t="inlineStr">
        <is>
          <t>00000000</t>
        </is>
      </c>
      <c r="O1234" t="n">
        <v/>
      </c>
      <c r="R1234" t="b">
        <v>1</v>
      </c>
      <c r="S1234" t="inlineStr">
        <is>
          <t>G000158</t>
        </is>
      </c>
      <c r="T1234" t="inlineStr">
        <is>
          <t>Vertical</t>
        </is>
      </c>
      <c r="U1234" t="n">
        <v>92</v>
      </c>
      <c r="V1234" t="b">
        <v>1</v>
      </c>
      <c r="W1234" t="inlineStr">
        <is>
          <t>ATF Fuel 2!E3:E94</t>
        </is>
      </c>
      <c r="X1234">
        <f>R[0]C[-3]/R[-1]C[-3]-1</f>
        <v/>
      </c>
    </row>
    <row r="1235">
      <c r="A1235" t="inlineStr">
        <is>
          <t>ATF Fuel 2</t>
        </is>
      </c>
      <c r="B1235" t="inlineStr">
        <is>
          <t>F72</t>
        </is>
      </c>
      <c r="C1235" t="n">
        <v>72</v>
      </c>
      <c r="D1235" t="n">
        <v>6</v>
      </c>
      <c r="E1235" t="inlineStr">
        <is>
          <t>Input</t>
        </is>
      </c>
      <c r="F1235" t="n">
        <v/>
      </c>
      <c r="G1235" t="n">
        <v>32.76</v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11</v>
      </c>
      <c r="M1235" t="inlineStr">
        <is>
          <t>Values must be of type &lt;class 'str'&gt;</t>
        </is>
      </c>
      <c r="N1235" t="inlineStr">
        <is>
          <t>00000000</t>
        </is>
      </c>
      <c r="O1235" t="n">
        <v/>
      </c>
      <c r="R1235" t="b">
        <v>1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</row>
    <row r="1236">
      <c r="A1236" t="inlineStr">
        <is>
          <t>ATF Fuel 2</t>
        </is>
      </c>
      <c r="B1236" t="inlineStr">
        <is>
          <t>G72</t>
        </is>
      </c>
      <c r="C1236" t="n">
        <v>72</v>
      </c>
      <c r="D1236" t="n">
        <v>7</v>
      </c>
      <c r="E1236" t="inlineStr">
        <is>
          <t>Output</t>
        </is>
      </c>
      <c r="F1236" t="inlineStr">
        <is>
          <t>'=F72/F71-1</t>
        </is>
      </c>
      <c r="G1236" t="n">
        <v>-0.02412868632707776</v>
      </c>
      <c r="H1236" t="inlineStr"/>
      <c r="I1236" t="inlineStr">
        <is>
          <t>0%</t>
        </is>
      </c>
      <c r="J1236" t="b">
        <v>0</v>
      </c>
      <c r="K1236" t="b">
        <v>0</v>
      </c>
      <c r="L1236" t="n">
        <v>11</v>
      </c>
      <c r="M1236" t="inlineStr">
        <is>
          <t>Values must be of type &lt;class 'str'&gt;</t>
        </is>
      </c>
      <c r="N1236" t="inlineStr">
        <is>
          <t>00000000</t>
        </is>
      </c>
      <c r="O1236" t="n">
        <v/>
      </c>
      <c r="R1236" t="b">
        <v>1</v>
      </c>
      <c r="S1236" t="inlineStr">
        <is>
          <t>G000155</t>
        </is>
      </c>
      <c r="T1236" t="inlineStr">
        <is>
          <t>Vertical</t>
        </is>
      </c>
      <c r="U1236" t="n">
        <v>93</v>
      </c>
      <c r="V1236" t="b">
        <v>1</v>
      </c>
      <c r="W1236" t="inlineStr">
        <is>
          <t>ATF Fuel 2!G3:G95</t>
        </is>
      </c>
      <c r="X1236">
        <f>R[0]C[-1]/R[-1]C[-1]-1</f>
        <v/>
      </c>
    </row>
    <row r="1237">
      <c r="A1237" t="inlineStr">
        <is>
          <t>ATF Fuel 2</t>
        </is>
      </c>
      <c r="B1237" t="inlineStr">
        <is>
          <t>H72</t>
        </is>
      </c>
      <c r="C1237" t="n">
        <v>72</v>
      </c>
      <c r="D1237" t="n">
        <v>8</v>
      </c>
      <c r="E1237" t="inlineStr">
        <is>
          <t>Calculation</t>
        </is>
      </c>
      <c r="F1237" t="inlineStr">
        <is>
          <t>'=D72*F72</t>
        </is>
      </c>
      <c r="G1237" t="n">
        <v>2220.1452</v>
      </c>
      <c r="H1237" t="inlineStr"/>
      <c r="I1237" t="inlineStr">
        <is>
          <t>0</t>
        </is>
      </c>
      <c r="J1237" t="b">
        <v>0</v>
      </c>
      <c r="K1237" t="b">
        <v>0</v>
      </c>
      <c r="L1237" t="n">
        <v>11</v>
      </c>
      <c r="M1237" t="inlineStr">
        <is>
          <t>Values must be of type &lt;class 'str'&gt;</t>
        </is>
      </c>
      <c r="N1237" t="inlineStr">
        <is>
          <t>00000000</t>
        </is>
      </c>
      <c r="O1237" t="n">
        <v/>
      </c>
      <c r="R1237" t="b">
        <v>1</v>
      </c>
      <c r="S1237" t="inlineStr">
        <is>
          <t>G000152</t>
        </is>
      </c>
      <c r="T1237" t="inlineStr">
        <is>
          <t>Vertical</t>
        </is>
      </c>
      <c r="U1237" t="n">
        <v>98</v>
      </c>
      <c r="V1237" t="b">
        <v>1</v>
      </c>
      <c r="W1237" t="inlineStr">
        <is>
          <t>ATF Fuel 2!H2:H99</t>
        </is>
      </c>
      <c r="X1237">
        <f>R[0]C[-4]*R[0]C[-2]</f>
        <v/>
      </c>
    </row>
    <row r="1238">
      <c r="A1238" t="inlineStr">
        <is>
          <t>ATF Fuel 2</t>
        </is>
      </c>
      <c r="B1238" t="inlineStr">
        <is>
          <t>I72</t>
        </is>
      </c>
      <c r="C1238" t="n">
        <v>72</v>
      </c>
      <c r="D1238" t="n">
        <v>9</v>
      </c>
      <c r="E1238" t="inlineStr">
        <is>
          <t>Output</t>
        </is>
      </c>
      <c r="F1238" t="inlineStr">
        <is>
          <t>'=H72/H71-1</t>
        </is>
      </c>
      <c r="G1238" t="n">
        <v>-0.0006830020003938397</v>
      </c>
      <c r="H1238" t="inlineStr"/>
      <c r="I1238" t="inlineStr">
        <is>
          <t>0%</t>
        </is>
      </c>
      <c r="J1238" t="b">
        <v>0</v>
      </c>
      <c r="K1238" t="b">
        <v>0</v>
      </c>
      <c r="L1238" t="n">
        <v>11</v>
      </c>
      <c r="M1238" t="inlineStr">
        <is>
          <t>FFFF0000</t>
        </is>
      </c>
      <c r="N1238" t="inlineStr">
        <is>
          <t>00000000</t>
        </is>
      </c>
      <c r="O1238" t="n">
        <v/>
      </c>
      <c r="R1238" t="b">
        <v>1</v>
      </c>
      <c r="S1238" t="inlineStr">
        <is>
          <t>G000156</t>
        </is>
      </c>
      <c r="T1238" t="inlineStr">
        <is>
          <t>Vertical</t>
        </is>
      </c>
      <c r="U1238" t="n">
        <v>97</v>
      </c>
      <c r="V1238" t="b">
        <v>1</v>
      </c>
      <c r="W1238" t="inlineStr">
        <is>
          <t>ATF Fuel 2!I3:I99</t>
        </is>
      </c>
      <c r="X1238">
        <f>R[0]C[-1]/R[-1]C[-1]-1</f>
        <v/>
      </c>
    </row>
    <row r="1239">
      <c r="A1239" t="inlineStr">
        <is>
          <t>ATF Fuel 2</t>
        </is>
      </c>
      <c r="B1239" t="inlineStr">
        <is>
          <t>J72</t>
        </is>
      </c>
      <c r="C1239" t="n">
        <v>72</v>
      </c>
      <c r="D1239" t="n">
        <v>10</v>
      </c>
      <c r="E1239" t="inlineStr">
        <is>
          <t>Input</t>
        </is>
      </c>
      <c r="F1239" t="n">
        <v/>
      </c>
      <c r="G1239" t="n">
        <v>31.62</v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11</v>
      </c>
      <c r="M1239" t="inlineStr">
        <is>
          <t>Values must be of type &lt;class 'str'&gt;</t>
        </is>
      </c>
      <c r="N1239" t="inlineStr">
        <is>
          <t>00000000</t>
        </is>
      </c>
      <c r="O1239" t="n">
        <v/>
      </c>
      <c r="R1239" t="b">
        <v>1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</row>
    <row r="1240">
      <c r="A1240" t="inlineStr">
        <is>
          <t>ATF Fuel 2</t>
        </is>
      </c>
      <c r="B1240" t="inlineStr">
        <is>
          <t>K72</t>
        </is>
      </c>
      <c r="C1240" t="n">
        <v>72</v>
      </c>
      <c r="D1240" t="n">
        <v>11</v>
      </c>
      <c r="E1240" t="inlineStr">
        <is>
          <t>Output</t>
        </is>
      </c>
      <c r="F1240" t="inlineStr">
        <is>
          <t>'=J72/J71-1</t>
        </is>
      </c>
      <c r="G1240" t="n">
        <v>-0.1483975222192297</v>
      </c>
      <c r="H1240" t="inlineStr"/>
      <c r="I1240" t="inlineStr">
        <is>
          <t>0%</t>
        </is>
      </c>
      <c r="J1240" t="b">
        <v>0</v>
      </c>
      <c r="K1240" t="b">
        <v>0</v>
      </c>
      <c r="L1240" t="n">
        <v>11</v>
      </c>
      <c r="M1240" t="inlineStr">
        <is>
          <t>Values must be of type &lt;class 'str'&gt;</t>
        </is>
      </c>
      <c r="N1240" t="inlineStr">
        <is>
          <t>00000000</t>
        </is>
      </c>
      <c r="O1240" t="n">
        <v/>
      </c>
      <c r="R1240" t="b">
        <v>1</v>
      </c>
      <c r="S1240" t="inlineStr">
        <is>
          <t>G000157</t>
        </is>
      </c>
      <c r="T1240" t="inlineStr">
        <is>
          <t>Vertical</t>
        </is>
      </c>
      <c r="U1240" t="n">
        <v>93</v>
      </c>
      <c r="V1240" t="b">
        <v>1</v>
      </c>
      <c r="W1240" t="inlineStr">
        <is>
          <t>ATF Fuel 2!K3:K95</t>
        </is>
      </c>
      <c r="X1240">
        <f>R[0]C[-1]/R[-1]C[-1]-1</f>
        <v/>
      </c>
    </row>
    <row r="1241">
      <c r="A1241" t="inlineStr">
        <is>
          <t>ATF Fuel 2</t>
        </is>
      </c>
      <c r="B1241" t="inlineStr">
        <is>
          <t>L72</t>
        </is>
      </c>
      <c r="C1241" t="n">
        <v>72</v>
      </c>
      <c r="D1241" t="n">
        <v>12</v>
      </c>
      <c r="E1241" t="inlineStr">
        <is>
          <t>Input</t>
        </is>
      </c>
      <c r="F1241" t="n">
        <v/>
      </c>
      <c r="G1241" t="inlineStr">
        <is>
          <t>February 01,2016</t>
        </is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11</v>
      </c>
      <c r="M1241" t="inlineStr">
        <is>
          <t>Values must be of type &lt;class 'str'&gt;</t>
        </is>
      </c>
      <c r="N1241" t="inlineStr">
        <is>
          <t>00000000</t>
        </is>
      </c>
      <c r="O1241" t="inlineStr">
        <is>
          <t>left</t>
        </is>
      </c>
      <c r="R1241" t="b">
        <v>1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</row>
    <row r="1242">
      <c r="A1242" t="inlineStr">
        <is>
          <t>ATF Fuel 2</t>
        </is>
      </c>
      <c r="B1242" t="inlineStr">
        <is>
          <t>M72</t>
        </is>
      </c>
      <c r="C1242" t="n">
        <v>72</v>
      </c>
      <c r="D1242" t="n">
        <v>13</v>
      </c>
      <c r="E1242" t="inlineStr">
        <is>
          <t>Calculation</t>
        </is>
      </c>
      <c r="F1242" t="inlineStr">
        <is>
          <t>'=(1+(B72/B71)-1)*M71</t>
        </is>
      </c>
      <c r="G1242" t="n">
        <v>83.67963069129104</v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11</v>
      </c>
      <c r="M1242" t="inlineStr">
        <is>
          <t>Values must be of type &lt;class 'str'&gt;</t>
        </is>
      </c>
      <c r="N1242" t="inlineStr">
        <is>
          <t>00000000</t>
        </is>
      </c>
      <c r="O1242" t="inlineStr">
        <is>
          <t>left</t>
        </is>
      </c>
      <c r="R1242" t="b">
        <v>1</v>
      </c>
      <c r="S1242" t="inlineStr">
        <is>
          <t>G000159</t>
        </is>
      </c>
      <c r="T1242" t="inlineStr">
        <is>
          <t>Vertical</t>
        </is>
      </c>
      <c r="U1242" t="n">
        <v>92</v>
      </c>
      <c r="V1242" t="b">
        <v>1</v>
      </c>
      <c r="W1242" t="inlineStr">
        <is>
          <t>ATF Fuel 2!M3:M94</t>
        </is>
      </c>
      <c r="X1242">
        <f>(1+(R[0]C[-11]/R[-1]C[-11])-1)*R[-1]C[0]</f>
        <v/>
      </c>
    </row>
    <row r="1243">
      <c r="A1243" t="inlineStr">
        <is>
          <t>ATF Fuel 2</t>
        </is>
      </c>
      <c r="B1243" t="inlineStr">
        <is>
          <t>N72</t>
        </is>
      </c>
      <c r="C1243" t="n">
        <v>72</v>
      </c>
      <c r="D1243" t="n">
        <v>14</v>
      </c>
      <c r="E1243" t="inlineStr">
        <is>
          <t>Calculation</t>
        </is>
      </c>
      <c r="F1243" t="inlineStr">
        <is>
          <t>'=(1+(F72/F71)-1)*N71</t>
        </is>
      </c>
      <c r="G1243" t="n">
        <v>39.6466174512889</v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11</v>
      </c>
      <c r="M1243" t="inlineStr">
        <is>
          <t>Values must be of type &lt;class 'str'&gt;</t>
        </is>
      </c>
      <c r="N1243" t="inlineStr">
        <is>
          <t>00000000</t>
        </is>
      </c>
      <c r="O1243" t="inlineStr">
        <is>
          <t>left</t>
        </is>
      </c>
      <c r="R1243" t="b">
        <v>1</v>
      </c>
      <c r="S1243" t="inlineStr">
        <is>
          <t>G000160</t>
        </is>
      </c>
      <c r="T1243" t="inlineStr">
        <is>
          <t>Vertical</t>
        </is>
      </c>
      <c r="U1243" t="n">
        <v>92</v>
      </c>
      <c r="V1243" t="b">
        <v>1</v>
      </c>
      <c r="W1243" t="inlineStr">
        <is>
          <t>ATF Fuel 2!N3:N94</t>
        </is>
      </c>
      <c r="X1243">
        <f>(1+(R[0]C[-8]/R[-1]C[-8])-1)*R[-1]C[0]</f>
        <v/>
      </c>
    </row>
    <row r="1244">
      <c r="A1244" t="inlineStr">
        <is>
          <t>ATF Fuel 2</t>
        </is>
      </c>
      <c r="B1244" t="inlineStr">
        <is>
          <t>O72</t>
        </is>
      </c>
      <c r="C1244" t="n">
        <v>72</v>
      </c>
      <c r="D1244" t="n">
        <v>15</v>
      </c>
      <c r="E1244" t="inlineStr">
        <is>
          <t>Calculation</t>
        </is>
      </c>
      <c r="F1244" t="inlineStr">
        <is>
          <t>'=(1+(J72/J71)-1)*O71</t>
        </is>
      </c>
      <c r="G1244" t="n">
        <v>37.4068378090619</v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11</v>
      </c>
      <c r="M1244" t="inlineStr">
        <is>
          <t>Values must be of type &lt;class 'str'&gt;</t>
        </is>
      </c>
      <c r="N1244" t="inlineStr">
        <is>
          <t>00000000</t>
        </is>
      </c>
      <c r="O1244" t="inlineStr">
        <is>
          <t>left</t>
        </is>
      </c>
      <c r="R1244" t="b">
        <v>1</v>
      </c>
      <c r="S1244" t="inlineStr">
        <is>
          <t>G000162</t>
        </is>
      </c>
      <c r="T1244" t="inlineStr">
        <is>
          <t>Vertical</t>
        </is>
      </c>
      <c r="U1244" t="n">
        <v>92</v>
      </c>
      <c r="V1244" t="b">
        <v>1</v>
      </c>
      <c r="W1244" t="inlineStr">
        <is>
          <t>ATF Fuel 2!O3:O94</t>
        </is>
      </c>
      <c r="X1244">
        <f>(1+(R[0]C[-5]/R[-1]C[-5])-1)*R[-1]C[0]</f>
        <v/>
      </c>
    </row>
    <row r="1245">
      <c r="A1245" t="inlineStr">
        <is>
          <t>ATF Fuel 2</t>
        </is>
      </c>
      <c r="B1245" t="inlineStr">
        <is>
          <t>P72</t>
        </is>
      </c>
      <c r="C1245" t="n">
        <v>72</v>
      </c>
      <c r="D1245" t="n">
        <v>16</v>
      </c>
      <c r="E1245" t="inlineStr">
        <is>
          <t>Calculation</t>
        </is>
      </c>
      <c r="F1245" t="inlineStr">
        <is>
          <t>'=(1+(H72/H71)-1)*P71</t>
        </is>
      </c>
      <c r="G1245" t="n">
        <v>60.02795497484019</v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11</v>
      </c>
      <c r="M1245" t="inlineStr">
        <is>
          <t>Values must be of type &lt;class 'str'&gt;</t>
        </is>
      </c>
      <c r="N1245" t="inlineStr">
        <is>
          <t>00000000</t>
        </is>
      </c>
      <c r="O1245" t="inlineStr">
        <is>
          <t>left</t>
        </is>
      </c>
      <c r="R1245" t="b">
        <v>1</v>
      </c>
      <c r="S1245" t="inlineStr">
        <is>
          <t>G000161</t>
        </is>
      </c>
      <c r="T1245" t="inlineStr">
        <is>
          <t>Vertical</t>
        </is>
      </c>
      <c r="U1245" t="n">
        <v>92</v>
      </c>
      <c r="V1245" t="b">
        <v>1</v>
      </c>
      <c r="W1245" t="inlineStr">
        <is>
          <t>ATF Fuel 2!P3:P94</t>
        </is>
      </c>
      <c r="X1245">
        <f>(1+(R[0]C[-8]/R[-1]C[-8])-1)*R[-1]C[0]</f>
        <v/>
      </c>
    </row>
    <row r="1246">
      <c r="A1246" t="inlineStr">
        <is>
          <t>ATF Fuel 2</t>
        </is>
      </c>
      <c r="B1246" t="inlineStr">
        <is>
          <t>Q72</t>
        </is>
      </c>
      <c r="C1246" t="n">
        <v>72</v>
      </c>
      <c r="D1246" t="n">
        <v>17</v>
      </c>
      <c r="E1246" t="inlineStr">
        <is>
          <t>Output</t>
        </is>
      </c>
      <c r="F1246" t="inlineStr">
        <is>
          <t>'=M72/N72-1</t>
        </is>
      </c>
      <c r="G1246" t="n">
        <v>1.110637327234852</v>
      </c>
      <c r="H1246" t="inlineStr"/>
      <c r="I1246" t="inlineStr">
        <is>
          <t>0.0%</t>
        </is>
      </c>
      <c r="J1246" t="b">
        <v>0</v>
      </c>
      <c r="K1246" t="b">
        <v>0</v>
      </c>
      <c r="L1246" t="n">
        <v>11</v>
      </c>
      <c r="M1246" t="inlineStr">
        <is>
          <t>Values must be of type &lt;class 'str'&gt;</t>
        </is>
      </c>
      <c r="N1246" t="inlineStr">
        <is>
          <t>00000000</t>
        </is>
      </c>
      <c r="O1246" t="n">
        <v/>
      </c>
      <c r="R1246" t="b">
        <v>1</v>
      </c>
      <c r="S1246" t="inlineStr">
        <is>
          <t>G000153</t>
        </is>
      </c>
      <c r="T1246" t="inlineStr">
        <is>
          <t>Vertical</t>
        </is>
      </c>
      <c r="U1246" t="n">
        <v>93</v>
      </c>
      <c r="V1246" t="b">
        <v>1</v>
      </c>
      <c r="W1246" t="inlineStr">
        <is>
          <t>ATF Fuel 2!Q2:Q94</t>
        </is>
      </c>
      <c r="X1246">
        <f>R[0]C[-4]/R[0]C[-3]-1</f>
        <v/>
      </c>
    </row>
    <row r="1247">
      <c r="A1247" t="inlineStr">
        <is>
          <t>ATF Fuel 2</t>
        </is>
      </c>
      <c r="B1247" t="inlineStr">
        <is>
          <t>A73</t>
        </is>
      </c>
      <c r="C1247" t="n">
        <v>73</v>
      </c>
      <c r="D1247" t="n">
        <v>1</v>
      </c>
      <c r="E1247" t="inlineStr">
        <is>
          <t>Input</t>
        </is>
      </c>
      <c r="F1247" t="n">
        <v/>
      </c>
      <c r="G1247" t="inlineStr">
        <is>
          <t>March 01,2016</t>
        </is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11</v>
      </c>
      <c r="M1247" t="inlineStr">
        <is>
          <t>Values must be of type &lt;class 'str'&gt;</t>
        </is>
      </c>
      <c r="N1247" t="inlineStr">
        <is>
          <t>00000000</t>
        </is>
      </c>
      <c r="O1247" t="n">
        <v/>
      </c>
      <c r="R1247" t="b">
        <v>1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</row>
    <row r="1248">
      <c r="A1248" t="inlineStr">
        <is>
          <t>ATF Fuel 2</t>
        </is>
      </c>
      <c r="B1248" t="inlineStr">
        <is>
          <t>B73</t>
        </is>
      </c>
      <c r="C1248" t="n">
        <v>73</v>
      </c>
      <c r="D1248" t="n">
        <v>2</v>
      </c>
      <c r="E1248" t="inlineStr">
        <is>
          <t>Input</t>
        </is>
      </c>
      <c r="F1248" t="n">
        <v/>
      </c>
      <c r="G1248" t="n">
        <v>41439.265</v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11</v>
      </c>
      <c r="M1248" t="inlineStr">
        <is>
          <t>Values must be of type &lt;class 'str'&gt;</t>
        </is>
      </c>
      <c r="N1248" t="inlineStr">
        <is>
          <t>00000000</t>
        </is>
      </c>
      <c r="O1248" t="n">
        <v/>
      </c>
      <c r="R1248" t="b">
        <v>1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</row>
    <row r="1249">
      <c r="A1249" t="inlineStr">
        <is>
          <t>ATF Fuel 2</t>
        </is>
      </c>
      <c r="B1249" t="inlineStr">
        <is>
          <t>C73</t>
        </is>
      </c>
      <c r="C1249" t="n">
        <v>73</v>
      </c>
      <c r="D1249" t="n">
        <v>3</v>
      </c>
      <c r="E1249" t="inlineStr">
        <is>
          <t>Output</t>
        </is>
      </c>
      <c r="F1249" t="inlineStr">
        <is>
          <t>'=B73/B72-1</t>
        </is>
      </c>
      <c r="G1249" t="n">
        <v>0.1163056040464643</v>
      </c>
      <c r="H1249" t="inlineStr"/>
      <c r="I1249" t="inlineStr">
        <is>
          <t>0%</t>
        </is>
      </c>
      <c r="J1249" t="b">
        <v>0</v>
      </c>
      <c r="K1249" t="b">
        <v>0</v>
      </c>
      <c r="L1249" t="n">
        <v>11</v>
      </c>
      <c r="M1249" t="n">
        <v/>
      </c>
      <c r="N1249" t="inlineStr">
        <is>
          <t>00000000</t>
        </is>
      </c>
      <c r="O1249" t="n">
        <v/>
      </c>
      <c r="R1249" t="b">
        <v>1</v>
      </c>
      <c r="S1249" t="inlineStr">
        <is>
          <t>G000154</t>
        </is>
      </c>
      <c r="T1249" t="inlineStr">
        <is>
          <t>Vertical</t>
        </is>
      </c>
      <c r="U1249" t="n">
        <v>92</v>
      </c>
      <c r="V1249" t="b">
        <v>1</v>
      </c>
      <c r="W1249" t="inlineStr">
        <is>
          <t>ATF Fuel 2!C3:C94</t>
        </is>
      </c>
      <c r="X1249">
        <f>R[0]C[-1]/R[-1]C[-1]-1</f>
        <v/>
      </c>
    </row>
    <row r="1250">
      <c r="A1250" t="inlineStr">
        <is>
          <t>ATF Fuel 2</t>
        </is>
      </c>
      <c r="B1250" t="inlineStr">
        <is>
          <t>D73</t>
        </is>
      </c>
      <c r="C1250" t="n">
        <v>73</v>
      </c>
      <c r="D1250" t="n">
        <v>4</v>
      </c>
      <c r="E1250" t="inlineStr">
        <is>
          <t>Input</t>
        </is>
      </c>
      <c r="F1250" t="n">
        <v/>
      </c>
      <c r="G1250" t="n">
        <v>68.27</v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11</v>
      </c>
      <c r="M1250" t="inlineStr">
        <is>
          <t>Values must be of type &lt;class 'str'&gt;</t>
        </is>
      </c>
      <c r="N1250" t="inlineStr">
        <is>
          <t>00000000</t>
        </is>
      </c>
      <c r="O1250" t="n">
        <v/>
      </c>
      <c r="R1250" t="b">
        <v>1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</row>
    <row r="1251">
      <c r="A1251" t="inlineStr">
        <is>
          <t>ATF Fuel 2</t>
        </is>
      </c>
      <c r="B1251" t="inlineStr">
        <is>
          <t>E73</t>
        </is>
      </c>
      <c r="C1251" t="n">
        <v>73</v>
      </c>
      <c r="D1251" t="n">
        <v>5</v>
      </c>
      <c r="E1251" t="inlineStr">
        <is>
          <t>Output</t>
        </is>
      </c>
      <c r="F1251" t="inlineStr">
        <is>
          <t>'=B73/B72-1</t>
        </is>
      </c>
      <c r="G1251" t="n">
        <v>0.1163056040464643</v>
      </c>
      <c r="H1251" t="inlineStr"/>
      <c r="I1251" t="inlineStr">
        <is>
          <t>0%</t>
        </is>
      </c>
      <c r="J1251" t="b">
        <v>0</v>
      </c>
      <c r="K1251" t="b">
        <v>0</v>
      </c>
      <c r="L1251" t="n">
        <v>11</v>
      </c>
      <c r="M1251" t="inlineStr">
        <is>
          <t>Values must be of type &lt;class 'str'&gt;</t>
        </is>
      </c>
      <c r="N1251" t="inlineStr">
        <is>
          <t>00000000</t>
        </is>
      </c>
      <c r="O1251" t="n">
        <v/>
      </c>
      <c r="R1251" t="b">
        <v>1</v>
      </c>
      <c r="S1251" t="inlineStr">
        <is>
          <t>G000158</t>
        </is>
      </c>
      <c r="T1251" t="inlineStr">
        <is>
          <t>Vertical</t>
        </is>
      </c>
      <c r="U1251" t="n">
        <v>92</v>
      </c>
      <c r="V1251" t="b">
        <v>1</v>
      </c>
      <c r="W1251" t="inlineStr">
        <is>
          <t>ATF Fuel 2!E3:E94</t>
        </is>
      </c>
      <c r="X1251">
        <f>R[0]C[-3]/R[-1]C[-3]-1</f>
        <v/>
      </c>
    </row>
    <row r="1252">
      <c r="A1252" t="inlineStr">
        <is>
          <t>ATF Fuel 2</t>
        </is>
      </c>
      <c r="B1252" t="inlineStr">
        <is>
          <t>F73</t>
        </is>
      </c>
      <c r="C1252" t="n">
        <v>73</v>
      </c>
      <c r="D1252" t="n">
        <v>6</v>
      </c>
      <c r="E1252" t="inlineStr">
        <is>
          <t>Input</t>
        </is>
      </c>
      <c r="F1252" t="n">
        <v/>
      </c>
      <c r="G1252" t="n">
        <v>37.61</v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11</v>
      </c>
      <c r="M1252" t="inlineStr">
        <is>
          <t>Values must be of type &lt;class 'str'&gt;</t>
        </is>
      </c>
      <c r="N1252" t="inlineStr">
        <is>
          <t>00000000</t>
        </is>
      </c>
      <c r="O1252" t="n">
        <v/>
      </c>
      <c r="R1252" t="b">
        <v>1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</row>
    <row r="1253">
      <c r="A1253" t="inlineStr">
        <is>
          <t>ATF Fuel 2</t>
        </is>
      </c>
      <c r="B1253" t="inlineStr">
        <is>
          <t>G73</t>
        </is>
      </c>
      <c r="C1253" t="n">
        <v>73</v>
      </c>
      <c r="D1253" t="n">
        <v>7</v>
      </c>
      <c r="E1253" t="inlineStr">
        <is>
          <t>Output</t>
        </is>
      </c>
      <c r="F1253" t="inlineStr">
        <is>
          <t>'=F73/F72-1</t>
        </is>
      </c>
      <c r="G1253" t="n">
        <v>0.1480463980463982</v>
      </c>
      <c r="H1253" t="inlineStr"/>
      <c r="I1253" t="inlineStr">
        <is>
          <t>0%</t>
        </is>
      </c>
      <c r="J1253" t="b">
        <v>0</v>
      </c>
      <c r="K1253" t="b">
        <v>0</v>
      </c>
      <c r="L1253" t="n">
        <v>11</v>
      </c>
      <c r="M1253" t="inlineStr">
        <is>
          <t>Values must be of type &lt;class 'str'&gt;</t>
        </is>
      </c>
      <c r="N1253" t="inlineStr">
        <is>
          <t>00000000</t>
        </is>
      </c>
      <c r="O1253" t="n">
        <v/>
      </c>
      <c r="R1253" t="b">
        <v>1</v>
      </c>
      <c r="S1253" t="inlineStr">
        <is>
          <t>G000155</t>
        </is>
      </c>
      <c r="T1253" t="inlineStr">
        <is>
          <t>Vertical</t>
        </is>
      </c>
      <c r="U1253" t="n">
        <v>93</v>
      </c>
      <c r="V1253" t="b">
        <v>1</v>
      </c>
      <c r="W1253" t="inlineStr">
        <is>
          <t>ATF Fuel 2!G3:G95</t>
        </is>
      </c>
      <c r="X1253">
        <f>R[0]C[-1]/R[-1]C[-1]-1</f>
        <v/>
      </c>
    </row>
    <row r="1254">
      <c r="A1254" t="inlineStr">
        <is>
          <t>ATF Fuel 2</t>
        </is>
      </c>
      <c r="B1254" t="inlineStr">
        <is>
          <t>H73</t>
        </is>
      </c>
      <c r="C1254" t="n">
        <v>73</v>
      </c>
      <c r="D1254" t="n">
        <v>8</v>
      </c>
      <c r="E1254" t="inlineStr">
        <is>
          <t>Calculation</t>
        </is>
      </c>
      <c r="F1254" t="inlineStr">
        <is>
          <t>'=D73*F73</t>
        </is>
      </c>
      <c r="G1254" t="n">
        <v>2567.6347</v>
      </c>
      <c r="H1254" t="inlineStr"/>
      <c r="I1254" t="inlineStr">
        <is>
          <t>0</t>
        </is>
      </c>
      <c r="J1254" t="b">
        <v>0</v>
      </c>
      <c r="K1254" t="b">
        <v>0</v>
      </c>
      <c r="L1254" t="n">
        <v>11</v>
      </c>
      <c r="M1254" t="inlineStr">
        <is>
          <t>Values must be of type &lt;class 'str'&gt;</t>
        </is>
      </c>
      <c r="N1254" t="inlineStr">
        <is>
          <t>00000000</t>
        </is>
      </c>
      <c r="O1254" t="n">
        <v/>
      </c>
      <c r="R1254" t="b">
        <v>1</v>
      </c>
      <c r="S1254" t="inlineStr">
        <is>
          <t>G000152</t>
        </is>
      </c>
      <c r="T1254" t="inlineStr">
        <is>
          <t>Vertical</t>
        </is>
      </c>
      <c r="U1254" t="n">
        <v>98</v>
      </c>
      <c r="V1254" t="b">
        <v>1</v>
      </c>
      <c r="W1254" t="inlineStr">
        <is>
          <t>ATF Fuel 2!H2:H99</t>
        </is>
      </c>
      <c r="X1254">
        <f>R[0]C[-4]*R[0]C[-2]</f>
        <v/>
      </c>
    </row>
    <row r="1255">
      <c r="A1255" t="inlineStr">
        <is>
          <t>ATF Fuel 2</t>
        </is>
      </c>
      <c r="B1255" t="inlineStr">
        <is>
          <t>I73</t>
        </is>
      </c>
      <c r="C1255" t="n">
        <v>73</v>
      </c>
      <c r="D1255" t="n">
        <v>9</v>
      </c>
      <c r="E1255" t="inlineStr">
        <is>
          <t>Output</t>
        </is>
      </c>
      <c r="F1255" t="inlineStr">
        <is>
          <t>'=H73/H72-1</t>
        </is>
      </c>
      <c r="G1255" t="n">
        <v>0.15651656477243</v>
      </c>
      <c r="H1255" t="inlineStr"/>
      <c r="I1255" t="inlineStr">
        <is>
          <t>0%</t>
        </is>
      </c>
      <c r="J1255" t="b">
        <v>0</v>
      </c>
      <c r="K1255" t="b">
        <v>0</v>
      </c>
      <c r="L1255" t="n">
        <v>11</v>
      </c>
      <c r="M1255" t="inlineStr">
        <is>
          <t>FFFF0000</t>
        </is>
      </c>
      <c r="N1255" t="inlineStr">
        <is>
          <t>00000000</t>
        </is>
      </c>
      <c r="O1255" t="n">
        <v/>
      </c>
      <c r="R1255" t="b">
        <v>1</v>
      </c>
      <c r="S1255" t="inlineStr">
        <is>
          <t>G000156</t>
        </is>
      </c>
      <c r="T1255" t="inlineStr">
        <is>
          <t>Vertical</t>
        </is>
      </c>
      <c r="U1255" t="n">
        <v>97</v>
      </c>
      <c r="V1255" t="b">
        <v>1</v>
      </c>
      <c r="W1255" t="inlineStr">
        <is>
          <t>ATF Fuel 2!I3:I99</t>
        </is>
      </c>
      <c r="X1255">
        <f>R[0]C[-1]/R[-1]C[-1]-1</f>
        <v/>
      </c>
    </row>
    <row r="1256">
      <c r="A1256" t="inlineStr">
        <is>
          <t>ATF Fuel 2</t>
        </is>
      </c>
      <c r="B1256" t="inlineStr">
        <is>
          <t>J73</t>
        </is>
      </c>
      <c r="C1256" t="n">
        <v>73</v>
      </c>
      <c r="D1256" t="n">
        <v>10</v>
      </c>
      <c r="E1256" t="inlineStr">
        <is>
          <t>Input</t>
        </is>
      </c>
      <c r="F1256" t="n">
        <v/>
      </c>
      <c r="G1256" t="n">
        <v>34.39</v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11</v>
      </c>
      <c r="M1256" t="inlineStr">
        <is>
          <t>Values must be of type &lt;class 'str'&gt;</t>
        </is>
      </c>
      <c r="N1256" t="inlineStr">
        <is>
          <t>00000000</t>
        </is>
      </c>
      <c r="O1256" t="n">
        <v/>
      </c>
      <c r="R1256" t="b">
        <v>1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</row>
    <row r="1257">
      <c r="A1257" t="inlineStr">
        <is>
          <t>ATF Fuel 2</t>
        </is>
      </c>
      <c r="B1257" t="inlineStr">
        <is>
          <t>K73</t>
        </is>
      </c>
      <c r="C1257" t="n">
        <v>73</v>
      </c>
      <c r="D1257" t="n">
        <v>11</v>
      </c>
      <c r="E1257" t="inlineStr">
        <is>
          <t>Output</t>
        </is>
      </c>
      <c r="F1257" t="inlineStr">
        <is>
          <t>'=J73/J72-1</t>
        </is>
      </c>
      <c r="G1257" t="n">
        <v>0.08760278304870339</v>
      </c>
      <c r="H1257" t="inlineStr"/>
      <c r="I1257" t="inlineStr">
        <is>
          <t>0%</t>
        </is>
      </c>
      <c r="J1257" t="b">
        <v>0</v>
      </c>
      <c r="K1257" t="b">
        <v>0</v>
      </c>
      <c r="L1257" t="n">
        <v>11</v>
      </c>
      <c r="M1257" t="inlineStr">
        <is>
          <t>Values must be of type &lt;class 'str'&gt;</t>
        </is>
      </c>
      <c r="N1257" t="inlineStr">
        <is>
          <t>00000000</t>
        </is>
      </c>
      <c r="O1257" t="n">
        <v/>
      </c>
      <c r="R1257" t="b">
        <v>1</v>
      </c>
      <c r="S1257" t="inlineStr">
        <is>
          <t>G000157</t>
        </is>
      </c>
      <c r="T1257" t="inlineStr">
        <is>
          <t>Vertical</t>
        </is>
      </c>
      <c r="U1257" t="n">
        <v>93</v>
      </c>
      <c r="V1257" t="b">
        <v>1</v>
      </c>
      <c r="W1257" t="inlineStr">
        <is>
          <t>ATF Fuel 2!K3:K95</t>
        </is>
      </c>
      <c r="X1257">
        <f>R[0]C[-1]/R[-1]C[-1]-1</f>
        <v/>
      </c>
    </row>
    <row r="1258">
      <c r="A1258" t="inlineStr">
        <is>
          <t>ATF Fuel 2</t>
        </is>
      </c>
      <c r="B1258" t="inlineStr">
        <is>
          <t>L73</t>
        </is>
      </c>
      <c r="C1258" t="n">
        <v>73</v>
      </c>
      <c r="D1258" t="n">
        <v>12</v>
      </c>
      <c r="E1258" t="inlineStr">
        <is>
          <t>Input</t>
        </is>
      </c>
      <c r="F1258" t="n">
        <v/>
      </c>
      <c r="G1258" t="inlineStr">
        <is>
          <t>March 01,2016</t>
        </is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11</v>
      </c>
      <c r="M1258" t="inlineStr">
        <is>
          <t>Values must be of type &lt;class 'str'&gt;</t>
        </is>
      </c>
      <c r="N1258" t="inlineStr">
        <is>
          <t>00000000</t>
        </is>
      </c>
      <c r="O1258" t="inlineStr">
        <is>
          <t>left</t>
        </is>
      </c>
      <c r="R1258" t="b">
        <v>1</v>
      </c>
      <c r="S1258" t="n">
        <v/>
      </c>
      <c r="T1258" t="n">
        <v/>
      </c>
      <c r="U1258" t="n">
        <v/>
      </c>
      <c r="V1258" t="b">
        <v>0</v>
      </c>
      <c r="W1258" t="inlineStr"/>
      <c r="X1258" t="n">
        <v/>
      </c>
    </row>
    <row r="1259">
      <c r="A1259" t="inlineStr">
        <is>
          <t>ATF Fuel 2</t>
        </is>
      </c>
      <c r="B1259" t="inlineStr">
        <is>
          <t>M73</t>
        </is>
      </c>
      <c r="C1259" t="n">
        <v>73</v>
      </c>
      <c r="D1259" t="n">
        <v>13</v>
      </c>
      <c r="E1259" t="inlineStr">
        <is>
          <t>Calculation</t>
        </is>
      </c>
      <c r="F1259" t="inlineStr">
        <is>
          <t>'=(1+(B73/B72)-1)*M72</t>
        </is>
      </c>
      <c r="G1259" t="n">
        <v>93.41204068522667</v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11</v>
      </c>
      <c r="M1259" t="inlineStr">
        <is>
          <t>Values must be of type &lt;class 'str'&gt;</t>
        </is>
      </c>
      <c r="N1259" t="inlineStr">
        <is>
          <t>00000000</t>
        </is>
      </c>
      <c r="O1259" t="inlineStr">
        <is>
          <t>left</t>
        </is>
      </c>
      <c r="R1259" t="b">
        <v>1</v>
      </c>
      <c r="S1259" t="inlineStr">
        <is>
          <t>G000159</t>
        </is>
      </c>
      <c r="T1259" t="inlineStr">
        <is>
          <t>Vertical</t>
        </is>
      </c>
      <c r="U1259" t="n">
        <v>92</v>
      </c>
      <c r="V1259" t="b">
        <v>1</v>
      </c>
      <c r="W1259" t="inlineStr">
        <is>
          <t>ATF Fuel 2!M3:M94</t>
        </is>
      </c>
      <c r="X1259">
        <f>(1+(R[0]C[-11]/R[-1]C[-11])-1)*R[-1]C[0]</f>
        <v/>
      </c>
    </row>
    <row r="1260">
      <c r="A1260" t="inlineStr">
        <is>
          <t>ATF Fuel 2</t>
        </is>
      </c>
      <c r="B1260" t="inlineStr">
        <is>
          <t>N73</t>
        </is>
      </c>
      <c r="C1260" t="n">
        <v>73</v>
      </c>
      <c r="D1260" t="n">
        <v>14</v>
      </c>
      <c r="E1260" t="inlineStr">
        <is>
          <t>Calculation</t>
        </is>
      </c>
      <c r="F1260" t="inlineStr">
        <is>
          <t>'=(1+(F73/F72)-1)*N72</t>
        </is>
      </c>
      <c r="G1260" t="n">
        <v>45.5161563596757</v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11</v>
      </c>
      <c r="M1260" t="inlineStr">
        <is>
          <t>Values must be of type &lt;class 'str'&gt;</t>
        </is>
      </c>
      <c r="N1260" t="inlineStr">
        <is>
          <t>00000000</t>
        </is>
      </c>
      <c r="O1260" t="inlineStr">
        <is>
          <t>left</t>
        </is>
      </c>
      <c r="R1260" t="b">
        <v>1</v>
      </c>
      <c r="S1260" t="inlineStr">
        <is>
          <t>G000160</t>
        </is>
      </c>
      <c r="T1260" t="inlineStr">
        <is>
          <t>Vertical</t>
        </is>
      </c>
      <c r="U1260" t="n">
        <v>92</v>
      </c>
      <c r="V1260" t="b">
        <v>1</v>
      </c>
      <c r="W1260" t="inlineStr">
        <is>
          <t>ATF Fuel 2!N3:N94</t>
        </is>
      </c>
      <c r="X1260">
        <f>(1+(R[0]C[-8]/R[-1]C[-8])-1)*R[-1]C[0]</f>
        <v/>
      </c>
    </row>
    <row r="1261">
      <c r="A1261" t="inlineStr">
        <is>
          <t>ATF Fuel 2</t>
        </is>
      </c>
      <c r="B1261" t="inlineStr">
        <is>
          <t>O73</t>
        </is>
      </c>
      <c r="C1261" t="n">
        <v>73</v>
      </c>
      <c r="D1261" t="n">
        <v>15</v>
      </c>
      <c r="E1261" t="inlineStr">
        <is>
          <t>Calculation</t>
        </is>
      </c>
      <c r="F1261" t="inlineStr">
        <is>
          <t>'=(1+(J73/J72)-1)*O72</t>
        </is>
      </c>
      <c r="G1261" t="n">
        <v>40.6837809061872</v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11</v>
      </c>
      <c r="M1261" t="inlineStr">
        <is>
          <t>Values must be of type &lt;class 'str'&gt;</t>
        </is>
      </c>
      <c r="N1261" t="inlineStr">
        <is>
          <t>00000000</t>
        </is>
      </c>
      <c r="O1261" t="inlineStr">
        <is>
          <t>left</t>
        </is>
      </c>
      <c r="R1261" t="b">
        <v>1</v>
      </c>
      <c r="S1261" t="inlineStr">
        <is>
          <t>G000162</t>
        </is>
      </c>
      <c r="T1261" t="inlineStr">
        <is>
          <t>Vertical</t>
        </is>
      </c>
      <c r="U1261" t="n">
        <v>92</v>
      </c>
      <c r="V1261" t="b">
        <v>1</v>
      </c>
      <c r="W1261" t="inlineStr">
        <is>
          <t>ATF Fuel 2!O3:O94</t>
        </is>
      </c>
      <c r="X1261">
        <f>(1+(R[0]C[-5]/R[-1]C[-5])-1)*R[-1]C[0]</f>
        <v/>
      </c>
    </row>
    <row r="1262">
      <c r="A1262" t="inlineStr">
        <is>
          <t>ATF Fuel 2</t>
        </is>
      </c>
      <c r="B1262" t="inlineStr">
        <is>
          <t>P73</t>
        </is>
      </c>
      <c r="C1262" t="n">
        <v>73</v>
      </c>
      <c r="D1262" t="n">
        <v>16</v>
      </c>
      <c r="E1262" t="inlineStr">
        <is>
          <t>Calculation</t>
        </is>
      </c>
      <c r="F1262" t="inlineStr">
        <is>
          <t>'=(1+(H73/H72)-1)*P72</t>
        </is>
      </c>
      <c r="G1262" t="n">
        <v>69.42332427781628</v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11</v>
      </c>
      <c r="M1262" t="inlineStr">
        <is>
          <t>Values must be of type &lt;class 'str'&gt;</t>
        </is>
      </c>
      <c r="N1262" t="inlineStr">
        <is>
          <t>00000000</t>
        </is>
      </c>
      <c r="O1262" t="inlineStr">
        <is>
          <t>left</t>
        </is>
      </c>
      <c r="R1262" t="b">
        <v>1</v>
      </c>
      <c r="S1262" t="inlineStr">
        <is>
          <t>G000161</t>
        </is>
      </c>
      <c r="T1262" t="inlineStr">
        <is>
          <t>Vertical</t>
        </is>
      </c>
      <c r="U1262" t="n">
        <v>92</v>
      </c>
      <c r="V1262" t="b">
        <v>1</v>
      </c>
      <c r="W1262" t="inlineStr">
        <is>
          <t>ATF Fuel 2!P3:P94</t>
        </is>
      </c>
      <c r="X1262">
        <f>(1+(R[0]C[-8]/R[-1]C[-8])-1)*R[-1]C[0]</f>
        <v/>
      </c>
    </row>
    <row r="1263">
      <c r="A1263" t="inlineStr">
        <is>
          <t>ATF Fuel 2</t>
        </is>
      </c>
      <c r="B1263" t="inlineStr">
        <is>
          <t>Q73</t>
        </is>
      </c>
      <c r="C1263" t="n">
        <v>73</v>
      </c>
      <c r="D1263" t="n">
        <v>17</v>
      </c>
      <c r="E1263" t="inlineStr">
        <is>
          <t>Output</t>
        </is>
      </c>
      <c r="F1263" t="inlineStr">
        <is>
          <t>'=M73/N73-1</t>
        </is>
      </c>
      <c r="G1263" t="n">
        <v>1.052283148582896</v>
      </c>
      <c r="H1263" t="inlineStr"/>
      <c r="I1263" t="inlineStr">
        <is>
          <t>0.0%</t>
        </is>
      </c>
      <c r="J1263" t="b">
        <v>0</v>
      </c>
      <c r="K1263" t="b">
        <v>0</v>
      </c>
      <c r="L1263" t="n">
        <v>11</v>
      </c>
      <c r="M1263" t="inlineStr">
        <is>
          <t>Values must be of type &lt;class 'str'&gt;</t>
        </is>
      </c>
      <c r="N1263" t="inlineStr">
        <is>
          <t>00000000</t>
        </is>
      </c>
      <c r="O1263" t="n">
        <v/>
      </c>
      <c r="R1263" t="b">
        <v>1</v>
      </c>
      <c r="S1263" t="inlineStr">
        <is>
          <t>G000153</t>
        </is>
      </c>
      <c r="T1263" t="inlineStr">
        <is>
          <t>Vertical</t>
        </is>
      </c>
      <c r="U1263" t="n">
        <v>93</v>
      </c>
      <c r="V1263" t="b">
        <v>1</v>
      </c>
      <c r="W1263" t="inlineStr">
        <is>
          <t>ATF Fuel 2!Q2:Q94</t>
        </is>
      </c>
      <c r="X1263">
        <f>R[0]C[-4]/R[0]C[-3]-1</f>
        <v/>
      </c>
    </row>
    <row r="1264">
      <c r="A1264" t="inlineStr">
        <is>
          <t>ATF Fuel 2</t>
        </is>
      </c>
      <c r="B1264" t="inlineStr">
        <is>
          <t>A74</t>
        </is>
      </c>
      <c r="C1264" t="n">
        <v>74</v>
      </c>
      <c r="D1264" t="n">
        <v>1</v>
      </c>
      <c r="E1264" t="inlineStr">
        <is>
          <t>Input</t>
        </is>
      </c>
      <c r="F1264" t="n">
        <v/>
      </c>
      <c r="G1264" t="inlineStr">
        <is>
          <t>April 01,2016</t>
        </is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11</v>
      </c>
      <c r="M1264" t="inlineStr">
        <is>
          <t>Values must be of type &lt;class 'str'&gt;</t>
        </is>
      </c>
      <c r="N1264" t="inlineStr">
        <is>
          <t>00000000</t>
        </is>
      </c>
      <c r="O1264" t="n">
        <v/>
      </c>
      <c r="R1264" t="b">
        <v>1</v>
      </c>
      <c r="S1264" t="n">
        <v/>
      </c>
      <c r="T1264" t="n">
        <v/>
      </c>
      <c r="U1264" t="n">
        <v/>
      </c>
      <c r="V1264" t="b">
        <v>0</v>
      </c>
      <c r="W1264" t="inlineStr"/>
      <c r="X1264" t="n">
        <v/>
      </c>
    </row>
    <row r="1265">
      <c r="A1265" t="inlineStr">
        <is>
          <t>ATF Fuel 2</t>
        </is>
      </c>
      <c r="B1265" t="inlineStr">
        <is>
          <t>B74</t>
        </is>
      </c>
      <c r="C1265" t="n">
        <v>74</v>
      </c>
      <c r="D1265" t="n">
        <v>2</v>
      </c>
      <c r="E1265" t="inlineStr">
        <is>
          <t>Input</t>
        </is>
      </c>
      <c r="F1265" t="n">
        <v/>
      </c>
      <c r="G1265" t="n">
        <v>43960.28999999999</v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11</v>
      </c>
      <c r="M1265" t="inlineStr">
        <is>
          <t>Values must be of type &lt;class 'str'&gt;</t>
        </is>
      </c>
      <c r="N1265" t="inlineStr">
        <is>
          <t>00000000</t>
        </is>
      </c>
      <c r="O1265" t="n">
        <v/>
      </c>
      <c r="R1265" t="b">
        <v>1</v>
      </c>
      <c r="S1265" t="n">
        <v/>
      </c>
      <c r="T1265" t="n">
        <v/>
      </c>
      <c r="U1265" t="n">
        <v/>
      </c>
      <c r="V1265" t="b">
        <v>0</v>
      </c>
      <c r="W1265" t="inlineStr"/>
      <c r="X1265" t="n">
        <v/>
      </c>
    </row>
    <row r="1266">
      <c r="A1266" t="inlineStr">
        <is>
          <t>ATF Fuel 2</t>
        </is>
      </c>
      <c r="B1266" t="inlineStr">
        <is>
          <t>C74</t>
        </is>
      </c>
      <c r="C1266" t="n">
        <v>74</v>
      </c>
      <c r="D1266" t="n">
        <v>3</v>
      </c>
      <c r="E1266" t="inlineStr">
        <is>
          <t>Output</t>
        </is>
      </c>
      <c r="F1266" t="inlineStr">
        <is>
          <t>'=B74/B73-1</t>
        </is>
      </c>
      <c r="G1266" t="n">
        <v>0.06083662439476178</v>
      </c>
      <c r="H1266" t="inlineStr"/>
      <c r="I1266" t="inlineStr">
        <is>
          <t>0%</t>
        </is>
      </c>
      <c r="J1266" t="b">
        <v>0</v>
      </c>
      <c r="K1266" t="b">
        <v>0</v>
      </c>
      <c r="L1266" t="n">
        <v>11</v>
      </c>
      <c r="M1266" t="n">
        <v/>
      </c>
      <c r="N1266" t="inlineStr">
        <is>
          <t>00000000</t>
        </is>
      </c>
      <c r="O1266" t="n">
        <v/>
      </c>
      <c r="R1266" t="b">
        <v>1</v>
      </c>
      <c r="S1266" t="inlineStr">
        <is>
          <t>G000154</t>
        </is>
      </c>
      <c r="T1266" t="inlineStr">
        <is>
          <t>Vertical</t>
        </is>
      </c>
      <c r="U1266" t="n">
        <v>92</v>
      </c>
      <c r="V1266" t="b">
        <v>1</v>
      </c>
      <c r="W1266" t="inlineStr">
        <is>
          <t>ATF Fuel 2!C3:C94</t>
        </is>
      </c>
      <c r="X1266">
        <f>R[0]C[-1]/R[-1]C[-1]-1</f>
        <v/>
      </c>
    </row>
    <row r="1267">
      <c r="A1267" t="inlineStr">
        <is>
          <t>ATF Fuel 2</t>
        </is>
      </c>
      <c r="B1267" t="inlineStr">
        <is>
          <t>D74</t>
        </is>
      </c>
      <c r="C1267" t="n">
        <v>74</v>
      </c>
      <c r="D1267" t="n">
        <v>4</v>
      </c>
      <c r="E1267" t="inlineStr">
        <is>
          <t>Input</t>
        </is>
      </c>
      <c r="F1267" t="n">
        <v/>
      </c>
      <c r="G1267" t="n">
        <v>66.3</v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11</v>
      </c>
      <c r="M1267" t="inlineStr">
        <is>
          <t>Values must be of type &lt;class 'str'&gt;</t>
        </is>
      </c>
      <c r="N1267" t="inlineStr">
        <is>
          <t>00000000</t>
        </is>
      </c>
      <c r="O1267" t="n">
        <v/>
      </c>
      <c r="R1267" t="b">
        <v>1</v>
      </c>
      <c r="S1267" t="n">
        <v/>
      </c>
      <c r="T1267" t="n">
        <v/>
      </c>
      <c r="U1267" t="n">
        <v/>
      </c>
      <c r="V1267" t="b">
        <v>0</v>
      </c>
      <c r="W1267" t="inlineStr"/>
      <c r="X1267" t="n">
        <v/>
      </c>
    </row>
    <row r="1268">
      <c r="A1268" t="inlineStr">
        <is>
          <t>ATF Fuel 2</t>
        </is>
      </c>
      <c r="B1268" t="inlineStr">
        <is>
          <t>E74</t>
        </is>
      </c>
      <c r="C1268" t="n">
        <v>74</v>
      </c>
      <c r="D1268" t="n">
        <v>5</v>
      </c>
      <c r="E1268" t="inlineStr">
        <is>
          <t>Output</t>
        </is>
      </c>
      <c r="F1268" t="inlineStr">
        <is>
          <t>'=B74/B73-1</t>
        </is>
      </c>
      <c r="G1268" t="n">
        <v>0.06083662439476178</v>
      </c>
      <c r="H1268" t="inlineStr"/>
      <c r="I1268" t="inlineStr">
        <is>
          <t>0%</t>
        </is>
      </c>
      <c r="J1268" t="b">
        <v>0</v>
      </c>
      <c r="K1268" t="b">
        <v>0</v>
      </c>
      <c r="L1268" t="n">
        <v>11</v>
      </c>
      <c r="M1268" t="inlineStr">
        <is>
          <t>Values must be of type &lt;class 'str'&gt;</t>
        </is>
      </c>
      <c r="N1268" t="inlineStr">
        <is>
          <t>00000000</t>
        </is>
      </c>
      <c r="O1268" t="n">
        <v/>
      </c>
      <c r="R1268" t="b">
        <v>1</v>
      </c>
      <c r="S1268" t="inlineStr">
        <is>
          <t>G000158</t>
        </is>
      </c>
      <c r="T1268" t="inlineStr">
        <is>
          <t>Vertical</t>
        </is>
      </c>
      <c r="U1268" t="n">
        <v>92</v>
      </c>
      <c r="V1268" t="b">
        <v>1</v>
      </c>
      <c r="W1268" t="inlineStr">
        <is>
          <t>ATF Fuel 2!E3:E94</t>
        </is>
      </c>
      <c r="X1268">
        <f>R[0]C[-3]/R[-1]C[-3]-1</f>
        <v/>
      </c>
    </row>
    <row r="1269">
      <c r="A1269" t="inlineStr">
        <is>
          <t>ATF Fuel 2</t>
        </is>
      </c>
      <c r="B1269" t="inlineStr">
        <is>
          <t>F74</t>
        </is>
      </c>
      <c r="C1269" t="n">
        <v>74</v>
      </c>
      <c r="D1269" t="n">
        <v>6</v>
      </c>
      <c r="E1269" t="inlineStr">
        <is>
          <t>Input</t>
        </is>
      </c>
      <c r="F1269" t="n">
        <v/>
      </c>
      <c r="G1269" t="n">
        <v>37.77</v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11</v>
      </c>
      <c r="M1269" t="inlineStr">
        <is>
          <t>Values must be of type &lt;class 'str'&gt;</t>
        </is>
      </c>
      <c r="N1269" t="inlineStr">
        <is>
          <t>00000000</t>
        </is>
      </c>
      <c r="O1269" t="n">
        <v/>
      </c>
      <c r="R1269" t="b">
        <v>1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</row>
    <row r="1270">
      <c r="A1270" t="inlineStr">
        <is>
          <t>ATF Fuel 2</t>
        </is>
      </c>
      <c r="B1270" t="inlineStr">
        <is>
          <t>G74</t>
        </is>
      </c>
      <c r="C1270" t="n">
        <v>74</v>
      </c>
      <c r="D1270" t="n">
        <v>7</v>
      </c>
      <c r="E1270" t="inlineStr">
        <is>
          <t>Output</t>
        </is>
      </c>
      <c r="F1270" t="inlineStr">
        <is>
          <t>'=F74/F73-1</t>
        </is>
      </c>
      <c r="G1270" t="n">
        <v>0.004254187716033142</v>
      </c>
      <c r="H1270" t="inlineStr"/>
      <c r="I1270" t="inlineStr">
        <is>
          <t>0%</t>
        </is>
      </c>
      <c r="J1270" t="b">
        <v>0</v>
      </c>
      <c r="K1270" t="b">
        <v>0</v>
      </c>
      <c r="L1270" t="n">
        <v>11</v>
      </c>
      <c r="M1270" t="inlineStr">
        <is>
          <t>Values must be of type &lt;class 'str'&gt;</t>
        </is>
      </c>
      <c r="N1270" t="inlineStr">
        <is>
          <t>00000000</t>
        </is>
      </c>
      <c r="O1270" t="n">
        <v/>
      </c>
      <c r="R1270" t="b">
        <v>1</v>
      </c>
      <c r="S1270" t="inlineStr">
        <is>
          <t>G000155</t>
        </is>
      </c>
      <c r="T1270" t="inlineStr">
        <is>
          <t>Vertical</t>
        </is>
      </c>
      <c r="U1270" t="n">
        <v>93</v>
      </c>
      <c r="V1270" t="b">
        <v>1</v>
      </c>
      <c r="W1270" t="inlineStr">
        <is>
          <t>ATF Fuel 2!G3:G95</t>
        </is>
      </c>
      <c r="X1270">
        <f>R[0]C[-1]/R[-1]C[-1]-1</f>
        <v/>
      </c>
    </row>
    <row r="1271">
      <c r="A1271" t="inlineStr">
        <is>
          <t>ATF Fuel 2</t>
        </is>
      </c>
      <c r="B1271" t="inlineStr">
        <is>
          <t>H74</t>
        </is>
      </c>
      <c r="C1271" t="n">
        <v>74</v>
      </c>
      <c r="D1271" t="n">
        <v>8</v>
      </c>
      <c r="E1271" t="inlineStr">
        <is>
          <t>Calculation</t>
        </is>
      </c>
      <c r="F1271" t="inlineStr">
        <is>
          <t>'=D74*F74</t>
        </is>
      </c>
      <c r="G1271" t="n">
        <v>2504.151</v>
      </c>
      <c r="H1271" t="inlineStr"/>
      <c r="I1271" t="inlineStr">
        <is>
          <t>0</t>
        </is>
      </c>
      <c r="J1271" t="b">
        <v>0</v>
      </c>
      <c r="K1271" t="b">
        <v>0</v>
      </c>
      <c r="L1271" t="n">
        <v>11</v>
      </c>
      <c r="M1271" t="inlineStr">
        <is>
          <t>Values must be of type &lt;class 'str'&gt;</t>
        </is>
      </c>
      <c r="N1271" t="inlineStr">
        <is>
          <t>00000000</t>
        </is>
      </c>
      <c r="O1271" t="n">
        <v/>
      </c>
      <c r="R1271" t="b">
        <v>1</v>
      </c>
      <c r="S1271" t="inlineStr">
        <is>
          <t>G000152</t>
        </is>
      </c>
      <c r="T1271" t="inlineStr">
        <is>
          <t>Vertical</t>
        </is>
      </c>
      <c r="U1271" t="n">
        <v>98</v>
      </c>
      <c r="V1271" t="b">
        <v>1</v>
      </c>
      <c r="W1271" t="inlineStr">
        <is>
          <t>ATF Fuel 2!H2:H99</t>
        </is>
      </c>
      <c r="X1271">
        <f>R[0]C[-4]*R[0]C[-2]</f>
        <v/>
      </c>
    </row>
    <row r="1272">
      <c r="A1272" t="inlineStr">
        <is>
          <t>ATF Fuel 2</t>
        </is>
      </c>
      <c r="B1272" t="inlineStr">
        <is>
          <t>I74</t>
        </is>
      </c>
      <c r="C1272" t="n">
        <v>74</v>
      </c>
      <c r="D1272" t="n">
        <v>9</v>
      </c>
      <c r="E1272" t="inlineStr">
        <is>
          <t>Output</t>
        </is>
      </c>
      <c r="F1272" t="inlineStr">
        <is>
          <t>'=H74/H73-1</t>
        </is>
      </c>
      <c r="G1272" t="n">
        <v>-0.02472458406953271</v>
      </c>
      <c r="H1272" t="inlineStr"/>
      <c r="I1272" t="inlineStr">
        <is>
          <t>0%</t>
        </is>
      </c>
      <c r="J1272" t="b">
        <v>0</v>
      </c>
      <c r="K1272" t="b">
        <v>0</v>
      </c>
      <c r="L1272" t="n">
        <v>11</v>
      </c>
      <c r="M1272" t="inlineStr">
        <is>
          <t>FFFF0000</t>
        </is>
      </c>
      <c r="N1272" t="inlineStr">
        <is>
          <t>00000000</t>
        </is>
      </c>
      <c r="O1272" t="n">
        <v/>
      </c>
      <c r="R1272" t="b">
        <v>1</v>
      </c>
      <c r="S1272" t="inlineStr">
        <is>
          <t>G000156</t>
        </is>
      </c>
      <c r="T1272" t="inlineStr">
        <is>
          <t>Vertical</t>
        </is>
      </c>
      <c r="U1272" t="n">
        <v>97</v>
      </c>
      <c r="V1272" t="b">
        <v>1</v>
      </c>
      <c r="W1272" t="inlineStr">
        <is>
          <t>ATF Fuel 2!I3:I99</t>
        </is>
      </c>
      <c r="X1272">
        <f>R[0]C[-1]/R[-1]C[-1]-1</f>
        <v/>
      </c>
    </row>
    <row r="1273">
      <c r="A1273" t="inlineStr">
        <is>
          <t>ATF Fuel 2</t>
        </is>
      </c>
      <c r="B1273" t="inlineStr">
        <is>
          <t>J74</t>
        </is>
      </c>
      <c r="C1273" t="n">
        <v>74</v>
      </c>
      <c r="D1273" t="n">
        <v>10</v>
      </c>
      <c r="E1273" t="inlineStr">
        <is>
          <t>Input</t>
        </is>
      </c>
      <c r="F1273" t="n">
        <v/>
      </c>
      <c r="G1273" t="n">
        <v>35.36</v>
      </c>
      <c r="H1273" t="inlineStr"/>
      <c r="I1273" t="inlineStr">
        <is>
          <t>General</t>
        </is>
      </c>
      <c r="J1273" t="b">
        <v>0</v>
      </c>
      <c r="K1273" t="b">
        <v>0</v>
      </c>
      <c r="L1273" t="n">
        <v>11</v>
      </c>
      <c r="M1273" t="inlineStr">
        <is>
          <t>Values must be of type &lt;class 'str'&gt;</t>
        </is>
      </c>
      <c r="N1273" t="inlineStr">
        <is>
          <t>00000000</t>
        </is>
      </c>
      <c r="O1273" t="n">
        <v/>
      </c>
      <c r="R1273" t="b">
        <v>1</v>
      </c>
      <c r="S1273" t="n">
        <v/>
      </c>
      <c r="T1273" t="n">
        <v/>
      </c>
      <c r="U1273" t="n">
        <v/>
      </c>
      <c r="V1273" t="b">
        <v>0</v>
      </c>
      <c r="W1273" t="inlineStr"/>
      <c r="X1273" t="n">
        <v/>
      </c>
    </row>
    <row r="1274">
      <c r="A1274" t="inlineStr">
        <is>
          <t>ATF Fuel 2</t>
        </is>
      </c>
      <c r="B1274" t="inlineStr">
        <is>
          <t>K74</t>
        </is>
      </c>
      <c r="C1274" t="n">
        <v>74</v>
      </c>
      <c r="D1274" t="n">
        <v>11</v>
      </c>
      <c r="E1274" t="inlineStr">
        <is>
          <t>Output</t>
        </is>
      </c>
      <c r="F1274" t="inlineStr">
        <is>
          <t>'=J74/J73-1</t>
        </is>
      </c>
      <c r="G1274" t="n">
        <v>0.02820587380052331</v>
      </c>
      <c r="H1274" t="inlineStr"/>
      <c r="I1274" t="inlineStr">
        <is>
          <t>0%</t>
        </is>
      </c>
      <c r="J1274" t="b">
        <v>0</v>
      </c>
      <c r="K1274" t="b">
        <v>0</v>
      </c>
      <c r="L1274" t="n">
        <v>11</v>
      </c>
      <c r="M1274" t="inlineStr">
        <is>
          <t>Values must be of type &lt;class 'str'&gt;</t>
        </is>
      </c>
      <c r="N1274" t="inlineStr">
        <is>
          <t>00000000</t>
        </is>
      </c>
      <c r="O1274" t="n">
        <v/>
      </c>
      <c r="R1274" t="b">
        <v>1</v>
      </c>
      <c r="S1274" t="inlineStr">
        <is>
          <t>G000157</t>
        </is>
      </c>
      <c r="T1274" t="inlineStr">
        <is>
          <t>Vertical</t>
        </is>
      </c>
      <c r="U1274" t="n">
        <v>93</v>
      </c>
      <c r="V1274" t="b">
        <v>1</v>
      </c>
      <c r="W1274" t="inlineStr">
        <is>
          <t>ATF Fuel 2!K3:K95</t>
        </is>
      </c>
      <c r="X1274">
        <f>R[0]C[-1]/R[-1]C[-1]-1</f>
        <v/>
      </c>
    </row>
    <row r="1275">
      <c r="A1275" t="inlineStr">
        <is>
          <t>ATF Fuel 2</t>
        </is>
      </c>
      <c r="B1275" t="inlineStr">
        <is>
          <t>L74</t>
        </is>
      </c>
      <c r="C1275" t="n">
        <v>74</v>
      </c>
      <c r="D1275" t="n">
        <v>12</v>
      </c>
      <c r="E1275" t="inlineStr">
        <is>
          <t>Input</t>
        </is>
      </c>
      <c r="F1275" t="n">
        <v/>
      </c>
      <c r="G1275" t="inlineStr">
        <is>
          <t>April 01,2016</t>
        </is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11</v>
      </c>
      <c r="M1275" t="inlineStr">
        <is>
          <t>Values must be of type &lt;class 'str'&gt;</t>
        </is>
      </c>
      <c r="N1275" t="inlineStr">
        <is>
          <t>00000000</t>
        </is>
      </c>
      <c r="O1275" t="inlineStr">
        <is>
          <t>left</t>
        </is>
      </c>
      <c r="R1275" t="b">
        <v>1</v>
      </c>
      <c r="S1275" t="n">
        <v/>
      </c>
      <c r="T1275" t="n">
        <v/>
      </c>
      <c r="U1275" t="n">
        <v/>
      </c>
      <c r="V1275" t="b">
        <v>0</v>
      </c>
      <c r="W1275" t="inlineStr"/>
      <c r="X1275" t="n">
        <v/>
      </c>
    </row>
    <row r="1276">
      <c r="A1276" t="inlineStr">
        <is>
          <t>ATF Fuel 2</t>
        </is>
      </c>
      <c r="B1276" t="inlineStr">
        <is>
          <t>M74</t>
        </is>
      </c>
      <c r="C1276" t="n">
        <v>74</v>
      </c>
      <c r="D1276" t="n">
        <v>13</v>
      </c>
      <c r="E1276" t="inlineStr">
        <is>
          <t>Calculation</t>
        </is>
      </c>
      <c r="F1276" t="inlineStr">
        <is>
          <t>'=(1+(B74/B73)-1)*M73</t>
        </is>
      </c>
      <c r="G1276" t="n">
        <v>99.09491391834202</v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11</v>
      </c>
      <c r="M1276" t="inlineStr">
        <is>
          <t>Values must be of type &lt;class 'str'&gt;</t>
        </is>
      </c>
      <c r="N1276" t="inlineStr">
        <is>
          <t>00000000</t>
        </is>
      </c>
      <c r="O1276" t="inlineStr">
        <is>
          <t>left</t>
        </is>
      </c>
      <c r="R1276" t="b">
        <v>1</v>
      </c>
      <c r="S1276" t="inlineStr">
        <is>
          <t>G000159</t>
        </is>
      </c>
      <c r="T1276" t="inlineStr">
        <is>
          <t>Vertical</t>
        </is>
      </c>
      <c r="U1276" t="n">
        <v>92</v>
      </c>
      <c r="V1276" t="b">
        <v>1</v>
      </c>
      <c r="W1276" t="inlineStr">
        <is>
          <t>ATF Fuel 2!M3:M94</t>
        </is>
      </c>
      <c r="X1276">
        <f>(1+(R[0]C[-11]/R[-1]C[-11])-1)*R[-1]C[0]</f>
        <v/>
      </c>
    </row>
    <row r="1277">
      <c r="A1277" t="inlineStr">
        <is>
          <t>ATF Fuel 2</t>
        </is>
      </c>
      <c r="B1277" t="inlineStr">
        <is>
          <t>N74</t>
        </is>
      </c>
      <c r="C1277" t="n">
        <v>74</v>
      </c>
      <c r="D1277" t="n">
        <v>14</v>
      </c>
      <c r="E1277" t="inlineStr">
        <is>
          <t>Calculation</t>
        </is>
      </c>
      <c r="F1277" t="inlineStr">
        <is>
          <t>'=(1+(F74/F73)-1)*N73</t>
        </is>
      </c>
      <c r="G1277" t="n">
        <v>45.70979063294209</v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11</v>
      </c>
      <c r="M1277" t="inlineStr">
        <is>
          <t>Values must be of type &lt;class 'str'&gt;</t>
        </is>
      </c>
      <c r="N1277" t="inlineStr">
        <is>
          <t>00000000</t>
        </is>
      </c>
      <c r="O1277" t="inlineStr">
        <is>
          <t>left</t>
        </is>
      </c>
      <c r="R1277" t="b">
        <v>1</v>
      </c>
      <c r="S1277" t="inlineStr">
        <is>
          <t>G000160</t>
        </is>
      </c>
      <c r="T1277" t="inlineStr">
        <is>
          <t>Vertical</t>
        </is>
      </c>
      <c r="U1277" t="n">
        <v>92</v>
      </c>
      <c r="V1277" t="b">
        <v>1</v>
      </c>
      <c r="W1277" t="inlineStr">
        <is>
          <t>ATF Fuel 2!N3:N94</t>
        </is>
      </c>
      <c r="X1277">
        <f>(1+(R[0]C[-8]/R[-1]C[-8])-1)*R[-1]C[0]</f>
        <v/>
      </c>
    </row>
    <row r="1278">
      <c r="A1278" t="inlineStr">
        <is>
          <t>ATF Fuel 2</t>
        </is>
      </c>
      <c r="B1278" t="inlineStr">
        <is>
          <t>O74</t>
        </is>
      </c>
      <c r="C1278" t="n">
        <v>74</v>
      </c>
      <c r="D1278" t="n">
        <v>15</v>
      </c>
      <c r="E1278" t="inlineStr">
        <is>
          <t>Calculation</t>
        </is>
      </c>
      <c r="F1278" t="inlineStr">
        <is>
          <t>'=(1+(J74/J73)-1)*O73</t>
        </is>
      </c>
      <c r="G1278" t="n">
        <v>41.83130249615525</v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11</v>
      </c>
      <c r="M1278" t="inlineStr">
        <is>
          <t>Values must be of type &lt;class 'str'&gt;</t>
        </is>
      </c>
      <c r="N1278" t="inlineStr">
        <is>
          <t>00000000</t>
        </is>
      </c>
      <c r="O1278" t="inlineStr">
        <is>
          <t>left</t>
        </is>
      </c>
      <c r="R1278" t="b">
        <v>1</v>
      </c>
      <c r="S1278" t="inlineStr">
        <is>
          <t>G000162</t>
        </is>
      </c>
      <c r="T1278" t="inlineStr">
        <is>
          <t>Vertical</t>
        </is>
      </c>
      <c r="U1278" t="n">
        <v>92</v>
      </c>
      <c r="V1278" t="b">
        <v>1</v>
      </c>
      <c r="W1278" t="inlineStr">
        <is>
          <t>ATF Fuel 2!O3:O94</t>
        </is>
      </c>
      <c r="X1278">
        <f>(1+(R[0]C[-5]/R[-1]C[-5])-1)*R[-1]C[0]</f>
        <v/>
      </c>
    </row>
    <row r="1279">
      <c r="A1279" t="inlineStr">
        <is>
          <t>ATF Fuel 2</t>
        </is>
      </c>
      <c r="B1279" t="inlineStr">
        <is>
          <t>P74</t>
        </is>
      </c>
      <c r="C1279" t="n">
        <v>74</v>
      </c>
      <c r="D1279" t="n">
        <v>16</v>
      </c>
      <c r="E1279" t="inlineStr">
        <is>
          <t>Calculation</t>
        </is>
      </c>
      <c r="F1279" t="inlineStr">
        <is>
          <t>'=(1+(H74/H73)-1)*P73</t>
        </is>
      </c>
      <c r="G1279" t="n">
        <v>67.70686146032298</v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11</v>
      </c>
      <c r="M1279" t="inlineStr">
        <is>
          <t>Values must be of type &lt;class 'str'&gt;</t>
        </is>
      </c>
      <c r="N1279" t="inlineStr">
        <is>
          <t>00000000</t>
        </is>
      </c>
      <c r="O1279" t="inlineStr">
        <is>
          <t>left</t>
        </is>
      </c>
      <c r="R1279" t="b">
        <v>1</v>
      </c>
      <c r="S1279" t="inlineStr">
        <is>
          <t>G000161</t>
        </is>
      </c>
      <c r="T1279" t="inlineStr">
        <is>
          <t>Vertical</t>
        </is>
      </c>
      <c r="U1279" t="n">
        <v>92</v>
      </c>
      <c r="V1279" t="b">
        <v>1</v>
      </c>
      <c r="W1279" t="inlineStr">
        <is>
          <t>ATF Fuel 2!P3:P94</t>
        </is>
      </c>
      <c r="X1279">
        <f>(1+(R[0]C[-8]/R[-1]C[-8])-1)*R[-1]C[0]</f>
        <v/>
      </c>
    </row>
    <row r="1280">
      <c r="A1280" t="inlineStr">
        <is>
          <t>ATF Fuel 2</t>
        </is>
      </c>
      <c r="B1280" t="inlineStr">
        <is>
          <t>Q74</t>
        </is>
      </c>
      <c r="C1280" t="n">
        <v>74</v>
      </c>
      <c r="D1280" t="n">
        <v>17</v>
      </c>
      <c r="E1280" t="inlineStr">
        <is>
          <t>Output</t>
        </is>
      </c>
      <c r="F1280" t="inlineStr">
        <is>
          <t>'=M74/N74-1</t>
        </is>
      </c>
      <c r="G1280" t="n">
        <v>1.16791441278067</v>
      </c>
      <c r="H1280" t="inlineStr"/>
      <c r="I1280" t="inlineStr">
        <is>
          <t>0.0%</t>
        </is>
      </c>
      <c r="J1280" t="b">
        <v>0</v>
      </c>
      <c r="K1280" t="b">
        <v>0</v>
      </c>
      <c r="L1280" t="n">
        <v>11</v>
      </c>
      <c r="M1280" t="inlineStr">
        <is>
          <t>Values must be of type &lt;class 'str'&gt;</t>
        </is>
      </c>
      <c r="N1280" t="inlineStr">
        <is>
          <t>00000000</t>
        </is>
      </c>
      <c r="O1280" t="n">
        <v/>
      </c>
      <c r="R1280" t="b">
        <v>1</v>
      </c>
      <c r="S1280" t="inlineStr">
        <is>
          <t>G000153</t>
        </is>
      </c>
      <c r="T1280" t="inlineStr">
        <is>
          <t>Vertical</t>
        </is>
      </c>
      <c r="U1280" t="n">
        <v>93</v>
      </c>
      <c r="V1280" t="b">
        <v>1</v>
      </c>
      <c r="W1280" t="inlineStr">
        <is>
          <t>ATF Fuel 2!Q2:Q94</t>
        </is>
      </c>
      <c r="X1280">
        <f>R[0]C[-4]/R[0]C[-3]-1</f>
        <v/>
      </c>
    </row>
    <row r="1281">
      <c r="A1281" t="inlineStr">
        <is>
          <t>ATF Fuel 2</t>
        </is>
      </c>
      <c r="B1281" t="inlineStr">
        <is>
          <t>A75</t>
        </is>
      </c>
      <c r="C1281" t="n">
        <v>75</v>
      </c>
      <c r="D1281" t="n">
        <v>1</v>
      </c>
      <c r="E1281" t="inlineStr">
        <is>
          <t>Input</t>
        </is>
      </c>
      <c r="F1281" t="n">
        <v/>
      </c>
      <c r="G1281" t="inlineStr">
        <is>
          <t>May 01,2016</t>
        </is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11</v>
      </c>
      <c r="M1281" t="inlineStr">
        <is>
          <t>Values must be of type &lt;class 'str'&gt;</t>
        </is>
      </c>
      <c r="N1281" t="inlineStr">
        <is>
          <t>00000000</t>
        </is>
      </c>
      <c r="O1281" t="n">
        <v/>
      </c>
      <c r="R1281" t="b">
        <v>1</v>
      </c>
      <c r="S1281" t="n">
        <v/>
      </c>
      <c r="T1281" t="n">
        <v/>
      </c>
      <c r="U1281" t="n">
        <v/>
      </c>
      <c r="V1281" t="b">
        <v>0</v>
      </c>
      <c r="W1281" t="inlineStr"/>
      <c r="X1281" t="n">
        <v/>
      </c>
    </row>
    <row r="1282">
      <c r="A1282" t="inlineStr">
        <is>
          <t>ATF Fuel 2</t>
        </is>
      </c>
      <c r="B1282" t="inlineStr">
        <is>
          <t>B75</t>
        </is>
      </c>
      <c r="C1282" t="n">
        <v>75</v>
      </c>
      <c r="D1282" t="n">
        <v>2</v>
      </c>
      <c r="E1282" t="inlineStr">
        <is>
          <t>Input</t>
        </is>
      </c>
      <c r="F1282" t="n">
        <v/>
      </c>
      <c r="G1282" t="n">
        <v>44362.0425</v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11</v>
      </c>
      <c r="M1282" t="inlineStr">
        <is>
          <t>Values must be of type &lt;class 'str'&gt;</t>
        </is>
      </c>
      <c r="N1282" t="inlineStr">
        <is>
          <t>00000000</t>
        </is>
      </c>
      <c r="O1282" t="n">
        <v/>
      </c>
      <c r="R1282" t="b">
        <v>1</v>
      </c>
      <c r="S1282" t="n">
        <v/>
      </c>
      <c r="T1282" t="n">
        <v/>
      </c>
      <c r="U1282" t="n">
        <v/>
      </c>
      <c r="V1282" t="b">
        <v>0</v>
      </c>
      <c r="W1282" t="inlineStr"/>
      <c r="X1282" t="n">
        <v/>
      </c>
    </row>
    <row r="1283">
      <c r="A1283" t="inlineStr">
        <is>
          <t>ATF Fuel 2</t>
        </is>
      </c>
      <c r="B1283" t="inlineStr">
        <is>
          <t>C75</t>
        </is>
      </c>
      <c r="C1283" t="n">
        <v>75</v>
      </c>
      <c r="D1283" t="n">
        <v>3</v>
      </c>
      <c r="E1283" t="inlineStr">
        <is>
          <t>Output</t>
        </is>
      </c>
      <c r="F1283" t="inlineStr">
        <is>
          <t>'=B75/B74-1</t>
        </is>
      </c>
      <c r="G1283" t="n">
        <v>0.009138986571744834</v>
      </c>
      <c r="H1283" t="inlineStr"/>
      <c r="I1283" t="inlineStr">
        <is>
          <t>0%</t>
        </is>
      </c>
      <c r="J1283" t="b">
        <v>0</v>
      </c>
      <c r="K1283" t="b">
        <v>0</v>
      </c>
      <c r="L1283" t="n">
        <v>11</v>
      </c>
      <c r="M1283" t="n">
        <v/>
      </c>
      <c r="N1283" t="inlineStr">
        <is>
          <t>00000000</t>
        </is>
      </c>
      <c r="O1283" t="n">
        <v/>
      </c>
      <c r="R1283" t="b">
        <v>1</v>
      </c>
      <c r="S1283" t="inlineStr">
        <is>
          <t>G000154</t>
        </is>
      </c>
      <c r="T1283" t="inlineStr">
        <is>
          <t>Vertical</t>
        </is>
      </c>
      <c r="U1283" t="n">
        <v>92</v>
      </c>
      <c r="V1283" t="b">
        <v>1</v>
      </c>
      <c r="W1283" t="inlineStr">
        <is>
          <t>ATF Fuel 2!C3:C94</t>
        </is>
      </c>
      <c r="X1283">
        <f>R[0]C[-1]/R[-1]C[-1]-1</f>
        <v/>
      </c>
    </row>
    <row r="1284">
      <c r="A1284" t="inlineStr">
        <is>
          <t>ATF Fuel 2</t>
        </is>
      </c>
      <c r="B1284" t="inlineStr">
        <is>
          <t>D75</t>
        </is>
      </c>
      <c r="C1284" t="n">
        <v>75</v>
      </c>
      <c r="D1284" t="n">
        <v>4</v>
      </c>
      <c r="E1284" t="inlineStr">
        <is>
          <t>Input</t>
        </is>
      </c>
      <c r="F1284" t="n">
        <v/>
      </c>
      <c r="G1284" t="n">
        <v>66.41</v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11</v>
      </c>
      <c r="M1284" t="inlineStr">
        <is>
          <t>Values must be of type &lt;class 'str'&gt;</t>
        </is>
      </c>
      <c r="N1284" t="inlineStr">
        <is>
          <t>00000000</t>
        </is>
      </c>
      <c r="O1284" t="n">
        <v/>
      </c>
      <c r="R1284" t="b">
        <v>1</v>
      </c>
      <c r="S1284" t="n">
        <v/>
      </c>
      <c r="T1284" t="n">
        <v/>
      </c>
      <c r="U1284" t="n">
        <v/>
      </c>
      <c r="V1284" t="b">
        <v>0</v>
      </c>
      <c r="W1284" t="inlineStr"/>
      <c r="X1284" t="n">
        <v/>
      </c>
    </row>
    <row r="1285">
      <c r="A1285" t="inlineStr">
        <is>
          <t>ATF Fuel 2</t>
        </is>
      </c>
      <c r="B1285" t="inlineStr">
        <is>
          <t>E75</t>
        </is>
      </c>
      <c r="C1285" t="n">
        <v>75</v>
      </c>
      <c r="D1285" t="n">
        <v>5</v>
      </c>
      <c r="E1285" t="inlineStr">
        <is>
          <t>Output</t>
        </is>
      </c>
      <c r="F1285" t="inlineStr">
        <is>
          <t>'=B75/B74-1</t>
        </is>
      </c>
      <c r="G1285" t="n">
        <v>0.009138986571744834</v>
      </c>
      <c r="H1285" t="inlineStr"/>
      <c r="I1285" t="inlineStr">
        <is>
          <t>0%</t>
        </is>
      </c>
      <c r="J1285" t="b">
        <v>0</v>
      </c>
      <c r="K1285" t="b">
        <v>0</v>
      </c>
      <c r="L1285" t="n">
        <v>11</v>
      </c>
      <c r="M1285" t="inlineStr">
        <is>
          <t>Values must be of type &lt;class 'str'&gt;</t>
        </is>
      </c>
      <c r="N1285" t="inlineStr">
        <is>
          <t>00000000</t>
        </is>
      </c>
      <c r="O1285" t="n">
        <v/>
      </c>
      <c r="R1285" t="b">
        <v>1</v>
      </c>
      <c r="S1285" t="inlineStr">
        <is>
          <t>G000158</t>
        </is>
      </c>
      <c r="T1285" t="inlineStr">
        <is>
          <t>Vertical</t>
        </is>
      </c>
      <c r="U1285" t="n">
        <v>92</v>
      </c>
      <c r="V1285" t="b">
        <v>1</v>
      </c>
      <c r="W1285" t="inlineStr">
        <is>
          <t>ATF Fuel 2!E3:E94</t>
        </is>
      </c>
      <c r="X1285">
        <f>R[0]C[-3]/R[-1]C[-3]-1</f>
        <v/>
      </c>
    </row>
    <row r="1286">
      <c r="A1286" t="inlineStr">
        <is>
          <t>ATF Fuel 2</t>
        </is>
      </c>
      <c r="B1286" t="inlineStr">
        <is>
          <t>F75</t>
        </is>
      </c>
      <c r="C1286" t="n">
        <v>75</v>
      </c>
      <c r="D1286" t="n">
        <v>6</v>
      </c>
      <c r="E1286" t="inlineStr">
        <is>
          <t>Input</t>
        </is>
      </c>
      <c r="F1286" t="n">
        <v/>
      </c>
      <c r="G1286" t="n">
        <v>44.39</v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11</v>
      </c>
      <c r="M1286" t="inlineStr">
        <is>
          <t>Values must be of type &lt;class 'str'&gt;</t>
        </is>
      </c>
      <c r="N1286" t="inlineStr">
        <is>
          <t>00000000</t>
        </is>
      </c>
      <c r="O1286" t="n">
        <v/>
      </c>
      <c r="R1286" t="b">
        <v>1</v>
      </c>
      <c r="S1286" t="n">
        <v/>
      </c>
      <c r="T1286" t="n">
        <v/>
      </c>
      <c r="U1286" t="n">
        <v/>
      </c>
      <c r="V1286" t="b">
        <v>0</v>
      </c>
      <c r="W1286" t="inlineStr"/>
      <c r="X1286" t="n">
        <v/>
      </c>
    </row>
    <row r="1287">
      <c r="A1287" t="inlineStr">
        <is>
          <t>ATF Fuel 2</t>
        </is>
      </c>
      <c r="B1287" t="inlineStr">
        <is>
          <t>G75</t>
        </is>
      </c>
      <c r="C1287" t="n">
        <v>75</v>
      </c>
      <c r="D1287" t="n">
        <v>7</v>
      </c>
      <c r="E1287" t="inlineStr">
        <is>
          <t>Output</t>
        </is>
      </c>
      <c r="F1287" t="inlineStr">
        <is>
          <t>'=F75/F74-1</t>
        </is>
      </c>
      <c r="G1287" t="n">
        <v>0.1752713794016414</v>
      </c>
      <c r="H1287" t="inlineStr"/>
      <c r="I1287" t="inlineStr">
        <is>
          <t>0%</t>
        </is>
      </c>
      <c r="J1287" t="b">
        <v>0</v>
      </c>
      <c r="K1287" t="b">
        <v>0</v>
      </c>
      <c r="L1287" t="n">
        <v>11</v>
      </c>
      <c r="M1287" t="inlineStr">
        <is>
          <t>Values must be of type &lt;class 'str'&gt;</t>
        </is>
      </c>
      <c r="N1287" t="inlineStr">
        <is>
          <t>00000000</t>
        </is>
      </c>
      <c r="O1287" t="n">
        <v/>
      </c>
      <c r="R1287" t="b">
        <v>1</v>
      </c>
      <c r="S1287" t="inlineStr">
        <is>
          <t>G000155</t>
        </is>
      </c>
      <c r="T1287" t="inlineStr">
        <is>
          <t>Vertical</t>
        </is>
      </c>
      <c r="U1287" t="n">
        <v>93</v>
      </c>
      <c r="V1287" t="b">
        <v>1</v>
      </c>
      <c r="W1287" t="inlineStr">
        <is>
          <t>ATF Fuel 2!G3:G95</t>
        </is>
      </c>
      <c r="X1287">
        <f>R[0]C[-1]/R[-1]C[-1]-1</f>
        <v/>
      </c>
    </row>
    <row r="1288">
      <c r="A1288" t="inlineStr">
        <is>
          <t>ATF Fuel 2</t>
        </is>
      </c>
      <c r="B1288" t="inlineStr">
        <is>
          <t>H75</t>
        </is>
      </c>
      <c r="C1288" t="n">
        <v>75</v>
      </c>
      <c r="D1288" t="n">
        <v>8</v>
      </c>
      <c r="E1288" t="inlineStr">
        <is>
          <t>Calculation</t>
        </is>
      </c>
      <c r="F1288" t="inlineStr">
        <is>
          <t>'=D75*F75</t>
        </is>
      </c>
      <c r="G1288" t="n">
        <v>2947.9399</v>
      </c>
      <c r="H1288" t="inlineStr"/>
      <c r="I1288" t="inlineStr">
        <is>
          <t>0</t>
        </is>
      </c>
      <c r="J1288" t="b">
        <v>0</v>
      </c>
      <c r="K1288" t="b">
        <v>0</v>
      </c>
      <c r="L1288" t="n">
        <v>11</v>
      </c>
      <c r="M1288" t="inlineStr">
        <is>
          <t>Values must be of type &lt;class 'str'&gt;</t>
        </is>
      </c>
      <c r="N1288" t="inlineStr">
        <is>
          <t>00000000</t>
        </is>
      </c>
      <c r="O1288" t="n">
        <v/>
      </c>
      <c r="R1288" t="b">
        <v>1</v>
      </c>
      <c r="S1288" t="inlineStr">
        <is>
          <t>G000152</t>
        </is>
      </c>
      <c r="T1288" t="inlineStr">
        <is>
          <t>Vertical</t>
        </is>
      </c>
      <c r="U1288" t="n">
        <v>98</v>
      </c>
      <c r="V1288" t="b">
        <v>1</v>
      </c>
      <c r="W1288" t="inlineStr">
        <is>
          <t>ATF Fuel 2!H2:H99</t>
        </is>
      </c>
      <c r="X1288">
        <f>R[0]C[-4]*R[0]C[-2]</f>
        <v/>
      </c>
    </row>
    <row r="1289">
      <c r="A1289" t="inlineStr">
        <is>
          <t>ATF Fuel 2</t>
        </is>
      </c>
      <c r="B1289" t="inlineStr">
        <is>
          <t>I75</t>
        </is>
      </c>
      <c r="C1289" t="n">
        <v>75</v>
      </c>
      <c r="D1289" t="n">
        <v>9</v>
      </c>
      <c r="E1289" t="inlineStr">
        <is>
          <t>Output</t>
        </is>
      </c>
      <c r="F1289" t="inlineStr">
        <is>
          <t>'=H75/H74-1</t>
        </is>
      </c>
      <c r="G1289" t="n">
        <v>0.177221301750573</v>
      </c>
      <c r="H1289" t="inlineStr"/>
      <c r="I1289" t="inlineStr">
        <is>
          <t>0%</t>
        </is>
      </c>
      <c r="J1289" t="b">
        <v>0</v>
      </c>
      <c r="K1289" t="b">
        <v>0</v>
      </c>
      <c r="L1289" t="n">
        <v>11</v>
      </c>
      <c r="M1289" t="inlineStr">
        <is>
          <t>FFFF0000</t>
        </is>
      </c>
      <c r="N1289" t="inlineStr">
        <is>
          <t>00000000</t>
        </is>
      </c>
      <c r="O1289" t="n">
        <v/>
      </c>
      <c r="R1289" t="b">
        <v>1</v>
      </c>
      <c r="S1289" t="inlineStr">
        <is>
          <t>G000156</t>
        </is>
      </c>
      <c r="T1289" t="inlineStr">
        <is>
          <t>Vertical</t>
        </is>
      </c>
      <c r="U1289" t="n">
        <v>97</v>
      </c>
      <c r="V1289" t="b">
        <v>1</v>
      </c>
      <c r="W1289" t="inlineStr">
        <is>
          <t>ATF Fuel 2!I3:I99</t>
        </is>
      </c>
      <c r="X1289">
        <f>R[0]C[-1]/R[-1]C[-1]-1</f>
        <v/>
      </c>
    </row>
    <row r="1290">
      <c r="A1290" t="inlineStr">
        <is>
          <t>ATF Fuel 2</t>
        </is>
      </c>
      <c r="B1290" t="inlineStr">
        <is>
          <t>J75</t>
        </is>
      </c>
      <c r="C1290" t="n">
        <v>75</v>
      </c>
      <c r="D1290" t="n">
        <v>10</v>
      </c>
      <c r="E1290" t="inlineStr">
        <is>
          <t>Input</t>
        </is>
      </c>
      <c r="F1290" t="n">
        <v/>
      </c>
      <c r="G1290" t="n">
        <v>44.75</v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11</v>
      </c>
      <c r="M1290" t="inlineStr">
        <is>
          <t>Values must be of type &lt;class 'str'&gt;</t>
        </is>
      </c>
      <c r="N1290" t="inlineStr">
        <is>
          <t>00000000</t>
        </is>
      </c>
      <c r="O1290" t="n">
        <v/>
      </c>
      <c r="R1290" t="b">
        <v>1</v>
      </c>
      <c r="S1290" t="n">
        <v/>
      </c>
      <c r="T1290" t="n">
        <v/>
      </c>
      <c r="U1290" t="n">
        <v/>
      </c>
      <c r="V1290" t="b">
        <v>0</v>
      </c>
      <c r="W1290" t="inlineStr"/>
      <c r="X1290" t="n">
        <v/>
      </c>
    </row>
    <row r="1291">
      <c r="A1291" t="inlineStr">
        <is>
          <t>ATF Fuel 2</t>
        </is>
      </c>
      <c r="B1291" t="inlineStr">
        <is>
          <t>K75</t>
        </is>
      </c>
      <c r="C1291" t="n">
        <v>75</v>
      </c>
      <c r="D1291" t="n">
        <v>11</v>
      </c>
      <c r="E1291" t="inlineStr">
        <is>
          <t>Output</t>
        </is>
      </c>
      <c r="F1291" t="inlineStr">
        <is>
          <t>'=J75/J74-1</t>
        </is>
      </c>
      <c r="G1291" t="n">
        <v>0.2655542986425339</v>
      </c>
      <c r="H1291" t="inlineStr"/>
      <c r="I1291" t="inlineStr">
        <is>
          <t>0%</t>
        </is>
      </c>
      <c r="J1291" t="b">
        <v>0</v>
      </c>
      <c r="K1291" t="b">
        <v>0</v>
      </c>
      <c r="L1291" t="n">
        <v>11</v>
      </c>
      <c r="M1291" t="inlineStr">
        <is>
          <t>Values must be of type &lt;class 'str'&gt;</t>
        </is>
      </c>
      <c r="N1291" t="inlineStr">
        <is>
          <t>00000000</t>
        </is>
      </c>
      <c r="O1291" t="n">
        <v/>
      </c>
      <c r="R1291" t="b">
        <v>1</v>
      </c>
      <c r="S1291" t="inlineStr">
        <is>
          <t>G000157</t>
        </is>
      </c>
      <c r="T1291" t="inlineStr">
        <is>
          <t>Vertical</t>
        </is>
      </c>
      <c r="U1291" t="n">
        <v>93</v>
      </c>
      <c r="V1291" t="b">
        <v>1</v>
      </c>
      <c r="W1291" t="inlineStr">
        <is>
          <t>ATF Fuel 2!K3:K95</t>
        </is>
      </c>
      <c r="X1291">
        <f>R[0]C[-1]/R[-1]C[-1]-1</f>
        <v/>
      </c>
    </row>
    <row r="1292">
      <c r="A1292" t="inlineStr">
        <is>
          <t>ATF Fuel 2</t>
        </is>
      </c>
      <c r="B1292" t="inlineStr">
        <is>
          <t>L75</t>
        </is>
      </c>
      <c r="C1292" t="n">
        <v>75</v>
      </c>
      <c r="D1292" t="n">
        <v>12</v>
      </c>
      <c r="E1292" t="inlineStr">
        <is>
          <t>Input</t>
        </is>
      </c>
      <c r="F1292" t="n">
        <v/>
      </c>
      <c r="G1292" t="inlineStr">
        <is>
          <t>May 01,2016</t>
        </is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11</v>
      </c>
      <c r="M1292" t="inlineStr">
        <is>
          <t>Values must be of type &lt;class 'str'&gt;</t>
        </is>
      </c>
      <c r="N1292" t="inlineStr">
        <is>
          <t>00000000</t>
        </is>
      </c>
      <c r="O1292" t="inlineStr">
        <is>
          <t>left</t>
        </is>
      </c>
      <c r="R1292" t="b">
        <v>1</v>
      </c>
      <c r="S1292" t="n">
        <v/>
      </c>
      <c r="T1292" t="n">
        <v/>
      </c>
      <c r="U1292" t="n">
        <v/>
      </c>
      <c r="V1292" t="b">
        <v>0</v>
      </c>
      <c r="W1292" t="inlineStr"/>
      <c r="X1292" t="n">
        <v/>
      </c>
    </row>
    <row r="1293">
      <c r="A1293" t="inlineStr">
        <is>
          <t>ATF Fuel 2</t>
        </is>
      </c>
      <c r="B1293" t="inlineStr">
        <is>
          <t>M75</t>
        </is>
      </c>
      <c r="C1293" t="n">
        <v>75</v>
      </c>
      <c r="D1293" t="n">
        <v>13</v>
      </c>
      <c r="E1293" t="inlineStr">
        <is>
          <t>Calculation</t>
        </is>
      </c>
      <c r="F1293" t="inlineStr">
        <is>
          <t>'=(1+(B75/B74)-1)*M74</t>
        </is>
      </c>
      <c r="G1293" t="n">
        <v>100.0005410059699</v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11</v>
      </c>
      <c r="M1293" t="inlineStr">
        <is>
          <t>Values must be of type &lt;class 'str'&gt;</t>
        </is>
      </c>
      <c r="N1293" t="inlineStr">
        <is>
          <t>00000000</t>
        </is>
      </c>
      <c r="O1293" t="inlineStr">
        <is>
          <t>left</t>
        </is>
      </c>
      <c r="R1293" t="b">
        <v>1</v>
      </c>
      <c r="S1293" t="inlineStr">
        <is>
          <t>G000159</t>
        </is>
      </c>
      <c r="T1293" t="inlineStr">
        <is>
          <t>Vertical</t>
        </is>
      </c>
      <c r="U1293" t="n">
        <v>92</v>
      </c>
      <c r="V1293" t="b">
        <v>1</v>
      </c>
      <c r="W1293" t="inlineStr">
        <is>
          <t>ATF Fuel 2!M3:M94</t>
        </is>
      </c>
      <c r="X1293">
        <f>(1+(R[0]C[-11]/R[-1]C[-11])-1)*R[-1]C[0]</f>
        <v/>
      </c>
    </row>
    <row r="1294">
      <c r="A1294" t="inlineStr">
        <is>
          <t>ATF Fuel 2</t>
        </is>
      </c>
      <c r="B1294" t="inlineStr">
        <is>
          <t>N75</t>
        </is>
      </c>
      <c r="C1294" t="n">
        <v>75</v>
      </c>
      <c r="D1294" t="n">
        <v>14</v>
      </c>
      <c r="E1294" t="inlineStr">
        <is>
          <t>Calculation</t>
        </is>
      </c>
      <c r="F1294" t="inlineStr">
        <is>
          <t>'=(1+(F75/F74)-1)*N74</t>
        </is>
      </c>
      <c r="G1294" t="n">
        <v>53.72140868933806</v>
      </c>
      <c r="H1294" t="inlineStr"/>
      <c r="I1294" t="inlineStr">
        <is>
          <t>General</t>
        </is>
      </c>
      <c r="J1294" t="b">
        <v>0</v>
      </c>
      <c r="K1294" t="b">
        <v>0</v>
      </c>
      <c r="L1294" t="n">
        <v>11</v>
      </c>
      <c r="M1294" t="inlineStr">
        <is>
          <t>Values must be of type &lt;class 'str'&gt;</t>
        </is>
      </c>
      <c r="N1294" t="inlineStr">
        <is>
          <t>00000000</t>
        </is>
      </c>
      <c r="O1294" t="inlineStr">
        <is>
          <t>left</t>
        </is>
      </c>
      <c r="R1294" t="b">
        <v>1</v>
      </c>
      <c r="S1294" t="inlineStr">
        <is>
          <t>G000160</t>
        </is>
      </c>
      <c r="T1294" t="inlineStr">
        <is>
          <t>Vertical</t>
        </is>
      </c>
      <c r="U1294" t="n">
        <v>92</v>
      </c>
      <c r="V1294" t="b">
        <v>1</v>
      </c>
      <c r="W1294" t="inlineStr">
        <is>
          <t>ATF Fuel 2!N3:N94</t>
        </is>
      </c>
      <c r="X1294">
        <f>(1+(R[0]C[-8]/R[-1]C[-8])-1)*R[-1]C[0]</f>
        <v/>
      </c>
    </row>
    <row r="1295">
      <c r="A1295" t="inlineStr">
        <is>
          <t>ATF Fuel 2</t>
        </is>
      </c>
      <c r="B1295" t="inlineStr">
        <is>
          <t>O75</t>
        </is>
      </c>
      <c r="C1295" t="n">
        <v>75</v>
      </c>
      <c r="D1295" t="n">
        <v>15</v>
      </c>
      <c r="E1295" t="inlineStr">
        <is>
          <t>Calculation</t>
        </is>
      </c>
      <c r="F1295" t="inlineStr">
        <is>
          <t>'=(1+(J75/J74)-1)*O74</t>
        </is>
      </c>
      <c r="G1295" t="n">
        <v>52.93978469182543</v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11</v>
      </c>
      <c r="M1295" t="inlineStr">
        <is>
          <t>Values must be of type &lt;class 'str'&gt;</t>
        </is>
      </c>
      <c r="N1295" t="inlineStr">
        <is>
          <t>00000000</t>
        </is>
      </c>
      <c r="O1295" t="inlineStr">
        <is>
          <t>left</t>
        </is>
      </c>
      <c r="R1295" t="b">
        <v>1</v>
      </c>
      <c r="S1295" t="inlineStr">
        <is>
          <t>G000162</t>
        </is>
      </c>
      <c r="T1295" t="inlineStr">
        <is>
          <t>Vertical</t>
        </is>
      </c>
      <c r="U1295" t="n">
        <v>92</v>
      </c>
      <c r="V1295" t="b">
        <v>1</v>
      </c>
      <c r="W1295" t="inlineStr">
        <is>
          <t>ATF Fuel 2!O3:O94</t>
        </is>
      </c>
      <c r="X1295">
        <f>(1+(R[0]C[-5]/R[-1]C[-5])-1)*R[-1]C[0]</f>
        <v/>
      </c>
    </row>
    <row r="1296">
      <c r="A1296" t="inlineStr">
        <is>
          <t>ATF Fuel 2</t>
        </is>
      </c>
      <c r="B1296" t="inlineStr">
        <is>
          <t>P75</t>
        </is>
      </c>
      <c r="C1296" t="n">
        <v>75</v>
      </c>
      <c r="D1296" t="n">
        <v>16</v>
      </c>
      <c r="E1296" t="inlineStr">
        <is>
          <t>Calculation</t>
        </is>
      </c>
      <c r="F1296" t="inlineStr">
        <is>
          <t>'=(1+(H75/H74)-1)*P74</t>
        </is>
      </c>
      <c r="G1296" t="n">
        <v>79.70595958576715</v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11</v>
      </c>
      <c r="M1296" t="inlineStr">
        <is>
          <t>Values must be of type &lt;class 'str'&gt;</t>
        </is>
      </c>
      <c r="N1296" t="inlineStr">
        <is>
          <t>00000000</t>
        </is>
      </c>
      <c r="O1296" t="inlineStr">
        <is>
          <t>left</t>
        </is>
      </c>
      <c r="R1296" t="b">
        <v>1</v>
      </c>
      <c r="S1296" t="inlineStr">
        <is>
          <t>G000161</t>
        </is>
      </c>
      <c r="T1296" t="inlineStr">
        <is>
          <t>Vertical</t>
        </is>
      </c>
      <c r="U1296" t="n">
        <v>92</v>
      </c>
      <c r="V1296" t="b">
        <v>1</v>
      </c>
      <c r="W1296" t="inlineStr">
        <is>
          <t>ATF Fuel 2!P3:P94</t>
        </is>
      </c>
      <c r="X1296">
        <f>(1+(R[0]C[-8]/R[-1]C[-8])-1)*R[-1]C[0]</f>
        <v/>
      </c>
    </row>
    <row r="1297">
      <c r="A1297" t="inlineStr">
        <is>
          <t>ATF Fuel 2</t>
        </is>
      </c>
      <c r="B1297" t="inlineStr">
        <is>
          <t>Q75</t>
        </is>
      </c>
      <c r="C1297" t="n">
        <v>75</v>
      </c>
      <c r="D1297" t="n">
        <v>17</v>
      </c>
      <c r="E1297" t="inlineStr">
        <is>
          <t>Output</t>
        </is>
      </c>
      <c r="F1297" t="inlineStr">
        <is>
          <t>'=M75/N75-1</t>
        </is>
      </c>
      <c r="G1297" t="n">
        <v>0.8614653533055394</v>
      </c>
      <c r="H1297" t="inlineStr"/>
      <c r="I1297" t="inlineStr">
        <is>
          <t>0.0%</t>
        </is>
      </c>
      <c r="J1297" t="b">
        <v>0</v>
      </c>
      <c r="K1297" t="b">
        <v>0</v>
      </c>
      <c r="L1297" t="n">
        <v>11</v>
      </c>
      <c r="M1297" t="inlineStr">
        <is>
          <t>Values must be of type &lt;class 'str'&gt;</t>
        </is>
      </c>
      <c r="N1297" t="inlineStr">
        <is>
          <t>00000000</t>
        </is>
      </c>
      <c r="O1297" t="n">
        <v/>
      </c>
      <c r="R1297" t="b">
        <v>1</v>
      </c>
      <c r="S1297" t="inlineStr">
        <is>
          <t>G000153</t>
        </is>
      </c>
      <c r="T1297" t="inlineStr">
        <is>
          <t>Vertical</t>
        </is>
      </c>
      <c r="U1297" t="n">
        <v>93</v>
      </c>
      <c r="V1297" t="b">
        <v>1</v>
      </c>
      <c r="W1297" t="inlineStr">
        <is>
          <t>ATF Fuel 2!Q2:Q94</t>
        </is>
      </c>
      <c r="X1297">
        <f>R[0]C[-4]/R[0]C[-3]-1</f>
        <v/>
      </c>
    </row>
    <row r="1298">
      <c r="A1298" t="inlineStr">
        <is>
          <t>ATF Fuel 2</t>
        </is>
      </c>
      <c r="B1298" t="inlineStr">
        <is>
          <t>A76</t>
        </is>
      </c>
      <c r="C1298" t="n">
        <v>76</v>
      </c>
      <c r="D1298" t="n">
        <v>1</v>
      </c>
      <c r="E1298" t="inlineStr">
        <is>
          <t>Input</t>
        </is>
      </c>
      <c r="F1298" t="n">
        <v/>
      </c>
      <c r="G1298" t="inlineStr">
        <is>
          <t>June 01,2016</t>
        </is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11</v>
      </c>
      <c r="M1298" t="inlineStr">
        <is>
          <t>Values must be of type &lt;class 'str'&gt;</t>
        </is>
      </c>
      <c r="N1298" t="inlineStr">
        <is>
          <t>00000000</t>
        </is>
      </c>
      <c r="O1298" t="n">
        <v/>
      </c>
      <c r="R1298" t="b">
        <v>1</v>
      </c>
      <c r="S1298" t="n">
        <v/>
      </c>
      <c r="T1298" t="n">
        <v/>
      </c>
      <c r="U1298" t="n">
        <v/>
      </c>
      <c r="V1298" t="b">
        <v>0</v>
      </c>
      <c r="W1298" t="inlineStr"/>
      <c r="X1298" t="n">
        <v/>
      </c>
    </row>
    <row r="1299">
      <c r="A1299" t="inlineStr">
        <is>
          <t>ATF Fuel 2</t>
        </is>
      </c>
      <c r="B1299" t="inlineStr">
        <is>
          <t>B76</t>
        </is>
      </c>
      <c r="C1299" t="n">
        <v>76</v>
      </c>
      <c r="D1299" t="n">
        <v>2</v>
      </c>
      <c r="E1299" t="inlineStr">
        <is>
          <t>Input</t>
        </is>
      </c>
      <c r="F1299" t="n">
        <v/>
      </c>
      <c r="G1299" t="n">
        <v>48331.79750000001</v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11</v>
      </c>
      <c r="M1299" t="inlineStr">
        <is>
          <t>Values must be of type &lt;class 'str'&gt;</t>
        </is>
      </c>
      <c r="N1299" t="inlineStr">
        <is>
          <t>00000000</t>
        </is>
      </c>
      <c r="O1299" t="n">
        <v/>
      </c>
      <c r="R1299" t="b">
        <v>1</v>
      </c>
      <c r="S1299" t="n">
        <v/>
      </c>
      <c r="T1299" t="n">
        <v/>
      </c>
      <c r="U1299" t="n">
        <v/>
      </c>
      <c r="V1299" t="b">
        <v>0</v>
      </c>
      <c r="W1299" t="inlineStr"/>
      <c r="X1299" t="n">
        <v/>
      </c>
    </row>
    <row r="1300">
      <c r="A1300" t="inlineStr">
        <is>
          <t>ATF Fuel 2</t>
        </is>
      </c>
      <c r="B1300" t="inlineStr">
        <is>
          <t>C76</t>
        </is>
      </c>
      <c r="C1300" t="n">
        <v>76</v>
      </c>
      <c r="D1300" t="n">
        <v>3</v>
      </c>
      <c r="E1300" t="inlineStr">
        <is>
          <t>Output</t>
        </is>
      </c>
      <c r="F1300" t="inlineStr">
        <is>
          <t>'=B76/B75-1</t>
        </is>
      </c>
      <c r="G1300" t="n">
        <v>0.08948539734165761</v>
      </c>
      <c r="H1300" t="inlineStr"/>
      <c r="I1300" t="inlineStr">
        <is>
          <t>0%</t>
        </is>
      </c>
      <c r="J1300" t="b">
        <v>0</v>
      </c>
      <c r="K1300" t="b">
        <v>0</v>
      </c>
      <c r="L1300" t="n">
        <v>11</v>
      </c>
      <c r="M1300" t="n">
        <v/>
      </c>
      <c r="N1300" t="inlineStr">
        <is>
          <t>00000000</t>
        </is>
      </c>
      <c r="O1300" t="n">
        <v/>
      </c>
      <c r="R1300" t="b">
        <v>1</v>
      </c>
      <c r="S1300" t="inlineStr">
        <is>
          <t>G000154</t>
        </is>
      </c>
      <c r="T1300" t="inlineStr">
        <is>
          <t>Vertical</t>
        </is>
      </c>
      <c r="U1300" t="n">
        <v>92</v>
      </c>
      <c r="V1300" t="b">
        <v>1</v>
      </c>
      <c r="W1300" t="inlineStr">
        <is>
          <t>ATF Fuel 2!C3:C94</t>
        </is>
      </c>
      <c r="X1300">
        <f>R[0]C[-1]/R[-1]C[-1]-1</f>
        <v/>
      </c>
    </row>
    <row r="1301">
      <c r="A1301" t="inlineStr">
        <is>
          <t>ATF Fuel 2</t>
        </is>
      </c>
      <c r="B1301" t="inlineStr">
        <is>
          <t>D76</t>
        </is>
      </c>
      <c r="C1301" t="n">
        <v>76</v>
      </c>
      <c r="D1301" t="n">
        <v>4</v>
      </c>
      <c r="E1301" t="inlineStr">
        <is>
          <t>Input</t>
        </is>
      </c>
      <c r="F1301" t="n">
        <v/>
      </c>
      <c r="G1301" t="n">
        <v>67.23999999999999</v>
      </c>
      <c r="H1301" t="inlineStr"/>
      <c r="I1301" t="inlineStr">
        <is>
          <t>General</t>
        </is>
      </c>
      <c r="J1301" t="b">
        <v>0</v>
      </c>
      <c r="K1301" t="b">
        <v>0</v>
      </c>
      <c r="L1301" t="n">
        <v>11</v>
      </c>
      <c r="M1301" t="inlineStr">
        <is>
          <t>Values must be of type &lt;class 'str'&gt;</t>
        </is>
      </c>
      <c r="N1301" t="inlineStr">
        <is>
          <t>00000000</t>
        </is>
      </c>
      <c r="O1301" t="n">
        <v/>
      </c>
      <c r="R1301" t="b">
        <v>1</v>
      </c>
      <c r="S1301" t="n">
        <v/>
      </c>
      <c r="T1301" t="n">
        <v/>
      </c>
      <c r="U1301" t="n">
        <v/>
      </c>
      <c r="V1301" t="b">
        <v>0</v>
      </c>
      <c r="W1301" t="inlineStr"/>
      <c r="X1301" t="n">
        <v/>
      </c>
    </row>
    <row r="1302">
      <c r="A1302" t="inlineStr">
        <is>
          <t>ATF Fuel 2</t>
        </is>
      </c>
      <c r="B1302" t="inlineStr">
        <is>
          <t>E76</t>
        </is>
      </c>
      <c r="C1302" t="n">
        <v>76</v>
      </c>
      <c r="D1302" t="n">
        <v>5</v>
      </c>
      <c r="E1302" t="inlineStr">
        <is>
          <t>Output</t>
        </is>
      </c>
      <c r="F1302" t="inlineStr">
        <is>
          <t>'=B76/B75-1</t>
        </is>
      </c>
      <c r="G1302" t="n">
        <v>0.08948539734165761</v>
      </c>
      <c r="H1302" t="inlineStr"/>
      <c r="I1302" t="inlineStr">
        <is>
          <t>0%</t>
        </is>
      </c>
      <c r="J1302" t="b">
        <v>0</v>
      </c>
      <c r="K1302" t="b">
        <v>0</v>
      </c>
      <c r="L1302" t="n">
        <v>11</v>
      </c>
      <c r="M1302" t="inlineStr">
        <is>
          <t>Values must be of type &lt;class 'str'&gt;</t>
        </is>
      </c>
      <c r="N1302" t="inlineStr">
        <is>
          <t>00000000</t>
        </is>
      </c>
      <c r="O1302" t="n">
        <v/>
      </c>
      <c r="R1302" t="b">
        <v>1</v>
      </c>
      <c r="S1302" t="inlineStr">
        <is>
          <t>G000158</t>
        </is>
      </c>
      <c r="T1302" t="inlineStr">
        <is>
          <t>Vertical</t>
        </is>
      </c>
      <c r="U1302" t="n">
        <v>92</v>
      </c>
      <c r="V1302" t="b">
        <v>1</v>
      </c>
      <c r="W1302" t="inlineStr">
        <is>
          <t>ATF Fuel 2!E3:E94</t>
        </is>
      </c>
      <c r="X1302">
        <f>R[0]C[-3]/R[-1]C[-3]-1</f>
        <v/>
      </c>
    </row>
    <row r="1303">
      <c r="A1303" t="inlineStr">
        <is>
          <t>ATF Fuel 2</t>
        </is>
      </c>
      <c r="B1303" t="inlineStr">
        <is>
          <t>F76</t>
        </is>
      </c>
      <c r="C1303" t="n">
        <v>76</v>
      </c>
      <c r="D1303" t="n">
        <v>6</v>
      </c>
      <c r="E1303" t="inlineStr">
        <is>
          <t>Input</t>
        </is>
      </c>
      <c r="F1303" t="n">
        <v/>
      </c>
      <c r="G1303" t="n">
        <v>48.94</v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11</v>
      </c>
      <c r="M1303" t="inlineStr">
        <is>
          <t>Values must be of type &lt;class 'str'&gt;</t>
        </is>
      </c>
      <c r="N1303" t="inlineStr">
        <is>
          <t>00000000</t>
        </is>
      </c>
      <c r="O1303" t="n">
        <v/>
      </c>
      <c r="R1303" t="b">
        <v>1</v>
      </c>
      <c r="S1303" t="n">
        <v/>
      </c>
      <c r="T1303" t="n">
        <v/>
      </c>
      <c r="U1303" t="n">
        <v/>
      </c>
      <c r="V1303" t="b">
        <v>0</v>
      </c>
      <c r="W1303" t="inlineStr"/>
      <c r="X1303" t="n">
        <v/>
      </c>
    </row>
    <row r="1304">
      <c r="A1304" t="inlineStr">
        <is>
          <t>ATF Fuel 2</t>
        </is>
      </c>
      <c r="B1304" t="inlineStr">
        <is>
          <t>G76</t>
        </is>
      </c>
      <c r="C1304" t="n">
        <v>76</v>
      </c>
      <c r="D1304" t="n">
        <v>7</v>
      </c>
      <c r="E1304" t="inlineStr">
        <is>
          <t>Output</t>
        </is>
      </c>
      <c r="F1304" t="inlineStr">
        <is>
          <t>'=F76/F75-1</t>
        </is>
      </c>
      <c r="G1304" t="n">
        <v>0.1025005631899076</v>
      </c>
      <c r="H1304" t="inlineStr"/>
      <c r="I1304" t="inlineStr">
        <is>
          <t>0%</t>
        </is>
      </c>
      <c r="J1304" t="b">
        <v>0</v>
      </c>
      <c r="K1304" t="b">
        <v>0</v>
      </c>
      <c r="L1304" t="n">
        <v>11</v>
      </c>
      <c r="M1304" t="inlineStr">
        <is>
          <t>Values must be of type &lt;class 'str'&gt;</t>
        </is>
      </c>
      <c r="N1304" t="inlineStr">
        <is>
          <t>00000000</t>
        </is>
      </c>
      <c r="O1304" t="n">
        <v/>
      </c>
      <c r="R1304" t="b">
        <v>1</v>
      </c>
      <c r="S1304" t="inlineStr">
        <is>
          <t>G000155</t>
        </is>
      </c>
      <c r="T1304" t="inlineStr">
        <is>
          <t>Vertical</t>
        </is>
      </c>
      <c r="U1304" t="n">
        <v>93</v>
      </c>
      <c r="V1304" t="b">
        <v>1</v>
      </c>
      <c r="W1304" t="inlineStr">
        <is>
          <t>ATF Fuel 2!G3:G95</t>
        </is>
      </c>
      <c r="X1304">
        <f>R[0]C[-1]/R[-1]C[-1]-1</f>
        <v/>
      </c>
    </row>
    <row r="1305">
      <c r="A1305" t="inlineStr">
        <is>
          <t>ATF Fuel 2</t>
        </is>
      </c>
      <c r="B1305" t="inlineStr">
        <is>
          <t>H76</t>
        </is>
      </c>
      <c r="C1305" t="n">
        <v>76</v>
      </c>
      <c r="D1305" t="n">
        <v>8</v>
      </c>
      <c r="E1305" t="inlineStr">
        <is>
          <t>Calculation</t>
        </is>
      </c>
      <c r="F1305" t="inlineStr">
        <is>
          <t>'=D76*F76</t>
        </is>
      </c>
      <c r="G1305" t="n">
        <v>3290.7256</v>
      </c>
      <c r="H1305" t="inlineStr"/>
      <c r="I1305" t="inlineStr">
        <is>
          <t>0</t>
        </is>
      </c>
      <c r="J1305" t="b">
        <v>0</v>
      </c>
      <c r="K1305" t="b">
        <v>0</v>
      </c>
      <c r="L1305" t="n">
        <v>11</v>
      </c>
      <c r="M1305" t="inlineStr">
        <is>
          <t>Values must be of type &lt;class 'str'&gt;</t>
        </is>
      </c>
      <c r="N1305" t="inlineStr">
        <is>
          <t>00000000</t>
        </is>
      </c>
      <c r="O1305" t="n">
        <v/>
      </c>
      <c r="R1305" t="b">
        <v>1</v>
      </c>
      <c r="S1305" t="inlineStr">
        <is>
          <t>G000152</t>
        </is>
      </c>
      <c r="T1305" t="inlineStr">
        <is>
          <t>Vertical</t>
        </is>
      </c>
      <c r="U1305" t="n">
        <v>98</v>
      </c>
      <c r="V1305" t="b">
        <v>1</v>
      </c>
      <c r="W1305" t="inlineStr">
        <is>
          <t>ATF Fuel 2!H2:H99</t>
        </is>
      </c>
      <c r="X1305">
        <f>R[0]C[-4]*R[0]C[-2]</f>
        <v/>
      </c>
    </row>
    <row r="1306">
      <c r="A1306" t="inlineStr">
        <is>
          <t>ATF Fuel 2</t>
        </is>
      </c>
      <c r="B1306" t="inlineStr">
        <is>
          <t>I76</t>
        </is>
      </c>
      <c r="C1306" t="n">
        <v>76</v>
      </c>
      <c r="D1306" t="n">
        <v>9</v>
      </c>
      <c r="E1306" t="inlineStr">
        <is>
          <t>Output</t>
        </is>
      </c>
      <c r="F1306" t="inlineStr">
        <is>
          <t>'=H76/H75-1</t>
        </is>
      </c>
      <c r="G1306" t="n">
        <v>0.1162797450517903</v>
      </c>
      <c r="H1306" t="inlineStr"/>
      <c r="I1306" t="inlineStr">
        <is>
          <t>0%</t>
        </is>
      </c>
      <c r="J1306" t="b">
        <v>0</v>
      </c>
      <c r="K1306" t="b">
        <v>0</v>
      </c>
      <c r="L1306" t="n">
        <v>11</v>
      </c>
      <c r="M1306" t="inlineStr">
        <is>
          <t>FFFF0000</t>
        </is>
      </c>
      <c r="N1306" t="inlineStr">
        <is>
          <t>00000000</t>
        </is>
      </c>
      <c r="O1306" t="n">
        <v/>
      </c>
      <c r="R1306" t="b">
        <v>1</v>
      </c>
      <c r="S1306" t="inlineStr">
        <is>
          <t>G000156</t>
        </is>
      </c>
      <c r="T1306" t="inlineStr">
        <is>
          <t>Vertical</t>
        </is>
      </c>
      <c r="U1306" t="n">
        <v>97</v>
      </c>
      <c r="V1306" t="b">
        <v>1</v>
      </c>
      <c r="W1306" t="inlineStr">
        <is>
          <t>ATF Fuel 2!I3:I99</t>
        </is>
      </c>
      <c r="X1306">
        <f>R[0]C[-1]/R[-1]C[-1]-1</f>
        <v/>
      </c>
    </row>
    <row r="1307">
      <c r="A1307" t="inlineStr">
        <is>
          <t>ATF Fuel 2</t>
        </is>
      </c>
      <c r="B1307" t="inlineStr">
        <is>
          <t>J76</t>
        </is>
      </c>
      <c r="C1307" t="n">
        <v>76</v>
      </c>
      <c r="D1307" t="n">
        <v>10</v>
      </c>
      <c r="E1307" t="inlineStr">
        <is>
          <t>Input</t>
        </is>
      </c>
      <c r="F1307" t="n">
        <v/>
      </c>
      <c r="G1307" t="n">
        <v>49.07</v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11</v>
      </c>
      <c r="M1307" t="inlineStr">
        <is>
          <t>Values must be of type &lt;class 'str'&gt;</t>
        </is>
      </c>
      <c r="N1307" t="inlineStr">
        <is>
          <t>00000000</t>
        </is>
      </c>
      <c r="O1307" t="n">
        <v/>
      </c>
      <c r="R1307" t="b">
        <v>1</v>
      </c>
      <c r="S1307" t="n">
        <v/>
      </c>
      <c r="T1307" t="n">
        <v/>
      </c>
      <c r="U1307" t="n">
        <v/>
      </c>
      <c r="V1307" t="b">
        <v>0</v>
      </c>
      <c r="W1307" t="inlineStr"/>
      <c r="X1307" t="n">
        <v/>
      </c>
    </row>
    <row r="1308">
      <c r="A1308" t="inlineStr">
        <is>
          <t>ATF Fuel 2</t>
        </is>
      </c>
      <c r="B1308" t="inlineStr">
        <is>
          <t>K76</t>
        </is>
      </c>
      <c r="C1308" t="n">
        <v>76</v>
      </c>
      <c r="D1308" t="n">
        <v>11</v>
      </c>
      <c r="E1308" t="inlineStr">
        <is>
          <t>Output</t>
        </is>
      </c>
      <c r="F1308" t="inlineStr">
        <is>
          <t>'=J76/J75-1</t>
        </is>
      </c>
      <c r="G1308" t="n">
        <v>0.09653631284916209</v>
      </c>
      <c r="H1308" t="inlineStr"/>
      <c r="I1308" t="inlineStr">
        <is>
          <t>0%</t>
        </is>
      </c>
      <c r="J1308" t="b">
        <v>0</v>
      </c>
      <c r="K1308" t="b">
        <v>0</v>
      </c>
      <c r="L1308" t="n">
        <v>11</v>
      </c>
      <c r="M1308" t="inlineStr">
        <is>
          <t>Values must be of type &lt;class 'str'&gt;</t>
        </is>
      </c>
      <c r="N1308" t="inlineStr">
        <is>
          <t>00000000</t>
        </is>
      </c>
      <c r="O1308" t="n">
        <v/>
      </c>
      <c r="R1308" t="b">
        <v>1</v>
      </c>
      <c r="S1308" t="inlineStr">
        <is>
          <t>G000157</t>
        </is>
      </c>
      <c r="T1308" t="inlineStr">
        <is>
          <t>Vertical</t>
        </is>
      </c>
      <c r="U1308" t="n">
        <v>93</v>
      </c>
      <c r="V1308" t="b">
        <v>1</v>
      </c>
      <c r="W1308" t="inlineStr">
        <is>
          <t>ATF Fuel 2!K3:K95</t>
        </is>
      </c>
      <c r="X1308">
        <f>R[0]C[-1]/R[-1]C[-1]-1</f>
        <v/>
      </c>
    </row>
    <row r="1309">
      <c r="A1309" t="inlineStr">
        <is>
          <t>ATF Fuel 2</t>
        </is>
      </c>
      <c r="B1309" t="inlineStr">
        <is>
          <t>L76</t>
        </is>
      </c>
      <c r="C1309" t="n">
        <v>76</v>
      </c>
      <c r="D1309" t="n">
        <v>12</v>
      </c>
      <c r="E1309" t="inlineStr">
        <is>
          <t>Input</t>
        </is>
      </c>
      <c r="F1309" t="n">
        <v/>
      </c>
      <c r="G1309" t="inlineStr">
        <is>
          <t>June 01,2016</t>
        </is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11</v>
      </c>
      <c r="M1309" t="inlineStr">
        <is>
          <t>Values must be of type &lt;class 'str'&gt;</t>
        </is>
      </c>
      <c r="N1309" t="inlineStr">
        <is>
          <t>00000000</t>
        </is>
      </c>
      <c r="O1309" t="inlineStr">
        <is>
          <t>left</t>
        </is>
      </c>
      <c r="R1309" t="b">
        <v>1</v>
      </c>
      <c r="S1309" t="n">
        <v/>
      </c>
      <c r="T1309" t="n">
        <v/>
      </c>
      <c r="U1309" t="n">
        <v/>
      </c>
      <c r="V1309" t="b">
        <v>0</v>
      </c>
      <c r="W1309" t="inlineStr"/>
      <c r="X1309" t="n">
        <v/>
      </c>
    </row>
    <row r="1310">
      <c r="A1310" t="inlineStr">
        <is>
          <t>ATF Fuel 2</t>
        </is>
      </c>
      <c r="B1310" t="inlineStr">
        <is>
          <t>M76</t>
        </is>
      </c>
      <c r="C1310" t="n">
        <v>76</v>
      </c>
      <c r="D1310" t="n">
        <v>13</v>
      </c>
      <c r="E1310" t="inlineStr">
        <is>
          <t>Calculation</t>
        </is>
      </c>
      <c r="F1310" t="inlineStr">
        <is>
          <t>'=(1+(B76/B75)-1)*M75</t>
        </is>
      </c>
      <c r="G1310" t="n">
        <v>108.9491291522699</v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11</v>
      </c>
      <c r="M1310" t="inlineStr">
        <is>
          <t>Values must be of type &lt;class 'str'&gt;</t>
        </is>
      </c>
      <c r="N1310" t="inlineStr">
        <is>
          <t>00000000</t>
        </is>
      </c>
      <c r="O1310" t="inlineStr">
        <is>
          <t>left</t>
        </is>
      </c>
      <c r="R1310" t="b">
        <v>1</v>
      </c>
      <c r="S1310" t="inlineStr">
        <is>
          <t>G000159</t>
        </is>
      </c>
      <c r="T1310" t="inlineStr">
        <is>
          <t>Vertical</t>
        </is>
      </c>
      <c r="U1310" t="n">
        <v>92</v>
      </c>
      <c r="V1310" t="b">
        <v>1</v>
      </c>
      <c r="W1310" t="inlineStr">
        <is>
          <t>ATF Fuel 2!M3:M94</t>
        </is>
      </c>
      <c r="X1310">
        <f>(1+(R[0]C[-11]/R[-1]C[-11])-1)*R[-1]C[0]</f>
        <v/>
      </c>
    </row>
    <row r="1311">
      <c r="A1311" t="inlineStr">
        <is>
          <t>ATF Fuel 2</t>
        </is>
      </c>
      <c r="B1311" t="inlineStr">
        <is>
          <t>N76</t>
        </is>
      </c>
      <c r="C1311" t="n">
        <v>76</v>
      </c>
      <c r="D1311" t="n">
        <v>14</v>
      </c>
      <c r="E1311" t="inlineStr">
        <is>
          <t>Calculation</t>
        </is>
      </c>
      <c r="F1311" t="inlineStr">
        <is>
          <t>'=(1+(F76/F75)-1)*N75</t>
        </is>
      </c>
      <c r="G1311" t="n">
        <v>59.22788333535041</v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11</v>
      </c>
      <c r="M1311" t="inlineStr">
        <is>
          <t>Values must be of type &lt;class 'str'&gt;</t>
        </is>
      </c>
      <c r="N1311" t="inlineStr">
        <is>
          <t>00000000</t>
        </is>
      </c>
      <c r="O1311" t="inlineStr">
        <is>
          <t>left</t>
        </is>
      </c>
      <c r="R1311" t="b">
        <v>1</v>
      </c>
      <c r="S1311" t="inlineStr">
        <is>
          <t>G000160</t>
        </is>
      </c>
      <c r="T1311" t="inlineStr">
        <is>
          <t>Vertical</t>
        </is>
      </c>
      <c r="U1311" t="n">
        <v>92</v>
      </c>
      <c r="V1311" t="b">
        <v>1</v>
      </c>
      <c r="W1311" t="inlineStr">
        <is>
          <t>ATF Fuel 2!N3:N94</t>
        </is>
      </c>
      <c r="X1311">
        <f>(1+(R[0]C[-8]/R[-1]C[-8])-1)*R[-1]C[0]</f>
        <v/>
      </c>
    </row>
    <row r="1312">
      <c r="A1312" t="inlineStr">
        <is>
          <t>ATF Fuel 2</t>
        </is>
      </c>
      <c r="B1312" t="inlineStr">
        <is>
          <t>O76</t>
        </is>
      </c>
      <c r="C1312" t="n">
        <v>76</v>
      </c>
      <c r="D1312" t="n">
        <v>15</v>
      </c>
      <c r="E1312" t="inlineStr">
        <is>
          <t>Calculation</t>
        </is>
      </c>
      <c r="F1312" t="inlineStr">
        <is>
          <t>'=(1+(J76/J75)-1)*O75</t>
        </is>
      </c>
      <c r="G1312" t="n">
        <v>58.05039630900277</v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11</v>
      </c>
      <c r="M1312" t="inlineStr">
        <is>
          <t>Values must be of type &lt;class 'str'&gt;</t>
        </is>
      </c>
      <c r="N1312" t="inlineStr">
        <is>
          <t>00000000</t>
        </is>
      </c>
      <c r="O1312" t="inlineStr">
        <is>
          <t>left</t>
        </is>
      </c>
      <c r="R1312" t="b">
        <v>1</v>
      </c>
      <c r="S1312" t="inlineStr">
        <is>
          <t>G000162</t>
        </is>
      </c>
      <c r="T1312" t="inlineStr">
        <is>
          <t>Vertical</t>
        </is>
      </c>
      <c r="U1312" t="n">
        <v>92</v>
      </c>
      <c r="V1312" t="b">
        <v>1</v>
      </c>
      <c r="W1312" t="inlineStr">
        <is>
          <t>ATF Fuel 2!O3:O94</t>
        </is>
      </c>
      <c r="X1312">
        <f>(1+(R[0]C[-5]/R[-1]C[-5])-1)*R[-1]C[0]</f>
        <v/>
      </c>
    </row>
    <row r="1313">
      <c r="A1313" t="inlineStr">
        <is>
          <t>ATF Fuel 2</t>
        </is>
      </c>
      <c r="B1313" t="inlineStr">
        <is>
          <t>P76</t>
        </is>
      </c>
      <c r="C1313" t="n">
        <v>76</v>
      </c>
      <c r="D1313" t="n">
        <v>16</v>
      </c>
      <c r="E1313" t="inlineStr">
        <is>
          <t>Calculation</t>
        </is>
      </c>
      <c r="F1313" t="inlineStr">
        <is>
          <t>'=(1+(H76/H75)-1)*P75</t>
        </is>
      </c>
      <c r="G1313" t="n">
        <v>88.97414824550847</v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11</v>
      </c>
      <c r="M1313" t="inlineStr">
        <is>
          <t>Values must be of type &lt;class 'str'&gt;</t>
        </is>
      </c>
      <c r="N1313" t="inlineStr">
        <is>
          <t>00000000</t>
        </is>
      </c>
      <c r="O1313" t="inlineStr">
        <is>
          <t>left</t>
        </is>
      </c>
      <c r="R1313" t="b">
        <v>1</v>
      </c>
      <c r="S1313" t="inlineStr">
        <is>
          <t>G000161</t>
        </is>
      </c>
      <c r="T1313" t="inlineStr">
        <is>
          <t>Vertical</t>
        </is>
      </c>
      <c r="U1313" t="n">
        <v>92</v>
      </c>
      <c r="V1313" t="b">
        <v>1</v>
      </c>
      <c r="W1313" t="inlineStr">
        <is>
          <t>ATF Fuel 2!P3:P94</t>
        </is>
      </c>
      <c r="X1313">
        <f>(1+(R[0]C[-8]/R[-1]C[-8])-1)*R[-1]C[0]</f>
        <v/>
      </c>
    </row>
    <row r="1314">
      <c r="A1314" t="inlineStr">
        <is>
          <t>ATF Fuel 2</t>
        </is>
      </c>
      <c r="B1314" t="inlineStr">
        <is>
          <t>Q76</t>
        </is>
      </c>
      <c r="C1314" t="n">
        <v>76</v>
      </c>
      <c r="D1314" t="n">
        <v>17</v>
      </c>
      <c r="E1314" t="inlineStr">
        <is>
          <t>Output</t>
        </is>
      </c>
      <c r="F1314" t="inlineStr">
        <is>
          <t>'=M76/N76-1</t>
        </is>
      </c>
      <c r="G1314" t="n">
        <v>0.8394905071213838</v>
      </c>
      <c r="H1314" t="inlineStr"/>
      <c r="I1314" t="inlineStr">
        <is>
          <t>0.0%</t>
        </is>
      </c>
      <c r="J1314" t="b">
        <v>0</v>
      </c>
      <c r="K1314" t="b">
        <v>0</v>
      </c>
      <c r="L1314" t="n">
        <v>11</v>
      </c>
      <c r="M1314" t="inlineStr">
        <is>
          <t>Values must be of type &lt;class 'str'&gt;</t>
        </is>
      </c>
      <c r="N1314" t="inlineStr">
        <is>
          <t>00000000</t>
        </is>
      </c>
      <c r="O1314" t="n">
        <v/>
      </c>
      <c r="R1314" t="b">
        <v>1</v>
      </c>
      <c r="S1314" t="inlineStr">
        <is>
          <t>G000153</t>
        </is>
      </c>
      <c r="T1314" t="inlineStr">
        <is>
          <t>Vertical</t>
        </is>
      </c>
      <c r="U1314" t="n">
        <v>93</v>
      </c>
      <c r="V1314" t="b">
        <v>1</v>
      </c>
      <c r="W1314" t="inlineStr">
        <is>
          <t>ATF Fuel 2!Q2:Q94</t>
        </is>
      </c>
      <c r="X1314">
        <f>R[0]C[-4]/R[0]C[-3]-1</f>
        <v/>
      </c>
    </row>
    <row r="1315">
      <c r="A1315" t="inlineStr">
        <is>
          <t>ATF Fuel 2</t>
        </is>
      </c>
      <c r="B1315" t="inlineStr">
        <is>
          <t>A77</t>
        </is>
      </c>
      <c r="C1315" t="n">
        <v>77</v>
      </c>
      <c r="D1315" t="n">
        <v>1</v>
      </c>
      <c r="E1315" t="inlineStr">
        <is>
          <t>Input</t>
        </is>
      </c>
      <c r="F1315" t="n">
        <v/>
      </c>
      <c r="G1315" t="inlineStr">
        <is>
          <t>July 01,2016</t>
        </is>
      </c>
      <c r="H1315" t="inlineStr"/>
      <c r="I1315" t="inlineStr">
        <is>
          <t>General</t>
        </is>
      </c>
      <c r="J1315" t="b">
        <v>0</v>
      </c>
      <c r="K1315" t="b">
        <v>0</v>
      </c>
      <c r="L1315" t="n">
        <v>11</v>
      </c>
      <c r="M1315" t="inlineStr">
        <is>
          <t>Values must be of type &lt;class 'str'&gt;</t>
        </is>
      </c>
      <c r="N1315" t="inlineStr">
        <is>
          <t>00000000</t>
        </is>
      </c>
      <c r="O1315" t="n">
        <v/>
      </c>
      <c r="R1315" t="b">
        <v>1</v>
      </c>
      <c r="S1315" t="n">
        <v/>
      </c>
      <c r="T1315" t="n">
        <v/>
      </c>
      <c r="U1315" t="n">
        <v/>
      </c>
      <c r="V1315" t="b">
        <v>0</v>
      </c>
      <c r="W1315" t="inlineStr"/>
      <c r="X1315" t="n">
        <v/>
      </c>
    </row>
    <row r="1316">
      <c r="A1316" t="inlineStr">
        <is>
          <t>ATF Fuel 2</t>
        </is>
      </c>
      <c r="B1316" t="inlineStr">
        <is>
          <t>B77</t>
        </is>
      </c>
      <c r="C1316" t="n">
        <v>77</v>
      </c>
      <c r="D1316" t="n">
        <v>2</v>
      </c>
      <c r="E1316" t="inlineStr">
        <is>
          <t>Input</t>
        </is>
      </c>
      <c r="F1316" t="n">
        <v/>
      </c>
      <c r="G1316" t="n">
        <v>50958.6975</v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11</v>
      </c>
      <c r="M1316" t="inlineStr">
        <is>
          <t>Values must be of type &lt;class 'str'&gt;</t>
        </is>
      </c>
      <c r="N1316" t="inlineStr">
        <is>
          <t>00000000</t>
        </is>
      </c>
      <c r="O1316" t="n">
        <v/>
      </c>
      <c r="R1316" t="b">
        <v>1</v>
      </c>
      <c r="S1316" t="n">
        <v/>
      </c>
      <c r="T1316" t="n">
        <v/>
      </c>
      <c r="U1316" t="n">
        <v/>
      </c>
      <c r="V1316" t="b">
        <v>0</v>
      </c>
      <c r="W1316" t="inlineStr"/>
      <c r="X1316" t="n">
        <v/>
      </c>
    </row>
    <row r="1317">
      <c r="A1317" t="inlineStr">
        <is>
          <t>ATF Fuel 2</t>
        </is>
      </c>
      <c r="B1317" t="inlineStr">
        <is>
          <t>C77</t>
        </is>
      </c>
      <c r="C1317" t="n">
        <v>77</v>
      </c>
      <c r="D1317" t="n">
        <v>3</v>
      </c>
      <c r="E1317" t="inlineStr">
        <is>
          <t>Output</t>
        </is>
      </c>
      <c r="F1317" t="inlineStr">
        <is>
          <t>'=B77/B76-1</t>
        </is>
      </c>
      <c r="G1317" t="n">
        <v>0.05435138223443881</v>
      </c>
      <c r="H1317" t="inlineStr"/>
      <c r="I1317" t="inlineStr">
        <is>
          <t>0%</t>
        </is>
      </c>
      <c r="J1317" t="b">
        <v>0</v>
      </c>
      <c r="K1317" t="b">
        <v>0</v>
      </c>
      <c r="L1317" t="n">
        <v>11</v>
      </c>
      <c r="M1317" t="n">
        <v/>
      </c>
      <c r="N1317" t="inlineStr">
        <is>
          <t>00000000</t>
        </is>
      </c>
      <c r="O1317" t="n">
        <v/>
      </c>
      <c r="R1317" t="b">
        <v>1</v>
      </c>
      <c r="S1317" t="inlineStr">
        <is>
          <t>G000154</t>
        </is>
      </c>
      <c r="T1317" t="inlineStr">
        <is>
          <t>Vertical</t>
        </is>
      </c>
      <c r="U1317" t="n">
        <v>92</v>
      </c>
      <c r="V1317" t="b">
        <v>1</v>
      </c>
      <c r="W1317" t="inlineStr">
        <is>
          <t>ATF Fuel 2!C3:C94</t>
        </is>
      </c>
      <c r="X1317">
        <f>R[0]C[-1]/R[-1]C[-1]-1</f>
        <v/>
      </c>
    </row>
    <row r="1318">
      <c r="A1318" t="inlineStr">
        <is>
          <t>ATF Fuel 2</t>
        </is>
      </c>
      <c r="B1318" t="inlineStr">
        <is>
          <t>D77</t>
        </is>
      </c>
      <c r="C1318" t="n">
        <v>77</v>
      </c>
      <c r="D1318" t="n">
        <v>4</v>
      </c>
      <c r="E1318" t="inlineStr">
        <is>
          <t>Input</t>
        </is>
      </c>
      <c r="F1318" t="n">
        <v/>
      </c>
      <c r="G1318" t="n">
        <v>67.5</v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11</v>
      </c>
      <c r="M1318" t="inlineStr">
        <is>
          <t>Values must be of type &lt;class 'str'&gt;</t>
        </is>
      </c>
      <c r="N1318" t="inlineStr">
        <is>
          <t>00000000</t>
        </is>
      </c>
      <c r="O1318" t="n">
        <v/>
      </c>
      <c r="R1318" t="b">
        <v>1</v>
      </c>
      <c r="S1318" t="n">
        <v/>
      </c>
      <c r="T1318" t="n">
        <v/>
      </c>
      <c r="U1318" t="n">
        <v/>
      </c>
      <c r="V1318" t="b">
        <v>0</v>
      </c>
      <c r="W1318" t="inlineStr"/>
      <c r="X1318" t="n">
        <v/>
      </c>
    </row>
    <row r="1319">
      <c r="A1319" t="inlineStr">
        <is>
          <t>ATF Fuel 2</t>
        </is>
      </c>
      <c r="B1319" t="inlineStr">
        <is>
          <t>E77</t>
        </is>
      </c>
      <c r="C1319" t="n">
        <v>77</v>
      </c>
      <c r="D1319" t="n">
        <v>5</v>
      </c>
      <c r="E1319" t="inlineStr">
        <is>
          <t>Output</t>
        </is>
      </c>
      <c r="F1319" t="inlineStr">
        <is>
          <t>'=B77/B76-1</t>
        </is>
      </c>
      <c r="G1319" t="n">
        <v>0.05435138223443881</v>
      </c>
      <c r="H1319" t="inlineStr"/>
      <c r="I1319" t="inlineStr">
        <is>
          <t>0%</t>
        </is>
      </c>
      <c r="J1319" t="b">
        <v>0</v>
      </c>
      <c r="K1319" t="b">
        <v>0</v>
      </c>
      <c r="L1319" t="n">
        <v>11</v>
      </c>
      <c r="M1319" t="inlineStr">
        <is>
          <t>Values must be of type &lt;class 'str'&gt;</t>
        </is>
      </c>
      <c r="N1319" t="inlineStr">
        <is>
          <t>00000000</t>
        </is>
      </c>
      <c r="O1319" t="n">
        <v/>
      </c>
      <c r="R1319" t="b">
        <v>1</v>
      </c>
      <c r="S1319" t="inlineStr">
        <is>
          <t>G000158</t>
        </is>
      </c>
      <c r="T1319" t="inlineStr">
        <is>
          <t>Vertical</t>
        </is>
      </c>
      <c r="U1319" t="n">
        <v>92</v>
      </c>
      <c r="V1319" t="b">
        <v>1</v>
      </c>
      <c r="W1319" t="inlineStr">
        <is>
          <t>ATF Fuel 2!E3:E94</t>
        </is>
      </c>
      <c r="X1319">
        <f>R[0]C[-3]/R[-1]C[-3]-1</f>
        <v/>
      </c>
    </row>
    <row r="1320">
      <c r="A1320" t="inlineStr">
        <is>
          <t>ATF Fuel 2</t>
        </is>
      </c>
      <c r="B1320" t="inlineStr">
        <is>
          <t>F77</t>
        </is>
      </c>
      <c r="C1320" t="n">
        <v>77</v>
      </c>
      <c r="D1320" t="n">
        <v>6</v>
      </c>
      <c r="E1320" t="inlineStr">
        <is>
          <t>Input</t>
        </is>
      </c>
      <c r="F1320" t="n">
        <v/>
      </c>
      <c r="G1320" t="n">
        <v>45.7</v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11</v>
      </c>
      <c r="M1320" t="inlineStr">
        <is>
          <t>Values must be of type &lt;class 'str'&gt;</t>
        </is>
      </c>
      <c r="N1320" t="inlineStr">
        <is>
          <t>00000000</t>
        </is>
      </c>
      <c r="O1320" t="n">
        <v/>
      </c>
      <c r="R1320" t="b">
        <v>1</v>
      </c>
      <c r="S1320" t="n">
        <v/>
      </c>
      <c r="T1320" t="n">
        <v/>
      </c>
      <c r="U1320" t="n">
        <v/>
      </c>
      <c r="V1320" t="b">
        <v>0</v>
      </c>
      <c r="W1320" t="inlineStr"/>
      <c r="X1320" t="n">
        <v/>
      </c>
    </row>
    <row r="1321">
      <c r="A1321" t="inlineStr">
        <is>
          <t>ATF Fuel 2</t>
        </is>
      </c>
      <c r="B1321" t="inlineStr">
        <is>
          <t>G77</t>
        </is>
      </c>
      <c r="C1321" t="n">
        <v>77</v>
      </c>
      <c r="D1321" t="n">
        <v>7</v>
      </c>
      <c r="E1321" t="inlineStr">
        <is>
          <t>Output</t>
        </is>
      </c>
      <c r="F1321" t="inlineStr">
        <is>
          <t>'=F77/F76-1</t>
        </is>
      </c>
      <c r="G1321" t="n">
        <v>-0.06620351450756012</v>
      </c>
      <c r="H1321" t="inlineStr"/>
      <c r="I1321" t="inlineStr">
        <is>
          <t>0%</t>
        </is>
      </c>
      <c r="J1321" t="b">
        <v>0</v>
      </c>
      <c r="K1321" t="b">
        <v>0</v>
      </c>
      <c r="L1321" t="n">
        <v>11</v>
      </c>
      <c r="M1321" t="inlineStr">
        <is>
          <t>Values must be of type &lt;class 'str'&gt;</t>
        </is>
      </c>
      <c r="N1321" t="inlineStr">
        <is>
          <t>00000000</t>
        </is>
      </c>
      <c r="O1321" t="n">
        <v/>
      </c>
      <c r="R1321" t="b">
        <v>1</v>
      </c>
      <c r="S1321" t="inlineStr">
        <is>
          <t>G000155</t>
        </is>
      </c>
      <c r="T1321" t="inlineStr">
        <is>
          <t>Vertical</t>
        </is>
      </c>
      <c r="U1321" t="n">
        <v>93</v>
      </c>
      <c r="V1321" t="b">
        <v>1</v>
      </c>
      <c r="W1321" t="inlineStr">
        <is>
          <t>ATF Fuel 2!G3:G95</t>
        </is>
      </c>
      <c r="X1321">
        <f>R[0]C[-1]/R[-1]C[-1]-1</f>
        <v/>
      </c>
    </row>
    <row r="1322">
      <c r="A1322" t="inlineStr">
        <is>
          <t>ATF Fuel 2</t>
        </is>
      </c>
      <c r="B1322" t="inlineStr">
        <is>
          <t>H77</t>
        </is>
      </c>
      <c r="C1322" t="n">
        <v>77</v>
      </c>
      <c r="D1322" t="n">
        <v>8</v>
      </c>
      <c r="E1322" t="inlineStr">
        <is>
          <t>Calculation</t>
        </is>
      </c>
      <c r="F1322" t="inlineStr">
        <is>
          <t>'=D77*F77</t>
        </is>
      </c>
      <c r="G1322" t="n">
        <v>3084.75</v>
      </c>
      <c r="H1322" t="inlineStr"/>
      <c r="I1322" t="inlineStr">
        <is>
          <t>0</t>
        </is>
      </c>
      <c r="J1322" t="b">
        <v>0</v>
      </c>
      <c r="K1322" t="b">
        <v>0</v>
      </c>
      <c r="L1322" t="n">
        <v>11</v>
      </c>
      <c r="M1322" t="inlineStr">
        <is>
          <t>Values must be of type &lt;class 'str'&gt;</t>
        </is>
      </c>
      <c r="N1322" t="inlineStr">
        <is>
          <t>00000000</t>
        </is>
      </c>
      <c r="O1322" t="n">
        <v/>
      </c>
      <c r="R1322" t="b">
        <v>1</v>
      </c>
      <c r="S1322" t="inlineStr">
        <is>
          <t>G000152</t>
        </is>
      </c>
      <c r="T1322" t="inlineStr">
        <is>
          <t>Vertical</t>
        </is>
      </c>
      <c r="U1322" t="n">
        <v>98</v>
      </c>
      <c r="V1322" t="b">
        <v>1</v>
      </c>
      <c r="W1322" t="inlineStr">
        <is>
          <t>ATF Fuel 2!H2:H99</t>
        </is>
      </c>
      <c r="X1322">
        <f>R[0]C[-4]*R[0]C[-2]</f>
        <v/>
      </c>
    </row>
    <row r="1323">
      <c r="A1323" t="inlineStr">
        <is>
          <t>ATF Fuel 2</t>
        </is>
      </c>
      <c r="B1323" t="inlineStr">
        <is>
          <t>I77</t>
        </is>
      </c>
      <c r="C1323" t="n">
        <v>77</v>
      </c>
      <c r="D1323" t="n">
        <v>9</v>
      </c>
      <c r="E1323" t="inlineStr">
        <is>
          <t>Output</t>
        </is>
      </c>
      <c r="F1323" t="inlineStr">
        <is>
          <t>'=H77/H76-1</t>
        </is>
      </c>
      <c r="G1323" t="n">
        <v>-0.06259276069691122</v>
      </c>
      <c r="H1323" t="inlineStr"/>
      <c r="I1323" t="inlineStr">
        <is>
          <t>0%</t>
        </is>
      </c>
      <c r="J1323" t="b">
        <v>0</v>
      </c>
      <c r="K1323" t="b">
        <v>0</v>
      </c>
      <c r="L1323" t="n">
        <v>11</v>
      </c>
      <c r="M1323" t="inlineStr">
        <is>
          <t>FFFF0000</t>
        </is>
      </c>
      <c r="N1323" t="inlineStr">
        <is>
          <t>00000000</t>
        </is>
      </c>
      <c r="O1323" t="n">
        <v/>
      </c>
      <c r="R1323" t="b">
        <v>1</v>
      </c>
      <c r="S1323" t="inlineStr">
        <is>
          <t>G000156</t>
        </is>
      </c>
      <c r="T1323" t="inlineStr">
        <is>
          <t>Vertical</t>
        </is>
      </c>
      <c r="U1323" t="n">
        <v>97</v>
      </c>
      <c r="V1323" t="b">
        <v>1</v>
      </c>
      <c r="W1323" t="inlineStr">
        <is>
          <t>ATF Fuel 2!I3:I99</t>
        </is>
      </c>
      <c r="X1323">
        <f>R[0]C[-1]/R[-1]C[-1]-1</f>
        <v/>
      </c>
    </row>
    <row r="1324">
      <c r="A1324" t="inlineStr">
        <is>
          <t>ATF Fuel 2</t>
        </is>
      </c>
      <c r="B1324" t="inlineStr">
        <is>
          <t>J77</t>
        </is>
      </c>
      <c r="C1324" t="n">
        <v>77</v>
      </c>
      <c r="D1324" t="n">
        <v>10</v>
      </c>
      <c r="E1324" t="inlineStr">
        <is>
          <t>Input</t>
        </is>
      </c>
      <c r="F1324" t="n">
        <v/>
      </c>
      <c r="G1324" t="n">
        <v>49.02</v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11</v>
      </c>
      <c r="M1324" t="inlineStr">
        <is>
          <t>Values must be of type &lt;class 'str'&gt;</t>
        </is>
      </c>
      <c r="N1324" t="inlineStr">
        <is>
          <t>00000000</t>
        </is>
      </c>
      <c r="O1324" t="n">
        <v/>
      </c>
      <c r="R1324" t="b">
        <v>1</v>
      </c>
      <c r="S1324" t="n">
        <v/>
      </c>
      <c r="T1324" t="n">
        <v/>
      </c>
      <c r="U1324" t="n">
        <v/>
      </c>
      <c r="V1324" t="b">
        <v>0</v>
      </c>
      <c r="W1324" t="inlineStr"/>
      <c r="X1324" t="n">
        <v/>
      </c>
    </row>
    <row r="1325">
      <c r="A1325" t="inlineStr">
        <is>
          <t>ATF Fuel 2</t>
        </is>
      </c>
      <c r="B1325" t="inlineStr">
        <is>
          <t>K77</t>
        </is>
      </c>
      <c r="C1325" t="n">
        <v>77</v>
      </c>
      <c r="D1325" t="n">
        <v>11</v>
      </c>
      <c r="E1325" t="inlineStr">
        <is>
          <t>Output</t>
        </is>
      </c>
      <c r="F1325" t="inlineStr">
        <is>
          <t>'=J77/J76-1</t>
        </is>
      </c>
      <c r="G1325" t="n">
        <v>-0.00101895251681261</v>
      </c>
      <c r="H1325" t="inlineStr"/>
      <c r="I1325" t="inlineStr">
        <is>
          <t>0%</t>
        </is>
      </c>
      <c r="J1325" t="b">
        <v>0</v>
      </c>
      <c r="K1325" t="b">
        <v>0</v>
      </c>
      <c r="L1325" t="n">
        <v>11</v>
      </c>
      <c r="M1325" t="inlineStr">
        <is>
          <t>Values must be of type &lt;class 'str'&gt;</t>
        </is>
      </c>
      <c r="N1325" t="inlineStr">
        <is>
          <t>00000000</t>
        </is>
      </c>
      <c r="O1325" t="n">
        <v/>
      </c>
      <c r="R1325" t="b">
        <v>1</v>
      </c>
      <c r="S1325" t="inlineStr">
        <is>
          <t>G000157</t>
        </is>
      </c>
      <c r="T1325" t="inlineStr">
        <is>
          <t>Vertical</t>
        </is>
      </c>
      <c r="U1325" t="n">
        <v>93</v>
      </c>
      <c r="V1325" t="b">
        <v>1</v>
      </c>
      <c r="W1325" t="inlineStr">
        <is>
          <t>ATF Fuel 2!K3:K95</t>
        </is>
      </c>
      <c r="X1325">
        <f>R[0]C[-1]/R[-1]C[-1]-1</f>
        <v/>
      </c>
    </row>
    <row r="1326">
      <c r="A1326" t="inlineStr">
        <is>
          <t>ATF Fuel 2</t>
        </is>
      </c>
      <c r="B1326" t="inlineStr">
        <is>
          <t>L77</t>
        </is>
      </c>
      <c r="C1326" t="n">
        <v>77</v>
      </c>
      <c r="D1326" t="n">
        <v>12</v>
      </c>
      <c r="E1326" t="inlineStr">
        <is>
          <t>Input</t>
        </is>
      </c>
      <c r="F1326" t="n">
        <v/>
      </c>
      <c r="G1326" t="inlineStr">
        <is>
          <t>July 01,2016</t>
        </is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11</v>
      </c>
      <c r="M1326" t="inlineStr">
        <is>
          <t>Values must be of type &lt;class 'str'&gt;</t>
        </is>
      </c>
      <c r="N1326" t="inlineStr">
        <is>
          <t>00000000</t>
        </is>
      </c>
      <c r="O1326" t="inlineStr">
        <is>
          <t>left</t>
        </is>
      </c>
      <c r="R1326" t="b">
        <v>1</v>
      </c>
      <c r="S1326" t="n">
        <v/>
      </c>
      <c r="T1326" t="n">
        <v/>
      </c>
      <c r="U1326" t="n">
        <v/>
      </c>
      <c r="V1326" t="b">
        <v>0</v>
      </c>
      <c r="W1326" t="inlineStr"/>
      <c r="X1326" t="n">
        <v/>
      </c>
    </row>
    <row r="1327">
      <c r="A1327" t="inlineStr">
        <is>
          <t>ATF Fuel 2</t>
        </is>
      </c>
      <c r="B1327" t="inlineStr">
        <is>
          <t>M77</t>
        </is>
      </c>
      <c r="C1327" t="n">
        <v>77</v>
      </c>
      <c r="D1327" t="n">
        <v>13</v>
      </c>
      <c r="E1327" t="inlineStr">
        <is>
          <t>Calculation</t>
        </is>
      </c>
      <c r="F1327" t="inlineStr">
        <is>
          <t>'=(1+(B77/B76)-1)*M76</t>
        </is>
      </c>
      <c r="G1327" t="n">
        <v>114.8706649149342</v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11</v>
      </c>
      <c r="M1327" t="inlineStr">
        <is>
          <t>Values must be of type &lt;class 'str'&gt;</t>
        </is>
      </c>
      <c r="N1327" t="inlineStr">
        <is>
          <t>00000000</t>
        </is>
      </c>
      <c r="O1327" t="inlineStr">
        <is>
          <t>left</t>
        </is>
      </c>
      <c r="R1327" t="b">
        <v>1</v>
      </c>
      <c r="S1327" t="inlineStr">
        <is>
          <t>G000159</t>
        </is>
      </c>
      <c r="T1327" t="inlineStr">
        <is>
          <t>Vertical</t>
        </is>
      </c>
      <c r="U1327" t="n">
        <v>92</v>
      </c>
      <c r="V1327" t="b">
        <v>1</v>
      </c>
      <c r="W1327" t="inlineStr">
        <is>
          <t>ATF Fuel 2!M3:M94</t>
        </is>
      </c>
      <c r="X1327">
        <f>(1+(R[0]C[-11]/R[-1]C[-11])-1)*R[-1]C[0]</f>
        <v/>
      </c>
    </row>
    <row r="1328">
      <c r="A1328" t="inlineStr">
        <is>
          <t>ATF Fuel 2</t>
        </is>
      </c>
      <c r="B1328" t="inlineStr">
        <is>
          <t>N77</t>
        </is>
      </c>
      <c r="C1328" t="n">
        <v>77</v>
      </c>
      <c r="D1328" t="n">
        <v>14</v>
      </c>
      <c r="E1328" t="inlineStr">
        <is>
          <t>Calculation</t>
        </is>
      </c>
      <c r="F1328" t="inlineStr">
        <is>
          <t>'=(1+(F77/F76)-1)*N76</t>
        </is>
      </c>
      <c r="G1328" t="n">
        <v>55.30678930170647</v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11</v>
      </c>
      <c r="M1328" t="inlineStr">
        <is>
          <t>Values must be of type &lt;class 'str'&gt;</t>
        </is>
      </c>
      <c r="N1328" t="inlineStr">
        <is>
          <t>00000000</t>
        </is>
      </c>
      <c r="O1328" t="inlineStr">
        <is>
          <t>left</t>
        </is>
      </c>
      <c r="R1328" t="b">
        <v>1</v>
      </c>
      <c r="S1328" t="inlineStr">
        <is>
          <t>G000160</t>
        </is>
      </c>
      <c r="T1328" t="inlineStr">
        <is>
          <t>Vertical</t>
        </is>
      </c>
      <c r="U1328" t="n">
        <v>92</v>
      </c>
      <c r="V1328" t="b">
        <v>1</v>
      </c>
      <c r="W1328" t="inlineStr">
        <is>
          <t>ATF Fuel 2!N3:N94</t>
        </is>
      </c>
      <c r="X1328">
        <f>(1+(R[0]C[-8]/R[-1]C[-8])-1)*R[-1]C[0]</f>
        <v/>
      </c>
    </row>
    <row r="1329">
      <c r="A1329" t="inlineStr">
        <is>
          <t>ATF Fuel 2</t>
        </is>
      </c>
      <c r="B1329" t="inlineStr">
        <is>
          <t>O77</t>
        </is>
      </c>
      <c r="C1329" t="n">
        <v>77</v>
      </c>
      <c r="D1329" t="n">
        <v>15</v>
      </c>
      <c r="E1329" t="inlineStr">
        <is>
          <t>Calculation</t>
        </is>
      </c>
      <c r="F1329" t="inlineStr">
        <is>
          <t>'=(1+(J77/J76)-1)*O76</t>
        </is>
      </c>
      <c r="G1329" t="n">
        <v>57.99124571158173</v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11</v>
      </c>
      <c r="M1329" t="inlineStr">
        <is>
          <t>Values must be of type &lt;class 'str'&gt;</t>
        </is>
      </c>
      <c r="N1329" t="inlineStr">
        <is>
          <t>00000000</t>
        </is>
      </c>
      <c r="O1329" t="inlineStr">
        <is>
          <t>left</t>
        </is>
      </c>
      <c r="R1329" t="b">
        <v>1</v>
      </c>
      <c r="S1329" t="inlineStr">
        <is>
          <t>G000162</t>
        </is>
      </c>
      <c r="T1329" t="inlineStr">
        <is>
          <t>Vertical</t>
        </is>
      </c>
      <c r="U1329" t="n">
        <v>92</v>
      </c>
      <c r="V1329" t="b">
        <v>1</v>
      </c>
      <c r="W1329" t="inlineStr">
        <is>
          <t>ATF Fuel 2!O3:O94</t>
        </is>
      </c>
      <c r="X1329">
        <f>(1+(R[0]C[-5]/R[-1]C[-5])-1)*R[-1]C[0]</f>
        <v/>
      </c>
    </row>
    <row r="1330">
      <c r="A1330" t="inlineStr">
        <is>
          <t>ATF Fuel 2</t>
        </is>
      </c>
      <c r="B1330" t="inlineStr">
        <is>
          <t>P77</t>
        </is>
      </c>
      <c r="C1330" t="n">
        <v>77</v>
      </c>
      <c r="D1330" t="n">
        <v>16</v>
      </c>
      <c r="E1330" t="inlineStr">
        <is>
          <t>Calculation</t>
        </is>
      </c>
      <c r="F1330" t="inlineStr">
        <is>
          <t>'=(1+(H77/H76)-1)*P76</t>
        </is>
      </c>
      <c r="G1330" t="n">
        <v>83.40501067616586</v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11</v>
      </c>
      <c r="M1330" t="inlineStr">
        <is>
          <t>Values must be of type &lt;class 'str'&gt;</t>
        </is>
      </c>
      <c r="N1330" t="inlineStr">
        <is>
          <t>00000000</t>
        </is>
      </c>
      <c r="O1330" t="inlineStr">
        <is>
          <t>left</t>
        </is>
      </c>
      <c r="R1330" t="b">
        <v>1</v>
      </c>
      <c r="S1330" t="inlineStr">
        <is>
          <t>G000161</t>
        </is>
      </c>
      <c r="T1330" t="inlineStr">
        <is>
          <t>Vertical</t>
        </is>
      </c>
      <c r="U1330" t="n">
        <v>92</v>
      </c>
      <c r="V1330" t="b">
        <v>1</v>
      </c>
      <c r="W1330" t="inlineStr">
        <is>
          <t>ATF Fuel 2!P3:P94</t>
        </is>
      </c>
      <c r="X1330">
        <f>(1+(R[0]C[-8]/R[-1]C[-8])-1)*R[-1]C[0]</f>
        <v/>
      </c>
    </row>
    <row r="1331">
      <c r="A1331" t="inlineStr">
        <is>
          <t>ATF Fuel 2</t>
        </is>
      </c>
      <c r="B1331" t="inlineStr">
        <is>
          <t>Q77</t>
        </is>
      </c>
      <c r="C1331" t="n">
        <v>77</v>
      </c>
      <c r="D1331" t="n">
        <v>17</v>
      </c>
      <c r="E1331" t="inlineStr">
        <is>
          <t>Output</t>
        </is>
      </c>
      <c r="F1331" t="inlineStr">
        <is>
          <t>'=M77/N77-1</t>
        </is>
      </c>
      <c r="G1331" t="n">
        <v>1.07697221923873</v>
      </c>
      <c r="H1331" t="inlineStr"/>
      <c r="I1331" t="inlineStr">
        <is>
          <t>0.0%</t>
        </is>
      </c>
      <c r="J1331" t="b">
        <v>0</v>
      </c>
      <c r="K1331" t="b">
        <v>0</v>
      </c>
      <c r="L1331" t="n">
        <v>11</v>
      </c>
      <c r="M1331" t="inlineStr">
        <is>
          <t>Values must be of type &lt;class 'str'&gt;</t>
        </is>
      </c>
      <c r="N1331" t="inlineStr">
        <is>
          <t>00000000</t>
        </is>
      </c>
      <c r="O1331" t="n">
        <v/>
      </c>
      <c r="R1331" t="b">
        <v>1</v>
      </c>
      <c r="S1331" t="inlineStr">
        <is>
          <t>G000153</t>
        </is>
      </c>
      <c r="T1331" t="inlineStr">
        <is>
          <t>Vertical</t>
        </is>
      </c>
      <c r="U1331" t="n">
        <v>93</v>
      </c>
      <c r="V1331" t="b">
        <v>1</v>
      </c>
      <c r="W1331" t="inlineStr">
        <is>
          <t>ATF Fuel 2!Q2:Q94</t>
        </is>
      </c>
      <c r="X1331">
        <f>R[0]C[-4]/R[0]C[-3]-1</f>
        <v/>
      </c>
    </row>
    <row r="1332">
      <c r="A1332" t="inlineStr">
        <is>
          <t>ATF Fuel 2</t>
        </is>
      </c>
      <c r="B1332" t="inlineStr">
        <is>
          <t>A78</t>
        </is>
      </c>
      <c r="C1332" t="n">
        <v>78</v>
      </c>
      <c r="D1332" t="n">
        <v>1</v>
      </c>
      <c r="E1332" t="inlineStr">
        <is>
          <t>Input</t>
        </is>
      </c>
      <c r="F1332" t="n">
        <v/>
      </c>
      <c r="G1332" t="inlineStr">
        <is>
          <t>August 01,2016</t>
        </is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11</v>
      </c>
      <c r="M1332" t="inlineStr">
        <is>
          <t>Values must be of type &lt;class 'str'&gt;</t>
        </is>
      </c>
      <c r="N1332" t="inlineStr">
        <is>
          <t>00000000</t>
        </is>
      </c>
      <c r="O1332" t="n">
        <v/>
      </c>
      <c r="R1332" t="b">
        <v>1</v>
      </c>
      <c r="S1332" t="n">
        <v/>
      </c>
      <c r="T1332" t="n">
        <v/>
      </c>
      <c r="U1332" t="n">
        <v/>
      </c>
      <c r="V1332" t="b">
        <v>0</v>
      </c>
      <c r="W1332" t="inlineStr"/>
      <c r="X1332" t="n">
        <v/>
      </c>
    </row>
    <row r="1333">
      <c r="A1333" t="inlineStr">
        <is>
          <t>ATF Fuel 2</t>
        </is>
      </c>
      <c r="B1333" t="inlineStr">
        <is>
          <t>B78</t>
        </is>
      </c>
      <c r="C1333" t="n">
        <v>78</v>
      </c>
      <c r="D1333" t="n">
        <v>2</v>
      </c>
      <c r="E1333" t="inlineStr">
        <is>
          <t>Input</t>
        </is>
      </c>
      <c r="F1333" t="n">
        <v/>
      </c>
      <c r="G1333" t="n">
        <v>48882.4375</v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11</v>
      </c>
      <c r="M1333" t="inlineStr">
        <is>
          <t>Values must be of type &lt;class 'str'&gt;</t>
        </is>
      </c>
      <c r="N1333" t="inlineStr">
        <is>
          <t>00000000</t>
        </is>
      </c>
      <c r="O1333" t="n">
        <v/>
      </c>
      <c r="R1333" t="b">
        <v>1</v>
      </c>
      <c r="S1333" t="n">
        <v/>
      </c>
      <c r="T1333" t="n">
        <v/>
      </c>
      <c r="U1333" t="n">
        <v/>
      </c>
      <c r="V1333" t="b">
        <v>0</v>
      </c>
      <c r="W1333" t="inlineStr"/>
      <c r="X1333" t="n">
        <v/>
      </c>
    </row>
    <row r="1334">
      <c r="A1334" t="inlineStr">
        <is>
          <t>ATF Fuel 2</t>
        </is>
      </c>
      <c r="B1334" t="inlineStr">
        <is>
          <t>C78</t>
        </is>
      </c>
      <c r="C1334" t="n">
        <v>78</v>
      </c>
      <c r="D1334" t="n">
        <v>3</v>
      </c>
      <c r="E1334" t="inlineStr">
        <is>
          <t>Output</t>
        </is>
      </c>
      <c r="F1334" t="inlineStr">
        <is>
          <t>'=B78/B77-1</t>
        </is>
      </c>
      <c r="G1334" t="n">
        <v>-0.04074397702178323</v>
      </c>
      <c r="H1334" t="inlineStr"/>
      <c r="I1334" t="inlineStr">
        <is>
          <t>0%</t>
        </is>
      </c>
      <c r="J1334" t="b">
        <v>0</v>
      </c>
      <c r="K1334" t="b">
        <v>0</v>
      </c>
      <c r="L1334" t="n">
        <v>11</v>
      </c>
      <c r="M1334" t="n">
        <v/>
      </c>
      <c r="N1334" t="inlineStr">
        <is>
          <t>00000000</t>
        </is>
      </c>
      <c r="O1334" t="n">
        <v/>
      </c>
      <c r="R1334" t="b">
        <v>1</v>
      </c>
      <c r="S1334" t="inlineStr">
        <is>
          <t>G000154</t>
        </is>
      </c>
      <c r="T1334" t="inlineStr">
        <is>
          <t>Vertical</t>
        </is>
      </c>
      <c r="U1334" t="n">
        <v>92</v>
      </c>
      <c r="V1334" t="b">
        <v>1</v>
      </c>
      <c r="W1334" t="inlineStr">
        <is>
          <t>ATF Fuel 2!C3:C94</t>
        </is>
      </c>
      <c r="X1334">
        <f>R[0]C[-1]/R[-1]C[-1]-1</f>
        <v/>
      </c>
    </row>
    <row r="1335">
      <c r="A1335" t="inlineStr">
        <is>
          <t>ATF Fuel 2</t>
        </is>
      </c>
      <c r="B1335" t="inlineStr">
        <is>
          <t>D78</t>
        </is>
      </c>
      <c r="C1335" t="n">
        <v>78</v>
      </c>
      <c r="D1335" t="n">
        <v>4</v>
      </c>
      <c r="E1335" t="inlineStr">
        <is>
          <t>Input</t>
        </is>
      </c>
      <c r="F1335" t="n">
        <v/>
      </c>
      <c r="G1335" t="n">
        <v>66.8</v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11</v>
      </c>
      <c r="M1335" t="inlineStr">
        <is>
          <t>Values must be of type &lt;class 'str'&gt;</t>
        </is>
      </c>
      <c r="N1335" t="inlineStr">
        <is>
          <t>00000000</t>
        </is>
      </c>
      <c r="O1335" t="n">
        <v/>
      </c>
      <c r="R1335" t="b">
        <v>1</v>
      </c>
      <c r="S1335" t="n">
        <v/>
      </c>
      <c r="T1335" t="n">
        <v/>
      </c>
      <c r="U1335" t="n">
        <v/>
      </c>
      <c r="V1335" t="b">
        <v>0</v>
      </c>
      <c r="W1335" t="inlineStr"/>
      <c r="X1335" t="n">
        <v/>
      </c>
    </row>
    <row r="1336">
      <c r="A1336" t="inlineStr">
        <is>
          <t>ATF Fuel 2</t>
        </is>
      </c>
      <c r="B1336" t="inlineStr">
        <is>
          <t>E78</t>
        </is>
      </c>
      <c r="C1336" t="n">
        <v>78</v>
      </c>
      <c r="D1336" t="n">
        <v>5</v>
      </c>
      <c r="E1336" t="inlineStr">
        <is>
          <t>Output</t>
        </is>
      </c>
      <c r="F1336" t="inlineStr">
        <is>
          <t>'=B78/B77-1</t>
        </is>
      </c>
      <c r="G1336" t="n">
        <v>-0.04074397702178323</v>
      </c>
      <c r="H1336" t="inlineStr"/>
      <c r="I1336" t="inlineStr">
        <is>
          <t>0%</t>
        </is>
      </c>
      <c r="J1336" t="b">
        <v>0</v>
      </c>
      <c r="K1336" t="b">
        <v>0</v>
      </c>
      <c r="L1336" t="n">
        <v>11</v>
      </c>
      <c r="M1336" t="inlineStr">
        <is>
          <t>Values must be of type &lt;class 'str'&gt;</t>
        </is>
      </c>
      <c r="N1336" t="inlineStr">
        <is>
          <t>00000000</t>
        </is>
      </c>
      <c r="O1336" t="n">
        <v/>
      </c>
      <c r="R1336" t="b">
        <v>1</v>
      </c>
      <c r="S1336" t="inlineStr">
        <is>
          <t>G000158</t>
        </is>
      </c>
      <c r="T1336" t="inlineStr">
        <is>
          <t>Vertical</t>
        </is>
      </c>
      <c r="U1336" t="n">
        <v>92</v>
      </c>
      <c r="V1336" t="b">
        <v>1</v>
      </c>
      <c r="W1336" t="inlineStr">
        <is>
          <t>ATF Fuel 2!E3:E94</t>
        </is>
      </c>
      <c r="X1336">
        <f>R[0]C[-3]/R[-1]C[-3]-1</f>
        <v/>
      </c>
    </row>
    <row r="1337">
      <c r="A1337" t="inlineStr">
        <is>
          <t>ATF Fuel 2</t>
        </is>
      </c>
      <c r="B1337" t="inlineStr">
        <is>
          <t>F78</t>
        </is>
      </c>
      <c r="C1337" t="n">
        <v>78</v>
      </c>
      <c r="D1337" t="n">
        <v>6</v>
      </c>
      <c r="E1337" t="inlineStr">
        <is>
          <t>Input</t>
        </is>
      </c>
      <c r="F1337" t="n">
        <v/>
      </c>
      <c r="G1337" t="n">
        <v>40.45</v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11</v>
      </c>
      <c r="M1337" t="inlineStr">
        <is>
          <t>Values must be of type &lt;class 'str'&gt;</t>
        </is>
      </c>
      <c r="N1337" t="inlineStr">
        <is>
          <t>00000000</t>
        </is>
      </c>
      <c r="O1337" t="n">
        <v/>
      </c>
      <c r="R1337" t="b">
        <v>1</v>
      </c>
      <c r="S1337" t="n">
        <v/>
      </c>
      <c r="T1337" t="n">
        <v/>
      </c>
      <c r="U1337" t="n">
        <v/>
      </c>
      <c r="V1337" t="b">
        <v>0</v>
      </c>
      <c r="W1337" t="inlineStr"/>
      <c r="X1337" t="n">
        <v/>
      </c>
    </row>
    <row r="1338">
      <c r="A1338" t="inlineStr">
        <is>
          <t>ATF Fuel 2</t>
        </is>
      </c>
      <c r="B1338" t="inlineStr">
        <is>
          <t>G78</t>
        </is>
      </c>
      <c r="C1338" t="n">
        <v>78</v>
      </c>
      <c r="D1338" t="n">
        <v>7</v>
      </c>
      <c r="E1338" t="inlineStr">
        <is>
          <t>Output</t>
        </is>
      </c>
      <c r="F1338" t="inlineStr">
        <is>
          <t>'=F78/F77-1</t>
        </is>
      </c>
      <c r="G1338" t="n">
        <v>-0.1148796498905909</v>
      </c>
      <c r="H1338" t="inlineStr"/>
      <c r="I1338" t="inlineStr">
        <is>
          <t>0%</t>
        </is>
      </c>
      <c r="J1338" t="b">
        <v>0</v>
      </c>
      <c r="K1338" t="b">
        <v>0</v>
      </c>
      <c r="L1338" t="n">
        <v>11</v>
      </c>
      <c r="M1338" t="inlineStr">
        <is>
          <t>Values must be of type &lt;class 'str'&gt;</t>
        </is>
      </c>
      <c r="N1338" t="inlineStr">
        <is>
          <t>00000000</t>
        </is>
      </c>
      <c r="O1338" t="n">
        <v/>
      </c>
      <c r="R1338" t="b">
        <v>1</v>
      </c>
      <c r="S1338" t="inlineStr">
        <is>
          <t>G000155</t>
        </is>
      </c>
      <c r="T1338" t="inlineStr">
        <is>
          <t>Vertical</t>
        </is>
      </c>
      <c r="U1338" t="n">
        <v>93</v>
      </c>
      <c r="V1338" t="b">
        <v>1</v>
      </c>
      <c r="W1338" t="inlineStr">
        <is>
          <t>ATF Fuel 2!G3:G95</t>
        </is>
      </c>
      <c r="X1338">
        <f>R[0]C[-1]/R[-1]C[-1]-1</f>
        <v/>
      </c>
    </row>
    <row r="1339">
      <c r="A1339" t="inlineStr">
        <is>
          <t>ATF Fuel 2</t>
        </is>
      </c>
      <c r="B1339" t="inlineStr">
        <is>
          <t>H78</t>
        </is>
      </c>
      <c r="C1339" t="n">
        <v>78</v>
      </c>
      <c r="D1339" t="n">
        <v>8</v>
      </c>
      <c r="E1339" t="inlineStr">
        <is>
          <t>Calculation</t>
        </is>
      </c>
      <c r="F1339" t="inlineStr">
        <is>
          <t>'=D78*F78</t>
        </is>
      </c>
      <c r="G1339" t="n">
        <v>2702.06</v>
      </c>
      <c r="H1339" t="inlineStr"/>
      <c r="I1339" t="inlineStr">
        <is>
          <t>0</t>
        </is>
      </c>
      <c r="J1339" t="b">
        <v>0</v>
      </c>
      <c r="K1339" t="b">
        <v>0</v>
      </c>
      <c r="L1339" t="n">
        <v>11</v>
      </c>
      <c r="M1339" t="inlineStr">
        <is>
          <t>Values must be of type &lt;class 'str'&gt;</t>
        </is>
      </c>
      <c r="N1339" t="inlineStr">
        <is>
          <t>00000000</t>
        </is>
      </c>
      <c r="O1339" t="n">
        <v/>
      </c>
      <c r="R1339" t="b">
        <v>1</v>
      </c>
      <c r="S1339" t="inlineStr">
        <is>
          <t>G000152</t>
        </is>
      </c>
      <c r="T1339" t="inlineStr">
        <is>
          <t>Vertical</t>
        </is>
      </c>
      <c r="U1339" t="n">
        <v>98</v>
      </c>
      <c r="V1339" t="b">
        <v>1</v>
      </c>
      <c r="W1339" t="inlineStr">
        <is>
          <t>ATF Fuel 2!H2:H99</t>
        </is>
      </c>
      <c r="X1339">
        <f>R[0]C[-4]*R[0]C[-2]</f>
        <v/>
      </c>
    </row>
    <row r="1340">
      <c r="A1340" t="inlineStr">
        <is>
          <t>ATF Fuel 2</t>
        </is>
      </c>
      <c r="B1340" t="inlineStr">
        <is>
          <t>I78</t>
        </is>
      </c>
      <c r="C1340" t="n">
        <v>78</v>
      </c>
      <c r="D1340" t="n">
        <v>9</v>
      </c>
      <c r="E1340" t="inlineStr">
        <is>
          <t>Output</t>
        </is>
      </c>
      <c r="F1340" t="inlineStr">
        <is>
          <t>'=H78/H77-1</t>
        </is>
      </c>
      <c r="G1340" t="n">
        <v>-0.1240586757435773</v>
      </c>
      <c r="H1340" t="inlineStr"/>
      <c r="I1340" t="inlineStr">
        <is>
          <t>0%</t>
        </is>
      </c>
      <c r="J1340" t="b">
        <v>0</v>
      </c>
      <c r="K1340" t="b">
        <v>0</v>
      </c>
      <c r="L1340" t="n">
        <v>11</v>
      </c>
      <c r="M1340" t="inlineStr">
        <is>
          <t>FFFF0000</t>
        </is>
      </c>
      <c r="N1340" t="inlineStr">
        <is>
          <t>00000000</t>
        </is>
      </c>
      <c r="O1340" t="n">
        <v/>
      </c>
      <c r="R1340" t="b">
        <v>1</v>
      </c>
      <c r="S1340" t="inlineStr">
        <is>
          <t>G000156</t>
        </is>
      </c>
      <c r="T1340" t="inlineStr">
        <is>
          <t>Vertical</t>
        </is>
      </c>
      <c r="U1340" t="n">
        <v>97</v>
      </c>
      <c r="V1340" t="b">
        <v>1</v>
      </c>
      <c r="W1340" t="inlineStr">
        <is>
          <t>ATF Fuel 2!I3:I99</t>
        </is>
      </c>
      <c r="X1340">
        <f>R[0]C[-1]/R[-1]C[-1]-1</f>
        <v/>
      </c>
    </row>
    <row r="1341">
      <c r="A1341" t="inlineStr">
        <is>
          <t>ATF Fuel 2</t>
        </is>
      </c>
      <c r="B1341" t="inlineStr">
        <is>
          <t>J78</t>
        </is>
      </c>
      <c r="C1341" t="n">
        <v>78</v>
      </c>
      <c r="D1341" t="n">
        <v>10</v>
      </c>
      <c r="E1341" t="inlineStr">
        <is>
          <t>Input</t>
        </is>
      </c>
      <c r="F1341" t="n">
        <v/>
      </c>
      <c r="G1341" t="n">
        <v>40.05</v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11</v>
      </c>
      <c r="M1341" t="inlineStr">
        <is>
          <t>Values must be of type &lt;class 'str'&gt;</t>
        </is>
      </c>
      <c r="N1341" t="inlineStr">
        <is>
          <t>00000000</t>
        </is>
      </c>
      <c r="O1341" t="n">
        <v/>
      </c>
      <c r="R1341" t="b">
        <v>1</v>
      </c>
      <c r="S1341" t="n">
        <v/>
      </c>
      <c r="T1341" t="n">
        <v/>
      </c>
      <c r="U1341" t="n">
        <v/>
      </c>
      <c r="V1341" t="b">
        <v>0</v>
      </c>
      <c r="W1341" t="inlineStr"/>
      <c r="X1341" t="n">
        <v/>
      </c>
    </row>
    <row r="1342">
      <c r="A1342" t="inlineStr">
        <is>
          <t>ATF Fuel 2</t>
        </is>
      </c>
      <c r="B1342" t="inlineStr">
        <is>
          <t>K78</t>
        </is>
      </c>
      <c r="C1342" t="n">
        <v>78</v>
      </c>
      <c r="D1342" t="n">
        <v>11</v>
      </c>
      <c r="E1342" t="inlineStr">
        <is>
          <t>Output</t>
        </is>
      </c>
      <c r="F1342" t="inlineStr">
        <is>
          <t>'=J78/J77-1</t>
        </is>
      </c>
      <c r="G1342" t="n">
        <v>-0.1829865361077112</v>
      </c>
      <c r="H1342" t="inlineStr"/>
      <c r="I1342" t="inlineStr">
        <is>
          <t>0%</t>
        </is>
      </c>
      <c r="J1342" t="b">
        <v>0</v>
      </c>
      <c r="K1342" t="b">
        <v>0</v>
      </c>
      <c r="L1342" t="n">
        <v>11</v>
      </c>
      <c r="M1342" t="inlineStr">
        <is>
          <t>Values must be of type &lt;class 'str'&gt;</t>
        </is>
      </c>
      <c r="N1342" t="inlineStr">
        <is>
          <t>00000000</t>
        </is>
      </c>
      <c r="O1342" t="n">
        <v/>
      </c>
      <c r="R1342" t="b">
        <v>1</v>
      </c>
      <c r="S1342" t="inlineStr">
        <is>
          <t>G000157</t>
        </is>
      </c>
      <c r="T1342" t="inlineStr">
        <is>
          <t>Vertical</t>
        </is>
      </c>
      <c r="U1342" t="n">
        <v>93</v>
      </c>
      <c r="V1342" t="b">
        <v>1</v>
      </c>
      <c r="W1342" t="inlineStr">
        <is>
          <t>ATF Fuel 2!K3:K95</t>
        </is>
      </c>
      <c r="X1342">
        <f>R[0]C[-1]/R[-1]C[-1]-1</f>
        <v/>
      </c>
    </row>
    <row r="1343">
      <c r="A1343" t="inlineStr">
        <is>
          <t>ATF Fuel 2</t>
        </is>
      </c>
      <c r="B1343" t="inlineStr">
        <is>
          <t>L78</t>
        </is>
      </c>
      <c r="C1343" t="n">
        <v>78</v>
      </c>
      <c r="D1343" t="n">
        <v>12</v>
      </c>
      <c r="E1343" t="inlineStr">
        <is>
          <t>Input</t>
        </is>
      </c>
      <c r="F1343" t="n">
        <v/>
      </c>
      <c r="G1343" t="inlineStr">
        <is>
          <t>August 01,2016</t>
        </is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11</v>
      </c>
      <c r="M1343" t="inlineStr">
        <is>
          <t>Values must be of type &lt;class 'str'&gt;</t>
        </is>
      </c>
      <c r="N1343" t="inlineStr">
        <is>
          <t>00000000</t>
        </is>
      </c>
      <c r="O1343" t="inlineStr">
        <is>
          <t>left</t>
        </is>
      </c>
      <c r="R1343" t="b">
        <v>1</v>
      </c>
      <c r="S1343" t="n">
        <v/>
      </c>
      <c r="T1343" t="n">
        <v/>
      </c>
      <c r="U1343" t="n">
        <v/>
      </c>
      <c r="V1343" t="b">
        <v>0</v>
      </c>
      <c r="W1343" t="inlineStr"/>
      <c r="X1343" t="n">
        <v/>
      </c>
    </row>
    <row r="1344">
      <c r="A1344" t="inlineStr">
        <is>
          <t>ATF Fuel 2</t>
        </is>
      </c>
      <c r="B1344" t="inlineStr">
        <is>
          <t>M78</t>
        </is>
      </c>
      <c r="C1344" t="n">
        <v>78</v>
      </c>
      <c r="D1344" t="n">
        <v>13</v>
      </c>
      <c r="E1344" t="inlineStr">
        <is>
          <t>Calculation</t>
        </is>
      </c>
      <c r="F1344" t="inlineStr">
        <is>
          <t>'=(1+(B78/B77)-1)*M77</t>
        </is>
      </c>
      <c r="G1344" t="n">
        <v>110.1903771831631</v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11</v>
      </c>
      <c r="M1344" t="inlineStr">
        <is>
          <t>Values must be of type &lt;class 'str'&gt;</t>
        </is>
      </c>
      <c r="N1344" t="inlineStr">
        <is>
          <t>00000000</t>
        </is>
      </c>
      <c r="O1344" t="inlineStr">
        <is>
          <t>left</t>
        </is>
      </c>
      <c r="R1344" t="b">
        <v>1</v>
      </c>
      <c r="S1344" t="inlineStr">
        <is>
          <t>G000159</t>
        </is>
      </c>
      <c r="T1344" t="inlineStr">
        <is>
          <t>Vertical</t>
        </is>
      </c>
      <c r="U1344" t="n">
        <v>92</v>
      </c>
      <c r="V1344" t="b">
        <v>1</v>
      </c>
      <c r="W1344" t="inlineStr">
        <is>
          <t>ATF Fuel 2!M3:M94</t>
        </is>
      </c>
      <c r="X1344">
        <f>(1+(R[0]C[-11]/R[-1]C[-11])-1)*R[-1]C[0]</f>
        <v/>
      </c>
    </row>
    <row r="1345">
      <c r="A1345" t="inlineStr">
        <is>
          <t>ATF Fuel 2</t>
        </is>
      </c>
      <c r="B1345" t="inlineStr">
        <is>
          <t>N78</t>
        </is>
      </c>
      <c r="C1345" t="n">
        <v>78</v>
      </c>
      <c r="D1345" t="n">
        <v>14</v>
      </c>
      <c r="E1345" t="inlineStr">
        <is>
          <t>Calculation</t>
        </is>
      </c>
      <c r="F1345" t="inlineStr">
        <is>
          <t>'=(1+(F78/F77)-1)*N77</t>
        </is>
      </c>
      <c r="G1345" t="n">
        <v>48.95316471015375</v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11</v>
      </c>
      <c r="M1345" t="inlineStr">
        <is>
          <t>Values must be of type &lt;class 'str'&gt;</t>
        </is>
      </c>
      <c r="N1345" t="inlineStr">
        <is>
          <t>00000000</t>
        </is>
      </c>
      <c r="O1345" t="inlineStr">
        <is>
          <t>left</t>
        </is>
      </c>
      <c r="R1345" t="b">
        <v>1</v>
      </c>
      <c r="S1345" t="inlineStr">
        <is>
          <t>G000160</t>
        </is>
      </c>
      <c r="T1345" t="inlineStr">
        <is>
          <t>Vertical</t>
        </is>
      </c>
      <c r="U1345" t="n">
        <v>92</v>
      </c>
      <c r="V1345" t="b">
        <v>1</v>
      </c>
      <c r="W1345" t="inlineStr">
        <is>
          <t>ATF Fuel 2!N3:N94</t>
        </is>
      </c>
      <c r="X1345">
        <f>(1+(R[0]C[-8]/R[-1]C[-8])-1)*R[-1]C[0]</f>
        <v/>
      </c>
    </row>
    <row r="1346">
      <c r="A1346" t="inlineStr">
        <is>
          <t>ATF Fuel 2</t>
        </is>
      </c>
      <c r="B1346" t="inlineStr">
        <is>
          <t>O78</t>
        </is>
      </c>
      <c r="C1346" t="n">
        <v>78</v>
      </c>
      <c r="D1346" t="n">
        <v>15</v>
      </c>
      <c r="E1346" t="inlineStr">
        <is>
          <t>Calculation</t>
        </is>
      </c>
      <c r="F1346" t="inlineStr">
        <is>
          <t>'=(1+(J78/J77)-1)*O77</t>
        </is>
      </c>
      <c r="G1346" t="n">
        <v>47.37962853424823</v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11</v>
      </c>
      <c r="M1346" t="inlineStr">
        <is>
          <t>Values must be of type &lt;class 'str'&gt;</t>
        </is>
      </c>
      <c r="N1346" t="inlineStr">
        <is>
          <t>00000000</t>
        </is>
      </c>
      <c r="O1346" t="inlineStr">
        <is>
          <t>left</t>
        </is>
      </c>
      <c r="R1346" t="b">
        <v>1</v>
      </c>
      <c r="S1346" t="inlineStr">
        <is>
          <t>G000162</t>
        </is>
      </c>
      <c r="T1346" t="inlineStr">
        <is>
          <t>Vertical</t>
        </is>
      </c>
      <c r="U1346" t="n">
        <v>92</v>
      </c>
      <c r="V1346" t="b">
        <v>1</v>
      </c>
      <c r="W1346" t="inlineStr">
        <is>
          <t>ATF Fuel 2!O3:O94</t>
        </is>
      </c>
      <c r="X1346">
        <f>(1+(R[0]C[-5]/R[-1]C[-5])-1)*R[-1]C[0]</f>
        <v/>
      </c>
    </row>
    <row r="1347">
      <c r="A1347" t="inlineStr">
        <is>
          <t>ATF Fuel 2</t>
        </is>
      </c>
      <c r="B1347" t="inlineStr">
        <is>
          <t>P78</t>
        </is>
      </c>
      <c r="C1347" t="n">
        <v>78</v>
      </c>
      <c r="D1347" t="n">
        <v>16</v>
      </c>
      <c r="E1347" t="inlineStr">
        <is>
          <t>Calculation</t>
        </is>
      </c>
      <c r="F1347" t="inlineStr">
        <is>
          <t>'=(1+(H78/H77)-1)*P77</t>
        </is>
      </c>
      <c r="G1347" t="n">
        <v>73.0578955013018</v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11</v>
      </c>
      <c r="M1347" t="inlineStr">
        <is>
          <t>Values must be of type &lt;class 'str'&gt;</t>
        </is>
      </c>
      <c r="N1347" t="inlineStr">
        <is>
          <t>00000000</t>
        </is>
      </c>
      <c r="O1347" t="inlineStr">
        <is>
          <t>left</t>
        </is>
      </c>
      <c r="R1347" t="b">
        <v>1</v>
      </c>
      <c r="S1347" t="inlineStr">
        <is>
          <t>G000161</t>
        </is>
      </c>
      <c r="T1347" t="inlineStr">
        <is>
          <t>Vertical</t>
        </is>
      </c>
      <c r="U1347" t="n">
        <v>92</v>
      </c>
      <c r="V1347" t="b">
        <v>1</v>
      </c>
      <c r="W1347" t="inlineStr">
        <is>
          <t>ATF Fuel 2!P3:P94</t>
        </is>
      </c>
      <c r="X1347">
        <f>(1+(R[0]C[-8]/R[-1]C[-8])-1)*R[-1]C[0]</f>
        <v/>
      </c>
    </row>
    <row r="1348">
      <c r="A1348" t="inlineStr">
        <is>
          <t>ATF Fuel 2</t>
        </is>
      </c>
      <c r="B1348" t="inlineStr">
        <is>
          <t>Q78</t>
        </is>
      </c>
      <c r="C1348" t="n">
        <v>78</v>
      </c>
      <c r="D1348" t="n">
        <v>17</v>
      </c>
      <c r="E1348" t="inlineStr">
        <is>
          <t>Output</t>
        </is>
      </c>
      <c r="F1348" t="inlineStr">
        <is>
          <t>'=M78/N78-1</t>
        </is>
      </c>
      <c r="G1348" t="n">
        <v>1.250934701271881</v>
      </c>
      <c r="H1348" t="inlineStr"/>
      <c r="I1348" t="inlineStr">
        <is>
          <t>0.0%</t>
        </is>
      </c>
      <c r="J1348" t="b">
        <v>0</v>
      </c>
      <c r="K1348" t="b">
        <v>0</v>
      </c>
      <c r="L1348" t="n">
        <v>11</v>
      </c>
      <c r="M1348" t="inlineStr">
        <is>
          <t>Values must be of type &lt;class 'str'&gt;</t>
        </is>
      </c>
      <c r="N1348" t="inlineStr">
        <is>
          <t>00000000</t>
        </is>
      </c>
      <c r="O1348" t="n">
        <v/>
      </c>
      <c r="R1348" t="b">
        <v>1</v>
      </c>
      <c r="S1348" t="inlineStr">
        <is>
          <t>G000153</t>
        </is>
      </c>
      <c r="T1348" t="inlineStr">
        <is>
          <t>Vertical</t>
        </is>
      </c>
      <c r="U1348" t="n">
        <v>93</v>
      </c>
      <c r="V1348" t="b">
        <v>1</v>
      </c>
      <c r="W1348" t="inlineStr">
        <is>
          <t>ATF Fuel 2!Q2:Q94</t>
        </is>
      </c>
      <c r="X1348">
        <f>R[0]C[-4]/R[0]C[-3]-1</f>
        <v/>
      </c>
    </row>
    <row r="1349">
      <c r="A1349" t="inlineStr">
        <is>
          <t>ATF Fuel 2</t>
        </is>
      </c>
      <c r="B1349" t="inlineStr">
        <is>
          <t>A79</t>
        </is>
      </c>
      <c r="C1349" t="n">
        <v>79</v>
      </c>
      <c r="D1349" t="n">
        <v>1</v>
      </c>
      <c r="E1349" t="inlineStr">
        <is>
          <t>Input</t>
        </is>
      </c>
      <c r="F1349" t="n">
        <v/>
      </c>
      <c r="G1349" t="inlineStr">
        <is>
          <t>September 01,2016</t>
        </is>
      </c>
      <c r="H1349" t="inlineStr"/>
      <c r="I1349" t="inlineStr">
        <is>
          <t>General</t>
        </is>
      </c>
      <c r="J1349" t="b">
        <v>0</v>
      </c>
      <c r="K1349" t="b">
        <v>0</v>
      </c>
      <c r="L1349" t="n">
        <v>11</v>
      </c>
      <c r="M1349" t="inlineStr">
        <is>
          <t>Values must be of type &lt;class 'str'&gt;</t>
        </is>
      </c>
      <c r="N1349" t="inlineStr">
        <is>
          <t>00000000</t>
        </is>
      </c>
      <c r="O1349" t="n">
        <v/>
      </c>
      <c r="R1349" t="b">
        <v>1</v>
      </c>
      <c r="S1349" t="n">
        <v/>
      </c>
      <c r="T1349" t="n">
        <v/>
      </c>
      <c r="U1349" t="n">
        <v/>
      </c>
      <c r="V1349" t="b">
        <v>0</v>
      </c>
      <c r="W1349" t="inlineStr"/>
      <c r="X1349" t="n">
        <v/>
      </c>
    </row>
    <row r="1350">
      <c r="A1350" t="inlineStr">
        <is>
          <t>ATF Fuel 2</t>
        </is>
      </c>
      <c r="B1350" t="inlineStr">
        <is>
          <t>B79</t>
        </is>
      </c>
      <c r="C1350" t="n">
        <v>79</v>
      </c>
      <c r="D1350" t="n">
        <v>2</v>
      </c>
      <c r="E1350" t="inlineStr">
        <is>
          <t>Input</t>
        </is>
      </c>
      <c r="F1350" t="n">
        <v/>
      </c>
      <c r="G1350" t="n">
        <v>47050.97</v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11</v>
      </c>
      <c r="M1350" t="inlineStr">
        <is>
          <t>Values must be of type &lt;class 'str'&gt;</t>
        </is>
      </c>
      <c r="N1350" t="inlineStr">
        <is>
          <t>00000000</t>
        </is>
      </c>
      <c r="O1350" t="n">
        <v/>
      </c>
      <c r="R1350" t="b">
        <v>1</v>
      </c>
      <c r="S1350" t="n">
        <v/>
      </c>
      <c r="T1350" t="n">
        <v/>
      </c>
      <c r="U1350" t="n">
        <v/>
      </c>
      <c r="V1350" t="b">
        <v>0</v>
      </c>
      <c r="W1350" t="inlineStr"/>
      <c r="X1350" t="n">
        <v/>
      </c>
    </row>
    <row r="1351">
      <c r="A1351" t="inlineStr">
        <is>
          <t>ATF Fuel 2</t>
        </is>
      </c>
      <c r="B1351" t="inlineStr">
        <is>
          <t>C79</t>
        </is>
      </c>
      <c r="C1351" t="n">
        <v>79</v>
      </c>
      <c r="D1351" t="n">
        <v>3</v>
      </c>
      <c r="E1351" t="inlineStr">
        <is>
          <t>Output</t>
        </is>
      </c>
      <c r="F1351" t="inlineStr">
        <is>
          <t>'=B79/B78-1</t>
        </is>
      </c>
      <c r="G1351" t="n">
        <v>-0.03746677935199116</v>
      </c>
      <c r="H1351" t="inlineStr"/>
      <c r="I1351" t="inlineStr">
        <is>
          <t>0%</t>
        </is>
      </c>
      <c r="J1351" t="b">
        <v>0</v>
      </c>
      <c r="K1351" t="b">
        <v>0</v>
      </c>
      <c r="L1351" t="n">
        <v>11</v>
      </c>
      <c r="M1351" t="n">
        <v/>
      </c>
      <c r="N1351" t="inlineStr">
        <is>
          <t>00000000</t>
        </is>
      </c>
      <c r="O1351" t="n">
        <v/>
      </c>
      <c r="R1351" t="b">
        <v>1</v>
      </c>
      <c r="S1351" t="inlineStr">
        <is>
          <t>G000154</t>
        </is>
      </c>
      <c r="T1351" t="inlineStr">
        <is>
          <t>Vertical</t>
        </is>
      </c>
      <c r="U1351" t="n">
        <v>92</v>
      </c>
      <c r="V1351" t="b">
        <v>1</v>
      </c>
      <c r="W1351" t="inlineStr">
        <is>
          <t>ATF Fuel 2!C3:C94</t>
        </is>
      </c>
      <c r="X1351">
        <f>R[0]C[-1]/R[-1]C[-1]-1</f>
        <v/>
      </c>
    </row>
    <row r="1352">
      <c r="A1352" t="inlineStr">
        <is>
          <t>ATF Fuel 2</t>
        </is>
      </c>
      <c r="B1352" t="inlineStr">
        <is>
          <t>D79</t>
        </is>
      </c>
      <c r="C1352" t="n">
        <v>79</v>
      </c>
      <c r="D1352" t="n">
        <v>4</v>
      </c>
      <c r="E1352" t="inlineStr">
        <is>
          <t>Input</t>
        </is>
      </c>
      <c r="F1352" t="n">
        <v/>
      </c>
      <c r="G1352" t="n">
        <v>66.84999999999999</v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11</v>
      </c>
      <c r="M1352" t="inlineStr">
        <is>
          <t>Values must be of type &lt;class 'str'&gt;</t>
        </is>
      </c>
      <c r="N1352" t="inlineStr">
        <is>
          <t>00000000</t>
        </is>
      </c>
      <c r="O1352" t="n">
        <v/>
      </c>
      <c r="R1352" t="b">
        <v>1</v>
      </c>
      <c r="S1352" t="n">
        <v/>
      </c>
      <c r="T1352" t="n">
        <v/>
      </c>
      <c r="U1352" t="n">
        <v/>
      </c>
      <c r="V1352" t="b">
        <v>0</v>
      </c>
      <c r="W1352" t="inlineStr"/>
      <c r="X1352" t="n">
        <v/>
      </c>
    </row>
    <row r="1353">
      <c r="A1353" t="inlineStr">
        <is>
          <t>ATF Fuel 2</t>
        </is>
      </c>
      <c r="B1353" t="inlineStr">
        <is>
          <t>E79</t>
        </is>
      </c>
      <c r="C1353" t="n">
        <v>79</v>
      </c>
      <c r="D1353" t="n">
        <v>5</v>
      </c>
      <c r="E1353" t="inlineStr">
        <is>
          <t>Output</t>
        </is>
      </c>
      <c r="F1353" t="inlineStr">
        <is>
          <t>'=B79/B78-1</t>
        </is>
      </c>
      <c r="G1353" t="n">
        <v>-0.03746677935199116</v>
      </c>
      <c r="H1353" t="inlineStr"/>
      <c r="I1353" t="inlineStr">
        <is>
          <t>0%</t>
        </is>
      </c>
      <c r="J1353" t="b">
        <v>0</v>
      </c>
      <c r="K1353" t="b">
        <v>0</v>
      </c>
      <c r="L1353" t="n">
        <v>11</v>
      </c>
      <c r="M1353" t="inlineStr">
        <is>
          <t>Values must be of type &lt;class 'str'&gt;</t>
        </is>
      </c>
      <c r="N1353" t="inlineStr">
        <is>
          <t>00000000</t>
        </is>
      </c>
      <c r="O1353" t="n">
        <v/>
      </c>
      <c r="R1353" t="b">
        <v>1</v>
      </c>
      <c r="S1353" t="inlineStr">
        <is>
          <t>G000158</t>
        </is>
      </c>
      <c r="T1353" t="inlineStr">
        <is>
          <t>Vertical</t>
        </is>
      </c>
      <c r="U1353" t="n">
        <v>92</v>
      </c>
      <c r="V1353" t="b">
        <v>1</v>
      </c>
      <c r="W1353" t="inlineStr">
        <is>
          <t>ATF Fuel 2!E3:E94</t>
        </is>
      </c>
      <c r="X1353">
        <f>R[0]C[-3]/R[-1]C[-3]-1</f>
        <v/>
      </c>
    </row>
    <row r="1354">
      <c r="A1354" t="inlineStr">
        <is>
          <t>ATF Fuel 2</t>
        </is>
      </c>
      <c r="B1354" t="inlineStr">
        <is>
          <t>F79</t>
        </is>
      </c>
      <c r="C1354" t="n">
        <v>79</v>
      </c>
      <c r="D1354" t="n">
        <v>6</v>
      </c>
      <c r="E1354" t="inlineStr">
        <is>
          <t>Input</t>
        </is>
      </c>
      <c r="F1354" t="n">
        <v/>
      </c>
      <c r="G1354" t="n">
        <v>46.72</v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11</v>
      </c>
      <c r="M1354" t="inlineStr">
        <is>
          <t>Values must be of type &lt;class 'str'&gt;</t>
        </is>
      </c>
      <c r="N1354" t="inlineStr">
        <is>
          <t>00000000</t>
        </is>
      </c>
      <c r="O1354" t="n">
        <v/>
      </c>
      <c r="R1354" t="b">
        <v>1</v>
      </c>
      <c r="S1354" t="n">
        <v/>
      </c>
      <c r="T1354" t="n">
        <v/>
      </c>
      <c r="U1354" t="n">
        <v/>
      </c>
      <c r="V1354" t="b">
        <v>0</v>
      </c>
      <c r="W1354" t="inlineStr"/>
      <c r="X1354" t="n">
        <v/>
      </c>
    </row>
    <row r="1355">
      <c r="A1355" t="inlineStr">
        <is>
          <t>ATF Fuel 2</t>
        </is>
      </c>
      <c r="B1355" t="inlineStr">
        <is>
          <t>G79</t>
        </is>
      </c>
      <c r="C1355" t="n">
        <v>79</v>
      </c>
      <c r="D1355" t="n">
        <v>7</v>
      </c>
      <c r="E1355" t="inlineStr">
        <is>
          <t>Output</t>
        </is>
      </c>
      <c r="F1355" t="inlineStr">
        <is>
          <t>'=F79/F78-1</t>
        </is>
      </c>
      <c r="G1355" t="n">
        <v>0.1550061804697156</v>
      </c>
      <c r="H1355" t="inlineStr"/>
      <c r="I1355" t="inlineStr">
        <is>
          <t>0%</t>
        </is>
      </c>
      <c r="J1355" t="b">
        <v>0</v>
      </c>
      <c r="K1355" t="b">
        <v>0</v>
      </c>
      <c r="L1355" t="n">
        <v>11</v>
      </c>
      <c r="M1355" t="inlineStr">
        <is>
          <t>Values must be of type &lt;class 'str'&gt;</t>
        </is>
      </c>
      <c r="N1355" t="inlineStr">
        <is>
          <t>00000000</t>
        </is>
      </c>
      <c r="O1355" t="n">
        <v/>
      </c>
      <c r="R1355" t="b">
        <v>1</v>
      </c>
      <c r="S1355" t="inlineStr">
        <is>
          <t>G000155</t>
        </is>
      </c>
      <c r="T1355" t="inlineStr">
        <is>
          <t>Vertical</t>
        </is>
      </c>
      <c r="U1355" t="n">
        <v>93</v>
      </c>
      <c r="V1355" t="b">
        <v>1</v>
      </c>
      <c r="W1355" t="inlineStr">
        <is>
          <t>ATF Fuel 2!G3:G95</t>
        </is>
      </c>
      <c r="X1355">
        <f>R[0]C[-1]/R[-1]C[-1]-1</f>
        <v/>
      </c>
    </row>
    <row r="1356">
      <c r="A1356" t="inlineStr">
        <is>
          <t>ATF Fuel 2</t>
        </is>
      </c>
      <c r="B1356" t="inlineStr">
        <is>
          <t>H79</t>
        </is>
      </c>
      <c r="C1356" t="n">
        <v>79</v>
      </c>
      <c r="D1356" t="n">
        <v>8</v>
      </c>
      <c r="E1356" t="inlineStr">
        <is>
          <t>Calculation</t>
        </is>
      </c>
      <c r="F1356" t="inlineStr">
        <is>
          <t>'=D79*F79</t>
        </is>
      </c>
      <c r="G1356" t="n">
        <v>3123.232</v>
      </c>
      <c r="H1356" t="inlineStr"/>
      <c r="I1356" t="inlineStr">
        <is>
          <t>0</t>
        </is>
      </c>
      <c r="J1356" t="b">
        <v>0</v>
      </c>
      <c r="K1356" t="b">
        <v>0</v>
      </c>
      <c r="L1356" t="n">
        <v>11</v>
      </c>
      <c r="M1356" t="inlineStr">
        <is>
          <t>Values must be of type &lt;class 'str'&gt;</t>
        </is>
      </c>
      <c r="N1356" t="inlineStr">
        <is>
          <t>00000000</t>
        </is>
      </c>
      <c r="O1356" t="n">
        <v/>
      </c>
      <c r="R1356" t="b">
        <v>1</v>
      </c>
      <c r="S1356" t="inlineStr">
        <is>
          <t>G000152</t>
        </is>
      </c>
      <c r="T1356" t="inlineStr">
        <is>
          <t>Vertical</t>
        </is>
      </c>
      <c r="U1356" t="n">
        <v>98</v>
      </c>
      <c r="V1356" t="b">
        <v>1</v>
      </c>
      <c r="W1356" t="inlineStr">
        <is>
          <t>ATF Fuel 2!H2:H99</t>
        </is>
      </c>
      <c r="X1356">
        <f>R[0]C[-4]*R[0]C[-2]</f>
        <v/>
      </c>
    </row>
    <row r="1357">
      <c r="A1357" t="inlineStr">
        <is>
          <t>ATF Fuel 2</t>
        </is>
      </c>
      <c r="B1357" t="inlineStr">
        <is>
          <t>I79</t>
        </is>
      </c>
      <c r="C1357" t="n">
        <v>79</v>
      </c>
      <c r="D1357" t="n">
        <v>9</v>
      </c>
      <c r="E1357" t="inlineStr">
        <is>
          <t>Output</t>
        </is>
      </c>
      <c r="F1357" t="inlineStr">
        <is>
          <t>'=H79/H78-1</t>
        </is>
      </c>
      <c r="G1357" t="n">
        <v>0.1558707060538995</v>
      </c>
      <c r="H1357" t="inlineStr"/>
      <c r="I1357" t="inlineStr">
        <is>
          <t>0%</t>
        </is>
      </c>
      <c r="J1357" t="b">
        <v>0</v>
      </c>
      <c r="K1357" t="b">
        <v>0</v>
      </c>
      <c r="L1357" t="n">
        <v>11</v>
      </c>
      <c r="M1357" t="inlineStr">
        <is>
          <t>FFFF0000</t>
        </is>
      </c>
      <c r="N1357" t="inlineStr">
        <is>
          <t>00000000</t>
        </is>
      </c>
      <c r="O1357" t="n">
        <v/>
      </c>
      <c r="R1357" t="b">
        <v>1</v>
      </c>
      <c r="S1357" t="inlineStr">
        <is>
          <t>G000156</t>
        </is>
      </c>
      <c r="T1357" t="inlineStr">
        <is>
          <t>Vertical</t>
        </is>
      </c>
      <c r="U1357" t="n">
        <v>97</v>
      </c>
      <c r="V1357" t="b">
        <v>1</v>
      </c>
      <c r="W1357" t="inlineStr">
        <is>
          <t>ATF Fuel 2!I3:I99</t>
        </is>
      </c>
      <c r="X1357">
        <f>R[0]C[-1]/R[-1]C[-1]-1</f>
        <v/>
      </c>
    </row>
    <row r="1358">
      <c r="A1358" t="inlineStr">
        <is>
          <t>ATF Fuel 2</t>
        </is>
      </c>
      <c r="B1358" t="inlineStr">
        <is>
          <t>J79</t>
        </is>
      </c>
      <c r="C1358" t="n">
        <v>79</v>
      </c>
      <c r="D1358" t="n">
        <v>10</v>
      </c>
      <c r="E1358" t="inlineStr">
        <is>
          <t>Input</t>
        </is>
      </c>
      <c r="F1358" t="n">
        <v/>
      </c>
      <c r="G1358" t="n">
        <v>43.17</v>
      </c>
      <c r="H1358" t="inlineStr"/>
      <c r="I1358" t="inlineStr">
        <is>
          <t>General</t>
        </is>
      </c>
      <c r="J1358" t="b">
        <v>0</v>
      </c>
      <c r="K1358" t="b">
        <v>0</v>
      </c>
      <c r="L1358" t="n">
        <v>11</v>
      </c>
      <c r="M1358" t="inlineStr">
        <is>
          <t>Values must be of type &lt;class 'str'&gt;</t>
        </is>
      </c>
      <c r="N1358" t="inlineStr">
        <is>
          <t>00000000</t>
        </is>
      </c>
      <c r="O1358" t="n">
        <v/>
      </c>
      <c r="R1358" t="b">
        <v>1</v>
      </c>
      <c r="S1358" t="n">
        <v/>
      </c>
      <c r="T1358" t="n">
        <v/>
      </c>
      <c r="U1358" t="n">
        <v/>
      </c>
      <c r="V1358" t="b">
        <v>0</v>
      </c>
      <c r="W1358" t="inlineStr"/>
      <c r="X1358" t="n">
        <v/>
      </c>
    </row>
    <row r="1359">
      <c r="A1359" t="inlineStr">
        <is>
          <t>ATF Fuel 2</t>
        </is>
      </c>
      <c r="B1359" t="inlineStr">
        <is>
          <t>K79</t>
        </is>
      </c>
      <c r="C1359" t="n">
        <v>79</v>
      </c>
      <c r="D1359" t="n">
        <v>11</v>
      </c>
      <c r="E1359" t="inlineStr">
        <is>
          <t>Output</t>
        </is>
      </c>
      <c r="F1359" t="inlineStr">
        <is>
          <t>'=J79/J78-1</t>
        </is>
      </c>
      <c r="G1359" t="n">
        <v>0.07790262172284645</v>
      </c>
      <c r="H1359" t="inlineStr"/>
      <c r="I1359" t="inlineStr">
        <is>
          <t>0%</t>
        </is>
      </c>
      <c r="J1359" t="b">
        <v>0</v>
      </c>
      <c r="K1359" t="b">
        <v>0</v>
      </c>
      <c r="L1359" t="n">
        <v>11</v>
      </c>
      <c r="M1359" t="inlineStr">
        <is>
          <t>Values must be of type &lt;class 'str'&gt;</t>
        </is>
      </c>
      <c r="N1359" t="inlineStr">
        <is>
          <t>00000000</t>
        </is>
      </c>
      <c r="O1359" t="n">
        <v/>
      </c>
      <c r="R1359" t="b">
        <v>1</v>
      </c>
      <c r="S1359" t="inlineStr">
        <is>
          <t>G000157</t>
        </is>
      </c>
      <c r="T1359" t="inlineStr">
        <is>
          <t>Vertical</t>
        </is>
      </c>
      <c r="U1359" t="n">
        <v>93</v>
      </c>
      <c r="V1359" t="b">
        <v>1</v>
      </c>
      <c r="W1359" t="inlineStr">
        <is>
          <t>ATF Fuel 2!K3:K95</t>
        </is>
      </c>
      <c r="X1359">
        <f>R[0]C[-1]/R[-1]C[-1]-1</f>
        <v/>
      </c>
    </row>
    <row r="1360">
      <c r="A1360" t="inlineStr">
        <is>
          <t>ATF Fuel 2</t>
        </is>
      </c>
      <c r="B1360" t="inlineStr">
        <is>
          <t>L79</t>
        </is>
      </c>
      <c r="C1360" t="n">
        <v>79</v>
      </c>
      <c r="D1360" t="n">
        <v>12</v>
      </c>
      <c r="E1360" t="inlineStr">
        <is>
          <t>Input</t>
        </is>
      </c>
      <c r="F1360" t="n">
        <v/>
      </c>
      <c r="G1360" t="inlineStr">
        <is>
          <t>September 01,2016</t>
        </is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11</v>
      </c>
      <c r="M1360" t="inlineStr">
        <is>
          <t>Values must be of type &lt;class 'str'&gt;</t>
        </is>
      </c>
      <c r="N1360" t="inlineStr">
        <is>
          <t>00000000</t>
        </is>
      </c>
      <c r="O1360" t="inlineStr">
        <is>
          <t>left</t>
        </is>
      </c>
      <c r="R1360" t="b">
        <v>1</v>
      </c>
      <c r="S1360" t="n">
        <v/>
      </c>
      <c r="T1360" t="n">
        <v/>
      </c>
      <c r="U1360" t="n">
        <v/>
      </c>
      <c r="V1360" t="b">
        <v>0</v>
      </c>
      <c r="W1360" t="inlineStr"/>
      <c r="X1360" t="n">
        <v/>
      </c>
    </row>
    <row r="1361">
      <c r="A1361" t="inlineStr">
        <is>
          <t>ATF Fuel 2</t>
        </is>
      </c>
      <c r="B1361" t="inlineStr">
        <is>
          <t>M79</t>
        </is>
      </c>
      <c r="C1361" t="n">
        <v>79</v>
      </c>
      <c r="D1361" t="n">
        <v>13</v>
      </c>
      <c r="E1361" t="inlineStr">
        <is>
          <t>Calculation</t>
        </is>
      </c>
      <c r="F1361" t="inlineStr">
        <is>
          <t>'=(1+(B79/B78)-1)*M78</t>
        </is>
      </c>
      <c r="G1361" t="n">
        <v>106.0618986345289</v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11</v>
      </c>
      <c r="M1361" t="inlineStr">
        <is>
          <t>Values must be of type &lt;class 'str'&gt;</t>
        </is>
      </c>
      <c r="N1361" t="inlineStr">
        <is>
          <t>00000000</t>
        </is>
      </c>
      <c r="O1361" t="inlineStr">
        <is>
          <t>left</t>
        </is>
      </c>
      <c r="R1361" t="b">
        <v>1</v>
      </c>
      <c r="S1361" t="inlineStr">
        <is>
          <t>G000159</t>
        </is>
      </c>
      <c r="T1361" t="inlineStr">
        <is>
          <t>Vertical</t>
        </is>
      </c>
      <c r="U1361" t="n">
        <v>92</v>
      </c>
      <c r="V1361" t="b">
        <v>1</v>
      </c>
      <c r="W1361" t="inlineStr">
        <is>
          <t>ATF Fuel 2!M3:M94</t>
        </is>
      </c>
      <c r="X1361">
        <f>(1+(R[0]C[-11]/R[-1]C[-11])-1)*R[-1]C[0]</f>
        <v/>
      </c>
    </row>
    <row r="1362">
      <c r="A1362" t="inlineStr">
        <is>
          <t>ATF Fuel 2</t>
        </is>
      </c>
      <c r="B1362" t="inlineStr">
        <is>
          <t>N79</t>
        </is>
      </c>
      <c r="C1362" t="n">
        <v>79</v>
      </c>
      <c r="D1362" t="n">
        <v>14</v>
      </c>
      <c r="E1362" t="inlineStr">
        <is>
          <t>Calculation</t>
        </is>
      </c>
      <c r="F1362" t="inlineStr">
        <is>
          <t>'=(1+(F79/F78)-1)*N78</t>
        </is>
      </c>
      <c r="G1362" t="n">
        <v>56.54120779377956</v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11</v>
      </c>
      <c r="M1362" t="inlineStr">
        <is>
          <t>Values must be of type &lt;class 'str'&gt;</t>
        </is>
      </c>
      <c r="N1362" t="inlineStr">
        <is>
          <t>00000000</t>
        </is>
      </c>
      <c r="O1362" t="inlineStr">
        <is>
          <t>left</t>
        </is>
      </c>
      <c r="R1362" t="b">
        <v>1</v>
      </c>
      <c r="S1362" t="inlineStr">
        <is>
          <t>G000160</t>
        </is>
      </c>
      <c r="T1362" t="inlineStr">
        <is>
          <t>Vertical</t>
        </is>
      </c>
      <c r="U1362" t="n">
        <v>92</v>
      </c>
      <c r="V1362" t="b">
        <v>1</v>
      </c>
      <c r="W1362" t="inlineStr">
        <is>
          <t>ATF Fuel 2!N3:N94</t>
        </is>
      </c>
      <c r="X1362">
        <f>(1+(R[0]C[-8]/R[-1]C[-8])-1)*R[-1]C[0]</f>
        <v/>
      </c>
    </row>
    <row r="1363">
      <c r="A1363" t="inlineStr">
        <is>
          <t>ATF Fuel 2</t>
        </is>
      </c>
      <c r="B1363" t="inlineStr">
        <is>
          <t>O79</t>
        </is>
      </c>
      <c r="C1363" t="n">
        <v>79</v>
      </c>
      <c r="D1363" t="n">
        <v>15</v>
      </c>
      <c r="E1363" t="inlineStr">
        <is>
          <t>Calculation</t>
        </is>
      </c>
      <c r="F1363" t="inlineStr">
        <is>
          <t>'=(1+(J79/J78)-1)*O78</t>
        </is>
      </c>
      <c r="G1363" t="n">
        <v>51.07062581332075</v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11</v>
      </c>
      <c r="M1363" t="inlineStr">
        <is>
          <t>Values must be of type &lt;class 'str'&gt;</t>
        </is>
      </c>
      <c r="N1363" t="inlineStr">
        <is>
          <t>00000000</t>
        </is>
      </c>
      <c r="O1363" t="inlineStr">
        <is>
          <t>left</t>
        </is>
      </c>
      <c r="R1363" t="b">
        <v>1</v>
      </c>
      <c r="S1363" t="inlineStr">
        <is>
          <t>G000162</t>
        </is>
      </c>
      <c r="T1363" t="inlineStr">
        <is>
          <t>Vertical</t>
        </is>
      </c>
      <c r="U1363" t="n">
        <v>92</v>
      </c>
      <c r="V1363" t="b">
        <v>1</v>
      </c>
      <c r="W1363" t="inlineStr">
        <is>
          <t>ATF Fuel 2!O3:O94</t>
        </is>
      </c>
      <c r="X1363">
        <f>(1+(R[0]C[-5]/R[-1]C[-5])-1)*R[-1]C[0]</f>
        <v/>
      </c>
    </row>
    <row r="1364">
      <c r="A1364" t="inlineStr">
        <is>
          <t>ATF Fuel 2</t>
        </is>
      </c>
      <c r="B1364" t="inlineStr">
        <is>
          <t>P79</t>
        </is>
      </c>
      <c r="C1364" t="n">
        <v>79</v>
      </c>
      <c r="D1364" t="n">
        <v>16</v>
      </c>
      <c r="E1364" t="inlineStr">
        <is>
          <t>Calculation</t>
        </is>
      </c>
      <c r="F1364" t="inlineStr">
        <is>
          <t>'=(1+(H79/H78)-1)*P78</t>
        </is>
      </c>
      <c r="G1364" t="n">
        <v>84.44548125590173</v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11</v>
      </c>
      <c r="M1364" t="inlineStr">
        <is>
          <t>Values must be of type &lt;class 'str'&gt;</t>
        </is>
      </c>
      <c r="N1364" t="inlineStr">
        <is>
          <t>00000000</t>
        </is>
      </c>
      <c r="O1364" t="inlineStr">
        <is>
          <t>left</t>
        </is>
      </c>
      <c r="R1364" t="b">
        <v>1</v>
      </c>
      <c r="S1364" t="inlineStr">
        <is>
          <t>G000161</t>
        </is>
      </c>
      <c r="T1364" t="inlineStr">
        <is>
          <t>Vertical</t>
        </is>
      </c>
      <c r="U1364" t="n">
        <v>92</v>
      </c>
      <c r="V1364" t="b">
        <v>1</v>
      </c>
      <c r="W1364" t="inlineStr">
        <is>
          <t>ATF Fuel 2!P3:P94</t>
        </is>
      </c>
      <c r="X1364">
        <f>(1+(R[0]C[-8]/R[-1]C[-8])-1)*R[-1]C[0]</f>
        <v/>
      </c>
    </row>
    <row r="1365">
      <c r="A1365" t="inlineStr">
        <is>
          <t>ATF Fuel 2</t>
        </is>
      </c>
      <c r="B1365" t="inlineStr">
        <is>
          <t>Q79</t>
        </is>
      </c>
      <c r="C1365" t="n">
        <v>79</v>
      </c>
      <c r="D1365" t="n">
        <v>17</v>
      </c>
      <c r="E1365" t="inlineStr">
        <is>
          <t>Output</t>
        </is>
      </c>
      <c r="F1365" t="inlineStr">
        <is>
          <t>'=M79/N79-1</t>
        </is>
      </c>
      <c r="G1365" t="n">
        <v>0.8758336224681316</v>
      </c>
      <c r="H1365" t="inlineStr"/>
      <c r="I1365" t="inlineStr">
        <is>
          <t>0.0%</t>
        </is>
      </c>
      <c r="J1365" t="b">
        <v>0</v>
      </c>
      <c r="K1365" t="b">
        <v>0</v>
      </c>
      <c r="L1365" t="n">
        <v>11</v>
      </c>
      <c r="M1365" t="inlineStr">
        <is>
          <t>Values must be of type &lt;class 'str'&gt;</t>
        </is>
      </c>
      <c r="N1365" t="inlineStr">
        <is>
          <t>00000000</t>
        </is>
      </c>
      <c r="O1365" t="n">
        <v/>
      </c>
      <c r="R1365" t="b">
        <v>1</v>
      </c>
      <c r="S1365" t="inlineStr">
        <is>
          <t>G000153</t>
        </is>
      </c>
      <c r="T1365" t="inlineStr">
        <is>
          <t>Vertical</t>
        </is>
      </c>
      <c r="U1365" t="n">
        <v>93</v>
      </c>
      <c r="V1365" t="b">
        <v>1</v>
      </c>
      <c r="W1365" t="inlineStr">
        <is>
          <t>ATF Fuel 2!Q2:Q94</t>
        </is>
      </c>
      <c r="X1365">
        <f>R[0]C[-4]/R[0]C[-3]-1</f>
        <v/>
      </c>
    </row>
    <row r="1366">
      <c r="A1366" t="inlineStr">
        <is>
          <t>ATF Fuel 2</t>
        </is>
      </c>
      <c r="B1366" t="inlineStr">
        <is>
          <t>A80</t>
        </is>
      </c>
      <c r="C1366" t="n">
        <v>80</v>
      </c>
      <c r="D1366" t="n">
        <v>1</v>
      </c>
      <c r="E1366" t="inlineStr">
        <is>
          <t>Input</t>
        </is>
      </c>
      <c r="F1366" t="n">
        <v/>
      </c>
      <c r="G1366" t="inlineStr">
        <is>
          <t>October 01,2016</t>
        </is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11</v>
      </c>
      <c r="M1366" t="inlineStr">
        <is>
          <t>Values must be of type &lt;class 'str'&gt;</t>
        </is>
      </c>
      <c r="N1366" t="inlineStr">
        <is>
          <t>00000000</t>
        </is>
      </c>
      <c r="O1366" t="n">
        <v/>
      </c>
      <c r="R1366" t="b">
        <v>1</v>
      </c>
      <c r="S1366" t="n">
        <v/>
      </c>
      <c r="T1366" t="n">
        <v/>
      </c>
      <c r="U1366" t="n">
        <v/>
      </c>
      <c r="V1366" t="b">
        <v>0</v>
      </c>
      <c r="W1366" t="inlineStr"/>
      <c r="X1366" t="n">
        <v/>
      </c>
    </row>
    <row r="1367">
      <c r="A1367" t="inlineStr">
        <is>
          <t>ATF Fuel 2</t>
        </is>
      </c>
      <c r="B1367" t="inlineStr">
        <is>
          <t>B80</t>
        </is>
      </c>
      <c r="C1367" t="n">
        <v>80</v>
      </c>
      <c r="D1367" t="n">
        <v>2</v>
      </c>
      <c r="E1367" t="inlineStr">
        <is>
          <t>Input</t>
        </is>
      </c>
      <c r="F1367" t="n">
        <v/>
      </c>
      <c r="G1367" t="n">
        <v>48442.3075</v>
      </c>
      <c r="H1367" t="inlineStr"/>
      <c r="I1367" t="inlineStr">
        <is>
          <t>General</t>
        </is>
      </c>
      <c r="J1367" t="b">
        <v>0</v>
      </c>
      <c r="K1367" t="b">
        <v>0</v>
      </c>
      <c r="L1367" t="n">
        <v>11</v>
      </c>
      <c r="M1367" t="inlineStr">
        <is>
          <t>Values must be of type &lt;class 'str'&gt;</t>
        </is>
      </c>
      <c r="N1367" t="inlineStr">
        <is>
          <t>00000000</t>
        </is>
      </c>
      <c r="O1367" t="n">
        <v/>
      </c>
      <c r="R1367" t="b">
        <v>1</v>
      </c>
      <c r="S1367" t="n">
        <v/>
      </c>
      <c r="T1367" t="n">
        <v/>
      </c>
      <c r="U1367" t="n">
        <v/>
      </c>
      <c r="V1367" t="b">
        <v>0</v>
      </c>
      <c r="W1367" t="inlineStr"/>
      <c r="X1367" t="n">
        <v/>
      </c>
    </row>
    <row r="1368">
      <c r="A1368" t="inlineStr">
        <is>
          <t>ATF Fuel 2</t>
        </is>
      </c>
      <c r="B1368" t="inlineStr">
        <is>
          <t>C80</t>
        </is>
      </c>
      <c r="C1368" t="n">
        <v>80</v>
      </c>
      <c r="D1368" t="n">
        <v>3</v>
      </c>
      <c r="E1368" t="inlineStr">
        <is>
          <t>Output</t>
        </is>
      </c>
      <c r="F1368" t="inlineStr">
        <is>
          <t>'=B80/B79-1</t>
        </is>
      </c>
      <c r="G1368" t="n">
        <v>0.02957085688137773</v>
      </c>
      <c r="H1368" t="inlineStr"/>
      <c r="I1368" t="inlineStr">
        <is>
          <t>0%</t>
        </is>
      </c>
      <c r="J1368" t="b">
        <v>0</v>
      </c>
      <c r="K1368" t="b">
        <v>0</v>
      </c>
      <c r="L1368" t="n">
        <v>11</v>
      </c>
      <c r="M1368" t="n">
        <v/>
      </c>
      <c r="N1368" t="inlineStr">
        <is>
          <t>00000000</t>
        </is>
      </c>
      <c r="O1368" t="n">
        <v/>
      </c>
      <c r="R1368" t="b">
        <v>1</v>
      </c>
      <c r="S1368" t="inlineStr">
        <is>
          <t>G000154</t>
        </is>
      </c>
      <c r="T1368" t="inlineStr">
        <is>
          <t>Vertical</t>
        </is>
      </c>
      <c r="U1368" t="n">
        <v>92</v>
      </c>
      <c r="V1368" t="b">
        <v>1</v>
      </c>
      <c r="W1368" t="inlineStr">
        <is>
          <t>ATF Fuel 2!C3:C94</t>
        </is>
      </c>
      <c r="X1368">
        <f>R[0]C[-1]/R[-1]C[-1]-1</f>
        <v/>
      </c>
    </row>
    <row r="1369">
      <c r="A1369" t="inlineStr">
        <is>
          <t>ATF Fuel 2</t>
        </is>
      </c>
      <c r="B1369" t="inlineStr">
        <is>
          <t>D80</t>
        </is>
      </c>
      <c r="C1369" t="n">
        <v>80</v>
      </c>
      <c r="D1369" t="n">
        <v>4</v>
      </c>
      <c r="E1369" t="inlineStr">
        <is>
          <t>Input</t>
        </is>
      </c>
      <c r="F1369" t="n">
        <v/>
      </c>
      <c r="G1369" t="n">
        <v>66.54000000000001</v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11</v>
      </c>
      <c r="M1369" t="inlineStr">
        <is>
          <t>Values must be of type &lt;class 'str'&gt;</t>
        </is>
      </c>
      <c r="N1369" t="inlineStr">
        <is>
          <t>00000000</t>
        </is>
      </c>
      <c r="O1369" t="n">
        <v/>
      </c>
      <c r="R1369" t="b">
        <v>1</v>
      </c>
      <c r="S1369" t="n">
        <v/>
      </c>
      <c r="T1369" t="n">
        <v/>
      </c>
      <c r="U1369" t="n">
        <v/>
      </c>
      <c r="V1369" t="b">
        <v>0</v>
      </c>
      <c r="W1369" t="inlineStr"/>
      <c r="X1369" t="n">
        <v/>
      </c>
    </row>
    <row r="1370">
      <c r="A1370" t="inlineStr">
        <is>
          <t>ATF Fuel 2</t>
        </is>
      </c>
      <c r="B1370" t="inlineStr">
        <is>
          <t>E80</t>
        </is>
      </c>
      <c r="C1370" t="n">
        <v>80</v>
      </c>
      <c r="D1370" t="n">
        <v>5</v>
      </c>
      <c r="E1370" t="inlineStr">
        <is>
          <t>Output</t>
        </is>
      </c>
      <c r="F1370" t="inlineStr">
        <is>
          <t>'=B80/B79-1</t>
        </is>
      </c>
      <c r="G1370" t="n">
        <v>0.02957085688137773</v>
      </c>
      <c r="H1370" t="inlineStr"/>
      <c r="I1370" t="inlineStr">
        <is>
          <t>0%</t>
        </is>
      </c>
      <c r="J1370" t="b">
        <v>0</v>
      </c>
      <c r="K1370" t="b">
        <v>0</v>
      </c>
      <c r="L1370" t="n">
        <v>11</v>
      </c>
      <c r="M1370" t="inlineStr">
        <is>
          <t>Values must be of type &lt;class 'str'&gt;</t>
        </is>
      </c>
      <c r="N1370" t="inlineStr">
        <is>
          <t>00000000</t>
        </is>
      </c>
      <c r="O1370" t="n">
        <v/>
      </c>
      <c r="R1370" t="b">
        <v>1</v>
      </c>
      <c r="S1370" t="inlineStr">
        <is>
          <t>G000158</t>
        </is>
      </c>
      <c r="T1370" t="inlineStr">
        <is>
          <t>Vertical</t>
        </is>
      </c>
      <c r="U1370" t="n">
        <v>92</v>
      </c>
      <c r="V1370" t="b">
        <v>1</v>
      </c>
      <c r="W1370" t="inlineStr">
        <is>
          <t>ATF Fuel 2!E3:E94</t>
        </is>
      </c>
      <c r="X1370">
        <f>R[0]C[-3]/R[-1]C[-3]-1</f>
        <v/>
      </c>
    </row>
    <row r="1371">
      <c r="A1371" t="inlineStr">
        <is>
          <t>ATF Fuel 2</t>
        </is>
      </c>
      <c r="B1371" t="inlineStr">
        <is>
          <t>F80</t>
        </is>
      </c>
      <c r="C1371" t="n">
        <v>80</v>
      </c>
      <c r="D1371" t="n">
        <v>6</v>
      </c>
      <c r="E1371" t="inlineStr">
        <is>
          <t>Input</t>
        </is>
      </c>
      <c r="F1371" t="n">
        <v/>
      </c>
      <c r="G1371" t="n">
        <v>49.57</v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11</v>
      </c>
      <c r="M1371" t="inlineStr">
        <is>
          <t>Values must be of type &lt;class 'str'&gt;</t>
        </is>
      </c>
      <c r="N1371" t="inlineStr">
        <is>
          <t>00000000</t>
        </is>
      </c>
      <c r="O1371" t="n">
        <v/>
      </c>
      <c r="R1371" t="b">
        <v>1</v>
      </c>
      <c r="S1371" t="n">
        <v/>
      </c>
      <c r="T1371" t="n">
        <v/>
      </c>
      <c r="U1371" t="n">
        <v/>
      </c>
      <c r="V1371" t="b">
        <v>0</v>
      </c>
      <c r="W1371" t="inlineStr"/>
      <c r="X1371" t="n">
        <v/>
      </c>
    </row>
    <row r="1372">
      <c r="A1372" t="inlineStr">
        <is>
          <t>ATF Fuel 2</t>
        </is>
      </c>
      <c r="B1372" t="inlineStr">
        <is>
          <t>G80</t>
        </is>
      </c>
      <c r="C1372" t="n">
        <v>80</v>
      </c>
      <c r="D1372" t="n">
        <v>7</v>
      </c>
      <c r="E1372" t="inlineStr">
        <is>
          <t>Output</t>
        </is>
      </c>
      <c r="F1372" t="inlineStr">
        <is>
          <t>'=F80/F79-1</t>
        </is>
      </c>
      <c r="G1372" t="n">
        <v>0.06100171232876717</v>
      </c>
      <c r="H1372" t="inlineStr"/>
      <c r="I1372" t="inlineStr">
        <is>
          <t>0%</t>
        </is>
      </c>
      <c r="J1372" t="b">
        <v>0</v>
      </c>
      <c r="K1372" t="b">
        <v>0</v>
      </c>
      <c r="L1372" t="n">
        <v>11</v>
      </c>
      <c r="M1372" t="inlineStr">
        <is>
          <t>Values must be of type &lt;class 'str'&gt;</t>
        </is>
      </c>
      <c r="N1372" t="inlineStr">
        <is>
          <t>00000000</t>
        </is>
      </c>
      <c r="O1372" t="n">
        <v/>
      </c>
      <c r="R1372" t="b">
        <v>1</v>
      </c>
      <c r="S1372" t="inlineStr">
        <is>
          <t>G000155</t>
        </is>
      </c>
      <c r="T1372" t="inlineStr">
        <is>
          <t>Vertical</t>
        </is>
      </c>
      <c r="U1372" t="n">
        <v>93</v>
      </c>
      <c r="V1372" t="b">
        <v>1</v>
      </c>
      <c r="W1372" t="inlineStr">
        <is>
          <t>ATF Fuel 2!G3:G95</t>
        </is>
      </c>
      <c r="X1372">
        <f>R[0]C[-1]/R[-1]C[-1]-1</f>
        <v/>
      </c>
    </row>
    <row r="1373">
      <c r="A1373" t="inlineStr">
        <is>
          <t>ATF Fuel 2</t>
        </is>
      </c>
      <c r="B1373" t="inlineStr">
        <is>
          <t>H80</t>
        </is>
      </c>
      <c r="C1373" t="n">
        <v>80</v>
      </c>
      <c r="D1373" t="n">
        <v>8</v>
      </c>
      <c r="E1373" t="inlineStr">
        <is>
          <t>Calculation</t>
        </is>
      </c>
      <c r="F1373" t="inlineStr">
        <is>
          <t>'=D80*F80</t>
        </is>
      </c>
      <c r="G1373" t="n">
        <v>3298.3878</v>
      </c>
      <c r="H1373" t="inlineStr"/>
      <c r="I1373" t="inlineStr">
        <is>
          <t>0</t>
        </is>
      </c>
      <c r="J1373" t="b">
        <v>0</v>
      </c>
      <c r="K1373" t="b">
        <v>0</v>
      </c>
      <c r="L1373" t="n">
        <v>11</v>
      </c>
      <c r="M1373" t="inlineStr">
        <is>
          <t>Values must be of type &lt;class 'str'&gt;</t>
        </is>
      </c>
      <c r="N1373" t="inlineStr">
        <is>
          <t>00000000</t>
        </is>
      </c>
      <c r="O1373" t="n">
        <v/>
      </c>
      <c r="R1373" t="b">
        <v>1</v>
      </c>
      <c r="S1373" t="inlineStr">
        <is>
          <t>G000152</t>
        </is>
      </c>
      <c r="T1373" t="inlineStr">
        <is>
          <t>Vertical</t>
        </is>
      </c>
      <c r="U1373" t="n">
        <v>98</v>
      </c>
      <c r="V1373" t="b">
        <v>1</v>
      </c>
      <c r="W1373" t="inlineStr">
        <is>
          <t>ATF Fuel 2!H2:H99</t>
        </is>
      </c>
      <c r="X1373">
        <f>R[0]C[-4]*R[0]C[-2]</f>
        <v/>
      </c>
    </row>
    <row r="1374">
      <c r="A1374" t="inlineStr">
        <is>
          <t>ATF Fuel 2</t>
        </is>
      </c>
      <c r="B1374" t="inlineStr">
        <is>
          <t>I80</t>
        </is>
      </c>
      <c r="C1374" t="n">
        <v>80</v>
      </c>
      <c r="D1374" t="n">
        <v>9</v>
      </c>
      <c r="E1374" t="inlineStr">
        <is>
          <t>Output</t>
        </is>
      </c>
      <c r="F1374" t="inlineStr">
        <is>
          <t>'=H80/H79-1</t>
        </is>
      </c>
      <c r="G1374" t="n">
        <v>0.0560815847173699</v>
      </c>
      <c r="H1374" t="inlineStr"/>
      <c r="I1374" t="inlineStr">
        <is>
          <t>0%</t>
        </is>
      </c>
      <c r="J1374" t="b">
        <v>0</v>
      </c>
      <c r="K1374" t="b">
        <v>0</v>
      </c>
      <c r="L1374" t="n">
        <v>11</v>
      </c>
      <c r="M1374" t="inlineStr">
        <is>
          <t>FFFF0000</t>
        </is>
      </c>
      <c r="N1374" t="inlineStr">
        <is>
          <t>00000000</t>
        </is>
      </c>
      <c r="O1374" t="n">
        <v/>
      </c>
      <c r="R1374" t="b">
        <v>1</v>
      </c>
      <c r="S1374" t="inlineStr">
        <is>
          <t>G000156</t>
        </is>
      </c>
      <c r="T1374" t="inlineStr">
        <is>
          <t>Vertical</t>
        </is>
      </c>
      <c r="U1374" t="n">
        <v>97</v>
      </c>
      <c r="V1374" t="b">
        <v>1</v>
      </c>
      <c r="W1374" t="inlineStr">
        <is>
          <t>ATF Fuel 2!I3:I99</t>
        </is>
      </c>
      <c r="X1374">
        <f>R[0]C[-1]/R[-1]C[-1]-1</f>
        <v/>
      </c>
    </row>
    <row r="1375">
      <c r="A1375" t="inlineStr">
        <is>
          <t>ATF Fuel 2</t>
        </is>
      </c>
      <c r="B1375" t="inlineStr">
        <is>
          <t>J80</t>
        </is>
      </c>
      <c r="C1375" t="n">
        <v>80</v>
      </c>
      <c r="D1375" t="n">
        <v>10</v>
      </c>
      <c r="E1375" t="inlineStr">
        <is>
          <t>Input</t>
        </is>
      </c>
      <c r="F1375" t="n">
        <v/>
      </c>
      <c r="G1375" t="n">
        <v>48.8</v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11</v>
      </c>
      <c r="M1375" t="inlineStr">
        <is>
          <t>Values must be of type &lt;class 'str'&gt;</t>
        </is>
      </c>
      <c r="N1375" t="inlineStr">
        <is>
          <t>00000000</t>
        </is>
      </c>
      <c r="O1375" t="n">
        <v/>
      </c>
      <c r="R1375" t="b">
        <v>1</v>
      </c>
      <c r="S1375" t="n">
        <v/>
      </c>
      <c r="T1375" t="n">
        <v/>
      </c>
      <c r="U1375" t="n">
        <v/>
      </c>
      <c r="V1375" t="b">
        <v>0</v>
      </c>
      <c r="W1375" t="inlineStr"/>
      <c r="X1375" t="n">
        <v/>
      </c>
    </row>
    <row r="1376">
      <c r="A1376" t="inlineStr">
        <is>
          <t>ATF Fuel 2</t>
        </is>
      </c>
      <c r="B1376" t="inlineStr">
        <is>
          <t>K80</t>
        </is>
      </c>
      <c r="C1376" t="n">
        <v>80</v>
      </c>
      <c r="D1376" t="n">
        <v>11</v>
      </c>
      <c r="E1376" t="inlineStr">
        <is>
          <t>Output</t>
        </is>
      </c>
      <c r="F1376" t="inlineStr">
        <is>
          <t>'=J80/J79-1</t>
        </is>
      </c>
      <c r="G1376" t="n">
        <v>0.1304146397961545</v>
      </c>
      <c r="H1376" t="inlineStr"/>
      <c r="I1376" t="inlineStr">
        <is>
          <t>0%</t>
        </is>
      </c>
      <c r="J1376" t="b">
        <v>0</v>
      </c>
      <c r="K1376" t="b">
        <v>0</v>
      </c>
      <c r="L1376" t="n">
        <v>11</v>
      </c>
      <c r="M1376" t="inlineStr">
        <is>
          <t>Values must be of type &lt;class 'str'&gt;</t>
        </is>
      </c>
      <c r="N1376" t="inlineStr">
        <is>
          <t>00000000</t>
        </is>
      </c>
      <c r="O1376" t="n">
        <v/>
      </c>
      <c r="R1376" t="b">
        <v>1</v>
      </c>
      <c r="S1376" t="inlineStr">
        <is>
          <t>G000157</t>
        </is>
      </c>
      <c r="T1376" t="inlineStr">
        <is>
          <t>Vertical</t>
        </is>
      </c>
      <c r="U1376" t="n">
        <v>93</v>
      </c>
      <c r="V1376" t="b">
        <v>1</v>
      </c>
      <c r="W1376" t="inlineStr">
        <is>
          <t>ATF Fuel 2!K3:K95</t>
        </is>
      </c>
      <c r="X1376">
        <f>R[0]C[-1]/R[-1]C[-1]-1</f>
        <v/>
      </c>
    </row>
    <row r="1377">
      <c r="A1377" t="inlineStr">
        <is>
          <t>ATF Fuel 2</t>
        </is>
      </c>
      <c r="B1377" t="inlineStr">
        <is>
          <t>L80</t>
        </is>
      </c>
      <c r="C1377" t="n">
        <v>80</v>
      </c>
      <c r="D1377" t="n">
        <v>12</v>
      </c>
      <c r="E1377" t="inlineStr">
        <is>
          <t>Input</t>
        </is>
      </c>
      <c r="F1377" t="n">
        <v/>
      </c>
      <c r="G1377" t="inlineStr">
        <is>
          <t>October 01,2016</t>
        </is>
      </c>
      <c r="H1377" t="inlineStr"/>
      <c r="I1377" t="inlineStr">
        <is>
          <t>General</t>
        </is>
      </c>
      <c r="J1377" t="b">
        <v>0</v>
      </c>
      <c r="K1377" t="b">
        <v>0</v>
      </c>
      <c r="L1377" t="n">
        <v>11</v>
      </c>
      <c r="M1377" t="inlineStr">
        <is>
          <t>Values must be of type &lt;class 'str'&gt;</t>
        </is>
      </c>
      <c r="N1377" t="inlineStr">
        <is>
          <t>00000000</t>
        </is>
      </c>
      <c r="O1377" t="inlineStr">
        <is>
          <t>left</t>
        </is>
      </c>
      <c r="R1377" t="b">
        <v>1</v>
      </c>
      <c r="S1377" t="n">
        <v/>
      </c>
      <c r="T1377" t="n">
        <v/>
      </c>
      <c r="U1377" t="n">
        <v/>
      </c>
      <c r="V1377" t="b">
        <v>0</v>
      </c>
      <c r="W1377" t="inlineStr"/>
      <c r="X1377" t="n">
        <v/>
      </c>
    </row>
    <row r="1378">
      <c r="A1378" t="inlineStr">
        <is>
          <t>ATF Fuel 2</t>
        </is>
      </c>
      <c r="B1378" t="inlineStr">
        <is>
          <t>M80</t>
        </is>
      </c>
      <c r="C1378" t="n">
        <v>80</v>
      </c>
      <c r="D1378" t="n">
        <v>13</v>
      </c>
      <c r="E1378" t="inlineStr">
        <is>
          <t>Calculation</t>
        </is>
      </c>
      <c r="F1378" t="inlineStr">
        <is>
          <t>'=(1+(B80/B79)-1)*M79</t>
        </is>
      </c>
      <c r="G1378" t="n">
        <v>109.1982398596177</v>
      </c>
      <c r="H1378" t="inlineStr"/>
      <c r="I1378" t="inlineStr">
        <is>
          <t>General</t>
        </is>
      </c>
      <c r="J1378" t="b">
        <v>0</v>
      </c>
      <c r="K1378" t="b">
        <v>0</v>
      </c>
      <c r="L1378" t="n">
        <v>11</v>
      </c>
      <c r="M1378" t="inlineStr">
        <is>
          <t>Values must be of type &lt;class 'str'&gt;</t>
        </is>
      </c>
      <c r="N1378" t="inlineStr">
        <is>
          <t>00000000</t>
        </is>
      </c>
      <c r="O1378" t="inlineStr">
        <is>
          <t>left</t>
        </is>
      </c>
      <c r="R1378" t="b">
        <v>1</v>
      </c>
      <c r="S1378" t="inlineStr">
        <is>
          <t>G000159</t>
        </is>
      </c>
      <c r="T1378" t="inlineStr">
        <is>
          <t>Vertical</t>
        </is>
      </c>
      <c r="U1378" t="n">
        <v>92</v>
      </c>
      <c r="V1378" t="b">
        <v>1</v>
      </c>
      <c r="W1378" t="inlineStr">
        <is>
          <t>ATF Fuel 2!M3:M94</t>
        </is>
      </c>
      <c r="X1378">
        <f>(1+(R[0]C[-11]/R[-1]C[-11])-1)*R[-1]C[0]</f>
        <v/>
      </c>
    </row>
    <row r="1379">
      <c r="A1379" t="inlineStr">
        <is>
          <t>ATF Fuel 2</t>
        </is>
      </c>
      <c r="B1379" t="inlineStr">
        <is>
          <t>N80</t>
        </is>
      </c>
      <c r="C1379" t="n">
        <v>80</v>
      </c>
      <c r="D1379" t="n">
        <v>14</v>
      </c>
      <c r="E1379" t="inlineStr">
        <is>
          <t>Calculation</t>
        </is>
      </c>
      <c r="F1379" t="inlineStr">
        <is>
          <t>'=(1+(F80/F79)-1)*N79</t>
        </is>
      </c>
      <c r="G1379" t="n">
        <v>59.99031828633675</v>
      </c>
      <c r="H1379" t="inlineStr"/>
      <c r="I1379" t="inlineStr">
        <is>
          <t>General</t>
        </is>
      </c>
      <c r="J1379" t="b">
        <v>0</v>
      </c>
      <c r="K1379" t="b">
        <v>0</v>
      </c>
      <c r="L1379" t="n">
        <v>11</v>
      </c>
      <c r="M1379" t="inlineStr">
        <is>
          <t>Values must be of type &lt;class 'str'&gt;</t>
        </is>
      </c>
      <c r="N1379" t="inlineStr">
        <is>
          <t>00000000</t>
        </is>
      </c>
      <c r="O1379" t="inlineStr">
        <is>
          <t>left</t>
        </is>
      </c>
      <c r="R1379" t="b">
        <v>1</v>
      </c>
      <c r="S1379" t="inlineStr">
        <is>
          <t>G000160</t>
        </is>
      </c>
      <c r="T1379" t="inlineStr">
        <is>
          <t>Vertical</t>
        </is>
      </c>
      <c r="U1379" t="n">
        <v>92</v>
      </c>
      <c r="V1379" t="b">
        <v>1</v>
      </c>
      <c r="W1379" t="inlineStr">
        <is>
          <t>ATF Fuel 2!N3:N94</t>
        </is>
      </c>
      <c r="X1379">
        <f>(1+(R[0]C[-8]/R[-1]C[-8])-1)*R[-1]C[0]</f>
        <v/>
      </c>
    </row>
    <row r="1380">
      <c r="A1380" t="inlineStr">
        <is>
          <t>ATF Fuel 2</t>
        </is>
      </c>
      <c r="B1380" t="inlineStr">
        <is>
          <t>O80</t>
        </is>
      </c>
      <c r="C1380" t="n">
        <v>80</v>
      </c>
      <c r="D1380" t="n">
        <v>15</v>
      </c>
      <c r="E1380" t="inlineStr">
        <is>
          <t>Calculation</t>
        </is>
      </c>
      <c r="F1380" t="inlineStr">
        <is>
          <t>'=(1+(J80/J79)-1)*O79</t>
        </is>
      </c>
      <c r="G1380" t="n">
        <v>57.73098308292917</v>
      </c>
      <c r="H1380" t="inlineStr"/>
      <c r="I1380" t="inlineStr">
        <is>
          <t>General</t>
        </is>
      </c>
      <c r="J1380" t="b">
        <v>0</v>
      </c>
      <c r="K1380" t="b">
        <v>0</v>
      </c>
      <c r="L1380" t="n">
        <v>11</v>
      </c>
      <c r="M1380" t="inlineStr">
        <is>
          <t>Values must be of type &lt;class 'str'&gt;</t>
        </is>
      </c>
      <c r="N1380" t="inlineStr">
        <is>
          <t>00000000</t>
        </is>
      </c>
      <c r="O1380" t="inlineStr">
        <is>
          <t>left</t>
        </is>
      </c>
      <c r="R1380" t="b">
        <v>1</v>
      </c>
      <c r="S1380" t="inlineStr">
        <is>
          <t>G000162</t>
        </is>
      </c>
      <c r="T1380" t="inlineStr">
        <is>
          <t>Vertical</t>
        </is>
      </c>
      <c r="U1380" t="n">
        <v>92</v>
      </c>
      <c r="V1380" t="b">
        <v>1</v>
      </c>
      <c r="W1380" t="inlineStr">
        <is>
          <t>ATF Fuel 2!O3:O94</t>
        </is>
      </c>
      <c r="X1380">
        <f>(1+(R[0]C[-5]/R[-1]C[-5])-1)*R[-1]C[0]</f>
        <v/>
      </c>
    </row>
    <row r="1381">
      <c r="A1381" t="inlineStr">
        <is>
          <t>ATF Fuel 2</t>
        </is>
      </c>
      <c r="B1381" t="inlineStr">
        <is>
          <t>P80</t>
        </is>
      </c>
      <c r="C1381" t="n">
        <v>80</v>
      </c>
      <c r="D1381" t="n">
        <v>16</v>
      </c>
      <c r="E1381" t="inlineStr">
        <is>
          <t>Calculation</t>
        </is>
      </c>
      <c r="F1381" t="inlineStr">
        <is>
          <t>'=(1+(H80/H79)-1)*P79</t>
        </is>
      </c>
      <c r="G1381" t="n">
        <v>89.18131766695365</v>
      </c>
      <c r="H1381" t="inlineStr"/>
      <c r="I1381" t="inlineStr">
        <is>
          <t>General</t>
        </is>
      </c>
      <c r="J1381" t="b">
        <v>0</v>
      </c>
      <c r="K1381" t="b">
        <v>0</v>
      </c>
      <c r="L1381" t="n">
        <v>11</v>
      </c>
      <c r="M1381" t="inlineStr">
        <is>
          <t>Values must be of type &lt;class 'str'&gt;</t>
        </is>
      </c>
      <c r="N1381" t="inlineStr">
        <is>
          <t>00000000</t>
        </is>
      </c>
      <c r="O1381" t="inlineStr">
        <is>
          <t>left</t>
        </is>
      </c>
      <c r="R1381" t="b">
        <v>1</v>
      </c>
      <c r="S1381" t="inlineStr">
        <is>
          <t>G000161</t>
        </is>
      </c>
      <c r="T1381" t="inlineStr">
        <is>
          <t>Vertical</t>
        </is>
      </c>
      <c r="U1381" t="n">
        <v>92</v>
      </c>
      <c r="V1381" t="b">
        <v>1</v>
      </c>
      <c r="W1381" t="inlineStr">
        <is>
          <t>ATF Fuel 2!P3:P94</t>
        </is>
      </c>
      <c r="X1381">
        <f>(1+(R[0]C[-8]/R[-1]C[-8])-1)*R[-1]C[0]</f>
        <v/>
      </c>
    </row>
    <row r="1382">
      <c r="A1382" t="inlineStr">
        <is>
          <t>ATF Fuel 2</t>
        </is>
      </c>
      <c r="B1382" t="inlineStr">
        <is>
          <t>Q80</t>
        </is>
      </c>
      <c r="C1382" t="n">
        <v>80</v>
      </c>
      <c r="D1382" t="n">
        <v>17</v>
      </c>
      <c r="E1382" t="inlineStr">
        <is>
          <t>Output</t>
        </is>
      </c>
      <c r="F1382" t="inlineStr">
        <is>
          <t>'=M80/N80-1</t>
        </is>
      </c>
      <c r="G1382" t="n">
        <v>0.8202643856365148</v>
      </c>
      <c r="H1382" t="inlineStr"/>
      <c r="I1382" t="inlineStr">
        <is>
          <t>0.0%</t>
        </is>
      </c>
      <c r="J1382" t="b">
        <v>0</v>
      </c>
      <c r="K1382" t="b">
        <v>0</v>
      </c>
      <c r="L1382" t="n">
        <v>11</v>
      </c>
      <c r="M1382" t="inlineStr">
        <is>
          <t>Values must be of type &lt;class 'str'&gt;</t>
        </is>
      </c>
      <c r="N1382" t="inlineStr">
        <is>
          <t>00000000</t>
        </is>
      </c>
      <c r="O1382" t="n">
        <v/>
      </c>
      <c r="R1382" t="b">
        <v>1</v>
      </c>
      <c r="S1382" t="inlineStr">
        <is>
          <t>G000153</t>
        </is>
      </c>
      <c r="T1382" t="inlineStr">
        <is>
          <t>Vertical</t>
        </is>
      </c>
      <c r="U1382" t="n">
        <v>93</v>
      </c>
      <c r="V1382" t="b">
        <v>1</v>
      </c>
      <c r="W1382" t="inlineStr">
        <is>
          <t>ATF Fuel 2!Q2:Q94</t>
        </is>
      </c>
      <c r="X1382">
        <f>R[0]C[-4]/R[0]C[-3]-1</f>
        <v/>
      </c>
    </row>
    <row r="1383">
      <c r="A1383" t="inlineStr">
        <is>
          <t>ATF Fuel 2</t>
        </is>
      </c>
      <c r="B1383" t="inlineStr">
        <is>
          <t>A81</t>
        </is>
      </c>
      <c r="C1383" t="n">
        <v>81</v>
      </c>
      <c r="D1383" t="n">
        <v>1</v>
      </c>
      <c r="E1383" t="inlineStr">
        <is>
          <t>Input</t>
        </is>
      </c>
      <c r="F1383" t="n">
        <v/>
      </c>
      <c r="G1383" t="inlineStr">
        <is>
          <t>November 01,2016</t>
        </is>
      </c>
      <c r="H1383" t="inlineStr"/>
      <c r="I1383" t="inlineStr">
        <is>
          <t>General</t>
        </is>
      </c>
      <c r="J1383" t="b">
        <v>0</v>
      </c>
      <c r="K1383" t="b">
        <v>0</v>
      </c>
      <c r="L1383" t="n">
        <v>11</v>
      </c>
      <c r="M1383" t="inlineStr">
        <is>
          <t>Values must be of type &lt;class 'str'&gt;</t>
        </is>
      </c>
      <c r="N1383" t="inlineStr">
        <is>
          <t>00000000</t>
        </is>
      </c>
      <c r="O1383" t="n">
        <v/>
      </c>
      <c r="R1383" t="b">
        <v>1</v>
      </c>
      <c r="S1383" t="n">
        <v/>
      </c>
      <c r="T1383" t="n">
        <v/>
      </c>
      <c r="U1383" t="n">
        <v/>
      </c>
      <c r="V1383" t="b">
        <v>0</v>
      </c>
      <c r="W1383" t="inlineStr"/>
      <c r="X1383" t="n">
        <v/>
      </c>
    </row>
    <row r="1384">
      <c r="A1384" t="inlineStr">
        <is>
          <t>ATF Fuel 2</t>
        </is>
      </c>
      <c r="B1384" t="inlineStr">
        <is>
          <t>B81</t>
        </is>
      </c>
      <c r="C1384" t="n">
        <v>81</v>
      </c>
      <c r="D1384" t="n">
        <v>2</v>
      </c>
      <c r="E1384" t="inlineStr">
        <is>
          <t>Input</t>
        </is>
      </c>
      <c r="F1384" t="n">
        <v/>
      </c>
      <c r="G1384" t="n">
        <v>51901.2025</v>
      </c>
      <c r="H1384" t="inlineStr"/>
      <c r="I1384" t="inlineStr">
        <is>
          <t>General</t>
        </is>
      </c>
      <c r="J1384" t="b">
        <v>0</v>
      </c>
      <c r="K1384" t="b">
        <v>0</v>
      </c>
      <c r="L1384" t="n">
        <v>11</v>
      </c>
      <c r="M1384" t="inlineStr">
        <is>
          <t>Values must be of type &lt;class 'str'&gt;</t>
        </is>
      </c>
      <c r="N1384" t="inlineStr">
        <is>
          <t>00000000</t>
        </is>
      </c>
      <c r="O1384" t="n">
        <v/>
      </c>
      <c r="R1384" t="b">
        <v>1</v>
      </c>
      <c r="S1384" t="n">
        <v/>
      </c>
      <c r="T1384" t="n">
        <v/>
      </c>
      <c r="U1384" t="n">
        <v/>
      </c>
      <c r="V1384" t="b">
        <v>0</v>
      </c>
      <c r="W1384" t="inlineStr"/>
      <c r="X1384" t="n">
        <v/>
      </c>
    </row>
    <row r="1385">
      <c r="A1385" t="inlineStr">
        <is>
          <t>ATF Fuel 2</t>
        </is>
      </c>
      <c r="B1385" t="inlineStr">
        <is>
          <t>C81</t>
        </is>
      </c>
      <c r="C1385" t="n">
        <v>81</v>
      </c>
      <c r="D1385" t="n">
        <v>3</v>
      </c>
      <c r="E1385" t="inlineStr">
        <is>
          <t>Output</t>
        </is>
      </c>
      <c r="F1385" t="inlineStr">
        <is>
          <t>'=B81/B80-1</t>
        </is>
      </c>
      <c r="G1385" t="n">
        <v>0.07140235836205799</v>
      </c>
      <c r="H1385" t="inlineStr"/>
      <c r="I1385" t="inlineStr">
        <is>
          <t>0%</t>
        </is>
      </c>
      <c r="J1385" t="b">
        <v>0</v>
      </c>
      <c r="K1385" t="b">
        <v>0</v>
      </c>
      <c r="L1385" t="n">
        <v>11</v>
      </c>
      <c r="M1385" t="n">
        <v/>
      </c>
      <c r="N1385" t="inlineStr">
        <is>
          <t>00000000</t>
        </is>
      </c>
      <c r="O1385" t="n">
        <v/>
      </c>
      <c r="R1385" t="b">
        <v>1</v>
      </c>
      <c r="S1385" t="inlineStr">
        <is>
          <t>G000154</t>
        </is>
      </c>
      <c r="T1385" t="inlineStr">
        <is>
          <t>Vertical</t>
        </is>
      </c>
      <c r="U1385" t="n">
        <v>92</v>
      </c>
      <c r="V1385" t="b">
        <v>1</v>
      </c>
      <c r="W1385" t="inlineStr">
        <is>
          <t>ATF Fuel 2!C3:C94</t>
        </is>
      </c>
      <c r="X1385">
        <f>R[0]C[-1]/R[-1]C[-1]-1</f>
        <v/>
      </c>
    </row>
    <row r="1386">
      <c r="A1386" t="inlineStr">
        <is>
          <t>ATF Fuel 2</t>
        </is>
      </c>
      <c r="B1386" t="inlineStr">
        <is>
          <t>D81</t>
        </is>
      </c>
      <c r="C1386" t="n">
        <v>81</v>
      </c>
      <c r="D1386" t="n">
        <v>4</v>
      </c>
      <c r="E1386" t="inlineStr">
        <is>
          <t>Input</t>
        </is>
      </c>
      <c r="F1386" t="n">
        <v/>
      </c>
      <c r="G1386" t="n">
        <v>66.72</v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11</v>
      </c>
      <c r="M1386" t="inlineStr">
        <is>
          <t>Values must be of type &lt;class 'str'&gt;</t>
        </is>
      </c>
      <c r="N1386" t="inlineStr">
        <is>
          <t>00000000</t>
        </is>
      </c>
      <c r="O1386" t="n">
        <v/>
      </c>
      <c r="R1386" t="b">
        <v>1</v>
      </c>
      <c r="S1386" t="n">
        <v/>
      </c>
      <c r="T1386" t="n">
        <v/>
      </c>
      <c r="U1386" t="n">
        <v/>
      </c>
      <c r="V1386" t="b">
        <v>0</v>
      </c>
      <c r="W1386" t="inlineStr"/>
      <c r="X1386" t="n">
        <v/>
      </c>
    </row>
    <row r="1387">
      <c r="A1387" t="inlineStr">
        <is>
          <t>ATF Fuel 2</t>
        </is>
      </c>
      <c r="B1387" t="inlineStr">
        <is>
          <t>E81</t>
        </is>
      </c>
      <c r="C1387" t="n">
        <v>81</v>
      </c>
      <c r="D1387" t="n">
        <v>5</v>
      </c>
      <c r="E1387" t="inlineStr">
        <is>
          <t>Output</t>
        </is>
      </c>
      <c r="F1387" t="inlineStr">
        <is>
          <t>'=B81/B80-1</t>
        </is>
      </c>
      <c r="G1387" t="n">
        <v>0.07140235836205799</v>
      </c>
      <c r="H1387" t="inlineStr"/>
      <c r="I1387" t="inlineStr">
        <is>
          <t>0%</t>
        </is>
      </c>
      <c r="J1387" t="b">
        <v>0</v>
      </c>
      <c r="K1387" t="b">
        <v>0</v>
      </c>
      <c r="L1387" t="n">
        <v>11</v>
      </c>
      <c r="M1387" t="inlineStr">
        <is>
          <t>Values must be of type &lt;class 'str'&gt;</t>
        </is>
      </c>
      <c r="N1387" t="inlineStr">
        <is>
          <t>00000000</t>
        </is>
      </c>
      <c r="O1387" t="n">
        <v/>
      </c>
      <c r="R1387" t="b">
        <v>1</v>
      </c>
      <c r="S1387" t="inlineStr">
        <is>
          <t>G000158</t>
        </is>
      </c>
      <c r="T1387" t="inlineStr">
        <is>
          <t>Vertical</t>
        </is>
      </c>
      <c r="U1387" t="n">
        <v>92</v>
      </c>
      <c r="V1387" t="b">
        <v>1</v>
      </c>
      <c r="W1387" t="inlineStr">
        <is>
          <t>ATF Fuel 2!E3:E94</t>
        </is>
      </c>
      <c r="X1387">
        <f>R[0]C[-3]/R[-1]C[-3]-1</f>
        <v/>
      </c>
    </row>
    <row r="1388">
      <c r="A1388" t="inlineStr">
        <is>
          <t>ATF Fuel 2</t>
        </is>
      </c>
      <c r="B1388" t="inlineStr">
        <is>
          <t>F81</t>
        </is>
      </c>
      <c r="C1388" t="n">
        <v>81</v>
      </c>
      <c r="D1388" t="n">
        <v>6</v>
      </c>
      <c r="E1388" t="inlineStr">
        <is>
          <t>Input</t>
        </is>
      </c>
      <c r="F1388" t="n">
        <v/>
      </c>
      <c r="G1388" t="n">
        <v>43.06</v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11</v>
      </c>
      <c r="M1388" t="inlineStr">
        <is>
          <t>Values must be of type &lt;class 'str'&gt;</t>
        </is>
      </c>
      <c r="N1388" t="inlineStr">
        <is>
          <t>00000000</t>
        </is>
      </c>
      <c r="O1388" t="n">
        <v/>
      </c>
      <c r="R1388" t="b">
        <v>1</v>
      </c>
      <c r="S1388" t="n">
        <v/>
      </c>
      <c r="T1388" t="n">
        <v/>
      </c>
      <c r="U1388" t="n">
        <v/>
      </c>
      <c r="V1388" t="b">
        <v>0</v>
      </c>
      <c r="W1388" t="inlineStr"/>
      <c r="X1388" t="n">
        <v/>
      </c>
    </row>
    <row r="1389">
      <c r="A1389" t="inlineStr">
        <is>
          <t>ATF Fuel 2</t>
        </is>
      </c>
      <c r="B1389" t="inlineStr">
        <is>
          <t>G81</t>
        </is>
      </c>
      <c r="C1389" t="n">
        <v>81</v>
      </c>
      <c r="D1389" t="n">
        <v>7</v>
      </c>
      <c r="E1389" t="inlineStr">
        <is>
          <t>Output</t>
        </is>
      </c>
      <c r="F1389" t="inlineStr">
        <is>
          <t>'=F81/F80-1</t>
        </is>
      </c>
      <c r="G1389" t="n">
        <v>-0.1313294331248739</v>
      </c>
      <c r="H1389" t="inlineStr"/>
      <c r="I1389" t="inlineStr">
        <is>
          <t>0%</t>
        </is>
      </c>
      <c r="J1389" t="b">
        <v>0</v>
      </c>
      <c r="K1389" t="b">
        <v>0</v>
      </c>
      <c r="L1389" t="n">
        <v>11</v>
      </c>
      <c r="M1389" t="inlineStr">
        <is>
          <t>Values must be of type &lt;class 'str'&gt;</t>
        </is>
      </c>
      <c r="N1389" t="inlineStr">
        <is>
          <t>00000000</t>
        </is>
      </c>
      <c r="O1389" t="n">
        <v/>
      </c>
      <c r="R1389" t="b">
        <v>1</v>
      </c>
      <c r="S1389" t="inlineStr">
        <is>
          <t>G000155</t>
        </is>
      </c>
      <c r="T1389" t="inlineStr">
        <is>
          <t>Vertical</t>
        </is>
      </c>
      <c r="U1389" t="n">
        <v>93</v>
      </c>
      <c r="V1389" t="b">
        <v>1</v>
      </c>
      <c r="W1389" t="inlineStr">
        <is>
          <t>ATF Fuel 2!G3:G95</t>
        </is>
      </c>
      <c r="X1389">
        <f>R[0]C[-1]/R[-1]C[-1]-1</f>
        <v/>
      </c>
    </row>
    <row r="1390">
      <c r="A1390" t="inlineStr">
        <is>
          <t>ATF Fuel 2</t>
        </is>
      </c>
      <c r="B1390" t="inlineStr">
        <is>
          <t>H81</t>
        </is>
      </c>
      <c r="C1390" t="n">
        <v>81</v>
      </c>
      <c r="D1390" t="n">
        <v>8</v>
      </c>
      <c r="E1390" t="inlineStr">
        <is>
          <t>Calculation</t>
        </is>
      </c>
      <c r="F1390" t="inlineStr">
        <is>
          <t>'=D81*F81</t>
        </is>
      </c>
      <c r="G1390" t="n">
        <v>2872.9632</v>
      </c>
      <c r="H1390" t="inlineStr"/>
      <c r="I1390" t="inlineStr">
        <is>
          <t>0</t>
        </is>
      </c>
      <c r="J1390" t="b">
        <v>0</v>
      </c>
      <c r="K1390" t="b">
        <v>0</v>
      </c>
      <c r="L1390" t="n">
        <v>11</v>
      </c>
      <c r="M1390" t="inlineStr">
        <is>
          <t>Values must be of type &lt;class 'str'&gt;</t>
        </is>
      </c>
      <c r="N1390" t="inlineStr">
        <is>
          <t>00000000</t>
        </is>
      </c>
      <c r="O1390" t="n">
        <v/>
      </c>
      <c r="R1390" t="b">
        <v>1</v>
      </c>
      <c r="S1390" t="inlineStr">
        <is>
          <t>G000152</t>
        </is>
      </c>
      <c r="T1390" t="inlineStr">
        <is>
          <t>Vertical</t>
        </is>
      </c>
      <c r="U1390" t="n">
        <v>98</v>
      </c>
      <c r="V1390" t="b">
        <v>1</v>
      </c>
      <c r="W1390" t="inlineStr">
        <is>
          <t>ATF Fuel 2!H2:H99</t>
        </is>
      </c>
      <c r="X1390">
        <f>R[0]C[-4]*R[0]C[-2]</f>
        <v/>
      </c>
    </row>
    <row r="1391">
      <c r="A1391" t="inlineStr">
        <is>
          <t>ATF Fuel 2</t>
        </is>
      </c>
      <c r="B1391" t="inlineStr">
        <is>
          <t>I81</t>
        </is>
      </c>
      <c r="C1391" t="n">
        <v>81</v>
      </c>
      <c r="D1391" t="n">
        <v>9</v>
      </c>
      <c r="E1391" t="inlineStr">
        <is>
          <t>Output</t>
        </is>
      </c>
      <c r="F1391" t="inlineStr">
        <is>
          <t>'=H81/H80-1</t>
        </is>
      </c>
      <c r="G1391" t="n">
        <v>-0.1289795578312533</v>
      </c>
      <c r="H1391" t="inlineStr"/>
      <c r="I1391" t="inlineStr">
        <is>
          <t>0%</t>
        </is>
      </c>
      <c r="J1391" t="b">
        <v>0</v>
      </c>
      <c r="K1391" t="b">
        <v>0</v>
      </c>
      <c r="L1391" t="n">
        <v>11</v>
      </c>
      <c r="M1391" t="inlineStr">
        <is>
          <t>FFFF0000</t>
        </is>
      </c>
      <c r="N1391" t="inlineStr">
        <is>
          <t>00000000</t>
        </is>
      </c>
      <c r="O1391" t="n">
        <v/>
      </c>
      <c r="R1391" t="b">
        <v>1</v>
      </c>
      <c r="S1391" t="inlineStr">
        <is>
          <t>G000156</t>
        </is>
      </c>
      <c r="T1391" t="inlineStr">
        <is>
          <t>Vertical</t>
        </is>
      </c>
      <c r="U1391" t="n">
        <v>97</v>
      </c>
      <c r="V1391" t="b">
        <v>1</v>
      </c>
      <c r="W1391" t="inlineStr">
        <is>
          <t>ATF Fuel 2!I3:I99</t>
        </is>
      </c>
      <c r="X1391">
        <f>R[0]C[-1]/R[-1]C[-1]-1</f>
        <v/>
      </c>
    </row>
    <row r="1392">
      <c r="A1392" t="inlineStr">
        <is>
          <t>ATF Fuel 2</t>
        </is>
      </c>
      <c r="B1392" t="inlineStr">
        <is>
          <t>J81</t>
        </is>
      </c>
      <c r="C1392" t="n">
        <v>81</v>
      </c>
      <c r="D1392" t="n">
        <v>10</v>
      </c>
      <c r="E1392" t="inlineStr">
        <is>
          <t>Input</t>
        </is>
      </c>
      <c r="F1392" t="n">
        <v/>
      </c>
      <c r="G1392" t="n">
        <v>46.66</v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11</v>
      </c>
      <c r="M1392" t="inlineStr">
        <is>
          <t>Values must be of type &lt;class 'str'&gt;</t>
        </is>
      </c>
      <c r="N1392" t="inlineStr">
        <is>
          <t>00000000</t>
        </is>
      </c>
      <c r="O1392" t="n">
        <v/>
      </c>
      <c r="R1392" t="b">
        <v>1</v>
      </c>
      <c r="S1392" t="n">
        <v/>
      </c>
      <c r="T1392" t="n">
        <v/>
      </c>
      <c r="U1392" t="n">
        <v/>
      </c>
      <c r="V1392" t="b">
        <v>0</v>
      </c>
      <c r="W1392" t="inlineStr"/>
      <c r="X1392" t="n">
        <v/>
      </c>
    </row>
    <row r="1393">
      <c r="A1393" t="inlineStr">
        <is>
          <t>ATF Fuel 2</t>
        </is>
      </c>
      <c r="B1393" t="inlineStr">
        <is>
          <t>K81</t>
        </is>
      </c>
      <c r="C1393" t="n">
        <v>81</v>
      </c>
      <c r="D1393" t="n">
        <v>11</v>
      </c>
      <c r="E1393" t="inlineStr">
        <is>
          <t>Output</t>
        </is>
      </c>
      <c r="F1393" t="inlineStr">
        <is>
          <t>'=J81/J80-1</t>
        </is>
      </c>
      <c r="G1393" t="n">
        <v>-0.04385245901639345</v>
      </c>
      <c r="H1393" t="inlineStr"/>
      <c r="I1393" t="inlineStr">
        <is>
          <t>0%</t>
        </is>
      </c>
      <c r="J1393" t="b">
        <v>0</v>
      </c>
      <c r="K1393" t="b">
        <v>0</v>
      </c>
      <c r="L1393" t="n">
        <v>11</v>
      </c>
      <c r="M1393" t="inlineStr">
        <is>
          <t>Values must be of type &lt;class 'str'&gt;</t>
        </is>
      </c>
      <c r="N1393" t="inlineStr">
        <is>
          <t>00000000</t>
        </is>
      </c>
      <c r="O1393" t="n">
        <v/>
      </c>
      <c r="R1393" t="b">
        <v>1</v>
      </c>
      <c r="S1393" t="inlineStr">
        <is>
          <t>G000157</t>
        </is>
      </c>
      <c r="T1393" t="inlineStr">
        <is>
          <t>Vertical</t>
        </is>
      </c>
      <c r="U1393" t="n">
        <v>93</v>
      </c>
      <c r="V1393" t="b">
        <v>1</v>
      </c>
      <c r="W1393" t="inlineStr">
        <is>
          <t>ATF Fuel 2!K3:K95</t>
        </is>
      </c>
      <c r="X1393">
        <f>R[0]C[-1]/R[-1]C[-1]-1</f>
        <v/>
      </c>
    </row>
    <row r="1394">
      <c r="A1394" t="inlineStr">
        <is>
          <t>ATF Fuel 2</t>
        </is>
      </c>
      <c r="B1394" t="inlineStr">
        <is>
          <t>L81</t>
        </is>
      </c>
      <c r="C1394" t="n">
        <v>81</v>
      </c>
      <c r="D1394" t="n">
        <v>12</v>
      </c>
      <c r="E1394" t="inlineStr">
        <is>
          <t>Input</t>
        </is>
      </c>
      <c r="F1394" t="n">
        <v/>
      </c>
      <c r="G1394" t="inlineStr">
        <is>
          <t>November 01,2016</t>
        </is>
      </c>
      <c r="H1394" t="inlineStr"/>
      <c r="I1394" t="inlineStr">
        <is>
          <t>General</t>
        </is>
      </c>
      <c r="J1394" t="b">
        <v>0</v>
      </c>
      <c r="K1394" t="b">
        <v>0</v>
      </c>
      <c r="L1394" t="n">
        <v>11</v>
      </c>
      <c r="M1394" t="inlineStr">
        <is>
          <t>Values must be of type &lt;class 'str'&gt;</t>
        </is>
      </c>
      <c r="N1394" t="inlineStr">
        <is>
          <t>00000000</t>
        </is>
      </c>
      <c r="O1394" t="inlineStr">
        <is>
          <t>left</t>
        </is>
      </c>
      <c r="R1394" t="b">
        <v>1</v>
      </c>
      <c r="S1394" t="n">
        <v/>
      </c>
      <c r="T1394" t="n">
        <v/>
      </c>
      <c r="U1394" t="n">
        <v/>
      </c>
      <c r="V1394" t="b">
        <v>0</v>
      </c>
      <c r="W1394" t="inlineStr"/>
      <c r="X1394" t="n">
        <v/>
      </c>
    </row>
    <row r="1395">
      <c r="A1395" t="inlineStr">
        <is>
          <t>ATF Fuel 2</t>
        </is>
      </c>
      <c r="B1395" t="inlineStr">
        <is>
          <t>M81</t>
        </is>
      </c>
      <c r="C1395" t="n">
        <v>81</v>
      </c>
      <c r="D1395" t="n">
        <v>13</v>
      </c>
      <c r="E1395" t="inlineStr">
        <is>
          <t>Calculation</t>
        </is>
      </c>
      <c r="F1395" t="inlineStr">
        <is>
          <t>'=(1+(B81/B80)-1)*M80</t>
        </is>
      </c>
      <c r="G1395" t="n">
        <v>116.9952517145802</v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11</v>
      </c>
      <c r="M1395" t="inlineStr">
        <is>
          <t>Values must be of type &lt;class 'str'&gt;</t>
        </is>
      </c>
      <c r="N1395" t="inlineStr">
        <is>
          <t>00000000</t>
        </is>
      </c>
      <c r="O1395" t="inlineStr">
        <is>
          <t>left</t>
        </is>
      </c>
      <c r="R1395" t="b">
        <v>1</v>
      </c>
      <c r="S1395" t="inlineStr">
        <is>
          <t>G000159</t>
        </is>
      </c>
      <c r="T1395" t="inlineStr">
        <is>
          <t>Vertical</t>
        </is>
      </c>
      <c r="U1395" t="n">
        <v>92</v>
      </c>
      <c r="V1395" t="b">
        <v>1</v>
      </c>
      <c r="W1395" t="inlineStr">
        <is>
          <t>ATF Fuel 2!M3:M94</t>
        </is>
      </c>
      <c r="X1395">
        <f>(1+(R[0]C[-11]/R[-1]C[-11])-1)*R[-1]C[0]</f>
        <v/>
      </c>
    </row>
    <row r="1396">
      <c r="A1396" t="inlineStr">
        <is>
          <t>ATF Fuel 2</t>
        </is>
      </c>
      <c r="B1396" t="inlineStr">
        <is>
          <t>N81</t>
        </is>
      </c>
      <c r="C1396" t="n">
        <v>81</v>
      </c>
      <c r="D1396" t="n">
        <v>14</v>
      </c>
      <c r="E1396" t="inlineStr">
        <is>
          <t>Calculation</t>
        </is>
      </c>
      <c r="F1396" t="inlineStr">
        <is>
          <t>'=(1+(F81/F80)-1)*N80</t>
        </is>
      </c>
      <c r="G1396" t="n">
        <v>52.1118237928114</v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11</v>
      </c>
      <c r="M1396" t="inlineStr">
        <is>
          <t>Values must be of type &lt;class 'str'&gt;</t>
        </is>
      </c>
      <c r="N1396" t="inlineStr">
        <is>
          <t>00000000</t>
        </is>
      </c>
      <c r="O1396" t="inlineStr">
        <is>
          <t>left</t>
        </is>
      </c>
      <c r="R1396" t="b">
        <v>1</v>
      </c>
      <c r="S1396" t="inlineStr">
        <is>
          <t>G000160</t>
        </is>
      </c>
      <c r="T1396" t="inlineStr">
        <is>
          <t>Vertical</t>
        </is>
      </c>
      <c r="U1396" t="n">
        <v>92</v>
      </c>
      <c r="V1396" t="b">
        <v>1</v>
      </c>
      <c r="W1396" t="inlineStr">
        <is>
          <t>ATF Fuel 2!N3:N94</t>
        </is>
      </c>
      <c r="X1396">
        <f>(1+(R[0]C[-8]/R[-1]C[-8])-1)*R[-1]C[0]</f>
        <v/>
      </c>
    </row>
    <row r="1397">
      <c r="A1397" t="inlineStr">
        <is>
          <t>ATF Fuel 2</t>
        </is>
      </c>
      <c r="B1397" t="inlineStr">
        <is>
          <t>O81</t>
        </is>
      </c>
      <c r="C1397" t="n">
        <v>81</v>
      </c>
      <c r="D1397" t="n">
        <v>15</v>
      </c>
      <c r="E1397" t="inlineStr">
        <is>
          <t>Calculation</t>
        </is>
      </c>
      <c r="F1397" t="inlineStr">
        <is>
          <t>'=(1+(J81/J80)-1)*O80</t>
        </is>
      </c>
      <c r="G1397" t="n">
        <v>55.19933751330891</v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11</v>
      </c>
      <c r="M1397" t="inlineStr">
        <is>
          <t>Values must be of type &lt;class 'str'&gt;</t>
        </is>
      </c>
      <c r="N1397" t="inlineStr">
        <is>
          <t>00000000</t>
        </is>
      </c>
      <c r="O1397" t="inlineStr">
        <is>
          <t>left</t>
        </is>
      </c>
      <c r="R1397" t="b">
        <v>1</v>
      </c>
      <c r="S1397" t="inlineStr">
        <is>
          <t>G000162</t>
        </is>
      </c>
      <c r="T1397" t="inlineStr">
        <is>
          <t>Vertical</t>
        </is>
      </c>
      <c r="U1397" t="n">
        <v>92</v>
      </c>
      <c r="V1397" t="b">
        <v>1</v>
      </c>
      <c r="W1397" t="inlineStr">
        <is>
          <t>ATF Fuel 2!O3:O94</t>
        </is>
      </c>
      <c r="X1397">
        <f>(1+(R[0]C[-5]/R[-1]C[-5])-1)*R[-1]C[0]</f>
        <v/>
      </c>
    </row>
    <row r="1398">
      <c r="A1398" t="inlineStr">
        <is>
          <t>ATF Fuel 2</t>
        </is>
      </c>
      <c r="B1398" t="inlineStr">
        <is>
          <t>P81</t>
        </is>
      </c>
      <c r="C1398" t="n">
        <v>81</v>
      </c>
      <c r="D1398" t="n">
        <v>16</v>
      </c>
      <c r="E1398" t="inlineStr">
        <is>
          <t>Calculation</t>
        </is>
      </c>
      <c r="F1398" t="inlineStr">
        <is>
          <t>'=(1+(H81/H80)-1)*P80</t>
        </is>
      </c>
      <c r="G1398" t="n">
        <v>77.67875074746142</v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11</v>
      </c>
      <c r="M1398" t="inlineStr">
        <is>
          <t>Values must be of type &lt;class 'str'&gt;</t>
        </is>
      </c>
      <c r="N1398" t="inlineStr">
        <is>
          <t>00000000</t>
        </is>
      </c>
      <c r="O1398" t="inlineStr">
        <is>
          <t>left</t>
        </is>
      </c>
      <c r="R1398" t="b">
        <v>1</v>
      </c>
      <c r="S1398" t="inlineStr">
        <is>
          <t>G000161</t>
        </is>
      </c>
      <c r="T1398" t="inlineStr">
        <is>
          <t>Vertical</t>
        </is>
      </c>
      <c r="U1398" t="n">
        <v>92</v>
      </c>
      <c r="V1398" t="b">
        <v>1</v>
      </c>
      <c r="W1398" t="inlineStr">
        <is>
          <t>ATF Fuel 2!P3:P94</t>
        </is>
      </c>
      <c r="X1398">
        <f>(1+(R[0]C[-8]/R[-1]C[-8])-1)*R[-1]C[0]</f>
        <v/>
      </c>
    </row>
    <row r="1399">
      <c r="A1399" t="inlineStr">
        <is>
          <t>ATF Fuel 2</t>
        </is>
      </c>
      <c r="B1399" t="inlineStr">
        <is>
          <t>Q81</t>
        </is>
      </c>
      <c r="C1399" t="n">
        <v>81</v>
      </c>
      <c r="D1399" t="n">
        <v>17</v>
      </c>
      <c r="E1399" t="inlineStr">
        <is>
          <t>Output</t>
        </is>
      </c>
      <c r="F1399" t="inlineStr">
        <is>
          <t>'=M81/N81-1</t>
        </is>
      </c>
      <c r="G1399" t="n">
        <v>1.245080735990652</v>
      </c>
      <c r="H1399" t="inlineStr"/>
      <c r="I1399" t="inlineStr">
        <is>
          <t>0.0%</t>
        </is>
      </c>
      <c r="J1399" t="b">
        <v>0</v>
      </c>
      <c r="K1399" t="b">
        <v>0</v>
      </c>
      <c r="L1399" t="n">
        <v>11</v>
      </c>
      <c r="M1399" t="inlineStr">
        <is>
          <t>Values must be of type &lt;class 'str'&gt;</t>
        </is>
      </c>
      <c r="N1399" t="inlineStr">
        <is>
          <t>00000000</t>
        </is>
      </c>
      <c r="O1399" t="n">
        <v/>
      </c>
      <c r="R1399" t="b">
        <v>1</v>
      </c>
      <c r="S1399" t="inlineStr">
        <is>
          <t>G000153</t>
        </is>
      </c>
      <c r="T1399" t="inlineStr">
        <is>
          <t>Vertical</t>
        </is>
      </c>
      <c r="U1399" t="n">
        <v>93</v>
      </c>
      <c r="V1399" t="b">
        <v>1</v>
      </c>
      <c r="W1399" t="inlineStr">
        <is>
          <t>ATF Fuel 2!Q2:Q94</t>
        </is>
      </c>
      <c r="X1399">
        <f>R[0]C[-4]/R[0]C[-3]-1</f>
        <v/>
      </c>
    </row>
    <row r="1400">
      <c r="A1400" t="inlineStr">
        <is>
          <t>ATF Fuel 2</t>
        </is>
      </c>
      <c r="B1400" t="inlineStr">
        <is>
          <t>A82</t>
        </is>
      </c>
      <c r="C1400" t="n">
        <v>82</v>
      </c>
      <c r="D1400" t="n">
        <v>1</v>
      </c>
      <c r="E1400" t="inlineStr">
        <is>
          <t>Input</t>
        </is>
      </c>
      <c r="F1400" t="n">
        <v/>
      </c>
      <c r="G1400" t="inlineStr">
        <is>
          <t>December 01,2016</t>
        </is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11</v>
      </c>
      <c r="M1400" t="inlineStr">
        <is>
          <t>Values must be of type &lt;class 'str'&gt;</t>
        </is>
      </c>
      <c r="N1400" t="inlineStr">
        <is>
          <t>00000000</t>
        </is>
      </c>
      <c r="O1400" t="n">
        <v/>
      </c>
      <c r="R1400" t="b">
        <v>1</v>
      </c>
      <c r="S1400" t="n">
        <v/>
      </c>
      <c r="T1400" t="n">
        <v/>
      </c>
      <c r="U1400" t="n">
        <v/>
      </c>
      <c r="V1400" t="b">
        <v>0</v>
      </c>
      <c r="W1400" t="inlineStr"/>
      <c r="X1400" t="n">
        <v/>
      </c>
    </row>
    <row r="1401">
      <c r="A1401" t="inlineStr">
        <is>
          <t>ATF Fuel 2</t>
        </is>
      </c>
      <c r="B1401" t="inlineStr">
        <is>
          <t>B82</t>
        </is>
      </c>
      <c r="C1401" t="n">
        <v>82</v>
      </c>
      <c r="D1401" t="n">
        <v>2</v>
      </c>
      <c r="E1401" t="inlineStr">
        <is>
          <t>Input</t>
        </is>
      </c>
      <c r="F1401" t="n">
        <v/>
      </c>
      <c r="G1401" t="n">
        <v>49998.025</v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11</v>
      </c>
      <c r="M1401" t="inlineStr">
        <is>
          <t>Values must be of type &lt;class 'str'&gt;</t>
        </is>
      </c>
      <c r="N1401" t="inlineStr">
        <is>
          <t>00000000</t>
        </is>
      </c>
      <c r="O1401" t="n">
        <v/>
      </c>
      <c r="R1401" t="b">
        <v>1</v>
      </c>
      <c r="S1401" t="n">
        <v/>
      </c>
      <c r="T1401" t="n">
        <v/>
      </c>
      <c r="U1401" t="n">
        <v/>
      </c>
      <c r="V1401" t="b">
        <v>0</v>
      </c>
      <c r="W1401" t="inlineStr"/>
      <c r="X1401" t="n">
        <v/>
      </c>
    </row>
    <row r="1402">
      <c r="A1402" t="inlineStr">
        <is>
          <t>ATF Fuel 2</t>
        </is>
      </c>
      <c r="B1402" t="inlineStr">
        <is>
          <t>C82</t>
        </is>
      </c>
      <c r="C1402" t="n">
        <v>82</v>
      </c>
      <c r="D1402" t="n">
        <v>3</v>
      </c>
      <c r="E1402" t="inlineStr">
        <is>
          <t>Output</t>
        </is>
      </c>
      <c r="F1402" t="inlineStr">
        <is>
          <t>'=B82/B81-1</t>
        </is>
      </c>
      <c r="G1402" t="n">
        <v>-0.03666923709522907</v>
      </c>
      <c r="H1402" t="inlineStr"/>
      <c r="I1402" t="inlineStr">
        <is>
          <t>0%</t>
        </is>
      </c>
      <c r="J1402" t="b">
        <v>0</v>
      </c>
      <c r="K1402" t="b">
        <v>0</v>
      </c>
      <c r="L1402" t="n">
        <v>11</v>
      </c>
      <c r="M1402" t="n">
        <v/>
      </c>
      <c r="N1402" t="inlineStr">
        <is>
          <t>00000000</t>
        </is>
      </c>
      <c r="O1402" t="n">
        <v/>
      </c>
      <c r="R1402" t="b">
        <v>1</v>
      </c>
      <c r="S1402" t="inlineStr">
        <is>
          <t>G000154</t>
        </is>
      </c>
      <c r="T1402" t="inlineStr">
        <is>
          <t>Vertical</t>
        </is>
      </c>
      <c r="U1402" t="n">
        <v>92</v>
      </c>
      <c r="V1402" t="b">
        <v>1</v>
      </c>
      <c r="W1402" t="inlineStr">
        <is>
          <t>ATF Fuel 2!C3:C94</t>
        </is>
      </c>
      <c r="X1402">
        <f>R[0]C[-1]/R[-1]C[-1]-1</f>
        <v/>
      </c>
    </row>
    <row r="1403">
      <c r="A1403" t="inlineStr">
        <is>
          <t>ATF Fuel 2</t>
        </is>
      </c>
      <c r="B1403" t="inlineStr">
        <is>
          <t>D82</t>
        </is>
      </c>
      <c r="C1403" t="n">
        <v>82</v>
      </c>
      <c r="D1403" t="n">
        <v>4</v>
      </c>
      <c r="E1403" t="inlineStr">
        <is>
          <t>Input</t>
        </is>
      </c>
      <c r="F1403" t="n">
        <v/>
      </c>
      <c r="G1403" t="n">
        <v>68.52</v>
      </c>
      <c r="H1403" t="inlineStr"/>
      <c r="I1403" t="inlineStr">
        <is>
          <t>General</t>
        </is>
      </c>
      <c r="J1403" t="b">
        <v>0</v>
      </c>
      <c r="K1403" t="b">
        <v>0</v>
      </c>
      <c r="L1403" t="n">
        <v>11</v>
      </c>
      <c r="M1403" t="inlineStr">
        <is>
          <t>Values must be of type &lt;class 'str'&gt;</t>
        </is>
      </c>
      <c r="N1403" t="inlineStr">
        <is>
          <t>00000000</t>
        </is>
      </c>
      <c r="O1403" t="n">
        <v/>
      </c>
      <c r="R1403" t="b">
        <v>1</v>
      </c>
      <c r="S1403" t="n">
        <v/>
      </c>
      <c r="T1403" t="n">
        <v/>
      </c>
      <c r="U1403" t="n">
        <v/>
      </c>
      <c r="V1403" t="b">
        <v>0</v>
      </c>
      <c r="W1403" t="inlineStr"/>
      <c r="X1403" t="n">
        <v/>
      </c>
    </row>
    <row r="1404">
      <c r="A1404" t="inlineStr">
        <is>
          <t>ATF Fuel 2</t>
        </is>
      </c>
      <c r="B1404" t="inlineStr">
        <is>
          <t>E82</t>
        </is>
      </c>
      <c r="C1404" t="n">
        <v>82</v>
      </c>
      <c r="D1404" t="n">
        <v>5</v>
      </c>
      <c r="E1404" t="inlineStr">
        <is>
          <t>Output</t>
        </is>
      </c>
      <c r="F1404" t="inlineStr">
        <is>
          <t>'=B82/B81-1</t>
        </is>
      </c>
      <c r="G1404" t="n">
        <v>-0.03666923709522907</v>
      </c>
      <c r="H1404" t="inlineStr"/>
      <c r="I1404" t="inlineStr">
        <is>
          <t>0%</t>
        </is>
      </c>
      <c r="J1404" t="b">
        <v>0</v>
      </c>
      <c r="K1404" t="b">
        <v>0</v>
      </c>
      <c r="L1404" t="n">
        <v>11</v>
      </c>
      <c r="M1404" t="inlineStr">
        <is>
          <t>Values must be of type &lt;class 'str'&gt;</t>
        </is>
      </c>
      <c r="N1404" t="inlineStr">
        <is>
          <t>00000000</t>
        </is>
      </c>
      <c r="O1404" t="n">
        <v/>
      </c>
      <c r="R1404" t="b">
        <v>1</v>
      </c>
      <c r="S1404" t="inlineStr">
        <is>
          <t>G000158</t>
        </is>
      </c>
      <c r="T1404" t="inlineStr">
        <is>
          <t>Vertical</t>
        </is>
      </c>
      <c r="U1404" t="n">
        <v>92</v>
      </c>
      <c r="V1404" t="b">
        <v>1</v>
      </c>
      <c r="W1404" t="inlineStr">
        <is>
          <t>ATF Fuel 2!E3:E94</t>
        </is>
      </c>
      <c r="X1404">
        <f>R[0]C[-3]/R[-1]C[-3]-1</f>
        <v/>
      </c>
    </row>
    <row r="1405">
      <c r="A1405" t="inlineStr">
        <is>
          <t>ATF Fuel 2</t>
        </is>
      </c>
      <c r="B1405" t="inlineStr">
        <is>
          <t>F82</t>
        </is>
      </c>
      <c r="C1405" t="n">
        <v>82</v>
      </c>
      <c r="D1405" t="n">
        <v>6</v>
      </c>
      <c r="E1405" t="inlineStr">
        <is>
          <t>Input</t>
        </is>
      </c>
      <c r="F1405" t="n">
        <v/>
      </c>
      <c r="G1405" t="n">
        <v>52.31</v>
      </c>
      <c r="H1405" t="inlineStr"/>
      <c r="I1405" t="inlineStr">
        <is>
          <t>General</t>
        </is>
      </c>
      <c r="J1405" t="b">
        <v>0</v>
      </c>
      <c r="K1405" t="b">
        <v>0</v>
      </c>
      <c r="L1405" t="n">
        <v>11</v>
      </c>
      <c r="M1405" t="inlineStr">
        <is>
          <t>Values must be of type &lt;class 'str'&gt;</t>
        </is>
      </c>
      <c r="N1405" t="inlineStr">
        <is>
          <t>00000000</t>
        </is>
      </c>
      <c r="O1405" t="n">
        <v/>
      </c>
      <c r="R1405" t="b">
        <v>1</v>
      </c>
      <c r="S1405" t="n">
        <v/>
      </c>
      <c r="T1405" t="n">
        <v/>
      </c>
      <c r="U1405" t="n">
        <v/>
      </c>
      <c r="V1405" t="b">
        <v>0</v>
      </c>
      <c r="W1405" t="inlineStr"/>
      <c r="X1405" t="n">
        <v/>
      </c>
    </row>
    <row r="1406">
      <c r="A1406" t="inlineStr">
        <is>
          <t>ATF Fuel 2</t>
        </is>
      </c>
      <c r="B1406" t="inlineStr">
        <is>
          <t>G82</t>
        </is>
      </c>
      <c r="C1406" t="n">
        <v>82</v>
      </c>
      <c r="D1406" t="n">
        <v>7</v>
      </c>
      <c r="E1406" t="inlineStr">
        <is>
          <t>Output</t>
        </is>
      </c>
      <c r="F1406" t="inlineStr">
        <is>
          <t>'=F82/F81-1</t>
        </is>
      </c>
      <c r="G1406" t="n">
        <v>0.2148165350673479</v>
      </c>
      <c r="H1406" t="inlineStr"/>
      <c r="I1406" t="inlineStr">
        <is>
          <t>0%</t>
        </is>
      </c>
      <c r="J1406" t="b">
        <v>0</v>
      </c>
      <c r="K1406" t="b">
        <v>0</v>
      </c>
      <c r="L1406" t="n">
        <v>11</v>
      </c>
      <c r="M1406" t="inlineStr">
        <is>
          <t>Values must be of type &lt;class 'str'&gt;</t>
        </is>
      </c>
      <c r="N1406" t="inlineStr">
        <is>
          <t>00000000</t>
        </is>
      </c>
      <c r="O1406" t="n">
        <v/>
      </c>
      <c r="R1406" t="b">
        <v>1</v>
      </c>
      <c r="S1406" t="inlineStr">
        <is>
          <t>G000155</t>
        </is>
      </c>
      <c r="T1406" t="inlineStr">
        <is>
          <t>Vertical</t>
        </is>
      </c>
      <c r="U1406" t="n">
        <v>93</v>
      </c>
      <c r="V1406" t="b">
        <v>1</v>
      </c>
      <c r="W1406" t="inlineStr">
        <is>
          <t>ATF Fuel 2!G3:G95</t>
        </is>
      </c>
      <c r="X1406">
        <f>R[0]C[-1]/R[-1]C[-1]-1</f>
        <v/>
      </c>
    </row>
    <row r="1407">
      <c r="A1407" t="inlineStr">
        <is>
          <t>ATF Fuel 2</t>
        </is>
      </c>
      <c r="B1407" t="inlineStr">
        <is>
          <t>H82</t>
        </is>
      </c>
      <c r="C1407" t="n">
        <v>82</v>
      </c>
      <c r="D1407" t="n">
        <v>8</v>
      </c>
      <c r="E1407" t="inlineStr">
        <is>
          <t>Calculation</t>
        </is>
      </c>
      <c r="F1407" t="inlineStr">
        <is>
          <t>'=D82*F82</t>
        </is>
      </c>
      <c r="G1407" t="n">
        <v>3584.2812</v>
      </c>
      <c r="H1407" t="inlineStr"/>
      <c r="I1407" t="inlineStr">
        <is>
          <t>0</t>
        </is>
      </c>
      <c r="J1407" t="b">
        <v>0</v>
      </c>
      <c r="K1407" t="b">
        <v>0</v>
      </c>
      <c r="L1407" t="n">
        <v>11</v>
      </c>
      <c r="M1407" t="inlineStr">
        <is>
          <t>Values must be of type &lt;class 'str'&gt;</t>
        </is>
      </c>
      <c r="N1407" t="inlineStr">
        <is>
          <t>00000000</t>
        </is>
      </c>
      <c r="O1407" t="n">
        <v/>
      </c>
      <c r="R1407" t="b">
        <v>1</v>
      </c>
      <c r="S1407" t="inlineStr">
        <is>
          <t>G000152</t>
        </is>
      </c>
      <c r="T1407" t="inlineStr">
        <is>
          <t>Vertical</t>
        </is>
      </c>
      <c r="U1407" t="n">
        <v>98</v>
      </c>
      <c r="V1407" t="b">
        <v>1</v>
      </c>
      <c r="W1407" t="inlineStr">
        <is>
          <t>ATF Fuel 2!H2:H99</t>
        </is>
      </c>
      <c r="X1407">
        <f>R[0]C[-4]*R[0]C[-2]</f>
        <v/>
      </c>
    </row>
    <row r="1408">
      <c r="A1408" t="inlineStr">
        <is>
          <t>ATF Fuel 2</t>
        </is>
      </c>
      <c r="B1408" t="inlineStr">
        <is>
          <t>I82</t>
        </is>
      </c>
      <c r="C1408" t="n">
        <v>82</v>
      </c>
      <c r="D1408" t="n">
        <v>9</v>
      </c>
      <c r="E1408" t="inlineStr">
        <is>
          <t>Output</t>
        </is>
      </c>
      <c r="F1408" t="inlineStr">
        <is>
          <t>'=H82/H81-1</t>
        </is>
      </c>
      <c r="G1408" t="n">
        <v>0.2475903624522582</v>
      </c>
      <c r="H1408" t="inlineStr"/>
      <c r="I1408" t="inlineStr">
        <is>
          <t>0%</t>
        </is>
      </c>
      <c r="J1408" t="b">
        <v>0</v>
      </c>
      <c r="K1408" t="b">
        <v>0</v>
      </c>
      <c r="L1408" t="n">
        <v>11</v>
      </c>
      <c r="M1408" t="inlineStr">
        <is>
          <t>FFFF0000</t>
        </is>
      </c>
      <c r="N1408" t="inlineStr">
        <is>
          <t>00000000</t>
        </is>
      </c>
      <c r="O1408" t="n">
        <v/>
      </c>
      <c r="R1408" t="b">
        <v>1</v>
      </c>
      <c r="S1408" t="inlineStr">
        <is>
          <t>G000156</t>
        </is>
      </c>
      <c r="T1408" t="inlineStr">
        <is>
          <t>Vertical</t>
        </is>
      </c>
      <c r="U1408" t="n">
        <v>97</v>
      </c>
      <c r="V1408" t="b">
        <v>1</v>
      </c>
      <c r="W1408" t="inlineStr">
        <is>
          <t>ATF Fuel 2!I3:I99</t>
        </is>
      </c>
      <c r="X1408">
        <f>R[0]C[-1]/R[-1]C[-1]-1</f>
        <v/>
      </c>
    </row>
    <row r="1409">
      <c r="A1409" t="inlineStr">
        <is>
          <t>ATF Fuel 2</t>
        </is>
      </c>
      <c r="B1409" t="inlineStr">
        <is>
          <t>J82</t>
        </is>
      </c>
      <c r="C1409" t="n">
        <v>82</v>
      </c>
      <c r="D1409" t="n">
        <v>10</v>
      </c>
      <c r="E1409" t="inlineStr">
        <is>
          <t>Input</t>
        </is>
      </c>
      <c r="F1409" t="n">
        <v/>
      </c>
      <c r="G1409" t="n">
        <v>51.08</v>
      </c>
      <c r="H1409" t="inlineStr"/>
      <c r="I1409" t="inlineStr">
        <is>
          <t>General</t>
        </is>
      </c>
      <c r="J1409" t="b">
        <v>0</v>
      </c>
      <c r="K1409" t="b">
        <v>0</v>
      </c>
      <c r="L1409" t="n">
        <v>11</v>
      </c>
      <c r="M1409" t="inlineStr">
        <is>
          <t>Values must be of type &lt;class 'str'&gt;</t>
        </is>
      </c>
      <c r="N1409" t="inlineStr">
        <is>
          <t>00000000</t>
        </is>
      </c>
      <c r="O1409" t="n">
        <v/>
      </c>
      <c r="R1409" t="b">
        <v>1</v>
      </c>
      <c r="S1409" t="n">
        <v/>
      </c>
      <c r="T1409" t="n">
        <v/>
      </c>
      <c r="U1409" t="n">
        <v/>
      </c>
      <c r="V1409" t="b">
        <v>0</v>
      </c>
      <c r="W1409" t="inlineStr"/>
      <c r="X1409" t="n">
        <v/>
      </c>
    </row>
    <row r="1410">
      <c r="A1410" t="inlineStr">
        <is>
          <t>ATF Fuel 2</t>
        </is>
      </c>
      <c r="B1410" t="inlineStr">
        <is>
          <t>K82</t>
        </is>
      </c>
      <c r="C1410" t="n">
        <v>82</v>
      </c>
      <c r="D1410" t="n">
        <v>11</v>
      </c>
      <c r="E1410" t="inlineStr">
        <is>
          <t>Output</t>
        </is>
      </c>
      <c r="F1410" t="inlineStr">
        <is>
          <t>'=J82/J81-1</t>
        </is>
      </c>
      <c r="G1410" t="n">
        <v>0.09472781825975152</v>
      </c>
      <c r="H1410" t="inlineStr"/>
      <c r="I1410" t="inlineStr">
        <is>
          <t>0%</t>
        </is>
      </c>
      <c r="J1410" t="b">
        <v>0</v>
      </c>
      <c r="K1410" t="b">
        <v>0</v>
      </c>
      <c r="L1410" t="n">
        <v>11</v>
      </c>
      <c r="M1410" t="inlineStr">
        <is>
          <t>Values must be of type &lt;class 'str'&gt;</t>
        </is>
      </c>
      <c r="N1410" t="inlineStr">
        <is>
          <t>00000000</t>
        </is>
      </c>
      <c r="O1410" t="n">
        <v/>
      </c>
      <c r="R1410" t="b">
        <v>1</v>
      </c>
      <c r="S1410" t="inlineStr">
        <is>
          <t>G000157</t>
        </is>
      </c>
      <c r="T1410" t="inlineStr">
        <is>
          <t>Vertical</t>
        </is>
      </c>
      <c r="U1410" t="n">
        <v>93</v>
      </c>
      <c r="V1410" t="b">
        <v>1</v>
      </c>
      <c r="W1410" t="inlineStr">
        <is>
          <t>ATF Fuel 2!K3:K95</t>
        </is>
      </c>
      <c r="X1410">
        <f>R[0]C[-1]/R[-1]C[-1]-1</f>
        <v/>
      </c>
    </row>
    <row r="1411">
      <c r="A1411" t="inlineStr">
        <is>
          <t>ATF Fuel 2</t>
        </is>
      </c>
      <c r="B1411" t="inlineStr">
        <is>
          <t>L82</t>
        </is>
      </c>
      <c r="C1411" t="n">
        <v>82</v>
      </c>
      <c r="D1411" t="n">
        <v>12</v>
      </c>
      <c r="E1411" t="inlineStr">
        <is>
          <t>Input</t>
        </is>
      </c>
      <c r="F1411" t="n">
        <v/>
      </c>
      <c r="G1411" t="inlineStr">
        <is>
          <t>December 01,2016</t>
        </is>
      </c>
      <c r="H1411" t="inlineStr"/>
      <c r="I1411" t="inlineStr">
        <is>
          <t>General</t>
        </is>
      </c>
      <c r="J1411" t="b">
        <v>0</v>
      </c>
      <c r="K1411" t="b">
        <v>0</v>
      </c>
      <c r="L1411" t="n">
        <v>11</v>
      </c>
      <c r="M1411" t="inlineStr">
        <is>
          <t>Values must be of type &lt;class 'str'&gt;</t>
        </is>
      </c>
      <c r="N1411" t="inlineStr">
        <is>
          <t>00000000</t>
        </is>
      </c>
      <c r="O1411" t="inlineStr">
        <is>
          <t>left</t>
        </is>
      </c>
      <c r="R1411" t="b">
        <v>1</v>
      </c>
      <c r="S1411" t="n">
        <v/>
      </c>
      <c r="T1411" t="n">
        <v/>
      </c>
      <c r="U1411" t="n">
        <v/>
      </c>
      <c r="V1411" t="b">
        <v>0</v>
      </c>
      <c r="W1411" t="inlineStr"/>
      <c r="X1411" t="n">
        <v/>
      </c>
    </row>
    <row r="1412">
      <c r="A1412" t="inlineStr">
        <is>
          <t>ATF Fuel 2</t>
        </is>
      </c>
      <c r="B1412" t="inlineStr">
        <is>
          <t>M82</t>
        </is>
      </c>
      <c r="C1412" t="n">
        <v>82</v>
      </c>
      <c r="D1412" t="n">
        <v>13</v>
      </c>
      <c r="E1412" t="inlineStr">
        <is>
          <t>Calculation</t>
        </is>
      </c>
      <c r="F1412" t="inlineStr">
        <is>
          <t>'=(1+(B82/B81)-1)*M81</t>
        </is>
      </c>
      <c r="G1412" t="n">
        <v>112.7051250904422</v>
      </c>
      <c r="H1412" t="inlineStr"/>
      <c r="I1412" t="inlineStr">
        <is>
          <t>General</t>
        </is>
      </c>
      <c r="J1412" t="b">
        <v>0</v>
      </c>
      <c r="K1412" t="b">
        <v>0</v>
      </c>
      <c r="L1412" t="n">
        <v>11</v>
      </c>
      <c r="M1412" t="inlineStr">
        <is>
          <t>Values must be of type &lt;class 'str'&gt;</t>
        </is>
      </c>
      <c r="N1412" t="inlineStr">
        <is>
          <t>00000000</t>
        </is>
      </c>
      <c r="O1412" t="inlineStr">
        <is>
          <t>left</t>
        </is>
      </c>
      <c r="R1412" t="b">
        <v>1</v>
      </c>
      <c r="S1412" t="inlineStr">
        <is>
          <t>G000159</t>
        </is>
      </c>
      <c r="T1412" t="inlineStr">
        <is>
          <t>Vertical</t>
        </is>
      </c>
      <c r="U1412" t="n">
        <v>92</v>
      </c>
      <c r="V1412" t="b">
        <v>1</v>
      </c>
      <c r="W1412" t="inlineStr">
        <is>
          <t>ATF Fuel 2!M3:M94</t>
        </is>
      </c>
      <c r="X1412">
        <f>(1+(R[0]C[-11]/R[-1]C[-11])-1)*R[-1]C[0]</f>
        <v/>
      </c>
    </row>
    <row r="1413">
      <c r="A1413" t="inlineStr">
        <is>
          <t>ATF Fuel 2</t>
        </is>
      </c>
      <c r="B1413" t="inlineStr">
        <is>
          <t>N82</t>
        </is>
      </c>
      <c r="C1413" t="n">
        <v>82</v>
      </c>
      <c r="D1413" t="n">
        <v>14</v>
      </c>
      <c r="E1413" t="inlineStr">
        <is>
          <t>Calculation</t>
        </is>
      </c>
      <c r="F1413" t="inlineStr">
        <is>
          <t>'=(1+(F82/F81)-1)*N81</t>
        </is>
      </c>
      <c r="G1413" t="n">
        <v>63.30630521602331</v>
      </c>
      <c r="H1413" t="inlineStr"/>
      <c r="I1413" t="inlineStr">
        <is>
          <t>General</t>
        </is>
      </c>
      <c r="J1413" t="b">
        <v>0</v>
      </c>
      <c r="K1413" t="b">
        <v>0</v>
      </c>
      <c r="L1413" t="n">
        <v>11</v>
      </c>
      <c r="M1413" t="inlineStr">
        <is>
          <t>Values must be of type &lt;class 'str'&gt;</t>
        </is>
      </c>
      <c r="N1413" t="inlineStr">
        <is>
          <t>00000000</t>
        </is>
      </c>
      <c r="O1413" t="inlineStr">
        <is>
          <t>left</t>
        </is>
      </c>
      <c r="R1413" t="b">
        <v>1</v>
      </c>
      <c r="S1413" t="inlineStr">
        <is>
          <t>G000160</t>
        </is>
      </c>
      <c r="T1413" t="inlineStr">
        <is>
          <t>Vertical</t>
        </is>
      </c>
      <c r="U1413" t="n">
        <v>92</v>
      </c>
      <c r="V1413" t="b">
        <v>1</v>
      </c>
      <c r="W1413" t="inlineStr">
        <is>
          <t>ATF Fuel 2!N3:N94</t>
        </is>
      </c>
      <c r="X1413">
        <f>(1+(R[0]C[-8]/R[-1]C[-8])-1)*R[-1]C[0]</f>
        <v/>
      </c>
    </row>
    <row r="1414">
      <c r="A1414" t="inlineStr">
        <is>
          <t>ATF Fuel 2</t>
        </is>
      </c>
      <c r="B1414" t="inlineStr">
        <is>
          <t>O82</t>
        </is>
      </c>
      <c r="C1414" t="n">
        <v>82</v>
      </c>
      <c r="D1414" t="n">
        <v>15</v>
      </c>
      <c r="E1414" t="inlineStr">
        <is>
          <t>Calculation</t>
        </is>
      </c>
      <c r="F1414" t="inlineStr">
        <is>
          <t>'=(1+(J82/J81)-1)*O81</t>
        </is>
      </c>
      <c r="G1414" t="n">
        <v>60.42825032532831</v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11</v>
      </c>
      <c r="M1414" t="inlineStr">
        <is>
          <t>Values must be of type &lt;class 'str'&gt;</t>
        </is>
      </c>
      <c r="N1414" t="inlineStr">
        <is>
          <t>00000000</t>
        </is>
      </c>
      <c r="O1414" t="inlineStr">
        <is>
          <t>left</t>
        </is>
      </c>
      <c r="R1414" t="b">
        <v>1</v>
      </c>
      <c r="S1414" t="inlineStr">
        <is>
          <t>G000162</t>
        </is>
      </c>
      <c r="T1414" t="inlineStr">
        <is>
          <t>Vertical</t>
        </is>
      </c>
      <c r="U1414" t="n">
        <v>92</v>
      </c>
      <c r="V1414" t="b">
        <v>1</v>
      </c>
      <c r="W1414" t="inlineStr">
        <is>
          <t>ATF Fuel 2!O3:O94</t>
        </is>
      </c>
      <c r="X1414">
        <f>(1+(R[0]C[-5]/R[-1]C[-5])-1)*R[-1]C[0]</f>
        <v/>
      </c>
    </row>
    <row r="1415">
      <c r="A1415" t="inlineStr">
        <is>
          <t>ATF Fuel 2</t>
        </is>
      </c>
      <c r="B1415" t="inlineStr">
        <is>
          <t>P82</t>
        </is>
      </c>
      <c r="C1415" t="n">
        <v>82</v>
      </c>
      <c r="D1415" t="n">
        <v>16</v>
      </c>
      <c r="E1415" t="inlineStr">
        <is>
          <t>Calculation</t>
        </is>
      </c>
      <c r="F1415" t="inlineStr">
        <is>
          <t>'=(1+(H82/H81)-1)*P81</t>
        </is>
      </c>
      <c r="G1415" t="n">
        <v>96.91126079986401</v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11</v>
      </c>
      <c r="M1415" t="inlineStr">
        <is>
          <t>Values must be of type &lt;class 'str'&gt;</t>
        </is>
      </c>
      <c r="N1415" t="inlineStr">
        <is>
          <t>00000000</t>
        </is>
      </c>
      <c r="O1415" t="inlineStr">
        <is>
          <t>left</t>
        </is>
      </c>
      <c r="R1415" t="b">
        <v>1</v>
      </c>
      <c r="S1415" t="inlineStr">
        <is>
          <t>G000161</t>
        </is>
      </c>
      <c r="T1415" t="inlineStr">
        <is>
          <t>Vertical</t>
        </is>
      </c>
      <c r="U1415" t="n">
        <v>92</v>
      </c>
      <c r="V1415" t="b">
        <v>1</v>
      </c>
      <c r="W1415" t="inlineStr">
        <is>
          <t>ATF Fuel 2!P3:P94</t>
        </is>
      </c>
      <c r="X1415">
        <f>(1+(R[0]C[-8]/R[-1]C[-8])-1)*R[-1]C[0]</f>
        <v/>
      </c>
    </row>
    <row r="1416">
      <c r="A1416" t="inlineStr">
        <is>
          <t>ATF Fuel 2</t>
        </is>
      </c>
      <c r="B1416" t="inlineStr">
        <is>
          <t>Q82</t>
        </is>
      </c>
      <c r="C1416" t="n">
        <v>82</v>
      </c>
      <c r="D1416" t="n">
        <v>17</v>
      </c>
      <c r="E1416" t="inlineStr">
        <is>
          <t>Output</t>
        </is>
      </c>
      <c r="F1416" t="inlineStr">
        <is>
          <t>'=M82/N82-1</t>
        </is>
      </c>
      <c r="G1416" t="n">
        <v>0.780314373202682</v>
      </c>
      <c r="H1416" t="inlineStr"/>
      <c r="I1416" t="inlineStr">
        <is>
          <t>0.0%</t>
        </is>
      </c>
      <c r="J1416" t="b">
        <v>0</v>
      </c>
      <c r="K1416" t="b">
        <v>0</v>
      </c>
      <c r="L1416" t="n">
        <v>11</v>
      </c>
      <c r="M1416" t="inlineStr">
        <is>
          <t>Values must be of type &lt;class 'str'&gt;</t>
        </is>
      </c>
      <c r="N1416" t="inlineStr">
        <is>
          <t>00000000</t>
        </is>
      </c>
      <c r="O1416" t="n">
        <v/>
      </c>
      <c r="R1416" t="b">
        <v>1</v>
      </c>
      <c r="S1416" t="inlineStr">
        <is>
          <t>G000153</t>
        </is>
      </c>
      <c r="T1416" t="inlineStr">
        <is>
          <t>Vertical</t>
        </is>
      </c>
      <c r="U1416" t="n">
        <v>93</v>
      </c>
      <c r="V1416" t="b">
        <v>1</v>
      </c>
      <c r="W1416" t="inlineStr">
        <is>
          <t>ATF Fuel 2!Q2:Q94</t>
        </is>
      </c>
      <c r="X1416">
        <f>R[0]C[-4]/R[0]C[-3]-1</f>
        <v/>
      </c>
    </row>
    <row r="1417">
      <c r="A1417" t="inlineStr">
        <is>
          <t>ATF Fuel 2</t>
        </is>
      </c>
      <c r="B1417" t="inlineStr">
        <is>
          <t>A83</t>
        </is>
      </c>
      <c r="C1417" t="n">
        <v>83</v>
      </c>
      <c r="D1417" t="n">
        <v>1</v>
      </c>
      <c r="E1417" t="inlineStr">
        <is>
          <t>Input</t>
        </is>
      </c>
      <c r="F1417" t="n">
        <v/>
      </c>
      <c r="G1417" t="inlineStr">
        <is>
          <t>January 01, 2017</t>
        </is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11</v>
      </c>
      <c r="M1417" t="inlineStr">
        <is>
          <t>Values must be of type &lt;class 'str'&gt;</t>
        </is>
      </c>
      <c r="N1417" t="inlineStr">
        <is>
          <t>00000000</t>
        </is>
      </c>
      <c r="O1417" t="n">
        <v/>
      </c>
      <c r="R1417" t="b">
        <v>1</v>
      </c>
      <c r="S1417" t="n">
        <v/>
      </c>
      <c r="T1417" t="n">
        <v/>
      </c>
      <c r="U1417" t="n">
        <v/>
      </c>
      <c r="V1417" t="b">
        <v>0</v>
      </c>
      <c r="W1417" t="inlineStr"/>
      <c r="X1417" t="n">
        <v/>
      </c>
    </row>
    <row r="1418">
      <c r="A1418" t="inlineStr">
        <is>
          <t>ATF Fuel 2</t>
        </is>
      </c>
      <c r="B1418" t="inlineStr">
        <is>
          <t>B83</t>
        </is>
      </c>
      <c r="C1418" t="n">
        <v>83</v>
      </c>
      <c r="D1418" t="n">
        <v>2</v>
      </c>
      <c r="E1418" t="inlineStr">
        <is>
          <t>Input</t>
        </is>
      </c>
      <c r="F1418" t="n">
        <v/>
      </c>
      <c r="G1418" t="n">
        <v>54213.9175</v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11</v>
      </c>
      <c r="M1418" t="inlineStr">
        <is>
          <t>Values must be of type &lt;class 'str'&gt;</t>
        </is>
      </c>
      <c r="N1418" t="inlineStr">
        <is>
          <t>00000000</t>
        </is>
      </c>
      <c r="O1418" t="n">
        <v/>
      </c>
      <c r="R1418" t="b">
        <v>1</v>
      </c>
      <c r="S1418" t="n">
        <v/>
      </c>
      <c r="T1418" t="n">
        <v/>
      </c>
      <c r="U1418" t="n">
        <v/>
      </c>
      <c r="V1418" t="b">
        <v>0</v>
      </c>
      <c r="W1418" t="inlineStr"/>
      <c r="X1418" t="n">
        <v/>
      </c>
    </row>
    <row r="1419">
      <c r="A1419" t="inlineStr">
        <is>
          <t>ATF Fuel 2</t>
        </is>
      </c>
      <c r="B1419" t="inlineStr">
        <is>
          <t>C83</t>
        </is>
      </c>
      <c r="C1419" t="n">
        <v>83</v>
      </c>
      <c r="D1419" t="n">
        <v>3</v>
      </c>
      <c r="E1419" t="inlineStr">
        <is>
          <t>Output</t>
        </is>
      </c>
      <c r="F1419" t="inlineStr">
        <is>
          <t>'=B83/B82-1</t>
        </is>
      </c>
      <c r="G1419" t="n">
        <v>0.08432118068663708</v>
      </c>
      <c r="H1419" t="inlineStr"/>
      <c r="I1419" t="inlineStr">
        <is>
          <t>0%</t>
        </is>
      </c>
      <c r="J1419" t="b">
        <v>0</v>
      </c>
      <c r="K1419" t="b">
        <v>0</v>
      </c>
      <c r="L1419" t="n">
        <v>11</v>
      </c>
      <c r="M1419" t="n">
        <v/>
      </c>
      <c r="N1419" t="inlineStr">
        <is>
          <t>00000000</t>
        </is>
      </c>
      <c r="O1419" t="n">
        <v/>
      </c>
      <c r="R1419" t="b">
        <v>1</v>
      </c>
      <c r="S1419" t="inlineStr">
        <is>
          <t>G000154</t>
        </is>
      </c>
      <c r="T1419" t="inlineStr">
        <is>
          <t>Vertical</t>
        </is>
      </c>
      <c r="U1419" t="n">
        <v>92</v>
      </c>
      <c r="V1419" t="b">
        <v>1</v>
      </c>
      <c r="W1419" t="inlineStr">
        <is>
          <t>ATF Fuel 2!C3:C94</t>
        </is>
      </c>
      <c r="X1419">
        <f>R[0]C[-1]/R[-1]C[-1]-1</f>
        <v/>
      </c>
    </row>
    <row r="1420">
      <c r="A1420" t="inlineStr">
        <is>
          <t>ATF Fuel 2</t>
        </is>
      </c>
      <c r="B1420" t="inlineStr">
        <is>
          <t>D83</t>
        </is>
      </c>
      <c r="C1420" t="n">
        <v>83</v>
      </c>
      <c r="D1420" t="n">
        <v>4</v>
      </c>
      <c r="E1420" t="inlineStr">
        <is>
          <t>Input</t>
        </is>
      </c>
      <c r="F1420" t="n">
        <v/>
      </c>
      <c r="G1420" t="n">
        <v>67.95</v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11</v>
      </c>
      <c r="M1420" t="inlineStr">
        <is>
          <t>Values must be of type &lt;class 'str'&gt;</t>
        </is>
      </c>
      <c r="N1420" t="inlineStr">
        <is>
          <t>00000000</t>
        </is>
      </c>
      <c r="O1420" t="n">
        <v/>
      </c>
      <c r="R1420" t="b">
        <v>1</v>
      </c>
      <c r="S1420" t="n">
        <v/>
      </c>
      <c r="T1420" t="n">
        <v/>
      </c>
      <c r="U1420" t="n">
        <v/>
      </c>
      <c r="V1420" t="b">
        <v>0</v>
      </c>
      <c r="W1420" t="inlineStr"/>
      <c r="X1420" t="n">
        <v/>
      </c>
    </row>
    <row r="1421">
      <c r="A1421" t="inlineStr">
        <is>
          <t>ATF Fuel 2</t>
        </is>
      </c>
      <c r="B1421" t="inlineStr">
        <is>
          <t>E83</t>
        </is>
      </c>
      <c r="C1421" t="n">
        <v>83</v>
      </c>
      <c r="D1421" t="n">
        <v>5</v>
      </c>
      <c r="E1421" t="inlineStr">
        <is>
          <t>Output</t>
        </is>
      </c>
      <c r="F1421" t="inlineStr">
        <is>
          <t>'=B83/B82-1</t>
        </is>
      </c>
      <c r="G1421" t="n">
        <v>0.08432118068663708</v>
      </c>
      <c r="H1421" t="inlineStr"/>
      <c r="I1421" t="inlineStr">
        <is>
          <t>0%</t>
        </is>
      </c>
      <c r="J1421" t="b">
        <v>0</v>
      </c>
      <c r="K1421" t="b">
        <v>0</v>
      </c>
      <c r="L1421" t="n">
        <v>11</v>
      </c>
      <c r="M1421" t="inlineStr">
        <is>
          <t>Values must be of type &lt;class 'str'&gt;</t>
        </is>
      </c>
      <c r="N1421" t="inlineStr">
        <is>
          <t>00000000</t>
        </is>
      </c>
      <c r="O1421" t="n">
        <v/>
      </c>
      <c r="R1421" t="b">
        <v>1</v>
      </c>
      <c r="S1421" t="inlineStr">
        <is>
          <t>G000158</t>
        </is>
      </c>
      <c r="T1421" t="inlineStr">
        <is>
          <t>Vertical</t>
        </is>
      </c>
      <c r="U1421" t="n">
        <v>92</v>
      </c>
      <c r="V1421" t="b">
        <v>1</v>
      </c>
      <c r="W1421" t="inlineStr">
        <is>
          <t>ATF Fuel 2!E3:E94</t>
        </is>
      </c>
      <c r="X1421">
        <f>R[0]C[-3]/R[-1]C[-3]-1</f>
        <v/>
      </c>
    </row>
    <row r="1422">
      <c r="A1422" t="inlineStr">
        <is>
          <t>ATF Fuel 2</t>
        </is>
      </c>
      <c r="B1422" t="inlineStr">
        <is>
          <t>F83</t>
        </is>
      </c>
      <c r="C1422" t="n">
        <v>83</v>
      </c>
      <c r="D1422" t="n">
        <v>6</v>
      </c>
      <c r="E1422" t="inlineStr">
        <is>
          <t>Input</t>
        </is>
      </c>
      <c r="F1422" t="n">
        <v/>
      </c>
      <c r="G1422" t="n">
        <v>55.9</v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11</v>
      </c>
      <c r="M1422" t="inlineStr">
        <is>
          <t>Values must be of type &lt;class 'str'&gt;</t>
        </is>
      </c>
      <c r="N1422" t="inlineStr">
        <is>
          <t>00000000</t>
        </is>
      </c>
      <c r="O1422" t="n">
        <v/>
      </c>
      <c r="R1422" t="b">
        <v>1</v>
      </c>
      <c r="S1422" t="n">
        <v/>
      </c>
      <c r="T1422" t="n">
        <v/>
      </c>
      <c r="U1422" t="n">
        <v/>
      </c>
      <c r="V1422" t="b">
        <v>0</v>
      </c>
      <c r="W1422" t="inlineStr"/>
      <c r="X1422" t="n">
        <v/>
      </c>
    </row>
    <row r="1423">
      <c r="A1423" t="inlineStr">
        <is>
          <t>ATF Fuel 2</t>
        </is>
      </c>
      <c r="B1423" t="inlineStr">
        <is>
          <t>G83</t>
        </is>
      </c>
      <c r="C1423" t="n">
        <v>83</v>
      </c>
      <c r="D1423" t="n">
        <v>7</v>
      </c>
      <c r="E1423" t="inlineStr">
        <is>
          <t>Output</t>
        </is>
      </c>
      <c r="F1423" t="inlineStr">
        <is>
          <t>'=F83/F82-1</t>
        </is>
      </c>
      <c r="G1423" t="n">
        <v>0.0686293251768304</v>
      </c>
      <c r="H1423" t="inlineStr"/>
      <c r="I1423" t="inlineStr">
        <is>
          <t>0%</t>
        </is>
      </c>
      <c r="J1423" t="b">
        <v>0</v>
      </c>
      <c r="K1423" t="b">
        <v>0</v>
      </c>
      <c r="L1423" t="n">
        <v>11</v>
      </c>
      <c r="M1423" t="inlineStr">
        <is>
          <t>Values must be of type &lt;class 'str'&gt;</t>
        </is>
      </c>
      <c r="N1423" t="inlineStr">
        <is>
          <t>00000000</t>
        </is>
      </c>
      <c r="O1423" t="n">
        <v/>
      </c>
      <c r="R1423" t="b">
        <v>1</v>
      </c>
      <c r="S1423" t="inlineStr">
        <is>
          <t>G000155</t>
        </is>
      </c>
      <c r="T1423" t="inlineStr">
        <is>
          <t>Vertical</t>
        </is>
      </c>
      <c r="U1423" t="n">
        <v>93</v>
      </c>
      <c r="V1423" t="b">
        <v>1</v>
      </c>
      <c r="W1423" t="inlineStr">
        <is>
          <t>ATF Fuel 2!G3:G95</t>
        </is>
      </c>
      <c r="X1423">
        <f>R[0]C[-1]/R[-1]C[-1]-1</f>
        <v/>
      </c>
    </row>
    <row r="1424">
      <c r="A1424" t="inlineStr">
        <is>
          <t>ATF Fuel 2</t>
        </is>
      </c>
      <c r="B1424" t="inlineStr">
        <is>
          <t>H83</t>
        </is>
      </c>
      <c r="C1424" t="n">
        <v>83</v>
      </c>
      <c r="D1424" t="n">
        <v>8</v>
      </c>
      <c r="E1424" t="inlineStr">
        <is>
          <t>Calculation</t>
        </is>
      </c>
      <c r="F1424" t="inlineStr">
        <is>
          <t>'=D83*F83</t>
        </is>
      </c>
      <c r="G1424" t="n">
        <v>3798.405</v>
      </c>
      <c r="H1424" t="inlineStr"/>
      <c r="I1424" t="inlineStr">
        <is>
          <t>0</t>
        </is>
      </c>
      <c r="J1424" t="b">
        <v>0</v>
      </c>
      <c r="K1424" t="b">
        <v>0</v>
      </c>
      <c r="L1424" t="n">
        <v>11</v>
      </c>
      <c r="M1424" t="inlineStr">
        <is>
          <t>Values must be of type &lt;class 'str'&gt;</t>
        </is>
      </c>
      <c r="N1424" t="inlineStr">
        <is>
          <t>00000000</t>
        </is>
      </c>
      <c r="O1424" t="n">
        <v/>
      </c>
      <c r="R1424" t="b">
        <v>1</v>
      </c>
      <c r="S1424" t="inlineStr">
        <is>
          <t>G000152</t>
        </is>
      </c>
      <c r="T1424" t="inlineStr">
        <is>
          <t>Vertical</t>
        </is>
      </c>
      <c r="U1424" t="n">
        <v>98</v>
      </c>
      <c r="V1424" t="b">
        <v>1</v>
      </c>
      <c r="W1424" t="inlineStr">
        <is>
          <t>ATF Fuel 2!H2:H99</t>
        </is>
      </c>
      <c r="X1424">
        <f>R[0]C[-4]*R[0]C[-2]</f>
        <v/>
      </c>
    </row>
    <row r="1425">
      <c r="A1425" t="inlineStr">
        <is>
          <t>ATF Fuel 2</t>
        </is>
      </c>
      <c r="B1425" t="inlineStr">
        <is>
          <t>I83</t>
        </is>
      </c>
      <c r="C1425" t="n">
        <v>83</v>
      </c>
      <c r="D1425" t="n">
        <v>9</v>
      </c>
      <c r="E1425" t="inlineStr">
        <is>
          <t>Output</t>
        </is>
      </c>
      <c r="F1425" t="inlineStr">
        <is>
          <t>'=H83/H82-1</t>
        </is>
      </c>
      <c r="G1425" t="n">
        <v>0.05973967667492164</v>
      </c>
      <c r="H1425" t="inlineStr"/>
      <c r="I1425" t="inlineStr">
        <is>
          <t>0%</t>
        </is>
      </c>
      <c r="J1425" t="b">
        <v>0</v>
      </c>
      <c r="K1425" t="b">
        <v>0</v>
      </c>
      <c r="L1425" t="n">
        <v>11</v>
      </c>
      <c r="M1425" t="inlineStr">
        <is>
          <t>FFFF0000</t>
        </is>
      </c>
      <c r="N1425" t="inlineStr">
        <is>
          <t>00000000</t>
        </is>
      </c>
      <c r="O1425" t="n">
        <v/>
      </c>
      <c r="R1425" t="b">
        <v>1</v>
      </c>
      <c r="S1425" t="inlineStr">
        <is>
          <t>G000156</t>
        </is>
      </c>
      <c r="T1425" t="inlineStr">
        <is>
          <t>Vertical</t>
        </is>
      </c>
      <c r="U1425" t="n">
        <v>97</v>
      </c>
      <c r="V1425" t="b">
        <v>1</v>
      </c>
      <c r="W1425" t="inlineStr">
        <is>
          <t>ATF Fuel 2!I3:I99</t>
        </is>
      </c>
      <c r="X1425">
        <f>R[0]C[-1]/R[-1]C[-1]-1</f>
        <v/>
      </c>
    </row>
    <row r="1426">
      <c r="A1426" t="inlineStr">
        <is>
          <t>ATF Fuel 2</t>
        </is>
      </c>
      <c r="B1426" t="inlineStr">
        <is>
          <t>J83</t>
        </is>
      </c>
      <c r="C1426" t="n">
        <v>83</v>
      </c>
      <c r="D1426" t="n">
        <v>10</v>
      </c>
      <c r="E1426" t="inlineStr">
        <is>
          <t>Input</t>
        </is>
      </c>
      <c r="F1426" t="n">
        <v/>
      </c>
      <c r="G1426" t="n">
        <v>52.36</v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11</v>
      </c>
      <c r="M1426" t="inlineStr">
        <is>
          <t>Values must be of type &lt;class 'str'&gt;</t>
        </is>
      </c>
      <c r="N1426" t="inlineStr">
        <is>
          <t>00000000</t>
        </is>
      </c>
      <c r="O1426" t="n">
        <v/>
      </c>
      <c r="R1426" t="b">
        <v>1</v>
      </c>
      <c r="S1426" t="n">
        <v/>
      </c>
      <c r="T1426" t="n">
        <v/>
      </c>
      <c r="U1426" t="n">
        <v/>
      </c>
      <c r="V1426" t="b">
        <v>0</v>
      </c>
      <c r="W1426" t="inlineStr"/>
      <c r="X1426" t="n">
        <v/>
      </c>
    </row>
    <row r="1427">
      <c r="A1427" t="inlineStr">
        <is>
          <t>ATF Fuel 2</t>
        </is>
      </c>
      <c r="B1427" t="inlineStr">
        <is>
          <t>K83</t>
        </is>
      </c>
      <c r="C1427" t="n">
        <v>83</v>
      </c>
      <c r="D1427" t="n">
        <v>11</v>
      </c>
      <c r="E1427" t="inlineStr">
        <is>
          <t>Output</t>
        </is>
      </c>
      <c r="F1427" t="inlineStr">
        <is>
          <t>'=J83/J82-1</t>
        </is>
      </c>
      <c r="G1427" t="n">
        <v>0.02505873140172277</v>
      </c>
      <c r="H1427" t="inlineStr"/>
      <c r="I1427" t="inlineStr">
        <is>
          <t>0%</t>
        </is>
      </c>
      <c r="J1427" t="b">
        <v>0</v>
      </c>
      <c r="K1427" t="b">
        <v>0</v>
      </c>
      <c r="L1427" t="n">
        <v>11</v>
      </c>
      <c r="M1427" t="inlineStr">
        <is>
          <t>Values must be of type &lt;class 'str'&gt;</t>
        </is>
      </c>
      <c r="N1427" t="inlineStr">
        <is>
          <t>00000000</t>
        </is>
      </c>
      <c r="O1427" t="n">
        <v/>
      </c>
      <c r="R1427" t="b">
        <v>1</v>
      </c>
      <c r="S1427" t="inlineStr">
        <is>
          <t>G000157</t>
        </is>
      </c>
      <c r="T1427" t="inlineStr">
        <is>
          <t>Vertical</t>
        </is>
      </c>
      <c r="U1427" t="n">
        <v>93</v>
      </c>
      <c r="V1427" t="b">
        <v>1</v>
      </c>
      <c r="W1427" t="inlineStr">
        <is>
          <t>ATF Fuel 2!K3:K95</t>
        </is>
      </c>
      <c r="X1427">
        <f>R[0]C[-1]/R[-1]C[-1]-1</f>
        <v/>
      </c>
    </row>
    <row r="1428">
      <c r="A1428" t="inlineStr">
        <is>
          <t>ATF Fuel 2</t>
        </is>
      </c>
      <c r="B1428" t="inlineStr">
        <is>
          <t>L83</t>
        </is>
      </c>
      <c r="C1428" t="n">
        <v>83</v>
      </c>
      <c r="D1428" t="n">
        <v>12</v>
      </c>
      <c r="E1428" t="inlineStr">
        <is>
          <t>Input</t>
        </is>
      </c>
      <c r="F1428" t="n">
        <v/>
      </c>
      <c r="G1428" t="inlineStr">
        <is>
          <t>January 01, 2017</t>
        </is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11</v>
      </c>
      <c r="M1428" t="inlineStr">
        <is>
          <t>Values must be of type &lt;class 'str'&gt;</t>
        </is>
      </c>
      <c r="N1428" t="inlineStr">
        <is>
          <t>00000000</t>
        </is>
      </c>
      <c r="O1428" t="inlineStr">
        <is>
          <t>left</t>
        </is>
      </c>
      <c r="R1428" t="b">
        <v>1</v>
      </c>
      <c r="S1428" t="n">
        <v/>
      </c>
      <c r="T1428" t="n">
        <v/>
      </c>
      <c r="U1428" t="n">
        <v/>
      </c>
      <c r="V1428" t="b">
        <v>0</v>
      </c>
      <c r="W1428" t="inlineStr"/>
      <c r="X1428" t="n">
        <v/>
      </c>
    </row>
    <row r="1429">
      <c r="A1429" t="inlineStr">
        <is>
          <t>ATF Fuel 2</t>
        </is>
      </c>
      <c r="B1429" t="inlineStr">
        <is>
          <t>M83</t>
        </is>
      </c>
      <c r="C1429" t="n">
        <v>83</v>
      </c>
      <c r="D1429" t="n">
        <v>13</v>
      </c>
      <c r="E1429" t="inlineStr">
        <is>
          <t>Calculation</t>
        </is>
      </c>
      <c r="F1429" t="inlineStr">
        <is>
          <t>'=(1+(B83/B82)-1)*M82</t>
        </is>
      </c>
      <c r="G1429" t="n">
        <v>122.2085543075035</v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11</v>
      </c>
      <c r="M1429" t="inlineStr">
        <is>
          <t>Values must be of type &lt;class 'str'&gt;</t>
        </is>
      </c>
      <c r="N1429" t="inlineStr">
        <is>
          <t>00000000</t>
        </is>
      </c>
      <c r="O1429" t="inlineStr">
        <is>
          <t>left</t>
        </is>
      </c>
      <c r="R1429" t="b">
        <v>1</v>
      </c>
      <c r="S1429" t="inlineStr">
        <is>
          <t>G000159</t>
        </is>
      </c>
      <c r="T1429" t="inlineStr">
        <is>
          <t>Vertical</t>
        </is>
      </c>
      <c r="U1429" t="n">
        <v>92</v>
      </c>
      <c r="V1429" t="b">
        <v>1</v>
      </c>
      <c r="W1429" t="inlineStr">
        <is>
          <t>ATF Fuel 2!M3:M94</t>
        </is>
      </c>
      <c r="X1429">
        <f>(1+(R[0]C[-11]/R[-1]C[-11])-1)*R[-1]C[0]</f>
        <v/>
      </c>
    </row>
    <row r="1430">
      <c r="A1430" t="inlineStr">
        <is>
          <t>ATF Fuel 2</t>
        </is>
      </c>
      <c r="B1430" t="inlineStr">
        <is>
          <t>N83</t>
        </is>
      </c>
      <c r="C1430" t="n">
        <v>83</v>
      </c>
      <c r="D1430" t="n">
        <v>14</v>
      </c>
      <c r="E1430" t="inlineStr">
        <is>
          <t>Calculation</t>
        </is>
      </c>
      <c r="F1430" t="inlineStr">
        <is>
          <t>'=(1+(F83/F82)-1)*N82</t>
        </is>
      </c>
      <c r="G1430" t="n">
        <v>67.65097422243745</v>
      </c>
      <c r="H1430" t="inlineStr"/>
      <c r="I1430" t="inlineStr">
        <is>
          <t>General</t>
        </is>
      </c>
      <c r="J1430" t="b">
        <v>0</v>
      </c>
      <c r="K1430" t="b">
        <v>0</v>
      </c>
      <c r="L1430" t="n">
        <v>11</v>
      </c>
      <c r="M1430" t="inlineStr">
        <is>
          <t>Values must be of type &lt;class 'str'&gt;</t>
        </is>
      </c>
      <c r="N1430" t="inlineStr">
        <is>
          <t>00000000</t>
        </is>
      </c>
      <c r="O1430" t="inlineStr">
        <is>
          <t>left</t>
        </is>
      </c>
      <c r="R1430" t="b">
        <v>1</v>
      </c>
      <c r="S1430" t="inlineStr">
        <is>
          <t>G000160</t>
        </is>
      </c>
      <c r="T1430" t="inlineStr">
        <is>
          <t>Vertical</t>
        </is>
      </c>
      <c r="U1430" t="n">
        <v>92</v>
      </c>
      <c r="V1430" t="b">
        <v>1</v>
      </c>
      <c r="W1430" t="inlineStr">
        <is>
          <t>ATF Fuel 2!N3:N94</t>
        </is>
      </c>
      <c r="X1430">
        <f>(1+(R[0]C[-8]/R[-1]C[-8])-1)*R[-1]C[0]</f>
        <v/>
      </c>
    </row>
    <row r="1431">
      <c r="A1431" t="inlineStr">
        <is>
          <t>ATF Fuel 2</t>
        </is>
      </c>
      <c r="B1431" t="inlineStr">
        <is>
          <t>O83</t>
        </is>
      </c>
      <c r="C1431" t="n">
        <v>83</v>
      </c>
      <c r="D1431" t="n">
        <v>15</v>
      </c>
      <c r="E1431" t="inlineStr">
        <is>
          <t>Calculation</t>
        </is>
      </c>
      <c r="F1431" t="inlineStr">
        <is>
          <t>'=(1+(J83/J82)-1)*O82</t>
        </is>
      </c>
      <c r="G1431" t="n">
        <v>61.94250561930677</v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11</v>
      </c>
      <c r="M1431" t="inlineStr">
        <is>
          <t>Values must be of type &lt;class 'str'&gt;</t>
        </is>
      </c>
      <c r="N1431" t="inlineStr">
        <is>
          <t>00000000</t>
        </is>
      </c>
      <c r="O1431" t="inlineStr">
        <is>
          <t>left</t>
        </is>
      </c>
      <c r="R1431" t="b">
        <v>1</v>
      </c>
      <c r="S1431" t="inlineStr">
        <is>
          <t>G000162</t>
        </is>
      </c>
      <c r="T1431" t="inlineStr">
        <is>
          <t>Vertical</t>
        </is>
      </c>
      <c r="U1431" t="n">
        <v>92</v>
      </c>
      <c r="V1431" t="b">
        <v>1</v>
      </c>
      <c r="W1431" t="inlineStr">
        <is>
          <t>ATF Fuel 2!O3:O94</t>
        </is>
      </c>
      <c r="X1431">
        <f>(1+(R[0]C[-5]/R[-1]C[-5])-1)*R[-1]C[0]</f>
        <v/>
      </c>
    </row>
    <row r="1432">
      <c r="A1432" t="inlineStr">
        <is>
          <t>ATF Fuel 2</t>
        </is>
      </c>
      <c r="B1432" t="inlineStr">
        <is>
          <t>P83</t>
        </is>
      </c>
      <c r="C1432" t="n">
        <v>83</v>
      </c>
      <c r="D1432" t="n">
        <v>16</v>
      </c>
      <c r="E1432" t="inlineStr">
        <is>
          <t>Calculation</t>
        </is>
      </c>
      <c r="F1432" t="inlineStr">
        <is>
          <t>'=(1+(H83/H82)-1)*P82</t>
        </is>
      </c>
      <c r="G1432" t="n">
        <v>102.7007081862069</v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11</v>
      </c>
      <c r="M1432" t="inlineStr">
        <is>
          <t>Values must be of type &lt;class 'str'&gt;</t>
        </is>
      </c>
      <c r="N1432" t="inlineStr">
        <is>
          <t>00000000</t>
        </is>
      </c>
      <c r="O1432" t="inlineStr">
        <is>
          <t>left</t>
        </is>
      </c>
      <c r="R1432" t="b">
        <v>1</v>
      </c>
      <c r="S1432" t="inlineStr">
        <is>
          <t>G000161</t>
        </is>
      </c>
      <c r="T1432" t="inlineStr">
        <is>
          <t>Vertical</t>
        </is>
      </c>
      <c r="U1432" t="n">
        <v>92</v>
      </c>
      <c r="V1432" t="b">
        <v>1</v>
      </c>
      <c r="W1432" t="inlineStr">
        <is>
          <t>ATF Fuel 2!P3:P94</t>
        </is>
      </c>
      <c r="X1432">
        <f>(1+(R[0]C[-8]/R[-1]C[-8])-1)*R[-1]C[0]</f>
        <v/>
      </c>
    </row>
    <row r="1433">
      <c r="A1433" t="inlineStr">
        <is>
          <t>ATF Fuel 2</t>
        </is>
      </c>
      <c r="B1433" t="inlineStr">
        <is>
          <t>Q83</t>
        </is>
      </c>
      <c r="C1433" t="n">
        <v>83</v>
      </c>
      <c r="D1433" t="n">
        <v>17</v>
      </c>
      <c r="E1433" t="inlineStr">
        <is>
          <t>Output</t>
        </is>
      </c>
      <c r="F1433" t="inlineStr">
        <is>
          <t>'=M83/N83-1</t>
        </is>
      </c>
      <c r="G1433" t="n">
        <v>0.8064566802198567</v>
      </c>
      <c r="H1433" t="inlineStr"/>
      <c r="I1433" t="inlineStr">
        <is>
          <t>0.0%</t>
        </is>
      </c>
      <c r="J1433" t="b">
        <v>0</v>
      </c>
      <c r="K1433" t="b">
        <v>0</v>
      </c>
      <c r="L1433" t="n">
        <v>11</v>
      </c>
      <c r="M1433" t="inlineStr">
        <is>
          <t>Values must be of type &lt;class 'str'&gt;</t>
        </is>
      </c>
      <c r="N1433" t="inlineStr">
        <is>
          <t>00000000</t>
        </is>
      </c>
      <c r="O1433" t="n">
        <v/>
      </c>
      <c r="R1433" t="b">
        <v>1</v>
      </c>
      <c r="S1433" t="inlineStr">
        <is>
          <t>G000153</t>
        </is>
      </c>
      <c r="T1433" t="inlineStr">
        <is>
          <t>Vertical</t>
        </is>
      </c>
      <c r="U1433" t="n">
        <v>93</v>
      </c>
      <c r="V1433" t="b">
        <v>1</v>
      </c>
      <c r="W1433" t="inlineStr">
        <is>
          <t>ATF Fuel 2!Q2:Q94</t>
        </is>
      </c>
      <c r="X1433">
        <f>R[0]C[-4]/R[0]C[-3]-1</f>
        <v/>
      </c>
    </row>
    <row r="1434">
      <c r="A1434" t="inlineStr">
        <is>
          <t>ATF Fuel 2</t>
        </is>
      </c>
      <c r="B1434" t="inlineStr">
        <is>
          <t>A84</t>
        </is>
      </c>
      <c r="C1434" t="n">
        <v>84</v>
      </c>
      <c r="D1434" t="n">
        <v>1</v>
      </c>
      <c r="E1434" t="inlineStr">
        <is>
          <t>Input</t>
        </is>
      </c>
      <c r="F1434" t="n">
        <v/>
      </c>
      <c r="G1434" t="inlineStr">
        <is>
          <t>February 01,2017</t>
        </is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11</v>
      </c>
      <c r="M1434" t="inlineStr">
        <is>
          <t>Values must be of type &lt;class 'str'&gt;</t>
        </is>
      </c>
      <c r="N1434" t="inlineStr">
        <is>
          <t>00000000</t>
        </is>
      </c>
      <c r="O1434" t="n">
        <v/>
      </c>
      <c r="R1434" t="b">
        <v>1</v>
      </c>
      <c r="S1434" t="n">
        <v/>
      </c>
      <c r="T1434" t="n">
        <v/>
      </c>
      <c r="U1434" t="n">
        <v/>
      </c>
      <c r="V1434" t="b">
        <v>0</v>
      </c>
      <c r="W1434" t="inlineStr"/>
      <c r="X1434" t="n">
        <v/>
      </c>
    </row>
    <row r="1435">
      <c r="A1435" t="inlineStr">
        <is>
          <t>ATF Fuel 2</t>
        </is>
      </c>
      <c r="B1435" t="inlineStr">
        <is>
          <t>B84</t>
        </is>
      </c>
      <c r="C1435" t="n">
        <v>84</v>
      </c>
      <c r="D1435" t="n">
        <v>2</v>
      </c>
      <c r="E1435" t="inlineStr">
        <is>
          <t>Input</t>
        </is>
      </c>
      <c r="F1435" t="n">
        <v/>
      </c>
      <c r="G1435" t="n">
        <v>55817.3925</v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11</v>
      </c>
      <c r="M1435" t="inlineStr">
        <is>
          <t>Values must be of type &lt;class 'str'&gt;</t>
        </is>
      </c>
      <c r="N1435" t="inlineStr">
        <is>
          <t>00000000</t>
        </is>
      </c>
      <c r="O1435" t="n">
        <v/>
      </c>
      <c r="R1435" t="b">
        <v>1</v>
      </c>
      <c r="S1435" t="n">
        <v/>
      </c>
      <c r="T1435" t="n">
        <v/>
      </c>
      <c r="U1435" t="n">
        <v/>
      </c>
      <c r="V1435" t="b">
        <v>0</v>
      </c>
      <c r="W1435" t="inlineStr"/>
      <c r="X1435" t="n">
        <v/>
      </c>
    </row>
    <row r="1436">
      <c r="A1436" t="inlineStr">
        <is>
          <t>ATF Fuel 2</t>
        </is>
      </c>
      <c r="B1436" t="inlineStr">
        <is>
          <t>C84</t>
        </is>
      </c>
      <c r="C1436" t="n">
        <v>84</v>
      </c>
      <c r="D1436" t="n">
        <v>3</v>
      </c>
      <c r="E1436" t="inlineStr">
        <is>
          <t>Output</t>
        </is>
      </c>
      <c r="F1436" t="inlineStr">
        <is>
          <t>'=B84/B83-1</t>
        </is>
      </c>
      <c r="G1436" t="n">
        <v>0.029576814846483</v>
      </c>
      <c r="H1436" t="inlineStr"/>
      <c r="I1436" t="inlineStr">
        <is>
          <t>0%</t>
        </is>
      </c>
      <c r="J1436" t="b">
        <v>0</v>
      </c>
      <c r="K1436" t="b">
        <v>0</v>
      </c>
      <c r="L1436" t="n">
        <v>11</v>
      </c>
      <c r="M1436" t="n">
        <v/>
      </c>
      <c r="N1436" t="inlineStr">
        <is>
          <t>00000000</t>
        </is>
      </c>
      <c r="O1436" t="n">
        <v/>
      </c>
      <c r="R1436" t="b">
        <v>1</v>
      </c>
      <c r="S1436" t="inlineStr">
        <is>
          <t>G000154</t>
        </is>
      </c>
      <c r="T1436" t="inlineStr">
        <is>
          <t>Vertical</t>
        </is>
      </c>
      <c r="U1436" t="n">
        <v>92</v>
      </c>
      <c r="V1436" t="b">
        <v>1</v>
      </c>
      <c r="W1436" t="inlineStr">
        <is>
          <t>ATF Fuel 2!C3:C94</t>
        </is>
      </c>
      <c r="X1436">
        <f>R[0]C[-1]/R[-1]C[-1]-1</f>
        <v/>
      </c>
    </row>
    <row r="1437">
      <c r="A1437" t="inlineStr">
        <is>
          <t>ATF Fuel 2</t>
        </is>
      </c>
      <c r="B1437" t="inlineStr">
        <is>
          <t>D84</t>
        </is>
      </c>
      <c r="C1437" t="n">
        <v>84</v>
      </c>
      <c r="D1437" t="n">
        <v>4</v>
      </c>
      <c r="E1437" t="inlineStr">
        <is>
          <t>Input</t>
        </is>
      </c>
      <c r="F1437" t="n">
        <v/>
      </c>
      <c r="G1437" t="n">
        <v>67.62</v>
      </c>
      <c r="H1437" t="inlineStr"/>
      <c r="I1437" t="inlineStr">
        <is>
          <t>General</t>
        </is>
      </c>
      <c r="J1437" t="b">
        <v>0</v>
      </c>
      <c r="K1437" t="b">
        <v>0</v>
      </c>
      <c r="L1437" t="n">
        <v>11</v>
      </c>
      <c r="M1437" t="inlineStr">
        <is>
          <t>Values must be of type &lt;class 'str'&gt;</t>
        </is>
      </c>
      <c r="N1437" t="inlineStr">
        <is>
          <t>00000000</t>
        </is>
      </c>
      <c r="O1437" t="n">
        <v/>
      </c>
      <c r="R1437" t="b">
        <v>1</v>
      </c>
      <c r="S1437" t="n">
        <v/>
      </c>
      <c r="T1437" t="n">
        <v/>
      </c>
      <c r="U1437" t="n">
        <v/>
      </c>
      <c r="V1437" t="b">
        <v>0</v>
      </c>
      <c r="W1437" t="inlineStr"/>
      <c r="X1437" t="n">
        <v/>
      </c>
    </row>
    <row r="1438">
      <c r="A1438" t="inlineStr">
        <is>
          <t>ATF Fuel 2</t>
        </is>
      </c>
      <c r="B1438" t="inlineStr">
        <is>
          <t>E84</t>
        </is>
      </c>
      <c r="C1438" t="n">
        <v>84</v>
      </c>
      <c r="D1438" t="n">
        <v>5</v>
      </c>
      <c r="E1438" t="inlineStr">
        <is>
          <t>Output</t>
        </is>
      </c>
      <c r="F1438" t="inlineStr">
        <is>
          <t>'=B84/B83-1</t>
        </is>
      </c>
      <c r="G1438" t="n">
        <v>0.029576814846483</v>
      </c>
      <c r="H1438" t="inlineStr"/>
      <c r="I1438" t="inlineStr">
        <is>
          <t>0%</t>
        </is>
      </c>
      <c r="J1438" t="b">
        <v>0</v>
      </c>
      <c r="K1438" t="b">
        <v>0</v>
      </c>
      <c r="L1438" t="n">
        <v>11</v>
      </c>
      <c r="M1438" t="inlineStr">
        <is>
          <t>Values must be of type &lt;class 'str'&gt;</t>
        </is>
      </c>
      <c r="N1438" t="inlineStr">
        <is>
          <t>00000000</t>
        </is>
      </c>
      <c r="O1438" t="n">
        <v/>
      </c>
      <c r="R1438" t="b">
        <v>1</v>
      </c>
      <c r="S1438" t="inlineStr">
        <is>
          <t>G000158</t>
        </is>
      </c>
      <c r="T1438" t="inlineStr">
        <is>
          <t>Vertical</t>
        </is>
      </c>
      <c r="U1438" t="n">
        <v>92</v>
      </c>
      <c r="V1438" t="b">
        <v>1</v>
      </c>
      <c r="W1438" t="inlineStr">
        <is>
          <t>ATF Fuel 2!E3:E94</t>
        </is>
      </c>
      <c r="X1438">
        <f>R[0]C[-3]/R[-1]C[-3]-1</f>
        <v/>
      </c>
    </row>
    <row r="1439">
      <c r="A1439" t="inlineStr">
        <is>
          <t>ATF Fuel 2</t>
        </is>
      </c>
      <c r="B1439" t="inlineStr">
        <is>
          <t>F84</t>
        </is>
      </c>
      <c r="C1439" t="n">
        <v>84</v>
      </c>
      <c r="D1439" t="n">
        <v>6</v>
      </c>
      <c r="E1439" t="inlineStr">
        <is>
          <t>Input</t>
        </is>
      </c>
      <c r="F1439" t="n">
        <v/>
      </c>
      <c r="G1439" t="n">
        <v>55.92</v>
      </c>
      <c r="H1439" t="inlineStr"/>
      <c r="I1439" t="inlineStr">
        <is>
          <t>General</t>
        </is>
      </c>
      <c r="J1439" t="b">
        <v>0</v>
      </c>
      <c r="K1439" t="b">
        <v>0</v>
      </c>
      <c r="L1439" t="n">
        <v>11</v>
      </c>
      <c r="M1439" t="inlineStr">
        <is>
          <t>Values must be of type &lt;class 'str'&gt;</t>
        </is>
      </c>
      <c r="N1439" t="inlineStr">
        <is>
          <t>00000000</t>
        </is>
      </c>
      <c r="O1439" t="n">
        <v/>
      </c>
      <c r="R1439" t="b">
        <v>1</v>
      </c>
      <c r="S1439" t="n">
        <v/>
      </c>
      <c r="T1439" t="n">
        <v/>
      </c>
      <c r="U1439" t="n">
        <v/>
      </c>
      <c r="V1439" t="b">
        <v>0</v>
      </c>
      <c r="W1439" t="inlineStr"/>
      <c r="X1439" t="n">
        <v/>
      </c>
    </row>
    <row r="1440">
      <c r="A1440" t="inlineStr">
        <is>
          <t>ATF Fuel 2</t>
        </is>
      </c>
      <c r="B1440" t="inlineStr">
        <is>
          <t>G84</t>
        </is>
      </c>
      <c r="C1440" t="n">
        <v>84</v>
      </c>
      <c r="D1440" t="n">
        <v>7</v>
      </c>
      <c r="E1440" t="inlineStr">
        <is>
          <t>Output</t>
        </is>
      </c>
      <c r="F1440" t="inlineStr">
        <is>
          <t>'=F84/F83-1</t>
        </is>
      </c>
      <c r="G1440" t="n">
        <v>0.0003577817531306149</v>
      </c>
      <c r="H1440" t="inlineStr"/>
      <c r="I1440" t="inlineStr">
        <is>
          <t>0%</t>
        </is>
      </c>
      <c r="J1440" t="b">
        <v>0</v>
      </c>
      <c r="K1440" t="b">
        <v>0</v>
      </c>
      <c r="L1440" t="n">
        <v>11</v>
      </c>
      <c r="M1440" t="inlineStr">
        <is>
          <t>Values must be of type &lt;class 'str'&gt;</t>
        </is>
      </c>
      <c r="N1440" t="inlineStr">
        <is>
          <t>00000000</t>
        </is>
      </c>
      <c r="O1440" t="n">
        <v/>
      </c>
      <c r="R1440" t="b">
        <v>1</v>
      </c>
      <c r="S1440" t="inlineStr">
        <is>
          <t>G000155</t>
        </is>
      </c>
      <c r="T1440" t="inlineStr">
        <is>
          <t>Vertical</t>
        </is>
      </c>
      <c r="U1440" t="n">
        <v>93</v>
      </c>
      <c r="V1440" t="b">
        <v>1</v>
      </c>
      <c r="W1440" t="inlineStr">
        <is>
          <t>ATF Fuel 2!G3:G95</t>
        </is>
      </c>
      <c r="X1440">
        <f>R[0]C[-1]/R[-1]C[-1]-1</f>
        <v/>
      </c>
    </row>
    <row r="1441">
      <c r="A1441" t="inlineStr">
        <is>
          <t>ATF Fuel 2</t>
        </is>
      </c>
      <c r="B1441" t="inlineStr">
        <is>
          <t>H84</t>
        </is>
      </c>
      <c r="C1441" t="n">
        <v>84</v>
      </c>
      <c r="D1441" t="n">
        <v>8</v>
      </c>
      <c r="E1441" t="inlineStr">
        <is>
          <t>Calculation</t>
        </is>
      </c>
      <c r="F1441" t="inlineStr">
        <is>
          <t>'=D84*F84</t>
        </is>
      </c>
      <c r="G1441" t="n">
        <v>3781.3104</v>
      </c>
      <c r="H1441" t="inlineStr"/>
      <c r="I1441" t="inlineStr">
        <is>
          <t>0</t>
        </is>
      </c>
      <c r="J1441" t="b">
        <v>0</v>
      </c>
      <c r="K1441" t="b">
        <v>0</v>
      </c>
      <c r="L1441" t="n">
        <v>11</v>
      </c>
      <c r="M1441" t="inlineStr">
        <is>
          <t>Values must be of type &lt;class 'str'&gt;</t>
        </is>
      </c>
      <c r="N1441" t="inlineStr">
        <is>
          <t>00000000</t>
        </is>
      </c>
      <c r="O1441" t="n">
        <v/>
      </c>
      <c r="R1441" t="b">
        <v>1</v>
      </c>
      <c r="S1441" t="inlineStr">
        <is>
          <t>G000152</t>
        </is>
      </c>
      <c r="T1441" t="inlineStr">
        <is>
          <t>Vertical</t>
        </is>
      </c>
      <c r="U1441" t="n">
        <v>98</v>
      </c>
      <c r="V1441" t="b">
        <v>1</v>
      </c>
      <c r="W1441" t="inlineStr">
        <is>
          <t>ATF Fuel 2!H2:H99</t>
        </is>
      </c>
      <c r="X1441">
        <f>R[0]C[-4]*R[0]C[-2]</f>
        <v/>
      </c>
    </row>
    <row r="1442">
      <c r="A1442" t="inlineStr">
        <is>
          <t>ATF Fuel 2</t>
        </is>
      </c>
      <c r="B1442" t="inlineStr">
        <is>
          <t>I84</t>
        </is>
      </c>
      <c r="C1442" t="n">
        <v>84</v>
      </c>
      <c r="D1442" t="n">
        <v>9</v>
      </c>
      <c r="E1442" t="inlineStr">
        <is>
          <t>Output</t>
        </is>
      </c>
      <c r="F1442" t="inlineStr">
        <is>
          <t>'=H84/H83-1</t>
        </is>
      </c>
      <c r="G1442" t="n">
        <v>-0.004500467959577703</v>
      </c>
      <c r="H1442" t="inlineStr"/>
      <c r="I1442" t="inlineStr">
        <is>
          <t>0%</t>
        </is>
      </c>
      <c r="J1442" t="b">
        <v>0</v>
      </c>
      <c r="K1442" t="b">
        <v>0</v>
      </c>
      <c r="L1442" t="n">
        <v>11</v>
      </c>
      <c r="M1442" t="inlineStr">
        <is>
          <t>FFFF0000</t>
        </is>
      </c>
      <c r="N1442" t="inlineStr">
        <is>
          <t>00000000</t>
        </is>
      </c>
      <c r="O1442" t="n">
        <v/>
      </c>
      <c r="R1442" t="b">
        <v>1</v>
      </c>
      <c r="S1442" t="inlineStr">
        <is>
          <t>G000156</t>
        </is>
      </c>
      <c r="T1442" t="inlineStr">
        <is>
          <t>Vertical</t>
        </is>
      </c>
      <c r="U1442" t="n">
        <v>97</v>
      </c>
      <c r="V1442" t="b">
        <v>1</v>
      </c>
      <c r="W1442" t="inlineStr">
        <is>
          <t>ATF Fuel 2!I3:I99</t>
        </is>
      </c>
      <c r="X1442">
        <f>R[0]C[-1]/R[-1]C[-1]-1</f>
        <v/>
      </c>
    </row>
    <row r="1443">
      <c r="A1443" t="inlineStr">
        <is>
          <t>ATF Fuel 2</t>
        </is>
      </c>
      <c r="B1443" t="inlineStr">
        <is>
          <t>J84</t>
        </is>
      </c>
      <c r="C1443" t="n">
        <v>84</v>
      </c>
      <c r="D1443" t="n">
        <v>10</v>
      </c>
      <c r="E1443" t="inlineStr">
        <is>
          <t>Input</t>
        </is>
      </c>
      <c r="F1443" t="n">
        <v/>
      </c>
      <c r="G1443" t="n">
        <v>53.9</v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11</v>
      </c>
      <c r="M1443" t="inlineStr">
        <is>
          <t>Values must be of type &lt;class 'str'&gt;</t>
        </is>
      </c>
      <c r="N1443" t="inlineStr">
        <is>
          <t>00000000</t>
        </is>
      </c>
      <c r="O1443" t="n">
        <v/>
      </c>
      <c r="R1443" t="b">
        <v>1</v>
      </c>
      <c r="S1443" t="n">
        <v/>
      </c>
      <c r="T1443" t="n">
        <v/>
      </c>
      <c r="U1443" t="n">
        <v/>
      </c>
      <c r="V1443" t="b">
        <v>0</v>
      </c>
      <c r="W1443" t="inlineStr"/>
      <c r="X1443" t="n">
        <v/>
      </c>
    </row>
    <row r="1444">
      <c r="A1444" t="inlineStr">
        <is>
          <t>ATF Fuel 2</t>
        </is>
      </c>
      <c r="B1444" t="inlineStr">
        <is>
          <t>K84</t>
        </is>
      </c>
      <c r="C1444" t="n">
        <v>84</v>
      </c>
      <c r="D1444" t="n">
        <v>11</v>
      </c>
      <c r="E1444" t="inlineStr">
        <is>
          <t>Output</t>
        </is>
      </c>
      <c r="F1444" t="inlineStr">
        <is>
          <t>'=J84/J83-1</t>
        </is>
      </c>
      <c r="G1444" t="n">
        <v>0.02941176470588225</v>
      </c>
      <c r="H1444" t="inlineStr"/>
      <c r="I1444" t="inlineStr">
        <is>
          <t>0%</t>
        </is>
      </c>
      <c r="J1444" t="b">
        <v>0</v>
      </c>
      <c r="K1444" t="b">
        <v>0</v>
      </c>
      <c r="L1444" t="n">
        <v>11</v>
      </c>
      <c r="M1444" t="inlineStr">
        <is>
          <t>Values must be of type &lt;class 'str'&gt;</t>
        </is>
      </c>
      <c r="N1444" t="inlineStr">
        <is>
          <t>00000000</t>
        </is>
      </c>
      <c r="O1444" t="n">
        <v/>
      </c>
      <c r="R1444" t="b">
        <v>1</v>
      </c>
      <c r="S1444" t="inlineStr">
        <is>
          <t>G000157</t>
        </is>
      </c>
      <c r="T1444" t="inlineStr">
        <is>
          <t>Vertical</t>
        </is>
      </c>
      <c r="U1444" t="n">
        <v>93</v>
      </c>
      <c r="V1444" t="b">
        <v>1</v>
      </c>
      <c r="W1444" t="inlineStr">
        <is>
          <t>ATF Fuel 2!K3:K95</t>
        </is>
      </c>
      <c r="X1444">
        <f>R[0]C[-1]/R[-1]C[-1]-1</f>
        <v/>
      </c>
    </row>
    <row r="1445">
      <c r="A1445" t="inlineStr">
        <is>
          <t>ATF Fuel 2</t>
        </is>
      </c>
      <c r="B1445" t="inlineStr">
        <is>
          <t>L84</t>
        </is>
      </c>
      <c r="C1445" t="n">
        <v>84</v>
      </c>
      <c r="D1445" t="n">
        <v>12</v>
      </c>
      <c r="E1445" t="inlineStr">
        <is>
          <t>Input</t>
        </is>
      </c>
      <c r="F1445" t="n">
        <v/>
      </c>
      <c r="G1445" t="inlineStr">
        <is>
          <t>February 01,2017</t>
        </is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11</v>
      </c>
      <c r="M1445" t="inlineStr">
        <is>
          <t>Values must be of type &lt;class 'str'&gt;</t>
        </is>
      </c>
      <c r="N1445" t="inlineStr">
        <is>
          <t>00000000</t>
        </is>
      </c>
      <c r="O1445" t="inlineStr">
        <is>
          <t>left</t>
        </is>
      </c>
      <c r="R1445" t="b">
        <v>1</v>
      </c>
      <c r="S1445" t="n">
        <v/>
      </c>
      <c r="T1445" t="n">
        <v/>
      </c>
      <c r="U1445" t="n">
        <v/>
      </c>
      <c r="V1445" t="b">
        <v>0</v>
      </c>
      <c r="W1445" t="inlineStr"/>
      <c r="X1445" t="n">
        <v/>
      </c>
    </row>
    <row r="1446">
      <c r="A1446" t="inlineStr">
        <is>
          <t>ATF Fuel 2</t>
        </is>
      </c>
      <c r="B1446" t="inlineStr">
        <is>
          <t>M84</t>
        </is>
      </c>
      <c r="C1446" t="n">
        <v>84</v>
      </c>
      <c r="D1446" t="n">
        <v>13</v>
      </c>
      <c r="E1446" t="inlineStr">
        <is>
          <t>Calculation</t>
        </is>
      </c>
      <c r="F1446" t="inlineStr">
        <is>
          <t>'=(1+(B84/B83)-1)*M83</t>
        </is>
      </c>
      <c r="G1446" t="n">
        <v>125.8230940909129</v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11</v>
      </c>
      <c r="M1446" t="inlineStr">
        <is>
          <t>Values must be of type &lt;class 'str'&gt;</t>
        </is>
      </c>
      <c r="N1446" t="inlineStr">
        <is>
          <t>00000000</t>
        </is>
      </c>
      <c r="O1446" t="inlineStr">
        <is>
          <t>left</t>
        </is>
      </c>
      <c r="R1446" t="b">
        <v>1</v>
      </c>
      <c r="S1446" t="inlineStr">
        <is>
          <t>G000159</t>
        </is>
      </c>
      <c r="T1446" t="inlineStr">
        <is>
          <t>Vertical</t>
        </is>
      </c>
      <c r="U1446" t="n">
        <v>92</v>
      </c>
      <c r="V1446" t="b">
        <v>1</v>
      </c>
      <c r="W1446" t="inlineStr">
        <is>
          <t>ATF Fuel 2!M3:M94</t>
        </is>
      </c>
      <c r="X1446">
        <f>(1+(R[0]C[-11]/R[-1]C[-11])-1)*R[-1]C[0]</f>
        <v/>
      </c>
    </row>
    <row r="1447">
      <c r="A1447" t="inlineStr">
        <is>
          <t>ATF Fuel 2</t>
        </is>
      </c>
      <c r="B1447" t="inlineStr">
        <is>
          <t>N84</t>
        </is>
      </c>
      <c r="C1447" t="n">
        <v>84</v>
      </c>
      <c r="D1447" t="n">
        <v>14</v>
      </c>
      <c r="E1447" t="inlineStr">
        <is>
          <t>Calculation</t>
        </is>
      </c>
      <c r="F1447" t="inlineStr">
        <is>
          <t>'=(1+(F84/F83)-1)*N83</t>
        </is>
      </c>
      <c r="G1447" t="n">
        <v>67.67517850659577</v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11</v>
      </c>
      <c r="M1447" t="inlineStr">
        <is>
          <t>Values must be of type &lt;class 'str'&gt;</t>
        </is>
      </c>
      <c r="N1447" t="inlineStr">
        <is>
          <t>00000000</t>
        </is>
      </c>
      <c r="O1447" t="inlineStr">
        <is>
          <t>left</t>
        </is>
      </c>
      <c r="R1447" t="b">
        <v>1</v>
      </c>
      <c r="S1447" t="inlineStr">
        <is>
          <t>G000160</t>
        </is>
      </c>
      <c r="T1447" t="inlineStr">
        <is>
          <t>Vertical</t>
        </is>
      </c>
      <c r="U1447" t="n">
        <v>92</v>
      </c>
      <c r="V1447" t="b">
        <v>1</v>
      </c>
      <c r="W1447" t="inlineStr">
        <is>
          <t>ATF Fuel 2!N3:N94</t>
        </is>
      </c>
      <c r="X1447">
        <f>(1+(R[0]C[-8]/R[-1]C[-8])-1)*R[-1]C[0]</f>
        <v/>
      </c>
    </row>
    <row r="1448">
      <c r="A1448" t="inlineStr">
        <is>
          <t>ATF Fuel 2</t>
        </is>
      </c>
      <c r="B1448" t="inlineStr">
        <is>
          <t>O84</t>
        </is>
      </c>
      <c r="C1448" t="n">
        <v>84</v>
      </c>
      <c r="D1448" t="n">
        <v>15</v>
      </c>
      <c r="E1448" t="inlineStr">
        <is>
          <t>Calculation</t>
        </is>
      </c>
      <c r="F1448" t="inlineStr">
        <is>
          <t>'=(1+(J84/J83)-1)*O83</t>
        </is>
      </c>
      <c r="G1448" t="n">
        <v>63.76434401987461</v>
      </c>
      <c r="H1448" t="inlineStr"/>
      <c r="I1448" t="inlineStr">
        <is>
          <t>General</t>
        </is>
      </c>
      <c r="J1448" t="b">
        <v>0</v>
      </c>
      <c r="K1448" t="b">
        <v>0</v>
      </c>
      <c r="L1448" t="n">
        <v>11</v>
      </c>
      <c r="M1448" t="inlineStr">
        <is>
          <t>Values must be of type &lt;class 'str'&gt;</t>
        </is>
      </c>
      <c r="N1448" t="inlineStr">
        <is>
          <t>00000000</t>
        </is>
      </c>
      <c r="O1448" t="inlineStr">
        <is>
          <t>left</t>
        </is>
      </c>
      <c r="R1448" t="b">
        <v>1</v>
      </c>
      <c r="S1448" t="inlineStr">
        <is>
          <t>G000162</t>
        </is>
      </c>
      <c r="T1448" t="inlineStr">
        <is>
          <t>Vertical</t>
        </is>
      </c>
      <c r="U1448" t="n">
        <v>92</v>
      </c>
      <c r="V1448" t="b">
        <v>1</v>
      </c>
      <c r="W1448" t="inlineStr">
        <is>
          <t>ATF Fuel 2!O3:O94</t>
        </is>
      </c>
      <c r="X1448">
        <f>(1+(R[0]C[-5]/R[-1]C[-5])-1)*R[-1]C[0]</f>
        <v/>
      </c>
    </row>
    <row r="1449">
      <c r="A1449" t="inlineStr">
        <is>
          <t>ATF Fuel 2</t>
        </is>
      </c>
      <c r="B1449" t="inlineStr">
        <is>
          <t>P84</t>
        </is>
      </c>
      <c r="C1449" t="n">
        <v>84</v>
      </c>
      <c r="D1449" t="n">
        <v>16</v>
      </c>
      <c r="E1449" t="inlineStr">
        <is>
          <t>Calculation</t>
        </is>
      </c>
      <c r="F1449" t="inlineStr">
        <is>
          <t>'=(1+(H84/H83)-1)*P83</t>
        </is>
      </c>
      <c r="G1449" t="n">
        <v>102.2385069395889</v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11</v>
      </c>
      <c r="M1449" t="inlineStr">
        <is>
          <t>Values must be of type &lt;class 'str'&gt;</t>
        </is>
      </c>
      <c r="N1449" t="inlineStr">
        <is>
          <t>00000000</t>
        </is>
      </c>
      <c r="O1449" t="inlineStr">
        <is>
          <t>left</t>
        </is>
      </c>
      <c r="R1449" t="b">
        <v>1</v>
      </c>
      <c r="S1449" t="inlineStr">
        <is>
          <t>G000161</t>
        </is>
      </c>
      <c r="T1449" t="inlineStr">
        <is>
          <t>Vertical</t>
        </is>
      </c>
      <c r="U1449" t="n">
        <v>92</v>
      </c>
      <c r="V1449" t="b">
        <v>1</v>
      </c>
      <c r="W1449" t="inlineStr">
        <is>
          <t>ATF Fuel 2!P3:P94</t>
        </is>
      </c>
      <c r="X1449">
        <f>(1+(R[0]C[-8]/R[-1]C[-8])-1)*R[-1]C[0]</f>
        <v/>
      </c>
    </row>
    <row r="1450">
      <c r="A1450" t="inlineStr">
        <is>
          <t>ATF Fuel 2</t>
        </is>
      </c>
      <c r="B1450" t="inlineStr">
        <is>
          <t>Q84</t>
        </is>
      </c>
      <c r="C1450" t="n">
        <v>84</v>
      </c>
      <c r="D1450" t="n">
        <v>17</v>
      </c>
      <c r="E1450" t="inlineStr">
        <is>
          <t>Output</t>
        </is>
      </c>
      <c r="F1450" t="inlineStr">
        <is>
          <t>'=M84/N84-1</t>
        </is>
      </c>
      <c r="G1450" t="n">
        <v>0.8592207197303496</v>
      </c>
      <c r="H1450" t="inlineStr"/>
      <c r="I1450" t="inlineStr">
        <is>
          <t>0.0%</t>
        </is>
      </c>
      <c r="J1450" t="b">
        <v>0</v>
      </c>
      <c r="K1450" t="b">
        <v>0</v>
      </c>
      <c r="L1450" t="n">
        <v>11</v>
      </c>
      <c r="M1450" t="inlineStr">
        <is>
          <t>Values must be of type &lt;class 'str'&gt;</t>
        </is>
      </c>
      <c r="N1450" t="inlineStr">
        <is>
          <t>00000000</t>
        </is>
      </c>
      <c r="O1450" t="n">
        <v/>
      </c>
      <c r="R1450" t="b">
        <v>1</v>
      </c>
      <c r="S1450" t="inlineStr">
        <is>
          <t>G000153</t>
        </is>
      </c>
      <c r="T1450" t="inlineStr">
        <is>
          <t>Vertical</t>
        </is>
      </c>
      <c r="U1450" t="n">
        <v>93</v>
      </c>
      <c r="V1450" t="b">
        <v>1</v>
      </c>
      <c r="W1450" t="inlineStr">
        <is>
          <t>ATF Fuel 2!Q2:Q94</t>
        </is>
      </c>
      <c r="X1450">
        <f>R[0]C[-4]/R[0]C[-3]-1</f>
        <v/>
      </c>
    </row>
    <row r="1451">
      <c r="A1451" t="inlineStr">
        <is>
          <t>ATF Fuel 2</t>
        </is>
      </c>
      <c r="B1451" t="inlineStr">
        <is>
          <t>A85</t>
        </is>
      </c>
      <c r="C1451" t="n">
        <v>85</v>
      </c>
      <c r="D1451" t="n">
        <v>1</v>
      </c>
      <c r="E1451" t="inlineStr">
        <is>
          <t>Input</t>
        </is>
      </c>
      <c r="F1451" t="n">
        <v/>
      </c>
      <c r="G1451" t="inlineStr">
        <is>
          <t>March 01,2017</t>
        </is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11</v>
      </c>
      <c r="M1451" t="inlineStr">
        <is>
          <t>Values must be of type &lt;class 'str'&gt;</t>
        </is>
      </c>
      <c r="N1451" t="inlineStr">
        <is>
          <t>00000000</t>
        </is>
      </c>
      <c r="O1451" t="n">
        <v/>
      </c>
      <c r="R1451" t="b">
        <v>1</v>
      </c>
      <c r="S1451" t="n">
        <v/>
      </c>
      <c r="T1451" t="n">
        <v/>
      </c>
      <c r="U1451" t="n">
        <v/>
      </c>
      <c r="V1451" t="b">
        <v>0</v>
      </c>
      <c r="W1451" t="inlineStr"/>
      <c r="X1451" t="n">
        <v/>
      </c>
    </row>
    <row r="1452">
      <c r="A1452" t="inlineStr">
        <is>
          <t>ATF Fuel 2</t>
        </is>
      </c>
      <c r="B1452" t="inlineStr">
        <is>
          <t>B85</t>
        </is>
      </c>
      <c r="C1452" t="n">
        <v>85</v>
      </c>
      <c r="D1452" t="n">
        <v>2</v>
      </c>
      <c r="E1452" t="inlineStr">
        <is>
          <t>Input</t>
        </is>
      </c>
      <c r="F1452" t="n">
        <v/>
      </c>
      <c r="G1452" t="n">
        <v>56104.89999999999</v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11</v>
      </c>
      <c r="M1452" t="inlineStr">
        <is>
          <t>Values must be of type &lt;class 'str'&gt;</t>
        </is>
      </c>
      <c r="N1452" t="inlineStr">
        <is>
          <t>00000000</t>
        </is>
      </c>
      <c r="O1452" t="n">
        <v/>
      </c>
      <c r="R1452" t="b">
        <v>1</v>
      </c>
      <c r="S1452" t="n">
        <v/>
      </c>
      <c r="T1452" t="n">
        <v/>
      </c>
      <c r="U1452" t="n">
        <v/>
      </c>
      <c r="V1452" t="b">
        <v>0</v>
      </c>
      <c r="W1452" t="inlineStr"/>
      <c r="X1452" t="n">
        <v/>
      </c>
    </row>
    <row r="1453">
      <c r="A1453" t="inlineStr">
        <is>
          <t>ATF Fuel 2</t>
        </is>
      </c>
      <c r="B1453" t="inlineStr">
        <is>
          <t>C85</t>
        </is>
      </c>
      <c r="C1453" t="n">
        <v>85</v>
      </c>
      <c r="D1453" t="n">
        <v>3</v>
      </c>
      <c r="E1453" t="inlineStr">
        <is>
          <t>Output</t>
        </is>
      </c>
      <c r="F1453" t="inlineStr">
        <is>
          <t>'=B85/B84-1</t>
        </is>
      </c>
      <c r="G1453" t="n">
        <v>0.005150858668290459</v>
      </c>
      <c r="H1453" t="inlineStr"/>
      <c r="I1453" t="inlineStr">
        <is>
          <t>0%</t>
        </is>
      </c>
      <c r="J1453" t="b">
        <v>0</v>
      </c>
      <c r="K1453" t="b">
        <v>0</v>
      </c>
      <c r="L1453" t="n">
        <v>11</v>
      </c>
      <c r="M1453" t="n">
        <v/>
      </c>
      <c r="N1453" t="inlineStr">
        <is>
          <t>00000000</t>
        </is>
      </c>
      <c r="O1453" t="n">
        <v/>
      </c>
      <c r="R1453" t="b">
        <v>1</v>
      </c>
      <c r="S1453" t="inlineStr">
        <is>
          <t>G000154</t>
        </is>
      </c>
      <c r="T1453" t="inlineStr">
        <is>
          <t>Vertical</t>
        </is>
      </c>
      <c r="U1453" t="n">
        <v>92</v>
      </c>
      <c r="V1453" t="b">
        <v>1</v>
      </c>
      <c r="W1453" t="inlineStr">
        <is>
          <t>ATF Fuel 2!C3:C94</t>
        </is>
      </c>
      <c r="X1453">
        <f>R[0]C[-1]/R[-1]C[-1]-1</f>
        <v/>
      </c>
    </row>
    <row r="1454">
      <c r="A1454" t="inlineStr">
        <is>
          <t>ATF Fuel 2</t>
        </is>
      </c>
      <c r="B1454" t="inlineStr">
        <is>
          <t>D85</t>
        </is>
      </c>
      <c r="C1454" t="n">
        <v>85</v>
      </c>
      <c r="D1454" t="n">
        <v>4</v>
      </c>
      <c r="E1454" t="inlineStr">
        <is>
          <t>Input</t>
        </is>
      </c>
      <c r="F1454" t="n">
        <v/>
      </c>
      <c r="G1454" t="n">
        <v>66.72750000000001</v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11</v>
      </c>
      <c r="M1454" t="inlineStr">
        <is>
          <t>Values must be of type &lt;class 'str'&gt;</t>
        </is>
      </c>
      <c r="N1454" t="inlineStr">
        <is>
          <t>00000000</t>
        </is>
      </c>
      <c r="O1454" t="n">
        <v/>
      </c>
      <c r="R1454" t="b">
        <v>1</v>
      </c>
      <c r="S1454" t="n">
        <v/>
      </c>
      <c r="T1454" t="n">
        <v/>
      </c>
      <c r="U1454" t="n">
        <v/>
      </c>
      <c r="V1454" t="b">
        <v>0</v>
      </c>
      <c r="W1454" t="inlineStr"/>
      <c r="X1454" t="n">
        <v/>
      </c>
    </row>
    <row r="1455">
      <c r="A1455" t="inlineStr">
        <is>
          <t>ATF Fuel 2</t>
        </is>
      </c>
      <c r="B1455" t="inlineStr">
        <is>
          <t>E85</t>
        </is>
      </c>
      <c r="C1455" t="n">
        <v>85</v>
      </c>
      <c r="D1455" t="n">
        <v>5</v>
      </c>
      <c r="E1455" t="inlineStr">
        <is>
          <t>Output</t>
        </is>
      </c>
      <c r="F1455" t="inlineStr">
        <is>
          <t>'=B85/B84-1</t>
        </is>
      </c>
      <c r="G1455" t="n">
        <v>0.005150858668290459</v>
      </c>
      <c r="H1455" t="inlineStr"/>
      <c r="I1455" t="inlineStr">
        <is>
          <t>0%</t>
        </is>
      </c>
      <c r="J1455" t="b">
        <v>0</v>
      </c>
      <c r="K1455" t="b">
        <v>0</v>
      </c>
      <c r="L1455" t="n">
        <v>11</v>
      </c>
      <c r="M1455" t="inlineStr">
        <is>
          <t>Values must be of type &lt;class 'str'&gt;</t>
        </is>
      </c>
      <c r="N1455" t="inlineStr">
        <is>
          <t>00000000</t>
        </is>
      </c>
      <c r="O1455" t="n">
        <v/>
      </c>
      <c r="R1455" t="b">
        <v>1</v>
      </c>
      <c r="S1455" t="inlineStr">
        <is>
          <t>G000158</t>
        </is>
      </c>
      <c r="T1455" t="inlineStr">
        <is>
          <t>Vertical</t>
        </is>
      </c>
      <c r="U1455" t="n">
        <v>92</v>
      </c>
      <c r="V1455" t="b">
        <v>1</v>
      </c>
      <c r="W1455" t="inlineStr">
        <is>
          <t>ATF Fuel 2!E3:E94</t>
        </is>
      </c>
      <c r="X1455">
        <f>R[0]C[-3]/R[-1]C[-3]-1</f>
        <v/>
      </c>
    </row>
    <row r="1456">
      <c r="A1456" t="inlineStr">
        <is>
          <t>ATF Fuel 2</t>
        </is>
      </c>
      <c r="B1456" t="inlineStr">
        <is>
          <t>F85</t>
        </is>
      </c>
      <c r="C1456" t="n">
        <v>85</v>
      </c>
      <c r="D1456" t="n">
        <v>6</v>
      </c>
      <c r="E1456" t="inlineStr">
        <is>
          <t>Input</t>
        </is>
      </c>
      <c r="F1456" t="n">
        <v/>
      </c>
      <c r="G1456" t="n">
        <v>54.16</v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11</v>
      </c>
      <c r="M1456" t="inlineStr">
        <is>
          <t>Values must be of type &lt;class 'str'&gt;</t>
        </is>
      </c>
      <c r="N1456" t="inlineStr">
        <is>
          <t>00000000</t>
        </is>
      </c>
      <c r="O1456" t="n">
        <v/>
      </c>
      <c r="R1456" t="b">
        <v>1</v>
      </c>
      <c r="S1456" t="n">
        <v/>
      </c>
      <c r="T1456" t="n">
        <v/>
      </c>
      <c r="U1456" t="n">
        <v/>
      </c>
      <c r="V1456" t="b">
        <v>0</v>
      </c>
      <c r="W1456" t="inlineStr"/>
      <c r="X1456" t="n">
        <v/>
      </c>
    </row>
    <row r="1457">
      <c r="A1457" t="inlineStr">
        <is>
          <t>ATF Fuel 2</t>
        </is>
      </c>
      <c r="B1457" t="inlineStr">
        <is>
          <t>G85</t>
        </is>
      </c>
      <c r="C1457" t="n">
        <v>85</v>
      </c>
      <c r="D1457" t="n">
        <v>7</v>
      </c>
      <c r="E1457" t="inlineStr">
        <is>
          <t>Output</t>
        </is>
      </c>
      <c r="F1457" t="inlineStr">
        <is>
          <t>'=F85/F84-1</t>
        </is>
      </c>
      <c r="G1457" t="n">
        <v>-0.03147353361945648</v>
      </c>
      <c r="H1457" t="inlineStr"/>
      <c r="I1457" t="inlineStr">
        <is>
          <t>0%</t>
        </is>
      </c>
      <c r="J1457" t="b">
        <v>0</v>
      </c>
      <c r="K1457" t="b">
        <v>0</v>
      </c>
      <c r="L1457" t="n">
        <v>11</v>
      </c>
      <c r="M1457" t="inlineStr">
        <is>
          <t>Values must be of type &lt;class 'str'&gt;</t>
        </is>
      </c>
      <c r="N1457" t="inlineStr">
        <is>
          <t>00000000</t>
        </is>
      </c>
      <c r="O1457" t="n">
        <v/>
      </c>
      <c r="R1457" t="b">
        <v>1</v>
      </c>
      <c r="S1457" t="inlineStr">
        <is>
          <t>G000155</t>
        </is>
      </c>
      <c r="T1457" t="inlineStr">
        <is>
          <t>Vertical</t>
        </is>
      </c>
      <c r="U1457" t="n">
        <v>93</v>
      </c>
      <c r="V1457" t="b">
        <v>1</v>
      </c>
      <c r="W1457" t="inlineStr">
        <is>
          <t>ATF Fuel 2!G3:G95</t>
        </is>
      </c>
      <c r="X1457">
        <f>R[0]C[-1]/R[-1]C[-1]-1</f>
        <v/>
      </c>
    </row>
    <row r="1458">
      <c r="A1458" t="inlineStr">
        <is>
          <t>ATF Fuel 2</t>
        </is>
      </c>
      <c r="B1458" t="inlineStr">
        <is>
          <t>H85</t>
        </is>
      </c>
      <c r="C1458" t="n">
        <v>85</v>
      </c>
      <c r="D1458" t="n">
        <v>8</v>
      </c>
      <c r="E1458" t="inlineStr">
        <is>
          <t>Calculation</t>
        </is>
      </c>
      <c r="F1458" t="inlineStr">
        <is>
          <t>'=D85*F85</t>
        </is>
      </c>
      <c r="G1458" t="n">
        <v>3613.9614</v>
      </c>
      <c r="H1458" t="inlineStr"/>
      <c r="I1458" t="inlineStr">
        <is>
          <t>0</t>
        </is>
      </c>
      <c r="J1458" t="b">
        <v>0</v>
      </c>
      <c r="K1458" t="b">
        <v>0</v>
      </c>
      <c r="L1458" t="n">
        <v>11</v>
      </c>
      <c r="M1458" t="inlineStr">
        <is>
          <t>Values must be of type &lt;class 'str'&gt;</t>
        </is>
      </c>
      <c r="N1458" t="inlineStr">
        <is>
          <t>00000000</t>
        </is>
      </c>
      <c r="O1458" t="n">
        <v/>
      </c>
      <c r="R1458" t="b">
        <v>1</v>
      </c>
      <c r="S1458" t="inlineStr">
        <is>
          <t>G000152</t>
        </is>
      </c>
      <c r="T1458" t="inlineStr">
        <is>
          <t>Vertical</t>
        </is>
      </c>
      <c r="U1458" t="n">
        <v>98</v>
      </c>
      <c r="V1458" t="b">
        <v>1</v>
      </c>
      <c r="W1458" t="inlineStr">
        <is>
          <t>ATF Fuel 2!H2:H99</t>
        </is>
      </c>
      <c r="X1458">
        <f>R[0]C[-4]*R[0]C[-2]</f>
        <v/>
      </c>
    </row>
    <row r="1459">
      <c r="A1459" t="inlineStr">
        <is>
          <t>ATF Fuel 2</t>
        </is>
      </c>
      <c r="B1459" t="inlineStr">
        <is>
          <t>I85</t>
        </is>
      </c>
      <c r="C1459" t="n">
        <v>85</v>
      </c>
      <c r="D1459" t="n">
        <v>9</v>
      </c>
      <c r="E1459" t="inlineStr">
        <is>
          <t>Output</t>
        </is>
      </c>
      <c r="F1459" t="inlineStr">
        <is>
          <t>'=H85/H84-1</t>
        </is>
      </c>
      <c r="G1459" t="n">
        <v>-0.04425687983721205</v>
      </c>
      <c r="H1459" t="inlineStr"/>
      <c r="I1459" t="inlineStr">
        <is>
          <t>0%</t>
        </is>
      </c>
      <c r="J1459" t="b">
        <v>0</v>
      </c>
      <c r="K1459" t="b">
        <v>0</v>
      </c>
      <c r="L1459" t="n">
        <v>11</v>
      </c>
      <c r="M1459" t="inlineStr">
        <is>
          <t>FFFF0000</t>
        </is>
      </c>
      <c r="N1459" t="inlineStr">
        <is>
          <t>00000000</t>
        </is>
      </c>
      <c r="O1459" t="n">
        <v/>
      </c>
      <c r="R1459" t="b">
        <v>1</v>
      </c>
      <c r="S1459" t="inlineStr">
        <is>
          <t>G000156</t>
        </is>
      </c>
      <c r="T1459" t="inlineStr">
        <is>
          <t>Vertical</t>
        </is>
      </c>
      <c r="U1459" t="n">
        <v>97</v>
      </c>
      <c r="V1459" t="b">
        <v>1</v>
      </c>
      <c r="W1459" t="inlineStr">
        <is>
          <t>ATF Fuel 2!I3:I99</t>
        </is>
      </c>
      <c r="X1459">
        <f>R[0]C[-1]/R[-1]C[-1]-1</f>
        <v/>
      </c>
    </row>
    <row r="1460">
      <c r="A1460" t="inlineStr">
        <is>
          <t>ATF Fuel 2</t>
        </is>
      </c>
      <c r="B1460" t="inlineStr">
        <is>
          <t>J85</t>
        </is>
      </c>
      <c r="C1460" t="n">
        <v>85</v>
      </c>
      <c r="D1460" t="n">
        <v>10</v>
      </c>
      <c r="E1460" t="inlineStr">
        <is>
          <t>Input</t>
        </is>
      </c>
      <c r="F1460" t="n">
        <v/>
      </c>
      <c r="G1460" t="n">
        <v>53.82</v>
      </c>
      <c r="H1460" t="inlineStr"/>
      <c r="I1460" t="inlineStr">
        <is>
          <t>General</t>
        </is>
      </c>
      <c r="J1460" t="b">
        <v>0</v>
      </c>
      <c r="K1460" t="b">
        <v>0</v>
      </c>
      <c r="L1460" t="n">
        <v>11</v>
      </c>
      <c r="M1460" t="inlineStr">
        <is>
          <t>Values must be of type &lt;class 'str'&gt;</t>
        </is>
      </c>
      <c r="N1460" t="inlineStr">
        <is>
          <t>00000000</t>
        </is>
      </c>
      <c r="O1460" t="n">
        <v/>
      </c>
      <c r="R1460" t="b">
        <v>1</v>
      </c>
      <c r="S1460" t="n">
        <v/>
      </c>
      <c r="T1460" t="n">
        <v/>
      </c>
      <c r="U1460" t="n">
        <v/>
      </c>
      <c r="V1460" t="b">
        <v>0</v>
      </c>
      <c r="W1460" t="inlineStr"/>
      <c r="X1460" t="n">
        <v/>
      </c>
    </row>
    <row r="1461">
      <c r="A1461" t="inlineStr">
        <is>
          <t>ATF Fuel 2</t>
        </is>
      </c>
      <c r="B1461" t="inlineStr">
        <is>
          <t>K85</t>
        </is>
      </c>
      <c r="C1461" t="n">
        <v>85</v>
      </c>
      <c r="D1461" t="n">
        <v>11</v>
      </c>
      <c r="E1461" t="inlineStr">
        <is>
          <t>Output</t>
        </is>
      </c>
      <c r="F1461" t="inlineStr">
        <is>
          <t>'=J85/J84-1</t>
        </is>
      </c>
      <c r="G1461" t="n">
        <v>-0.001484230055658564</v>
      </c>
      <c r="H1461" t="inlineStr"/>
      <c r="I1461" t="inlineStr">
        <is>
          <t>0%</t>
        </is>
      </c>
      <c r="J1461" t="b">
        <v>0</v>
      </c>
      <c r="K1461" t="b">
        <v>0</v>
      </c>
      <c r="L1461" t="n">
        <v>11</v>
      </c>
      <c r="M1461" t="inlineStr">
        <is>
          <t>Values must be of type &lt;class 'str'&gt;</t>
        </is>
      </c>
      <c r="N1461" t="inlineStr">
        <is>
          <t>00000000</t>
        </is>
      </c>
      <c r="O1461" t="n">
        <v/>
      </c>
      <c r="R1461" t="b">
        <v>1</v>
      </c>
      <c r="S1461" t="inlineStr">
        <is>
          <t>G000157</t>
        </is>
      </c>
      <c r="T1461" t="inlineStr">
        <is>
          <t>Vertical</t>
        </is>
      </c>
      <c r="U1461" t="n">
        <v>93</v>
      </c>
      <c r="V1461" t="b">
        <v>1</v>
      </c>
      <c r="W1461" t="inlineStr">
        <is>
          <t>ATF Fuel 2!K3:K95</t>
        </is>
      </c>
      <c r="X1461">
        <f>R[0]C[-1]/R[-1]C[-1]-1</f>
        <v/>
      </c>
    </row>
    <row r="1462">
      <c r="A1462" t="inlineStr">
        <is>
          <t>ATF Fuel 2</t>
        </is>
      </c>
      <c r="B1462" t="inlineStr">
        <is>
          <t>L85</t>
        </is>
      </c>
      <c r="C1462" t="n">
        <v>85</v>
      </c>
      <c r="D1462" t="n">
        <v>12</v>
      </c>
      <c r="E1462" t="inlineStr">
        <is>
          <t>Input</t>
        </is>
      </c>
      <c r="F1462" t="n">
        <v/>
      </c>
      <c r="G1462" t="inlineStr">
        <is>
          <t>March 01,2017</t>
        </is>
      </c>
      <c r="H1462" t="inlineStr"/>
      <c r="I1462" t="inlineStr">
        <is>
          <t>General</t>
        </is>
      </c>
      <c r="J1462" t="b">
        <v>0</v>
      </c>
      <c r="K1462" t="b">
        <v>0</v>
      </c>
      <c r="L1462" t="n">
        <v>11</v>
      </c>
      <c r="M1462" t="inlineStr">
        <is>
          <t>Values must be of type &lt;class 'str'&gt;</t>
        </is>
      </c>
      <c r="N1462" t="inlineStr">
        <is>
          <t>00000000</t>
        </is>
      </c>
      <c r="O1462" t="inlineStr">
        <is>
          <t>left</t>
        </is>
      </c>
      <c r="R1462" t="b">
        <v>1</v>
      </c>
      <c r="S1462" t="n">
        <v/>
      </c>
      <c r="T1462" t="n">
        <v/>
      </c>
      <c r="U1462" t="n">
        <v/>
      </c>
      <c r="V1462" t="b">
        <v>0</v>
      </c>
      <c r="W1462" t="inlineStr"/>
      <c r="X1462" t="n">
        <v/>
      </c>
    </row>
    <row r="1463">
      <c r="A1463" t="inlineStr">
        <is>
          <t>ATF Fuel 2</t>
        </is>
      </c>
      <c r="B1463" t="inlineStr">
        <is>
          <t>M85</t>
        </is>
      </c>
      <c r="C1463" t="n">
        <v>85</v>
      </c>
      <c r="D1463" t="n">
        <v>13</v>
      </c>
      <c r="E1463" t="inlineStr">
        <is>
          <t>Calculation</t>
        </is>
      </c>
      <c r="F1463" t="inlineStr">
        <is>
          <t>'=(1+(B85/B84)-1)*M84</t>
        </is>
      </c>
      <c r="G1463" t="n">
        <v>126.4711910657822</v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11</v>
      </c>
      <c r="M1463" t="inlineStr">
        <is>
          <t>Values must be of type &lt;class 'str'&gt;</t>
        </is>
      </c>
      <c r="N1463" t="inlineStr">
        <is>
          <t>00000000</t>
        </is>
      </c>
      <c r="O1463" t="inlineStr">
        <is>
          <t>left</t>
        </is>
      </c>
      <c r="R1463" t="b">
        <v>1</v>
      </c>
      <c r="S1463" t="inlineStr">
        <is>
          <t>G000159</t>
        </is>
      </c>
      <c r="T1463" t="inlineStr">
        <is>
          <t>Vertical</t>
        </is>
      </c>
      <c r="U1463" t="n">
        <v>92</v>
      </c>
      <c r="V1463" t="b">
        <v>1</v>
      </c>
      <c r="W1463" t="inlineStr">
        <is>
          <t>ATF Fuel 2!M3:M94</t>
        </is>
      </c>
      <c r="X1463">
        <f>(1+(R[0]C[-11]/R[-1]C[-11])-1)*R[-1]C[0]</f>
        <v/>
      </c>
    </row>
    <row r="1464">
      <c r="A1464" t="inlineStr">
        <is>
          <t>ATF Fuel 2</t>
        </is>
      </c>
      <c r="B1464" t="inlineStr">
        <is>
          <t>N85</t>
        </is>
      </c>
      <c r="C1464" t="n">
        <v>85</v>
      </c>
      <c r="D1464" t="n">
        <v>14</v>
      </c>
      <c r="E1464" t="inlineStr">
        <is>
          <t>Calculation</t>
        </is>
      </c>
      <c r="F1464" t="inlineStr">
        <is>
          <t>'=(1+(F85/F84)-1)*N84</t>
        </is>
      </c>
      <c r="G1464" t="n">
        <v>65.54520150066571</v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11</v>
      </c>
      <c r="M1464" t="inlineStr">
        <is>
          <t>Values must be of type &lt;class 'str'&gt;</t>
        </is>
      </c>
      <c r="N1464" t="inlineStr">
        <is>
          <t>00000000</t>
        </is>
      </c>
      <c r="O1464" t="inlineStr">
        <is>
          <t>left</t>
        </is>
      </c>
      <c r="R1464" t="b">
        <v>1</v>
      </c>
      <c r="S1464" t="inlineStr">
        <is>
          <t>G000160</t>
        </is>
      </c>
      <c r="T1464" t="inlineStr">
        <is>
          <t>Vertical</t>
        </is>
      </c>
      <c r="U1464" t="n">
        <v>92</v>
      </c>
      <c r="V1464" t="b">
        <v>1</v>
      </c>
      <c r="W1464" t="inlineStr">
        <is>
          <t>ATF Fuel 2!N3:N94</t>
        </is>
      </c>
      <c r="X1464">
        <f>(1+(R[0]C[-8]/R[-1]C[-8])-1)*R[-1]C[0]</f>
        <v/>
      </c>
    </row>
    <row r="1465">
      <c r="A1465" t="inlineStr">
        <is>
          <t>ATF Fuel 2</t>
        </is>
      </c>
      <c r="B1465" t="inlineStr">
        <is>
          <t>O85</t>
        </is>
      </c>
      <c r="C1465" t="n">
        <v>85</v>
      </c>
      <c r="D1465" t="n">
        <v>15</v>
      </c>
      <c r="E1465" t="inlineStr">
        <is>
          <t>Calculation</t>
        </is>
      </c>
      <c r="F1465" t="inlineStr">
        <is>
          <t>'=(1+(J85/J84)-1)*O84</t>
        </is>
      </c>
      <c r="G1465" t="n">
        <v>63.66970306400096</v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11</v>
      </c>
      <c r="M1465" t="inlineStr">
        <is>
          <t>Values must be of type &lt;class 'str'&gt;</t>
        </is>
      </c>
      <c r="N1465" t="inlineStr">
        <is>
          <t>00000000</t>
        </is>
      </c>
      <c r="O1465" t="inlineStr">
        <is>
          <t>left</t>
        </is>
      </c>
      <c r="R1465" t="b">
        <v>1</v>
      </c>
      <c r="S1465" t="inlineStr">
        <is>
          <t>G000162</t>
        </is>
      </c>
      <c r="T1465" t="inlineStr">
        <is>
          <t>Vertical</t>
        </is>
      </c>
      <c r="U1465" t="n">
        <v>92</v>
      </c>
      <c r="V1465" t="b">
        <v>1</v>
      </c>
      <c r="W1465" t="inlineStr">
        <is>
          <t>ATF Fuel 2!O3:O94</t>
        </is>
      </c>
      <c r="X1465">
        <f>(1+(R[0]C[-5]/R[-1]C[-5])-1)*R[-1]C[0]</f>
        <v/>
      </c>
    </row>
    <row r="1466">
      <c r="A1466" t="inlineStr">
        <is>
          <t>ATF Fuel 2</t>
        </is>
      </c>
      <c r="B1466" t="inlineStr">
        <is>
          <t>P85</t>
        </is>
      </c>
      <c r="C1466" t="n">
        <v>85</v>
      </c>
      <c r="D1466" t="n">
        <v>16</v>
      </c>
      <c r="E1466" t="inlineStr">
        <is>
          <t>Calculation</t>
        </is>
      </c>
      <c r="F1466" t="inlineStr">
        <is>
          <t>'=(1+(H85/H84)-1)*P84</t>
        </is>
      </c>
      <c r="G1466" t="n">
        <v>97.71374962322759</v>
      </c>
      <c r="H1466" t="inlineStr"/>
      <c r="I1466" t="inlineStr">
        <is>
          <t>General</t>
        </is>
      </c>
      <c r="J1466" t="b">
        <v>0</v>
      </c>
      <c r="K1466" t="b">
        <v>0</v>
      </c>
      <c r="L1466" t="n">
        <v>11</v>
      </c>
      <c r="M1466" t="inlineStr">
        <is>
          <t>Values must be of type &lt;class 'str'&gt;</t>
        </is>
      </c>
      <c r="N1466" t="inlineStr">
        <is>
          <t>00000000</t>
        </is>
      </c>
      <c r="O1466" t="inlineStr">
        <is>
          <t>left</t>
        </is>
      </c>
      <c r="R1466" t="b">
        <v>1</v>
      </c>
      <c r="S1466" t="inlineStr">
        <is>
          <t>G000161</t>
        </is>
      </c>
      <c r="T1466" t="inlineStr">
        <is>
          <t>Vertical</t>
        </is>
      </c>
      <c r="U1466" t="n">
        <v>92</v>
      </c>
      <c r="V1466" t="b">
        <v>1</v>
      </c>
      <c r="W1466" t="inlineStr">
        <is>
          <t>ATF Fuel 2!P3:P94</t>
        </is>
      </c>
      <c r="X1466">
        <f>(1+(R[0]C[-8]/R[-1]C[-8])-1)*R[-1]C[0]</f>
        <v/>
      </c>
    </row>
    <row r="1467">
      <c r="A1467" t="inlineStr">
        <is>
          <t>ATF Fuel 2</t>
        </is>
      </c>
      <c r="B1467" t="inlineStr">
        <is>
          <t>Q85</t>
        </is>
      </c>
      <c r="C1467" t="n">
        <v>85</v>
      </c>
      <c r="D1467" t="n">
        <v>17</v>
      </c>
      <c r="E1467" t="inlineStr">
        <is>
          <t>Output</t>
        </is>
      </c>
      <c r="F1467" t="inlineStr">
        <is>
          <t>'=M85/N85-1</t>
        </is>
      </c>
      <c r="G1467" t="n">
        <v>0.929526314210777</v>
      </c>
      <c r="H1467" t="inlineStr"/>
      <c r="I1467" t="inlineStr">
        <is>
          <t>0.0%</t>
        </is>
      </c>
      <c r="J1467" t="b">
        <v>0</v>
      </c>
      <c r="K1467" t="b">
        <v>0</v>
      </c>
      <c r="L1467" t="n">
        <v>11</v>
      </c>
      <c r="M1467" t="inlineStr">
        <is>
          <t>Values must be of type &lt;class 'str'&gt;</t>
        </is>
      </c>
      <c r="N1467" t="inlineStr">
        <is>
          <t>00000000</t>
        </is>
      </c>
      <c r="O1467" t="n">
        <v/>
      </c>
      <c r="R1467" t="b">
        <v>1</v>
      </c>
      <c r="S1467" t="inlineStr">
        <is>
          <t>G000153</t>
        </is>
      </c>
      <c r="T1467" t="inlineStr">
        <is>
          <t>Vertical</t>
        </is>
      </c>
      <c r="U1467" t="n">
        <v>93</v>
      </c>
      <c r="V1467" t="b">
        <v>1</v>
      </c>
      <c r="W1467" t="inlineStr">
        <is>
          <t>ATF Fuel 2!Q2:Q94</t>
        </is>
      </c>
      <c r="X1467">
        <f>R[0]C[-4]/R[0]C[-3]-1</f>
        <v/>
      </c>
    </row>
    <row r="1468">
      <c r="A1468" t="inlineStr">
        <is>
          <t>ATF Fuel 2</t>
        </is>
      </c>
      <c r="B1468" t="inlineStr">
        <is>
          <t>A86</t>
        </is>
      </c>
      <c r="C1468" t="n">
        <v>86</v>
      </c>
      <c r="D1468" t="n">
        <v>1</v>
      </c>
      <c r="E1468" t="inlineStr">
        <is>
          <t>Input</t>
        </is>
      </c>
      <c r="F1468" t="n">
        <v/>
      </c>
      <c r="G1468" t="inlineStr">
        <is>
          <t>April 01, 2017</t>
        </is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11</v>
      </c>
      <c r="M1468" t="inlineStr">
        <is>
          <t>Values must be of type &lt;class 'str'&gt;</t>
        </is>
      </c>
      <c r="N1468" t="inlineStr">
        <is>
          <t>00000000</t>
        </is>
      </c>
      <c r="O1468" t="n">
        <v/>
      </c>
      <c r="R1468" t="b">
        <v>1</v>
      </c>
      <c r="S1468" t="n">
        <v/>
      </c>
      <c r="T1468" t="n">
        <v/>
      </c>
      <c r="U1468" t="n">
        <v/>
      </c>
      <c r="V1468" t="b">
        <v>0</v>
      </c>
      <c r="W1468" t="inlineStr"/>
      <c r="X1468" t="n">
        <v/>
      </c>
    </row>
    <row r="1469">
      <c r="A1469" t="inlineStr">
        <is>
          <t>ATF Fuel 2</t>
        </is>
      </c>
      <c r="B1469" t="inlineStr">
        <is>
          <t>B86</t>
        </is>
      </c>
      <c r="C1469" t="n">
        <v>86</v>
      </c>
      <c r="D1469" t="n">
        <v>2</v>
      </c>
      <c r="E1469" t="inlineStr">
        <is>
          <t>Input</t>
        </is>
      </c>
      <c r="F1469" t="n">
        <v/>
      </c>
      <c r="G1469" t="n">
        <v>53242.5</v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11</v>
      </c>
      <c r="M1469" t="inlineStr">
        <is>
          <t>Values must be of type &lt;class 'str'&gt;</t>
        </is>
      </c>
      <c r="N1469" t="inlineStr">
        <is>
          <t>00000000</t>
        </is>
      </c>
      <c r="O1469" t="n">
        <v/>
      </c>
      <c r="R1469" t="b">
        <v>1</v>
      </c>
      <c r="S1469" t="n">
        <v/>
      </c>
      <c r="T1469" t="n">
        <v/>
      </c>
      <c r="U1469" t="n">
        <v/>
      </c>
      <c r="V1469" t="b">
        <v>0</v>
      </c>
      <c r="W1469" t="inlineStr"/>
      <c r="X1469" t="n">
        <v/>
      </c>
    </row>
    <row r="1470">
      <c r="A1470" t="inlineStr">
        <is>
          <t>ATF Fuel 2</t>
        </is>
      </c>
      <c r="B1470" t="inlineStr">
        <is>
          <t>C86</t>
        </is>
      </c>
      <c r="C1470" t="n">
        <v>86</v>
      </c>
      <c r="D1470" t="n">
        <v>3</v>
      </c>
      <c r="E1470" t="inlineStr">
        <is>
          <t>Output</t>
        </is>
      </c>
      <c r="F1470" t="inlineStr">
        <is>
          <t>'=B86/B85-1</t>
        </is>
      </c>
      <c r="G1470" t="n">
        <v>-0.05101871672527702</v>
      </c>
      <c r="H1470" t="inlineStr"/>
      <c r="I1470" t="inlineStr">
        <is>
          <t>0%</t>
        </is>
      </c>
      <c r="J1470" t="b">
        <v>0</v>
      </c>
      <c r="K1470" t="b">
        <v>0</v>
      </c>
      <c r="L1470" t="n">
        <v>11</v>
      </c>
      <c r="M1470" t="n">
        <v/>
      </c>
      <c r="N1470" t="inlineStr">
        <is>
          <t>00000000</t>
        </is>
      </c>
      <c r="O1470" t="n">
        <v/>
      </c>
      <c r="R1470" t="b">
        <v>1</v>
      </c>
      <c r="S1470" t="inlineStr">
        <is>
          <t>G000154</t>
        </is>
      </c>
      <c r="T1470" t="inlineStr">
        <is>
          <t>Vertical</t>
        </is>
      </c>
      <c r="U1470" t="n">
        <v>92</v>
      </c>
      <c r="V1470" t="b">
        <v>1</v>
      </c>
      <c r="W1470" t="inlineStr">
        <is>
          <t>ATF Fuel 2!C3:C94</t>
        </is>
      </c>
      <c r="X1470">
        <f>R[0]C[-1]/R[-1]C[-1]-1</f>
        <v/>
      </c>
    </row>
    <row r="1471">
      <c r="A1471" t="inlineStr">
        <is>
          <t>ATF Fuel 2</t>
        </is>
      </c>
      <c r="B1471" t="inlineStr">
        <is>
          <t>D86</t>
        </is>
      </c>
      <c r="C1471" t="n">
        <v>86</v>
      </c>
      <c r="D1471" t="n">
        <v>4</v>
      </c>
      <c r="E1471" t="inlineStr">
        <is>
          <t>Input</t>
        </is>
      </c>
      <c r="F1471" t="n">
        <v/>
      </c>
      <c r="G1471" t="n">
        <v>64.80500000000001</v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11</v>
      </c>
      <c r="M1471" t="inlineStr">
        <is>
          <t>Values must be of type &lt;class 'str'&gt;</t>
        </is>
      </c>
      <c r="N1471" t="inlineStr">
        <is>
          <t>00000000</t>
        </is>
      </c>
      <c r="O1471" t="n">
        <v/>
      </c>
      <c r="R1471" t="b">
        <v>1</v>
      </c>
      <c r="S1471" t="n">
        <v/>
      </c>
      <c r="T1471" t="n">
        <v/>
      </c>
      <c r="U1471" t="n">
        <v/>
      </c>
      <c r="V1471" t="b">
        <v>0</v>
      </c>
      <c r="W1471" t="inlineStr"/>
      <c r="X1471" t="n">
        <v/>
      </c>
    </row>
    <row r="1472">
      <c r="A1472" t="inlineStr">
        <is>
          <t>ATF Fuel 2</t>
        </is>
      </c>
      <c r="B1472" t="inlineStr">
        <is>
          <t>E86</t>
        </is>
      </c>
      <c r="C1472" t="n">
        <v>86</v>
      </c>
      <c r="D1472" t="n">
        <v>5</v>
      </c>
      <c r="E1472" t="inlineStr">
        <is>
          <t>Output</t>
        </is>
      </c>
      <c r="F1472" t="inlineStr">
        <is>
          <t>'=B86/B85-1</t>
        </is>
      </c>
      <c r="G1472" t="n">
        <v>-0.05101871672527702</v>
      </c>
      <c r="H1472" t="inlineStr"/>
      <c r="I1472" t="inlineStr">
        <is>
          <t>0%</t>
        </is>
      </c>
      <c r="J1472" t="b">
        <v>0</v>
      </c>
      <c r="K1472" t="b">
        <v>0</v>
      </c>
      <c r="L1472" t="n">
        <v>11</v>
      </c>
      <c r="M1472" t="inlineStr">
        <is>
          <t>Values must be of type &lt;class 'str'&gt;</t>
        </is>
      </c>
      <c r="N1472" t="inlineStr">
        <is>
          <t>00000000</t>
        </is>
      </c>
      <c r="O1472" t="n">
        <v/>
      </c>
      <c r="R1472" t="b">
        <v>1</v>
      </c>
      <c r="S1472" t="inlineStr">
        <is>
          <t>G000158</t>
        </is>
      </c>
      <c r="T1472" t="inlineStr">
        <is>
          <t>Vertical</t>
        </is>
      </c>
      <c r="U1472" t="n">
        <v>92</v>
      </c>
      <c r="V1472" t="b">
        <v>1</v>
      </c>
      <c r="W1472" t="inlineStr">
        <is>
          <t>ATF Fuel 2!E3:E94</t>
        </is>
      </c>
      <c r="X1472">
        <f>R[0]C[-3]/R[-1]C[-3]-1</f>
        <v/>
      </c>
    </row>
    <row r="1473">
      <c r="A1473" t="inlineStr">
        <is>
          <t>ATF Fuel 2</t>
        </is>
      </c>
      <c r="B1473" t="inlineStr">
        <is>
          <t>F86</t>
        </is>
      </c>
      <c r="C1473" t="n">
        <v>86</v>
      </c>
      <c r="D1473" t="n">
        <v>6</v>
      </c>
      <c r="E1473" t="inlineStr">
        <is>
          <t>Input</t>
        </is>
      </c>
      <c r="F1473" t="n">
        <v/>
      </c>
      <c r="G1473" t="n">
        <v>53.08</v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11</v>
      </c>
      <c r="M1473" t="inlineStr">
        <is>
          <t>Values must be of type &lt;class 'str'&gt;</t>
        </is>
      </c>
      <c r="N1473" t="inlineStr">
        <is>
          <t>00000000</t>
        </is>
      </c>
      <c r="O1473" t="n">
        <v/>
      </c>
      <c r="R1473" t="b">
        <v>1</v>
      </c>
      <c r="S1473" t="n">
        <v/>
      </c>
      <c r="T1473" t="n">
        <v/>
      </c>
      <c r="U1473" t="n">
        <v/>
      </c>
      <c r="V1473" t="b">
        <v>0</v>
      </c>
      <c r="W1473" t="inlineStr"/>
      <c r="X1473" t="n">
        <v/>
      </c>
    </row>
    <row r="1474">
      <c r="A1474" t="inlineStr">
        <is>
          <t>ATF Fuel 2</t>
        </is>
      </c>
      <c r="B1474" t="inlineStr">
        <is>
          <t>G86</t>
        </is>
      </c>
      <c r="C1474" t="n">
        <v>86</v>
      </c>
      <c r="D1474" t="n">
        <v>7</v>
      </c>
      <c r="E1474" t="inlineStr">
        <is>
          <t>Output</t>
        </is>
      </c>
      <c r="F1474" t="inlineStr">
        <is>
          <t>'=F86/F85-1</t>
        </is>
      </c>
      <c r="G1474" t="n">
        <v>-0.01994091580502211</v>
      </c>
      <c r="H1474" t="inlineStr"/>
      <c r="I1474" t="inlineStr">
        <is>
          <t>0%</t>
        </is>
      </c>
      <c r="J1474" t="b">
        <v>0</v>
      </c>
      <c r="K1474" t="b">
        <v>0</v>
      </c>
      <c r="L1474" t="n">
        <v>11</v>
      </c>
      <c r="M1474" t="inlineStr">
        <is>
          <t>Values must be of type &lt;class 'str'&gt;</t>
        </is>
      </c>
      <c r="N1474" t="inlineStr">
        <is>
          <t>00000000</t>
        </is>
      </c>
      <c r="O1474" t="n">
        <v/>
      </c>
      <c r="R1474" t="b">
        <v>1</v>
      </c>
      <c r="S1474" t="inlineStr">
        <is>
          <t>G000155</t>
        </is>
      </c>
      <c r="T1474" t="inlineStr">
        <is>
          <t>Vertical</t>
        </is>
      </c>
      <c r="U1474" t="n">
        <v>93</v>
      </c>
      <c r="V1474" t="b">
        <v>1</v>
      </c>
      <c r="W1474" t="inlineStr">
        <is>
          <t>ATF Fuel 2!G3:G95</t>
        </is>
      </c>
      <c r="X1474">
        <f>R[0]C[-1]/R[-1]C[-1]-1</f>
        <v/>
      </c>
    </row>
    <row r="1475">
      <c r="A1475" t="inlineStr">
        <is>
          <t>ATF Fuel 2</t>
        </is>
      </c>
      <c r="B1475" t="inlineStr">
        <is>
          <t>H86</t>
        </is>
      </c>
      <c r="C1475" t="n">
        <v>86</v>
      </c>
      <c r="D1475" t="n">
        <v>8</v>
      </c>
      <c r="E1475" t="inlineStr">
        <is>
          <t>Calculation</t>
        </is>
      </c>
      <c r="F1475" t="inlineStr">
        <is>
          <t>'=D86*F86</t>
        </is>
      </c>
      <c r="G1475" t="n">
        <v>3439.8494</v>
      </c>
      <c r="H1475" t="inlineStr"/>
      <c r="I1475" t="inlineStr">
        <is>
          <t>0</t>
        </is>
      </c>
      <c r="J1475" t="b">
        <v>0</v>
      </c>
      <c r="K1475" t="b">
        <v>0</v>
      </c>
      <c r="L1475" t="n">
        <v>11</v>
      </c>
      <c r="M1475" t="inlineStr">
        <is>
          <t>Values must be of type &lt;class 'str'&gt;</t>
        </is>
      </c>
      <c r="N1475" t="inlineStr">
        <is>
          <t>00000000</t>
        </is>
      </c>
      <c r="O1475" t="n">
        <v/>
      </c>
      <c r="R1475" t="b">
        <v>1</v>
      </c>
      <c r="S1475" t="inlineStr">
        <is>
          <t>G000152</t>
        </is>
      </c>
      <c r="T1475" t="inlineStr">
        <is>
          <t>Vertical</t>
        </is>
      </c>
      <c r="U1475" t="n">
        <v>98</v>
      </c>
      <c r="V1475" t="b">
        <v>1</v>
      </c>
      <c r="W1475" t="inlineStr">
        <is>
          <t>ATF Fuel 2!H2:H99</t>
        </is>
      </c>
      <c r="X1475">
        <f>R[0]C[-4]*R[0]C[-2]</f>
        <v/>
      </c>
    </row>
    <row r="1476">
      <c r="A1476" t="inlineStr">
        <is>
          <t>ATF Fuel 2</t>
        </is>
      </c>
      <c r="B1476" t="inlineStr">
        <is>
          <t>I86</t>
        </is>
      </c>
      <c r="C1476" t="n">
        <v>86</v>
      </c>
      <c r="D1476" t="n">
        <v>9</v>
      </c>
      <c r="E1476" t="inlineStr">
        <is>
          <t>Output</t>
        </is>
      </c>
      <c r="F1476" t="inlineStr">
        <is>
          <t>'=H86/H85-1</t>
        </is>
      </c>
      <c r="G1476" t="n">
        <v>-0.04817760366782009</v>
      </c>
      <c r="H1476" t="inlineStr"/>
      <c r="I1476" t="inlineStr">
        <is>
          <t>0%</t>
        </is>
      </c>
      <c r="J1476" t="b">
        <v>0</v>
      </c>
      <c r="K1476" t="b">
        <v>0</v>
      </c>
      <c r="L1476" t="n">
        <v>11</v>
      </c>
      <c r="M1476" t="inlineStr">
        <is>
          <t>FFFF0000</t>
        </is>
      </c>
      <c r="N1476" t="inlineStr">
        <is>
          <t>00000000</t>
        </is>
      </c>
      <c r="O1476" t="n">
        <v/>
      </c>
      <c r="R1476" t="b">
        <v>1</v>
      </c>
      <c r="S1476" t="inlineStr">
        <is>
          <t>G000156</t>
        </is>
      </c>
      <c r="T1476" t="inlineStr">
        <is>
          <t>Vertical</t>
        </is>
      </c>
      <c r="U1476" t="n">
        <v>97</v>
      </c>
      <c r="V1476" t="b">
        <v>1</v>
      </c>
      <c r="W1476" t="inlineStr">
        <is>
          <t>ATF Fuel 2!I3:I99</t>
        </is>
      </c>
      <c r="X1476">
        <f>R[0]C[-1]/R[-1]C[-1]-1</f>
        <v/>
      </c>
    </row>
    <row r="1477">
      <c r="A1477" t="inlineStr">
        <is>
          <t>ATF Fuel 2</t>
        </is>
      </c>
      <c r="B1477" t="inlineStr">
        <is>
          <t>J86</t>
        </is>
      </c>
      <c r="C1477" t="n">
        <v>86</v>
      </c>
      <c r="D1477" t="n">
        <v>10</v>
      </c>
      <c r="E1477" t="inlineStr">
        <is>
          <t>Input</t>
        </is>
      </c>
      <c r="F1477" t="n">
        <v/>
      </c>
      <c r="G1477" t="n">
        <v>50.25</v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11</v>
      </c>
      <c r="M1477" t="inlineStr">
        <is>
          <t>Values must be of type &lt;class 'str'&gt;</t>
        </is>
      </c>
      <c r="N1477" t="inlineStr">
        <is>
          <t>00000000</t>
        </is>
      </c>
      <c r="O1477" t="n">
        <v/>
      </c>
      <c r="R1477" t="b">
        <v>1</v>
      </c>
      <c r="S1477" t="n">
        <v/>
      </c>
      <c r="T1477" t="n">
        <v/>
      </c>
      <c r="U1477" t="n">
        <v/>
      </c>
      <c r="V1477" t="b">
        <v>0</v>
      </c>
      <c r="W1477" t="inlineStr"/>
      <c r="X1477" t="n">
        <v/>
      </c>
    </row>
    <row r="1478">
      <c r="A1478" t="inlineStr">
        <is>
          <t>ATF Fuel 2</t>
        </is>
      </c>
      <c r="B1478" t="inlineStr">
        <is>
          <t>K86</t>
        </is>
      </c>
      <c r="C1478" t="n">
        <v>86</v>
      </c>
      <c r="D1478" t="n">
        <v>11</v>
      </c>
      <c r="E1478" t="inlineStr">
        <is>
          <t>Output</t>
        </is>
      </c>
      <c r="F1478" t="inlineStr">
        <is>
          <t>'=J86/J85-1</t>
        </is>
      </c>
      <c r="G1478" t="n">
        <v>-0.06633221850613158</v>
      </c>
      <c r="H1478" t="inlineStr"/>
      <c r="I1478" t="inlineStr">
        <is>
          <t>0%</t>
        </is>
      </c>
      <c r="J1478" t="b">
        <v>0</v>
      </c>
      <c r="K1478" t="b">
        <v>0</v>
      </c>
      <c r="L1478" t="n">
        <v>11</v>
      </c>
      <c r="M1478" t="inlineStr">
        <is>
          <t>Values must be of type &lt;class 'str'&gt;</t>
        </is>
      </c>
      <c r="N1478" t="inlineStr">
        <is>
          <t>00000000</t>
        </is>
      </c>
      <c r="O1478" t="n">
        <v/>
      </c>
      <c r="R1478" t="b">
        <v>1</v>
      </c>
      <c r="S1478" t="inlineStr">
        <is>
          <t>G000157</t>
        </is>
      </c>
      <c r="T1478" t="inlineStr">
        <is>
          <t>Vertical</t>
        </is>
      </c>
      <c r="U1478" t="n">
        <v>93</v>
      </c>
      <c r="V1478" t="b">
        <v>1</v>
      </c>
      <c r="W1478" t="inlineStr">
        <is>
          <t>ATF Fuel 2!K3:K95</t>
        </is>
      </c>
      <c r="X1478">
        <f>R[0]C[-1]/R[-1]C[-1]-1</f>
        <v/>
      </c>
    </row>
    <row r="1479">
      <c r="A1479" t="inlineStr">
        <is>
          <t>ATF Fuel 2</t>
        </is>
      </c>
      <c r="B1479" t="inlineStr">
        <is>
          <t>L86</t>
        </is>
      </c>
      <c r="C1479" t="n">
        <v>86</v>
      </c>
      <c r="D1479" t="n">
        <v>12</v>
      </c>
      <c r="E1479" t="inlineStr">
        <is>
          <t>Input</t>
        </is>
      </c>
      <c r="F1479" t="n">
        <v/>
      </c>
      <c r="G1479" t="inlineStr">
        <is>
          <t>April 01, 2017</t>
        </is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11</v>
      </c>
      <c r="M1479" t="inlineStr">
        <is>
          <t>Values must be of type &lt;class 'str'&gt;</t>
        </is>
      </c>
      <c r="N1479" t="inlineStr">
        <is>
          <t>00000000</t>
        </is>
      </c>
      <c r="O1479" t="inlineStr">
        <is>
          <t>left</t>
        </is>
      </c>
      <c r="R1479" t="b">
        <v>1</v>
      </c>
      <c r="S1479" t="n">
        <v/>
      </c>
      <c r="T1479" t="n">
        <v/>
      </c>
      <c r="U1479" t="n">
        <v/>
      </c>
      <c r="V1479" t="b">
        <v>0</v>
      </c>
      <c r="W1479" t="inlineStr"/>
      <c r="X1479" t="n">
        <v/>
      </c>
    </row>
    <row r="1480">
      <c r="A1480" t="inlineStr">
        <is>
          <t>ATF Fuel 2</t>
        </is>
      </c>
      <c r="B1480" t="inlineStr">
        <is>
          <t>M86</t>
        </is>
      </c>
      <c r="C1480" t="n">
        <v>86</v>
      </c>
      <c r="D1480" t="n">
        <v>13</v>
      </c>
      <c r="E1480" t="inlineStr">
        <is>
          <t>Calculation</t>
        </is>
      </c>
      <c r="F1480" t="inlineStr">
        <is>
          <t>'=(1+(B86/B85)-1)*M85</t>
        </is>
      </c>
      <c r="G1480" t="n">
        <v>120.0187931948887</v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11</v>
      </c>
      <c r="M1480" t="inlineStr">
        <is>
          <t>Values must be of type &lt;class 'str'&gt;</t>
        </is>
      </c>
      <c r="N1480" t="inlineStr">
        <is>
          <t>00000000</t>
        </is>
      </c>
      <c r="O1480" t="inlineStr">
        <is>
          <t>left</t>
        </is>
      </c>
      <c r="R1480" t="b">
        <v>1</v>
      </c>
      <c r="S1480" t="inlineStr">
        <is>
          <t>G000159</t>
        </is>
      </c>
      <c r="T1480" t="inlineStr">
        <is>
          <t>Vertical</t>
        </is>
      </c>
      <c r="U1480" t="n">
        <v>92</v>
      </c>
      <c r="V1480" t="b">
        <v>1</v>
      </c>
      <c r="W1480" t="inlineStr">
        <is>
          <t>ATF Fuel 2!M3:M94</t>
        </is>
      </c>
      <c r="X1480">
        <f>(1+(R[0]C[-11]/R[-1]C[-11])-1)*R[-1]C[0]</f>
        <v/>
      </c>
    </row>
    <row r="1481">
      <c r="A1481" t="inlineStr">
        <is>
          <t>ATF Fuel 2</t>
        </is>
      </c>
      <c r="B1481" t="inlineStr">
        <is>
          <t>N86</t>
        </is>
      </c>
      <c r="C1481" t="n">
        <v>86</v>
      </c>
      <c r="D1481" t="n">
        <v>14</v>
      </c>
      <c r="E1481" t="inlineStr">
        <is>
          <t>Calculation</t>
        </is>
      </c>
      <c r="F1481" t="inlineStr">
        <is>
          <t>'=(1+(F86/F85)-1)*N85</t>
        </is>
      </c>
      <c r="G1481" t="n">
        <v>64.23817015611773</v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11</v>
      </c>
      <c r="M1481" t="inlineStr">
        <is>
          <t>Values must be of type &lt;class 'str'&gt;</t>
        </is>
      </c>
      <c r="N1481" t="inlineStr">
        <is>
          <t>00000000</t>
        </is>
      </c>
      <c r="O1481" t="inlineStr">
        <is>
          <t>left</t>
        </is>
      </c>
      <c r="R1481" t="b">
        <v>1</v>
      </c>
      <c r="S1481" t="inlineStr">
        <is>
          <t>G000160</t>
        </is>
      </c>
      <c r="T1481" t="inlineStr">
        <is>
          <t>Vertical</t>
        </is>
      </c>
      <c r="U1481" t="n">
        <v>92</v>
      </c>
      <c r="V1481" t="b">
        <v>1</v>
      </c>
      <c r="W1481" t="inlineStr">
        <is>
          <t>ATF Fuel 2!N3:N94</t>
        </is>
      </c>
      <c r="X1481">
        <f>(1+(R[0]C[-8]/R[-1]C[-8])-1)*R[-1]C[0]</f>
        <v/>
      </c>
    </row>
    <row r="1482">
      <c r="A1482" t="inlineStr">
        <is>
          <t>ATF Fuel 2</t>
        </is>
      </c>
      <c r="B1482" t="inlineStr">
        <is>
          <t>O86</t>
        </is>
      </c>
      <c r="C1482" t="n">
        <v>86</v>
      </c>
      <c r="D1482" t="n">
        <v>15</v>
      </c>
      <c r="E1482" t="inlineStr">
        <is>
          <t>Calculation</t>
        </is>
      </c>
      <c r="F1482" t="inlineStr">
        <is>
          <t>'=(1+(J86/J85)-1)*O85</t>
        </is>
      </c>
      <c r="G1482" t="n">
        <v>59.44635040813915</v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11</v>
      </c>
      <c r="M1482" t="inlineStr">
        <is>
          <t>Values must be of type &lt;class 'str'&gt;</t>
        </is>
      </c>
      <c r="N1482" t="inlineStr">
        <is>
          <t>00000000</t>
        </is>
      </c>
      <c r="O1482" t="inlineStr">
        <is>
          <t>left</t>
        </is>
      </c>
      <c r="R1482" t="b">
        <v>1</v>
      </c>
      <c r="S1482" t="inlineStr">
        <is>
          <t>G000162</t>
        </is>
      </c>
      <c r="T1482" t="inlineStr">
        <is>
          <t>Vertical</t>
        </is>
      </c>
      <c r="U1482" t="n">
        <v>92</v>
      </c>
      <c r="V1482" t="b">
        <v>1</v>
      </c>
      <c r="W1482" t="inlineStr">
        <is>
          <t>ATF Fuel 2!O3:O94</t>
        </is>
      </c>
      <c r="X1482">
        <f>(1+(R[0]C[-5]/R[-1]C[-5])-1)*R[-1]C[0]</f>
        <v/>
      </c>
    </row>
    <row r="1483">
      <c r="A1483" t="inlineStr">
        <is>
          <t>ATF Fuel 2</t>
        </is>
      </c>
      <c r="B1483" t="inlineStr">
        <is>
          <t>P86</t>
        </is>
      </c>
      <c r="C1483" t="n">
        <v>86</v>
      </c>
      <c r="D1483" t="n">
        <v>16</v>
      </c>
      <c r="E1483" t="inlineStr">
        <is>
          <t>Calculation</t>
        </is>
      </c>
      <c r="F1483" t="inlineStr">
        <is>
          <t>'=(1+(H86/H85)-1)*P85</t>
        </is>
      </c>
      <c r="G1483" t="n">
        <v>93.00613532098312</v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11</v>
      </c>
      <c r="M1483" t="inlineStr">
        <is>
          <t>Values must be of type &lt;class 'str'&gt;</t>
        </is>
      </c>
      <c r="N1483" t="inlineStr">
        <is>
          <t>00000000</t>
        </is>
      </c>
      <c r="O1483" t="inlineStr">
        <is>
          <t>left</t>
        </is>
      </c>
      <c r="R1483" t="b">
        <v>1</v>
      </c>
      <c r="S1483" t="inlineStr">
        <is>
          <t>G000161</t>
        </is>
      </c>
      <c r="T1483" t="inlineStr">
        <is>
          <t>Vertical</t>
        </is>
      </c>
      <c r="U1483" t="n">
        <v>92</v>
      </c>
      <c r="V1483" t="b">
        <v>1</v>
      </c>
      <c r="W1483" t="inlineStr">
        <is>
          <t>ATF Fuel 2!P3:P94</t>
        </is>
      </c>
      <c r="X1483">
        <f>(1+(R[0]C[-8]/R[-1]C[-8])-1)*R[-1]C[0]</f>
        <v/>
      </c>
    </row>
    <row r="1484">
      <c r="A1484" t="inlineStr">
        <is>
          <t>ATF Fuel 2</t>
        </is>
      </c>
      <c r="B1484" t="inlineStr">
        <is>
          <t>Q86</t>
        </is>
      </c>
      <c r="C1484" t="n">
        <v>86</v>
      </c>
      <c r="D1484" t="n">
        <v>17</v>
      </c>
      <c r="E1484" t="inlineStr">
        <is>
          <t>Output</t>
        </is>
      </c>
      <c r="F1484" t="inlineStr">
        <is>
          <t>'=M86/N86-1</t>
        </is>
      </c>
      <c r="G1484" t="n">
        <v>0.8683407840417552</v>
      </c>
      <c r="H1484" t="inlineStr"/>
      <c r="I1484" t="inlineStr">
        <is>
          <t>0.0%</t>
        </is>
      </c>
      <c r="J1484" t="b">
        <v>0</v>
      </c>
      <c r="K1484" t="b">
        <v>0</v>
      </c>
      <c r="L1484" t="n">
        <v>11</v>
      </c>
      <c r="M1484" t="inlineStr">
        <is>
          <t>Values must be of type &lt;class 'str'&gt;</t>
        </is>
      </c>
      <c r="N1484" t="inlineStr">
        <is>
          <t>00000000</t>
        </is>
      </c>
      <c r="O1484" t="n">
        <v/>
      </c>
      <c r="R1484" t="b">
        <v>1</v>
      </c>
      <c r="S1484" t="inlineStr">
        <is>
          <t>G000153</t>
        </is>
      </c>
      <c r="T1484" t="inlineStr">
        <is>
          <t>Vertical</t>
        </is>
      </c>
      <c r="U1484" t="n">
        <v>93</v>
      </c>
      <c r="V1484" t="b">
        <v>1</v>
      </c>
      <c r="W1484" t="inlineStr">
        <is>
          <t>ATF Fuel 2!Q2:Q94</t>
        </is>
      </c>
      <c r="X1484">
        <f>R[0]C[-4]/R[0]C[-3]-1</f>
        <v/>
      </c>
    </row>
    <row r="1485">
      <c r="A1485" t="inlineStr">
        <is>
          <t>ATF Fuel 2</t>
        </is>
      </c>
      <c r="B1485" t="inlineStr">
        <is>
          <t>A87</t>
        </is>
      </c>
      <c r="C1485" t="n">
        <v>87</v>
      </c>
      <c r="D1485" t="n">
        <v>1</v>
      </c>
      <c r="E1485" t="inlineStr">
        <is>
          <t>Input</t>
        </is>
      </c>
      <c r="F1485" t="n">
        <v/>
      </c>
      <c r="G1485" t="inlineStr">
        <is>
          <t>May 01, 2017</t>
        </is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11</v>
      </c>
      <c r="M1485" t="inlineStr">
        <is>
          <t>Values must be of type &lt;class 'str'&gt;</t>
        </is>
      </c>
      <c r="N1485" t="inlineStr">
        <is>
          <t>00000000</t>
        </is>
      </c>
      <c r="O1485" t="n">
        <v/>
      </c>
      <c r="R1485" t="b">
        <v>1</v>
      </c>
      <c r="S1485" t="n">
        <v/>
      </c>
      <c r="T1485" t="n">
        <v/>
      </c>
      <c r="U1485" t="n">
        <v/>
      </c>
      <c r="V1485" t="b">
        <v>0</v>
      </c>
      <c r="W1485" t="inlineStr"/>
      <c r="X1485" t="n">
        <v/>
      </c>
    </row>
    <row r="1486">
      <c r="A1486" t="inlineStr">
        <is>
          <t>ATF Fuel 2</t>
        </is>
      </c>
      <c r="B1486" t="inlineStr">
        <is>
          <t>B87</t>
        </is>
      </c>
      <c r="C1486" t="n">
        <v>87</v>
      </c>
      <c r="D1486" t="n">
        <v>2</v>
      </c>
      <c r="E1486" t="inlineStr">
        <is>
          <t>Input</t>
        </is>
      </c>
      <c r="F1486" t="n">
        <v/>
      </c>
      <c r="G1486" t="n">
        <v>53435.25</v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11</v>
      </c>
      <c r="M1486" t="inlineStr">
        <is>
          <t>Values must be of type &lt;class 'str'&gt;</t>
        </is>
      </c>
      <c r="N1486" t="inlineStr">
        <is>
          <t>00000000</t>
        </is>
      </c>
      <c r="O1486" t="n">
        <v/>
      </c>
      <c r="R1486" t="b">
        <v>1</v>
      </c>
      <c r="S1486" t="n">
        <v/>
      </c>
      <c r="T1486" t="n">
        <v/>
      </c>
      <c r="U1486" t="n">
        <v/>
      </c>
      <c r="V1486" t="b">
        <v>0</v>
      </c>
      <c r="W1486" t="inlineStr"/>
      <c r="X1486" t="n">
        <v/>
      </c>
    </row>
    <row r="1487">
      <c r="A1487" t="inlineStr">
        <is>
          <t>ATF Fuel 2</t>
        </is>
      </c>
      <c r="B1487" t="inlineStr">
        <is>
          <t>C87</t>
        </is>
      </c>
      <c r="C1487" t="n">
        <v>87</v>
      </c>
      <c r="D1487" t="n">
        <v>3</v>
      </c>
      <c r="E1487" t="inlineStr">
        <is>
          <t>Output</t>
        </is>
      </c>
      <c r="F1487" t="inlineStr">
        <is>
          <t>'=B87/B86-1</t>
        </is>
      </c>
      <c r="G1487" t="n">
        <v>0.00362022820115504</v>
      </c>
      <c r="H1487" t="inlineStr"/>
      <c r="I1487" t="inlineStr">
        <is>
          <t>0%</t>
        </is>
      </c>
      <c r="J1487" t="b">
        <v>0</v>
      </c>
      <c r="K1487" t="b">
        <v>0</v>
      </c>
      <c r="L1487" t="n">
        <v>11</v>
      </c>
      <c r="M1487" t="n">
        <v/>
      </c>
      <c r="N1487" t="inlineStr">
        <is>
          <t>00000000</t>
        </is>
      </c>
      <c r="O1487" t="n">
        <v/>
      </c>
      <c r="R1487" t="b">
        <v>1</v>
      </c>
      <c r="S1487" t="inlineStr">
        <is>
          <t>G000154</t>
        </is>
      </c>
      <c r="T1487" t="inlineStr">
        <is>
          <t>Vertical</t>
        </is>
      </c>
      <c r="U1487" t="n">
        <v>92</v>
      </c>
      <c r="V1487" t="b">
        <v>1</v>
      </c>
      <c r="W1487" t="inlineStr">
        <is>
          <t>ATF Fuel 2!C3:C94</t>
        </is>
      </c>
      <c r="X1487">
        <f>R[0]C[-1]/R[-1]C[-1]-1</f>
        <v/>
      </c>
    </row>
    <row r="1488">
      <c r="A1488" t="inlineStr">
        <is>
          <t>ATF Fuel 2</t>
        </is>
      </c>
      <c r="B1488" t="inlineStr">
        <is>
          <t>D87</t>
        </is>
      </c>
      <c r="C1488" t="n">
        <v>87</v>
      </c>
      <c r="D1488" t="n">
        <v>4</v>
      </c>
      <c r="E1488" t="inlineStr">
        <is>
          <t>Input</t>
        </is>
      </c>
      <c r="F1488" t="n">
        <v/>
      </c>
      <c r="G1488" t="n">
        <v>64.185</v>
      </c>
      <c r="H1488" t="inlineStr"/>
      <c r="I1488" t="inlineStr">
        <is>
          <t>General</t>
        </is>
      </c>
      <c r="J1488" t="b">
        <v>0</v>
      </c>
      <c r="K1488" t="b">
        <v>0</v>
      </c>
      <c r="L1488" t="n">
        <v>11</v>
      </c>
      <c r="M1488" t="inlineStr">
        <is>
          <t>Values must be of type &lt;class 'str'&gt;</t>
        </is>
      </c>
      <c r="N1488" t="inlineStr">
        <is>
          <t>00000000</t>
        </is>
      </c>
      <c r="O1488" t="n">
        <v/>
      </c>
      <c r="R1488" t="b">
        <v>1</v>
      </c>
      <c r="S1488" t="n">
        <v/>
      </c>
      <c r="T1488" t="n">
        <v/>
      </c>
      <c r="U1488" t="n">
        <v/>
      </c>
      <c r="V1488" t="b">
        <v>0</v>
      </c>
      <c r="W1488" t="inlineStr"/>
      <c r="X1488" t="n">
        <v/>
      </c>
    </row>
    <row r="1489">
      <c r="A1489" t="inlineStr">
        <is>
          <t>ATF Fuel 2</t>
        </is>
      </c>
      <c r="B1489" t="inlineStr">
        <is>
          <t>E87</t>
        </is>
      </c>
      <c r="C1489" t="n">
        <v>87</v>
      </c>
      <c r="D1489" t="n">
        <v>5</v>
      </c>
      <c r="E1489" t="inlineStr">
        <is>
          <t>Output</t>
        </is>
      </c>
      <c r="F1489" t="inlineStr">
        <is>
          <t>'=B87/B86-1</t>
        </is>
      </c>
      <c r="G1489" t="n">
        <v>0.00362022820115504</v>
      </c>
      <c r="H1489" t="inlineStr"/>
      <c r="I1489" t="inlineStr">
        <is>
          <t>0%</t>
        </is>
      </c>
      <c r="J1489" t="b">
        <v>0</v>
      </c>
      <c r="K1489" t="b">
        <v>0</v>
      </c>
      <c r="L1489" t="n">
        <v>11</v>
      </c>
      <c r="M1489" t="inlineStr">
        <is>
          <t>Values must be of type &lt;class 'str'&gt;</t>
        </is>
      </c>
      <c r="N1489" t="inlineStr">
        <is>
          <t>00000000</t>
        </is>
      </c>
      <c r="O1489" t="n">
        <v/>
      </c>
      <c r="R1489" t="b">
        <v>1</v>
      </c>
      <c r="S1489" t="inlineStr">
        <is>
          <t>G000158</t>
        </is>
      </c>
      <c r="T1489" t="inlineStr">
        <is>
          <t>Vertical</t>
        </is>
      </c>
      <c r="U1489" t="n">
        <v>92</v>
      </c>
      <c r="V1489" t="b">
        <v>1</v>
      </c>
      <c r="W1489" t="inlineStr">
        <is>
          <t>ATF Fuel 2!E3:E94</t>
        </is>
      </c>
      <c r="X1489">
        <f>R[0]C[-3]/R[-1]C[-3]-1</f>
        <v/>
      </c>
    </row>
    <row r="1490">
      <c r="A1490" t="inlineStr">
        <is>
          <t>ATF Fuel 2</t>
        </is>
      </c>
      <c r="B1490" t="inlineStr">
        <is>
          <t>F87</t>
        </is>
      </c>
      <c r="C1490" t="n">
        <v>87</v>
      </c>
      <c r="D1490" t="n">
        <v>6</v>
      </c>
      <c r="E1490" t="inlineStr">
        <is>
          <t>Input</t>
        </is>
      </c>
      <c r="F1490" t="n">
        <v/>
      </c>
      <c r="G1490" t="n">
        <v>49.31</v>
      </c>
      <c r="H1490" t="inlineStr"/>
      <c r="I1490" t="inlineStr">
        <is>
          <t>General</t>
        </is>
      </c>
      <c r="J1490" t="b">
        <v>0</v>
      </c>
      <c r="K1490" t="b">
        <v>0</v>
      </c>
      <c r="L1490" t="n">
        <v>11</v>
      </c>
      <c r="M1490" t="inlineStr">
        <is>
          <t>Values must be of type &lt;class 'str'&gt;</t>
        </is>
      </c>
      <c r="N1490" t="inlineStr">
        <is>
          <t>00000000</t>
        </is>
      </c>
      <c r="O1490" t="n">
        <v/>
      </c>
      <c r="R1490" t="b">
        <v>1</v>
      </c>
      <c r="S1490" t="n">
        <v/>
      </c>
      <c r="T1490" t="n">
        <v/>
      </c>
      <c r="U1490" t="n">
        <v/>
      </c>
      <c r="V1490" t="b">
        <v>0</v>
      </c>
      <c r="W1490" t="inlineStr"/>
      <c r="X1490" t="n">
        <v/>
      </c>
    </row>
    <row r="1491">
      <c r="A1491" t="inlineStr">
        <is>
          <t>ATF Fuel 2</t>
        </is>
      </c>
      <c r="B1491" t="inlineStr">
        <is>
          <t>G87</t>
        </is>
      </c>
      <c r="C1491" t="n">
        <v>87</v>
      </c>
      <c r="D1491" t="n">
        <v>7</v>
      </c>
      <c r="E1491" t="inlineStr">
        <is>
          <t>Output</t>
        </is>
      </c>
      <c r="F1491" t="inlineStr">
        <is>
          <t>'=F87/F86-1</t>
        </is>
      </c>
      <c r="G1491" t="n">
        <v>-0.07102486812358699</v>
      </c>
      <c r="H1491" t="inlineStr"/>
      <c r="I1491" t="inlineStr">
        <is>
          <t>0%</t>
        </is>
      </c>
      <c r="J1491" t="b">
        <v>0</v>
      </c>
      <c r="K1491" t="b">
        <v>0</v>
      </c>
      <c r="L1491" t="n">
        <v>11</v>
      </c>
      <c r="M1491" t="inlineStr">
        <is>
          <t>Values must be of type &lt;class 'str'&gt;</t>
        </is>
      </c>
      <c r="N1491" t="inlineStr">
        <is>
          <t>00000000</t>
        </is>
      </c>
      <c r="O1491" t="n">
        <v/>
      </c>
      <c r="R1491" t="b">
        <v>1</v>
      </c>
      <c r="S1491" t="inlineStr">
        <is>
          <t>G000155</t>
        </is>
      </c>
      <c r="T1491" t="inlineStr">
        <is>
          <t>Vertical</t>
        </is>
      </c>
      <c r="U1491" t="n">
        <v>93</v>
      </c>
      <c r="V1491" t="b">
        <v>1</v>
      </c>
      <c r="W1491" t="inlineStr">
        <is>
          <t>ATF Fuel 2!G3:G95</t>
        </is>
      </c>
      <c r="X1491">
        <f>R[0]C[-1]/R[-1]C[-1]-1</f>
        <v/>
      </c>
    </row>
    <row r="1492">
      <c r="A1492" t="inlineStr">
        <is>
          <t>ATF Fuel 2</t>
        </is>
      </c>
      <c r="B1492" t="inlineStr">
        <is>
          <t>H87</t>
        </is>
      </c>
      <c r="C1492" t="n">
        <v>87</v>
      </c>
      <c r="D1492" t="n">
        <v>8</v>
      </c>
      <c r="E1492" t="inlineStr">
        <is>
          <t>Calculation</t>
        </is>
      </c>
      <c r="F1492" t="inlineStr">
        <is>
          <t>'=D87*F87</t>
        </is>
      </c>
      <c r="G1492" t="n">
        <v>3164.96235</v>
      </c>
      <c r="H1492" t="inlineStr"/>
      <c r="I1492" t="inlineStr">
        <is>
          <t>0</t>
        </is>
      </c>
      <c r="J1492" t="b">
        <v>0</v>
      </c>
      <c r="K1492" t="b">
        <v>0</v>
      </c>
      <c r="L1492" t="n">
        <v>11</v>
      </c>
      <c r="M1492" t="inlineStr">
        <is>
          <t>Values must be of type &lt;class 'str'&gt;</t>
        </is>
      </c>
      <c r="N1492" t="inlineStr">
        <is>
          <t>00000000</t>
        </is>
      </c>
      <c r="O1492" t="n">
        <v/>
      </c>
      <c r="R1492" t="b">
        <v>1</v>
      </c>
      <c r="S1492" t="inlineStr">
        <is>
          <t>G000152</t>
        </is>
      </c>
      <c r="T1492" t="inlineStr">
        <is>
          <t>Vertical</t>
        </is>
      </c>
      <c r="U1492" t="n">
        <v>98</v>
      </c>
      <c r="V1492" t="b">
        <v>1</v>
      </c>
      <c r="W1492" t="inlineStr">
        <is>
          <t>ATF Fuel 2!H2:H99</t>
        </is>
      </c>
      <c r="X1492">
        <f>R[0]C[-4]*R[0]C[-2]</f>
        <v/>
      </c>
    </row>
    <row r="1493">
      <c r="A1493" t="inlineStr">
        <is>
          <t>ATF Fuel 2</t>
        </is>
      </c>
      <c r="B1493" t="inlineStr">
        <is>
          <t>I87</t>
        </is>
      </c>
      <c r="C1493" t="n">
        <v>87</v>
      </c>
      <c r="D1493" t="n">
        <v>9</v>
      </c>
      <c r="E1493" t="inlineStr">
        <is>
          <t>Output</t>
        </is>
      </c>
      <c r="F1493" t="inlineStr">
        <is>
          <t>'=H87/H86-1</t>
        </is>
      </c>
      <c r="G1493" t="n">
        <v>-0.07991252465878296</v>
      </c>
      <c r="H1493" t="inlineStr"/>
      <c r="I1493" t="inlineStr">
        <is>
          <t>0%</t>
        </is>
      </c>
      <c r="J1493" t="b">
        <v>0</v>
      </c>
      <c r="K1493" t="b">
        <v>0</v>
      </c>
      <c r="L1493" t="n">
        <v>11</v>
      </c>
      <c r="M1493" t="inlineStr">
        <is>
          <t>FFFF0000</t>
        </is>
      </c>
      <c r="N1493" t="inlineStr">
        <is>
          <t>00000000</t>
        </is>
      </c>
      <c r="O1493" t="n">
        <v/>
      </c>
      <c r="R1493" t="b">
        <v>1</v>
      </c>
      <c r="S1493" t="inlineStr">
        <is>
          <t>G000156</t>
        </is>
      </c>
      <c r="T1493" t="inlineStr">
        <is>
          <t>Vertical</t>
        </is>
      </c>
      <c r="U1493" t="n">
        <v>97</v>
      </c>
      <c r="V1493" t="b">
        <v>1</v>
      </c>
      <c r="W1493" t="inlineStr">
        <is>
          <t>ATF Fuel 2!I3:I99</t>
        </is>
      </c>
      <c r="X1493">
        <f>R[0]C[-1]/R[-1]C[-1]-1</f>
        <v/>
      </c>
    </row>
    <row r="1494">
      <c r="A1494" t="inlineStr">
        <is>
          <t>ATF Fuel 2</t>
        </is>
      </c>
      <c r="B1494" t="inlineStr">
        <is>
          <t>J87</t>
        </is>
      </c>
      <c r="C1494" t="n">
        <v>87</v>
      </c>
      <c r="D1494" t="n">
        <v>10</v>
      </c>
      <c r="E1494" t="inlineStr">
        <is>
          <t>Input</t>
        </is>
      </c>
      <c r="F1494" t="n">
        <v/>
      </c>
      <c r="G1494" t="n">
        <v>48.83</v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11</v>
      </c>
      <c r="M1494" t="inlineStr">
        <is>
          <t>Values must be of type &lt;class 'str'&gt;</t>
        </is>
      </c>
      <c r="N1494" t="inlineStr">
        <is>
          <t>00000000</t>
        </is>
      </c>
      <c r="O1494" t="n">
        <v/>
      </c>
      <c r="R1494" t="b">
        <v>1</v>
      </c>
      <c r="S1494" t="n">
        <v/>
      </c>
      <c r="T1494" t="n">
        <v/>
      </c>
      <c r="U1494" t="n">
        <v/>
      </c>
      <c r="V1494" t="b">
        <v>0</v>
      </c>
      <c r="W1494" t="inlineStr"/>
      <c r="X1494" t="n">
        <v/>
      </c>
    </row>
    <row r="1495">
      <c r="A1495" t="inlineStr">
        <is>
          <t>ATF Fuel 2</t>
        </is>
      </c>
      <c r="B1495" t="inlineStr">
        <is>
          <t>K87</t>
        </is>
      </c>
      <c r="C1495" t="n">
        <v>87</v>
      </c>
      <c r="D1495" t="n">
        <v>11</v>
      </c>
      <c r="E1495" t="inlineStr">
        <is>
          <t>Output</t>
        </is>
      </c>
      <c r="F1495" t="inlineStr">
        <is>
          <t>'=J87/J86-1</t>
        </is>
      </c>
      <c r="G1495" t="n">
        <v>-0.02825870646766171</v>
      </c>
      <c r="H1495" t="inlineStr"/>
      <c r="I1495" t="inlineStr">
        <is>
          <t>0%</t>
        </is>
      </c>
      <c r="J1495" t="b">
        <v>0</v>
      </c>
      <c r="K1495" t="b">
        <v>0</v>
      </c>
      <c r="L1495" t="n">
        <v>11</v>
      </c>
      <c r="M1495" t="inlineStr">
        <is>
          <t>Values must be of type &lt;class 'str'&gt;</t>
        </is>
      </c>
      <c r="N1495" t="inlineStr">
        <is>
          <t>00000000</t>
        </is>
      </c>
      <c r="O1495" t="n">
        <v/>
      </c>
      <c r="R1495" t="b">
        <v>1</v>
      </c>
      <c r="S1495" t="inlineStr">
        <is>
          <t>G000157</t>
        </is>
      </c>
      <c r="T1495" t="inlineStr">
        <is>
          <t>Vertical</t>
        </is>
      </c>
      <c r="U1495" t="n">
        <v>93</v>
      </c>
      <c r="V1495" t="b">
        <v>1</v>
      </c>
      <c r="W1495" t="inlineStr">
        <is>
          <t>ATF Fuel 2!K3:K95</t>
        </is>
      </c>
      <c r="X1495">
        <f>R[0]C[-1]/R[-1]C[-1]-1</f>
        <v/>
      </c>
    </row>
    <row r="1496">
      <c r="A1496" t="inlineStr">
        <is>
          <t>ATF Fuel 2</t>
        </is>
      </c>
      <c r="B1496" t="inlineStr">
        <is>
          <t>L87</t>
        </is>
      </c>
      <c r="C1496" t="n">
        <v>87</v>
      </c>
      <c r="D1496" t="n">
        <v>12</v>
      </c>
      <c r="E1496" t="inlineStr">
        <is>
          <t>Input</t>
        </is>
      </c>
      <c r="F1496" t="n">
        <v/>
      </c>
      <c r="G1496" t="inlineStr">
        <is>
          <t>May 01, 2017</t>
        </is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11</v>
      </c>
      <c r="M1496" t="inlineStr">
        <is>
          <t>Values must be of type &lt;class 'str'&gt;</t>
        </is>
      </c>
      <c r="N1496" t="inlineStr">
        <is>
          <t>00000000</t>
        </is>
      </c>
      <c r="O1496" t="inlineStr">
        <is>
          <t>left</t>
        </is>
      </c>
      <c r="R1496" t="b">
        <v>1</v>
      </c>
      <c r="S1496" t="n">
        <v/>
      </c>
      <c r="T1496" t="n">
        <v/>
      </c>
      <c r="U1496" t="n">
        <v/>
      </c>
      <c r="V1496" t="b">
        <v>0</v>
      </c>
      <c r="W1496" t="inlineStr"/>
      <c r="X1496" t="n">
        <v/>
      </c>
    </row>
    <row r="1497">
      <c r="A1497" t="inlineStr">
        <is>
          <t>ATF Fuel 2</t>
        </is>
      </c>
      <c r="B1497" t="inlineStr">
        <is>
          <t>M87</t>
        </is>
      </c>
      <c r="C1497" t="n">
        <v>87</v>
      </c>
      <c r="D1497" t="n">
        <v>13</v>
      </c>
      <c r="E1497" t="inlineStr">
        <is>
          <t>Calculation</t>
        </is>
      </c>
      <c r="F1497" t="inlineStr">
        <is>
          <t>'=(1+(B87/B86)-1)*M86</t>
        </is>
      </c>
      <c r="G1497" t="n">
        <v>120.4532886146814</v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11</v>
      </c>
      <c r="M1497" t="inlineStr">
        <is>
          <t>Values must be of type &lt;class 'str'&gt;</t>
        </is>
      </c>
      <c r="N1497" t="inlineStr">
        <is>
          <t>00000000</t>
        </is>
      </c>
      <c r="O1497" t="inlineStr">
        <is>
          <t>left</t>
        </is>
      </c>
      <c r="R1497" t="b">
        <v>1</v>
      </c>
      <c r="S1497" t="inlineStr">
        <is>
          <t>G000159</t>
        </is>
      </c>
      <c r="T1497" t="inlineStr">
        <is>
          <t>Vertical</t>
        </is>
      </c>
      <c r="U1497" t="n">
        <v>92</v>
      </c>
      <c r="V1497" t="b">
        <v>1</v>
      </c>
      <c r="W1497" t="inlineStr">
        <is>
          <t>ATF Fuel 2!M3:M94</t>
        </is>
      </c>
      <c r="X1497">
        <f>(1+(R[0]C[-11]/R[-1]C[-11])-1)*R[-1]C[0]</f>
        <v/>
      </c>
    </row>
    <row r="1498">
      <c r="A1498" t="inlineStr">
        <is>
          <t>ATF Fuel 2</t>
        </is>
      </c>
      <c r="B1498" t="inlineStr">
        <is>
          <t>N87</t>
        </is>
      </c>
      <c r="C1498" t="n">
        <v>87</v>
      </c>
      <c r="D1498" t="n">
        <v>14</v>
      </c>
      <c r="E1498" t="inlineStr">
        <is>
          <t>Calculation</t>
        </is>
      </c>
      <c r="F1498" t="inlineStr">
        <is>
          <t>'=(1+(F87/F86)-1)*N86</t>
        </is>
      </c>
      <c r="G1498" t="n">
        <v>59.67566259227893</v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11</v>
      </c>
      <c r="M1498" t="inlineStr">
        <is>
          <t>Values must be of type &lt;class 'str'&gt;</t>
        </is>
      </c>
      <c r="N1498" t="inlineStr">
        <is>
          <t>00000000</t>
        </is>
      </c>
      <c r="O1498" t="inlineStr">
        <is>
          <t>left</t>
        </is>
      </c>
      <c r="R1498" t="b">
        <v>1</v>
      </c>
      <c r="S1498" t="inlineStr">
        <is>
          <t>G000160</t>
        </is>
      </c>
      <c r="T1498" t="inlineStr">
        <is>
          <t>Vertical</t>
        </is>
      </c>
      <c r="U1498" t="n">
        <v>92</v>
      </c>
      <c r="V1498" t="b">
        <v>1</v>
      </c>
      <c r="W1498" t="inlineStr">
        <is>
          <t>ATF Fuel 2!N3:N94</t>
        </is>
      </c>
      <c r="X1498">
        <f>(1+(R[0]C[-8]/R[-1]C[-8])-1)*R[-1]C[0]</f>
        <v/>
      </c>
    </row>
    <row r="1499">
      <c r="A1499" t="inlineStr">
        <is>
          <t>ATF Fuel 2</t>
        </is>
      </c>
      <c r="B1499" t="inlineStr">
        <is>
          <t>O87</t>
        </is>
      </c>
      <c r="C1499" t="n">
        <v>87</v>
      </c>
      <c r="D1499" t="n">
        <v>15</v>
      </c>
      <c r="E1499" t="inlineStr">
        <is>
          <t>Calculation</t>
        </is>
      </c>
      <c r="F1499" t="inlineStr">
        <is>
          <t>'=(1+(J87/J86)-1)*O86</t>
        </is>
      </c>
      <c r="G1499" t="n">
        <v>57.76647344138178</v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11</v>
      </c>
      <c r="M1499" t="inlineStr">
        <is>
          <t>Values must be of type &lt;class 'str'&gt;</t>
        </is>
      </c>
      <c r="N1499" t="inlineStr">
        <is>
          <t>00000000</t>
        </is>
      </c>
      <c r="O1499" t="inlineStr">
        <is>
          <t>left</t>
        </is>
      </c>
      <c r="R1499" t="b">
        <v>1</v>
      </c>
      <c r="S1499" t="inlineStr">
        <is>
          <t>G000162</t>
        </is>
      </c>
      <c r="T1499" t="inlineStr">
        <is>
          <t>Vertical</t>
        </is>
      </c>
      <c r="U1499" t="n">
        <v>92</v>
      </c>
      <c r="V1499" t="b">
        <v>1</v>
      </c>
      <c r="W1499" t="inlineStr">
        <is>
          <t>ATF Fuel 2!O3:O94</t>
        </is>
      </c>
      <c r="X1499">
        <f>(1+(R[0]C[-5]/R[-1]C[-5])-1)*R[-1]C[0]</f>
        <v/>
      </c>
    </row>
    <row r="1500">
      <c r="A1500" t="inlineStr">
        <is>
          <t>ATF Fuel 2</t>
        </is>
      </c>
      <c r="B1500" t="inlineStr">
        <is>
          <t>P87</t>
        </is>
      </c>
      <c r="C1500" t="n">
        <v>87</v>
      </c>
      <c r="D1500" t="n">
        <v>16</v>
      </c>
      <c r="E1500" t="inlineStr">
        <is>
          <t>Calculation</t>
        </is>
      </c>
      <c r="F1500" t="inlineStr">
        <is>
          <t>'=(1+(H87/H86)-1)*P86</t>
        </is>
      </c>
      <c r="G1500" t="n">
        <v>85.57378023872697</v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11</v>
      </c>
      <c r="M1500" t="inlineStr">
        <is>
          <t>Values must be of type &lt;class 'str'&gt;</t>
        </is>
      </c>
      <c r="N1500" t="inlineStr">
        <is>
          <t>00000000</t>
        </is>
      </c>
      <c r="O1500" t="inlineStr">
        <is>
          <t>left</t>
        </is>
      </c>
      <c r="R1500" t="b">
        <v>1</v>
      </c>
      <c r="S1500" t="inlineStr">
        <is>
          <t>G000161</t>
        </is>
      </c>
      <c r="T1500" t="inlineStr">
        <is>
          <t>Vertical</t>
        </is>
      </c>
      <c r="U1500" t="n">
        <v>92</v>
      </c>
      <c r="V1500" t="b">
        <v>1</v>
      </c>
      <c r="W1500" t="inlineStr">
        <is>
          <t>ATF Fuel 2!P3:P94</t>
        </is>
      </c>
      <c r="X1500">
        <f>(1+(R[0]C[-8]/R[-1]C[-8])-1)*R[-1]C[0]</f>
        <v/>
      </c>
    </row>
    <row r="1501">
      <c r="A1501" t="inlineStr">
        <is>
          <t>ATF Fuel 2</t>
        </is>
      </c>
      <c r="B1501" t="inlineStr">
        <is>
          <t>Q87</t>
        </is>
      </c>
      <c r="C1501" t="n">
        <v>87</v>
      </c>
      <c r="D1501" t="n">
        <v>17</v>
      </c>
      <c r="E1501" t="inlineStr">
        <is>
          <t>Output</t>
        </is>
      </c>
      <c r="F1501" t="inlineStr">
        <is>
          <t>'=M87/N87-1</t>
        </is>
      </c>
      <c r="G1501" t="n">
        <v>1.018465876745307</v>
      </c>
      <c r="H1501" t="inlineStr"/>
      <c r="I1501" t="inlineStr">
        <is>
          <t>0.0%</t>
        </is>
      </c>
      <c r="J1501" t="b">
        <v>0</v>
      </c>
      <c r="K1501" t="b">
        <v>0</v>
      </c>
      <c r="L1501" t="n">
        <v>11</v>
      </c>
      <c r="M1501" t="inlineStr">
        <is>
          <t>Values must be of type &lt;class 'str'&gt;</t>
        </is>
      </c>
      <c r="N1501" t="inlineStr">
        <is>
          <t>00000000</t>
        </is>
      </c>
      <c r="O1501" t="n">
        <v/>
      </c>
      <c r="R1501" t="b">
        <v>1</v>
      </c>
      <c r="S1501" t="inlineStr">
        <is>
          <t>G000153</t>
        </is>
      </c>
      <c r="T1501" t="inlineStr">
        <is>
          <t>Vertical</t>
        </is>
      </c>
      <c r="U1501" t="n">
        <v>93</v>
      </c>
      <c r="V1501" t="b">
        <v>1</v>
      </c>
      <c r="W1501" t="inlineStr">
        <is>
          <t>ATF Fuel 2!Q2:Q94</t>
        </is>
      </c>
      <c r="X1501">
        <f>R[0]C[-4]/R[0]C[-3]-1</f>
        <v/>
      </c>
    </row>
    <row r="1502">
      <c r="A1502" t="inlineStr">
        <is>
          <t>ATF Fuel 2</t>
        </is>
      </c>
      <c r="B1502" t="inlineStr">
        <is>
          <t>A88</t>
        </is>
      </c>
      <c r="C1502" t="n">
        <v>88</v>
      </c>
      <c r="D1502" t="n">
        <v>1</v>
      </c>
      <c r="E1502" t="inlineStr">
        <is>
          <t>Input</t>
        </is>
      </c>
      <c r="F1502" t="n">
        <v/>
      </c>
      <c r="G1502" t="inlineStr">
        <is>
          <t>June 01, 2017</t>
        </is>
      </c>
      <c r="H1502" t="inlineStr"/>
      <c r="I1502" t="inlineStr">
        <is>
          <t>General</t>
        </is>
      </c>
      <c r="J1502" t="b">
        <v>0</v>
      </c>
      <c r="K1502" t="b">
        <v>0</v>
      </c>
      <c r="L1502" t="n">
        <v>11</v>
      </c>
      <c r="M1502" t="inlineStr">
        <is>
          <t>Values must be of type &lt;class 'str'&gt;</t>
        </is>
      </c>
      <c r="N1502" t="inlineStr">
        <is>
          <t>00000000</t>
        </is>
      </c>
      <c r="O1502" t="n">
        <v/>
      </c>
      <c r="R1502" t="b">
        <v>1</v>
      </c>
      <c r="S1502" t="n">
        <v/>
      </c>
      <c r="T1502" t="n">
        <v/>
      </c>
      <c r="U1502" t="n">
        <v/>
      </c>
      <c r="V1502" t="b">
        <v>0</v>
      </c>
      <c r="W1502" t="inlineStr"/>
      <c r="X1502" t="n">
        <v/>
      </c>
    </row>
    <row r="1503">
      <c r="A1503" t="inlineStr">
        <is>
          <t>ATF Fuel 2</t>
        </is>
      </c>
      <c r="B1503" t="inlineStr">
        <is>
          <t>B88</t>
        </is>
      </c>
      <c r="C1503" t="n">
        <v>88</v>
      </c>
      <c r="D1503" t="n">
        <v>2</v>
      </c>
      <c r="E1503" t="inlineStr">
        <is>
          <t>Input</t>
        </is>
      </c>
      <c r="F1503" t="n">
        <v/>
      </c>
      <c r="G1503" t="n">
        <v>51442.25</v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11</v>
      </c>
      <c r="M1503" t="inlineStr">
        <is>
          <t>Values must be of type &lt;class 'str'&gt;</t>
        </is>
      </c>
      <c r="N1503" t="inlineStr">
        <is>
          <t>00000000</t>
        </is>
      </c>
      <c r="O1503" t="n">
        <v/>
      </c>
      <c r="R1503" t="b">
        <v>1</v>
      </c>
      <c r="S1503" t="n">
        <v/>
      </c>
      <c r="T1503" t="n">
        <v/>
      </c>
      <c r="U1503" t="n">
        <v/>
      </c>
      <c r="V1503" t="b">
        <v>0</v>
      </c>
      <c r="W1503" t="inlineStr"/>
      <c r="X1503" t="n">
        <v/>
      </c>
    </row>
    <row r="1504">
      <c r="A1504" t="inlineStr">
        <is>
          <t>ATF Fuel 2</t>
        </is>
      </c>
      <c r="B1504" t="inlineStr">
        <is>
          <t>C88</t>
        </is>
      </c>
      <c r="C1504" t="n">
        <v>88</v>
      </c>
      <c r="D1504" t="n">
        <v>3</v>
      </c>
      <c r="E1504" t="inlineStr">
        <is>
          <t>Output</t>
        </is>
      </c>
      <c r="F1504" t="inlineStr">
        <is>
          <t>'=B88/B87-1</t>
        </is>
      </c>
      <c r="G1504" t="n">
        <v>-0.03729747685282658</v>
      </c>
      <c r="H1504" t="inlineStr"/>
      <c r="I1504" t="inlineStr">
        <is>
          <t>0%</t>
        </is>
      </c>
      <c r="J1504" t="b">
        <v>0</v>
      </c>
      <c r="K1504" t="b">
        <v>0</v>
      </c>
      <c r="L1504" t="n">
        <v>11</v>
      </c>
      <c r="M1504" t="n">
        <v/>
      </c>
      <c r="N1504" t="inlineStr">
        <is>
          <t>00000000</t>
        </is>
      </c>
      <c r="O1504" t="n">
        <v/>
      </c>
      <c r="R1504" t="b">
        <v>1</v>
      </c>
      <c r="S1504" t="inlineStr">
        <is>
          <t>G000154</t>
        </is>
      </c>
      <c r="T1504" t="inlineStr">
        <is>
          <t>Vertical</t>
        </is>
      </c>
      <c r="U1504" t="n">
        <v>92</v>
      </c>
      <c r="V1504" t="b">
        <v>1</v>
      </c>
      <c r="W1504" t="inlineStr">
        <is>
          <t>ATF Fuel 2!C3:C94</t>
        </is>
      </c>
      <c r="X1504">
        <f>R[0]C[-1]/R[-1]C[-1]-1</f>
        <v/>
      </c>
    </row>
    <row r="1505">
      <c r="A1505" t="inlineStr">
        <is>
          <t>ATF Fuel 2</t>
        </is>
      </c>
      <c r="B1505" t="inlineStr">
        <is>
          <t>D88</t>
        </is>
      </c>
      <c r="C1505" t="n">
        <v>88</v>
      </c>
      <c r="D1505" t="n">
        <v>4</v>
      </c>
      <c r="E1505" t="inlineStr">
        <is>
          <t>Input</t>
        </is>
      </c>
      <c r="F1505" t="n">
        <v/>
      </c>
      <c r="G1505" t="n">
        <v>64.485</v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11</v>
      </c>
      <c r="M1505" t="inlineStr">
        <is>
          <t>Values must be of type &lt;class 'str'&gt;</t>
        </is>
      </c>
      <c r="N1505" t="inlineStr">
        <is>
          <t>00000000</t>
        </is>
      </c>
      <c r="O1505" t="n">
        <v/>
      </c>
      <c r="R1505" t="b">
        <v>1</v>
      </c>
      <c r="S1505" t="n">
        <v/>
      </c>
      <c r="T1505" t="n">
        <v/>
      </c>
      <c r="U1505" t="n">
        <v/>
      </c>
      <c r="V1505" t="b">
        <v>0</v>
      </c>
      <c r="W1505" t="inlineStr"/>
      <c r="X1505" t="n">
        <v/>
      </c>
    </row>
    <row r="1506">
      <c r="A1506" t="inlineStr">
        <is>
          <t>ATF Fuel 2</t>
        </is>
      </c>
      <c r="B1506" t="inlineStr">
        <is>
          <t>E88</t>
        </is>
      </c>
      <c r="C1506" t="n">
        <v>88</v>
      </c>
      <c r="D1506" t="n">
        <v>5</v>
      </c>
      <c r="E1506" t="inlineStr">
        <is>
          <t>Output</t>
        </is>
      </c>
      <c r="F1506" t="inlineStr">
        <is>
          <t>'=B88/B87-1</t>
        </is>
      </c>
      <c r="G1506" t="n">
        <v>-0.03729747685282658</v>
      </c>
      <c r="H1506" t="inlineStr"/>
      <c r="I1506" t="inlineStr">
        <is>
          <t>0%</t>
        </is>
      </c>
      <c r="J1506" t="b">
        <v>0</v>
      </c>
      <c r="K1506" t="b">
        <v>0</v>
      </c>
      <c r="L1506" t="n">
        <v>11</v>
      </c>
      <c r="M1506" t="inlineStr">
        <is>
          <t>Values must be of type &lt;class 'str'&gt;</t>
        </is>
      </c>
      <c r="N1506" t="inlineStr">
        <is>
          <t>00000000</t>
        </is>
      </c>
      <c r="O1506" t="n">
        <v/>
      </c>
      <c r="R1506" t="b">
        <v>1</v>
      </c>
      <c r="S1506" t="inlineStr">
        <is>
          <t>G000158</t>
        </is>
      </c>
      <c r="T1506" t="inlineStr">
        <is>
          <t>Vertical</t>
        </is>
      </c>
      <c r="U1506" t="n">
        <v>92</v>
      </c>
      <c r="V1506" t="b">
        <v>1</v>
      </c>
      <c r="W1506" t="inlineStr">
        <is>
          <t>ATF Fuel 2!E3:E94</t>
        </is>
      </c>
      <c r="X1506">
        <f>R[0]C[-3]/R[-1]C[-3]-1</f>
        <v/>
      </c>
    </row>
    <row r="1507">
      <c r="A1507" t="inlineStr">
        <is>
          <t>ATF Fuel 2</t>
        </is>
      </c>
      <c r="B1507" t="inlineStr">
        <is>
          <t>F88</t>
        </is>
      </c>
      <c r="C1507" t="n">
        <v>88</v>
      </c>
      <c r="D1507" t="n">
        <v>6</v>
      </c>
      <c r="E1507" t="inlineStr">
        <is>
          <t>Input</t>
        </is>
      </c>
      <c r="F1507" t="n">
        <v/>
      </c>
      <c r="G1507" t="n">
        <v>50.41</v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11</v>
      </c>
      <c r="M1507" t="inlineStr">
        <is>
          <t>Values must be of type &lt;class 'str'&gt;</t>
        </is>
      </c>
      <c r="N1507" t="inlineStr">
        <is>
          <t>00000000</t>
        </is>
      </c>
      <c r="O1507" t="n">
        <v/>
      </c>
      <c r="R1507" t="b">
        <v>1</v>
      </c>
      <c r="S1507" t="n">
        <v/>
      </c>
      <c r="T1507" t="n">
        <v/>
      </c>
      <c r="U1507" t="n">
        <v/>
      </c>
      <c r="V1507" t="b">
        <v>0</v>
      </c>
      <c r="W1507" t="inlineStr"/>
      <c r="X1507" t="n">
        <v/>
      </c>
    </row>
    <row r="1508">
      <c r="A1508" t="inlineStr">
        <is>
          <t>ATF Fuel 2</t>
        </is>
      </c>
      <c r="B1508" t="inlineStr">
        <is>
          <t>G88</t>
        </is>
      </c>
      <c r="C1508" t="n">
        <v>88</v>
      </c>
      <c r="D1508" t="n">
        <v>7</v>
      </c>
      <c r="E1508" t="inlineStr">
        <is>
          <t>Output</t>
        </is>
      </c>
      <c r="F1508" t="inlineStr">
        <is>
          <t>'=F88/F87-1</t>
        </is>
      </c>
      <c r="G1508" t="n">
        <v>0.02230784830663146</v>
      </c>
      <c r="H1508" t="inlineStr"/>
      <c r="I1508" t="inlineStr">
        <is>
          <t>0%</t>
        </is>
      </c>
      <c r="J1508" t="b">
        <v>0</v>
      </c>
      <c r="K1508" t="b">
        <v>0</v>
      </c>
      <c r="L1508" t="n">
        <v>11</v>
      </c>
      <c r="M1508" t="inlineStr">
        <is>
          <t>Values must be of type &lt;class 'str'&gt;</t>
        </is>
      </c>
      <c r="N1508" t="inlineStr">
        <is>
          <t>00000000</t>
        </is>
      </c>
      <c r="O1508" t="n">
        <v/>
      </c>
      <c r="R1508" t="b">
        <v>1</v>
      </c>
      <c r="S1508" t="inlineStr">
        <is>
          <t>G000155</t>
        </is>
      </c>
      <c r="T1508" t="inlineStr">
        <is>
          <t>Vertical</t>
        </is>
      </c>
      <c r="U1508" t="n">
        <v>93</v>
      </c>
      <c r="V1508" t="b">
        <v>1</v>
      </c>
      <c r="W1508" t="inlineStr">
        <is>
          <t>ATF Fuel 2!G3:G95</t>
        </is>
      </c>
      <c r="X1508">
        <f>R[0]C[-1]/R[-1]C[-1]-1</f>
        <v/>
      </c>
    </row>
    <row r="1509">
      <c r="A1509" t="inlineStr">
        <is>
          <t>ATF Fuel 2</t>
        </is>
      </c>
      <c r="B1509" t="inlineStr">
        <is>
          <t>H88</t>
        </is>
      </c>
      <c r="C1509" t="n">
        <v>88</v>
      </c>
      <c r="D1509" t="n">
        <v>8</v>
      </c>
      <c r="E1509" t="inlineStr">
        <is>
          <t>Calculation</t>
        </is>
      </c>
      <c r="F1509" t="inlineStr">
        <is>
          <t>'=D88*F88</t>
        </is>
      </c>
      <c r="G1509" t="n">
        <v>3250.68885</v>
      </c>
      <c r="H1509" t="inlineStr"/>
      <c r="I1509" t="inlineStr">
        <is>
          <t>0</t>
        </is>
      </c>
      <c r="J1509" t="b">
        <v>0</v>
      </c>
      <c r="K1509" t="b">
        <v>0</v>
      </c>
      <c r="L1509" t="n">
        <v>11</v>
      </c>
      <c r="M1509" t="inlineStr">
        <is>
          <t>Values must be of type &lt;class 'str'&gt;</t>
        </is>
      </c>
      <c r="N1509" t="inlineStr">
        <is>
          <t>00000000</t>
        </is>
      </c>
      <c r="O1509" t="n">
        <v/>
      </c>
      <c r="R1509" t="b">
        <v>1</v>
      </c>
      <c r="S1509" t="inlineStr">
        <is>
          <t>G000152</t>
        </is>
      </c>
      <c r="T1509" t="inlineStr">
        <is>
          <t>Vertical</t>
        </is>
      </c>
      <c r="U1509" t="n">
        <v>98</v>
      </c>
      <c r="V1509" t="b">
        <v>1</v>
      </c>
      <c r="W1509" t="inlineStr">
        <is>
          <t>ATF Fuel 2!H2:H99</t>
        </is>
      </c>
      <c r="X1509">
        <f>R[0]C[-4]*R[0]C[-2]</f>
        <v/>
      </c>
    </row>
    <row r="1510">
      <c r="A1510" t="inlineStr">
        <is>
          <t>ATF Fuel 2</t>
        </is>
      </c>
      <c r="B1510" t="inlineStr">
        <is>
          <t>I88</t>
        </is>
      </c>
      <c r="C1510" t="n">
        <v>88</v>
      </c>
      <c r="D1510" t="n">
        <v>9</v>
      </c>
      <c r="E1510" t="inlineStr">
        <is>
          <t>Output</t>
        </is>
      </c>
      <c r="F1510" t="inlineStr">
        <is>
          <t>'=H88/H87-1</t>
        </is>
      </c>
      <c r="G1510" t="n">
        <v>0.02708610419962798</v>
      </c>
      <c r="H1510" t="inlineStr"/>
      <c r="I1510" t="inlineStr">
        <is>
          <t>0%</t>
        </is>
      </c>
      <c r="J1510" t="b">
        <v>0</v>
      </c>
      <c r="K1510" t="b">
        <v>0</v>
      </c>
      <c r="L1510" t="n">
        <v>11</v>
      </c>
      <c r="M1510" t="inlineStr">
        <is>
          <t>FFFF0000</t>
        </is>
      </c>
      <c r="N1510" t="inlineStr">
        <is>
          <t>00000000</t>
        </is>
      </c>
      <c r="O1510" t="n">
        <v/>
      </c>
      <c r="R1510" t="b">
        <v>1</v>
      </c>
      <c r="S1510" t="inlineStr">
        <is>
          <t>G000156</t>
        </is>
      </c>
      <c r="T1510" t="inlineStr">
        <is>
          <t>Vertical</t>
        </is>
      </c>
      <c r="U1510" t="n">
        <v>97</v>
      </c>
      <c r="V1510" t="b">
        <v>1</v>
      </c>
      <c r="W1510" t="inlineStr">
        <is>
          <t>ATF Fuel 2!I3:I99</t>
        </is>
      </c>
      <c r="X1510">
        <f>R[0]C[-1]/R[-1]C[-1]-1</f>
        <v/>
      </c>
    </row>
    <row r="1511">
      <c r="A1511" t="inlineStr">
        <is>
          <t>ATF Fuel 2</t>
        </is>
      </c>
      <c r="B1511" t="inlineStr">
        <is>
          <t>J88</t>
        </is>
      </c>
      <c r="C1511" t="n">
        <v>88</v>
      </c>
      <c r="D1511" t="n">
        <v>10</v>
      </c>
      <c r="E1511" t="inlineStr">
        <is>
          <t>Input</t>
        </is>
      </c>
      <c r="F1511" t="n">
        <v/>
      </c>
      <c r="G1511" t="n">
        <v>48.32</v>
      </c>
      <c r="H1511" t="inlineStr"/>
      <c r="I1511" t="inlineStr">
        <is>
          <t>General</t>
        </is>
      </c>
      <c r="J1511" t="b">
        <v>0</v>
      </c>
      <c r="K1511" t="b">
        <v>0</v>
      </c>
      <c r="L1511" t="n">
        <v>11</v>
      </c>
      <c r="M1511" t="inlineStr">
        <is>
          <t>Values must be of type &lt;class 'str'&gt;</t>
        </is>
      </c>
      <c r="N1511" t="inlineStr">
        <is>
          <t>00000000</t>
        </is>
      </c>
      <c r="O1511" t="n">
        <v/>
      </c>
      <c r="R1511" t="b">
        <v>1</v>
      </c>
      <c r="S1511" t="n">
        <v/>
      </c>
      <c r="T1511" t="n">
        <v/>
      </c>
      <c r="U1511" t="n">
        <v/>
      </c>
      <c r="V1511" t="b">
        <v>0</v>
      </c>
      <c r="W1511" t="inlineStr"/>
      <c r="X1511" t="n">
        <v/>
      </c>
    </row>
    <row r="1512">
      <c r="A1512" t="inlineStr">
        <is>
          <t>ATF Fuel 2</t>
        </is>
      </c>
      <c r="B1512" t="inlineStr">
        <is>
          <t>K88</t>
        </is>
      </c>
      <c r="C1512" t="n">
        <v>88</v>
      </c>
      <c r="D1512" t="n">
        <v>11</v>
      </c>
      <c r="E1512" t="inlineStr">
        <is>
          <t>Output</t>
        </is>
      </c>
      <c r="F1512" t="inlineStr">
        <is>
          <t>'=J88/J87-1</t>
        </is>
      </c>
      <c r="G1512" t="n">
        <v>-0.01044439893508087</v>
      </c>
      <c r="H1512" t="inlineStr"/>
      <c r="I1512" t="inlineStr">
        <is>
          <t>0%</t>
        </is>
      </c>
      <c r="J1512" t="b">
        <v>0</v>
      </c>
      <c r="K1512" t="b">
        <v>0</v>
      </c>
      <c r="L1512" t="n">
        <v>11</v>
      </c>
      <c r="M1512" t="inlineStr">
        <is>
          <t>Values must be of type &lt;class 'str'&gt;</t>
        </is>
      </c>
      <c r="N1512" t="inlineStr">
        <is>
          <t>00000000</t>
        </is>
      </c>
      <c r="O1512" t="n">
        <v/>
      </c>
      <c r="R1512" t="b">
        <v>1</v>
      </c>
      <c r="S1512" t="inlineStr">
        <is>
          <t>G000157</t>
        </is>
      </c>
      <c r="T1512" t="inlineStr">
        <is>
          <t>Vertical</t>
        </is>
      </c>
      <c r="U1512" t="n">
        <v>93</v>
      </c>
      <c r="V1512" t="b">
        <v>1</v>
      </c>
      <c r="W1512" t="inlineStr">
        <is>
          <t>ATF Fuel 2!K3:K95</t>
        </is>
      </c>
      <c r="X1512">
        <f>R[0]C[-1]/R[-1]C[-1]-1</f>
        <v/>
      </c>
    </row>
    <row r="1513">
      <c r="A1513" t="inlineStr">
        <is>
          <t>ATF Fuel 2</t>
        </is>
      </c>
      <c r="B1513" t="inlineStr">
        <is>
          <t>L88</t>
        </is>
      </c>
      <c r="C1513" t="n">
        <v>88</v>
      </c>
      <c r="D1513" t="n">
        <v>12</v>
      </c>
      <c r="E1513" t="inlineStr">
        <is>
          <t>Input</t>
        </is>
      </c>
      <c r="F1513" t="n">
        <v/>
      </c>
      <c r="G1513" t="inlineStr">
        <is>
          <t>June 01, 2017</t>
        </is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11</v>
      </c>
      <c r="M1513" t="inlineStr">
        <is>
          <t>Values must be of type &lt;class 'str'&gt;</t>
        </is>
      </c>
      <c r="N1513" t="inlineStr">
        <is>
          <t>00000000</t>
        </is>
      </c>
      <c r="O1513" t="inlineStr">
        <is>
          <t>left</t>
        </is>
      </c>
      <c r="R1513" t="b">
        <v>1</v>
      </c>
      <c r="S1513" t="n">
        <v/>
      </c>
      <c r="T1513" t="n">
        <v/>
      </c>
      <c r="U1513" t="n">
        <v/>
      </c>
      <c r="V1513" t="b">
        <v>0</v>
      </c>
      <c r="W1513" t="inlineStr"/>
      <c r="X1513" t="n">
        <v/>
      </c>
    </row>
    <row r="1514">
      <c r="A1514" t="inlineStr">
        <is>
          <t>ATF Fuel 2</t>
        </is>
      </c>
      <c r="B1514" t="inlineStr">
        <is>
          <t>M88</t>
        </is>
      </c>
      <c r="C1514" t="n">
        <v>88</v>
      </c>
      <c r="D1514" t="n">
        <v>13</v>
      </c>
      <c r="E1514" t="inlineStr">
        <is>
          <t>Calculation</t>
        </is>
      </c>
      <c r="F1514" t="inlineStr">
        <is>
          <t>'=(1+(B88/B87)-1)*M87</t>
        </is>
      </c>
      <c r="G1514" t="n">
        <v>115.9606848707285</v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11</v>
      </c>
      <c r="M1514" t="inlineStr">
        <is>
          <t>Values must be of type &lt;class 'str'&gt;</t>
        </is>
      </c>
      <c r="N1514" t="inlineStr">
        <is>
          <t>00000000</t>
        </is>
      </c>
      <c r="O1514" t="inlineStr">
        <is>
          <t>left</t>
        </is>
      </c>
      <c r="R1514" t="b">
        <v>1</v>
      </c>
      <c r="S1514" t="inlineStr">
        <is>
          <t>G000159</t>
        </is>
      </c>
      <c r="T1514" t="inlineStr">
        <is>
          <t>Vertical</t>
        </is>
      </c>
      <c r="U1514" t="n">
        <v>92</v>
      </c>
      <c r="V1514" t="b">
        <v>1</v>
      </c>
      <c r="W1514" t="inlineStr">
        <is>
          <t>ATF Fuel 2!M3:M94</t>
        </is>
      </c>
      <c r="X1514">
        <f>(1+(R[0]C[-11]/R[-1]C[-11])-1)*R[-1]C[0]</f>
        <v/>
      </c>
    </row>
    <row r="1515">
      <c r="A1515" t="inlineStr">
        <is>
          <t>ATF Fuel 2</t>
        </is>
      </c>
      <c r="B1515" t="inlineStr">
        <is>
          <t>N88</t>
        </is>
      </c>
      <c r="C1515" t="n">
        <v>88</v>
      </c>
      <c r="D1515" t="n">
        <v>14</v>
      </c>
      <c r="E1515" t="inlineStr">
        <is>
          <t>Calculation</t>
        </is>
      </c>
      <c r="F1515" t="inlineStr">
        <is>
          <t>'=(1+(F88/F87)-1)*N87</t>
        </is>
      </c>
      <c r="G1515" t="n">
        <v>61.00689822098522</v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11</v>
      </c>
      <c r="M1515" t="inlineStr">
        <is>
          <t>Values must be of type &lt;class 'str'&gt;</t>
        </is>
      </c>
      <c r="N1515" t="inlineStr">
        <is>
          <t>00000000</t>
        </is>
      </c>
      <c r="O1515" t="inlineStr">
        <is>
          <t>left</t>
        </is>
      </c>
      <c r="R1515" t="b">
        <v>1</v>
      </c>
      <c r="S1515" t="inlineStr">
        <is>
          <t>G000160</t>
        </is>
      </c>
      <c r="T1515" t="inlineStr">
        <is>
          <t>Vertical</t>
        </is>
      </c>
      <c r="U1515" t="n">
        <v>92</v>
      </c>
      <c r="V1515" t="b">
        <v>1</v>
      </c>
      <c r="W1515" t="inlineStr">
        <is>
          <t>ATF Fuel 2!N3:N94</t>
        </is>
      </c>
      <c r="X1515">
        <f>(1+(R[0]C[-8]/R[-1]C[-8])-1)*R[-1]C[0]</f>
        <v/>
      </c>
    </row>
    <row r="1516">
      <c r="A1516" t="inlineStr">
        <is>
          <t>ATF Fuel 2</t>
        </is>
      </c>
      <c r="B1516" t="inlineStr">
        <is>
          <t>O88</t>
        </is>
      </c>
      <c r="C1516" t="n">
        <v>88</v>
      </c>
      <c r="D1516" t="n">
        <v>15</v>
      </c>
      <c r="E1516" t="inlineStr">
        <is>
          <t>Calculation</t>
        </is>
      </c>
      <c r="F1516" t="inlineStr">
        <is>
          <t>'=(1+(J88/J87)-1)*O87</t>
        </is>
      </c>
      <c r="G1516" t="n">
        <v>57.16313734768723</v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11</v>
      </c>
      <c r="M1516" t="inlineStr">
        <is>
          <t>Values must be of type &lt;class 'str'&gt;</t>
        </is>
      </c>
      <c r="N1516" t="inlineStr">
        <is>
          <t>00000000</t>
        </is>
      </c>
      <c r="O1516" t="inlineStr">
        <is>
          <t>left</t>
        </is>
      </c>
      <c r="R1516" t="b">
        <v>1</v>
      </c>
      <c r="S1516" t="inlineStr">
        <is>
          <t>G000162</t>
        </is>
      </c>
      <c r="T1516" t="inlineStr">
        <is>
          <t>Vertical</t>
        </is>
      </c>
      <c r="U1516" t="n">
        <v>92</v>
      </c>
      <c r="V1516" t="b">
        <v>1</v>
      </c>
      <c r="W1516" t="inlineStr">
        <is>
          <t>ATF Fuel 2!O3:O94</t>
        </is>
      </c>
      <c r="X1516">
        <f>(1+(R[0]C[-5]/R[-1]C[-5])-1)*R[-1]C[0]</f>
        <v/>
      </c>
    </row>
    <row r="1517">
      <c r="A1517" t="inlineStr">
        <is>
          <t>ATF Fuel 2</t>
        </is>
      </c>
      <c r="B1517" t="inlineStr">
        <is>
          <t>P88</t>
        </is>
      </c>
      <c r="C1517" t="n">
        <v>88</v>
      </c>
      <c r="D1517" t="n">
        <v>16</v>
      </c>
      <c r="E1517" t="inlineStr">
        <is>
          <t>Calculation</t>
        </is>
      </c>
      <c r="F1517" t="inlineStr">
        <is>
          <t>'=(1+(H88/H87)-1)*P87</t>
        </is>
      </c>
      <c r="G1517" t="n">
        <v>87.89164056702921</v>
      </c>
      <c r="H1517" t="inlineStr"/>
      <c r="I1517" t="inlineStr">
        <is>
          <t>General</t>
        </is>
      </c>
      <c r="J1517" t="b">
        <v>0</v>
      </c>
      <c r="K1517" t="b">
        <v>0</v>
      </c>
      <c r="L1517" t="n">
        <v>11</v>
      </c>
      <c r="M1517" t="inlineStr">
        <is>
          <t>Values must be of type &lt;class 'str'&gt;</t>
        </is>
      </c>
      <c r="N1517" t="inlineStr">
        <is>
          <t>00000000</t>
        </is>
      </c>
      <c r="O1517" t="inlineStr">
        <is>
          <t>left</t>
        </is>
      </c>
      <c r="R1517" t="b">
        <v>1</v>
      </c>
      <c r="S1517" t="inlineStr">
        <is>
          <t>G000161</t>
        </is>
      </c>
      <c r="T1517" t="inlineStr">
        <is>
          <t>Vertical</t>
        </is>
      </c>
      <c r="U1517" t="n">
        <v>92</v>
      </c>
      <c r="V1517" t="b">
        <v>1</v>
      </c>
      <c r="W1517" t="inlineStr">
        <is>
          <t>ATF Fuel 2!P3:P94</t>
        </is>
      </c>
      <c r="X1517">
        <f>(1+(R[0]C[-8]/R[-1]C[-8])-1)*R[-1]C[0]</f>
        <v/>
      </c>
    </row>
    <row r="1518">
      <c r="A1518" t="inlineStr">
        <is>
          <t>ATF Fuel 2</t>
        </is>
      </c>
      <c r="B1518" t="inlineStr">
        <is>
          <t>Q88</t>
        </is>
      </c>
      <c r="C1518" t="n">
        <v>88</v>
      </c>
      <c r="D1518" t="n">
        <v>17</v>
      </c>
      <c r="E1518" t="inlineStr">
        <is>
          <t>Output</t>
        </is>
      </c>
      <c r="F1518" t="inlineStr">
        <is>
          <t>'=M88/N88-1</t>
        </is>
      </c>
      <c r="G1518" t="n">
        <v>0.9007798831319733</v>
      </c>
      <c r="H1518" t="inlineStr"/>
      <c r="I1518" t="inlineStr">
        <is>
          <t>0.0%</t>
        </is>
      </c>
      <c r="J1518" t="b">
        <v>0</v>
      </c>
      <c r="K1518" t="b">
        <v>0</v>
      </c>
      <c r="L1518" t="n">
        <v>11</v>
      </c>
      <c r="M1518" t="inlineStr">
        <is>
          <t>Values must be of type &lt;class 'str'&gt;</t>
        </is>
      </c>
      <c r="N1518" t="inlineStr">
        <is>
          <t>00000000</t>
        </is>
      </c>
      <c r="O1518" t="n">
        <v/>
      </c>
      <c r="R1518" t="b">
        <v>1</v>
      </c>
      <c r="S1518" t="inlineStr">
        <is>
          <t>G000153</t>
        </is>
      </c>
      <c r="T1518" t="inlineStr">
        <is>
          <t>Vertical</t>
        </is>
      </c>
      <c r="U1518" t="n">
        <v>93</v>
      </c>
      <c r="V1518" t="b">
        <v>1</v>
      </c>
      <c r="W1518" t="inlineStr">
        <is>
          <t>ATF Fuel 2!Q2:Q94</t>
        </is>
      </c>
      <c r="X1518">
        <f>R[0]C[-4]/R[0]C[-3]-1</f>
        <v/>
      </c>
    </row>
    <row r="1519">
      <c r="A1519" t="inlineStr">
        <is>
          <t>ATF Fuel 2</t>
        </is>
      </c>
      <c r="B1519" t="inlineStr">
        <is>
          <t>A89</t>
        </is>
      </c>
      <c r="C1519" t="n">
        <v>89</v>
      </c>
      <c r="D1519" t="n">
        <v>1</v>
      </c>
      <c r="E1519" t="inlineStr">
        <is>
          <t>Input</t>
        </is>
      </c>
      <c r="F1519" t="n">
        <v/>
      </c>
      <c r="G1519" t="inlineStr">
        <is>
          <t>July 01, 2017</t>
        </is>
      </c>
      <c r="H1519" t="inlineStr"/>
      <c r="I1519" t="inlineStr">
        <is>
          <t>General</t>
        </is>
      </c>
      <c r="J1519" t="b">
        <v>0</v>
      </c>
      <c r="K1519" t="b">
        <v>0</v>
      </c>
      <c r="L1519" t="n">
        <v>11</v>
      </c>
      <c r="M1519" t="inlineStr">
        <is>
          <t>Values must be of type &lt;class 'str'&gt;</t>
        </is>
      </c>
      <c r="N1519" t="inlineStr">
        <is>
          <t>00000000</t>
        </is>
      </c>
      <c r="O1519" t="n">
        <v/>
      </c>
      <c r="R1519" t="b">
        <v>1</v>
      </c>
      <c r="S1519" t="n">
        <v/>
      </c>
      <c r="T1519" t="n">
        <v/>
      </c>
      <c r="U1519" t="n">
        <v/>
      </c>
      <c r="V1519" t="b">
        <v>0</v>
      </c>
      <c r="W1519" t="inlineStr"/>
      <c r="X1519" t="n">
        <v/>
      </c>
    </row>
    <row r="1520">
      <c r="A1520" t="inlineStr">
        <is>
          <t>ATF Fuel 2</t>
        </is>
      </c>
      <c r="B1520" t="inlineStr">
        <is>
          <t>B89</t>
        </is>
      </c>
      <c r="C1520" t="n">
        <v>89</v>
      </c>
      <c r="D1520" t="n">
        <v>2</v>
      </c>
      <c r="E1520" t="inlineStr">
        <is>
          <t>Input</t>
        </is>
      </c>
      <c r="F1520" t="n">
        <v/>
      </c>
      <c r="G1520" t="n">
        <v>48646.25</v>
      </c>
      <c r="H1520" t="inlineStr"/>
      <c r="I1520" t="inlineStr">
        <is>
          <t>General</t>
        </is>
      </c>
      <c r="J1520" t="b">
        <v>0</v>
      </c>
      <c r="K1520" t="b">
        <v>0</v>
      </c>
      <c r="L1520" t="n">
        <v>11</v>
      </c>
      <c r="M1520" t="inlineStr">
        <is>
          <t>Values must be of type &lt;class 'str'&gt;</t>
        </is>
      </c>
      <c r="N1520" t="inlineStr">
        <is>
          <t>00000000</t>
        </is>
      </c>
      <c r="O1520" t="n">
        <v/>
      </c>
      <c r="R1520" t="b">
        <v>1</v>
      </c>
      <c r="S1520" t="n">
        <v/>
      </c>
      <c r="T1520" t="n">
        <v/>
      </c>
      <c r="U1520" t="n">
        <v/>
      </c>
      <c r="V1520" t="b">
        <v>0</v>
      </c>
      <c r="W1520" t="inlineStr"/>
      <c r="X1520" t="n">
        <v/>
      </c>
    </row>
    <row r="1521">
      <c r="A1521" t="inlineStr">
        <is>
          <t>ATF Fuel 2</t>
        </is>
      </c>
      <c r="B1521" t="inlineStr">
        <is>
          <t>C89</t>
        </is>
      </c>
      <c r="C1521" t="n">
        <v>89</v>
      </c>
      <c r="D1521" t="n">
        <v>3</v>
      </c>
      <c r="E1521" t="inlineStr">
        <is>
          <t>Output</t>
        </is>
      </c>
      <c r="F1521" t="inlineStr">
        <is>
          <t>'=B89/B88-1</t>
        </is>
      </c>
      <c r="G1521" t="n">
        <v>-0.0543522104884604</v>
      </c>
      <c r="H1521" t="inlineStr"/>
      <c r="I1521" t="inlineStr">
        <is>
          <t>0%</t>
        </is>
      </c>
      <c r="J1521" t="b">
        <v>0</v>
      </c>
      <c r="K1521" t="b">
        <v>0</v>
      </c>
      <c r="L1521" t="n">
        <v>11</v>
      </c>
      <c r="M1521" t="n">
        <v/>
      </c>
      <c r="N1521" t="inlineStr">
        <is>
          <t>00000000</t>
        </is>
      </c>
      <c r="O1521" t="n">
        <v/>
      </c>
      <c r="R1521" t="b">
        <v>1</v>
      </c>
      <c r="S1521" t="inlineStr">
        <is>
          <t>G000154</t>
        </is>
      </c>
      <c r="T1521" t="inlineStr">
        <is>
          <t>Vertical</t>
        </is>
      </c>
      <c r="U1521" t="n">
        <v>92</v>
      </c>
      <c r="V1521" t="b">
        <v>1</v>
      </c>
      <c r="W1521" t="inlineStr">
        <is>
          <t>ATF Fuel 2!C3:C94</t>
        </is>
      </c>
      <c r="X1521">
        <f>R[0]C[-1]/R[-1]C[-1]-1</f>
        <v/>
      </c>
    </row>
    <row r="1522">
      <c r="A1522" t="inlineStr">
        <is>
          <t>ATF Fuel 2</t>
        </is>
      </c>
      <c r="B1522" t="inlineStr">
        <is>
          <t>D89</t>
        </is>
      </c>
      <c r="C1522" t="n">
        <v>89</v>
      </c>
      <c r="D1522" t="n">
        <v>4</v>
      </c>
      <c r="E1522" t="inlineStr">
        <is>
          <t>Input</t>
        </is>
      </c>
      <c r="F1522" t="n">
        <v/>
      </c>
      <c r="G1522" t="n">
        <v>64.685</v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11</v>
      </c>
      <c r="M1522" t="inlineStr">
        <is>
          <t>Values must be of type &lt;class 'str'&gt;</t>
        </is>
      </c>
      <c r="N1522" t="inlineStr">
        <is>
          <t>00000000</t>
        </is>
      </c>
      <c r="O1522" t="n">
        <v/>
      </c>
      <c r="R1522" t="b">
        <v>1</v>
      </c>
      <c r="S1522" t="n">
        <v/>
      </c>
      <c r="T1522" t="n">
        <v/>
      </c>
      <c r="U1522" t="n">
        <v/>
      </c>
      <c r="V1522" t="b">
        <v>0</v>
      </c>
      <c r="W1522" t="inlineStr"/>
      <c r="X1522" t="n">
        <v/>
      </c>
    </row>
    <row r="1523">
      <c r="A1523" t="inlineStr">
        <is>
          <t>ATF Fuel 2</t>
        </is>
      </c>
      <c r="B1523" t="inlineStr">
        <is>
          <t>E89</t>
        </is>
      </c>
      <c r="C1523" t="n">
        <v>89</v>
      </c>
      <c r="D1523" t="n">
        <v>5</v>
      </c>
      <c r="E1523" t="inlineStr">
        <is>
          <t>Output</t>
        </is>
      </c>
      <c r="F1523" t="inlineStr">
        <is>
          <t>'=B89/B88-1</t>
        </is>
      </c>
      <c r="G1523" t="n">
        <v>-0.0543522104884604</v>
      </c>
      <c r="H1523" t="inlineStr"/>
      <c r="I1523" t="inlineStr">
        <is>
          <t>0%</t>
        </is>
      </c>
      <c r="J1523" t="b">
        <v>0</v>
      </c>
      <c r="K1523" t="b">
        <v>0</v>
      </c>
      <c r="L1523" t="n">
        <v>11</v>
      </c>
      <c r="M1523" t="inlineStr">
        <is>
          <t>Values must be of type &lt;class 'str'&gt;</t>
        </is>
      </c>
      <c r="N1523" t="inlineStr">
        <is>
          <t>00000000</t>
        </is>
      </c>
      <c r="O1523" t="n">
        <v/>
      </c>
      <c r="R1523" t="b">
        <v>1</v>
      </c>
      <c r="S1523" t="inlineStr">
        <is>
          <t>G000158</t>
        </is>
      </c>
      <c r="T1523" t="inlineStr">
        <is>
          <t>Vertical</t>
        </is>
      </c>
      <c r="U1523" t="n">
        <v>92</v>
      </c>
      <c r="V1523" t="b">
        <v>1</v>
      </c>
      <c r="W1523" t="inlineStr">
        <is>
          <t>ATF Fuel 2!E3:E94</t>
        </is>
      </c>
      <c r="X1523">
        <f>R[0]C[-3]/R[-1]C[-3]-1</f>
        <v/>
      </c>
    </row>
    <row r="1524">
      <c r="A1524" t="inlineStr">
        <is>
          <t>ATF Fuel 2</t>
        </is>
      </c>
      <c r="B1524" t="inlineStr">
        <is>
          <t>F89</t>
        </is>
      </c>
      <c r="C1524" t="n">
        <v>89</v>
      </c>
      <c r="D1524" t="n">
        <v>6</v>
      </c>
      <c r="E1524" t="inlineStr">
        <is>
          <t>Input</t>
        </is>
      </c>
      <c r="F1524" t="n">
        <v/>
      </c>
      <c r="G1524" t="n">
        <v>49.13</v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11</v>
      </c>
      <c r="M1524" t="inlineStr">
        <is>
          <t>Values must be of type &lt;class 'str'&gt;</t>
        </is>
      </c>
      <c r="N1524" t="inlineStr">
        <is>
          <t>00000000</t>
        </is>
      </c>
      <c r="O1524" t="n">
        <v/>
      </c>
      <c r="R1524" t="b">
        <v>1</v>
      </c>
      <c r="S1524" t="n">
        <v/>
      </c>
      <c r="T1524" t="n">
        <v/>
      </c>
      <c r="U1524" t="n">
        <v/>
      </c>
      <c r="V1524" t="b">
        <v>0</v>
      </c>
      <c r="W1524" t="inlineStr"/>
      <c r="X1524" t="n">
        <v/>
      </c>
    </row>
    <row r="1525">
      <c r="A1525" t="inlineStr">
        <is>
          <t>ATF Fuel 2</t>
        </is>
      </c>
      <c r="B1525" t="inlineStr">
        <is>
          <t>G89</t>
        </is>
      </c>
      <c r="C1525" t="n">
        <v>89</v>
      </c>
      <c r="D1525" t="n">
        <v>7</v>
      </c>
      <c r="E1525" t="inlineStr">
        <is>
          <t>Output</t>
        </is>
      </c>
      <c r="F1525" t="inlineStr">
        <is>
          <t>'=F89/F88-1</t>
        </is>
      </c>
      <c r="G1525" t="n">
        <v>-0.02539178734378089</v>
      </c>
      <c r="H1525" t="inlineStr"/>
      <c r="I1525" t="inlineStr">
        <is>
          <t>0%</t>
        </is>
      </c>
      <c r="J1525" t="b">
        <v>0</v>
      </c>
      <c r="K1525" t="b">
        <v>0</v>
      </c>
      <c r="L1525" t="n">
        <v>11</v>
      </c>
      <c r="M1525" t="inlineStr">
        <is>
          <t>Values must be of type &lt;class 'str'&gt;</t>
        </is>
      </c>
      <c r="N1525" t="inlineStr">
        <is>
          <t>00000000</t>
        </is>
      </c>
      <c r="O1525" t="n">
        <v/>
      </c>
      <c r="R1525" t="b">
        <v>1</v>
      </c>
      <c r="S1525" t="inlineStr">
        <is>
          <t>G000155</t>
        </is>
      </c>
      <c r="T1525" t="inlineStr">
        <is>
          <t>Vertical</t>
        </is>
      </c>
      <c r="U1525" t="n">
        <v>93</v>
      </c>
      <c r="V1525" t="b">
        <v>1</v>
      </c>
      <c r="W1525" t="inlineStr">
        <is>
          <t>ATF Fuel 2!G3:G95</t>
        </is>
      </c>
      <c r="X1525">
        <f>R[0]C[-1]/R[-1]C[-1]-1</f>
        <v/>
      </c>
    </row>
    <row r="1526">
      <c r="A1526" t="inlineStr">
        <is>
          <t>ATF Fuel 2</t>
        </is>
      </c>
      <c r="B1526" t="inlineStr">
        <is>
          <t>H89</t>
        </is>
      </c>
      <c r="C1526" t="n">
        <v>89</v>
      </c>
      <c r="D1526" t="n">
        <v>8</v>
      </c>
      <c r="E1526" t="inlineStr">
        <is>
          <t>Calculation</t>
        </is>
      </c>
      <c r="F1526" t="inlineStr">
        <is>
          <t>'=D89*F89</t>
        </is>
      </c>
      <c r="G1526" t="n">
        <v>3177.97405</v>
      </c>
      <c r="H1526" t="inlineStr"/>
      <c r="I1526" t="inlineStr">
        <is>
          <t>0</t>
        </is>
      </c>
      <c r="J1526" t="b">
        <v>0</v>
      </c>
      <c r="K1526" t="b">
        <v>0</v>
      </c>
      <c r="L1526" t="n">
        <v>11</v>
      </c>
      <c r="M1526" t="inlineStr">
        <is>
          <t>Values must be of type &lt;class 'str'&gt;</t>
        </is>
      </c>
      <c r="N1526" t="inlineStr">
        <is>
          <t>00000000</t>
        </is>
      </c>
      <c r="O1526" t="n">
        <v/>
      </c>
      <c r="R1526" t="b">
        <v>1</v>
      </c>
      <c r="S1526" t="inlineStr">
        <is>
          <t>G000152</t>
        </is>
      </c>
      <c r="T1526" t="inlineStr">
        <is>
          <t>Vertical</t>
        </is>
      </c>
      <c r="U1526" t="n">
        <v>98</v>
      </c>
      <c r="V1526" t="b">
        <v>1</v>
      </c>
      <c r="W1526" t="inlineStr">
        <is>
          <t>ATF Fuel 2!H2:H99</t>
        </is>
      </c>
      <c r="X1526">
        <f>R[0]C[-4]*R[0]C[-2]</f>
        <v/>
      </c>
    </row>
    <row r="1527">
      <c r="A1527" t="inlineStr">
        <is>
          <t>ATF Fuel 2</t>
        </is>
      </c>
      <c r="B1527" t="inlineStr">
        <is>
          <t>I89</t>
        </is>
      </c>
      <c r="C1527" t="n">
        <v>89</v>
      </c>
      <c r="D1527" t="n">
        <v>9</v>
      </c>
      <c r="E1527" t="inlineStr">
        <is>
          <t>Output</t>
        </is>
      </c>
      <c r="F1527" t="inlineStr">
        <is>
          <t>'=H89/H88-1</t>
        </is>
      </c>
      <c r="G1527" t="n">
        <v>-0.02236904341059875</v>
      </c>
      <c r="H1527" t="inlineStr"/>
      <c r="I1527" t="inlineStr">
        <is>
          <t>0%</t>
        </is>
      </c>
      <c r="J1527" t="b">
        <v>0</v>
      </c>
      <c r="K1527" t="b">
        <v>0</v>
      </c>
      <c r="L1527" t="n">
        <v>11</v>
      </c>
      <c r="M1527" t="inlineStr">
        <is>
          <t>FFFF0000</t>
        </is>
      </c>
      <c r="N1527" t="inlineStr">
        <is>
          <t>00000000</t>
        </is>
      </c>
      <c r="O1527" t="n">
        <v/>
      </c>
      <c r="R1527" t="b">
        <v>1</v>
      </c>
      <c r="S1527" t="inlineStr">
        <is>
          <t>G000156</t>
        </is>
      </c>
      <c r="T1527" t="inlineStr">
        <is>
          <t>Vertical</t>
        </is>
      </c>
      <c r="U1527" t="n">
        <v>97</v>
      </c>
      <c r="V1527" t="b">
        <v>1</v>
      </c>
      <c r="W1527" t="inlineStr">
        <is>
          <t>ATF Fuel 2!I3:I99</t>
        </is>
      </c>
      <c r="X1527">
        <f>R[0]C[-1]/R[-1]C[-1]-1</f>
        <v/>
      </c>
    </row>
    <row r="1528">
      <c r="A1528" t="inlineStr">
        <is>
          <t>ATF Fuel 2</t>
        </is>
      </c>
      <c r="B1528" t="inlineStr">
        <is>
          <t>J89</t>
        </is>
      </c>
      <c r="C1528" t="n">
        <v>89</v>
      </c>
      <c r="D1528" t="n">
        <v>10</v>
      </c>
      <c r="E1528" t="inlineStr">
        <is>
          <t>Input</t>
        </is>
      </c>
      <c r="F1528" t="n">
        <v/>
      </c>
      <c r="G1528" t="n">
        <v>46.02</v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11</v>
      </c>
      <c r="M1528" t="inlineStr">
        <is>
          <t>Values must be of type &lt;class 'str'&gt;</t>
        </is>
      </c>
      <c r="N1528" t="inlineStr">
        <is>
          <t>00000000</t>
        </is>
      </c>
      <c r="O1528" t="n">
        <v/>
      </c>
      <c r="R1528" t="b">
        <v>1</v>
      </c>
      <c r="S1528" t="n">
        <v/>
      </c>
      <c r="T1528" t="n">
        <v/>
      </c>
      <c r="U1528" t="n">
        <v/>
      </c>
      <c r="V1528" t="b">
        <v>0</v>
      </c>
      <c r="W1528" t="inlineStr"/>
      <c r="X1528" t="n">
        <v/>
      </c>
    </row>
    <row r="1529">
      <c r="A1529" t="inlineStr">
        <is>
          <t>ATF Fuel 2</t>
        </is>
      </c>
      <c r="B1529" t="inlineStr">
        <is>
          <t>K89</t>
        </is>
      </c>
      <c r="C1529" t="n">
        <v>89</v>
      </c>
      <c r="D1529" t="n">
        <v>11</v>
      </c>
      <c r="E1529" t="inlineStr">
        <is>
          <t>Output</t>
        </is>
      </c>
      <c r="F1529" t="inlineStr">
        <is>
          <t>'=J89/J88-1</t>
        </is>
      </c>
      <c r="G1529" t="n">
        <v>-0.04759933774834435</v>
      </c>
      <c r="H1529" t="inlineStr"/>
      <c r="I1529" t="inlineStr">
        <is>
          <t>0%</t>
        </is>
      </c>
      <c r="J1529" t="b">
        <v>0</v>
      </c>
      <c r="K1529" t="b">
        <v>0</v>
      </c>
      <c r="L1529" t="n">
        <v>11</v>
      </c>
      <c r="M1529" t="inlineStr">
        <is>
          <t>Values must be of type &lt;class 'str'&gt;</t>
        </is>
      </c>
      <c r="N1529" t="inlineStr">
        <is>
          <t>00000000</t>
        </is>
      </c>
      <c r="O1529" t="n">
        <v/>
      </c>
      <c r="R1529" t="b">
        <v>1</v>
      </c>
      <c r="S1529" t="inlineStr">
        <is>
          <t>G000157</t>
        </is>
      </c>
      <c r="T1529" t="inlineStr">
        <is>
          <t>Vertical</t>
        </is>
      </c>
      <c r="U1529" t="n">
        <v>93</v>
      </c>
      <c r="V1529" t="b">
        <v>1</v>
      </c>
      <c r="W1529" t="inlineStr">
        <is>
          <t>ATF Fuel 2!K3:K95</t>
        </is>
      </c>
      <c r="X1529">
        <f>R[0]C[-1]/R[-1]C[-1]-1</f>
        <v/>
      </c>
    </row>
    <row r="1530">
      <c r="A1530" t="inlineStr">
        <is>
          <t>ATF Fuel 2</t>
        </is>
      </c>
      <c r="B1530" t="inlineStr">
        <is>
          <t>L89</t>
        </is>
      </c>
      <c r="C1530" t="n">
        <v>89</v>
      </c>
      <c r="D1530" t="n">
        <v>12</v>
      </c>
      <c r="E1530" t="inlineStr">
        <is>
          <t>Input</t>
        </is>
      </c>
      <c r="F1530" t="n">
        <v/>
      </c>
      <c r="G1530" t="inlineStr">
        <is>
          <t>July 01, 2017</t>
        </is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11</v>
      </c>
      <c r="M1530" t="inlineStr">
        <is>
          <t>Values must be of type &lt;class 'str'&gt;</t>
        </is>
      </c>
      <c r="N1530" t="inlineStr">
        <is>
          <t>00000000</t>
        </is>
      </c>
      <c r="O1530" t="inlineStr">
        <is>
          <t>left</t>
        </is>
      </c>
      <c r="R1530" t="b">
        <v>1</v>
      </c>
      <c r="S1530" t="n">
        <v/>
      </c>
      <c r="T1530" t="n">
        <v/>
      </c>
      <c r="U1530" t="n">
        <v/>
      </c>
      <c r="V1530" t="b">
        <v>0</v>
      </c>
      <c r="W1530" t="inlineStr"/>
      <c r="X1530" t="n">
        <v/>
      </c>
    </row>
    <row r="1531">
      <c r="A1531" t="inlineStr">
        <is>
          <t>ATF Fuel 2</t>
        </is>
      </c>
      <c r="B1531" t="inlineStr">
        <is>
          <t>M89</t>
        </is>
      </c>
      <c r="C1531" t="n">
        <v>89</v>
      </c>
      <c r="D1531" t="n">
        <v>13</v>
      </c>
      <c r="E1531" t="inlineStr">
        <is>
          <t>Calculation</t>
        </is>
      </c>
      <c r="F1531" t="inlineStr">
        <is>
          <t>'=(1+(B89/B88)-1)*M88</t>
        </is>
      </c>
      <c r="G1531" t="n">
        <v>109.6579653182486</v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11</v>
      </c>
      <c r="M1531" t="inlineStr">
        <is>
          <t>Values must be of type &lt;class 'str'&gt;</t>
        </is>
      </c>
      <c r="N1531" t="inlineStr">
        <is>
          <t>00000000</t>
        </is>
      </c>
      <c r="O1531" t="inlineStr">
        <is>
          <t>left</t>
        </is>
      </c>
      <c r="R1531" t="b">
        <v>1</v>
      </c>
      <c r="S1531" t="inlineStr">
        <is>
          <t>G000159</t>
        </is>
      </c>
      <c r="T1531" t="inlineStr">
        <is>
          <t>Vertical</t>
        </is>
      </c>
      <c r="U1531" t="n">
        <v>92</v>
      </c>
      <c r="V1531" t="b">
        <v>1</v>
      </c>
      <c r="W1531" t="inlineStr">
        <is>
          <t>ATF Fuel 2!M3:M94</t>
        </is>
      </c>
      <c r="X1531">
        <f>(1+(R[0]C[-11]/R[-1]C[-11])-1)*R[-1]C[0]</f>
        <v/>
      </c>
    </row>
    <row r="1532">
      <c r="A1532" t="inlineStr">
        <is>
          <t>ATF Fuel 2</t>
        </is>
      </c>
      <c r="B1532" t="inlineStr">
        <is>
          <t>N89</t>
        </is>
      </c>
      <c r="C1532" t="n">
        <v>89</v>
      </c>
      <c r="D1532" t="n">
        <v>14</v>
      </c>
      <c r="E1532" t="inlineStr">
        <is>
          <t>Calculation</t>
        </is>
      </c>
      <c r="F1532" t="inlineStr">
        <is>
          <t>'=(1+(F89/F88)-1)*N88</t>
        </is>
      </c>
      <c r="G1532" t="n">
        <v>59.45782403485428</v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11</v>
      </c>
      <c r="M1532" t="inlineStr">
        <is>
          <t>Values must be of type &lt;class 'str'&gt;</t>
        </is>
      </c>
      <c r="N1532" t="inlineStr">
        <is>
          <t>00000000</t>
        </is>
      </c>
      <c r="O1532" t="inlineStr">
        <is>
          <t>left</t>
        </is>
      </c>
      <c r="R1532" t="b">
        <v>1</v>
      </c>
      <c r="S1532" t="inlineStr">
        <is>
          <t>G000160</t>
        </is>
      </c>
      <c r="T1532" t="inlineStr">
        <is>
          <t>Vertical</t>
        </is>
      </c>
      <c r="U1532" t="n">
        <v>92</v>
      </c>
      <c r="V1532" t="b">
        <v>1</v>
      </c>
      <c r="W1532" t="inlineStr">
        <is>
          <t>ATF Fuel 2!N3:N94</t>
        </is>
      </c>
      <c r="X1532">
        <f>(1+(R[0]C[-8]/R[-1]C[-8])-1)*R[-1]C[0]</f>
        <v/>
      </c>
    </row>
    <row r="1533">
      <c r="A1533" t="inlineStr">
        <is>
          <t>ATF Fuel 2</t>
        </is>
      </c>
      <c r="B1533" t="inlineStr">
        <is>
          <t>O89</t>
        </is>
      </c>
      <c r="C1533" t="n">
        <v>89</v>
      </c>
      <c r="D1533" t="n">
        <v>15</v>
      </c>
      <c r="E1533" t="inlineStr">
        <is>
          <t>Calculation</t>
        </is>
      </c>
      <c r="F1533" t="inlineStr">
        <is>
          <t>'=(1+(J89/J88)-1)*O88</t>
        </is>
      </c>
      <c r="G1533" t="n">
        <v>54.44220986631967</v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11</v>
      </c>
      <c r="M1533" t="inlineStr">
        <is>
          <t>Values must be of type &lt;class 'str'&gt;</t>
        </is>
      </c>
      <c r="N1533" t="inlineStr">
        <is>
          <t>00000000</t>
        </is>
      </c>
      <c r="O1533" t="inlineStr">
        <is>
          <t>left</t>
        </is>
      </c>
      <c r="R1533" t="b">
        <v>1</v>
      </c>
      <c r="S1533" t="inlineStr">
        <is>
          <t>G000162</t>
        </is>
      </c>
      <c r="T1533" t="inlineStr">
        <is>
          <t>Vertical</t>
        </is>
      </c>
      <c r="U1533" t="n">
        <v>92</v>
      </c>
      <c r="V1533" t="b">
        <v>1</v>
      </c>
      <c r="W1533" t="inlineStr">
        <is>
          <t>ATF Fuel 2!O3:O94</t>
        </is>
      </c>
      <c r="X1533">
        <f>(1+(R[0]C[-5]/R[-1]C[-5])-1)*R[-1]C[0]</f>
        <v/>
      </c>
    </row>
    <row r="1534">
      <c r="A1534" t="inlineStr">
        <is>
          <t>ATF Fuel 2</t>
        </is>
      </c>
      <c r="B1534" t="inlineStr">
        <is>
          <t>P89</t>
        </is>
      </c>
      <c r="C1534" t="n">
        <v>89</v>
      </c>
      <c r="D1534" t="n">
        <v>16</v>
      </c>
      <c r="E1534" t="inlineStr">
        <is>
          <t>Calculation</t>
        </is>
      </c>
      <c r="F1534" t="inlineStr">
        <is>
          <t>'=(1+(H89/H88)-1)*P88</t>
        </is>
      </c>
      <c r="G1534" t="n">
        <v>85.9255886437566</v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11</v>
      </c>
      <c r="M1534" t="inlineStr">
        <is>
          <t>Values must be of type &lt;class 'str'&gt;</t>
        </is>
      </c>
      <c r="N1534" t="inlineStr">
        <is>
          <t>00000000</t>
        </is>
      </c>
      <c r="O1534" t="inlineStr">
        <is>
          <t>left</t>
        </is>
      </c>
      <c r="R1534" t="b">
        <v>1</v>
      </c>
      <c r="S1534" t="inlineStr">
        <is>
          <t>G000161</t>
        </is>
      </c>
      <c r="T1534" t="inlineStr">
        <is>
          <t>Vertical</t>
        </is>
      </c>
      <c r="U1534" t="n">
        <v>92</v>
      </c>
      <c r="V1534" t="b">
        <v>1</v>
      </c>
      <c r="W1534" t="inlineStr">
        <is>
          <t>ATF Fuel 2!P3:P94</t>
        </is>
      </c>
      <c r="X1534">
        <f>(1+(R[0]C[-8]/R[-1]C[-8])-1)*R[-1]C[0]</f>
        <v/>
      </c>
    </row>
    <row r="1535">
      <c r="A1535" t="inlineStr">
        <is>
          <t>ATF Fuel 2</t>
        </is>
      </c>
      <c r="B1535" t="inlineStr">
        <is>
          <t>Q89</t>
        </is>
      </c>
      <c r="C1535" t="n">
        <v>89</v>
      </c>
      <c r="D1535" t="n">
        <v>17</v>
      </c>
      <c r="E1535" t="inlineStr">
        <is>
          <t>Output</t>
        </is>
      </c>
      <c r="F1535" t="inlineStr">
        <is>
          <t>'=M89/N89-1</t>
        </is>
      </c>
      <c r="G1535" t="n">
        <v>0.8442983257168464</v>
      </c>
      <c r="H1535" t="inlineStr"/>
      <c r="I1535" t="inlineStr">
        <is>
          <t>0.0%</t>
        </is>
      </c>
      <c r="J1535" t="b">
        <v>0</v>
      </c>
      <c r="K1535" t="b">
        <v>0</v>
      </c>
      <c r="L1535" t="n">
        <v>11</v>
      </c>
      <c r="M1535" t="inlineStr">
        <is>
          <t>Values must be of type &lt;class 'str'&gt;</t>
        </is>
      </c>
      <c r="N1535" t="inlineStr">
        <is>
          <t>00000000</t>
        </is>
      </c>
      <c r="O1535" t="n">
        <v/>
      </c>
      <c r="R1535" t="b">
        <v>1</v>
      </c>
      <c r="S1535" t="inlineStr">
        <is>
          <t>G000153</t>
        </is>
      </c>
      <c r="T1535" t="inlineStr">
        <is>
          <t>Vertical</t>
        </is>
      </c>
      <c r="U1535" t="n">
        <v>93</v>
      </c>
      <c r="V1535" t="b">
        <v>1</v>
      </c>
      <c r="W1535" t="inlineStr">
        <is>
          <t>ATF Fuel 2!Q2:Q94</t>
        </is>
      </c>
      <c r="X1535">
        <f>R[0]C[-4]/R[0]C[-3]-1</f>
        <v/>
      </c>
    </row>
    <row r="1536">
      <c r="A1536" t="inlineStr">
        <is>
          <t>ATF Fuel 2</t>
        </is>
      </c>
      <c r="B1536" t="inlineStr">
        <is>
          <t>A90</t>
        </is>
      </c>
      <c r="C1536" t="n">
        <v>90</v>
      </c>
      <c r="D1536" t="n">
        <v>1</v>
      </c>
      <c r="E1536" t="inlineStr">
        <is>
          <t>Input</t>
        </is>
      </c>
      <c r="F1536" t="n">
        <v/>
      </c>
      <c r="G1536" t="inlineStr">
        <is>
          <t>August 01, 2017</t>
        </is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11</v>
      </c>
      <c r="M1536" t="inlineStr">
        <is>
          <t>Values must be of type &lt;class 'str'&gt;</t>
        </is>
      </c>
      <c r="N1536" t="inlineStr">
        <is>
          <t>00000000</t>
        </is>
      </c>
      <c r="O1536" t="n">
        <v/>
      </c>
      <c r="R1536" t="b">
        <v>1</v>
      </c>
      <c r="S1536" t="n">
        <v/>
      </c>
      <c r="T1536" t="n">
        <v/>
      </c>
      <c r="U1536" t="n">
        <v/>
      </c>
      <c r="V1536" t="b">
        <v>0</v>
      </c>
      <c r="W1536" t="inlineStr"/>
      <c r="X1536" t="n">
        <v/>
      </c>
    </row>
    <row r="1537">
      <c r="A1537" t="inlineStr">
        <is>
          <t>ATF Fuel 2</t>
        </is>
      </c>
      <c r="B1537" t="inlineStr">
        <is>
          <t>B90</t>
        </is>
      </c>
      <c r="C1537" t="n">
        <v>90</v>
      </c>
      <c r="D1537" t="n">
        <v>2</v>
      </c>
      <c r="E1537" t="inlineStr">
        <is>
          <t>Input</t>
        </is>
      </c>
      <c r="F1537" t="n">
        <v/>
      </c>
      <c r="G1537" t="n">
        <v>50259.33333333334</v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11</v>
      </c>
      <c r="M1537" t="inlineStr">
        <is>
          <t>Values must be of type &lt;class 'str'&gt;</t>
        </is>
      </c>
      <c r="N1537" t="inlineStr">
        <is>
          <t>00000000</t>
        </is>
      </c>
      <c r="O1537" t="n">
        <v/>
      </c>
      <c r="R1537" t="b">
        <v>1</v>
      </c>
      <c r="S1537" t="n">
        <v/>
      </c>
      <c r="T1537" t="n">
        <v/>
      </c>
      <c r="U1537" t="n">
        <v/>
      </c>
      <c r="V1537" t="b">
        <v>0</v>
      </c>
      <c r="W1537" t="inlineStr"/>
      <c r="X1537" t="n">
        <v/>
      </c>
    </row>
    <row r="1538">
      <c r="A1538" t="inlineStr">
        <is>
          <t>ATF Fuel 2</t>
        </is>
      </c>
      <c r="B1538" t="inlineStr">
        <is>
          <t>C90</t>
        </is>
      </c>
      <c r="C1538" t="n">
        <v>90</v>
      </c>
      <c r="D1538" t="n">
        <v>3</v>
      </c>
      <c r="E1538" t="inlineStr">
        <is>
          <t>Output</t>
        </is>
      </c>
      <c r="F1538" t="inlineStr">
        <is>
          <t>'=B90/B89-1</t>
        </is>
      </c>
      <c r="G1538" t="n">
        <v>0.03315945901962292</v>
      </c>
      <c r="H1538" t="inlineStr"/>
      <c r="I1538" t="inlineStr">
        <is>
          <t>0%</t>
        </is>
      </c>
      <c r="J1538" t="b">
        <v>0</v>
      </c>
      <c r="K1538" t="b">
        <v>0</v>
      </c>
      <c r="L1538" t="n">
        <v>11</v>
      </c>
      <c r="M1538" t="n">
        <v/>
      </c>
      <c r="N1538" t="inlineStr">
        <is>
          <t>00000000</t>
        </is>
      </c>
      <c r="O1538" t="n">
        <v/>
      </c>
      <c r="R1538" t="b">
        <v>1</v>
      </c>
      <c r="S1538" t="inlineStr">
        <is>
          <t>G000154</t>
        </is>
      </c>
      <c r="T1538" t="inlineStr">
        <is>
          <t>Vertical</t>
        </is>
      </c>
      <c r="U1538" t="n">
        <v>92</v>
      </c>
      <c r="V1538" t="b">
        <v>1</v>
      </c>
      <c r="W1538" t="inlineStr">
        <is>
          <t>ATF Fuel 2!C3:C94</t>
        </is>
      </c>
      <c r="X1538">
        <f>R[0]C[-1]/R[-1]C[-1]-1</f>
        <v/>
      </c>
    </row>
    <row r="1539">
      <c r="A1539" t="inlineStr">
        <is>
          <t>ATF Fuel 2</t>
        </is>
      </c>
      <c r="B1539" t="inlineStr">
        <is>
          <t>D90</t>
        </is>
      </c>
      <c r="C1539" t="n">
        <v>90</v>
      </c>
      <c r="D1539" t="n">
        <v>4</v>
      </c>
      <c r="E1539" t="inlineStr">
        <is>
          <t>Input</t>
        </is>
      </c>
      <c r="F1539" t="n">
        <v/>
      </c>
      <c r="G1539" t="n">
        <v>64.105</v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11</v>
      </c>
      <c r="M1539" t="inlineStr">
        <is>
          <t>Values must be of type &lt;class 'str'&gt;</t>
        </is>
      </c>
      <c r="N1539" t="inlineStr">
        <is>
          <t>00000000</t>
        </is>
      </c>
      <c r="O1539" t="n">
        <v/>
      </c>
      <c r="R1539" t="b">
        <v>1</v>
      </c>
      <c r="S1539" t="n">
        <v/>
      </c>
      <c r="T1539" t="n">
        <v/>
      </c>
      <c r="U1539" t="n">
        <v/>
      </c>
      <c r="V1539" t="b">
        <v>0</v>
      </c>
      <c r="W1539" t="inlineStr"/>
      <c r="X1539" t="n">
        <v/>
      </c>
    </row>
    <row r="1540">
      <c r="A1540" t="inlineStr">
        <is>
          <t>ATF Fuel 2</t>
        </is>
      </c>
      <c r="B1540" t="inlineStr">
        <is>
          <t>E90</t>
        </is>
      </c>
      <c r="C1540" t="n">
        <v>90</v>
      </c>
      <c r="D1540" t="n">
        <v>5</v>
      </c>
      <c r="E1540" t="inlineStr">
        <is>
          <t>Output</t>
        </is>
      </c>
      <c r="F1540" t="inlineStr">
        <is>
          <t>'=B90/B89-1</t>
        </is>
      </c>
      <c r="G1540" t="n">
        <v>0.03315945901962292</v>
      </c>
      <c r="H1540" t="inlineStr"/>
      <c r="I1540" t="inlineStr">
        <is>
          <t>0%</t>
        </is>
      </c>
      <c r="J1540" t="b">
        <v>0</v>
      </c>
      <c r="K1540" t="b">
        <v>0</v>
      </c>
      <c r="L1540" t="n">
        <v>11</v>
      </c>
      <c r="M1540" t="inlineStr">
        <is>
          <t>Values must be of type &lt;class 'str'&gt;</t>
        </is>
      </c>
      <c r="N1540" t="inlineStr">
        <is>
          <t>00000000</t>
        </is>
      </c>
      <c r="O1540" t="n">
        <v/>
      </c>
      <c r="R1540" t="b">
        <v>1</v>
      </c>
      <c r="S1540" t="inlineStr">
        <is>
          <t>G000158</t>
        </is>
      </c>
      <c r="T1540" t="inlineStr">
        <is>
          <t>Vertical</t>
        </is>
      </c>
      <c r="U1540" t="n">
        <v>92</v>
      </c>
      <c r="V1540" t="b">
        <v>1</v>
      </c>
      <c r="W1540" t="inlineStr">
        <is>
          <t>ATF Fuel 2!E3:E94</t>
        </is>
      </c>
      <c r="X1540">
        <f>R[0]C[-3]/R[-1]C[-3]-1</f>
        <v/>
      </c>
    </row>
    <row r="1541">
      <c r="A1541" t="inlineStr">
        <is>
          <t>ATF Fuel 2</t>
        </is>
      </c>
      <c r="B1541" t="inlineStr">
        <is>
          <t>F90</t>
        </is>
      </c>
      <c r="C1541" t="n">
        <v>90</v>
      </c>
      <c r="D1541" t="n">
        <v>6</v>
      </c>
      <c r="E1541" t="inlineStr">
        <is>
          <t>Input</t>
        </is>
      </c>
      <c r="F1541" t="n">
        <v/>
      </c>
      <c r="G1541" t="n">
        <v>51.99</v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11</v>
      </c>
      <c r="M1541" t="inlineStr">
        <is>
          <t>Values must be of type &lt;class 'str'&gt;</t>
        </is>
      </c>
      <c r="N1541" t="inlineStr">
        <is>
          <t>00000000</t>
        </is>
      </c>
      <c r="O1541" t="n">
        <v/>
      </c>
      <c r="R1541" t="b">
        <v>1</v>
      </c>
      <c r="S1541" t="n">
        <v/>
      </c>
      <c r="T1541" t="n">
        <v/>
      </c>
      <c r="U1541" t="n">
        <v/>
      </c>
      <c r="V1541" t="b">
        <v>0</v>
      </c>
      <c r="W1541" t="inlineStr"/>
      <c r="X1541" t="n">
        <v/>
      </c>
    </row>
    <row r="1542">
      <c r="A1542" t="inlineStr">
        <is>
          <t>ATF Fuel 2</t>
        </is>
      </c>
      <c r="B1542" t="inlineStr">
        <is>
          <t>G90</t>
        </is>
      </c>
      <c r="C1542" t="n">
        <v>90</v>
      </c>
      <c r="D1542" t="n">
        <v>7</v>
      </c>
      <c r="E1542" t="inlineStr">
        <is>
          <t>Output</t>
        </is>
      </c>
      <c r="F1542" t="inlineStr">
        <is>
          <t>'=F90/F89-1</t>
        </is>
      </c>
      <c r="G1542" t="n">
        <v>0.05821290453897832</v>
      </c>
      <c r="H1542" t="inlineStr"/>
      <c r="I1542" t="inlineStr">
        <is>
          <t>0%</t>
        </is>
      </c>
      <c r="J1542" t="b">
        <v>0</v>
      </c>
      <c r="K1542" t="b">
        <v>0</v>
      </c>
      <c r="L1542" t="n">
        <v>11</v>
      </c>
      <c r="M1542" t="inlineStr">
        <is>
          <t>Values must be of type &lt;class 'str'&gt;</t>
        </is>
      </c>
      <c r="N1542" t="inlineStr">
        <is>
          <t>00000000</t>
        </is>
      </c>
      <c r="O1542" t="n">
        <v/>
      </c>
      <c r="R1542" t="b">
        <v>1</v>
      </c>
      <c r="S1542" t="inlineStr">
        <is>
          <t>G000155</t>
        </is>
      </c>
      <c r="T1542" t="inlineStr">
        <is>
          <t>Vertical</t>
        </is>
      </c>
      <c r="U1542" t="n">
        <v>93</v>
      </c>
      <c r="V1542" t="b">
        <v>1</v>
      </c>
      <c r="W1542" t="inlineStr">
        <is>
          <t>ATF Fuel 2!G3:G95</t>
        </is>
      </c>
      <c r="X1542">
        <f>R[0]C[-1]/R[-1]C[-1]-1</f>
        <v/>
      </c>
    </row>
    <row r="1543">
      <c r="A1543" t="inlineStr">
        <is>
          <t>ATF Fuel 2</t>
        </is>
      </c>
      <c r="B1543" t="inlineStr">
        <is>
          <t>H90</t>
        </is>
      </c>
      <c r="C1543" t="n">
        <v>90</v>
      </c>
      <c r="D1543" t="n">
        <v>8</v>
      </c>
      <c r="E1543" t="inlineStr">
        <is>
          <t>Calculation</t>
        </is>
      </c>
      <c r="F1543" t="inlineStr">
        <is>
          <t>'=D90*F90</t>
        </is>
      </c>
      <c r="G1543" t="n">
        <v>3332.81895</v>
      </c>
      <c r="H1543" t="inlineStr"/>
      <c r="I1543" t="inlineStr">
        <is>
          <t>0</t>
        </is>
      </c>
      <c r="J1543" t="b">
        <v>0</v>
      </c>
      <c r="K1543" t="b">
        <v>0</v>
      </c>
      <c r="L1543" t="n">
        <v>11</v>
      </c>
      <c r="M1543" t="inlineStr">
        <is>
          <t>Values must be of type &lt;class 'str'&gt;</t>
        </is>
      </c>
      <c r="N1543" t="inlineStr">
        <is>
          <t>00000000</t>
        </is>
      </c>
      <c r="O1543" t="n">
        <v/>
      </c>
      <c r="R1543" t="b">
        <v>1</v>
      </c>
      <c r="S1543" t="inlineStr">
        <is>
          <t>G000152</t>
        </is>
      </c>
      <c r="T1543" t="inlineStr">
        <is>
          <t>Vertical</t>
        </is>
      </c>
      <c r="U1543" t="n">
        <v>98</v>
      </c>
      <c r="V1543" t="b">
        <v>1</v>
      </c>
      <c r="W1543" t="inlineStr">
        <is>
          <t>ATF Fuel 2!H2:H99</t>
        </is>
      </c>
      <c r="X1543">
        <f>R[0]C[-4]*R[0]C[-2]</f>
        <v/>
      </c>
    </row>
    <row r="1544">
      <c r="A1544" t="inlineStr">
        <is>
          <t>ATF Fuel 2</t>
        </is>
      </c>
      <c r="B1544" t="inlineStr">
        <is>
          <t>I90</t>
        </is>
      </c>
      <c r="C1544" t="n">
        <v>90</v>
      </c>
      <c r="D1544" t="n">
        <v>9</v>
      </c>
      <c r="E1544" t="inlineStr">
        <is>
          <t>Output</t>
        </is>
      </c>
      <c r="F1544" t="inlineStr">
        <is>
          <t>'=H90/H89-1</t>
        </is>
      </c>
      <c r="G1544" t="n">
        <v>0.04872440667034406</v>
      </c>
      <c r="H1544" t="inlineStr"/>
      <c r="I1544" t="inlineStr">
        <is>
          <t>0%</t>
        </is>
      </c>
      <c r="J1544" t="b">
        <v>0</v>
      </c>
      <c r="K1544" t="b">
        <v>0</v>
      </c>
      <c r="L1544" t="n">
        <v>11</v>
      </c>
      <c r="M1544" t="inlineStr">
        <is>
          <t>FFFF0000</t>
        </is>
      </c>
      <c r="N1544" t="inlineStr">
        <is>
          <t>00000000</t>
        </is>
      </c>
      <c r="O1544" t="n">
        <v/>
      </c>
      <c r="R1544" t="b">
        <v>1</v>
      </c>
      <c r="S1544" t="inlineStr">
        <is>
          <t>G000156</t>
        </is>
      </c>
      <c r="T1544" t="inlineStr">
        <is>
          <t>Vertical</t>
        </is>
      </c>
      <c r="U1544" t="n">
        <v>97</v>
      </c>
      <c r="V1544" t="b">
        <v>1</v>
      </c>
      <c r="W1544" t="inlineStr">
        <is>
          <t>ATF Fuel 2!I3:I99</t>
        </is>
      </c>
      <c r="X1544">
        <f>R[0]C[-1]/R[-1]C[-1]-1</f>
        <v/>
      </c>
    </row>
    <row r="1545">
      <c r="A1545" t="inlineStr">
        <is>
          <t>ATF Fuel 2</t>
        </is>
      </c>
      <c r="B1545" t="inlineStr">
        <is>
          <t>J90</t>
        </is>
      </c>
      <c r="C1545" t="n">
        <v>90</v>
      </c>
      <c r="D1545" t="n">
        <v>10</v>
      </c>
      <c r="E1545" t="inlineStr">
        <is>
          <t>Input</t>
        </is>
      </c>
      <c r="F1545" t="n">
        <v/>
      </c>
      <c r="G1545" t="n">
        <v>49.19</v>
      </c>
      <c r="H1545" t="inlineStr"/>
      <c r="I1545" t="inlineStr">
        <is>
          <t>General</t>
        </is>
      </c>
      <c r="J1545" t="b">
        <v>0</v>
      </c>
      <c r="K1545" t="b">
        <v>0</v>
      </c>
      <c r="L1545" t="n">
        <v>11</v>
      </c>
      <c r="M1545" t="inlineStr">
        <is>
          <t>Values must be of type &lt;class 'str'&gt;</t>
        </is>
      </c>
      <c r="N1545" t="inlineStr">
        <is>
          <t>00000000</t>
        </is>
      </c>
      <c r="O1545" t="n">
        <v/>
      </c>
      <c r="R1545" t="b">
        <v>1</v>
      </c>
      <c r="S1545" t="n">
        <v/>
      </c>
      <c r="T1545" t="n">
        <v/>
      </c>
      <c r="U1545" t="n">
        <v/>
      </c>
      <c r="V1545" t="b">
        <v>0</v>
      </c>
      <c r="W1545" t="inlineStr"/>
      <c r="X1545" t="n">
        <v/>
      </c>
    </row>
    <row r="1546">
      <c r="A1546" t="inlineStr">
        <is>
          <t>ATF Fuel 2</t>
        </is>
      </c>
      <c r="B1546" t="inlineStr">
        <is>
          <t>K90</t>
        </is>
      </c>
      <c r="C1546" t="n">
        <v>90</v>
      </c>
      <c r="D1546" t="n">
        <v>11</v>
      </c>
      <c r="E1546" t="inlineStr">
        <is>
          <t>Output</t>
        </is>
      </c>
      <c r="F1546" t="inlineStr">
        <is>
          <t>'=J90/J89-1</t>
        </is>
      </c>
      <c r="G1546" t="n">
        <v>0.06888309430682305</v>
      </c>
      <c r="H1546" t="inlineStr"/>
      <c r="I1546" t="inlineStr">
        <is>
          <t>0%</t>
        </is>
      </c>
      <c r="J1546" t="b">
        <v>0</v>
      </c>
      <c r="K1546" t="b">
        <v>0</v>
      </c>
      <c r="L1546" t="n">
        <v>11</v>
      </c>
      <c r="M1546" t="inlineStr">
        <is>
          <t>Values must be of type &lt;class 'str'&gt;</t>
        </is>
      </c>
      <c r="N1546" t="inlineStr">
        <is>
          <t>00000000</t>
        </is>
      </c>
      <c r="O1546" t="n">
        <v/>
      </c>
      <c r="R1546" t="b">
        <v>1</v>
      </c>
      <c r="S1546" t="inlineStr">
        <is>
          <t>G000157</t>
        </is>
      </c>
      <c r="T1546" t="inlineStr">
        <is>
          <t>Vertical</t>
        </is>
      </c>
      <c r="U1546" t="n">
        <v>93</v>
      </c>
      <c r="V1546" t="b">
        <v>1</v>
      </c>
      <c r="W1546" t="inlineStr">
        <is>
          <t>ATF Fuel 2!K3:K95</t>
        </is>
      </c>
      <c r="X1546">
        <f>R[0]C[-1]/R[-1]C[-1]-1</f>
        <v/>
      </c>
    </row>
    <row r="1547">
      <c r="A1547" t="inlineStr">
        <is>
          <t>ATF Fuel 2</t>
        </is>
      </c>
      <c r="B1547" t="inlineStr">
        <is>
          <t>L90</t>
        </is>
      </c>
      <c r="C1547" t="n">
        <v>90</v>
      </c>
      <c r="D1547" t="n">
        <v>12</v>
      </c>
      <c r="E1547" t="inlineStr">
        <is>
          <t>Input</t>
        </is>
      </c>
      <c r="F1547" t="n">
        <v/>
      </c>
      <c r="G1547" t="inlineStr">
        <is>
          <t>August 01, 2017</t>
        </is>
      </c>
      <c r="H1547" t="inlineStr"/>
      <c r="I1547" t="inlineStr">
        <is>
          <t>General</t>
        </is>
      </c>
      <c r="J1547" t="b">
        <v>0</v>
      </c>
      <c r="K1547" t="b">
        <v>0</v>
      </c>
      <c r="L1547" t="n">
        <v>11</v>
      </c>
      <c r="M1547" t="inlineStr">
        <is>
          <t>Values must be of type &lt;class 'str'&gt;</t>
        </is>
      </c>
      <c r="N1547" t="inlineStr">
        <is>
          <t>00000000</t>
        </is>
      </c>
      <c r="O1547" t="inlineStr">
        <is>
          <t>left</t>
        </is>
      </c>
      <c r="R1547" t="b">
        <v>1</v>
      </c>
      <c r="S1547" t="n">
        <v/>
      </c>
      <c r="T1547" t="n">
        <v/>
      </c>
      <c r="U1547" t="n">
        <v/>
      </c>
      <c r="V1547" t="b">
        <v>0</v>
      </c>
      <c r="W1547" t="inlineStr"/>
      <c r="X1547" t="n">
        <v/>
      </c>
    </row>
    <row r="1548">
      <c r="A1548" t="inlineStr">
        <is>
          <t>ATF Fuel 2</t>
        </is>
      </c>
      <c r="B1548" t="inlineStr">
        <is>
          <t>M90</t>
        </is>
      </c>
      <c r="C1548" t="n">
        <v>90</v>
      </c>
      <c r="D1548" t="n">
        <v>13</v>
      </c>
      <c r="E1548" t="inlineStr">
        <is>
          <t>Calculation</t>
        </is>
      </c>
      <c r="F1548" t="inlineStr">
        <is>
          <t>'=(1+(B90/B89)-1)*M89</t>
        </is>
      </c>
      <c r="G1548" t="n">
        <v>113.2941641253943</v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11</v>
      </c>
      <c r="M1548" t="inlineStr">
        <is>
          <t>Values must be of type &lt;class 'str'&gt;</t>
        </is>
      </c>
      <c r="N1548" t="inlineStr">
        <is>
          <t>00000000</t>
        </is>
      </c>
      <c r="O1548" t="inlineStr">
        <is>
          <t>left</t>
        </is>
      </c>
      <c r="R1548" t="b">
        <v>1</v>
      </c>
      <c r="S1548" t="inlineStr">
        <is>
          <t>G000159</t>
        </is>
      </c>
      <c r="T1548" t="inlineStr">
        <is>
          <t>Vertical</t>
        </is>
      </c>
      <c r="U1548" t="n">
        <v>92</v>
      </c>
      <c r="V1548" t="b">
        <v>1</v>
      </c>
      <c r="W1548" t="inlineStr">
        <is>
          <t>ATF Fuel 2!M3:M94</t>
        </is>
      </c>
      <c r="X1548">
        <f>(1+(R[0]C[-11]/R[-1]C[-11])-1)*R[-1]C[0]</f>
        <v/>
      </c>
    </row>
    <row r="1549">
      <c r="A1549" t="inlineStr">
        <is>
          <t>ATF Fuel 2</t>
        </is>
      </c>
      <c r="B1549" t="inlineStr">
        <is>
          <t>N90</t>
        </is>
      </c>
      <c r="C1549" t="n">
        <v>90</v>
      </c>
      <c r="D1549" t="n">
        <v>14</v>
      </c>
      <c r="E1549" t="inlineStr">
        <is>
          <t>Calculation</t>
        </is>
      </c>
      <c r="F1549" t="inlineStr">
        <is>
          <t>'=(1+(F90/F89)-1)*N89</t>
        </is>
      </c>
      <c r="G1549" t="n">
        <v>62.91903666949062</v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11</v>
      </c>
      <c r="M1549" t="inlineStr">
        <is>
          <t>Values must be of type &lt;class 'str'&gt;</t>
        </is>
      </c>
      <c r="N1549" t="inlineStr">
        <is>
          <t>00000000</t>
        </is>
      </c>
      <c r="O1549" t="inlineStr">
        <is>
          <t>left</t>
        </is>
      </c>
      <c r="R1549" t="b">
        <v>1</v>
      </c>
      <c r="S1549" t="inlineStr">
        <is>
          <t>G000160</t>
        </is>
      </c>
      <c r="T1549" t="inlineStr">
        <is>
          <t>Vertical</t>
        </is>
      </c>
      <c r="U1549" t="n">
        <v>92</v>
      </c>
      <c r="V1549" t="b">
        <v>1</v>
      </c>
      <c r="W1549" t="inlineStr">
        <is>
          <t>ATF Fuel 2!N3:N94</t>
        </is>
      </c>
      <c r="X1549">
        <f>(1+(R[0]C[-8]/R[-1]C[-8])-1)*R[-1]C[0]</f>
        <v/>
      </c>
    </row>
    <row r="1550">
      <c r="A1550" t="inlineStr">
        <is>
          <t>ATF Fuel 2</t>
        </is>
      </c>
      <c r="B1550" t="inlineStr">
        <is>
          <t>O90</t>
        </is>
      </c>
      <c r="C1550" t="n">
        <v>90</v>
      </c>
      <c r="D1550" t="n">
        <v>15</v>
      </c>
      <c r="E1550" t="inlineStr">
        <is>
          <t>Calculation</t>
        </is>
      </c>
      <c r="F1550" t="inlineStr">
        <is>
          <t>'=(1+(J90/J89)-1)*O89</t>
        </is>
      </c>
      <c r="G1550" t="n">
        <v>58.19235774281324</v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11</v>
      </c>
      <c r="M1550" t="inlineStr">
        <is>
          <t>Values must be of type &lt;class 'str'&gt;</t>
        </is>
      </c>
      <c r="N1550" t="inlineStr">
        <is>
          <t>00000000</t>
        </is>
      </c>
      <c r="O1550" t="inlineStr">
        <is>
          <t>left</t>
        </is>
      </c>
      <c r="R1550" t="b">
        <v>1</v>
      </c>
      <c r="S1550" t="inlineStr">
        <is>
          <t>G000162</t>
        </is>
      </c>
      <c r="T1550" t="inlineStr">
        <is>
          <t>Vertical</t>
        </is>
      </c>
      <c r="U1550" t="n">
        <v>92</v>
      </c>
      <c r="V1550" t="b">
        <v>1</v>
      </c>
      <c r="W1550" t="inlineStr">
        <is>
          <t>ATF Fuel 2!O3:O94</t>
        </is>
      </c>
      <c r="X1550">
        <f>(1+(R[0]C[-5]/R[-1]C[-5])-1)*R[-1]C[0]</f>
        <v/>
      </c>
    </row>
    <row r="1551">
      <c r="A1551" t="inlineStr">
        <is>
          <t>ATF Fuel 2</t>
        </is>
      </c>
      <c r="B1551" t="inlineStr">
        <is>
          <t>P90</t>
        </is>
      </c>
      <c r="C1551" t="n">
        <v>90</v>
      </c>
      <c r="D1551" t="n">
        <v>16</v>
      </c>
      <c r="E1551" t="inlineStr">
        <is>
          <t>Calculation</t>
        </is>
      </c>
      <c r="F1551" t="inlineStr">
        <is>
          <t>'=(1+(H90/H89)-1)*P89</t>
        </is>
      </c>
      <c r="G1551" t="n">
        <v>90.11226196822369</v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11</v>
      </c>
      <c r="M1551" t="inlineStr">
        <is>
          <t>Values must be of type &lt;class 'str'&gt;</t>
        </is>
      </c>
      <c r="N1551" t="inlineStr">
        <is>
          <t>00000000</t>
        </is>
      </c>
      <c r="O1551" t="inlineStr">
        <is>
          <t>left</t>
        </is>
      </c>
      <c r="R1551" t="b">
        <v>1</v>
      </c>
      <c r="S1551" t="inlineStr">
        <is>
          <t>G000161</t>
        </is>
      </c>
      <c r="T1551" t="inlineStr">
        <is>
          <t>Vertical</t>
        </is>
      </c>
      <c r="U1551" t="n">
        <v>92</v>
      </c>
      <c r="V1551" t="b">
        <v>1</v>
      </c>
      <c r="W1551" t="inlineStr">
        <is>
          <t>ATF Fuel 2!P3:P94</t>
        </is>
      </c>
      <c r="X1551">
        <f>(1+(R[0]C[-8]/R[-1]C[-8])-1)*R[-1]C[0]</f>
        <v/>
      </c>
    </row>
    <row r="1552">
      <c r="A1552" t="inlineStr">
        <is>
          <t>ATF Fuel 2</t>
        </is>
      </c>
      <c r="B1552" t="inlineStr">
        <is>
          <t>Q90</t>
        </is>
      </c>
      <c r="C1552" t="n">
        <v>90</v>
      </c>
      <c r="D1552" t="n">
        <v>17</v>
      </c>
      <c r="E1552" t="inlineStr">
        <is>
          <t>Output</t>
        </is>
      </c>
      <c r="F1552" t="inlineStr">
        <is>
          <t>'=M90/N90-1</t>
        </is>
      </c>
      <c r="G1552" t="n">
        <v>0.8006341184230263</v>
      </c>
      <c r="H1552" t="inlineStr"/>
      <c r="I1552" t="inlineStr">
        <is>
          <t>0.0%</t>
        </is>
      </c>
      <c r="J1552" t="b">
        <v>0</v>
      </c>
      <c r="K1552" t="b">
        <v>0</v>
      </c>
      <c r="L1552" t="n">
        <v>11</v>
      </c>
      <c r="M1552" t="inlineStr">
        <is>
          <t>Values must be of type &lt;class 'str'&gt;</t>
        </is>
      </c>
      <c r="N1552" t="inlineStr">
        <is>
          <t>00000000</t>
        </is>
      </c>
      <c r="O1552" t="n">
        <v/>
      </c>
      <c r="R1552" t="b">
        <v>1</v>
      </c>
      <c r="S1552" t="inlineStr">
        <is>
          <t>G000153</t>
        </is>
      </c>
      <c r="T1552" t="inlineStr">
        <is>
          <t>Vertical</t>
        </is>
      </c>
      <c r="U1552" t="n">
        <v>93</v>
      </c>
      <c r="V1552" t="b">
        <v>1</v>
      </c>
      <c r="W1552" t="inlineStr">
        <is>
          <t>ATF Fuel 2!Q2:Q94</t>
        </is>
      </c>
      <c r="X1552">
        <f>R[0]C[-4]/R[0]C[-3]-1</f>
        <v/>
      </c>
    </row>
    <row r="1553">
      <c r="A1553" t="inlineStr">
        <is>
          <t>ATF Fuel 2</t>
        </is>
      </c>
      <c r="B1553" t="inlineStr">
        <is>
          <t>A91</t>
        </is>
      </c>
      <c r="C1553" t="n">
        <v>91</v>
      </c>
      <c r="D1553" t="n">
        <v>1</v>
      </c>
      <c r="E1553" t="inlineStr">
        <is>
          <t>Input</t>
        </is>
      </c>
      <c r="F1553" t="n">
        <v/>
      </c>
      <c r="G1553" t="inlineStr">
        <is>
          <t>September 01,2017</t>
        </is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11</v>
      </c>
      <c r="M1553" t="inlineStr">
        <is>
          <t>Values must be of type &lt;class 'str'&gt;</t>
        </is>
      </c>
      <c r="N1553" t="inlineStr">
        <is>
          <t>00000000</t>
        </is>
      </c>
      <c r="O1553" t="n">
        <v/>
      </c>
      <c r="R1553" t="b">
        <v>1</v>
      </c>
      <c r="S1553" t="n">
        <v/>
      </c>
      <c r="T1553" t="n">
        <v/>
      </c>
      <c r="U1553" t="n">
        <v/>
      </c>
      <c r="V1553" t="b">
        <v>0</v>
      </c>
      <c r="W1553" t="inlineStr"/>
      <c r="X1553" t="n">
        <v/>
      </c>
    </row>
    <row r="1554">
      <c r="A1554" t="inlineStr">
        <is>
          <t>ATF Fuel 2</t>
        </is>
      </c>
      <c r="B1554" t="inlineStr">
        <is>
          <t>B91</t>
        </is>
      </c>
      <c r="C1554" t="n">
        <v>91</v>
      </c>
      <c r="D1554" t="n">
        <v>2</v>
      </c>
      <c r="E1554" t="inlineStr">
        <is>
          <t>Input</t>
        </is>
      </c>
      <c r="F1554" t="n">
        <v/>
      </c>
      <c r="G1554" t="n">
        <v>51639.75</v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11</v>
      </c>
      <c r="M1554" t="inlineStr">
        <is>
          <t>Values must be of type &lt;class 'str'&gt;</t>
        </is>
      </c>
      <c r="N1554" t="inlineStr">
        <is>
          <t>00000000</t>
        </is>
      </c>
      <c r="O1554" t="n">
        <v/>
      </c>
      <c r="R1554" t="b">
        <v>1</v>
      </c>
      <c r="S1554" t="n">
        <v/>
      </c>
      <c r="T1554" t="n">
        <v/>
      </c>
      <c r="U1554" t="n">
        <v/>
      </c>
      <c r="V1554" t="b">
        <v>0</v>
      </c>
      <c r="W1554" t="inlineStr"/>
      <c r="X1554" t="n">
        <v/>
      </c>
    </row>
    <row r="1555">
      <c r="A1555" t="inlineStr">
        <is>
          <t>ATF Fuel 2</t>
        </is>
      </c>
      <c r="B1555" t="inlineStr">
        <is>
          <t>C91</t>
        </is>
      </c>
      <c r="C1555" t="n">
        <v>91</v>
      </c>
      <c r="D1555" t="n">
        <v>3</v>
      </c>
      <c r="E1555" t="inlineStr">
        <is>
          <t>Output</t>
        </is>
      </c>
      <c r="F1555" t="inlineStr">
        <is>
          <t>'=B91/B90-1</t>
        </is>
      </c>
      <c r="G1555" t="n">
        <v>0.02746587698470604</v>
      </c>
      <c r="H1555" t="inlineStr"/>
      <c r="I1555" t="inlineStr">
        <is>
          <t>0%</t>
        </is>
      </c>
      <c r="J1555" t="b">
        <v>0</v>
      </c>
      <c r="K1555" t="b">
        <v>0</v>
      </c>
      <c r="L1555" t="n">
        <v>11</v>
      </c>
      <c r="M1555" t="n">
        <v/>
      </c>
      <c r="N1555" t="inlineStr">
        <is>
          <t>00000000</t>
        </is>
      </c>
      <c r="O1555" t="n">
        <v/>
      </c>
      <c r="R1555" t="b">
        <v>1</v>
      </c>
      <c r="S1555" t="inlineStr">
        <is>
          <t>G000154</t>
        </is>
      </c>
      <c r="T1555" t="inlineStr">
        <is>
          <t>Vertical</t>
        </is>
      </c>
      <c r="U1555" t="n">
        <v>92</v>
      </c>
      <c r="V1555" t="b">
        <v>1</v>
      </c>
      <c r="W1555" t="inlineStr">
        <is>
          <t>ATF Fuel 2!C3:C94</t>
        </is>
      </c>
      <c r="X1555">
        <f>R[0]C[-1]/R[-1]C[-1]-1</f>
        <v/>
      </c>
    </row>
    <row r="1556">
      <c r="A1556" t="inlineStr">
        <is>
          <t>ATF Fuel 2</t>
        </is>
      </c>
      <c r="B1556" t="inlineStr">
        <is>
          <t>D91</t>
        </is>
      </c>
      <c r="C1556" t="n">
        <v>91</v>
      </c>
      <c r="D1556" t="n">
        <v>4</v>
      </c>
      <c r="E1556" t="inlineStr">
        <is>
          <t>Input</t>
        </is>
      </c>
      <c r="F1556" t="n">
        <v/>
      </c>
      <c r="G1556" t="n">
        <v>63.94</v>
      </c>
      <c r="H1556" t="inlineStr"/>
      <c r="I1556" t="inlineStr">
        <is>
          <t>General</t>
        </is>
      </c>
      <c r="J1556" t="b">
        <v>0</v>
      </c>
      <c r="K1556" t="b">
        <v>0</v>
      </c>
      <c r="L1556" t="n">
        <v>11</v>
      </c>
      <c r="M1556" t="inlineStr">
        <is>
          <t>Values must be of type &lt;class 'str'&gt;</t>
        </is>
      </c>
      <c r="N1556" t="inlineStr">
        <is>
          <t>00000000</t>
        </is>
      </c>
      <c r="O1556" t="n">
        <v/>
      </c>
      <c r="R1556" t="b">
        <v>1</v>
      </c>
      <c r="S1556" t="n">
        <v/>
      </c>
      <c r="T1556" t="n">
        <v/>
      </c>
      <c r="U1556" t="n">
        <v/>
      </c>
      <c r="V1556" t="b">
        <v>0</v>
      </c>
      <c r="W1556" t="inlineStr"/>
      <c r="X1556" t="n">
        <v/>
      </c>
    </row>
    <row r="1557">
      <c r="A1557" t="inlineStr">
        <is>
          <t>ATF Fuel 2</t>
        </is>
      </c>
      <c r="B1557" t="inlineStr">
        <is>
          <t>E91</t>
        </is>
      </c>
      <c r="C1557" t="n">
        <v>91</v>
      </c>
      <c r="D1557" t="n">
        <v>5</v>
      </c>
      <c r="E1557" t="inlineStr">
        <is>
          <t>Output</t>
        </is>
      </c>
      <c r="F1557" t="inlineStr">
        <is>
          <t>'=B91/B90-1</t>
        </is>
      </c>
      <c r="G1557" t="n">
        <v>0.02746587698470604</v>
      </c>
      <c r="H1557" t="inlineStr"/>
      <c r="I1557" t="inlineStr">
        <is>
          <t>0%</t>
        </is>
      </c>
      <c r="J1557" t="b">
        <v>0</v>
      </c>
      <c r="K1557" t="b">
        <v>0</v>
      </c>
      <c r="L1557" t="n">
        <v>11</v>
      </c>
      <c r="M1557" t="inlineStr">
        <is>
          <t>Values must be of type &lt;class 'str'&gt;</t>
        </is>
      </c>
      <c r="N1557" t="inlineStr">
        <is>
          <t>00000000</t>
        </is>
      </c>
      <c r="O1557" t="n">
        <v/>
      </c>
      <c r="R1557" t="b">
        <v>1</v>
      </c>
      <c r="S1557" t="inlineStr">
        <is>
          <t>G000158</t>
        </is>
      </c>
      <c r="T1557" t="inlineStr">
        <is>
          <t>Vertical</t>
        </is>
      </c>
      <c r="U1557" t="n">
        <v>92</v>
      </c>
      <c r="V1557" t="b">
        <v>1</v>
      </c>
      <c r="W1557" t="inlineStr">
        <is>
          <t>ATF Fuel 2!E3:E94</t>
        </is>
      </c>
      <c r="X1557">
        <f>R[0]C[-3]/R[-1]C[-3]-1</f>
        <v/>
      </c>
    </row>
    <row r="1558">
      <c r="A1558" t="inlineStr">
        <is>
          <t>ATF Fuel 2</t>
        </is>
      </c>
      <c r="B1558" t="inlineStr">
        <is>
          <t>F91</t>
        </is>
      </c>
      <c r="C1558" t="n">
        <v>91</v>
      </c>
      <c r="D1558" t="n">
        <v>6</v>
      </c>
      <c r="E1558" t="inlineStr">
        <is>
          <t>Input</t>
        </is>
      </c>
      <c r="F1558" t="n">
        <v/>
      </c>
      <c r="G1558" t="n">
        <v>52.69</v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11</v>
      </c>
      <c r="M1558" t="inlineStr">
        <is>
          <t>Values must be of type &lt;class 'str'&gt;</t>
        </is>
      </c>
      <c r="N1558" t="inlineStr">
        <is>
          <t>00000000</t>
        </is>
      </c>
      <c r="O1558" t="n">
        <v/>
      </c>
      <c r="R1558" t="b">
        <v>1</v>
      </c>
      <c r="S1558" t="n">
        <v/>
      </c>
      <c r="T1558" t="n">
        <v/>
      </c>
      <c r="U1558" t="n">
        <v/>
      </c>
      <c r="V1558" t="b">
        <v>0</v>
      </c>
      <c r="W1558" t="inlineStr"/>
      <c r="X1558" t="n">
        <v/>
      </c>
    </row>
    <row r="1559">
      <c r="A1559" t="inlineStr">
        <is>
          <t>ATF Fuel 2</t>
        </is>
      </c>
      <c r="B1559" t="inlineStr">
        <is>
          <t>G91</t>
        </is>
      </c>
      <c r="C1559" t="n">
        <v>91</v>
      </c>
      <c r="D1559" t="n">
        <v>7</v>
      </c>
      <c r="E1559" t="inlineStr">
        <is>
          <t>Output</t>
        </is>
      </c>
      <c r="F1559" t="inlineStr">
        <is>
          <t>'=F91/F90-1</t>
        </is>
      </c>
      <c r="G1559" t="n">
        <v>0.01346412771686856</v>
      </c>
      <c r="H1559" t="inlineStr"/>
      <c r="I1559" t="inlineStr">
        <is>
          <t>0%</t>
        </is>
      </c>
      <c r="J1559" t="b">
        <v>0</v>
      </c>
      <c r="K1559" t="b">
        <v>0</v>
      </c>
      <c r="L1559" t="n">
        <v>11</v>
      </c>
      <c r="M1559" t="inlineStr">
        <is>
          <t>Values must be of type &lt;class 'str'&gt;</t>
        </is>
      </c>
      <c r="N1559" t="inlineStr">
        <is>
          <t>00000000</t>
        </is>
      </c>
      <c r="O1559" t="n">
        <v/>
      </c>
      <c r="R1559" t="b">
        <v>1</v>
      </c>
      <c r="S1559" t="inlineStr">
        <is>
          <t>G000155</t>
        </is>
      </c>
      <c r="T1559" t="inlineStr">
        <is>
          <t>Vertical</t>
        </is>
      </c>
      <c r="U1559" t="n">
        <v>93</v>
      </c>
      <c r="V1559" t="b">
        <v>1</v>
      </c>
      <c r="W1559" t="inlineStr">
        <is>
          <t>ATF Fuel 2!G3:G95</t>
        </is>
      </c>
      <c r="X1559">
        <f>R[0]C[-1]/R[-1]C[-1]-1</f>
        <v/>
      </c>
    </row>
    <row r="1560">
      <c r="A1560" t="inlineStr">
        <is>
          <t>ATF Fuel 2</t>
        </is>
      </c>
      <c r="B1560" t="inlineStr">
        <is>
          <t>H91</t>
        </is>
      </c>
      <c r="C1560" t="n">
        <v>91</v>
      </c>
      <c r="D1560" t="n">
        <v>8</v>
      </c>
      <c r="E1560" t="inlineStr">
        <is>
          <t>Calculation</t>
        </is>
      </c>
      <c r="F1560" t="inlineStr">
        <is>
          <t>'=D91*F91</t>
        </is>
      </c>
      <c r="G1560" t="n">
        <v>3368.9986</v>
      </c>
      <c r="H1560" t="inlineStr"/>
      <c r="I1560" t="inlineStr">
        <is>
          <t>0</t>
        </is>
      </c>
      <c r="J1560" t="b">
        <v>0</v>
      </c>
      <c r="K1560" t="b">
        <v>0</v>
      </c>
      <c r="L1560" t="n">
        <v>11</v>
      </c>
      <c r="M1560" t="inlineStr">
        <is>
          <t>Values must be of type &lt;class 'str'&gt;</t>
        </is>
      </c>
      <c r="N1560" t="inlineStr">
        <is>
          <t>00000000</t>
        </is>
      </c>
      <c r="O1560" t="n">
        <v/>
      </c>
      <c r="R1560" t="b">
        <v>1</v>
      </c>
      <c r="S1560" t="inlineStr">
        <is>
          <t>G000152</t>
        </is>
      </c>
      <c r="T1560" t="inlineStr">
        <is>
          <t>Vertical</t>
        </is>
      </c>
      <c r="U1560" t="n">
        <v>98</v>
      </c>
      <c r="V1560" t="b">
        <v>1</v>
      </c>
      <c r="W1560" t="inlineStr">
        <is>
          <t>ATF Fuel 2!H2:H99</t>
        </is>
      </c>
      <c r="X1560">
        <f>R[0]C[-4]*R[0]C[-2]</f>
        <v/>
      </c>
    </row>
    <row r="1561">
      <c r="A1561" t="inlineStr">
        <is>
          <t>ATF Fuel 2</t>
        </is>
      </c>
      <c r="B1561" t="inlineStr">
        <is>
          <t>I91</t>
        </is>
      </c>
      <c r="C1561" t="n">
        <v>91</v>
      </c>
      <c r="D1561" t="n">
        <v>9</v>
      </c>
      <c r="E1561" t="inlineStr">
        <is>
          <t>Output</t>
        </is>
      </c>
      <c r="F1561" t="inlineStr">
        <is>
          <t>'=H91/H90-1</t>
        </is>
      </c>
      <c r="G1561" t="n">
        <v>0.01085557017731187</v>
      </c>
      <c r="H1561" t="inlineStr"/>
      <c r="I1561" t="inlineStr">
        <is>
          <t>0%</t>
        </is>
      </c>
      <c r="J1561" t="b">
        <v>0</v>
      </c>
      <c r="K1561" t="b">
        <v>0</v>
      </c>
      <c r="L1561" t="n">
        <v>11</v>
      </c>
      <c r="M1561" t="inlineStr">
        <is>
          <t>FFFF0000</t>
        </is>
      </c>
      <c r="N1561" t="inlineStr">
        <is>
          <t>00000000</t>
        </is>
      </c>
      <c r="O1561" t="n">
        <v/>
      </c>
      <c r="R1561" t="b">
        <v>1</v>
      </c>
      <c r="S1561" t="inlineStr">
        <is>
          <t>G000156</t>
        </is>
      </c>
      <c r="T1561" t="inlineStr">
        <is>
          <t>Vertical</t>
        </is>
      </c>
      <c r="U1561" t="n">
        <v>97</v>
      </c>
      <c r="V1561" t="b">
        <v>1</v>
      </c>
      <c r="W1561" t="inlineStr">
        <is>
          <t>ATF Fuel 2!I3:I99</t>
        </is>
      </c>
      <c r="X1561">
        <f>R[0]C[-1]/R[-1]C[-1]-1</f>
        <v/>
      </c>
    </row>
    <row r="1562">
      <c r="A1562" t="inlineStr">
        <is>
          <t>ATF Fuel 2</t>
        </is>
      </c>
      <c r="B1562" t="inlineStr">
        <is>
          <t>J91</t>
        </is>
      </c>
      <c r="C1562" t="n">
        <v>91</v>
      </c>
      <c r="D1562" t="n">
        <v>10</v>
      </c>
      <c r="E1562" t="inlineStr">
        <is>
          <t>Input</t>
        </is>
      </c>
      <c r="F1562" t="n">
        <v/>
      </c>
      <c r="G1562" t="n">
        <v>47.32</v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11</v>
      </c>
      <c r="M1562" t="inlineStr">
        <is>
          <t>Values must be of type &lt;class 'str'&gt;</t>
        </is>
      </c>
      <c r="N1562" t="inlineStr">
        <is>
          <t>00000000</t>
        </is>
      </c>
      <c r="O1562" t="n">
        <v/>
      </c>
      <c r="R1562" t="b">
        <v>1</v>
      </c>
      <c r="S1562" t="n">
        <v/>
      </c>
      <c r="T1562" t="n">
        <v/>
      </c>
      <c r="U1562" t="n">
        <v/>
      </c>
      <c r="V1562" t="b">
        <v>0</v>
      </c>
      <c r="W1562" t="inlineStr"/>
      <c r="X1562" t="n">
        <v/>
      </c>
    </row>
    <row r="1563">
      <c r="A1563" t="inlineStr">
        <is>
          <t>ATF Fuel 2</t>
        </is>
      </c>
      <c r="B1563" t="inlineStr">
        <is>
          <t>K91</t>
        </is>
      </c>
      <c r="C1563" t="n">
        <v>91</v>
      </c>
      <c r="D1563" t="n">
        <v>11</v>
      </c>
      <c r="E1563" t="inlineStr">
        <is>
          <t>Output</t>
        </is>
      </c>
      <c r="F1563" t="inlineStr">
        <is>
          <t>'=J91/J90-1</t>
        </is>
      </c>
      <c r="G1563" t="n">
        <v>-0.0380158568814799</v>
      </c>
      <c r="H1563" t="inlineStr"/>
      <c r="I1563" t="inlineStr">
        <is>
          <t>0%</t>
        </is>
      </c>
      <c r="J1563" t="b">
        <v>0</v>
      </c>
      <c r="K1563" t="b">
        <v>0</v>
      </c>
      <c r="L1563" t="n">
        <v>11</v>
      </c>
      <c r="M1563" t="inlineStr">
        <is>
          <t>Values must be of type &lt;class 'str'&gt;</t>
        </is>
      </c>
      <c r="N1563" t="inlineStr">
        <is>
          <t>00000000</t>
        </is>
      </c>
      <c r="O1563" t="n">
        <v/>
      </c>
      <c r="R1563" t="b">
        <v>1</v>
      </c>
      <c r="S1563" t="inlineStr">
        <is>
          <t>G000157</t>
        </is>
      </c>
      <c r="T1563" t="inlineStr">
        <is>
          <t>Vertical</t>
        </is>
      </c>
      <c r="U1563" t="n">
        <v>93</v>
      </c>
      <c r="V1563" t="b">
        <v>1</v>
      </c>
      <c r="W1563" t="inlineStr">
        <is>
          <t>ATF Fuel 2!K3:K95</t>
        </is>
      </c>
      <c r="X1563">
        <f>R[0]C[-1]/R[-1]C[-1]-1</f>
        <v/>
      </c>
    </row>
    <row r="1564">
      <c r="A1564" t="inlineStr">
        <is>
          <t>ATF Fuel 2</t>
        </is>
      </c>
      <c r="B1564" t="inlineStr">
        <is>
          <t>L91</t>
        </is>
      </c>
      <c r="C1564" t="n">
        <v>91</v>
      </c>
      <c r="D1564" t="n">
        <v>12</v>
      </c>
      <c r="E1564" t="inlineStr">
        <is>
          <t>Input</t>
        </is>
      </c>
      <c r="F1564" t="n">
        <v/>
      </c>
      <c r="G1564" t="inlineStr">
        <is>
          <t>September 01,2017</t>
        </is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11</v>
      </c>
      <c r="M1564" t="inlineStr">
        <is>
          <t>Values must be of type &lt;class 'str'&gt;</t>
        </is>
      </c>
      <c r="N1564" t="inlineStr">
        <is>
          <t>00000000</t>
        </is>
      </c>
      <c r="O1564" t="inlineStr">
        <is>
          <t>left</t>
        </is>
      </c>
      <c r="R1564" t="b">
        <v>1</v>
      </c>
      <c r="S1564" t="n">
        <v/>
      </c>
      <c r="T1564" t="n">
        <v/>
      </c>
      <c r="U1564" t="n">
        <v/>
      </c>
      <c r="V1564" t="b">
        <v>0</v>
      </c>
      <c r="W1564" t="inlineStr"/>
      <c r="X1564" t="n">
        <v/>
      </c>
    </row>
    <row r="1565">
      <c r="A1565" t="inlineStr">
        <is>
          <t>ATF Fuel 2</t>
        </is>
      </c>
      <c r="B1565" t="inlineStr">
        <is>
          <t>M91</t>
        </is>
      </c>
      <c r="C1565" t="n">
        <v>91</v>
      </c>
      <c r="D1565" t="n">
        <v>13</v>
      </c>
      <c r="E1565" t="inlineStr">
        <is>
          <t>Calculation</t>
        </is>
      </c>
      <c r="F1565" t="inlineStr">
        <is>
          <t>'=(1+(B91/B90)-1)*M90</t>
        </is>
      </c>
      <c r="G1565" t="n">
        <v>116.4058877003475</v>
      </c>
      <c r="H1565" t="inlineStr"/>
      <c r="I1565" t="inlineStr">
        <is>
          <t>General</t>
        </is>
      </c>
      <c r="J1565" t="b">
        <v>0</v>
      </c>
      <c r="K1565" t="b">
        <v>0</v>
      </c>
      <c r="L1565" t="n">
        <v>11</v>
      </c>
      <c r="M1565" t="inlineStr">
        <is>
          <t>Values must be of type &lt;class 'str'&gt;</t>
        </is>
      </c>
      <c r="N1565" t="inlineStr">
        <is>
          <t>00000000</t>
        </is>
      </c>
      <c r="O1565" t="inlineStr">
        <is>
          <t>left</t>
        </is>
      </c>
      <c r="R1565" t="b">
        <v>1</v>
      </c>
      <c r="S1565" t="inlineStr">
        <is>
          <t>G000159</t>
        </is>
      </c>
      <c r="T1565" t="inlineStr">
        <is>
          <t>Vertical</t>
        </is>
      </c>
      <c r="U1565" t="n">
        <v>92</v>
      </c>
      <c r="V1565" t="b">
        <v>1</v>
      </c>
      <c r="W1565" t="inlineStr">
        <is>
          <t>ATF Fuel 2!M3:M94</t>
        </is>
      </c>
      <c r="X1565">
        <f>(1+(R[0]C[-11]/R[-1]C[-11])-1)*R[-1]C[0]</f>
        <v/>
      </c>
    </row>
    <row r="1566">
      <c r="A1566" t="inlineStr">
        <is>
          <t>ATF Fuel 2</t>
        </is>
      </c>
      <c r="B1566" t="inlineStr">
        <is>
          <t>N91</t>
        </is>
      </c>
      <c r="C1566" t="n">
        <v>91</v>
      </c>
      <c r="D1566" t="n">
        <v>14</v>
      </c>
      <c r="E1566" t="inlineStr">
        <is>
          <t>Calculation</t>
        </is>
      </c>
      <c r="F1566" t="inlineStr">
        <is>
          <t>'=(1+(F91/F90)-1)*N90</t>
        </is>
      </c>
      <c r="G1566" t="n">
        <v>63.76618661503097</v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11</v>
      </c>
      <c r="M1566" t="inlineStr">
        <is>
          <t>Values must be of type &lt;class 'str'&gt;</t>
        </is>
      </c>
      <c r="N1566" t="inlineStr">
        <is>
          <t>00000000</t>
        </is>
      </c>
      <c r="O1566" t="inlineStr">
        <is>
          <t>left</t>
        </is>
      </c>
      <c r="R1566" t="b">
        <v>1</v>
      </c>
      <c r="S1566" t="inlineStr">
        <is>
          <t>G000160</t>
        </is>
      </c>
      <c r="T1566" t="inlineStr">
        <is>
          <t>Vertical</t>
        </is>
      </c>
      <c r="U1566" t="n">
        <v>92</v>
      </c>
      <c r="V1566" t="b">
        <v>1</v>
      </c>
      <c r="W1566" t="inlineStr">
        <is>
          <t>ATF Fuel 2!N3:N94</t>
        </is>
      </c>
      <c r="X1566">
        <f>(1+(R[0]C[-8]/R[-1]C[-8])-1)*R[-1]C[0]</f>
        <v/>
      </c>
    </row>
    <row r="1567">
      <c r="A1567" t="inlineStr">
        <is>
          <t>ATF Fuel 2</t>
        </is>
      </c>
      <c r="B1567" t="inlineStr">
        <is>
          <t>O91</t>
        </is>
      </c>
      <c r="C1567" t="n">
        <v>91</v>
      </c>
      <c r="D1567" t="n">
        <v>15</v>
      </c>
      <c r="E1567" t="inlineStr">
        <is>
          <t>Calculation</t>
        </is>
      </c>
      <c r="F1567" t="inlineStr">
        <is>
          <t>'=(1+(J91/J90)-1)*O90</t>
        </is>
      </c>
      <c r="G1567" t="n">
        <v>55.98012539926657</v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11</v>
      </c>
      <c r="M1567" t="inlineStr">
        <is>
          <t>Values must be of type &lt;class 'str'&gt;</t>
        </is>
      </c>
      <c r="N1567" t="inlineStr">
        <is>
          <t>00000000</t>
        </is>
      </c>
      <c r="O1567" t="inlineStr">
        <is>
          <t>left</t>
        </is>
      </c>
      <c r="R1567" t="b">
        <v>1</v>
      </c>
      <c r="S1567" t="inlineStr">
        <is>
          <t>G000162</t>
        </is>
      </c>
      <c r="T1567" t="inlineStr">
        <is>
          <t>Vertical</t>
        </is>
      </c>
      <c r="U1567" t="n">
        <v>92</v>
      </c>
      <c r="V1567" t="b">
        <v>1</v>
      </c>
      <c r="W1567" t="inlineStr">
        <is>
          <t>ATF Fuel 2!O3:O94</t>
        </is>
      </c>
      <c r="X1567">
        <f>(1+(R[0]C[-5]/R[-1]C[-5])-1)*R[-1]C[0]</f>
        <v/>
      </c>
    </row>
    <row r="1568">
      <c r="A1568" t="inlineStr">
        <is>
          <t>ATF Fuel 2</t>
        </is>
      </c>
      <c r="B1568" t="inlineStr">
        <is>
          <t>P91</t>
        </is>
      </c>
      <c r="C1568" t="n">
        <v>91</v>
      </c>
      <c r="D1568" t="n">
        <v>16</v>
      </c>
      <c r="E1568" t="inlineStr">
        <is>
          <t>Calculation</t>
        </is>
      </c>
      <c r="F1568" t="inlineStr">
        <is>
          <t>'=(1+(H91/H90)-1)*P90</t>
        </is>
      </c>
      <c r="G1568" t="n">
        <v>91.09048195185605</v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11</v>
      </c>
      <c r="M1568" t="inlineStr">
        <is>
          <t>Values must be of type &lt;class 'str'&gt;</t>
        </is>
      </c>
      <c r="N1568" t="inlineStr">
        <is>
          <t>00000000</t>
        </is>
      </c>
      <c r="O1568" t="inlineStr">
        <is>
          <t>left</t>
        </is>
      </c>
      <c r="R1568" t="b">
        <v>1</v>
      </c>
      <c r="S1568" t="inlineStr">
        <is>
          <t>G000161</t>
        </is>
      </c>
      <c r="T1568" t="inlineStr">
        <is>
          <t>Vertical</t>
        </is>
      </c>
      <c r="U1568" t="n">
        <v>92</v>
      </c>
      <c r="V1568" t="b">
        <v>1</v>
      </c>
      <c r="W1568" t="inlineStr">
        <is>
          <t>ATF Fuel 2!P3:P94</t>
        </is>
      </c>
      <c r="X1568">
        <f>(1+(R[0]C[-8]/R[-1]C[-8])-1)*R[-1]C[0]</f>
        <v/>
      </c>
    </row>
    <row r="1569">
      <c r="A1569" t="inlineStr">
        <is>
          <t>ATF Fuel 2</t>
        </is>
      </c>
      <c r="B1569" t="inlineStr">
        <is>
          <t>Q91</t>
        </is>
      </c>
      <c r="C1569" t="n">
        <v>91</v>
      </c>
      <c r="D1569" t="n">
        <v>17</v>
      </c>
      <c r="E1569" t="inlineStr">
        <is>
          <t>Output</t>
        </is>
      </c>
      <c r="F1569" t="inlineStr">
        <is>
          <t>'=M91/N91-1</t>
        </is>
      </c>
      <c r="G1569" t="n">
        <v>0.8255111976996954</v>
      </c>
      <c r="H1569" t="inlineStr"/>
      <c r="I1569" t="inlineStr">
        <is>
          <t>0.0%</t>
        </is>
      </c>
      <c r="J1569" t="b">
        <v>0</v>
      </c>
      <c r="K1569" t="b">
        <v>0</v>
      </c>
      <c r="L1569" t="n">
        <v>11</v>
      </c>
      <c r="M1569" t="inlineStr">
        <is>
          <t>Values must be of type &lt;class 'str'&gt;</t>
        </is>
      </c>
      <c r="N1569" t="inlineStr">
        <is>
          <t>00000000</t>
        </is>
      </c>
      <c r="O1569" t="n">
        <v/>
      </c>
      <c r="R1569" t="b">
        <v>1</v>
      </c>
      <c r="S1569" t="inlineStr">
        <is>
          <t>G000153</t>
        </is>
      </c>
      <c r="T1569" t="inlineStr">
        <is>
          <t>Vertical</t>
        </is>
      </c>
      <c r="U1569" t="n">
        <v>93</v>
      </c>
      <c r="V1569" t="b">
        <v>1</v>
      </c>
      <c r="W1569" t="inlineStr">
        <is>
          <t>ATF Fuel 2!Q2:Q94</t>
        </is>
      </c>
      <c r="X1569">
        <f>R[0]C[-4]/R[0]C[-3]-1</f>
        <v/>
      </c>
    </row>
    <row r="1570">
      <c r="A1570" t="inlineStr">
        <is>
          <t>ATF Fuel 2</t>
        </is>
      </c>
      <c r="B1570" t="inlineStr">
        <is>
          <t>A92</t>
        </is>
      </c>
      <c r="C1570" t="n">
        <v>92</v>
      </c>
      <c r="D1570" t="n">
        <v>1</v>
      </c>
      <c r="E1570" t="inlineStr">
        <is>
          <t>Input</t>
        </is>
      </c>
      <c r="F1570" t="n">
        <v/>
      </c>
      <c r="G1570" t="inlineStr">
        <is>
          <t>October 01,2017</t>
        </is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11</v>
      </c>
      <c r="M1570" t="inlineStr">
        <is>
          <t>Values must be of type &lt;class 'str'&gt;</t>
        </is>
      </c>
      <c r="N1570" t="inlineStr">
        <is>
          <t>00000000</t>
        </is>
      </c>
      <c r="O1570" t="n">
        <v/>
      </c>
      <c r="R1570" t="b">
        <v>1</v>
      </c>
      <c r="S1570" t="n">
        <v/>
      </c>
      <c r="T1570" t="n">
        <v/>
      </c>
      <c r="U1570" t="n">
        <v/>
      </c>
      <c r="V1570" t="b">
        <v>0</v>
      </c>
      <c r="W1570" t="inlineStr"/>
      <c r="X1570" t="n">
        <v/>
      </c>
    </row>
    <row r="1571">
      <c r="A1571" t="inlineStr">
        <is>
          <t>ATF Fuel 2</t>
        </is>
      </c>
      <c r="B1571" t="inlineStr">
        <is>
          <t>B92</t>
        </is>
      </c>
      <c r="C1571" t="n">
        <v>92</v>
      </c>
      <c r="D1571" t="n">
        <v>2</v>
      </c>
      <c r="E1571" t="inlineStr">
        <is>
          <t>Input</t>
        </is>
      </c>
      <c r="F1571" t="n">
        <v/>
      </c>
      <c r="G1571" t="n">
        <v>54617.5</v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11</v>
      </c>
      <c r="M1571" t="inlineStr">
        <is>
          <t>Values must be of type &lt;class 'str'&gt;</t>
        </is>
      </c>
      <c r="N1571" t="inlineStr">
        <is>
          <t>00000000</t>
        </is>
      </c>
      <c r="O1571" t="n">
        <v/>
      </c>
      <c r="R1571" t="b">
        <v>1</v>
      </c>
      <c r="S1571" t="n">
        <v/>
      </c>
      <c r="T1571" t="n">
        <v/>
      </c>
      <c r="U1571" t="n">
        <v/>
      </c>
      <c r="V1571" t="b">
        <v>0</v>
      </c>
      <c r="W1571" t="inlineStr"/>
      <c r="X1571" t="n">
        <v/>
      </c>
    </row>
    <row r="1572">
      <c r="A1572" t="inlineStr">
        <is>
          <t>ATF Fuel 2</t>
        </is>
      </c>
      <c r="B1572" t="inlineStr">
        <is>
          <t>C92</t>
        </is>
      </c>
      <c r="C1572" t="n">
        <v>92</v>
      </c>
      <c r="D1572" t="n">
        <v>3</v>
      </c>
      <c r="E1572" t="inlineStr">
        <is>
          <t>Output</t>
        </is>
      </c>
      <c r="F1572" t="inlineStr">
        <is>
          <t>'=B92/B91-1</t>
        </is>
      </c>
      <c r="G1572" t="n">
        <v>0.0576639120057707</v>
      </c>
      <c r="H1572" t="inlineStr"/>
      <c r="I1572" t="inlineStr">
        <is>
          <t>0%</t>
        </is>
      </c>
      <c r="J1572" t="b">
        <v>0</v>
      </c>
      <c r="K1572" t="b">
        <v>0</v>
      </c>
      <c r="L1572" t="n">
        <v>11</v>
      </c>
      <c r="M1572" t="n">
        <v/>
      </c>
      <c r="N1572" t="inlineStr">
        <is>
          <t>00000000</t>
        </is>
      </c>
      <c r="O1572" t="n">
        <v/>
      </c>
      <c r="R1572" t="b">
        <v>1</v>
      </c>
      <c r="S1572" t="inlineStr">
        <is>
          <t>G000154</t>
        </is>
      </c>
      <c r="T1572" t="inlineStr">
        <is>
          <t>Vertical</t>
        </is>
      </c>
      <c r="U1572" t="n">
        <v>92</v>
      </c>
      <c r="V1572" t="b">
        <v>1</v>
      </c>
      <c r="W1572" t="inlineStr">
        <is>
          <t>ATF Fuel 2!C3:C94</t>
        </is>
      </c>
      <c r="X1572">
        <f>R[0]C[-1]/R[-1]C[-1]-1</f>
        <v/>
      </c>
    </row>
    <row r="1573">
      <c r="A1573" t="inlineStr">
        <is>
          <t>ATF Fuel 2</t>
        </is>
      </c>
      <c r="B1573" t="inlineStr">
        <is>
          <t>D92</t>
        </is>
      </c>
      <c r="C1573" t="n">
        <v>92</v>
      </c>
      <c r="D1573" t="n">
        <v>4</v>
      </c>
      <c r="E1573" t="inlineStr">
        <is>
          <t>Input</t>
        </is>
      </c>
      <c r="F1573" t="n">
        <v/>
      </c>
      <c r="G1573" t="n">
        <v>65.62</v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11</v>
      </c>
      <c r="M1573" t="inlineStr">
        <is>
          <t>Values must be of type &lt;class 'str'&gt;</t>
        </is>
      </c>
      <c r="N1573" t="inlineStr">
        <is>
          <t>00000000</t>
        </is>
      </c>
      <c r="O1573" t="n">
        <v/>
      </c>
      <c r="R1573" t="b">
        <v>1</v>
      </c>
      <c r="S1573" t="n">
        <v/>
      </c>
      <c r="T1573" t="n">
        <v/>
      </c>
      <c r="U1573" t="n">
        <v/>
      </c>
      <c r="V1573" t="b">
        <v>0</v>
      </c>
      <c r="W1573" t="inlineStr"/>
      <c r="X1573" t="n">
        <v/>
      </c>
    </row>
    <row r="1574">
      <c r="A1574" t="inlineStr">
        <is>
          <t>ATF Fuel 2</t>
        </is>
      </c>
      <c r="B1574" t="inlineStr">
        <is>
          <t>E92</t>
        </is>
      </c>
      <c r="C1574" t="n">
        <v>92</v>
      </c>
      <c r="D1574" t="n">
        <v>5</v>
      </c>
      <c r="E1574" t="inlineStr">
        <is>
          <t>Output</t>
        </is>
      </c>
      <c r="F1574" t="inlineStr">
        <is>
          <t>'=B92/B91-1</t>
        </is>
      </c>
      <c r="G1574" t="n">
        <v>0.0576639120057707</v>
      </c>
      <c r="H1574" t="inlineStr"/>
      <c r="I1574" t="inlineStr">
        <is>
          <t>0%</t>
        </is>
      </c>
      <c r="J1574" t="b">
        <v>0</v>
      </c>
      <c r="K1574" t="b">
        <v>0</v>
      </c>
      <c r="L1574" t="n">
        <v>11</v>
      </c>
      <c r="M1574" t="inlineStr">
        <is>
          <t>Values must be of type &lt;class 'str'&gt;</t>
        </is>
      </c>
      <c r="N1574" t="inlineStr">
        <is>
          <t>00000000</t>
        </is>
      </c>
      <c r="O1574" t="n">
        <v/>
      </c>
      <c r="R1574" t="b">
        <v>1</v>
      </c>
      <c r="S1574" t="inlineStr">
        <is>
          <t>G000158</t>
        </is>
      </c>
      <c r="T1574" t="inlineStr">
        <is>
          <t>Vertical</t>
        </is>
      </c>
      <c r="U1574" t="n">
        <v>92</v>
      </c>
      <c r="V1574" t="b">
        <v>1</v>
      </c>
      <c r="W1574" t="inlineStr">
        <is>
          <t>ATF Fuel 2!E3:E94</t>
        </is>
      </c>
      <c r="X1574">
        <f>R[0]C[-3]/R[-1]C[-3]-1</f>
        <v/>
      </c>
    </row>
    <row r="1575">
      <c r="A1575" t="inlineStr">
        <is>
          <t>ATF Fuel 2</t>
        </is>
      </c>
      <c r="B1575" t="inlineStr">
        <is>
          <t>F92</t>
        </is>
      </c>
      <c r="C1575" t="n">
        <v>92</v>
      </c>
      <c r="D1575" t="n">
        <v>6</v>
      </c>
      <c r="E1575" t="inlineStr">
        <is>
          <t>Input</t>
        </is>
      </c>
      <c r="F1575" t="n">
        <v/>
      </c>
      <c r="G1575" t="n">
        <v>58.8</v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11</v>
      </c>
      <c r="M1575" t="inlineStr">
        <is>
          <t>Values must be of type &lt;class 'str'&gt;</t>
        </is>
      </c>
      <c r="N1575" t="inlineStr">
        <is>
          <t>00000000</t>
        </is>
      </c>
      <c r="O1575" t="n">
        <v/>
      </c>
      <c r="R1575" t="b">
        <v>1</v>
      </c>
      <c r="S1575" t="n">
        <v/>
      </c>
      <c r="T1575" t="n">
        <v/>
      </c>
      <c r="U1575" t="n">
        <v/>
      </c>
      <c r="V1575" t="b">
        <v>0</v>
      </c>
      <c r="W1575" t="inlineStr"/>
      <c r="X1575" t="n">
        <v/>
      </c>
    </row>
    <row r="1576">
      <c r="A1576" t="inlineStr">
        <is>
          <t>ATF Fuel 2</t>
        </is>
      </c>
      <c r="B1576" t="inlineStr">
        <is>
          <t>G92</t>
        </is>
      </c>
      <c r="C1576" t="n">
        <v>92</v>
      </c>
      <c r="D1576" t="n">
        <v>7</v>
      </c>
      <c r="E1576" t="inlineStr">
        <is>
          <t>Output</t>
        </is>
      </c>
      <c r="F1576" t="inlineStr">
        <is>
          <t>'=F92/F91-1</t>
        </is>
      </c>
      <c r="G1576" t="n">
        <v>0.1159612829758967</v>
      </c>
      <c r="H1576" t="inlineStr"/>
      <c r="I1576" t="inlineStr">
        <is>
          <t>0%</t>
        </is>
      </c>
      <c r="J1576" t="b">
        <v>0</v>
      </c>
      <c r="K1576" t="b">
        <v>0</v>
      </c>
      <c r="L1576" t="n">
        <v>11</v>
      </c>
      <c r="M1576" t="inlineStr">
        <is>
          <t>Values must be of type &lt;class 'str'&gt;</t>
        </is>
      </c>
      <c r="N1576" t="inlineStr">
        <is>
          <t>00000000</t>
        </is>
      </c>
      <c r="O1576" t="n">
        <v/>
      </c>
      <c r="R1576" t="b">
        <v>1</v>
      </c>
      <c r="S1576" t="inlineStr">
        <is>
          <t>G000155</t>
        </is>
      </c>
      <c r="T1576" t="inlineStr">
        <is>
          <t>Vertical</t>
        </is>
      </c>
      <c r="U1576" t="n">
        <v>93</v>
      </c>
      <c r="V1576" t="b">
        <v>1</v>
      </c>
      <c r="W1576" t="inlineStr">
        <is>
          <t>ATF Fuel 2!G3:G95</t>
        </is>
      </c>
      <c r="X1576">
        <f>R[0]C[-1]/R[-1]C[-1]-1</f>
        <v/>
      </c>
    </row>
    <row r="1577">
      <c r="A1577" t="inlineStr">
        <is>
          <t>ATF Fuel 2</t>
        </is>
      </c>
      <c r="B1577" t="inlineStr">
        <is>
          <t>H92</t>
        </is>
      </c>
      <c r="C1577" t="n">
        <v>92</v>
      </c>
      <c r="D1577" t="n">
        <v>8</v>
      </c>
      <c r="E1577" t="inlineStr">
        <is>
          <t>Calculation</t>
        </is>
      </c>
      <c r="F1577" t="inlineStr">
        <is>
          <t>'=D92*F92</t>
        </is>
      </c>
      <c r="G1577" t="n">
        <v>3858.456</v>
      </c>
      <c r="H1577" t="inlineStr"/>
      <c r="I1577" t="inlineStr">
        <is>
          <t>0</t>
        </is>
      </c>
      <c r="J1577" t="b">
        <v>0</v>
      </c>
      <c r="K1577" t="b">
        <v>0</v>
      </c>
      <c r="L1577" t="n">
        <v>11</v>
      </c>
      <c r="M1577" t="inlineStr">
        <is>
          <t>Values must be of type &lt;class 'str'&gt;</t>
        </is>
      </c>
      <c r="N1577" t="inlineStr">
        <is>
          <t>00000000</t>
        </is>
      </c>
      <c r="O1577" t="n">
        <v/>
      </c>
      <c r="R1577" t="b">
        <v>1</v>
      </c>
      <c r="S1577" t="inlineStr">
        <is>
          <t>G000152</t>
        </is>
      </c>
      <c r="T1577" t="inlineStr">
        <is>
          <t>Vertical</t>
        </is>
      </c>
      <c r="U1577" t="n">
        <v>98</v>
      </c>
      <c r="V1577" t="b">
        <v>1</v>
      </c>
      <c r="W1577" t="inlineStr">
        <is>
          <t>ATF Fuel 2!H2:H99</t>
        </is>
      </c>
      <c r="X1577">
        <f>R[0]C[-4]*R[0]C[-2]</f>
        <v/>
      </c>
    </row>
    <row r="1578">
      <c r="A1578" t="inlineStr">
        <is>
          <t>ATF Fuel 2</t>
        </is>
      </c>
      <c r="B1578" t="inlineStr">
        <is>
          <t>I92</t>
        </is>
      </c>
      <c r="C1578" t="n">
        <v>92</v>
      </c>
      <c r="D1578" t="n">
        <v>9</v>
      </c>
      <c r="E1578" t="inlineStr">
        <is>
          <t>Output</t>
        </is>
      </c>
      <c r="F1578" t="inlineStr">
        <is>
          <t>'=H92/H91-1</t>
        </is>
      </c>
      <c r="G1578" t="n">
        <v>0.145282755534538</v>
      </c>
      <c r="H1578" t="inlineStr"/>
      <c r="I1578" t="inlineStr">
        <is>
          <t>0%</t>
        </is>
      </c>
      <c r="J1578" t="b">
        <v>0</v>
      </c>
      <c r="K1578" t="b">
        <v>0</v>
      </c>
      <c r="L1578" t="n">
        <v>11</v>
      </c>
      <c r="M1578" t="inlineStr">
        <is>
          <t>FFFF0000</t>
        </is>
      </c>
      <c r="N1578" t="inlineStr">
        <is>
          <t>00000000</t>
        </is>
      </c>
      <c r="O1578" t="n">
        <v/>
      </c>
      <c r="R1578" t="b">
        <v>1</v>
      </c>
      <c r="S1578" t="inlineStr">
        <is>
          <t>G000156</t>
        </is>
      </c>
      <c r="T1578" t="inlineStr">
        <is>
          <t>Vertical</t>
        </is>
      </c>
      <c r="U1578" t="n">
        <v>97</v>
      </c>
      <c r="V1578" t="b">
        <v>1</v>
      </c>
      <c r="W1578" t="inlineStr">
        <is>
          <t>ATF Fuel 2!I3:I99</t>
        </is>
      </c>
      <c r="X1578">
        <f>R[0]C[-1]/R[-1]C[-1]-1</f>
        <v/>
      </c>
    </row>
    <row r="1579">
      <c r="A1579" t="inlineStr">
        <is>
          <t>ATF Fuel 2</t>
        </is>
      </c>
      <c r="B1579" t="inlineStr">
        <is>
          <t>J92</t>
        </is>
      </c>
      <c r="C1579" t="n">
        <v>92</v>
      </c>
      <c r="D1579" t="n">
        <v>10</v>
      </c>
      <c r="E1579" t="inlineStr">
        <is>
          <t>Input</t>
        </is>
      </c>
      <c r="F1579" t="n">
        <v/>
      </c>
      <c r="G1579" t="n">
        <v>50.59</v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11</v>
      </c>
      <c r="M1579" t="inlineStr">
        <is>
          <t>Values must be of type &lt;class 'str'&gt;</t>
        </is>
      </c>
      <c r="N1579" t="inlineStr">
        <is>
          <t>00000000</t>
        </is>
      </c>
      <c r="O1579" t="n">
        <v/>
      </c>
      <c r="R1579" t="b">
        <v>1</v>
      </c>
      <c r="S1579" t="n">
        <v/>
      </c>
      <c r="T1579" t="n">
        <v/>
      </c>
      <c r="U1579" t="n">
        <v/>
      </c>
      <c r="V1579" t="b">
        <v>0</v>
      </c>
      <c r="W1579" t="inlineStr"/>
      <c r="X1579" t="n">
        <v/>
      </c>
    </row>
    <row r="1580">
      <c r="A1580" t="inlineStr">
        <is>
          <t>ATF Fuel 2</t>
        </is>
      </c>
      <c r="B1580" t="inlineStr">
        <is>
          <t>K92</t>
        </is>
      </c>
      <c r="C1580" t="n">
        <v>92</v>
      </c>
      <c r="D1580" t="n">
        <v>11</v>
      </c>
      <c r="E1580" t="inlineStr">
        <is>
          <t>Output</t>
        </is>
      </c>
      <c r="F1580" t="inlineStr">
        <is>
          <t>'=J92/J91-1</t>
        </is>
      </c>
      <c r="G1580" t="n">
        <v>0.06910397295012682</v>
      </c>
      <c r="H1580" t="inlineStr"/>
      <c r="I1580" t="inlineStr">
        <is>
          <t>0%</t>
        </is>
      </c>
      <c r="J1580" t="b">
        <v>0</v>
      </c>
      <c r="K1580" t="b">
        <v>0</v>
      </c>
      <c r="L1580" t="n">
        <v>11</v>
      </c>
      <c r="M1580" t="inlineStr">
        <is>
          <t>Values must be of type &lt;class 'str'&gt;</t>
        </is>
      </c>
      <c r="N1580" t="inlineStr">
        <is>
          <t>00000000</t>
        </is>
      </c>
      <c r="O1580" t="n">
        <v/>
      </c>
      <c r="R1580" t="b">
        <v>1</v>
      </c>
      <c r="S1580" t="inlineStr">
        <is>
          <t>G000157</t>
        </is>
      </c>
      <c r="T1580" t="inlineStr">
        <is>
          <t>Vertical</t>
        </is>
      </c>
      <c r="U1580" t="n">
        <v>93</v>
      </c>
      <c r="V1580" t="b">
        <v>1</v>
      </c>
      <c r="W1580" t="inlineStr">
        <is>
          <t>ATF Fuel 2!K3:K95</t>
        </is>
      </c>
      <c r="X1580">
        <f>R[0]C[-1]/R[-1]C[-1]-1</f>
        <v/>
      </c>
    </row>
    <row r="1581">
      <c r="A1581" t="inlineStr">
        <is>
          <t>ATF Fuel 2</t>
        </is>
      </c>
      <c r="B1581" t="inlineStr">
        <is>
          <t>L92</t>
        </is>
      </c>
      <c r="C1581" t="n">
        <v>92</v>
      </c>
      <c r="D1581" t="n">
        <v>12</v>
      </c>
      <c r="E1581" t="inlineStr">
        <is>
          <t>Input</t>
        </is>
      </c>
      <c r="F1581" t="n">
        <v/>
      </c>
      <c r="G1581" t="inlineStr">
        <is>
          <t>October 01,2017</t>
        </is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11</v>
      </c>
      <c r="M1581" t="inlineStr">
        <is>
          <t>Values must be of type &lt;class 'str'&gt;</t>
        </is>
      </c>
      <c r="N1581" t="inlineStr">
        <is>
          <t>00000000</t>
        </is>
      </c>
      <c r="O1581" t="inlineStr">
        <is>
          <t>left</t>
        </is>
      </c>
      <c r="R1581" t="b">
        <v>1</v>
      </c>
      <c r="S1581" t="n">
        <v/>
      </c>
      <c r="T1581" t="n">
        <v/>
      </c>
      <c r="U1581" t="n">
        <v/>
      </c>
      <c r="V1581" t="b">
        <v>0</v>
      </c>
      <c r="W1581" t="inlineStr"/>
      <c r="X1581" t="n">
        <v/>
      </c>
    </row>
    <row r="1582">
      <c r="A1582" t="inlineStr">
        <is>
          <t>ATF Fuel 2</t>
        </is>
      </c>
      <c r="B1582" t="inlineStr">
        <is>
          <t>M92</t>
        </is>
      </c>
      <c r="C1582" t="n">
        <v>92</v>
      </c>
      <c r="D1582" t="n">
        <v>13</v>
      </c>
      <c r="E1582" t="inlineStr">
        <is>
          <t>Calculation</t>
        </is>
      </c>
      <c r="F1582" t="inlineStr">
        <is>
          <t>'=(1+(B92/B91)-1)*M91</t>
        </is>
      </c>
      <c r="G1582" t="n">
        <v>123.1183065656539</v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11</v>
      </c>
      <c r="M1582" t="inlineStr">
        <is>
          <t>Values must be of type &lt;class 'str'&gt;</t>
        </is>
      </c>
      <c r="N1582" t="inlineStr">
        <is>
          <t>00000000</t>
        </is>
      </c>
      <c r="O1582" t="inlineStr">
        <is>
          <t>left</t>
        </is>
      </c>
      <c r="R1582" t="b">
        <v>1</v>
      </c>
      <c r="S1582" t="inlineStr">
        <is>
          <t>G000159</t>
        </is>
      </c>
      <c r="T1582" t="inlineStr">
        <is>
          <t>Vertical</t>
        </is>
      </c>
      <c r="U1582" t="n">
        <v>92</v>
      </c>
      <c r="V1582" t="b">
        <v>1</v>
      </c>
      <c r="W1582" t="inlineStr">
        <is>
          <t>ATF Fuel 2!M3:M94</t>
        </is>
      </c>
      <c r="X1582">
        <f>(1+(R[0]C[-11]/R[-1]C[-11])-1)*R[-1]C[0]</f>
        <v/>
      </c>
    </row>
    <row r="1583">
      <c r="A1583" t="inlineStr">
        <is>
          <t>ATF Fuel 2</t>
        </is>
      </c>
      <c r="B1583" t="inlineStr">
        <is>
          <t>N92</t>
        </is>
      </c>
      <c r="C1583" t="n">
        <v>92</v>
      </c>
      <c r="D1583" t="n">
        <v>14</v>
      </c>
      <c r="E1583" t="inlineStr">
        <is>
          <t>Calculation</t>
        </is>
      </c>
      <c r="F1583" t="inlineStr">
        <is>
          <t>'=(1+(F92/F91)-1)*N91</t>
        </is>
      </c>
      <c r="G1583" t="n">
        <v>71.1605954253904</v>
      </c>
      <c r="H1583" t="inlineStr"/>
      <c r="I1583" t="inlineStr">
        <is>
          <t>General</t>
        </is>
      </c>
      <c r="J1583" t="b">
        <v>0</v>
      </c>
      <c r="K1583" t="b">
        <v>0</v>
      </c>
      <c r="L1583" t="n">
        <v>11</v>
      </c>
      <c r="M1583" t="inlineStr">
        <is>
          <t>Values must be of type &lt;class 'str'&gt;</t>
        </is>
      </c>
      <c r="N1583" t="inlineStr">
        <is>
          <t>00000000</t>
        </is>
      </c>
      <c r="O1583" t="inlineStr">
        <is>
          <t>left</t>
        </is>
      </c>
      <c r="R1583" t="b">
        <v>1</v>
      </c>
      <c r="S1583" t="inlineStr">
        <is>
          <t>G000160</t>
        </is>
      </c>
      <c r="T1583" t="inlineStr">
        <is>
          <t>Vertical</t>
        </is>
      </c>
      <c r="U1583" t="n">
        <v>92</v>
      </c>
      <c r="V1583" t="b">
        <v>1</v>
      </c>
      <c r="W1583" t="inlineStr">
        <is>
          <t>ATF Fuel 2!N3:N94</t>
        </is>
      </c>
      <c r="X1583">
        <f>(1+(R[0]C[-8]/R[-1]C[-8])-1)*R[-1]C[0]</f>
        <v/>
      </c>
    </row>
    <row r="1584">
      <c r="A1584" t="inlineStr">
        <is>
          <t>ATF Fuel 2</t>
        </is>
      </c>
      <c r="B1584" t="inlineStr">
        <is>
          <t>O92</t>
        </is>
      </c>
      <c r="C1584" t="n">
        <v>92</v>
      </c>
      <c r="D1584" t="n">
        <v>15</v>
      </c>
      <c r="E1584" t="inlineStr">
        <is>
          <t>Calculation</t>
        </is>
      </c>
      <c r="F1584" t="inlineStr">
        <is>
          <t>'=(1+(J92/J91)-1)*O91</t>
        </is>
      </c>
      <c r="G1584" t="n">
        <v>59.84857447060219</v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11</v>
      </c>
      <c r="M1584" t="inlineStr">
        <is>
          <t>Values must be of type &lt;class 'str'&gt;</t>
        </is>
      </c>
      <c r="N1584" t="inlineStr">
        <is>
          <t>00000000</t>
        </is>
      </c>
      <c r="O1584" t="inlineStr">
        <is>
          <t>left</t>
        </is>
      </c>
      <c r="R1584" t="b">
        <v>1</v>
      </c>
      <c r="S1584" t="inlineStr">
        <is>
          <t>G000162</t>
        </is>
      </c>
      <c r="T1584" t="inlineStr">
        <is>
          <t>Vertical</t>
        </is>
      </c>
      <c r="U1584" t="n">
        <v>92</v>
      </c>
      <c r="V1584" t="b">
        <v>1</v>
      </c>
      <c r="W1584" t="inlineStr">
        <is>
          <t>ATF Fuel 2!O3:O94</t>
        </is>
      </c>
      <c r="X1584">
        <f>(1+(R[0]C[-5]/R[-1]C[-5])-1)*R[-1]C[0]</f>
        <v/>
      </c>
    </row>
    <row r="1585">
      <c r="A1585" t="inlineStr">
        <is>
          <t>ATF Fuel 2</t>
        </is>
      </c>
      <c r="B1585" t="inlineStr">
        <is>
          <t>P92</t>
        </is>
      </c>
      <c r="C1585" t="n">
        <v>92</v>
      </c>
      <c r="D1585" t="n">
        <v>16</v>
      </c>
      <c r="E1585" t="inlineStr">
        <is>
          <t>Calculation</t>
        </is>
      </c>
      <c r="F1585" t="inlineStr">
        <is>
          <t>'=(1+(H92/H91)-1)*P91</t>
        </is>
      </c>
      <c r="G1585" t="n">
        <v>104.3243581727908</v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11</v>
      </c>
      <c r="M1585" t="inlineStr">
        <is>
          <t>Values must be of type &lt;class 'str'&gt;</t>
        </is>
      </c>
      <c r="N1585" t="inlineStr">
        <is>
          <t>00000000</t>
        </is>
      </c>
      <c r="O1585" t="inlineStr">
        <is>
          <t>left</t>
        </is>
      </c>
      <c r="R1585" t="b">
        <v>1</v>
      </c>
      <c r="S1585" t="inlineStr">
        <is>
          <t>G000161</t>
        </is>
      </c>
      <c r="T1585" t="inlineStr">
        <is>
          <t>Vertical</t>
        </is>
      </c>
      <c r="U1585" t="n">
        <v>92</v>
      </c>
      <c r="V1585" t="b">
        <v>1</v>
      </c>
      <c r="W1585" t="inlineStr">
        <is>
          <t>ATF Fuel 2!P3:P94</t>
        </is>
      </c>
      <c r="X1585">
        <f>(1+(R[0]C[-8]/R[-1]C[-8])-1)*R[-1]C[0]</f>
        <v/>
      </c>
    </row>
    <row r="1586">
      <c r="A1586" t="inlineStr">
        <is>
          <t>ATF Fuel 2</t>
        </is>
      </c>
      <c r="B1586" t="inlineStr">
        <is>
          <t>Q92</t>
        </is>
      </c>
      <c r="C1586" t="n">
        <v>92</v>
      </c>
      <c r="D1586" t="n">
        <v>17</v>
      </c>
      <c r="E1586" t="inlineStr">
        <is>
          <t>Output</t>
        </is>
      </c>
      <c r="F1586" t="inlineStr">
        <is>
          <t>'=M92/N92-1</t>
        </is>
      </c>
      <c r="G1586" t="n">
        <v>0.730147223047614</v>
      </c>
      <c r="H1586" t="inlineStr"/>
      <c r="I1586" t="inlineStr">
        <is>
          <t>0.0%</t>
        </is>
      </c>
      <c r="J1586" t="b">
        <v>0</v>
      </c>
      <c r="K1586" t="b">
        <v>0</v>
      </c>
      <c r="L1586" t="n">
        <v>11</v>
      </c>
      <c r="M1586" t="inlineStr">
        <is>
          <t>Values must be of type &lt;class 'str'&gt;</t>
        </is>
      </c>
      <c r="N1586" t="inlineStr">
        <is>
          <t>00000000</t>
        </is>
      </c>
      <c r="O1586" t="n">
        <v/>
      </c>
      <c r="R1586" t="b">
        <v>1</v>
      </c>
      <c r="S1586" t="inlineStr">
        <is>
          <t>G000153</t>
        </is>
      </c>
      <c r="T1586" t="inlineStr">
        <is>
          <t>Vertical</t>
        </is>
      </c>
      <c r="U1586" t="n">
        <v>93</v>
      </c>
      <c r="V1586" t="b">
        <v>1</v>
      </c>
      <c r="W1586" t="inlineStr">
        <is>
          <t>ATF Fuel 2!Q2:Q94</t>
        </is>
      </c>
      <c r="X1586">
        <f>R[0]C[-4]/R[0]C[-3]-1</f>
        <v/>
      </c>
    </row>
    <row r="1587">
      <c r="A1587" t="inlineStr">
        <is>
          <t>ATF Fuel 2</t>
        </is>
      </c>
      <c r="B1587" t="inlineStr">
        <is>
          <t>A93</t>
        </is>
      </c>
      <c r="C1587" t="n">
        <v>93</v>
      </c>
      <c r="D1587" t="n">
        <v>1</v>
      </c>
      <c r="E1587" t="inlineStr">
        <is>
          <t>Input</t>
        </is>
      </c>
      <c r="F1587" t="n">
        <v/>
      </c>
      <c r="G1587" t="inlineStr">
        <is>
          <t>November 01,2017</t>
        </is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11</v>
      </c>
      <c r="M1587" t="inlineStr">
        <is>
          <t>Values must be of type &lt;class 'str'&gt;</t>
        </is>
      </c>
      <c r="N1587" t="inlineStr">
        <is>
          <t>00000000</t>
        </is>
      </c>
      <c r="O1587" t="n">
        <v/>
      </c>
      <c r="R1587" t="b">
        <v>1</v>
      </c>
      <c r="S1587" t="n">
        <v/>
      </c>
      <c r="T1587" t="n">
        <v/>
      </c>
      <c r="U1587" t="n">
        <v/>
      </c>
      <c r="V1587" t="b">
        <v>0</v>
      </c>
      <c r="W1587" t="inlineStr"/>
      <c r="X1587" t="n">
        <v/>
      </c>
    </row>
    <row r="1588">
      <c r="A1588" t="inlineStr">
        <is>
          <t>ATF Fuel 2</t>
        </is>
      </c>
      <c r="B1588" t="inlineStr">
        <is>
          <t>B93</t>
        </is>
      </c>
      <c r="C1588" t="n">
        <v>93</v>
      </c>
      <c r="D1588" t="n">
        <v>2</v>
      </c>
      <c r="E1588" t="inlineStr">
        <is>
          <t>Input</t>
        </is>
      </c>
      <c r="F1588" t="n">
        <v/>
      </c>
      <c r="G1588" t="n">
        <v>55746.25</v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11</v>
      </c>
      <c r="M1588" t="inlineStr">
        <is>
          <t>Values must be of type &lt;class 'str'&gt;</t>
        </is>
      </c>
      <c r="N1588" t="inlineStr">
        <is>
          <t>00000000</t>
        </is>
      </c>
      <c r="O1588" t="n">
        <v/>
      </c>
      <c r="R1588" t="b">
        <v>1</v>
      </c>
      <c r="S1588" t="n">
        <v/>
      </c>
      <c r="T1588" t="n">
        <v/>
      </c>
      <c r="U1588" t="n">
        <v/>
      </c>
      <c r="V1588" t="b">
        <v>0</v>
      </c>
      <c r="W1588" t="inlineStr"/>
      <c r="X1588" t="n">
        <v/>
      </c>
    </row>
    <row r="1589">
      <c r="A1589" t="inlineStr">
        <is>
          <t>ATF Fuel 2</t>
        </is>
      </c>
      <c r="B1589" t="inlineStr">
        <is>
          <t>C93</t>
        </is>
      </c>
      <c r="C1589" t="n">
        <v>93</v>
      </c>
      <c r="D1589" t="n">
        <v>3</v>
      </c>
      <c r="E1589" t="inlineStr">
        <is>
          <t>Output</t>
        </is>
      </c>
      <c r="F1589" t="inlineStr">
        <is>
          <t>'=B93/B92-1</t>
        </is>
      </c>
      <c r="G1589" t="n">
        <v>0.02066645305991677</v>
      </c>
      <c r="H1589" t="inlineStr"/>
      <c r="I1589" t="inlineStr">
        <is>
          <t>0%</t>
        </is>
      </c>
      <c r="J1589" t="b">
        <v>0</v>
      </c>
      <c r="K1589" t="b">
        <v>0</v>
      </c>
      <c r="L1589" t="n">
        <v>11</v>
      </c>
      <c r="M1589" t="n">
        <v/>
      </c>
      <c r="N1589" t="inlineStr">
        <is>
          <t>00000000</t>
        </is>
      </c>
      <c r="O1589" t="n">
        <v/>
      </c>
      <c r="R1589" t="b">
        <v>1</v>
      </c>
      <c r="S1589" t="inlineStr">
        <is>
          <t>G000154</t>
        </is>
      </c>
      <c r="T1589" t="inlineStr">
        <is>
          <t>Vertical</t>
        </is>
      </c>
      <c r="U1589" t="n">
        <v>92</v>
      </c>
      <c r="V1589" t="b">
        <v>1</v>
      </c>
      <c r="W1589" t="inlineStr">
        <is>
          <t>ATF Fuel 2!C3:C94</t>
        </is>
      </c>
      <c r="X1589">
        <f>R[0]C[-1]/R[-1]C[-1]-1</f>
        <v/>
      </c>
    </row>
    <row r="1590">
      <c r="A1590" t="inlineStr">
        <is>
          <t>ATF Fuel 2</t>
        </is>
      </c>
      <c r="B1590" t="inlineStr">
        <is>
          <t>D93</t>
        </is>
      </c>
      <c r="C1590" t="n">
        <v>93</v>
      </c>
      <c r="D1590" t="n">
        <v>4</v>
      </c>
      <c r="E1590" t="inlineStr">
        <is>
          <t>Input</t>
        </is>
      </c>
      <c r="F1590" t="n">
        <v/>
      </c>
      <c r="G1590" t="n">
        <v>64.715</v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11</v>
      </c>
      <c r="M1590" t="inlineStr">
        <is>
          <t>Values must be of type &lt;class 'str'&gt;</t>
        </is>
      </c>
      <c r="N1590" t="inlineStr">
        <is>
          <t>00000000</t>
        </is>
      </c>
      <c r="O1590" t="n">
        <v/>
      </c>
      <c r="R1590" t="b">
        <v>1</v>
      </c>
      <c r="S1590" t="n">
        <v/>
      </c>
      <c r="T1590" t="n">
        <v/>
      </c>
      <c r="U1590" t="n">
        <v/>
      </c>
      <c r="V1590" t="b">
        <v>0</v>
      </c>
      <c r="W1590" t="inlineStr"/>
      <c r="X1590" t="n">
        <v/>
      </c>
    </row>
    <row r="1591">
      <c r="A1591" t="inlineStr">
        <is>
          <t>ATF Fuel 2</t>
        </is>
      </c>
      <c r="B1591" t="inlineStr">
        <is>
          <t>E93</t>
        </is>
      </c>
      <c r="C1591" t="n">
        <v>93</v>
      </c>
      <c r="D1591" t="n">
        <v>5</v>
      </c>
      <c r="E1591" t="inlineStr">
        <is>
          <t>Output</t>
        </is>
      </c>
      <c r="F1591" t="inlineStr">
        <is>
          <t>'=B93/B92-1</t>
        </is>
      </c>
      <c r="G1591" t="n">
        <v>0.02066645305991677</v>
      </c>
      <c r="H1591" t="inlineStr"/>
      <c r="I1591" t="inlineStr">
        <is>
          <t>0%</t>
        </is>
      </c>
      <c r="J1591" t="b">
        <v>0</v>
      </c>
      <c r="K1591" t="b">
        <v>0</v>
      </c>
      <c r="L1591" t="n">
        <v>11</v>
      </c>
      <c r="M1591" t="inlineStr">
        <is>
          <t>Values must be of type &lt;class 'str'&gt;</t>
        </is>
      </c>
      <c r="N1591" t="inlineStr">
        <is>
          <t>00000000</t>
        </is>
      </c>
      <c r="O1591" t="n">
        <v/>
      </c>
      <c r="R1591" t="b">
        <v>1</v>
      </c>
      <c r="S1591" t="inlineStr">
        <is>
          <t>G000158</t>
        </is>
      </c>
      <c r="T1591" t="inlineStr">
        <is>
          <t>Vertical</t>
        </is>
      </c>
      <c r="U1591" t="n">
        <v>92</v>
      </c>
      <c r="V1591" t="b">
        <v>1</v>
      </c>
      <c r="W1591" t="inlineStr">
        <is>
          <t>ATF Fuel 2!E3:E94</t>
        </is>
      </c>
      <c r="X1591">
        <f>R[0]C[-3]/R[-1]C[-3]-1</f>
        <v/>
      </c>
    </row>
    <row r="1592">
      <c r="A1592" t="inlineStr">
        <is>
          <t>ATF Fuel 2</t>
        </is>
      </c>
      <c r="B1592" t="inlineStr">
        <is>
          <t>F93</t>
        </is>
      </c>
      <c r="C1592" t="n">
        <v>93</v>
      </c>
      <c r="D1592" t="n">
        <v>6</v>
      </c>
      <c r="E1592" t="inlineStr">
        <is>
          <t>Input</t>
        </is>
      </c>
      <c r="F1592" t="n">
        <v/>
      </c>
      <c r="G1592" t="n">
        <v>60.65</v>
      </c>
      <c r="H1592" t="inlineStr"/>
      <c r="I1592" t="inlineStr">
        <is>
          <t>General</t>
        </is>
      </c>
      <c r="J1592" t="b">
        <v>0</v>
      </c>
      <c r="K1592" t="b">
        <v>0</v>
      </c>
      <c r="L1592" t="n">
        <v>11</v>
      </c>
      <c r="M1592" t="inlineStr">
        <is>
          <t>Values must be of type &lt;class 'str'&gt;</t>
        </is>
      </c>
      <c r="N1592" t="inlineStr">
        <is>
          <t>00000000</t>
        </is>
      </c>
      <c r="O1592" t="n">
        <v/>
      </c>
      <c r="R1592" t="b">
        <v>1</v>
      </c>
      <c r="S1592" t="n">
        <v/>
      </c>
      <c r="T1592" t="n">
        <v/>
      </c>
      <c r="U1592" t="n">
        <v/>
      </c>
      <c r="V1592" t="b">
        <v>0</v>
      </c>
      <c r="W1592" t="inlineStr"/>
      <c r="X1592" t="n">
        <v/>
      </c>
    </row>
    <row r="1593">
      <c r="A1593" t="inlineStr">
        <is>
          <t>ATF Fuel 2</t>
        </is>
      </c>
      <c r="B1593" t="inlineStr">
        <is>
          <t>G93</t>
        </is>
      </c>
      <c r="C1593" t="n">
        <v>93</v>
      </c>
      <c r="D1593" t="n">
        <v>7</v>
      </c>
      <c r="E1593" t="inlineStr">
        <is>
          <t>Output</t>
        </is>
      </c>
      <c r="F1593" t="inlineStr">
        <is>
          <t>'=F93/F92-1</t>
        </is>
      </c>
      <c r="G1593" t="n">
        <v>0.03146258503401356</v>
      </c>
      <c r="H1593" t="inlineStr"/>
      <c r="I1593" t="inlineStr">
        <is>
          <t>0%</t>
        </is>
      </c>
      <c r="J1593" t="b">
        <v>0</v>
      </c>
      <c r="K1593" t="b">
        <v>0</v>
      </c>
      <c r="L1593" t="n">
        <v>11</v>
      </c>
      <c r="M1593" t="inlineStr">
        <is>
          <t>Values must be of type &lt;class 'str'&gt;</t>
        </is>
      </c>
      <c r="N1593" t="inlineStr">
        <is>
          <t>00000000</t>
        </is>
      </c>
      <c r="O1593" t="n">
        <v/>
      </c>
      <c r="R1593" t="b">
        <v>1</v>
      </c>
      <c r="S1593" t="inlineStr">
        <is>
          <t>G000155</t>
        </is>
      </c>
      <c r="T1593" t="inlineStr">
        <is>
          <t>Vertical</t>
        </is>
      </c>
      <c r="U1593" t="n">
        <v>93</v>
      </c>
      <c r="V1593" t="b">
        <v>1</v>
      </c>
      <c r="W1593" t="inlineStr">
        <is>
          <t>ATF Fuel 2!G3:G95</t>
        </is>
      </c>
      <c r="X1593">
        <f>R[0]C[-1]/R[-1]C[-1]-1</f>
        <v/>
      </c>
    </row>
    <row r="1594">
      <c r="A1594" t="inlineStr">
        <is>
          <t>ATF Fuel 2</t>
        </is>
      </c>
      <c r="B1594" t="inlineStr">
        <is>
          <t>H93</t>
        </is>
      </c>
      <c r="C1594" t="n">
        <v>93</v>
      </c>
      <c r="D1594" t="n">
        <v>8</v>
      </c>
      <c r="E1594" t="inlineStr">
        <is>
          <t>Calculation</t>
        </is>
      </c>
      <c r="F1594" t="inlineStr">
        <is>
          <t>'=D93*F93</t>
        </is>
      </c>
      <c r="G1594" t="n">
        <v>3924.96475</v>
      </c>
      <c r="H1594" t="inlineStr"/>
      <c r="I1594" t="inlineStr">
        <is>
          <t>0</t>
        </is>
      </c>
      <c r="J1594" t="b">
        <v>0</v>
      </c>
      <c r="K1594" t="b">
        <v>0</v>
      </c>
      <c r="L1594" t="n">
        <v>11</v>
      </c>
      <c r="M1594" t="inlineStr">
        <is>
          <t>Values must be of type &lt;class 'str'&gt;</t>
        </is>
      </c>
      <c r="N1594" t="inlineStr">
        <is>
          <t>00000000</t>
        </is>
      </c>
      <c r="O1594" t="n">
        <v/>
      </c>
      <c r="R1594" t="b">
        <v>1</v>
      </c>
      <c r="S1594" t="inlineStr">
        <is>
          <t>G000152</t>
        </is>
      </c>
      <c r="T1594" t="inlineStr">
        <is>
          <t>Vertical</t>
        </is>
      </c>
      <c r="U1594" t="n">
        <v>98</v>
      </c>
      <c r="V1594" t="b">
        <v>1</v>
      </c>
      <c r="W1594" t="inlineStr">
        <is>
          <t>ATF Fuel 2!H2:H99</t>
        </is>
      </c>
      <c r="X1594">
        <f>R[0]C[-4]*R[0]C[-2]</f>
        <v/>
      </c>
    </row>
    <row r="1595">
      <c r="A1595" t="inlineStr">
        <is>
          <t>ATF Fuel 2</t>
        </is>
      </c>
      <c r="B1595" t="inlineStr">
        <is>
          <t>I93</t>
        </is>
      </c>
      <c r="C1595" t="n">
        <v>93</v>
      </c>
      <c r="D1595" t="n">
        <v>9</v>
      </c>
      <c r="E1595" t="inlineStr">
        <is>
          <t>Output</t>
        </is>
      </c>
      <c r="F1595" t="inlineStr">
        <is>
          <t>'=H93/H92-1</t>
        </is>
      </c>
      <c r="G1595" t="n">
        <v>0.01723714097037776</v>
      </c>
      <c r="H1595" t="inlineStr"/>
      <c r="I1595" t="inlineStr">
        <is>
          <t>0%</t>
        </is>
      </c>
      <c r="J1595" t="b">
        <v>0</v>
      </c>
      <c r="K1595" t="b">
        <v>0</v>
      </c>
      <c r="L1595" t="n">
        <v>11</v>
      </c>
      <c r="M1595" t="inlineStr">
        <is>
          <t>FFFF0000</t>
        </is>
      </c>
      <c r="N1595" t="inlineStr">
        <is>
          <t>00000000</t>
        </is>
      </c>
      <c r="O1595" t="n">
        <v/>
      </c>
      <c r="R1595" t="b">
        <v>1</v>
      </c>
      <c r="S1595" t="inlineStr">
        <is>
          <t>G000156</t>
        </is>
      </c>
      <c r="T1595" t="inlineStr">
        <is>
          <t>Vertical</t>
        </is>
      </c>
      <c r="U1595" t="n">
        <v>97</v>
      </c>
      <c r="V1595" t="b">
        <v>1</v>
      </c>
      <c r="W1595" t="inlineStr">
        <is>
          <t>ATF Fuel 2!I3:I99</t>
        </is>
      </c>
      <c r="X1595">
        <f>R[0]C[-1]/R[-1]C[-1]-1</f>
        <v/>
      </c>
    </row>
    <row r="1596">
      <c r="A1596" t="inlineStr">
        <is>
          <t>ATF Fuel 2</t>
        </is>
      </c>
      <c r="B1596" t="inlineStr">
        <is>
          <t>J93</t>
        </is>
      </c>
      <c r="C1596" t="n">
        <v>93</v>
      </c>
      <c r="D1596" t="n">
        <v>10</v>
      </c>
      <c r="E1596" t="inlineStr">
        <is>
          <t>Input</t>
        </is>
      </c>
      <c r="F1596" t="n">
        <v/>
      </c>
      <c r="G1596" t="n">
        <v>54.32</v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11</v>
      </c>
      <c r="M1596" t="inlineStr">
        <is>
          <t>Values must be of type &lt;class 'str'&gt;</t>
        </is>
      </c>
      <c r="N1596" t="inlineStr">
        <is>
          <t>00000000</t>
        </is>
      </c>
      <c r="O1596" t="n">
        <v/>
      </c>
      <c r="R1596" t="b">
        <v>1</v>
      </c>
      <c r="S1596" t="n">
        <v/>
      </c>
      <c r="T1596" t="n">
        <v/>
      </c>
      <c r="U1596" t="n">
        <v/>
      </c>
      <c r="V1596" t="b">
        <v>0</v>
      </c>
      <c r="W1596" t="inlineStr"/>
      <c r="X1596" t="n">
        <v/>
      </c>
    </row>
    <row r="1597">
      <c r="A1597" t="inlineStr">
        <is>
          <t>ATF Fuel 2</t>
        </is>
      </c>
      <c r="B1597" t="inlineStr">
        <is>
          <t>K93</t>
        </is>
      </c>
      <c r="C1597" t="n">
        <v>93</v>
      </c>
      <c r="D1597" t="n">
        <v>11</v>
      </c>
      <c r="E1597" t="inlineStr">
        <is>
          <t>Output</t>
        </is>
      </c>
      <c r="F1597" t="inlineStr">
        <is>
          <t>'=J93/J92-1</t>
        </is>
      </c>
      <c r="G1597" t="n">
        <v>0.0737299861632732</v>
      </c>
      <c r="H1597" t="inlineStr"/>
      <c r="I1597" t="inlineStr">
        <is>
          <t>0%</t>
        </is>
      </c>
      <c r="J1597" t="b">
        <v>0</v>
      </c>
      <c r="K1597" t="b">
        <v>0</v>
      </c>
      <c r="L1597" t="n">
        <v>11</v>
      </c>
      <c r="M1597" t="inlineStr">
        <is>
          <t>Values must be of type &lt;class 'str'&gt;</t>
        </is>
      </c>
      <c r="N1597" t="inlineStr">
        <is>
          <t>00000000</t>
        </is>
      </c>
      <c r="O1597" t="n">
        <v/>
      </c>
      <c r="R1597" t="b">
        <v>1</v>
      </c>
      <c r="S1597" t="inlineStr">
        <is>
          <t>G000157</t>
        </is>
      </c>
      <c r="T1597" t="inlineStr">
        <is>
          <t>Vertical</t>
        </is>
      </c>
      <c r="U1597" t="n">
        <v>93</v>
      </c>
      <c r="V1597" t="b">
        <v>1</v>
      </c>
      <c r="W1597" t="inlineStr">
        <is>
          <t>ATF Fuel 2!K3:K95</t>
        </is>
      </c>
      <c r="X1597">
        <f>R[0]C[-1]/R[-1]C[-1]-1</f>
        <v/>
      </c>
    </row>
    <row r="1598">
      <c r="A1598" t="inlineStr">
        <is>
          <t>ATF Fuel 2</t>
        </is>
      </c>
      <c r="B1598" t="inlineStr">
        <is>
          <t>L93</t>
        </is>
      </c>
      <c r="C1598" t="n">
        <v>93</v>
      </c>
      <c r="D1598" t="n">
        <v>12</v>
      </c>
      <c r="E1598" t="inlineStr">
        <is>
          <t>Input</t>
        </is>
      </c>
      <c r="F1598" t="n">
        <v/>
      </c>
      <c r="G1598" t="inlineStr">
        <is>
          <t>November 01,2017</t>
        </is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11</v>
      </c>
      <c r="M1598" t="inlineStr">
        <is>
          <t>Values must be of type &lt;class 'str'&gt;</t>
        </is>
      </c>
      <c r="N1598" t="inlineStr">
        <is>
          <t>00000000</t>
        </is>
      </c>
      <c r="O1598" t="inlineStr">
        <is>
          <t>left</t>
        </is>
      </c>
      <c r="R1598" t="b">
        <v>1</v>
      </c>
      <c r="S1598" t="n">
        <v/>
      </c>
      <c r="T1598" t="n">
        <v/>
      </c>
      <c r="U1598" t="n">
        <v/>
      </c>
      <c r="V1598" t="b">
        <v>0</v>
      </c>
      <c r="W1598" t="inlineStr"/>
      <c r="X1598" t="n">
        <v/>
      </c>
    </row>
    <row r="1599">
      <c r="A1599" t="inlineStr">
        <is>
          <t>ATF Fuel 2</t>
        </is>
      </c>
      <c r="B1599" t="inlineStr">
        <is>
          <t>M93</t>
        </is>
      </c>
      <c r="C1599" t="n">
        <v>93</v>
      </c>
      <c r="D1599" t="n">
        <v>13</v>
      </c>
      <c r="E1599" t="inlineStr">
        <is>
          <t>Calculation</t>
        </is>
      </c>
      <c r="F1599" t="inlineStr">
        <is>
          <t>'=(1+(B93/B92)-1)*M92</t>
        </is>
      </c>
      <c r="G1599" t="n">
        <v>125.6627252691095</v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11</v>
      </c>
      <c r="M1599" t="inlineStr">
        <is>
          <t>Values must be of type &lt;class 'str'&gt;</t>
        </is>
      </c>
      <c r="N1599" t="inlineStr">
        <is>
          <t>00000000</t>
        </is>
      </c>
      <c r="O1599" t="inlineStr">
        <is>
          <t>left</t>
        </is>
      </c>
      <c r="R1599" t="b">
        <v>1</v>
      </c>
      <c r="S1599" t="inlineStr">
        <is>
          <t>G000159</t>
        </is>
      </c>
      <c r="T1599" t="inlineStr">
        <is>
          <t>Vertical</t>
        </is>
      </c>
      <c r="U1599" t="n">
        <v>92</v>
      </c>
      <c r="V1599" t="b">
        <v>1</v>
      </c>
      <c r="W1599" t="inlineStr">
        <is>
          <t>ATF Fuel 2!M3:M94</t>
        </is>
      </c>
      <c r="X1599">
        <f>(1+(R[0]C[-11]/R[-1]C[-11])-1)*R[-1]C[0]</f>
        <v/>
      </c>
    </row>
    <row r="1600">
      <c r="A1600" t="inlineStr">
        <is>
          <t>ATF Fuel 2</t>
        </is>
      </c>
      <c r="B1600" t="inlineStr">
        <is>
          <t>N93</t>
        </is>
      </c>
      <c r="C1600" t="n">
        <v>93</v>
      </c>
      <c r="D1600" t="n">
        <v>14</v>
      </c>
      <c r="E1600" t="inlineStr">
        <is>
          <t>Calculation</t>
        </is>
      </c>
      <c r="F1600" t="inlineStr">
        <is>
          <t>'=(1+(F93/F92)-1)*N92</t>
        </is>
      </c>
      <c r="G1600" t="n">
        <v>73.39949171003278</v>
      </c>
      <c r="H1600" t="inlineStr"/>
      <c r="I1600" t="inlineStr">
        <is>
          <t>General</t>
        </is>
      </c>
      <c r="J1600" t="b">
        <v>0</v>
      </c>
      <c r="K1600" t="b">
        <v>0</v>
      </c>
      <c r="L1600" t="n">
        <v>11</v>
      </c>
      <c r="M1600" t="inlineStr">
        <is>
          <t>Values must be of type &lt;class 'str'&gt;</t>
        </is>
      </c>
      <c r="N1600" t="inlineStr">
        <is>
          <t>00000000</t>
        </is>
      </c>
      <c r="O1600" t="inlineStr">
        <is>
          <t>left</t>
        </is>
      </c>
      <c r="R1600" t="b">
        <v>1</v>
      </c>
      <c r="S1600" t="inlineStr">
        <is>
          <t>G000160</t>
        </is>
      </c>
      <c r="T1600" t="inlineStr">
        <is>
          <t>Vertical</t>
        </is>
      </c>
      <c r="U1600" t="n">
        <v>92</v>
      </c>
      <c r="V1600" t="b">
        <v>1</v>
      </c>
      <c r="W1600" t="inlineStr">
        <is>
          <t>ATF Fuel 2!N3:N94</t>
        </is>
      </c>
      <c r="X1600">
        <f>(1+(R[0]C[-8]/R[-1]C[-8])-1)*R[-1]C[0]</f>
        <v/>
      </c>
    </row>
    <row r="1601">
      <c r="A1601" t="inlineStr">
        <is>
          <t>ATF Fuel 2</t>
        </is>
      </c>
      <c r="B1601" t="inlineStr">
        <is>
          <t>O93</t>
        </is>
      </c>
      <c r="C1601" t="n">
        <v>93</v>
      </c>
      <c r="D1601" t="n">
        <v>15</v>
      </c>
      <c r="E1601" t="inlineStr">
        <is>
          <t>Calculation</t>
        </is>
      </c>
      <c r="F1601" t="inlineStr">
        <is>
          <t>'=(1+(J93/J92)-1)*O92</t>
        </is>
      </c>
      <c r="G1601" t="n">
        <v>64.26120903821131</v>
      </c>
      <c r="H1601" t="inlineStr"/>
      <c r="I1601" t="inlineStr">
        <is>
          <t>General</t>
        </is>
      </c>
      <c r="J1601" t="b">
        <v>0</v>
      </c>
      <c r="K1601" t="b">
        <v>0</v>
      </c>
      <c r="L1601" t="n">
        <v>11</v>
      </c>
      <c r="M1601" t="inlineStr">
        <is>
          <t>Values must be of type &lt;class 'str'&gt;</t>
        </is>
      </c>
      <c r="N1601" t="inlineStr">
        <is>
          <t>00000000</t>
        </is>
      </c>
      <c r="O1601" t="inlineStr">
        <is>
          <t>left</t>
        </is>
      </c>
      <c r="R1601" t="b">
        <v>1</v>
      </c>
      <c r="S1601" t="inlineStr">
        <is>
          <t>G000162</t>
        </is>
      </c>
      <c r="T1601" t="inlineStr">
        <is>
          <t>Vertical</t>
        </is>
      </c>
      <c r="U1601" t="n">
        <v>92</v>
      </c>
      <c r="V1601" t="b">
        <v>1</v>
      </c>
      <c r="W1601" t="inlineStr">
        <is>
          <t>ATF Fuel 2!O3:O94</t>
        </is>
      </c>
      <c r="X1601">
        <f>(1+(R[0]C[-5]/R[-1]C[-5])-1)*R[-1]C[0]</f>
        <v/>
      </c>
    </row>
    <row r="1602">
      <c r="A1602" t="inlineStr">
        <is>
          <t>ATF Fuel 2</t>
        </is>
      </c>
      <c r="B1602" t="inlineStr">
        <is>
          <t>P93</t>
        </is>
      </c>
      <c r="C1602" t="n">
        <v>93</v>
      </c>
      <c r="D1602" t="n">
        <v>16</v>
      </c>
      <c r="E1602" t="inlineStr">
        <is>
          <t>Calculation</t>
        </is>
      </c>
      <c r="F1602" t="inlineStr">
        <is>
          <t>'=(1+(H93/H92)-1)*P92</t>
        </is>
      </c>
      <c r="G1602" t="n">
        <v>106.1226118412594</v>
      </c>
      <c r="H1602" t="inlineStr"/>
      <c r="I1602" t="inlineStr">
        <is>
          <t>General</t>
        </is>
      </c>
      <c r="J1602" t="b">
        <v>0</v>
      </c>
      <c r="K1602" t="b">
        <v>0</v>
      </c>
      <c r="L1602" t="n">
        <v>11</v>
      </c>
      <c r="M1602" t="inlineStr">
        <is>
          <t>Values must be of type &lt;class 'str'&gt;</t>
        </is>
      </c>
      <c r="N1602" t="inlineStr">
        <is>
          <t>00000000</t>
        </is>
      </c>
      <c r="O1602" t="inlineStr">
        <is>
          <t>left</t>
        </is>
      </c>
      <c r="R1602" t="b">
        <v>1</v>
      </c>
      <c r="S1602" t="inlineStr">
        <is>
          <t>G000161</t>
        </is>
      </c>
      <c r="T1602" t="inlineStr">
        <is>
          <t>Vertical</t>
        </is>
      </c>
      <c r="U1602" t="n">
        <v>92</v>
      </c>
      <c r="V1602" t="b">
        <v>1</v>
      </c>
      <c r="W1602" t="inlineStr">
        <is>
          <t>ATF Fuel 2!P3:P94</t>
        </is>
      </c>
      <c r="X1602">
        <f>(1+(R[0]C[-8]/R[-1]C[-8])-1)*R[-1]C[0]</f>
        <v/>
      </c>
    </row>
    <row r="1603">
      <c r="A1603" t="inlineStr">
        <is>
          <t>ATF Fuel 2</t>
        </is>
      </c>
      <c r="B1603" t="inlineStr">
        <is>
          <t>Q93</t>
        </is>
      </c>
      <c r="C1603" t="n">
        <v>93</v>
      </c>
      <c r="D1603" t="n">
        <v>17</v>
      </c>
      <c r="E1603" t="inlineStr">
        <is>
          <t>Output</t>
        </is>
      </c>
      <c r="F1603" t="inlineStr">
        <is>
          <t>'=M93/N93-1</t>
        </is>
      </c>
      <c r="G1603" t="n">
        <v>0.7120380855707344</v>
      </c>
      <c r="H1603" t="inlineStr"/>
      <c r="I1603" t="inlineStr">
        <is>
          <t>0.0%</t>
        </is>
      </c>
      <c r="J1603" t="b">
        <v>0</v>
      </c>
      <c r="K1603" t="b">
        <v>0</v>
      </c>
      <c r="L1603" t="n">
        <v>11</v>
      </c>
      <c r="M1603" t="inlineStr">
        <is>
          <t>Values must be of type &lt;class 'str'&gt;</t>
        </is>
      </c>
      <c r="N1603" t="inlineStr">
        <is>
          <t>00000000</t>
        </is>
      </c>
      <c r="O1603" t="n">
        <v/>
      </c>
      <c r="R1603" t="b">
        <v>1</v>
      </c>
      <c r="S1603" t="inlineStr">
        <is>
          <t>G000153</t>
        </is>
      </c>
      <c r="T1603" t="inlineStr">
        <is>
          <t>Vertical</t>
        </is>
      </c>
      <c r="U1603" t="n">
        <v>93</v>
      </c>
      <c r="V1603" t="b">
        <v>1</v>
      </c>
      <c r="W1603" t="inlineStr">
        <is>
          <t>ATF Fuel 2!Q2:Q94</t>
        </is>
      </c>
      <c r="X1603">
        <f>R[0]C[-4]/R[0]C[-3]-1</f>
        <v/>
      </c>
    </row>
    <row r="1604">
      <c r="A1604" t="inlineStr">
        <is>
          <t>ATF Fuel 2</t>
        </is>
      </c>
      <c r="B1604" t="inlineStr">
        <is>
          <t>A94</t>
        </is>
      </c>
      <c r="C1604" t="n">
        <v>94</v>
      </c>
      <c r="D1604" t="n">
        <v>1</v>
      </c>
      <c r="E1604" t="inlineStr">
        <is>
          <t>Input</t>
        </is>
      </c>
      <c r="F1604" t="n">
        <v/>
      </c>
      <c r="G1604" t="inlineStr">
        <is>
          <t>December 01,2017</t>
        </is>
      </c>
      <c r="H1604" t="inlineStr"/>
      <c r="I1604" t="inlineStr">
        <is>
          <t>General</t>
        </is>
      </c>
      <c r="J1604" t="b">
        <v>0</v>
      </c>
      <c r="K1604" t="b">
        <v>0</v>
      </c>
      <c r="L1604" t="n">
        <v>11</v>
      </c>
      <c r="M1604" t="inlineStr">
        <is>
          <t>Values must be of type &lt;class 'str'&gt;</t>
        </is>
      </c>
      <c r="N1604" t="inlineStr">
        <is>
          <t>00000000</t>
        </is>
      </c>
      <c r="O1604" t="n">
        <v/>
      </c>
      <c r="R1604" t="b">
        <v>1</v>
      </c>
      <c r="S1604" t="n">
        <v/>
      </c>
      <c r="T1604" t="n">
        <v/>
      </c>
      <c r="U1604" t="n">
        <v/>
      </c>
      <c r="V1604" t="b">
        <v>0</v>
      </c>
      <c r="W1604" t="inlineStr"/>
      <c r="X1604" t="n">
        <v/>
      </c>
    </row>
    <row r="1605">
      <c r="A1605" t="inlineStr">
        <is>
          <t>ATF Fuel 2</t>
        </is>
      </c>
      <c r="B1605" t="inlineStr">
        <is>
          <t>B94</t>
        </is>
      </c>
      <c r="C1605" t="n">
        <v>94</v>
      </c>
      <c r="D1605" t="n">
        <v>2</v>
      </c>
      <c r="E1605" t="inlineStr">
        <is>
          <t>Input</t>
        </is>
      </c>
      <c r="F1605" t="n">
        <v/>
      </c>
      <c r="G1605" t="n">
        <v>58985.5</v>
      </c>
      <c r="H1605" t="inlineStr"/>
      <c r="I1605" t="inlineStr">
        <is>
          <t>General</t>
        </is>
      </c>
      <c r="J1605" t="b">
        <v>0</v>
      </c>
      <c r="K1605" t="b">
        <v>0</v>
      </c>
      <c r="L1605" t="n">
        <v>11</v>
      </c>
      <c r="M1605" t="inlineStr">
        <is>
          <t>Values must be of type &lt;class 'str'&gt;</t>
        </is>
      </c>
      <c r="N1605" t="inlineStr">
        <is>
          <t>00000000</t>
        </is>
      </c>
      <c r="O1605" t="n">
        <v/>
      </c>
      <c r="R1605" t="b">
        <v>1</v>
      </c>
      <c r="S1605" t="n">
        <v/>
      </c>
      <c r="T1605" t="n">
        <v/>
      </c>
      <c r="U1605" t="n">
        <v/>
      </c>
      <c r="V1605" t="b">
        <v>0</v>
      </c>
      <c r="W1605" t="inlineStr"/>
      <c r="X1605" t="n">
        <v/>
      </c>
    </row>
    <row r="1606">
      <c r="A1606" t="inlineStr">
        <is>
          <t>ATF Fuel 2</t>
        </is>
      </c>
      <c r="B1606" t="inlineStr">
        <is>
          <t>C94</t>
        </is>
      </c>
      <c r="C1606" t="n">
        <v>94</v>
      </c>
      <c r="D1606" t="n">
        <v>3</v>
      </c>
      <c r="E1606" t="inlineStr">
        <is>
          <t>Output</t>
        </is>
      </c>
      <c r="F1606" t="inlineStr">
        <is>
          <t>'=B94/B93-1</t>
        </is>
      </c>
      <c r="G1606" t="n">
        <v>0.05810704755925289</v>
      </c>
      <c r="H1606" t="inlineStr"/>
      <c r="I1606" t="inlineStr">
        <is>
          <t>0%</t>
        </is>
      </c>
      <c r="J1606" t="b">
        <v>0</v>
      </c>
      <c r="K1606" t="b">
        <v>0</v>
      </c>
      <c r="L1606" t="n">
        <v>11</v>
      </c>
      <c r="M1606" t="n">
        <v/>
      </c>
      <c r="N1606" t="inlineStr">
        <is>
          <t>00000000</t>
        </is>
      </c>
      <c r="O1606" t="n">
        <v/>
      </c>
      <c r="R1606" t="b">
        <v>1</v>
      </c>
      <c r="S1606" t="inlineStr">
        <is>
          <t>G000154</t>
        </is>
      </c>
      <c r="T1606" t="inlineStr">
        <is>
          <t>Vertical</t>
        </is>
      </c>
      <c r="U1606" t="n">
        <v>92</v>
      </c>
      <c r="V1606" t="b">
        <v>1</v>
      </c>
      <c r="W1606" t="inlineStr">
        <is>
          <t>ATF Fuel 2!C3:C94</t>
        </is>
      </c>
      <c r="X1606">
        <f>R[0]C[-1]/R[-1]C[-1]-1</f>
        <v/>
      </c>
    </row>
    <row r="1607">
      <c r="A1607" t="inlineStr">
        <is>
          <t>ATF Fuel 2</t>
        </is>
      </c>
      <c r="B1607" t="inlineStr">
        <is>
          <t>D94</t>
        </is>
      </c>
      <c r="C1607" t="n">
        <v>94</v>
      </c>
      <c r="D1607" t="n">
        <v>4</v>
      </c>
      <c r="E1607" t="inlineStr">
        <is>
          <t>Input</t>
        </is>
      </c>
      <c r="F1607" t="n">
        <v/>
      </c>
      <c r="G1607" t="n">
        <v>64.595</v>
      </c>
      <c r="H1607" t="inlineStr"/>
      <c r="I1607" t="inlineStr">
        <is>
          <t>General</t>
        </is>
      </c>
      <c r="J1607" t="b">
        <v>0</v>
      </c>
      <c r="K1607" t="b">
        <v>0</v>
      </c>
      <c r="L1607" t="n">
        <v>11</v>
      </c>
      <c r="M1607" t="inlineStr">
        <is>
          <t>Values must be of type &lt;class 'str'&gt;</t>
        </is>
      </c>
      <c r="N1607" t="inlineStr">
        <is>
          <t>00000000</t>
        </is>
      </c>
      <c r="O1607" t="n">
        <v/>
      </c>
      <c r="R1607" t="b">
        <v>1</v>
      </c>
      <c r="S1607" t="n">
        <v/>
      </c>
      <c r="T1607" t="n">
        <v/>
      </c>
      <c r="U1607" t="n">
        <v/>
      </c>
      <c r="V1607" t="b">
        <v>0</v>
      </c>
      <c r="W1607" t="inlineStr"/>
      <c r="X1607" t="n">
        <v/>
      </c>
    </row>
    <row r="1608">
      <c r="A1608" t="inlineStr">
        <is>
          <t>ATF Fuel 2</t>
        </is>
      </c>
      <c r="B1608" t="inlineStr">
        <is>
          <t>E94</t>
        </is>
      </c>
      <c r="C1608" t="n">
        <v>94</v>
      </c>
      <c r="D1608" t="n">
        <v>5</v>
      </c>
      <c r="E1608" t="inlineStr">
        <is>
          <t>Output</t>
        </is>
      </c>
      <c r="F1608" t="inlineStr">
        <is>
          <t>'=B94/B93-1</t>
        </is>
      </c>
      <c r="G1608" t="n">
        <v>0.05810704755925289</v>
      </c>
      <c r="H1608" t="inlineStr"/>
      <c r="I1608" t="inlineStr">
        <is>
          <t>0%</t>
        </is>
      </c>
      <c r="J1608" t="b">
        <v>0</v>
      </c>
      <c r="K1608" t="b">
        <v>0</v>
      </c>
      <c r="L1608" t="n">
        <v>11</v>
      </c>
      <c r="M1608" t="inlineStr">
        <is>
          <t>Values must be of type &lt;class 'str'&gt;</t>
        </is>
      </c>
      <c r="N1608" t="inlineStr">
        <is>
          <t>00000000</t>
        </is>
      </c>
      <c r="O1608" t="n">
        <v/>
      </c>
      <c r="R1608" t="b">
        <v>1</v>
      </c>
      <c r="S1608" t="inlineStr">
        <is>
          <t>G000158</t>
        </is>
      </c>
      <c r="T1608" t="inlineStr">
        <is>
          <t>Vertical</t>
        </is>
      </c>
      <c r="U1608" t="n">
        <v>92</v>
      </c>
      <c r="V1608" t="b">
        <v>1</v>
      </c>
      <c r="W1608" t="inlineStr">
        <is>
          <t>ATF Fuel 2!E3:E94</t>
        </is>
      </c>
      <c r="X1608">
        <f>R[0]C[-3]/R[-1]C[-3]-1</f>
        <v/>
      </c>
    </row>
    <row r="1609">
      <c r="A1609" t="inlineStr">
        <is>
          <t>ATF Fuel 2</t>
        </is>
      </c>
      <c r="B1609" t="inlineStr">
        <is>
          <t>F94</t>
        </is>
      </c>
      <c r="C1609" t="n">
        <v>94</v>
      </c>
      <c r="D1609" t="n">
        <v>6</v>
      </c>
      <c r="E1609" t="inlineStr">
        <is>
          <t>Input</t>
        </is>
      </c>
      <c r="F1609" t="n">
        <v/>
      </c>
      <c r="G1609" t="n">
        <v>63.56</v>
      </c>
      <c r="H1609" t="inlineStr"/>
      <c r="I1609" t="inlineStr">
        <is>
          <t>General</t>
        </is>
      </c>
      <c r="J1609" t="b">
        <v>0</v>
      </c>
      <c r="K1609" t="b">
        <v>0</v>
      </c>
      <c r="L1609" t="n">
        <v>11</v>
      </c>
      <c r="M1609" t="inlineStr">
        <is>
          <t>Values must be of type &lt;class 'str'&gt;</t>
        </is>
      </c>
      <c r="N1609" t="inlineStr">
        <is>
          <t>00000000</t>
        </is>
      </c>
      <c r="O1609" t="n">
        <v/>
      </c>
      <c r="R1609" t="b">
        <v>1</v>
      </c>
      <c r="S1609" t="n">
        <v/>
      </c>
      <c r="T1609" t="n">
        <v/>
      </c>
      <c r="U1609" t="n">
        <v/>
      </c>
      <c r="V1609" t="b">
        <v>0</v>
      </c>
      <c r="W1609" t="inlineStr"/>
      <c r="X1609" t="n">
        <v/>
      </c>
    </row>
    <row r="1610">
      <c r="A1610" t="inlineStr">
        <is>
          <t>ATF Fuel 2</t>
        </is>
      </c>
      <c r="B1610" t="inlineStr">
        <is>
          <t>G94</t>
        </is>
      </c>
      <c r="C1610" t="n">
        <v>94</v>
      </c>
      <c r="D1610" t="n">
        <v>7</v>
      </c>
      <c r="E1610" t="inlineStr">
        <is>
          <t>Output</t>
        </is>
      </c>
      <c r="F1610" t="inlineStr">
        <is>
          <t>'=F94/F93-1</t>
        </is>
      </c>
      <c r="G1610" t="n">
        <v>0.0479802143446002</v>
      </c>
      <c r="H1610" t="inlineStr"/>
      <c r="I1610" t="inlineStr">
        <is>
          <t>0%</t>
        </is>
      </c>
      <c r="J1610" t="b">
        <v>0</v>
      </c>
      <c r="K1610" t="b">
        <v>0</v>
      </c>
      <c r="L1610" t="n">
        <v>11</v>
      </c>
      <c r="M1610" t="inlineStr">
        <is>
          <t>Values must be of type &lt;class 'str'&gt;</t>
        </is>
      </c>
      <c r="N1610" t="inlineStr">
        <is>
          <t>00000000</t>
        </is>
      </c>
      <c r="O1610" t="n">
        <v/>
      </c>
      <c r="R1610" t="b">
        <v>1</v>
      </c>
      <c r="S1610" t="inlineStr">
        <is>
          <t>G000155</t>
        </is>
      </c>
      <c r="T1610" t="inlineStr">
        <is>
          <t>Vertical</t>
        </is>
      </c>
      <c r="U1610" t="n">
        <v>93</v>
      </c>
      <c r="V1610" t="b">
        <v>1</v>
      </c>
      <c r="W1610" t="inlineStr">
        <is>
          <t>ATF Fuel 2!G3:G95</t>
        </is>
      </c>
      <c r="X1610">
        <f>R[0]C[-1]/R[-1]C[-1]-1</f>
        <v/>
      </c>
    </row>
    <row r="1611">
      <c r="A1611" t="inlineStr">
        <is>
          <t>ATF Fuel 2</t>
        </is>
      </c>
      <c r="B1611" t="inlineStr">
        <is>
          <t>H94</t>
        </is>
      </c>
      <c r="C1611" t="n">
        <v>94</v>
      </c>
      <c r="D1611" t="n">
        <v>8</v>
      </c>
      <c r="E1611" t="inlineStr">
        <is>
          <t>Calculation</t>
        </is>
      </c>
      <c r="F1611" t="inlineStr">
        <is>
          <t>'=D94*F94</t>
        </is>
      </c>
      <c r="G1611" t="n">
        <v>4105.6582</v>
      </c>
      <c r="H1611" t="inlineStr"/>
      <c r="I1611" t="inlineStr">
        <is>
          <t>0</t>
        </is>
      </c>
      <c r="J1611" t="b">
        <v>0</v>
      </c>
      <c r="K1611" t="b">
        <v>0</v>
      </c>
      <c r="L1611" t="n">
        <v>11</v>
      </c>
      <c r="M1611" t="inlineStr">
        <is>
          <t>Values must be of type &lt;class 'str'&gt;</t>
        </is>
      </c>
      <c r="N1611" t="inlineStr">
        <is>
          <t>00000000</t>
        </is>
      </c>
      <c r="O1611" t="n">
        <v/>
      </c>
      <c r="R1611" t="b">
        <v>1</v>
      </c>
      <c r="S1611" t="inlineStr">
        <is>
          <t>G000152</t>
        </is>
      </c>
      <c r="T1611" t="inlineStr">
        <is>
          <t>Vertical</t>
        </is>
      </c>
      <c r="U1611" t="n">
        <v>98</v>
      </c>
      <c r="V1611" t="b">
        <v>1</v>
      </c>
      <c r="W1611" t="inlineStr">
        <is>
          <t>ATF Fuel 2!H2:H99</t>
        </is>
      </c>
      <c r="X1611">
        <f>R[0]C[-4]*R[0]C[-2]</f>
        <v/>
      </c>
    </row>
    <row r="1612">
      <c r="A1612" t="inlineStr">
        <is>
          <t>ATF Fuel 2</t>
        </is>
      </c>
      <c r="B1612" t="inlineStr">
        <is>
          <t>I94</t>
        </is>
      </c>
      <c r="C1612" t="n">
        <v>94</v>
      </c>
      <c r="D1612" t="n">
        <v>9</v>
      </c>
      <c r="E1612" t="inlineStr">
        <is>
          <t>Output</t>
        </is>
      </c>
      <c r="F1612" t="inlineStr">
        <is>
          <t>'=H94/H93-1</t>
        </is>
      </c>
      <c r="G1612" t="n">
        <v>0.04603696122366441</v>
      </c>
      <c r="H1612" t="inlineStr"/>
      <c r="I1612" t="inlineStr">
        <is>
          <t>0%</t>
        </is>
      </c>
      <c r="J1612" t="b">
        <v>0</v>
      </c>
      <c r="K1612" t="b">
        <v>0</v>
      </c>
      <c r="L1612" t="n">
        <v>11</v>
      </c>
      <c r="M1612" t="inlineStr">
        <is>
          <t>FFFF0000</t>
        </is>
      </c>
      <c r="N1612" t="inlineStr">
        <is>
          <t>00000000</t>
        </is>
      </c>
      <c r="O1612" t="n">
        <v/>
      </c>
      <c r="R1612" t="b">
        <v>1</v>
      </c>
      <c r="S1612" t="inlineStr">
        <is>
          <t>G000156</t>
        </is>
      </c>
      <c r="T1612" t="inlineStr">
        <is>
          <t>Vertical</t>
        </is>
      </c>
      <c r="U1612" t="n">
        <v>97</v>
      </c>
      <c r="V1612" t="b">
        <v>1</v>
      </c>
      <c r="W1612" t="inlineStr">
        <is>
          <t>ATF Fuel 2!I3:I99</t>
        </is>
      </c>
      <c r="X1612">
        <f>R[0]C[-1]/R[-1]C[-1]-1</f>
        <v/>
      </c>
    </row>
    <row r="1613">
      <c r="A1613" t="inlineStr">
        <is>
          <t>ATF Fuel 2</t>
        </is>
      </c>
      <c r="B1613" t="inlineStr">
        <is>
          <t>J94</t>
        </is>
      </c>
      <c r="C1613" t="n">
        <v>94</v>
      </c>
      <c r="D1613" t="n">
        <v>10</v>
      </c>
      <c r="E1613" t="inlineStr">
        <is>
          <t>Input</t>
        </is>
      </c>
      <c r="F1613" t="n">
        <v/>
      </c>
      <c r="G1613" t="n">
        <v>58.35</v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11</v>
      </c>
      <c r="M1613" t="inlineStr">
        <is>
          <t>Values must be of type &lt;class 'str'&gt;</t>
        </is>
      </c>
      <c r="N1613" t="inlineStr">
        <is>
          <t>00000000</t>
        </is>
      </c>
      <c r="O1613" t="n">
        <v/>
      </c>
      <c r="R1613" t="b">
        <v>1</v>
      </c>
      <c r="S1613" t="n">
        <v/>
      </c>
      <c r="T1613" t="n">
        <v/>
      </c>
      <c r="U1613" t="n">
        <v/>
      </c>
      <c r="V1613" t="b">
        <v>0</v>
      </c>
      <c r="W1613" t="inlineStr"/>
      <c r="X1613" t="n">
        <v/>
      </c>
    </row>
    <row r="1614">
      <c r="A1614" t="inlineStr">
        <is>
          <t>ATF Fuel 2</t>
        </is>
      </c>
      <c r="B1614" t="inlineStr">
        <is>
          <t>K94</t>
        </is>
      </c>
      <c r="C1614" t="n">
        <v>94</v>
      </c>
      <c r="D1614" t="n">
        <v>11</v>
      </c>
      <c r="E1614" t="inlineStr">
        <is>
          <t>Output</t>
        </is>
      </c>
      <c r="F1614" t="inlineStr">
        <is>
          <t>'=J94/J93-1</t>
        </is>
      </c>
      <c r="G1614" t="n">
        <v>0.07418998527245946</v>
      </c>
      <c r="H1614" t="inlineStr"/>
      <c r="I1614" t="inlineStr">
        <is>
          <t>0%</t>
        </is>
      </c>
      <c r="J1614" t="b">
        <v>0</v>
      </c>
      <c r="K1614" t="b">
        <v>0</v>
      </c>
      <c r="L1614" t="n">
        <v>11</v>
      </c>
      <c r="M1614" t="inlineStr">
        <is>
          <t>Values must be of type &lt;class 'str'&gt;</t>
        </is>
      </c>
      <c r="N1614" t="inlineStr">
        <is>
          <t>00000000</t>
        </is>
      </c>
      <c r="O1614" t="n">
        <v/>
      </c>
      <c r="R1614" t="b">
        <v>1</v>
      </c>
      <c r="S1614" t="inlineStr">
        <is>
          <t>G000157</t>
        </is>
      </c>
      <c r="T1614" t="inlineStr">
        <is>
          <t>Vertical</t>
        </is>
      </c>
      <c r="U1614" t="n">
        <v>93</v>
      </c>
      <c r="V1614" t="b">
        <v>1</v>
      </c>
      <c r="W1614" t="inlineStr">
        <is>
          <t>ATF Fuel 2!K3:K95</t>
        </is>
      </c>
      <c r="X1614">
        <f>R[0]C[-1]/R[-1]C[-1]-1</f>
        <v/>
      </c>
    </row>
    <row r="1615">
      <c r="A1615" t="inlineStr">
        <is>
          <t>ATF Fuel 2</t>
        </is>
      </c>
      <c r="B1615" t="inlineStr">
        <is>
          <t>L94</t>
        </is>
      </c>
      <c r="C1615" t="n">
        <v>94</v>
      </c>
      <c r="D1615" t="n">
        <v>12</v>
      </c>
      <c r="E1615" t="inlineStr">
        <is>
          <t>Input</t>
        </is>
      </c>
      <c r="F1615" t="n">
        <v/>
      </c>
      <c r="G1615" t="inlineStr">
        <is>
          <t>December 01,2017</t>
        </is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11</v>
      </c>
      <c r="M1615" t="inlineStr">
        <is>
          <t>Values must be of type &lt;class 'str'&gt;</t>
        </is>
      </c>
      <c r="N1615" t="inlineStr">
        <is>
          <t>00000000</t>
        </is>
      </c>
      <c r="O1615" t="inlineStr">
        <is>
          <t>left</t>
        </is>
      </c>
      <c r="R1615" t="b">
        <v>1</v>
      </c>
      <c r="S1615" t="n">
        <v/>
      </c>
      <c r="T1615" t="n">
        <v/>
      </c>
      <c r="U1615" t="n">
        <v/>
      </c>
      <c r="V1615" t="b">
        <v>0</v>
      </c>
      <c r="W1615" t="inlineStr"/>
      <c r="X1615" t="n">
        <v/>
      </c>
    </row>
    <row r="1616">
      <c r="A1616" t="inlineStr">
        <is>
          <t>ATF Fuel 2</t>
        </is>
      </c>
      <c r="B1616" t="inlineStr">
        <is>
          <t>M94</t>
        </is>
      </c>
      <c r="C1616" t="n">
        <v>94</v>
      </c>
      <c r="D1616" t="n">
        <v>13</v>
      </c>
      <c r="E1616" t="inlineStr">
        <is>
          <t>Calculation</t>
        </is>
      </c>
      <c r="F1616" t="inlineStr">
        <is>
          <t>'=(1+(B94/B93)-1)*M93</t>
        </is>
      </c>
      <c r="G1616" t="n">
        <v>132.964615222747</v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11</v>
      </c>
      <c r="M1616" t="inlineStr">
        <is>
          <t>Values must be of type &lt;class 'str'&gt;</t>
        </is>
      </c>
      <c r="N1616" t="inlineStr">
        <is>
          <t>00000000</t>
        </is>
      </c>
      <c r="O1616" t="inlineStr">
        <is>
          <t>left</t>
        </is>
      </c>
      <c r="R1616" t="b">
        <v>1</v>
      </c>
      <c r="S1616" t="inlineStr">
        <is>
          <t>G000159</t>
        </is>
      </c>
      <c r="T1616" t="inlineStr">
        <is>
          <t>Vertical</t>
        </is>
      </c>
      <c r="U1616" t="n">
        <v>92</v>
      </c>
      <c r="V1616" t="b">
        <v>1</v>
      </c>
      <c r="W1616" t="inlineStr">
        <is>
          <t>ATF Fuel 2!M3:M94</t>
        </is>
      </c>
      <c r="X1616">
        <f>(1+(R[0]C[-11]/R[-1]C[-11])-1)*R[-1]C[0]</f>
        <v/>
      </c>
    </row>
    <row r="1617">
      <c r="A1617" t="inlineStr">
        <is>
          <t>ATF Fuel 2</t>
        </is>
      </c>
      <c r="B1617" t="inlineStr">
        <is>
          <t>N94</t>
        </is>
      </c>
      <c r="C1617" t="n">
        <v>94</v>
      </c>
      <c r="D1617" t="n">
        <v>14</v>
      </c>
      <c r="E1617" t="inlineStr">
        <is>
          <t>Calculation</t>
        </is>
      </c>
      <c r="F1617" t="inlineStr">
        <is>
          <t>'=(1+(F94/F93)-1)*N93</t>
        </is>
      </c>
      <c r="G1617" t="n">
        <v>76.92121505506485</v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11</v>
      </c>
      <c r="M1617" t="inlineStr">
        <is>
          <t>Values must be of type &lt;class 'str'&gt;</t>
        </is>
      </c>
      <c r="N1617" t="inlineStr">
        <is>
          <t>00000000</t>
        </is>
      </c>
      <c r="O1617" t="inlineStr">
        <is>
          <t>left</t>
        </is>
      </c>
      <c r="R1617" t="b">
        <v>1</v>
      </c>
      <c r="S1617" t="inlineStr">
        <is>
          <t>G000160</t>
        </is>
      </c>
      <c r="T1617" t="inlineStr">
        <is>
          <t>Vertical</t>
        </is>
      </c>
      <c r="U1617" t="n">
        <v>92</v>
      </c>
      <c r="V1617" t="b">
        <v>1</v>
      </c>
      <c r="W1617" t="inlineStr">
        <is>
          <t>ATF Fuel 2!N3:N94</t>
        </is>
      </c>
      <c r="X1617">
        <f>(1+(R[0]C[-8]/R[-1]C[-8])-1)*R[-1]C[0]</f>
        <v/>
      </c>
    </row>
    <row r="1618">
      <c r="A1618" t="inlineStr">
        <is>
          <t>ATF Fuel 2</t>
        </is>
      </c>
      <c r="B1618" t="inlineStr">
        <is>
          <t>O94</t>
        </is>
      </c>
      <c r="C1618" t="n">
        <v>94</v>
      </c>
      <c r="D1618" t="n">
        <v>15</v>
      </c>
      <c r="E1618" t="inlineStr">
        <is>
          <t>Output</t>
        </is>
      </c>
      <c r="F1618" t="inlineStr">
        <is>
          <t>'=(1+(J94/J93)-1)*O93</t>
        </is>
      </c>
      <c r="G1618" t="n">
        <v>69.02874719034665</v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11</v>
      </c>
      <c r="M1618" t="inlineStr">
        <is>
          <t>Values must be of type &lt;class 'str'&gt;</t>
        </is>
      </c>
      <c r="N1618" t="inlineStr">
        <is>
          <t>00000000</t>
        </is>
      </c>
      <c r="O1618" t="inlineStr">
        <is>
          <t>left</t>
        </is>
      </c>
      <c r="R1618" t="b">
        <v>1</v>
      </c>
      <c r="S1618" t="inlineStr">
        <is>
          <t>G000162</t>
        </is>
      </c>
      <c r="T1618" t="inlineStr">
        <is>
          <t>Vertical</t>
        </is>
      </c>
      <c r="U1618" t="n">
        <v>92</v>
      </c>
      <c r="V1618" t="b">
        <v>1</v>
      </c>
      <c r="W1618" t="inlineStr">
        <is>
          <t>ATF Fuel 2!O3:O94</t>
        </is>
      </c>
      <c r="X1618">
        <f>(1+(R[0]C[-5]/R[-1]C[-5])-1)*R[-1]C[0]</f>
        <v/>
      </c>
    </row>
    <row r="1619">
      <c r="A1619" t="inlineStr">
        <is>
          <t>ATF Fuel 2</t>
        </is>
      </c>
      <c r="B1619" t="inlineStr">
        <is>
          <t>P94</t>
        </is>
      </c>
      <c r="C1619" t="n">
        <v>94</v>
      </c>
      <c r="D1619" t="n">
        <v>16</v>
      </c>
      <c r="E1619" t="inlineStr">
        <is>
          <t>Output</t>
        </is>
      </c>
      <c r="F1619" t="inlineStr">
        <is>
          <t>'=(1+(H94/H93)-1)*P93</t>
        </is>
      </c>
      <c r="G1619" t="n">
        <v>111.0081744075494</v>
      </c>
      <c r="H1619" t="inlineStr"/>
      <c r="I1619" t="inlineStr">
        <is>
          <t>General</t>
        </is>
      </c>
      <c r="J1619" t="b">
        <v>0</v>
      </c>
      <c r="K1619" t="b">
        <v>0</v>
      </c>
      <c r="L1619" t="n">
        <v>11</v>
      </c>
      <c r="M1619" t="inlineStr">
        <is>
          <t>Values must be of type &lt;class 'str'&gt;</t>
        </is>
      </c>
      <c r="N1619" t="inlineStr">
        <is>
          <t>00000000</t>
        </is>
      </c>
      <c r="O1619" t="inlineStr">
        <is>
          <t>left</t>
        </is>
      </c>
      <c r="R1619" t="b">
        <v>1</v>
      </c>
      <c r="S1619" t="inlineStr">
        <is>
          <t>G000161</t>
        </is>
      </c>
      <c r="T1619" t="inlineStr">
        <is>
          <t>Vertical</t>
        </is>
      </c>
      <c r="U1619" t="n">
        <v>92</v>
      </c>
      <c r="V1619" t="b">
        <v>1</v>
      </c>
      <c r="W1619" t="inlineStr">
        <is>
          <t>ATF Fuel 2!P3:P94</t>
        </is>
      </c>
      <c r="X1619">
        <f>(1+(R[0]C[-8]/R[-1]C[-8])-1)*R[-1]C[0]</f>
        <v/>
      </c>
    </row>
    <row r="1620">
      <c r="A1620" t="inlineStr">
        <is>
          <t>ATF Fuel 2</t>
        </is>
      </c>
      <c r="B1620" t="inlineStr">
        <is>
          <t>Q94</t>
        </is>
      </c>
      <c r="C1620" t="n">
        <v>94</v>
      </c>
      <c r="D1620" t="n">
        <v>17</v>
      </c>
      <c r="E1620" t="inlineStr">
        <is>
          <t>Output</t>
        </is>
      </c>
      <c r="F1620" t="inlineStr">
        <is>
          <t>'=M94/N94-1</t>
        </is>
      </c>
      <c r="G1620" t="n">
        <v>0.7285818369816819</v>
      </c>
      <c r="H1620" t="inlineStr"/>
      <c r="I1620" t="inlineStr">
        <is>
          <t>0.0%</t>
        </is>
      </c>
      <c r="J1620" t="b">
        <v>0</v>
      </c>
      <c r="K1620" t="b">
        <v>0</v>
      </c>
      <c r="L1620" t="n">
        <v>11</v>
      </c>
      <c r="M1620" t="inlineStr">
        <is>
          <t>Values must be of type &lt;class 'str'&gt;</t>
        </is>
      </c>
      <c r="N1620" t="inlineStr">
        <is>
          <t>00000000</t>
        </is>
      </c>
      <c r="O1620" t="n">
        <v/>
      </c>
      <c r="R1620" t="b">
        <v>1</v>
      </c>
      <c r="S1620" t="inlineStr">
        <is>
          <t>G000153</t>
        </is>
      </c>
      <c r="T1620" t="inlineStr">
        <is>
          <t>Vertical</t>
        </is>
      </c>
      <c r="U1620" t="n">
        <v>93</v>
      </c>
      <c r="V1620" t="b">
        <v>1</v>
      </c>
      <c r="W1620" t="inlineStr">
        <is>
          <t>ATF Fuel 2!Q2:Q94</t>
        </is>
      </c>
      <c r="X1620">
        <f>R[0]C[-4]/R[0]C[-3]-1</f>
        <v/>
      </c>
    </row>
    <row r="1621">
      <c r="A1621" t="inlineStr">
        <is>
          <t>ATF Fuel 2</t>
        </is>
      </c>
      <c r="B1621" t="inlineStr">
        <is>
          <t>A95</t>
        </is>
      </c>
      <c r="C1621" t="n">
        <v>95</v>
      </c>
      <c r="D1621" t="n">
        <v>1</v>
      </c>
      <c r="E1621" t="inlineStr">
        <is>
          <t>Input</t>
        </is>
      </c>
      <c r="F1621" t="n">
        <v/>
      </c>
      <c r="G1621" t="n">
        <v>2018</v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11</v>
      </c>
      <c r="M1621" t="inlineStr">
        <is>
          <t>FFFF0000</t>
        </is>
      </c>
      <c r="N1621" t="inlineStr">
        <is>
          <t>00000000</t>
        </is>
      </c>
      <c r="O1621" t="n">
        <v/>
      </c>
      <c r="R1621" t="b">
        <v>1</v>
      </c>
      <c r="S1621" t="n">
        <v/>
      </c>
      <c r="T1621" t="n">
        <v/>
      </c>
      <c r="U1621" t="n">
        <v/>
      </c>
      <c r="V1621" t="b">
        <v>0</v>
      </c>
      <c r="W1621" t="inlineStr"/>
      <c r="X1621" t="n">
        <v/>
      </c>
    </row>
    <row r="1622">
      <c r="A1622" t="inlineStr">
        <is>
          <t>ATF Fuel 2</t>
        </is>
      </c>
      <c r="B1622" t="inlineStr">
        <is>
          <t>B95</t>
        </is>
      </c>
      <c r="C1622" t="n">
        <v>95</v>
      </c>
      <c r="D1622" t="n">
        <v>2</v>
      </c>
      <c r="E1622" t="inlineStr">
        <is>
          <t>Calculation</t>
        </is>
      </c>
      <c r="F1622" t="inlineStr">
        <is>
          <t>'=B94*(1+$C$95)</t>
        </is>
      </c>
      <c r="G1622" t="n">
        <v>61095.15856677986</v>
      </c>
      <c r="H1622" t="inlineStr"/>
      <c r="I1622" t="inlineStr">
        <is>
          <t>0.0</t>
        </is>
      </c>
      <c r="J1622" t="b">
        <v>0</v>
      </c>
      <c r="K1622" t="b">
        <v>0</v>
      </c>
      <c r="L1622" t="n">
        <v>11</v>
      </c>
      <c r="M1622" t="inlineStr">
        <is>
          <t>FFFF0000</t>
        </is>
      </c>
      <c r="N1622" t="inlineStr">
        <is>
          <t>00000000</t>
        </is>
      </c>
      <c r="O1622" t="n">
        <v/>
      </c>
      <c r="R1622" t="b">
        <v>1</v>
      </c>
      <c r="S1622" t="inlineStr">
        <is>
          <t>G000166</t>
        </is>
      </c>
      <c r="T1622" t="inlineStr">
        <is>
          <t>Vertical</t>
        </is>
      </c>
      <c r="U1622" t="n">
        <v>5</v>
      </c>
      <c r="V1622" t="b">
        <v>1</v>
      </c>
      <c r="W1622" t="inlineStr">
        <is>
          <t>ATF Fuel 2!B95:B99</t>
        </is>
      </c>
      <c r="X1622">
        <f>R[-1]C[0]*(1+R95C3)</f>
        <v/>
      </c>
    </row>
    <row r="1623">
      <c r="A1623" t="inlineStr">
        <is>
          <t>ATF Fuel 2</t>
        </is>
      </c>
      <c r="B1623" t="inlineStr">
        <is>
          <t>C95</t>
        </is>
      </c>
      <c r="C1623" t="n">
        <v>95</v>
      </c>
      <c r="D1623" t="n">
        <v>3</v>
      </c>
      <c r="E1623" t="inlineStr">
        <is>
          <t>Calculation</t>
        </is>
      </c>
      <c r="F1623" t="inlineStr">
        <is>
          <t>'=I95</t>
        </is>
      </c>
      <c r="G1623" t="n">
        <v>0.0357657147397219</v>
      </c>
      <c r="H1623" t="inlineStr"/>
      <c r="I1623" t="inlineStr">
        <is>
          <t>0%</t>
        </is>
      </c>
      <c r="J1623" t="b">
        <v>0</v>
      </c>
      <c r="K1623" t="b">
        <v>0</v>
      </c>
      <c r="L1623" t="n">
        <v>11</v>
      </c>
      <c r="M1623" t="inlineStr">
        <is>
          <t>FFFF0000</t>
        </is>
      </c>
      <c r="N1623" t="inlineStr">
        <is>
          <t>00000000</t>
        </is>
      </c>
      <c r="O1623" t="n">
        <v/>
      </c>
      <c r="R1623" t="b">
        <v>1</v>
      </c>
      <c r="S1623" t="inlineStr">
        <is>
          <t>G000167</t>
        </is>
      </c>
      <c r="T1623" t="inlineStr">
        <is>
          <t>Vertical</t>
        </is>
      </c>
      <c r="U1623" t="n">
        <v>5</v>
      </c>
      <c r="V1623" t="b">
        <v>1</v>
      </c>
      <c r="W1623" t="inlineStr">
        <is>
          <t>ATF Fuel 2!C95:C99</t>
        </is>
      </c>
      <c r="X1623">
        <f>R[0]C[6]</f>
        <v/>
      </c>
    </row>
    <row r="1624">
      <c r="A1624" t="inlineStr">
        <is>
          <t>ATF Fuel 2</t>
        </is>
      </c>
      <c r="B1624" t="inlineStr">
        <is>
          <t>D95</t>
        </is>
      </c>
      <c r="C1624" t="n">
        <v>95</v>
      </c>
      <c r="D1624" t="n">
        <v>4</v>
      </c>
      <c r="E1624" t="inlineStr">
        <is>
          <t>Input</t>
        </is>
      </c>
      <c r="F1624" t="n">
        <v/>
      </c>
      <c r="G1624" t="n">
        <v>63</v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11</v>
      </c>
      <c r="M1624" t="inlineStr">
        <is>
          <t>FFFF0000</t>
        </is>
      </c>
      <c r="N1624" t="inlineStr">
        <is>
          <t>00000000</t>
        </is>
      </c>
      <c r="O1624" t="n">
        <v/>
      </c>
      <c r="R1624" t="b">
        <v>1</v>
      </c>
      <c r="S1624" t="n">
        <v/>
      </c>
      <c r="T1624" t="n">
        <v/>
      </c>
      <c r="U1624" t="n">
        <v/>
      </c>
      <c r="V1624" t="b">
        <v>0</v>
      </c>
      <c r="W1624" t="inlineStr"/>
      <c r="X1624" t="n">
        <v/>
      </c>
    </row>
    <row r="1625">
      <c r="A1625" t="inlineStr">
        <is>
          <t>ATF Fuel 2</t>
        </is>
      </c>
      <c r="B1625" t="inlineStr">
        <is>
          <t>E95</t>
        </is>
      </c>
      <c r="C1625" t="n">
        <v>95</v>
      </c>
      <c r="D1625" t="n">
        <v>5</v>
      </c>
      <c r="E1625" t="inlineStr">
        <is>
          <t>Input</t>
        </is>
      </c>
      <c r="F1625" t="n">
        <v/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11</v>
      </c>
      <c r="M1625" t="inlineStr">
        <is>
          <t>FFFF0000</t>
        </is>
      </c>
      <c r="N1625" t="inlineStr">
        <is>
          <t>00000000</t>
        </is>
      </c>
      <c r="O1625" t="n">
        <v/>
      </c>
      <c r="R1625" t="b">
        <v>0</v>
      </c>
      <c r="S1625" t="n">
        <v/>
      </c>
      <c r="T1625" t="n">
        <v/>
      </c>
      <c r="U1625" t="n">
        <v/>
      </c>
      <c r="V1625" t="b">
        <v>0</v>
      </c>
      <c r="W1625" t="inlineStr"/>
      <c r="X1625" t="n">
        <v/>
      </c>
    </row>
    <row r="1626">
      <c r="A1626" t="inlineStr">
        <is>
          <t>ATF Fuel 2</t>
        </is>
      </c>
      <c r="B1626" t="inlineStr">
        <is>
          <t>F95</t>
        </is>
      </c>
      <c r="C1626" t="n">
        <v>95</v>
      </c>
      <c r="D1626" t="n">
        <v>6</v>
      </c>
      <c r="E1626" t="inlineStr">
        <is>
          <t>Input</t>
        </is>
      </c>
      <c r="F1626" t="n">
        <v/>
      </c>
      <c r="G1626" t="n">
        <v>67.5</v>
      </c>
      <c r="H1626" t="inlineStr"/>
      <c r="I1626" t="inlineStr">
        <is>
          <t>0</t>
        </is>
      </c>
      <c r="J1626" t="b">
        <v>0</v>
      </c>
      <c r="K1626" t="b">
        <v>0</v>
      </c>
      <c r="L1626" t="n">
        <v>11</v>
      </c>
      <c r="M1626" t="inlineStr">
        <is>
          <t>FFFF0000</t>
        </is>
      </c>
      <c r="N1626" t="inlineStr">
        <is>
          <t>00000000</t>
        </is>
      </c>
      <c r="O1626" t="n">
        <v/>
      </c>
      <c r="R1626" t="b">
        <v>1</v>
      </c>
      <c r="S1626" t="n">
        <v/>
      </c>
      <c r="T1626" t="n">
        <v/>
      </c>
      <c r="U1626" t="n">
        <v/>
      </c>
      <c r="V1626" t="b">
        <v>0</v>
      </c>
      <c r="W1626" t="inlineStr"/>
      <c r="X1626" t="n">
        <v/>
      </c>
    </row>
    <row r="1627">
      <c r="A1627" t="inlineStr">
        <is>
          <t>ATF Fuel 2</t>
        </is>
      </c>
      <c r="B1627" t="inlineStr">
        <is>
          <t>G95</t>
        </is>
      </c>
      <c r="C1627" t="n">
        <v>95</v>
      </c>
      <c r="D1627" t="n">
        <v>7</v>
      </c>
      <c r="E1627" t="inlineStr">
        <is>
          <t>Output</t>
        </is>
      </c>
      <c r="F1627" t="inlineStr">
        <is>
          <t>'=F95/F94-1</t>
        </is>
      </c>
      <c r="G1627" t="n">
        <v>0.0619886721208307</v>
      </c>
      <c r="H1627" t="inlineStr"/>
      <c r="I1627" t="inlineStr">
        <is>
          <t>0%</t>
        </is>
      </c>
      <c r="J1627" t="b">
        <v>0</v>
      </c>
      <c r="K1627" t="b">
        <v>0</v>
      </c>
      <c r="L1627" t="n">
        <v>11</v>
      </c>
      <c r="M1627" t="inlineStr">
        <is>
          <t>FFFF0000</t>
        </is>
      </c>
      <c r="N1627" t="inlineStr">
        <is>
          <t>00000000</t>
        </is>
      </c>
      <c r="O1627" t="n">
        <v/>
      </c>
      <c r="R1627" t="b">
        <v>1</v>
      </c>
      <c r="S1627" t="inlineStr">
        <is>
          <t>G000155</t>
        </is>
      </c>
      <c r="T1627" t="inlineStr">
        <is>
          <t>Vertical</t>
        </is>
      </c>
      <c r="U1627" t="n">
        <v>93</v>
      </c>
      <c r="V1627" t="b">
        <v>1</v>
      </c>
      <c r="W1627" t="inlineStr">
        <is>
          <t>ATF Fuel 2!G3:G95</t>
        </is>
      </c>
      <c r="X1627">
        <f>R[0]C[-1]/R[-1]C[-1]-1</f>
        <v/>
      </c>
    </row>
    <row r="1628">
      <c r="A1628" t="inlineStr">
        <is>
          <t>ATF Fuel 2</t>
        </is>
      </c>
      <c r="B1628" t="inlineStr">
        <is>
          <t>H95</t>
        </is>
      </c>
      <c r="C1628" t="n">
        <v>95</v>
      </c>
      <c r="D1628" t="n">
        <v>8</v>
      </c>
      <c r="E1628" t="inlineStr">
        <is>
          <t>Calculation</t>
        </is>
      </c>
      <c r="F1628" t="inlineStr">
        <is>
          <t>'=D95*F95</t>
        </is>
      </c>
      <c r="G1628" t="n">
        <v>4252.5</v>
      </c>
      <c r="H1628" t="inlineStr"/>
      <c r="I1628" t="inlineStr">
        <is>
          <t>0</t>
        </is>
      </c>
      <c r="J1628" t="b">
        <v>0</v>
      </c>
      <c r="K1628" t="b">
        <v>0</v>
      </c>
      <c r="L1628" t="n">
        <v>11</v>
      </c>
      <c r="M1628" t="inlineStr">
        <is>
          <t>FFFF0000</t>
        </is>
      </c>
      <c r="N1628" t="inlineStr">
        <is>
          <t>00000000</t>
        </is>
      </c>
      <c r="O1628" t="n">
        <v/>
      </c>
      <c r="R1628" t="b">
        <v>1</v>
      </c>
      <c r="S1628" t="inlineStr">
        <is>
          <t>G000152</t>
        </is>
      </c>
      <c r="T1628" t="inlineStr">
        <is>
          <t>Vertical</t>
        </is>
      </c>
      <c r="U1628" t="n">
        <v>98</v>
      </c>
      <c r="V1628" t="b">
        <v>1</v>
      </c>
      <c r="W1628" t="inlineStr">
        <is>
          <t>ATF Fuel 2!H2:H99</t>
        </is>
      </c>
      <c r="X1628">
        <f>R[0]C[-4]*R[0]C[-2]</f>
        <v/>
      </c>
    </row>
    <row r="1629">
      <c r="A1629" t="inlineStr">
        <is>
          <t>ATF Fuel 2</t>
        </is>
      </c>
      <c r="B1629" t="inlineStr">
        <is>
          <t>I95</t>
        </is>
      </c>
      <c r="C1629" t="n">
        <v>95</v>
      </c>
      <c r="D1629" t="n">
        <v>9</v>
      </c>
      <c r="E1629" t="inlineStr">
        <is>
          <t>Calculation</t>
        </is>
      </c>
      <c r="F1629" t="inlineStr">
        <is>
          <t>'=H95/H94-1</t>
        </is>
      </c>
      <c r="G1629" t="n">
        <v>0.0357657147397219</v>
      </c>
      <c r="H1629" t="inlineStr"/>
      <c r="I1629" t="inlineStr">
        <is>
          <t>0%</t>
        </is>
      </c>
      <c r="J1629" t="b">
        <v>0</v>
      </c>
      <c r="K1629" t="b">
        <v>0</v>
      </c>
      <c r="L1629" t="n">
        <v>11</v>
      </c>
      <c r="M1629" t="inlineStr">
        <is>
          <t>FFFF0000</t>
        </is>
      </c>
      <c r="N1629" t="inlineStr">
        <is>
          <t>00000000</t>
        </is>
      </c>
      <c r="O1629" t="n">
        <v/>
      </c>
      <c r="R1629" t="b">
        <v>1</v>
      </c>
      <c r="S1629" t="inlineStr">
        <is>
          <t>G000156</t>
        </is>
      </c>
      <c r="T1629" t="inlineStr">
        <is>
          <t>Vertical</t>
        </is>
      </c>
      <c r="U1629" t="n">
        <v>97</v>
      </c>
      <c r="V1629" t="b">
        <v>1</v>
      </c>
      <c r="W1629" t="inlineStr">
        <is>
          <t>ATF Fuel 2!I3:I99</t>
        </is>
      </c>
      <c r="X1629">
        <f>R[0]C[-1]/R[-1]C[-1]-1</f>
        <v/>
      </c>
    </row>
    <row r="1630">
      <c r="A1630" t="inlineStr">
        <is>
          <t>ATF Fuel 2</t>
        </is>
      </c>
      <c r="B1630" t="inlineStr">
        <is>
          <t>J95</t>
        </is>
      </c>
      <c r="C1630" t="n">
        <v>95</v>
      </c>
      <c r="D1630" t="n">
        <v>10</v>
      </c>
      <c r="E1630" t="inlineStr">
        <is>
          <t>Input</t>
        </is>
      </c>
      <c r="F1630" t="n">
        <v/>
      </c>
      <c r="G1630" t="n">
        <v>60.3</v>
      </c>
      <c r="H1630" t="inlineStr"/>
      <c r="I1630" t="inlineStr">
        <is>
          <t>General</t>
        </is>
      </c>
      <c r="J1630" t="b">
        <v>0</v>
      </c>
      <c r="K1630" t="b">
        <v>0</v>
      </c>
      <c r="L1630" t="n">
        <v>11</v>
      </c>
      <c r="M1630" t="inlineStr">
        <is>
          <t>FFFF0000</t>
        </is>
      </c>
      <c r="N1630" t="inlineStr">
        <is>
          <t>00000000</t>
        </is>
      </c>
      <c r="O1630" t="n">
        <v/>
      </c>
      <c r="R1630" t="b">
        <v>1</v>
      </c>
      <c r="S1630" t="n">
        <v/>
      </c>
      <c r="T1630" t="n">
        <v/>
      </c>
      <c r="U1630" t="n">
        <v/>
      </c>
      <c r="V1630" t="b">
        <v>0</v>
      </c>
      <c r="W1630" t="inlineStr"/>
      <c r="X1630" t="n">
        <v/>
      </c>
    </row>
    <row r="1631">
      <c r="A1631" t="inlineStr">
        <is>
          <t>ATF Fuel 2</t>
        </is>
      </c>
      <c r="B1631" t="inlineStr">
        <is>
          <t>K95</t>
        </is>
      </c>
      <c r="C1631" t="n">
        <v>95</v>
      </c>
      <c r="D1631" t="n">
        <v>11</v>
      </c>
      <c r="E1631" t="inlineStr">
        <is>
          <t>Output</t>
        </is>
      </c>
      <c r="F1631" t="inlineStr">
        <is>
          <t>'=J95/J94-1</t>
        </is>
      </c>
      <c r="G1631" t="n">
        <v>0.03341902313624678</v>
      </c>
      <c r="H1631" t="inlineStr"/>
      <c r="I1631" t="inlineStr">
        <is>
          <t>0%</t>
        </is>
      </c>
      <c r="J1631" t="b">
        <v>0</v>
      </c>
      <c r="K1631" t="b">
        <v>0</v>
      </c>
      <c r="L1631" t="n">
        <v>11</v>
      </c>
      <c r="M1631" t="inlineStr">
        <is>
          <t>FFFF0000</t>
        </is>
      </c>
      <c r="N1631" t="inlineStr">
        <is>
          <t>00000000</t>
        </is>
      </c>
      <c r="O1631" t="n">
        <v/>
      </c>
      <c r="R1631" t="b">
        <v>1</v>
      </c>
      <c r="S1631" t="inlineStr">
        <is>
          <t>G000157</t>
        </is>
      </c>
      <c r="T1631" t="inlineStr">
        <is>
          <t>Vertical</t>
        </is>
      </c>
      <c r="U1631" t="n">
        <v>93</v>
      </c>
      <c r="V1631" t="b">
        <v>1</v>
      </c>
      <c r="W1631" t="inlineStr">
        <is>
          <t>ATF Fuel 2!K3:K95</t>
        </is>
      </c>
      <c r="X1631">
        <f>R[0]C[-1]/R[-1]C[-1]-1</f>
        <v/>
      </c>
    </row>
    <row r="1632">
      <c r="A1632" t="inlineStr">
        <is>
          <t>ATF Fuel 2</t>
        </is>
      </c>
      <c r="B1632" t="inlineStr">
        <is>
          <t>L95</t>
        </is>
      </c>
      <c r="C1632" t="n">
        <v>95</v>
      </c>
      <c r="D1632" t="n">
        <v>12</v>
      </c>
      <c r="E1632" t="inlineStr">
        <is>
          <t>Input</t>
        </is>
      </c>
      <c r="F1632" t="n">
        <v/>
      </c>
      <c r="H1632" t="inlineStr"/>
      <c r="I1632" t="inlineStr">
        <is>
          <t>General</t>
        </is>
      </c>
      <c r="J1632" t="b">
        <v>0</v>
      </c>
      <c r="K1632" t="b">
        <v>0</v>
      </c>
      <c r="L1632" t="n">
        <v>11</v>
      </c>
      <c r="M1632" t="inlineStr">
        <is>
          <t>FFFF0000</t>
        </is>
      </c>
      <c r="N1632" t="inlineStr">
        <is>
          <t>00000000</t>
        </is>
      </c>
      <c r="O1632" t="n">
        <v/>
      </c>
      <c r="R1632" t="b">
        <v>0</v>
      </c>
      <c r="S1632" t="n">
        <v/>
      </c>
      <c r="T1632" t="n">
        <v/>
      </c>
      <c r="U1632" t="n">
        <v/>
      </c>
      <c r="V1632" t="b">
        <v>0</v>
      </c>
      <c r="W1632" t="inlineStr"/>
      <c r="X1632" t="n">
        <v/>
      </c>
    </row>
    <row r="1633">
      <c r="A1633" t="inlineStr">
        <is>
          <t>ATF Fuel 2</t>
        </is>
      </c>
      <c r="B1633" t="inlineStr">
        <is>
          <t>M95</t>
        </is>
      </c>
      <c r="C1633" t="n">
        <v>95</v>
      </c>
      <c r="D1633" t="n">
        <v>13</v>
      </c>
      <c r="E1633" t="inlineStr">
        <is>
          <t>Input</t>
        </is>
      </c>
      <c r="F1633" t="n">
        <v/>
      </c>
      <c r="H1633" t="inlineStr"/>
      <c r="I1633" t="inlineStr">
        <is>
          <t>General</t>
        </is>
      </c>
      <c r="J1633" t="b">
        <v>0</v>
      </c>
      <c r="K1633" t="b">
        <v>0</v>
      </c>
      <c r="L1633" t="n">
        <v>11</v>
      </c>
      <c r="M1633" t="inlineStr">
        <is>
          <t>FFFF0000</t>
        </is>
      </c>
      <c r="N1633" t="inlineStr">
        <is>
          <t>00000000</t>
        </is>
      </c>
      <c r="O1633" t="n">
        <v/>
      </c>
      <c r="R1633" t="b">
        <v>0</v>
      </c>
      <c r="S1633" t="n">
        <v/>
      </c>
      <c r="T1633" t="n">
        <v/>
      </c>
      <c r="U1633" t="n">
        <v/>
      </c>
      <c r="V1633" t="b">
        <v>0</v>
      </c>
      <c r="W1633" t="inlineStr"/>
      <c r="X1633" t="n">
        <v/>
      </c>
    </row>
    <row r="1634">
      <c r="A1634" t="inlineStr">
        <is>
          <t>ATF Fuel 2</t>
        </is>
      </c>
      <c r="B1634" t="inlineStr">
        <is>
          <t>N95</t>
        </is>
      </c>
      <c r="C1634" t="n">
        <v>95</v>
      </c>
      <c r="D1634" t="n">
        <v>14</v>
      </c>
      <c r="E1634" t="inlineStr">
        <is>
          <t>Input</t>
        </is>
      </c>
      <c r="F1634" t="n">
        <v/>
      </c>
      <c r="H1634" t="inlineStr"/>
      <c r="I1634" t="inlineStr">
        <is>
          <t>General</t>
        </is>
      </c>
      <c r="J1634" t="b">
        <v>0</v>
      </c>
      <c r="K1634" t="b">
        <v>0</v>
      </c>
      <c r="L1634" t="n">
        <v>11</v>
      </c>
      <c r="M1634" t="inlineStr">
        <is>
          <t>FFFF0000</t>
        </is>
      </c>
      <c r="N1634" t="inlineStr">
        <is>
          <t>00000000</t>
        </is>
      </c>
      <c r="O1634" t="n">
        <v/>
      </c>
      <c r="R1634" t="b">
        <v>0</v>
      </c>
      <c r="S1634" t="n">
        <v/>
      </c>
      <c r="T1634" t="n">
        <v/>
      </c>
      <c r="U1634" t="n">
        <v/>
      </c>
      <c r="V1634" t="b">
        <v>0</v>
      </c>
      <c r="W1634" t="inlineStr"/>
      <c r="X1634" t="n">
        <v/>
      </c>
    </row>
    <row r="1635">
      <c r="A1635" t="inlineStr">
        <is>
          <t>ATF Fuel 2</t>
        </is>
      </c>
      <c r="B1635" t="inlineStr">
        <is>
          <t>O95</t>
        </is>
      </c>
      <c r="C1635" t="n">
        <v>95</v>
      </c>
      <c r="D1635" t="n">
        <v>15</v>
      </c>
      <c r="E1635" t="inlineStr">
        <is>
          <t>Input</t>
        </is>
      </c>
      <c r="F1635" t="n">
        <v/>
      </c>
      <c r="H1635" t="inlineStr"/>
      <c r="I1635" t="inlineStr">
        <is>
          <t>General</t>
        </is>
      </c>
      <c r="J1635" t="b">
        <v>0</v>
      </c>
      <c r="K1635" t="b">
        <v>0</v>
      </c>
      <c r="L1635" t="n">
        <v>11</v>
      </c>
      <c r="M1635" t="inlineStr">
        <is>
          <t>FFFF0000</t>
        </is>
      </c>
      <c r="N1635" t="inlineStr">
        <is>
          <t>00000000</t>
        </is>
      </c>
      <c r="O1635" t="n">
        <v/>
      </c>
      <c r="R1635" t="b">
        <v>0</v>
      </c>
      <c r="S1635" t="n">
        <v/>
      </c>
      <c r="T1635" t="n">
        <v/>
      </c>
      <c r="U1635" t="n">
        <v/>
      </c>
      <c r="V1635" t="b">
        <v>0</v>
      </c>
      <c r="W1635" t="inlineStr"/>
      <c r="X1635" t="n">
        <v/>
      </c>
    </row>
    <row r="1636">
      <c r="A1636" t="inlineStr">
        <is>
          <t>ATF Fuel 2</t>
        </is>
      </c>
      <c r="B1636" t="inlineStr">
        <is>
          <t>P95</t>
        </is>
      </c>
      <c r="C1636" t="n">
        <v>95</v>
      </c>
      <c r="D1636" t="n">
        <v>16</v>
      </c>
      <c r="E1636" t="inlineStr">
        <is>
          <t>Input</t>
        </is>
      </c>
      <c r="F1636" t="n">
        <v/>
      </c>
      <c r="H1636" t="inlineStr"/>
      <c r="I1636" t="inlineStr">
        <is>
          <t>General</t>
        </is>
      </c>
      <c r="J1636" t="b">
        <v>0</v>
      </c>
      <c r="K1636" t="b">
        <v>0</v>
      </c>
      <c r="L1636" t="n">
        <v>11</v>
      </c>
      <c r="M1636" t="inlineStr">
        <is>
          <t>FFFF0000</t>
        </is>
      </c>
      <c r="N1636" t="inlineStr">
        <is>
          <t>00000000</t>
        </is>
      </c>
      <c r="O1636" t="n">
        <v/>
      </c>
      <c r="R1636" t="b">
        <v>0</v>
      </c>
      <c r="S1636" t="n">
        <v/>
      </c>
      <c r="T1636" t="n">
        <v/>
      </c>
      <c r="U1636" t="n">
        <v/>
      </c>
      <c r="V1636" t="b">
        <v>0</v>
      </c>
      <c r="W1636" t="inlineStr"/>
      <c r="X1636" t="n">
        <v/>
      </c>
    </row>
    <row r="1637">
      <c r="A1637" t="inlineStr">
        <is>
          <t>ATF Fuel 2</t>
        </is>
      </c>
      <c r="B1637" t="inlineStr">
        <is>
          <t>Q95</t>
        </is>
      </c>
      <c r="C1637" t="n">
        <v>95</v>
      </c>
      <c r="D1637" t="n">
        <v>17</v>
      </c>
      <c r="E1637" t="inlineStr">
        <is>
          <t>Input</t>
        </is>
      </c>
      <c r="F1637" t="n">
        <v/>
      </c>
      <c r="H1637" t="inlineStr"/>
      <c r="I1637" t="inlineStr">
        <is>
          <t>General</t>
        </is>
      </c>
      <c r="J1637" t="b">
        <v>0</v>
      </c>
      <c r="K1637" t="b">
        <v>0</v>
      </c>
      <c r="L1637" t="n">
        <v>11</v>
      </c>
      <c r="M1637" t="inlineStr">
        <is>
          <t>FFFF0000</t>
        </is>
      </c>
      <c r="N1637" t="inlineStr">
        <is>
          <t>00000000</t>
        </is>
      </c>
      <c r="O1637" t="n">
        <v/>
      </c>
      <c r="R1637" t="b">
        <v>0</v>
      </c>
      <c r="S1637" t="n">
        <v/>
      </c>
      <c r="T1637" t="n">
        <v/>
      </c>
      <c r="U1637" t="n">
        <v/>
      </c>
      <c r="V1637" t="b">
        <v>0</v>
      </c>
      <c r="W1637" t="inlineStr"/>
      <c r="X1637" t="n">
        <v/>
      </c>
    </row>
    <row r="1638">
      <c r="A1638" t="inlineStr">
        <is>
          <t>ATF Fuel 2</t>
        </is>
      </c>
      <c r="B1638" t="inlineStr">
        <is>
          <t>A96</t>
        </is>
      </c>
      <c r="C1638" t="n">
        <v>96</v>
      </c>
      <c r="D1638" t="n">
        <v>1</v>
      </c>
      <c r="E1638" t="inlineStr">
        <is>
          <t>Input</t>
        </is>
      </c>
      <c r="F1638" t="n">
        <v/>
      </c>
      <c r="G1638" t="n">
        <v>2019</v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11</v>
      </c>
      <c r="M1638" t="inlineStr">
        <is>
          <t>FFFF0000</t>
        </is>
      </c>
      <c r="N1638" t="inlineStr">
        <is>
          <t>00000000</t>
        </is>
      </c>
      <c r="O1638" t="n">
        <v/>
      </c>
      <c r="R1638" t="b">
        <v>1</v>
      </c>
      <c r="S1638" t="n">
        <v/>
      </c>
      <c r="T1638" t="n">
        <v/>
      </c>
      <c r="U1638" t="n">
        <v/>
      </c>
      <c r="V1638" t="b">
        <v>0</v>
      </c>
      <c r="W1638" t="inlineStr"/>
      <c r="X1638" t="n">
        <v/>
      </c>
    </row>
    <row r="1639">
      <c r="A1639" t="inlineStr">
        <is>
          <t>ATF Fuel 2</t>
        </is>
      </c>
      <c r="B1639" t="inlineStr">
        <is>
          <t>B96</t>
        </is>
      </c>
      <c r="C1639" t="n">
        <v>96</v>
      </c>
      <c r="D1639" t="n">
        <v>2</v>
      </c>
      <c r="E1639" t="inlineStr">
        <is>
          <t>Calculation</t>
        </is>
      </c>
      <c r="F1639" t="inlineStr">
        <is>
          <t>'=B95*(1+$C$95)</t>
        </is>
      </c>
      <c r="G1639" t="n">
        <v>63280.27058005739</v>
      </c>
      <c r="H1639" t="inlineStr"/>
      <c r="I1639" t="inlineStr">
        <is>
          <t>0.0</t>
        </is>
      </c>
      <c r="J1639" t="b">
        <v>0</v>
      </c>
      <c r="K1639" t="b">
        <v>0</v>
      </c>
      <c r="L1639" t="n">
        <v>11</v>
      </c>
      <c r="M1639" t="inlineStr">
        <is>
          <t>FFFF0000</t>
        </is>
      </c>
      <c r="N1639" t="inlineStr">
        <is>
          <t>00000000</t>
        </is>
      </c>
      <c r="O1639" t="n">
        <v/>
      </c>
      <c r="R1639" t="b">
        <v>1</v>
      </c>
      <c r="S1639" t="inlineStr">
        <is>
          <t>G000166</t>
        </is>
      </c>
      <c r="T1639" t="inlineStr">
        <is>
          <t>Vertical</t>
        </is>
      </c>
      <c r="U1639" t="n">
        <v>5</v>
      </c>
      <c r="V1639" t="b">
        <v>1</v>
      </c>
      <c r="W1639" t="inlineStr">
        <is>
          <t>ATF Fuel 2!B95:B99</t>
        </is>
      </c>
      <c r="X1639">
        <f>R[-1]C[0]*(1+R95C3)</f>
        <v/>
      </c>
    </row>
    <row r="1640">
      <c r="A1640" t="inlineStr">
        <is>
          <t>ATF Fuel 2</t>
        </is>
      </c>
      <c r="B1640" t="inlineStr">
        <is>
          <t>C96</t>
        </is>
      </c>
      <c r="C1640" t="n">
        <v>96</v>
      </c>
      <c r="D1640" t="n">
        <v>3</v>
      </c>
      <c r="E1640" t="inlineStr">
        <is>
          <t>Output</t>
        </is>
      </c>
      <c r="F1640" t="inlineStr">
        <is>
          <t>'=I96</t>
        </is>
      </c>
      <c r="G1640" t="n">
        <v>0.06995884773662553</v>
      </c>
      <c r="H1640" t="inlineStr"/>
      <c r="I1640" t="inlineStr">
        <is>
          <t>0%</t>
        </is>
      </c>
      <c r="J1640" t="b">
        <v>0</v>
      </c>
      <c r="K1640" t="b">
        <v>0</v>
      </c>
      <c r="L1640" t="n">
        <v>11</v>
      </c>
      <c r="M1640" t="inlineStr">
        <is>
          <t>FFFF0000</t>
        </is>
      </c>
      <c r="N1640" t="inlineStr">
        <is>
          <t>00000000</t>
        </is>
      </c>
      <c r="O1640" t="n">
        <v/>
      </c>
      <c r="R1640" t="b">
        <v>1</v>
      </c>
      <c r="S1640" t="inlineStr">
        <is>
          <t>G000167</t>
        </is>
      </c>
      <c r="T1640" t="inlineStr">
        <is>
          <t>Vertical</t>
        </is>
      </c>
      <c r="U1640" t="n">
        <v>5</v>
      </c>
      <c r="V1640" t="b">
        <v>1</v>
      </c>
      <c r="W1640" t="inlineStr">
        <is>
          <t>ATF Fuel 2!C95:C99</t>
        </is>
      </c>
      <c r="X1640">
        <f>R[0]C[6]</f>
        <v/>
      </c>
    </row>
    <row r="1641">
      <c r="A1641" t="inlineStr">
        <is>
          <t>ATF Fuel 2</t>
        </is>
      </c>
      <c r="B1641" t="inlineStr">
        <is>
          <t>D96</t>
        </is>
      </c>
      <c r="C1641" t="n">
        <v>96</v>
      </c>
      <c r="D1641" t="n">
        <v>4</v>
      </c>
      <c r="E1641" t="inlineStr">
        <is>
          <t>Input</t>
        </is>
      </c>
      <c r="F1641" t="n">
        <v/>
      </c>
      <c r="G1641" t="n">
        <v>65</v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11</v>
      </c>
      <c r="M1641" t="inlineStr">
        <is>
          <t>FFFF0000</t>
        </is>
      </c>
      <c r="N1641" t="inlineStr">
        <is>
          <t>00000000</t>
        </is>
      </c>
      <c r="O1641" t="n">
        <v/>
      </c>
      <c r="R1641" t="b">
        <v>1</v>
      </c>
      <c r="S1641" t="n">
        <v/>
      </c>
      <c r="T1641" t="n">
        <v/>
      </c>
      <c r="U1641" t="n">
        <v/>
      </c>
      <c r="V1641" t="b">
        <v>0</v>
      </c>
      <c r="W1641" t="inlineStr"/>
      <c r="X1641" t="n">
        <v/>
      </c>
    </row>
    <row r="1642">
      <c r="A1642" t="inlineStr">
        <is>
          <t>ATF Fuel 2</t>
        </is>
      </c>
      <c r="B1642" t="inlineStr">
        <is>
          <t>E96</t>
        </is>
      </c>
      <c r="C1642" t="n">
        <v>96</v>
      </c>
      <c r="D1642" t="n">
        <v>5</v>
      </c>
      <c r="E1642" t="inlineStr">
        <is>
          <t>Input</t>
        </is>
      </c>
      <c r="F1642" t="n">
        <v/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11</v>
      </c>
      <c r="M1642" t="inlineStr">
        <is>
          <t>FFFF0000</t>
        </is>
      </c>
      <c r="N1642" t="inlineStr">
        <is>
          <t>00000000</t>
        </is>
      </c>
      <c r="O1642" t="n">
        <v/>
      </c>
      <c r="R1642" t="b">
        <v>0</v>
      </c>
      <c r="S1642" t="n">
        <v/>
      </c>
      <c r="T1642" t="n">
        <v/>
      </c>
      <c r="U1642" t="n">
        <v/>
      </c>
      <c r="V1642" t="b">
        <v>0</v>
      </c>
      <c r="W1642" t="inlineStr"/>
      <c r="X1642" t="n">
        <v/>
      </c>
    </row>
    <row r="1643">
      <c r="A1643" t="inlineStr">
        <is>
          <t>ATF Fuel 2</t>
        </is>
      </c>
      <c r="B1643" t="inlineStr">
        <is>
          <t>F96</t>
        </is>
      </c>
      <c r="C1643" t="n">
        <v>96</v>
      </c>
      <c r="D1643" t="n">
        <v>6</v>
      </c>
      <c r="E1643" t="inlineStr">
        <is>
          <t>Input</t>
        </is>
      </c>
      <c r="F1643" t="n">
        <v/>
      </c>
      <c r="G1643" t="n">
        <v>70</v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11</v>
      </c>
      <c r="M1643" t="inlineStr">
        <is>
          <t>FFFF0000</t>
        </is>
      </c>
      <c r="N1643" t="inlineStr">
        <is>
          <t>00000000</t>
        </is>
      </c>
      <c r="O1643" t="n">
        <v/>
      </c>
      <c r="R1643" t="b">
        <v>1</v>
      </c>
      <c r="S1643" t="n">
        <v/>
      </c>
      <c r="T1643" t="n">
        <v/>
      </c>
      <c r="U1643" t="n">
        <v/>
      </c>
      <c r="V1643" t="b">
        <v>0</v>
      </c>
      <c r="W1643" t="inlineStr"/>
      <c r="X1643" t="n">
        <v/>
      </c>
    </row>
    <row r="1644">
      <c r="A1644" t="inlineStr">
        <is>
          <t>ATF Fuel 2</t>
        </is>
      </c>
      <c r="B1644" t="inlineStr">
        <is>
          <t>G96</t>
        </is>
      </c>
      <c r="C1644" t="n">
        <v>96</v>
      </c>
      <c r="D1644" t="n">
        <v>7</v>
      </c>
      <c r="E1644" t="inlineStr">
        <is>
          <t>Input</t>
        </is>
      </c>
      <c r="F1644" t="n">
        <v/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11</v>
      </c>
      <c r="M1644" t="inlineStr">
        <is>
          <t>FFFF0000</t>
        </is>
      </c>
      <c r="N1644" t="inlineStr">
        <is>
          <t>00000000</t>
        </is>
      </c>
      <c r="O1644" t="n">
        <v/>
      </c>
      <c r="R1644" t="b">
        <v>0</v>
      </c>
      <c r="S1644" t="n">
        <v/>
      </c>
      <c r="T1644" t="n">
        <v/>
      </c>
      <c r="U1644" t="n">
        <v/>
      </c>
      <c r="V1644" t="b">
        <v>0</v>
      </c>
      <c r="W1644" t="inlineStr"/>
      <c r="X1644" t="n">
        <v/>
      </c>
    </row>
    <row r="1645">
      <c r="A1645" t="inlineStr">
        <is>
          <t>ATF Fuel 2</t>
        </is>
      </c>
      <c r="B1645" t="inlineStr">
        <is>
          <t>H96</t>
        </is>
      </c>
      <c r="C1645" t="n">
        <v>96</v>
      </c>
      <c r="D1645" t="n">
        <v>8</v>
      </c>
      <c r="E1645" t="inlineStr">
        <is>
          <t>Calculation</t>
        </is>
      </c>
      <c r="F1645" t="inlineStr">
        <is>
          <t>'=D96*F96</t>
        </is>
      </c>
      <c r="G1645" t="n">
        <v>4550</v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11</v>
      </c>
      <c r="M1645" t="inlineStr">
        <is>
          <t>FFFF0000</t>
        </is>
      </c>
      <c r="N1645" t="inlineStr">
        <is>
          <t>00000000</t>
        </is>
      </c>
      <c r="O1645" t="n">
        <v/>
      </c>
      <c r="R1645" t="b">
        <v>1</v>
      </c>
      <c r="S1645" t="inlineStr">
        <is>
          <t>G000152</t>
        </is>
      </c>
      <c r="T1645" t="inlineStr">
        <is>
          <t>Vertical</t>
        </is>
      </c>
      <c r="U1645" t="n">
        <v>98</v>
      </c>
      <c r="V1645" t="b">
        <v>1</v>
      </c>
      <c r="W1645" t="inlineStr">
        <is>
          <t>ATF Fuel 2!H2:H99</t>
        </is>
      </c>
      <c r="X1645">
        <f>R[0]C[-4]*R[0]C[-2]</f>
        <v/>
      </c>
    </row>
    <row r="1646">
      <c r="A1646" t="inlineStr">
        <is>
          <t>ATF Fuel 2</t>
        </is>
      </c>
      <c r="B1646" t="inlineStr">
        <is>
          <t>I96</t>
        </is>
      </c>
      <c r="C1646" t="n">
        <v>96</v>
      </c>
      <c r="D1646" t="n">
        <v>9</v>
      </c>
      <c r="E1646" t="inlineStr">
        <is>
          <t>Calculation</t>
        </is>
      </c>
      <c r="F1646" t="inlineStr">
        <is>
          <t>'=H96/H95-1</t>
        </is>
      </c>
      <c r="G1646" t="n">
        <v>0.06995884773662553</v>
      </c>
      <c r="H1646" t="inlineStr"/>
      <c r="I1646" t="inlineStr">
        <is>
          <t>0%</t>
        </is>
      </c>
      <c r="J1646" t="b">
        <v>0</v>
      </c>
      <c r="K1646" t="b">
        <v>0</v>
      </c>
      <c r="L1646" t="n">
        <v>11</v>
      </c>
      <c r="M1646" t="inlineStr">
        <is>
          <t>FFFF0000</t>
        </is>
      </c>
      <c r="N1646" t="inlineStr">
        <is>
          <t>00000000</t>
        </is>
      </c>
      <c r="O1646" t="n">
        <v/>
      </c>
      <c r="R1646" t="b">
        <v>1</v>
      </c>
      <c r="S1646" t="inlineStr">
        <is>
          <t>G000156</t>
        </is>
      </c>
      <c r="T1646" t="inlineStr">
        <is>
          <t>Vertical</t>
        </is>
      </c>
      <c r="U1646" t="n">
        <v>97</v>
      </c>
      <c r="V1646" t="b">
        <v>1</v>
      </c>
      <c r="W1646" t="inlineStr">
        <is>
          <t>ATF Fuel 2!I3:I99</t>
        </is>
      </c>
      <c r="X1646">
        <f>R[0]C[-1]/R[-1]C[-1]-1</f>
        <v/>
      </c>
    </row>
    <row r="1647">
      <c r="A1647" t="inlineStr">
        <is>
          <t>ATF Fuel 2</t>
        </is>
      </c>
      <c r="B1647" t="inlineStr">
        <is>
          <t>J96</t>
        </is>
      </c>
      <c r="C1647" t="n">
        <v>96</v>
      </c>
      <c r="D1647" t="n">
        <v>10</v>
      </c>
      <c r="E1647" t="inlineStr">
        <is>
          <t>Input</t>
        </is>
      </c>
      <c r="F1647" t="n">
        <v/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11</v>
      </c>
      <c r="M1647" t="inlineStr">
        <is>
          <t>FFFF0000</t>
        </is>
      </c>
      <c r="N1647" t="inlineStr">
        <is>
          <t>00000000</t>
        </is>
      </c>
      <c r="O1647" t="n">
        <v/>
      </c>
      <c r="R1647" t="b">
        <v>0</v>
      </c>
      <c r="S1647" t="n">
        <v/>
      </c>
      <c r="T1647" t="n">
        <v/>
      </c>
      <c r="U1647" t="n">
        <v/>
      </c>
      <c r="V1647" t="b">
        <v>0</v>
      </c>
      <c r="W1647" t="inlineStr"/>
      <c r="X1647" t="n">
        <v/>
      </c>
    </row>
    <row r="1648">
      <c r="A1648" t="inlineStr">
        <is>
          <t>ATF Fuel 2</t>
        </is>
      </c>
      <c r="B1648" t="inlineStr">
        <is>
          <t>K96</t>
        </is>
      </c>
      <c r="C1648" t="n">
        <v>96</v>
      </c>
      <c r="D1648" t="n">
        <v>11</v>
      </c>
      <c r="E1648" t="inlineStr">
        <is>
          <t>Input</t>
        </is>
      </c>
      <c r="F1648" t="n">
        <v/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11</v>
      </c>
      <c r="M1648" t="inlineStr">
        <is>
          <t>FFFF0000</t>
        </is>
      </c>
      <c r="N1648" t="inlineStr">
        <is>
          <t>00000000</t>
        </is>
      </c>
      <c r="O1648" t="n">
        <v/>
      </c>
      <c r="R1648" t="b">
        <v>0</v>
      </c>
      <c r="S1648" t="n">
        <v/>
      </c>
      <c r="T1648" t="n">
        <v/>
      </c>
      <c r="U1648" t="n">
        <v/>
      </c>
      <c r="V1648" t="b">
        <v>0</v>
      </c>
      <c r="W1648" t="inlineStr"/>
      <c r="X1648" t="n">
        <v/>
      </c>
    </row>
    <row r="1649">
      <c r="A1649" t="inlineStr">
        <is>
          <t>ATF Fuel 2</t>
        </is>
      </c>
      <c r="B1649" t="inlineStr">
        <is>
          <t>L96</t>
        </is>
      </c>
      <c r="C1649" t="n">
        <v>96</v>
      </c>
      <c r="D1649" t="n">
        <v>12</v>
      </c>
      <c r="E1649" t="inlineStr">
        <is>
          <t>Input</t>
        </is>
      </c>
      <c r="F1649" t="n">
        <v/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11</v>
      </c>
      <c r="M1649" t="inlineStr">
        <is>
          <t>FFFF0000</t>
        </is>
      </c>
      <c r="N1649" t="inlineStr">
        <is>
          <t>00000000</t>
        </is>
      </c>
      <c r="O1649" t="n">
        <v/>
      </c>
      <c r="R1649" t="b">
        <v>0</v>
      </c>
      <c r="S1649" t="n">
        <v/>
      </c>
      <c r="T1649" t="n">
        <v/>
      </c>
      <c r="U1649" t="n">
        <v/>
      </c>
      <c r="V1649" t="b">
        <v>0</v>
      </c>
      <c r="W1649" t="inlineStr"/>
      <c r="X1649" t="n">
        <v/>
      </c>
    </row>
    <row r="1650">
      <c r="A1650" t="inlineStr">
        <is>
          <t>ATF Fuel 2</t>
        </is>
      </c>
      <c r="B1650" t="inlineStr">
        <is>
          <t>M96</t>
        </is>
      </c>
      <c r="C1650" t="n">
        <v>96</v>
      </c>
      <c r="D1650" t="n">
        <v>13</v>
      </c>
      <c r="E1650" t="inlineStr">
        <is>
          <t>Input</t>
        </is>
      </c>
      <c r="F1650" t="n">
        <v/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11</v>
      </c>
      <c r="M1650" t="inlineStr">
        <is>
          <t>FFFF0000</t>
        </is>
      </c>
      <c r="N1650" t="inlineStr">
        <is>
          <t>00000000</t>
        </is>
      </c>
      <c r="O1650" t="n">
        <v/>
      </c>
      <c r="R1650" t="b">
        <v>0</v>
      </c>
      <c r="S1650" t="n">
        <v/>
      </c>
      <c r="T1650" t="n">
        <v/>
      </c>
      <c r="U1650" t="n">
        <v/>
      </c>
      <c r="V1650" t="b">
        <v>0</v>
      </c>
      <c r="W1650" t="inlineStr"/>
      <c r="X1650" t="n">
        <v/>
      </c>
    </row>
    <row r="1651">
      <c r="A1651" t="inlineStr">
        <is>
          <t>ATF Fuel 2</t>
        </is>
      </c>
      <c r="B1651" t="inlineStr">
        <is>
          <t>N96</t>
        </is>
      </c>
      <c r="C1651" t="n">
        <v>96</v>
      </c>
      <c r="D1651" t="n">
        <v>14</v>
      </c>
      <c r="E1651" t="inlineStr">
        <is>
          <t>Input</t>
        </is>
      </c>
      <c r="F1651" t="n">
        <v/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11</v>
      </c>
      <c r="M1651" t="inlineStr">
        <is>
          <t>FFFF0000</t>
        </is>
      </c>
      <c r="N1651" t="inlineStr">
        <is>
          <t>00000000</t>
        </is>
      </c>
      <c r="O1651" t="n">
        <v/>
      </c>
      <c r="R1651" t="b">
        <v>0</v>
      </c>
      <c r="S1651" t="n">
        <v/>
      </c>
      <c r="T1651" t="n">
        <v/>
      </c>
      <c r="U1651" t="n">
        <v/>
      </c>
      <c r="V1651" t="b">
        <v>0</v>
      </c>
      <c r="W1651" t="inlineStr"/>
      <c r="X1651" t="n">
        <v/>
      </c>
    </row>
    <row r="1652">
      <c r="A1652" t="inlineStr">
        <is>
          <t>ATF Fuel 2</t>
        </is>
      </c>
      <c r="B1652" t="inlineStr">
        <is>
          <t>O96</t>
        </is>
      </c>
      <c r="C1652" t="n">
        <v>96</v>
      </c>
      <c r="D1652" t="n">
        <v>15</v>
      </c>
      <c r="E1652" t="inlineStr">
        <is>
          <t>Input</t>
        </is>
      </c>
      <c r="F1652" t="n">
        <v/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11</v>
      </c>
      <c r="M1652" t="inlineStr">
        <is>
          <t>FFFF0000</t>
        </is>
      </c>
      <c r="N1652" t="inlineStr">
        <is>
          <t>00000000</t>
        </is>
      </c>
      <c r="O1652" t="n">
        <v/>
      </c>
      <c r="R1652" t="b">
        <v>0</v>
      </c>
      <c r="S1652" t="n">
        <v/>
      </c>
      <c r="T1652" t="n">
        <v/>
      </c>
      <c r="U1652" t="n">
        <v/>
      </c>
      <c r="V1652" t="b">
        <v>0</v>
      </c>
      <c r="W1652" t="inlineStr"/>
      <c r="X1652" t="n">
        <v/>
      </c>
    </row>
    <row r="1653">
      <c r="A1653" t="inlineStr">
        <is>
          <t>ATF Fuel 2</t>
        </is>
      </c>
      <c r="B1653" t="inlineStr">
        <is>
          <t>P96</t>
        </is>
      </c>
      <c r="C1653" t="n">
        <v>96</v>
      </c>
      <c r="D1653" t="n">
        <v>16</v>
      </c>
      <c r="E1653" t="inlineStr">
        <is>
          <t>Input</t>
        </is>
      </c>
      <c r="F1653" t="n">
        <v/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11</v>
      </c>
      <c r="M1653" t="inlineStr">
        <is>
          <t>FFFF0000</t>
        </is>
      </c>
      <c r="N1653" t="inlineStr">
        <is>
          <t>00000000</t>
        </is>
      </c>
      <c r="O1653" t="n">
        <v/>
      </c>
      <c r="R1653" t="b">
        <v>0</v>
      </c>
      <c r="S1653" t="n">
        <v/>
      </c>
      <c r="T1653" t="n">
        <v/>
      </c>
      <c r="U1653" t="n">
        <v/>
      </c>
      <c r="V1653" t="b">
        <v>0</v>
      </c>
      <c r="W1653" t="inlineStr"/>
      <c r="X1653" t="n">
        <v/>
      </c>
    </row>
    <row r="1654">
      <c r="A1654" t="inlineStr">
        <is>
          <t>ATF Fuel 2</t>
        </is>
      </c>
      <c r="B1654" t="inlineStr">
        <is>
          <t>Q96</t>
        </is>
      </c>
      <c r="C1654" t="n">
        <v>96</v>
      </c>
      <c r="D1654" t="n">
        <v>17</v>
      </c>
      <c r="E1654" t="inlineStr">
        <is>
          <t>Input</t>
        </is>
      </c>
      <c r="F1654" t="n">
        <v/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11</v>
      </c>
      <c r="M1654" t="inlineStr">
        <is>
          <t>FFFF0000</t>
        </is>
      </c>
      <c r="N1654" t="inlineStr">
        <is>
          <t>00000000</t>
        </is>
      </c>
      <c r="O1654" t="n">
        <v/>
      </c>
      <c r="R1654" t="b">
        <v>0</v>
      </c>
      <c r="S1654" t="n">
        <v/>
      </c>
      <c r="T1654" t="n">
        <v/>
      </c>
      <c r="U1654" t="n">
        <v/>
      </c>
      <c r="V1654" t="b">
        <v>0</v>
      </c>
      <c r="W1654" t="inlineStr"/>
      <c r="X1654" t="n">
        <v/>
      </c>
    </row>
    <row r="1655">
      <c r="A1655" t="inlineStr">
        <is>
          <t>ATF Fuel 2</t>
        </is>
      </c>
      <c r="B1655" t="inlineStr">
        <is>
          <t>A97</t>
        </is>
      </c>
      <c r="C1655" t="n">
        <v>97</v>
      </c>
      <c r="D1655" t="n">
        <v>1</v>
      </c>
      <c r="E1655" t="inlineStr">
        <is>
          <t>Input</t>
        </is>
      </c>
      <c r="F1655" t="n">
        <v/>
      </c>
      <c r="G1655" t="n">
        <v>2020</v>
      </c>
      <c r="H1655" t="inlineStr"/>
      <c r="I1655" t="inlineStr">
        <is>
          <t>General</t>
        </is>
      </c>
      <c r="J1655" t="b">
        <v>0</v>
      </c>
      <c r="K1655" t="b">
        <v>0</v>
      </c>
      <c r="L1655" t="n">
        <v>11</v>
      </c>
      <c r="M1655" t="inlineStr">
        <is>
          <t>FFFF0000</t>
        </is>
      </c>
      <c r="N1655" t="inlineStr">
        <is>
          <t>00000000</t>
        </is>
      </c>
      <c r="O1655" t="n">
        <v/>
      </c>
      <c r="R1655" t="b">
        <v>1</v>
      </c>
      <c r="S1655" t="n">
        <v/>
      </c>
      <c r="T1655" t="n">
        <v/>
      </c>
      <c r="U1655" t="n">
        <v/>
      </c>
      <c r="V1655" t="b">
        <v>0</v>
      </c>
      <c r="W1655" t="inlineStr"/>
      <c r="X1655" t="n">
        <v/>
      </c>
    </row>
    <row r="1656">
      <c r="A1656" t="inlineStr">
        <is>
          <t>ATF Fuel 2</t>
        </is>
      </c>
      <c r="B1656" t="inlineStr">
        <is>
          <t>B97</t>
        </is>
      </c>
      <c r="C1656" t="n">
        <v>97</v>
      </c>
      <c r="D1656" t="n">
        <v>2</v>
      </c>
      <c r="E1656" t="inlineStr">
        <is>
          <t>Calculation</t>
        </is>
      </c>
      <c r="F1656" t="inlineStr">
        <is>
          <t>'=B96*(1+$C$95)</t>
        </is>
      </c>
      <c r="G1656" t="n">
        <v>65543.53468627614</v>
      </c>
      <c r="H1656" t="inlineStr"/>
      <c r="I1656" t="inlineStr">
        <is>
          <t>0.0</t>
        </is>
      </c>
      <c r="J1656" t="b">
        <v>0</v>
      </c>
      <c r="K1656" t="b">
        <v>0</v>
      </c>
      <c r="L1656" t="n">
        <v>11</v>
      </c>
      <c r="M1656" t="inlineStr">
        <is>
          <t>FFFF0000</t>
        </is>
      </c>
      <c r="N1656" t="inlineStr">
        <is>
          <t>00000000</t>
        </is>
      </c>
      <c r="O1656" t="n">
        <v/>
      </c>
      <c r="R1656" t="b">
        <v>1</v>
      </c>
      <c r="S1656" t="inlineStr">
        <is>
          <t>G000166</t>
        </is>
      </c>
      <c r="T1656" t="inlineStr">
        <is>
          <t>Vertical</t>
        </is>
      </c>
      <c r="U1656" t="n">
        <v>5</v>
      </c>
      <c r="V1656" t="b">
        <v>1</v>
      </c>
      <c r="W1656" t="inlineStr">
        <is>
          <t>ATF Fuel 2!B95:B99</t>
        </is>
      </c>
      <c r="X1656">
        <f>R[-1]C[0]*(1+R95C3)</f>
        <v/>
      </c>
    </row>
    <row r="1657">
      <c r="A1657" t="inlineStr">
        <is>
          <t>ATF Fuel 2</t>
        </is>
      </c>
      <c r="B1657" t="inlineStr">
        <is>
          <t>C97</t>
        </is>
      </c>
      <c r="C1657" t="n">
        <v>97</v>
      </c>
      <c r="D1657" t="n">
        <v>3</v>
      </c>
      <c r="E1657" t="inlineStr">
        <is>
          <t>Output</t>
        </is>
      </c>
      <c r="F1657" t="inlineStr">
        <is>
          <t>'=I97</t>
        </is>
      </c>
      <c r="G1657" t="n">
        <v>0.03076923076923066</v>
      </c>
      <c r="H1657" t="inlineStr"/>
      <c r="I1657" t="inlineStr">
        <is>
          <t>0%</t>
        </is>
      </c>
      <c r="J1657" t="b">
        <v>0</v>
      </c>
      <c r="K1657" t="b">
        <v>0</v>
      </c>
      <c r="L1657" t="n">
        <v>11</v>
      </c>
      <c r="M1657" t="inlineStr">
        <is>
          <t>FFFF0000</t>
        </is>
      </c>
      <c r="N1657" t="inlineStr">
        <is>
          <t>00000000</t>
        </is>
      </c>
      <c r="O1657" t="n">
        <v/>
      </c>
      <c r="R1657" t="b">
        <v>1</v>
      </c>
      <c r="S1657" t="inlineStr">
        <is>
          <t>G000167</t>
        </is>
      </c>
      <c r="T1657" t="inlineStr">
        <is>
          <t>Vertical</t>
        </is>
      </c>
      <c r="U1657" t="n">
        <v>5</v>
      </c>
      <c r="V1657" t="b">
        <v>1</v>
      </c>
      <c r="W1657" t="inlineStr">
        <is>
          <t>ATF Fuel 2!C95:C99</t>
        </is>
      </c>
      <c r="X1657">
        <f>R[0]C[6]</f>
        <v/>
      </c>
    </row>
    <row r="1658">
      <c r="A1658" t="inlineStr">
        <is>
          <t>ATF Fuel 2</t>
        </is>
      </c>
      <c r="B1658" t="inlineStr">
        <is>
          <t>D97</t>
        </is>
      </c>
      <c r="C1658" t="n">
        <v>97</v>
      </c>
      <c r="D1658" t="n">
        <v>4</v>
      </c>
      <c r="E1658" t="inlineStr">
        <is>
          <t>Input</t>
        </is>
      </c>
      <c r="F1658" t="n">
        <v/>
      </c>
      <c r="G1658" t="n">
        <v>67</v>
      </c>
      <c r="H1658" t="inlineStr"/>
      <c r="I1658" t="inlineStr">
        <is>
          <t>General</t>
        </is>
      </c>
      <c r="J1658" t="b">
        <v>0</v>
      </c>
      <c r="K1658" t="b">
        <v>0</v>
      </c>
      <c r="L1658" t="n">
        <v>11</v>
      </c>
      <c r="M1658" t="inlineStr">
        <is>
          <t>FFFF0000</t>
        </is>
      </c>
      <c r="N1658" t="inlineStr">
        <is>
          <t>00000000</t>
        </is>
      </c>
      <c r="O1658" t="n">
        <v/>
      </c>
      <c r="R1658" t="b">
        <v>1</v>
      </c>
      <c r="S1658" t="n">
        <v/>
      </c>
      <c r="T1658" t="n">
        <v/>
      </c>
      <c r="U1658" t="n">
        <v/>
      </c>
      <c r="V1658" t="b">
        <v>0</v>
      </c>
      <c r="W1658" t="inlineStr"/>
      <c r="X1658" t="n">
        <v/>
      </c>
    </row>
    <row r="1659">
      <c r="A1659" t="inlineStr">
        <is>
          <t>ATF Fuel 2</t>
        </is>
      </c>
      <c r="B1659" t="inlineStr">
        <is>
          <t>E97</t>
        </is>
      </c>
      <c r="C1659" t="n">
        <v>97</v>
      </c>
      <c r="D1659" t="n">
        <v>5</v>
      </c>
      <c r="E1659" t="inlineStr">
        <is>
          <t>Input</t>
        </is>
      </c>
      <c r="F1659" t="n">
        <v/>
      </c>
      <c r="H1659" t="inlineStr"/>
      <c r="I1659" t="inlineStr">
        <is>
          <t>General</t>
        </is>
      </c>
      <c r="J1659" t="b">
        <v>0</v>
      </c>
      <c r="K1659" t="b">
        <v>0</v>
      </c>
      <c r="L1659" t="n">
        <v>11</v>
      </c>
      <c r="M1659" t="inlineStr">
        <is>
          <t>FFFF0000</t>
        </is>
      </c>
      <c r="N1659" t="inlineStr">
        <is>
          <t>00000000</t>
        </is>
      </c>
      <c r="O1659" t="n">
        <v/>
      </c>
      <c r="R1659" t="b">
        <v>0</v>
      </c>
      <c r="S1659" t="n">
        <v/>
      </c>
      <c r="T1659" t="n">
        <v/>
      </c>
      <c r="U1659" t="n">
        <v/>
      </c>
      <c r="V1659" t="b">
        <v>0</v>
      </c>
      <c r="W1659" t="inlineStr"/>
      <c r="X1659" t="n">
        <v/>
      </c>
    </row>
    <row r="1660">
      <c r="A1660" t="inlineStr">
        <is>
          <t>ATF Fuel 2</t>
        </is>
      </c>
      <c r="B1660" t="inlineStr">
        <is>
          <t>F97</t>
        </is>
      </c>
      <c r="C1660" t="n">
        <v>97</v>
      </c>
      <c r="D1660" t="n">
        <v>6</v>
      </c>
      <c r="E1660" t="inlineStr">
        <is>
          <t>Input</t>
        </is>
      </c>
      <c r="F1660" t="n">
        <v/>
      </c>
      <c r="G1660" t="n">
        <v>70</v>
      </c>
      <c r="H1660" t="inlineStr"/>
      <c r="I1660" t="inlineStr">
        <is>
          <t>General</t>
        </is>
      </c>
      <c r="J1660" t="b">
        <v>0</v>
      </c>
      <c r="K1660" t="b">
        <v>0</v>
      </c>
      <c r="L1660" t="n">
        <v>11</v>
      </c>
      <c r="M1660" t="inlineStr">
        <is>
          <t>FFFF0000</t>
        </is>
      </c>
      <c r="N1660" t="inlineStr">
        <is>
          <t>00000000</t>
        </is>
      </c>
      <c r="O1660" t="n">
        <v/>
      </c>
      <c r="R1660" t="b">
        <v>1</v>
      </c>
      <c r="S1660" t="n">
        <v/>
      </c>
      <c r="T1660" t="n">
        <v/>
      </c>
      <c r="U1660" t="n">
        <v/>
      </c>
      <c r="V1660" t="b">
        <v>0</v>
      </c>
      <c r="W1660" t="inlineStr"/>
      <c r="X1660" t="n">
        <v/>
      </c>
    </row>
    <row r="1661">
      <c r="A1661" t="inlineStr">
        <is>
          <t>ATF Fuel 2</t>
        </is>
      </c>
      <c r="B1661" t="inlineStr">
        <is>
          <t>G97</t>
        </is>
      </c>
      <c r="C1661" t="n">
        <v>97</v>
      </c>
      <c r="D1661" t="n">
        <v>7</v>
      </c>
      <c r="E1661" t="inlineStr">
        <is>
          <t>Input</t>
        </is>
      </c>
      <c r="F1661" t="n">
        <v/>
      </c>
      <c r="H1661" t="inlineStr"/>
      <c r="I1661" t="inlineStr">
        <is>
          <t>General</t>
        </is>
      </c>
      <c r="J1661" t="b">
        <v>0</v>
      </c>
      <c r="K1661" t="b">
        <v>0</v>
      </c>
      <c r="L1661" t="n">
        <v>11</v>
      </c>
      <c r="M1661" t="inlineStr">
        <is>
          <t>FFFF0000</t>
        </is>
      </c>
      <c r="N1661" t="inlineStr">
        <is>
          <t>00000000</t>
        </is>
      </c>
      <c r="O1661" t="n">
        <v/>
      </c>
      <c r="R1661" t="b">
        <v>0</v>
      </c>
      <c r="S1661" t="n">
        <v/>
      </c>
      <c r="T1661" t="n">
        <v/>
      </c>
      <c r="U1661" t="n">
        <v/>
      </c>
      <c r="V1661" t="b">
        <v>0</v>
      </c>
      <c r="W1661" t="inlineStr"/>
      <c r="X1661" t="n">
        <v/>
      </c>
    </row>
    <row r="1662">
      <c r="A1662" t="inlineStr">
        <is>
          <t>ATF Fuel 2</t>
        </is>
      </c>
      <c r="B1662" t="inlineStr">
        <is>
          <t>H97</t>
        </is>
      </c>
      <c r="C1662" t="n">
        <v>97</v>
      </c>
      <c r="D1662" t="n">
        <v>8</v>
      </c>
      <c r="E1662" t="inlineStr">
        <is>
          <t>Calculation</t>
        </is>
      </c>
      <c r="F1662" t="inlineStr">
        <is>
          <t>'=D97*F97</t>
        </is>
      </c>
      <c r="G1662" t="n">
        <v>4690</v>
      </c>
      <c r="H1662" t="inlineStr"/>
      <c r="I1662" t="inlineStr">
        <is>
          <t>General</t>
        </is>
      </c>
      <c r="J1662" t="b">
        <v>0</v>
      </c>
      <c r="K1662" t="b">
        <v>0</v>
      </c>
      <c r="L1662" t="n">
        <v>11</v>
      </c>
      <c r="M1662" t="inlineStr">
        <is>
          <t>FFFF0000</t>
        </is>
      </c>
      <c r="N1662" t="inlineStr">
        <is>
          <t>00000000</t>
        </is>
      </c>
      <c r="O1662" t="n">
        <v/>
      </c>
      <c r="R1662" t="b">
        <v>1</v>
      </c>
      <c r="S1662" t="inlineStr">
        <is>
          <t>G000152</t>
        </is>
      </c>
      <c r="T1662" t="inlineStr">
        <is>
          <t>Vertical</t>
        </is>
      </c>
      <c r="U1662" t="n">
        <v>98</v>
      </c>
      <c r="V1662" t="b">
        <v>1</v>
      </c>
      <c r="W1662" t="inlineStr">
        <is>
          <t>ATF Fuel 2!H2:H99</t>
        </is>
      </c>
      <c r="X1662">
        <f>R[0]C[-4]*R[0]C[-2]</f>
        <v/>
      </c>
    </row>
    <row r="1663">
      <c r="A1663" t="inlineStr">
        <is>
          <t>ATF Fuel 2</t>
        </is>
      </c>
      <c r="B1663" t="inlineStr">
        <is>
          <t>I97</t>
        </is>
      </c>
      <c r="C1663" t="n">
        <v>97</v>
      </c>
      <c r="D1663" t="n">
        <v>9</v>
      </c>
      <c r="E1663" t="inlineStr">
        <is>
          <t>Calculation</t>
        </is>
      </c>
      <c r="F1663" t="inlineStr">
        <is>
          <t>'=H97/H96-1</t>
        </is>
      </c>
      <c r="G1663" t="n">
        <v>0.03076923076923066</v>
      </c>
      <c r="H1663" t="inlineStr"/>
      <c r="I1663" t="inlineStr">
        <is>
          <t>0%</t>
        </is>
      </c>
      <c r="J1663" t="b">
        <v>0</v>
      </c>
      <c r="K1663" t="b">
        <v>0</v>
      </c>
      <c r="L1663" t="n">
        <v>11</v>
      </c>
      <c r="M1663" t="inlineStr">
        <is>
          <t>FFFF0000</t>
        </is>
      </c>
      <c r="N1663" t="inlineStr">
        <is>
          <t>00000000</t>
        </is>
      </c>
      <c r="O1663" t="n">
        <v/>
      </c>
      <c r="R1663" t="b">
        <v>1</v>
      </c>
      <c r="S1663" t="inlineStr">
        <is>
          <t>G000156</t>
        </is>
      </c>
      <c r="T1663" t="inlineStr">
        <is>
          <t>Vertical</t>
        </is>
      </c>
      <c r="U1663" t="n">
        <v>97</v>
      </c>
      <c r="V1663" t="b">
        <v>1</v>
      </c>
      <c r="W1663" t="inlineStr">
        <is>
          <t>ATF Fuel 2!I3:I99</t>
        </is>
      </c>
      <c r="X1663">
        <f>R[0]C[-1]/R[-1]C[-1]-1</f>
        <v/>
      </c>
    </row>
    <row r="1664">
      <c r="A1664" t="inlineStr">
        <is>
          <t>ATF Fuel 2</t>
        </is>
      </c>
      <c r="B1664" t="inlineStr">
        <is>
          <t>J97</t>
        </is>
      </c>
      <c r="C1664" t="n">
        <v>97</v>
      </c>
      <c r="D1664" t="n">
        <v>10</v>
      </c>
      <c r="E1664" t="inlineStr">
        <is>
          <t>Input</t>
        </is>
      </c>
      <c r="F1664" t="n">
        <v/>
      </c>
      <c r="H1664" t="inlineStr"/>
      <c r="I1664" t="inlineStr">
        <is>
          <t>General</t>
        </is>
      </c>
      <c r="J1664" t="b">
        <v>0</v>
      </c>
      <c r="K1664" t="b">
        <v>0</v>
      </c>
      <c r="L1664" t="n">
        <v>11</v>
      </c>
      <c r="M1664" t="inlineStr">
        <is>
          <t>FFFF0000</t>
        </is>
      </c>
      <c r="N1664" t="inlineStr">
        <is>
          <t>00000000</t>
        </is>
      </c>
      <c r="O1664" t="n">
        <v/>
      </c>
      <c r="R1664" t="b">
        <v>0</v>
      </c>
      <c r="S1664" t="n">
        <v/>
      </c>
      <c r="T1664" t="n">
        <v/>
      </c>
      <c r="U1664" t="n">
        <v/>
      </c>
      <c r="V1664" t="b">
        <v>0</v>
      </c>
      <c r="W1664" t="inlineStr"/>
      <c r="X1664" t="n">
        <v/>
      </c>
    </row>
    <row r="1665">
      <c r="A1665" t="inlineStr">
        <is>
          <t>ATF Fuel 2</t>
        </is>
      </c>
      <c r="B1665" t="inlineStr">
        <is>
          <t>K97</t>
        </is>
      </c>
      <c r="C1665" t="n">
        <v>97</v>
      </c>
      <c r="D1665" t="n">
        <v>11</v>
      </c>
      <c r="E1665" t="inlineStr">
        <is>
          <t>Input</t>
        </is>
      </c>
      <c r="F1665" t="n">
        <v/>
      </c>
      <c r="H1665" t="inlineStr"/>
      <c r="I1665" t="inlineStr">
        <is>
          <t>General</t>
        </is>
      </c>
      <c r="J1665" t="b">
        <v>0</v>
      </c>
      <c r="K1665" t="b">
        <v>0</v>
      </c>
      <c r="L1665" t="n">
        <v>11</v>
      </c>
      <c r="M1665" t="inlineStr">
        <is>
          <t>FFFF0000</t>
        </is>
      </c>
      <c r="N1665" t="inlineStr">
        <is>
          <t>00000000</t>
        </is>
      </c>
      <c r="O1665" t="n">
        <v/>
      </c>
      <c r="R1665" t="b">
        <v>0</v>
      </c>
      <c r="S1665" t="n">
        <v/>
      </c>
      <c r="T1665" t="n">
        <v/>
      </c>
      <c r="U1665" t="n">
        <v/>
      </c>
      <c r="V1665" t="b">
        <v>0</v>
      </c>
      <c r="W1665" t="inlineStr"/>
      <c r="X1665" t="n">
        <v/>
      </c>
    </row>
    <row r="1666">
      <c r="A1666" t="inlineStr">
        <is>
          <t>ATF Fuel 2</t>
        </is>
      </c>
      <c r="B1666" t="inlineStr">
        <is>
          <t>L97</t>
        </is>
      </c>
      <c r="C1666" t="n">
        <v>97</v>
      </c>
      <c r="D1666" t="n">
        <v>12</v>
      </c>
      <c r="E1666" t="inlineStr">
        <is>
          <t>Input</t>
        </is>
      </c>
      <c r="F1666" t="n">
        <v/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11</v>
      </c>
      <c r="M1666" t="inlineStr">
        <is>
          <t>FFFF0000</t>
        </is>
      </c>
      <c r="N1666" t="inlineStr">
        <is>
          <t>00000000</t>
        </is>
      </c>
      <c r="O1666" t="n">
        <v/>
      </c>
      <c r="R1666" t="b">
        <v>0</v>
      </c>
      <c r="S1666" t="n">
        <v/>
      </c>
      <c r="T1666" t="n">
        <v/>
      </c>
      <c r="U1666" t="n">
        <v/>
      </c>
      <c r="V1666" t="b">
        <v>0</v>
      </c>
      <c r="W1666" t="inlineStr"/>
      <c r="X1666" t="n">
        <v/>
      </c>
    </row>
    <row r="1667">
      <c r="A1667" t="inlineStr">
        <is>
          <t>ATF Fuel 2</t>
        </is>
      </c>
      <c r="B1667" t="inlineStr">
        <is>
          <t>M97</t>
        </is>
      </c>
      <c r="C1667" t="n">
        <v>97</v>
      </c>
      <c r="D1667" t="n">
        <v>13</v>
      </c>
      <c r="E1667" t="inlineStr">
        <is>
          <t>Input</t>
        </is>
      </c>
      <c r="F1667" t="n">
        <v/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11</v>
      </c>
      <c r="M1667" t="inlineStr">
        <is>
          <t>FFFF0000</t>
        </is>
      </c>
      <c r="N1667" t="inlineStr">
        <is>
          <t>00000000</t>
        </is>
      </c>
      <c r="O1667" t="n">
        <v/>
      </c>
      <c r="R1667" t="b">
        <v>0</v>
      </c>
      <c r="S1667" t="n">
        <v/>
      </c>
      <c r="T1667" t="n">
        <v/>
      </c>
      <c r="U1667" t="n">
        <v/>
      </c>
      <c r="V1667" t="b">
        <v>0</v>
      </c>
      <c r="W1667" t="inlineStr"/>
      <c r="X1667" t="n">
        <v/>
      </c>
    </row>
    <row r="1668">
      <c r="A1668" t="inlineStr">
        <is>
          <t>ATF Fuel 2</t>
        </is>
      </c>
      <c r="B1668" t="inlineStr">
        <is>
          <t>N97</t>
        </is>
      </c>
      <c r="C1668" t="n">
        <v>97</v>
      </c>
      <c r="D1668" t="n">
        <v>14</v>
      </c>
      <c r="E1668" t="inlineStr">
        <is>
          <t>Input</t>
        </is>
      </c>
      <c r="F1668" t="n">
        <v/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11</v>
      </c>
      <c r="M1668" t="inlineStr">
        <is>
          <t>FFFF0000</t>
        </is>
      </c>
      <c r="N1668" t="inlineStr">
        <is>
          <t>00000000</t>
        </is>
      </c>
      <c r="O1668" t="n">
        <v/>
      </c>
      <c r="R1668" t="b">
        <v>0</v>
      </c>
      <c r="S1668" t="n">
        <v/>
      </c>
      <c r="T1668" t="n">
        <v/>
      </c>
      <c r="U1668" t="n">
        <v/>
      </c>
      <c r="V1668" t="b">
        <v>0</v>
      </c>
      <c r="W1668" t="inlineStr"/>
      <c r="X1668" t="n">
        <v/>
      </c>
    </row>
    <row r="1669">
      <c r="A1669" t="inlineStr">
        <is>
          <t>ATF Fuel 2</t>
        </is>
      </c>
      <c r="B1669" t="inlineStr">
        <is>
          <t>O97</t>
        </is>
      </c>
      <c r="C1669" t="n">
        <v>97</v>
      </c>
      <c r="D1669" t="n">
        <v>15</v>
      </c>
      <c r="E1669" t="inlineStr">
        <is>
          <t>Input</t>
        </is>
      </c>
      <c r="F1669" t="n">
        <v/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11</v>
      </c>
      <c r="M1669" t="inlineStr">
        <is>
          <t>FFFF0000</t>
        </is>
      </c>
      <c r="N1669" t="inlineStr">
        <is>
          <t>00000000</t>
        </is>
      </c>
      <c r="O1669" t="n">
        <v/>
      </c>
      <c r="R1669" t="b">
        <v>0</v>
      </c>
      <c r="S1669" t="n">
        <v/>
      </c>
      <c r="T1669" t="n">
        <v/>
      </c>
      <c r="U1669" t="n">
        <v/>
      </c>
      <c r="V1669" t="b">
        <v>0</v>
      </c>
      <c r="W1669" t="inlineStr"/>
      <c r="X1669" t="n">
        <v/>
      </c>
    </row>
    <row r="1670">
      <c r="A1670" t="inlineStr">
        <is>
          <t>ATF Fuel 2</t>
        </is>
      </c>
      <c r="B1670" t="inlineStr">
        <is>
          <t>P97</t>
        </is>
      </c>
      <c r="C1670" t="n">
        <v>97</v>
      </c>
      <c r="D1670" t="n">
        <v>16</v>
      </c>
      <c r="E1670" t="inlineStr">
        <is>
          <t>Input</t>
        </is>
      </c>
      <c r="F1670" t="n">
        <v/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11</v>
      </c>
      <c r="M1670" t="inlineStr">
        <is>
          <t>FFFF0000</t>
        </is>
      </c>
      <c r="N1670" t="inlineStr">
        <is>
          <t>00000000</t>
        </is>
      </c>
      <c r="O1670" t="n">
        <v/>
      </c>
      <c r="R1670" t="b">
        <v>0</v>
      </c>
      <c r="S1670" t="n">
        <v/>
      </c>
      <c r="T1670" t="n">
        <v/>
      </c>
      <c r="U1670" t="n">
        <v/>
      </c>
      <c r="V1670" t="b">
        <v>0</v>
      </c>
      <c r="W1670" t="inlineStr"/>
      <c r="X1670" t="n">
        <v/>
      </c>
    </row>
    <row r="1671">
      <c r="A1671" t="inlineStr">
        <is>
          <t>ATF Fuel 2</t>
        </is>
      </c>
      <c r="B1671" t="inlineStr">
        <is>
          <t>Q97</t>
        </is>
      </c>
      <c r="C1671" t="n">
        <v>97</v>
      </c>
      <c r="D1671" t="n">
        <v>17</v>
      </c>
      <c r="E1671" t="inlineStr">
        <is>
          <t>Input</t>
        </is>
      </c>
      <c r="F1671" t="n">
        <v/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11</v>
      </c>
      <c r="M1671" t="inlineStr">
        <is>
          <t>FFFF0000</t>
        </is>
      </c>
      <c r="N1671" t="inlineStr">
        <is>
          <t>00000000</t>
        </is>
      </c>
      <c r="O1671" t="n">
        <v/>
      </c>
      <c r="R1671" t="b">
        <v>0</v>
      </c>
      <c r="S1671" t="n">
        <v/>
      </c>
      <c r="T1671" t="n">
        <v/>
      </c>
      <c r="U1671" t="n">
        <v/>
      </c>
      <c r="V1671" t="b">
        <v>0</v>
      </c>
      <c r="W1671" t="inlineStr"/>
      <c r="X1671" t="n">
        <v/>
      </c>
    </row>
    <row r="1672">
      <c r="A1672" t="inlineStr">
        <is>
          <t>ATF Fuel 2</t>
        </is>
      </c>
      <c r="B1672" t="inlineStr">
        <is>
          <t>A98</t>
        </is>
      </c>
      <c r="C1672" t="n">
        <v>98</v>
      </c>
      <c r="D1672" t="n">
        <v>1</v>
      </c>
      <c r="E1672" t="inlineStr">
        <is>
          <t>Input</t>
        </is>
      </c>
      <c r="F1672" t="n">
        <v/>
      </c>
      <c r="G1672" t="n">
        <v>2021</v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11</v>
      </c>
      <c r="M1672" t="inlineStr">
        <is>
          <t>FFFF0000</t>
        </is>
      </c>
      <c r="N1672" t="inlineStr">
        <is>
          <t>00000000</t>
        </is>
      </c>
      <c r="O1672" t="n">
        <v/>
      </c>
      <c r="R1672" t="b">
        <v>1</v>
      </c>
      <c r="S1672" t="n">
        <v/>
      </c>
      <c r="T1672" t="n">
        <v/>
      </c>
      <c r="U1672" t="n">
        <v/>
      </c>
      <c r="V1672" t="b">
        <v>0</v>
      </c>
      <c r="W1672" t="inlineStr"/>
      <c r="X1672" t="n">
        <v/>
      </c>
    </row>
    <row r="1673">
      <c r="A1673" t="inlineStr">
        <is>
          <t>ATF Fuel 2</t>
        </is>
      </c>
      <c r="B1673" t="inlineStr">
        <is>
          <t>B98</t>
        </is>
      </c>
      <c r="C1673" t="n">
        <v>98</v>
      </c>
      <c r="D1673" t="n">
        <v>2</v>
      </c>
      <c r="E1673" t="inlineStr">
        <is>
          <t>Calculation</t>
        </is>
      </c>
      <c r="F1673" t="inlineStr">
        <is>
          <t>'=B97*(1+$C$95)</t>
        </is>
      </c>
      <c r="G1673" t="n">
        <v>67887.74605089855</v>
      </c>
      <c r="H1673" t="inlineStr"/>
      <c r="I1673" t="inlineStr">
        <is>
          <t>0.0</t>
        </is>
      </c>
      <c r="J1673" t="b">
        <v>0</v>
      </c>
      <c r="K1673" t="b">
        <v>0</v>
      </c>
      <c r="L1673" t="n">
        <v>11</v>
      </c>
      <c r="M1673" t="inlineStr">
        <is>
          <t>FFFF0000</t>
        </is>
      </c>
      <c r="N1673" t="inlineStr">
        <is>
          <t>00000000</t>
        </is>
      </c>
      <c r="O1673" t="n">
        <v/>
      </c>
      <c r="R1673" t="b">
        <v>1</v>
      </c>
      <c r="S1673" t="inlineStr">
        <is>
          <t>G000166</t>
        </is>
      </c>
      <c r="T1673" t="inlineStr">
        <is>
          <t>Vertical</t>
        </is>
      </c>
      <c r="U1673" t="n">
        <v>5</v>
      </c>
      <c r="V1673" t="b">
        <v>1</v>
      </c>
      <c r="W1673" t="inlineStr">
        <is>
          <t>ATF Fuel 2!B95:B99</t>
        </is>
      </c>
      <c r="X1673">
        <f>R[-1]C[0]*(1+R95C3)</f>
        <v/>
      </c>
    </row>
    <row r="1674">
      <c r="A1674" t="inlineStr">
        <is>
          <t>ATF Fuel 2</t>
        </is>
      </c>
      <c r="B1674" t="inlineStr">
        <is>
          <t>C98</t>
        </is>
      </c>
      <c r="C1674" t="n">
        <v>98</v>
      </c>
      <c r="D1674" t="n">
        <v>3</v>
      </c>
      <c r="E1674" t="inlineStr">
        <is>
          <t>Output</t>
        </is>
      </c>
      <c r="F1674" t="inlineStr">
        <is>
          <t>'=I98</t>
        </is>
      </c>
      <c r="G1674" t="n">
        <v>0.0298507462686568</v>
      </c>
      <c r="H1674" t="inlineStr"/>
      <c r="I1674" t="inlineStr">
        <is>
          <t>0%</t>
        </is>
      </c>
      <c r="J1674" t="b">
        <v>0</v>
      </c>
      <c r="K1674" t="b">
        <v>0</v>
      </c>
      <c r="L1674" t="n">
        <v>11</v>
      </c>
      <c r="M1674" t="inlineStr">
        <is>
          <t>FFFF0000</t>
        </is>
      </c>
      <c r="N1674" t="inlineStr">
        <is>
          <t>00000000</t>
        </is>
      </c>
      <c r="O1674" t="n">
        <v/>
      </c>
      <c r="R1674" t="b">
        <v>1</v>
      </c>
      <c r="S1674" t="inlineStr">
        <is>
          <t>G000167</t>
        </is>
      </c>
      <c r="T1674" t="inlineStr">
        <is>
          <t>Vertical</t>
        </is>
      </c>
      <c r="U1674" t="n">
        <v>5</v>
      </c>
      <c r="V1674" t="b">
        <v>1</v>
      </c>
      <c r="W1674" t="inlineStr">
        <is>
          <t>ATF Fuel 2!C95:C99</t>
        </is>
      </c>
      <c r="X1674">
        <f>R[0]C[6]</f>
        <v/>
      </c>
    </row>
    <row r="1675">
      <c r="A1675" t="inlineStr">
        <is>
          <t>ATF Fuel 2</t>
        </is>
      </c>
      <c r="B1675" t="inlineStr">
        <is>
          <t>D98</t>
        </is>
      </c>
      <c r="C1675" t="n">
        <v>98</v>
      </c>
      <c r="D1675" t="n">
        <v>4</v>
      </c>
      <c r="E1675" t="inlineStr">
        <is>
          <t>Input</t>
        </is>
      </c>
      <c r="F1675" t="n">
        <v/>
      </c>
      <c r="G1675" t="n">
        <v>69</v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11</v>
      </c>
      <c r="M1675" t="inlineStr">
        <is>
          <t>FFFF0000</t>
        </is>
      </c>
      <c r="N1675" t="inlineStr">
        <is>
          <t>00000000</t>
        </is>
      </c>
      <c r="O1675" t="n">
        <v/>
      </c>
      <c r="R1675" t="b">
        <v>1</v>
      </c>
      <c r="S1675" t="n">
        <v/>
      </c>
      <c r="T1675" t="n">
        <v/>
      </c>
      <c r="U1675" t="n">
        <v/>
      </c>
      <c r="V1675" t="b">
        <v>0</v>
      </c>
      <c r="W1675" t="inlineStr"/>
      <c r="X1675" t="n">
        <v/>
      </c>
    </row>
    <row r="1676">
      <c r="A1676" t="inlineStr">
        <is>
          <t>ATF Fuel 2</t>
        </is>
      </c>
      <c r="B1676" t="inlineStr">
        <is>
          <t>E98</t>
        </is>
      </c>
      <c r="C1676" t="n">
        <v>98</v>
      </c>
      <c r="D1676" t="n">
        <v>5</v>
      </c>
      <c r="E1676" t="inlineStr">
        <is>
          <t>Input</t>
        </is>
      </c>
      <c r="F1676" t="n">
        <v/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11</v>
      </c>
      <c r="M1676" t="inlineStr">
        <is>
          <t>FFFF0000</t>
        </is>
      </c>
      <c r="N1676" t="inlineStr">
        <is>
          <t>00000000</t>
        </is>
      </c>
      <c r="O1676" t="n">
        <v/>
      </c>
      <c r="R1676" t="b">
        <v>0</v>
      </c>
      <c r="S1676" t="n">
        <v/>
      </c>
      <c r="T1676" t="n">
        <v/>
      </c>
      <c r="U1676" t="n">
        <v/>
      </c>
      <c r="V1676" t="b">
        <v>0</v>
      </c>
      <c r="W1676" t="inlineStr"/>
      <c r="X1676" t="n">
        <v/>
      </c>
    </row>
    <row r="1677">
      <c r="A1677" t="inlineStr">
        <is>
          <t>ATF Fuel 2</t>
        </is>
      </c>
      <c r="B1677" t="inlineStr">
        <is>
          <t>F98</t>
        </is>
      </c>
      <c r="C1677" t="n">
        <v>98</v>
      </c>
      <c r="D1677" t="n">
        <v>6</v>
      </c>
      <c r="E1677" t="inlineStr">
        <is>
          <t>Calculation</t>
        </is>
      </c>
      <c r="F1677" t="inlineStr">
        <is>
          <t>'=F97</t>
        </is>
      </c>
      <c r="G1677" t="n">
        <v>70</v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11</v>
      </c>
      <c r="M1677" t="inlineStr">
        <is>
          <t>FFFF0000</t>
        </is>
      </c>
      <c r="N1677" t="inlineStr">
        <is>
          <t>00000000</t>
        </is>
      </c>
      <c r="O1677" t="n">
        <v/>
      </c>
      <c r="R1677" t="b">
        <v>1</v>
      </c>
      <c r="S1677" t="inlineStr">
        <is>
          <t>G000168</t>
        </is>
      </c>
      <c r="T1677" t="inlineStr">
        <is>
          <t>Vertical</t>
        </is>
      </c>
      <c r="U1677" t="n">
        <v>2</v>
      </c>
      <c r="V1677" t="b">
        <v>1</v>
      </c>
      <c r="W1677" t="inlineStr">
        <is>
          <t>ATF Fuel 2!F98:F99</t>
        </is>
      </c>
      <c r="X1677">
        <f>R[-1]C[0]</f>
        <v/>
      </c>
    </row>
    <row r="1678">
      <c r="A1678" t="inlineStr">
        <is>
          <t>ATF Fuel 2</t>
        </is>
      </c>
      <c r="B1678" t="inlineStr">
        <is>
          <t>G98</t>
        </is>
      </c>
      <c r="C1678" t="n">
        <v>98</v>
      </c>
      <c r="D1678" t="n">
        <v>7</v>
      </c>
      <c r="E1678" t="inlineStr">
        <is>
          <t>Input</t>
        </is>
      </c>
      <c r="F1678" t="n">
        <v/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11</v>
      </c>
      <c r="M1678" t="inlineStr">
        <is>
          <t>FFFF0000</t>
        </is>
      </c>
      <c r="N1678" t="inlineStr">
        <is>
          <t>00000000</t>
        </is>
      </c>
      <c r="O1678" t="n">
        <v/>
      </c>
      <c r="R1678" t="b">
        <v>0</v>
      </c>
      <c r="S1678" t="n">
        <v/>
      </c>
      <c r="T1678" t="n">
        <v/>
      </c>
      <c r="U1678" t="n">
        <v/>
      </c>
      <c r="V1678" t="b">
        <v>0</v>
      </c>
      <c r="W1678" t="inlineStr"/>
      <c r="X1678" t="n">
        <v/>
      </c>
    </row>
    <row r="1679">
      <c r="A1679" t="inlineStr">
        <is>
          <t>ATF Fuel 2</t>
        </is>
      </c>
      <c r="B1679" t="inlineStr">
        <is>
          <t>H98</t>
        </is>
      </c>
      <c r="C1679" t="n">
        <v>98</v>
      </c>
      <c r="D1679" t="n">
        <v>8</v>
      </c>
      <c r="E1679" t="inlineStr">
        <is>
          <t>Calculation</t>
        </is>
      </c>
      <c r="F1679" t="inlineStr">
        <is>
          <t>'=D98*F98</t>
        </is>
      </c>
      <c r="G1679" t="n">
        <v>4830</v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11</v>
      </c>
      <c r="M1679" t="inlineStr">
        <is>
          <t>FFFF0000</t>
        </is>
      </c>
      <c r="N1679" t="inlineStr">
        <is>
          <t>00000000</t>
        </is>
      </c>
      <c r="O1679" t="n">
        <v/>
      </c>
      <c r="R1679" t="b">
        <v>1</v>
      </c>
      <c r="S1679" t="inlineStr">
        <is>
          <t>G000152</t>
        </is>
      </c>
      <c r="T1679" t="inlineStr">
        <is>
          <t>Vertical</t>
        </is>
      </c>
      <c r="U1679" t="n">
        <v>98</v>
      </c>
      <c r="V1679" t="b">
        <v>1</v>
      </c>
      <c r="W1679" t="inlineStr">
        <is>
          <t>ATF Fuel 2!H2:H99</t>
        </is>
      </c>
      <c r="X1679">
        <f>R[0]C[-4]*R[0]C[-2]</f>
        <v/>
      </c>
    </row>
    <row r="1680">
      <c r="A1680" t="inlineStr">
        <is>
          <t>ATF Fuel 2</t>
        </is>
      </c>
      <c r="B1680" t="inlineStr">
        <is>
          <t>I98</t>
        </is>
      </c>
      <c r="C1680" t="n">
        <v>98</v>
      </c>
      <c r="D1680" t="n">
        <v>9</v>
      </c>
      <c r="E1680" t="inlineStr">
        <is>
          <t>Calculation</t>
        </is>
      </c>
      <c r="F1680" t="inlineStr">
        <is>
          <t>'=H98/H97-1</t>
        </is>
      </c>
      <c r="G1680" t="n">
        <v>0.0298507462686568</v>
      </c>
      <c r="H1680" t="inlineStr"/>
      <c r="I1680" t="inlineStr">
        <is>
          <t>0%</t>
        </is>
      </c>
      <c r="J1680" t="b">
        <v>0</v>
      </c>
      <c r="K1680" t="b">
        <v>0</v>
      </c>
      <c r="L1680" t="n">
        <v>11</v>
      </c>
      <c r="M1680" t="inlineStr">
        <is>
          <t>FFFF0000</t>
        </is>
      </c>
      <c r="N1680" t="inlineStr">
        <is>
          <t>00000000</t>
        </is>
      </c>
      <c r="O1680" t="n">
        <v/>
      </c>
      <c r="R1680" t="b">
        <v>1</v>
      </c>
      <c r="S1680" t="inlineStr">
        <is>
          <t>G000156</t>
        </is>
      </c>
      <c r="T1680" t="inlineStr">
        <is>
          <t>Vertical</t>
        </is>
      </c>
      <c r="U1680" t="n">
        <v>97</v>
      </c>
      <c r="V1680" t="b">
        <v>1</v>
      </c>
      <c r="W1680" t="inlineStr">
        <is>
          <t>ATF Fuel 2!I3:I99</t>
        </is>
      </c>
      <c r="X1680">
        <f>R[0]C[-1]/R[-1]C[-1]-1</f>
        <v/>
      </c>
    </row>
    <row r="1681">
      <c r="A1681" t="inlineStr">
        <is>
          <t>ATF Fuel 2</t>
        </is>
      </c>
      <c r="B1681" t="inlineStr">
        <is>
          <t>J98</t>
        </is>
      </c>
      <c r="C1681" t="n">
        <v>98</v>
      </c>
      <c r="D1681" t="n">
        <v>10</v>
      </c>
      <c r="E1681" t="inlineStr">
        <is>
          <t>Input</t>
        </is>
      </c>
      <c r="F1681" t="n">
        <v/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11</v>
      </c>
      <c r="M1681" t="inlineStr">
        <is>
          <t>FFFF0000</t>
        </is>
      </c>
      <c r="N1681" t="inlineStr">
        <is>
          <t>00000000</t>
        </is>
      </c>
      <c r="O1681" t="n">
        <v/>
      </c>
      <c r="R1681" t="b">
        <v>0</v>
      </c>
      <c r="S1681" t="n">
        <v/>
      </c>
      <c r="T1681" t="n">
        <v/>
      </c>
      <c r="U1681" t="n">
        <v/>
      </c>
      <c r="V1681" t="b">
        <v>0</v>
      </c>
      <c r="W1681" t="inlineStr"/>
      <c r="X1681" t="n">
        <v/>
      </c>
    </row>
    <row r="1682">
      <c r="A1682" t="inlineStr">
        <is>
          <t>ATF Fuel 2</t>
        </is>
      </c>
      <c r="B1682" t="inlineStr">
        <is>
          <t>K98</t>
        </is>
      </c>
      <c r="C1682" t="n">
        <v>98</v>
      </c>
      <c r="D1682" t="n">
        <v>11</v>
      </c>
      <c r="E1682" t="inlineStr">
        <is>
          <t>Input</t>
        </is>
      </c>
      <c r="F1682" t="n">
        <v/>
      </c>
      <c r="H1682" t="inlineStr"/>
      <c r="I1682" t="inlineStr">
        <is>
          <t>General</t>
        </is>
      </c>
      <c r="J1682" t="b">
        <v>0</v>
      </c>
      <c r="K1682" t="b">
        <v>0</v>
      </c>
      <c r="L1682" t="n">
        <v>11</v>
      </c>
      <c r="M1682" t="inlineStr">
        <is>
          <t>FFFF0000</t>
        </is>
      </c>
      <c r="N1682" t="inlineStr">
        <is>
          <t>00000000</t>
        </is>
      </c>
      <c r="O1682" t="n">
        <v/>
      </c>
      <c r="R1682" t="b">
        <v>0</v>
      </c>
      <c r="S1682" t="n">
        <v/>
      </c>
      <c r="T1682" t="n">
        <v/>
      </c>
      <c r="U1682" t="n">
        <v/>
      </c>
      <c r="V1682" t="b">
        <v>0</v>
      </c>
      <c r="W1682" t="inlineStr"/>
      <c r="X1682" t="n">
        <v/>
      </c>
    </row>
    <row r="1683">
      <c r="A1683" t="inlineStr">
        <is>
          <t>ATF Fuel 2</t>
        </is>
      </c>
      <c r="B1683" t="inlineStr">
        <is>
          <t>L98</t>
        </is>
      </c>
      <c r="C1683" t="n">
        <v>98</v>
      </c>
      <c r="D1683" t="n">
        <v>12</v>
      </c>
      <c r="E1683" t="inlineStr">
        <is>
          <t>Input</t>
        </is>
      </c>
      <c r="F1683" t="n">
        <v/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11</v>
      </c>
      <c r="M1683" t="inlineStr">
        <is>
          <t>FFFF0000</t>
        </is>
      </c>
      <c r="N1683" t="inlineStr">
        <is>
          <t>00000000</t>
        </is>
      </c>
      <c r="O1683" t="n">
        <v/>
      </c>
      <c r="R1683" t="b">
        <v>0</v>
      </c>
      <c r="S1683" t="n">
        <v/>
      </c>
      <c r="T1683" t="n">
        <v/>
      </c>
      <c r="U1683" t="n">
        <v/>
      </c>
      <c r="V1683" t="b">
        <v>0</v>
      </c>
      <c r="W1683" t="inlineStr"/>
      <c r="X1683" t="n">
        <v/>
      </c>
    </row>
    <row r="1684">
      <c r="A1684" t="inlineStr">
        <is>
          <t>ATF Fuel 2</t>
        </is>
      </c>
      <c r="B1684" t="inlineStr">
        <is>
          <t>M98</t>
        </is>
      </c>
      <c r="C1684" t="n">
        <v>98</v>
      </c>
      <c r="D1684" t="n">
        <v>13</v>
      </c>
      <c r="E1684" t="inlineStr">
        <is>
          <t>Input</t>
        </is>
      </c>
      <c r="F1684" t="n">
        <v/>
      </c>
      <c r="H1684" t="inlineStr"/>
      <c r="I1684" t="inlineStr">
        <is>
          <t>General</t>
        </is>
      </c>
      <c r="J1684" t="b">
        <v>0</v>
      </c>
      <c r="K1684" t="b">
        <v>0</v>
      </c>
      <c r="L1684" t="n">
        <v>11</v>
      </c>
      <c r="M1684" t="inlineStr">
        <is>
          <t>FFFF0000</t>
        </is>
      </c>
      <c r="N1684" t="inlineStr">
        <is>
          <t>00000000</t>
        </is>
      </c>
      <c r="O1684" t="n">
        <v/>
      </c>
      <c r="R1684" t="b">
        <v>0</v>
      </c>
      <c r="S1684" t="n">
        <v/>
      </c>
      <c r="T1684" t="n">
        <v/>
      </c>
      <c r="U1684" t="n">
        <v/>
      </c>
      <c r="V1684" t="b">
        <v>0</v>
      </c>
      <c r="W1684" t="inlineStr"/>
      <c r="X1684" t="n">
        <v/>
      </c>
    </row>
    <row r="1685">
      <c r="A1685" t="inlineStr">
        <is>
          <t>ATF Fuel 2</t>
        </is>
      </c>
      <c r="B1685" t="inlineStr">
        <is>
          <t>N98</t>
        </is>
      </c>
      <c r="C1685" t="n">
        <v>98</v>
      </c>
      <c r="D1685" t="n">
        <v>14</v>
      </c>
      <c r="E1685" t="inlineStr">
        <is>
          <t>Input</t>
        </is>
      </c>
      <c r="F1685" t="n">
        <v/>
      </c>
      <c r="H1685" t="inlineStr"/>
      <c r="I1685" t="inlineStr">
        <is>
          <t>General</t>
        </is>
      </c>
      <c r="J1685" t="b">
        <v>0</v>
      </c>
      <c r="K1685" t="b">
        <v>0</v>
      </c>
      <c r="L1685" t="n">
        <v>11</v>
      </c>
      <c r="M1685" t="inlineStr">
        <is>
          <t>FFFF0000</t>
        </is>
      </c>
      <c r="N1685" t="inlineStr">
        <is>
          <t>00000000</t>
        </is>
      </c>
      <c r="O1685" t="n">
        <v/>
      </c>
      <c r="R1685" t="b">
        <v>0</v>
      </c>
      <c r="S1685" t="n">
        <v/>
      </c>
      <c r="T1685" t="n">
        <v/>
      </c>
      <c r="U1685" t="n">
        <v/>
      </c>
      <c r="V1685" t="b">
        <v>0</v>
      </c>
      <c r="W1685" t="inlineStr"/>
      <c r="X1685" t="n">
        <v/>
      </c>
    </row>
    <row r="1686">
      <c r="A1686" t="inlineStr">
        <is>
          <t>ATF Fuel 2</t>
        </is>
      </c>
      <c r="B1686" t="inlineStr">
        <is>
          <t>O98</t>
        </is>
      </c>
      <c r="C1686" t="n">
        <v>98</v>
      </c>
      <c r="D1686" t="n">
        <v>15</v>
      </c>
      <c r="E1686" t="inlineStr">
        <is>
          <t>Input</t>
        </is>
      </c>
      <c r="F1686" t="n">
        <v/>
      </c>
      <c r="H1686" t="inlineStr"/>
      <c r="I1686" t="inlineStr">
        <is>
          <t>General</t>
        </is>
      </c>
      <c r="J1686" t="b">
        <v>0</v>
      </c>
      <c r="K1686" t="b">
        <v>0</v>
      </c>
      <c r="L1686" t="n">
        <v>11</v>
      </c>
      <c r="M1686" t="inlineStr">
        <is>
          <t>FFFF0000</t>
        </is>
      </c>
      <c r="N1686" t="inlineStr">
        <is>
          <t>00000000</t>
        </is>
      </c>
      <c r="O1686" t="n">
        <v/>
      </c>
      <c r="R1686" t="b">
        <v>0</v>
      </c>
      <c r="S1686" t="n">
        <v/>
      </c>
      <c r="T1686" t="n">
        <v/>
      </c>
      <c r="U1686" t="n">
        <v/>
      </c>
      <c r="V1686" t="b">
        <v>0</v>
      </c>
      <c r="W1686" t="inlineStr"/>
      <c r="X1686" t="n">
        <v/>
      </c>
    </row>
    <row r="1687">
      <c r="A1687" t="inlineStr">
        <is>
          <t>ATF Fuel 2</t>
        </is>
      </c>
      <c r="B1687" t="inlineStr">
        <is>
          <t>P98</t>
        </is>
      </c>
      <c r="C1687" t="n">
        <v>98</v>
      </c>
      <c r="D1687" t="n">
        <v>16</v>
      </c>
      <c r="E1687" t="inlineStr">
        <is>
          <t>Input</t>
        </is>
      </c>
      <c r="F1687" t="n">
        <v/>
      </c>
      <c r="H1687" t="inlineStr"/>
      <c r="I1687" t="inlineStr">
        <is>
          <t>General</t>
        </is>
      </c>
      <c r="J1687" t="b">
        <v>0</v>
      </c>
      <c r="K1687" t="b">
        <v>0</v>
      </c>
      <c r="L1687" t="n">
        <v>11</v>
      </c>
      <c r="M1687" t="inlineStr">
        <is>
          <t>FFFF0000</t>
        </is>
      </c>
      <c r="N1687" t="inlineStr">
        <is>
          <t>00000000</t>
        </is>
      </c>
      <c r="O1687" t="n">
        <v/>
      </c>
      <c r="R1687" t="b">
        <v>0</v>
      </c>
      <c r="S1687" t="n">
        <v/>
      </c>
      <c r="T1687" t="n">
        <v/>
      </c>
      <c r="U1687" t="n">
        <v/>
      </c>
      <c r="V1687" t="b">
        <v>0</v>
      </c>
      <c r="W1687" t="inlineStr"/>
      <c r="X1687" t="n">
        <v/>
      </c>
    </row>
    <row r="1688">
      <c r="A1688" t="inlineStr">
        <is>
          <t>ATF Fuel 2</t>
        </is>
      </c>
      <c r="B1688" t="inlineStr">
        <is>
          <t>Q98</t>
        </is>
      </c>
      <c r="C1688" t="n">
        <v>98</v>
      </c>
      <c r="D1688" t="n">
        <v>17</v>
      </c>
      <c r="E1688" t="inlineStr">
        <is>
          <t>Input</t>
        </is>
      </c>
      <c r="F1688" t="n">
        <v/>
      </c>
      <c r="H1688" t="inlineStr"/>
      <c r="I1688" t="inlineStr">
        <is>
          <t>General</t>
        </is>
      </c>
      <c r="J1688" t="b">
        <v>0</v>
      </c>
      <c r="K1688" t="b">
        <v>0</v>
      </c>
      <c r="L1688" t="n">
        <v>11</v>
      </c>
      <c r="M1688" t="inlineStr">
        <is>
          <t>FFFF0000</t>
        </is>
      </c>
      <c r="N1688" t="inlineStr">
        <is>
          <t>00000000</t>
        </is>
      </c>
      <c r="O1688" t="n">
        <v/>
      </c>
      <c r="R1688" t="b">
        <v>0</v>
      </c>
      <c r="S1688" t="n">
        <v/>
      </c>
      <c r="T1688" t="n">
        <v/>
      </c>
      <c r="U1688" t="n">
        <v/>
      </c>
      <c r="V1688" t="b">
        <v>0</v>
      </c>
      <c r="W1688" t="inlineStr"/>
      <c r="X1688" t="n">
        <v/>
      </c>
    </row>
    <row r="1689">
      <c r="A1689" t="inlineStr">
        <is>
          <t>ATF Fuel 2</t>
        </is>
      </c>
      <c r="B1689" t="inlineStr">
        <is>
          <t>A99</t>
        </is>
      </c>
      <c r="C1689" t="n">
        <v>99</v>
      </c>
      <c r="D1689" t="n">
        <v>1</v>
      </c>
      <c r="E1689" t="inlineStr">
        <is>
          <t>Input</t>
        </is>
      </c>
      <c r="F1689" t="n">
        <v/>
      </c>
      <c r="G1689" t="n">
        <v>2022</v>
      </c>
      <c r="H1689" t="inlineStr"/>
      <c r="I1689" t="inlineStr">
        <is>
          <t>General</t>
        </is>
      </c>
      <c r="J1689" t="b">
        <v>0</v>
      </c>
      <c r="K1689" t="b">
        <v>0</v>
      </c>
      <c r="L1689" t="n">
        <v>11</v>
      </c>
      <c r="M1689" t="inlineStr">
        <is>
          <t>FFFF0000</t>
        </is>
      </c>
      <c r="N1689" t="inlineStr">
        <is>
          <t>00000000</t>
        </is>
      </c>
      <c r="O1689" t="n">
        <v/>
      </c>
      <c r="R1689" t="b">
        <v>1</v>
      </c>
      <c r="S1689" t="n">
        <v/>
      </c>
      <c r="T1689" t="n">
        <v/>
      </c>
      <c r="U1689" t="n">
        <v/>
      </c>
      <c r="V1689" t="b">
        <v>0</v>
      </c>
      <c r="W1689" t="inlineStr"/>
      <c r="X1689" t="n">
        <v/>
      </c>
    </row>
    <row r="1690">
      <c r="A1690" t="inlineStr">
        <is>
          <t>ATF Fuel 2</t>
        </is>
      </c>
      <c r="B1690" t="inlineStr">
        <is>
          <t>B99</t>
        </is>
      </c>
      <c r="C1690" t="n">
        <v>99</v>
      </c>
      <c r="D1690" t="n">
        <v>2</v>
      </c>
      <c r="E1690" t="inlineStr">
        <is>
          <t>Output</t>
        </is>
      </c>
      <c r="F1690" t="inlineStr">
        <is>
          <t>'=B98*(1+$C$95)</t>
        </is>
      </c>
      <c r="G1690" t="n">
        <v>70315.79981047768</v>
      </c>
      <c r="H1690" t="inlineStr"/>
      <c r="I1690" t="inlineStr">
        <is>
          <t>0.0</t>
        </is>
      </c>
      <c r="J1690" t="b">
        <v>0</v>
      </c>
      <c r="K1690" t="b">
        <v>0</v>
      </c>
      <c r="L1690" t="n">
        <v>11</v>
      </c>
      <c r="M1690" t="inlineStr">
        <is>
          <t>FFFF0000</t>
        </is>
      </c>
      <c r="N1690" t="inlineStr">
        <is>
          <t>00000000</t>
        </is>
      </c>
      <c r="O1690" t="n">
        <v/>
      </c>
      <c r="R1690" t="b">
        <v>1</v>
      </c>
      <c r="S1690" t="inlineStr">
        <is>
          <t>G000166</t>
        </is>
      </c>
      <c r="T1690" t="inlineStr">
        <is>
          <t>Vertical</t>
        </is>
      </c>
      <c r="U1690" t="n">
        <v>5</v>
      </c>
      <c r="V1690" t="b">
        <v>1</v>
      </c>
      <c r="W1690" t="inlineStr">
        <is>
          <t>ATF Fuel 2!B95:B99</t>
        </is>
      </c>
      <c r="X1690">
        <f>R[-1]C[0]*(1+R95C3)</f>
        <v/>
      </c>
    </row>
    <row r="1691">
      <c r="A1691" t="inlineStr">
        <is>
          <t>ATF Fuel 2</t>
        </is>
      </c>
      <c r="B1691" t="inlineStr">
        <is>
          <t>C99</t>
        </is>
      </c>
      <c r="C1691" t="n">
        <v>99</v>
      </c>
      <c r="D1691" t="n">
        <v>3</v>
      </c>
      <c r="E1691" t="inlineStr">
        <is>
          <t>Output</t>
        </is>
      </c>
      <c r="F1691" t="inlineStr">
        <is>
          <t>'=I99</t>
        </is>
      </c>
      <c r="G1691" t="n">
        <v>0.02898550724637672</v>
      </c>
      <c r="H1691" t="inlineStr"/>
      <c r="I1691" t="inlineStr">
        <is>
          <t>0%</t>
        </is>
      </c>
      <c r="J1691" t="b">
        <v>0</v>
      </c>
      <c r="K1691" t="b">
        <v>0</v>
      </c>
      <c r="L1691" t="n">
        <v>11</v>
      </c>
      <c r="M1691" t="inlineStr">
        <is>
          <t>FFFF0000</t>
        </is>
      </c>
      <c r="N1691" t="inlineStr">
        <is>
          <t>00000000</t>
        </is>
      </c>
      <c r="O1691" t="n">
        <v/>
      </c>
      <c r="R1691" t="b">
        <v>1</v>
      </c>
      <c r="S1691" t="inlineStr">
        <is>
          <t>G000167</t>
        </is>
      </c>
      <c r="T1691" t="inlineStr">
        <is>
          <t>Vertical</t>
        </is>
      </c>
      <c r="U1691" t="n">
        <v>5</v>
      </c>
      <c r="V1691" t="b">
        <v>1</v>
      </c>
      <c r="W1691" t="inlineStr">
        <is>
          <t>ATF Fuel 2!C95:C99</t>
        </is>
      </c>
      <c r="X1691">
        <f>R[0]C[6]</f>
        <v/>
      </c>
    </row>
    <row r="1692">
      <c r="A1692" t="inlineStr">
        <is>
          <t>ATF Fuel 2</t>
        </is>
      </c>
      <c r="B1692" t="inlineStr">
        <is>
          <t>D99</t>
        </is>
      </c>
      <c r="C1692" t="n">
        <v>99</v>
      </c>
      <c r="D1692" t="n">
        <v>4</v>
      </c>
      <c r="E1692" t="inlineStr">
        <is>
          <t>Input</t>
        </is>
      </c>
      <c r="F1692" t="n">
        <v/>
      </c>
      <c r="G1692" t="n">
        <v>71</v>
      </c>
      <c r="H1692" t="inlineStr"/>
      <c r="I1692" t="inlineStr">
        <is>
          <t>General</t>
        </is>
      </c>
      <c r="J1692" t="b">
        <v>0</v>
      </c>
      <c r="K1692" t="b">
        <v>0</v>
      </c>
      <c r="L1692" t="n">
        <v>11</v>
      </c>
      <c r="M1692" t="inlineStr">
        <is>
          <t>FFFF0000</t>
        </is>
      </c>
      <c r="N1692" t="inlineStr">
        <is>
          <t>00000000</t>
        </is>
      </c>
      <c r="O1692" t="n">
        <v/>
      </c>
      <c r="R1692" t="b">
        <v>1</v>
      </c>
      <c r="S1692" t="n">
        <v/>
      </c>
      <c r="T1692" t="n">
        <v/>
      </c>
      <c r="U1692" t="n">
        <v/>
      </c>
      <c r="V1692" t="b">
        <v>0</v>
      </c>
      <c r="W1692" t="inlineStr"/>
      <c r="X1692" t="n">
        <v/>
      </c>
    </row>
    <row r="1693">
      <c r="A1693" t="inlineStr">
        <is>
          <t>ATF Fuel 2</t>
        </is>
      </c>
      <c r="B1693" t="inlineStr">
        <is>
          <t>E99</t>
        </is>
      </c>
      <c r="C1693" t="n">
        <v>99</v>
      </c>
      <c r="D1693" t="n">
        <v>5</v>
      </c>
      <c r="E1693" t="inlineStr">
        <is>
          <t>Input</t>
        </is>
      </c>
      <c r="F1693" t="n">
        <v/>
      </c>
      <c r="H1693" t="inlineStr"/>
      <c r="I1693" t="inlineStr">
        <is>
          <t>General</t>
        </is>
      </c>
      <c r="J1693" t="b">
        <v>0</v>
      </c>
      <c r="K1693" t="b">
        <v>0</v>
      </c>
      <c r="L1693" t="n">
        <v>11</v>
      </c>
      <c r="M1693" t="inlineStr">
        <is>
          <t>FFFF0000</t>
        </is>
      </c>
      <c r="N1693" t="inlineStr">
        <is>
          <t>00000000</t>
        </is>
      </c>
      <c r="O1693" t="n">
        <v/>
      </c>
      <c r="R1693" t="b">
        <v>0</v>
      </c>
      <c r="S1693" t="n">
        <v/>
      </c>
      <c r="T1693" t="n">
        <v/>
      </c>
      <c r="U1693" t="n">
        <v/>
      </c>
      <c r="V1693" t="b">
        <v>0</v>
      </c>
      <c r="W1693" t="inlineStr"/>
      <c r="X1693" t="n">
        <v/>
      </c>
    </row>
    <row r="1694">
      <c r="A1694" t="inlineStr">
        <is>
          <t>ATF Fuel 2</t>
        </is>
      </c>
      <c r="B1694" t="inlineStr">
        <is>
          <t>F99</t>
        </is>
      </c>
      <c r="C1694" t="n">
        <v>99</v>
      </c>
      <c r="D1694" t="n">
        <v>6</v>
      </c>
      <c r="E1694" t="inlineStr">
        <is>
          <t>Calculation</t>
        </is>
      </c>
      <c r="F1694" t="inlineStr">
        <is>
          <t>'=F98</t>
        </is>
      </c>
      <c r="G1694" t="n">
        <v>70</v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11</v>
      </c>
      <c r="M1694" t="inlineStr">
        <is>
          <t>FFFF0000</t>
        </is>
      </c>
      <c r="N1694" t="inlineStr">
        <is>
          <t>00000000</t>
        </is>
      </c>
      <c r="O1694" t="n">
        <v/>
      </c>
      <c r="R1694" t="b">
        <v>1</v>
      </c>
      <c r="S1694" t="inlineStr">
        <is>
          <t>G000168</t>
        </is>
      </c>
      <c r="T1694" t="inlineStr">
        <is>
          <t>Vertical</t>
        </is>
      </c>
      <c r="U1694" t="n">
        <v>2</v>
      </c>
      <c r="V1694" t="b">
        <v>1</v>
      </c>
      <c r="W1694" t="inlineStr">
        <is>
          <t>ATF Fuel 2!F98:F99</t>
        </is>
      </c>
      <c r="X1694">
        <f>R[-1]C[0]</f>
        <v/>
      </c>
    </row>
    <row r="1695">
      <c r="A1695" t="inlineStr">
        <is>
          <t>ATF Fuel 2</t>
        </is>
      </c>
      <c r="B1695" t="inlineStr">
        <is>
          <t>G99</t>
        </is>
      </c>
      <c r="C1695" t="n">
        <v>99</v>
      </c>
      <c r="D1695" t="n">
        <v>7</v>
      </c>
      <c r="E1695" t="inlineStr">
        <is>
          <t>Input</t>
        </is>
      </c>
      <c r="F1695" t="n">
        <v/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11</v>
      </c>
      <c r="M1695" t="inlineStr">
        <is>
          <t>FFFF0000</t>
        </is>
      </c>
      <c r="N1695" t="inlineStr">
        <is>
          <t>00000000</t>
        </is>
      </c>
      <c r="O1695" t="n">
        <v/>
      </c>
      <c r="R1695" t="b">
        <v>0</v>
      </c>
      <c r="S1695" t="n">
        <v/>
      </c>
      <c r="T1695" t="n">
        <v/>
      </c>
      <c r="U1695" t="n">
        <v/>
      </c>
      <c r="V1695" t="b">
        <v>0</v>
      </c>
      <c r="W1695" t="inlineStr"/>
      <c r="X1695" t="n">
        <v/>
      </c>
    </row>
    <row r="1696">
      <c r="A1696" t="inlineStr">
        <is>
          <t>ATF Fuel 2</t>
        </is>
      </c>
      <c r="B1696" t="inlineStr">
        <is>
          <t>H99</t>
        </is>
      </c>
      <c r="C1696" t="n">
        <v>99</v>
      </c>
      <c r="D1696" t="n">
        <v>8</v>
      </c>
      <c r="E1696" t="inlineStr">
        <is>
          <t>Calculation</t>
        </is>
      </c>
      <c r="F1696" t="inlineStr">
        <is>
          <t>'=D99*F99</t>
        </is>
      </c>
      <c r="G1696" t="n">
        <v>4970</v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11</v>
      </c>
      <c r="M1696" t="inlineStr">
        <is>
          <t>FFFF0000</t>
        </is>
      </c>
      <c r="N1696" t="inlineStr">
        <is>
          <t>00000000</t>
        </is>
      </c>
      <c r="O1696" t="n">
        <v/>
      </c>
      <c r="R1696" t="b">
        <v>1</v>
      </c>
      <c r="S1696" t="inlineStr">
        <is>
          <t>G000152</t>
        </is>
      </c>
      <c r="T1696" t="inlineStr">
        <is>
          <t>Vertical</t>
        </is>
      </c>
      <c r="U1696" t="n">
        <v>98</v>
      </c>
      <c r="V1696" t="b">
        <v>1</v>
      </c>
      <c r="W1696" t="inlineStr">
        <is>
          <t>ATF Fuel 2!H2:H99</t>
        </is>
      </c>
      <c r="X1696">
        <f>R[0]C[-4]*R[0]C[-2]</f>
        <v/>
      </c>
    </row>
    <row r="1697">
      <c r="A1697" t="inlineStr">
        <is>
          <t>ATF Fuel 2</t>
        </is>
      </c>
      <c r="B1697" t="inlineStr">
        <is>
          <t>I99</t>
        </is>
      </c>
      <c r="C1697" t="n">
        <v>99</v>
      </c>
      <c r="D1697" t="n">
        <v>9</v>
      </c>
      <c r="E1697" t="inlineStr">
        <is>
          <t>Calculation</t>
        </is>
      </c>
      <c r="F1697" t="inlineStr">
        <is>
          <t>'=H99/H98-1</t>
        </is>
      </c>
      <c r="G1697" t="n">
        <v>0.02898550724637672</v>
      </c>
      <c r="H1697" t="inlineStr"/>
      <c r="I1697" t="inlineStr">
        <is>
          <t>0%</t>
        </is>
      </c>
      <c r="J1697" t="b">
        <v>0</v>
      </c>
      <c r="K1697" t="b">
        <v>0</v>
      </c>
      <c r="L1697" t="n">
        <v>11</v>
      </c>
      <c r="M1697" t="inlineStr">
        <is>
          <t>FFFF0000</t>
        </is>
      </c>
      <c r="N1697" t="inlineStr">
        <is>
          <t>00000000</t>
        </is>
      </c>
      <c r="O1697" t="n">
        <v/>
      </c>
      <c r="R1697" t="b">
        <v>1</v>
      </c>
      <c r="S1697" t="inlineStr">
        <is>
          <t>G000156</t>
        </is>
      </c>
      <c r="T1697" t="inlineStr">
        <is>
          <t>Vertical</t>
        </is>
      </c>
      <c r="U1697" t="n">
        <v>97</v>
      </c>
      <c r="V1697" t="b">
        <v>1</v>
      </c>
      <c r="W1697" t="inlineStr">
        <is>
          <t>ATF Fuel 2!I3:I99</t>
        </is>
      </c>
      <c r="X1697">
        <f>R[0]C[-1]/R[-1]C[-1]-1</f>
        <v/>
      </c>
    </row>
    <row r="1698">
      <c r="A1698" t="inlineStr">
        <is>
          <t>ATF Fuel 2</t>
        </is>
      </c>
      <c r="B1698" t="inlineStr">
        <is>
          <t>J99</t>
        </is>
      </c>
      <c r="C1698" t="n">
        <v>99</v>
      </c>
      <c r="D1698" t="n">
        <v>10</v>
      </c>
      <c r="E1698" t="inlineStr">
        <is>
          <t>Input</t>
        </is>
      </c>
      <c r="F1698" t="n">
        <v/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11</v>
      </c>
      <c r="M1698" t="inlineStr">
        <is>
          <t>FFFF0000</t>
        </is>
      </c>
      <c r="N1698" t="inlineStr">
        <is>
          <t>00000000</t>
        </is>
      </c>
      <c r="O1698" t="n">
        <v/>
      </c>
      <c r="R1698" t="b">
        <v>0</v>
      </c>
      <c r="S1698" t="n">
        <v/>
      </c>
      <c r="T1698" t="n">
        <v/>
      </c>
      <c r="U1698" t="n">
        <v/>
      </c>
      <c r="V1698" t="b">
        <v>0</v>
      </c>
      <c r="W1698" t="inlineStr"/>
      <c r="X1698" t="n">
        <v/>
      </c>
    </row>
    <row r="1699">
      <c r="A1699" t="inlineStr">
        <is>
          <t>ATF Fuel 2</t>
        </is>
      </c>
      <c r="B1699" t="inlineStr">
        <is>
          <t>K99</t>
        </is>
      </c>
      <c r="C1699" t="n">
        <v>99</v>
      </c>
      <c r="D1699" t="n">
        <v>11</v>
      </c>
      <c r="E1699" t="inlineStr">
        <is>
          <t>Input</t>
        </is>
      </c>
      <c r="F1699" t="n">
        <v/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11</v>
      </c>
      <c r="M1699" t="inlineStr">
        <is>
          <t>FFFF0000</t>
        </is>
      </c>
      <c r="N1699" t="inlineStr">
        <is>
          <t>00000000</t>
        </is>
      </c>
      <c r="O1699" t="n">
        <v/>
      </c>
      <c r="R1699" t="b">
        <v>0</v>
      </c>
      <c r="S1699" t="n">
        <v/>
      </c>
      <c r="T1699" t="n">
        <v/>
      </c>
      <c r="U1699" t="n">
        <v/>
      </c>
      <c r="V1699" t="b">
        <v>0</v>
      </c>
      <c r="W1699" t="inlineStr"/>
      <c r="X1699" t="n">
        <v/>
      </c>
    </row>
    <row r="1700">
      <c r="A1700" t="inlineStr">
        <is>
          <t>ATF Fuel 2</t>
        </is>
      </c>
      <c r="B1700" t="inlineStr">
        <is>
          <t>L99</t>
        </is>
      </c>
      <c r="C1700" t="n">
        <v>99</v>
      </c>
      <c r="D1700" t="n">
        <v>12</v>
      </c>
      <c r="E1700" t="inlineStr">
        <is>
          <t>Input</t>
        </is>
      </c>
      <c r="F1700" t="n">
        <v/>
      </c>
      <c r="H1700" t="inlineStr"/>
      <c r="I1700" t="inlineStr">
        <is>
          <t>General</t>
        </is>
      </c>
      <c r="J1700" t="b">
        <v>0</v>
      </c>
      <c r="K1700" t="b">
        <v>0</v>
      </c>
      <c r="L1700" t="n">
        <v>11</v>
      </c>
      <c r="M1700" t="inlineStr">
        <is>
          <t>FFFF0000</t>
        </is>
      </c>
      <c r="N1700" t="inlineStr">
        <is>
          <t>00000000</t>
        </is>
      </c>
      <c r="O1700" t="n">
        <v/>
      </c>
      <c r="R1700" t="b">
        <v>0</v>
      </c>
      <c r="S1700" t="n">
        <v/>
      </c>
      <c r="T1700" t="n">
        <v/>
      </c>
      <c r="U1700" t="n">
        <v/>
      </c>
      <c r="V1700" t="b">
        <v>0</v>
      </c>
      <c r="W1700" t="inlineStr"/>
      <c r="X1700" t="n">
        <v/>
      </c>
    </row>
    <row r="1701">
      <c r="A1701" t="inlineStr">
        <is>
          <t>ATF Fuel 2</t>
        </is>
      </c>
      <c r="B1701" t="inlineStr">
        <is>
          <t>M99</t>
        </is>
      </c>
      <c r="C1701" t="n">
        <v>99</v>
      </c>
      <c r="D1701" t="n">
        <v>13</v>
      </c>
      <c r="E1701" t="inlineStr">
        <is>
          <t>Input</t>
        </is>
      </c>
      <c r="F1701" t="n">
        <v/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11</v>
      </c>
      <c r="M1701" t="inlineStr">
        <is>
          <t>FFFF0000</t>
        </is>
      </c>
      <c r="N1701" t="inlineStr">
        <is>
          <t>00000000</t>
        </is>
      </c>
      <c r="O1701" t="n">
        <v/>
      </c>
      <c r="R1701" t="b">
        <v>0</v>
      </c>
      <c r="S1701" t="n">
        <v/>
      </c>
      <c r="T1701" t="n">
        <v/>
      </c>
      <c r="U1701" t="n">
        <v/>
      </c>
      <c r="V1701" t="b">
        <v>0</v>
      </c>
      <c r="W1701" t="inlineStr"/>
      <c r="X1701" t="n">
        <v/>
      </c>
    </row>
    <row r="1702">
      <c r="A1702" t="inlineStr">
        <is>
          <t>ATF Fuel 2</t>
        </is>
      </c>
      <c r="B1702" t="inlineStr">
        <is>
          <t>N99</t>
        </is>
      </c>
      <c r="C1702" t="n">
        <v>99</v>
      </c>
      <c r="D1702" t="n">
        <v>14</v>
      </c>
      <c r="E1702" t="inlineStr">
        <is>
          <t>Input</t>
        </is>
      </c>
      <c r="F1702" t="n">
        <v/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11</v>
      </c>
      <c r="M1702" t="inlineStr">
        <is>
          <t>FFFF0000</t>
        </is>
      </c>
      <c r="N1702" t="inlineStr">
        <is>
          <t>00000000</t>
        </is>
      </c>
      <c r="O1702" t="n">
        <v/>
      </c>
      <c r="R1702" t="b">
        <v>0</v>
      </c>
      <c r="S1702" t="n">
        <v/>
      </c>
      <c r="T1702" t="n">
        <v/>
      </c>
      <c r="U1702" t="n">
        <v/>
      </c>
      <c r="V1702" t="b">
        <v>0</v>
      </c>
      <c r="W1702" t="inlineStr"/>
      <c r="X1702" t="n">
        <v/>
      </c>
    </row>
    <row r="1703">
      <c r="A1703" t="inlineStr">
        <is>
          <t>ATF Fuel 2</t>
        </is>
      </c>
      <c r="B1703" t="inlineStr">
        <is>
          <t>O99</t>
        </is>
      </c>
      <c r="C1703" t="n">
        <v>99</v>
      </c>
      <c r="D1703" t="n">
        <v>15</v>
      </c>
      <c r="E1703" t="inlineStr">
        <is>
          <t>Input</t>
        </is>
      </c>
      <c r="F1703" t="n">
        <v/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11</v>
      </c>
      <c r="M1703" t="inlineStr">
        <is>
          <t>FFFF0000</t>
        </is>
      </c>
      <c r="N1703" t="inlineStr">
        <is>
          <t>00000000</t>
        </is>
      </c>
      <c r="O1703" t="n">
        <v/>
      </c>
      <c r="R1703" t="b">
        <v>0</v>
      </c>
      <c r="S1703" t="n">
        <v/>
      </c>
      <c r="T1703" t="n">
        <v/>
      </c>
      <c r="U1703" t="n">
        <v/>
      </c>
      <c r="V1703" t="b">
        <v>0</v>
      </c>
      <c r="W1703" t="inlineStr"/>
      <c r="X1703" t="n">
        <v/>
      </c>
    </row>
    <row r="1704">
      <c r="A1704" t="inlineStr">
        <is>
          <t>ATF Fuel 2</t>
        </is>
      </c>
      <c r="B1704" t="inlineStr">
        <is>
          <t>P99</t>
        </is>
      </c>
      <c r="C1704" t="n">
        <v>99</v>
      </c>
      <c r="D1704" t="n">
        <v>16</v>
      </c>
      <c r="E1704" t="inlineStr">
        <is>
          <t>Input</t>
        </is>
      </c>
      <c r="F1704" t="n">
        <v/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11</v>
      </c>
      <c r="M1704" t="inlineStr">
        <is>
          <t>FFFF0000</t>
        </is>
      </c>
      <c r="N1704" t="inlineStr">
        <is>
          <t>00000000</t>
        </is>
      </c>
      <c r="O1704" t="n">
        <v/>
      </c>
      <c r="R1704" t="b">
        <v>0</v>
      </c>
      <c r="S1704" t="n">
        <v/>
      </c>
      <c r="T1704" t="n">
        <v/>
      </c>
      <c r="U1704" t="n">
        <v/>
      </c>
      <c r="V1704" t="b">
        <v>0</v>
      </c>
      <c r="W1704" t="inlineStr"/>
      <c r="X1704" t="n">
        <v/>
      </c>
    </row>
    <row r="1705">
      <c r="A1705" t="inlineStr">
        <is>
          <t>ATF Fuel 2</t>
        </is>
      </c>
      <c r="B1705" t="inlineStr">
        <is>
          <t>Q99</t>
        </is>
      </c>
      <c r="C1705" t="n">
        <v>99</v>
      </c>
      <c r="D1705" t="n">
        <v>17</v>
      </c>
      <c r="E1705" t="inlineStr">
        <is>
          <t>Input</t>
        </is>
      </c>
      <c r="F1705" t="n">
        <v/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11</v>
      </c>
      <c r="M1705" t="inlineStr">
        <is>
          <t>FFFF0000</t>
        </is>
      </c>
      <c r="N1705" t="inlineStr">
        <is>
          <t>00000000</t>
        </is>
      </c>
      <c r="O1705" t="n">
        <v/>
      </c>
      <c r="R1705" t="b">
        <v>0</v>
      </c>
      <c r="S1705" t="n">
        <v/>
      </c>
      <c r="T1705" t="n">
        <v/>
      </c>
      <c r="U1705" t="n">
        <v/>
      </c>
      <c r="V1705" t="b">
        <v>0</v>
      </c>
      <c r="W1705" t="inlineStr"/>
      <c r="X1705" t="n">
        <v/>
      </c>
    </row>
    <row r="1706">
      <c r="A1706" t="inlineStr">
        <is>
          <t>ATF Fuel 2</t>
        </is>
      </c>
      <c r="B1706" t="inlineStr">
        <is>
          <t>E103</t>
        </is>
      </c>
      <c r="C1706" t="n">
        <v>103</v>
      </c>
      <c r="D1706" t="n">
        <v>5</v>
      </c>
      <c r="E1706" t="inlineStr">
        <is>
          <t>Input</t>
        </is>
      </c>
      <c r="F1706" t="n">
        <v/>
      </c>
      <c r="G1706" t="inlineStr">
        <is>
          <t>Year</t>
        </is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11</v>
      </c>
      <c r="M1706" t="inlineStr">
        <is>
          <t>Values must be of type &lt;class 'str'&gt;</t>
        </is>
      </c>
      <c r="N1706" t="inlineStr">
        <is>
          <t>00000000</t>
        </is>
      </c>
      <c r="O1706" t="inlineStr">
        <is>
          <t>center</t>
        </is>
      </c>
      <c r="R1706" t="b">
        <v>1</v>
      </c>
      <c r="S1706" t="n">
        <v/>
      </c>
      <c r="T1706" t="n">
        <v/>
      </c>
      <c r="U1706" t="n">
        <v/>
      </c>
      <c r="V1706" t="b">
        <v>0</v>
      </c>
      <c r="W1706" t="inlineStr"/>
      <c r="X1706" t="n">
        <v/>
      </c>
    </row>
    <row r="1707">
      <c r="A1707" t="inlineStr">
        <is>
          <t>ATF Fuel 2</t>
        </is>
      </c>
      <c r="B1707" t="inlineStr">
        <is>
          <t>F103</t>
        </is>
      </c>
      <c r="C1707" t="n">
        <v>103</v>
      </c>
      <c r="D1707" t="n">
        <v>6</v>
      </c>
      <c r="E1707" t="inlineStr">
        <is>
          <t>Input</t>
        </is>
      </c>
      <c r="F1707" t="n">
        <v/>
      </c>
      <c r="G1707" t="inlineStr">
        <is>
          <t>USD/INR E</t>
        </is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11</v>
      </c>
      <c r="M1707" t="inlineStr">
        <is>
          <t>Values must be of type &lt;class 'str'&gt;</t>
        </is>
      </c>
      <c r="N1707" t="inlineStr">
        <is>
          <t>00000000</t>
        </is>
      </c>
      <c r="O1707" t="inlineStr">
        <is>
          <t>center</t>
        </is>
      </c>
      <c r="R1707" t="b">
        <v>1</v>
      </c>
      <c r="S1707" t="n">
        <v/>
      </c>
      <c r="T1707" t="n">
        <v/>
      </c>
      <c r="U1707" t="n">
        <v/>
      </c>
      <c r="V1707" t="b">
        <v>0</v>
      </c>
      <c r="W1707" t="inlineStr"/>
      <c r="X1707" t="n">
        <v/>
      </c>
    </row>
    <row r="1708">
      <c r="A1708" t="inlineStr">
        <is>
          <t>ATF Fuel 2</t>
        </is>
      </c>
      <c r="B1708" t="inlineStr">
        <is>
          <t>G103</t>
        </is>
      </c>
      <c r="C1708" t="n">
        <v>103</v>
      </c>
      <c r="D1708" t="n">
        <v>7</v>
      </c>
      <c r="E1708" t="inlineStr">
        <is>
          <t>Input</t>
        </is>
      </c>
      <c r="F1708" t="n">
        <v/>
      </c>
      <c r="G1708" t="inlineStr">
        <is>
          <t>Brent ($) E</t>
        </is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11</v>
      </c>
      <c r="M1708" t="inlineStr">
        <is>
          <t>Values must be of type &lt;class 'str'&gt;</t>
        </is>
      </c>
      <c r="N1708" t="inlineStr">
        <is>
          <t>00000000</t>
        </is>
      </c>
      <c r="O1708" t="inlineStr">
        <is>
          <t>center</t>
        </is>
      </c>
      <c r="R1708" t="b">
        <v>1</v>
      </c>
      <c r="S1708" t="n">
        <v/>
      </c>
      <c r="T1708" t="n">
        <v/>
      </c>
      <c r="U1708" t="n">
        <v/>
      </c>
      <c r="V1708" t="b">
        <v>0</v>
      </c>
      <c r="W1708" t="inlineStr"/>
      <c r="X1708" t="n">
        <v/>
      </c>
    </row>
    <row r="1709">
      <c r="A1709" t="inlineStr">
        <is>
          <t>ATF Fuel 2</t>
        </is>
      </c>
      <c r="B1709" t="inlineStr">
        <is>
          <t>H103</t>
        </is>
      </c>
      <c r="C1709" t="n">
        <v>103</v>
      </c>
      <c r="D1709" t="n">
        <v>8</v>
      </c>
      <c r="E1709" t="inlineStr">
        <is>
          <t>Input</t>
        </is>
      </c>
      <c r="F1709" t="n">
        <v/>
      </c>
      <c r="G1709" t="inlineStr">
        <is>
          <t>USD/INR * Brent ($)</t>
        </is>
      </c>
      <c r="H1709" t="inlineStr"/>
      <c r="I1709" t="inlineStr">
        <is>
          <t>General</t>
        </is>
      </c>
      <c r="J1709" t="b">
        <v>0</v>
      </c>
      <c r="K1709" t="b">
        <v>0</v>
      </c>
      <c r="L1709" t="n">
        <v>11</v>
      </c>
      <c r="M1709" t="inlineStr">
        <is>
          <t>Values must be of type &lt;class 'str'&gt;</t>
        </is>
      </c>
      <c r="N1709" t="inlineStr">
        <is>
          <t>00000000</t>
        </is>
      </c>
      <c r="O1709" t="inlineStr">
        <is>
          <t>center</t>
        </is>
      </c>
      <c r="R1709" t="b">
        <v>1</v>
      </c>
      <c r="S1709" t="n">
        <v/>
      </c>
      <c r="T1709" t="n">
        <v/>
      </c>
      <c r="U1709" t="n">
        <v/>
      </c>
      <c r="V1709" t="b">
        <v>0</v>
      </c>
      <c r="W1709" t="inlineStr"/>
      <c r="X1709" t="n">
        <v/>
      </c>
    </row>
    <row r="1710">
      <c r="A1710" t="inlineStr">
        <is>
          <t>ATF Fuel 2</t>
        </is>
      </c>
      <c r="B1710" t="inlineStr">
        <is>
          <t>I103</t>
        </is>
      </c>
      <c r="C1710" t="n">
        <v>103</v>
      </c>
      <c r="D1710" t="n">
        <v>9</v>
      </c>
      <c r="E1710" t="inlineStr">
        <is>
          <t>Input</t>
        </is>
      </c>
      <c r="F1710" t="n">
        <v/>
      </c>
      <c r="G1710" t="inlineStr">
        <is>
          <t>Change (%)</t>
        </is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11</v>
      </c>
      <c r="M1710" t="inlineStr">
        <is>
          <t>Values must be of type &lt;class 'str'&gt;</t>
        </is>
      </c>
      <c r="N1710" t="inlineStr">
        <is>
          <t>00000000</t>
        </is>
      </c>
      <c r="O1710" t="inlineStr">
        <is>
          <t>center</t>
        </is>
      </c>
      <c r="R1710" t="b">
        <v>1</v>
      </c>
      <c r="S1710" t="n">
        <v/>
      </c>
      <c r="T1710" t="n">
        <v/>
      </c>
      <c r="U1710" t="n">
        <v/>
      </c>
      <c r="V1710" t="b">
        <v>0</v>
      </c>
      <c r="W1710" t="inlineStr"/>
      <c r="X1710" t="n">
        <v/>
      </c>
    </row>
    <row r="1711">
      <c r="A1711" t="inlineStr">
        <is>
          <t>ATF Fuel 2</t>
        </is>
      </c>
      <c r="B1711" t="inlineStr">
        <is>
          <t>J103</t>
        </is>
      </c>
      <c r="C1711" t="n">
        <v>103</v>
      </c>
      <c r="D1711" t="n">
        <v>10</v>
      </c>
      <c r="E1711" t="inlineStr">
        <is>
          <t>Input</t>
        </is>
      </c>
      <c r="F1711" t="n">
        <v/>
      </c>
      <c r="G1711" t="inlineStr">
        <is>
          <t>ATF Forecast Price</t>
        </is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11</v>
      </c>
      <c r="M1711" t="inlineStr">
        <is>
          <t>Values must be of type &lt;class 'str'&gt;</t>
        </is>
      </c>
      <c r="N1711" t="inlineStr">
        <is>
          <t>00000000</t>
        </is>
      </c>
      <c r="O1711" t="inlineStr">
        <is>
          <t>center</t>
        </is>
      </c>
      <c r="R1711" t="b">
        <v>1</v>
      </c>
      <c r="S1711" t="n">
        <v/>
      </c>
      <c r="T1711" t="n">
        <v/>
      </c>
      <c r="U1711" t="n">
        <v/>
      </c>
      <c r="V1711" t="b">
        <v>0</v>
      </c>
      <c r="W1711" t="inlineStr"/>
      <c r="X1711" t="n">
        <v/>
      </c>
    </row>
    <row r="1712">
      <c r="A1712" t="inlineStr">
        <is>
          <t>ATF Fuel 2</t>
        </is>
      </c>
      <c r="B1712" t="inlineStr">
        <is>
          <t>E104</t>
        </is>
      </c>
      <c r="C1712" t="n">
        <v>104</v>
      </c>
      <c r="D1712" t="n">
        <v>5</v>
      </c>
      <c r="E1712" t="inlineStr">
        <is>
          <t>Input</t>
        </is>
      </c>
      <c r="F1712" t="n">
        <v/>
      </c>
      <c r="G1712" t="n">
        <v>2018</v>
      </c>
      <c r="H1712" t="inlineStr"/>
      <c r="I1712" t="inlineStr">
        <is>
          <t>General</t>
        </is>
      </c>
      <c r="J1712" t="b">
        <v>0</v>
      </c>
      <c r="K1712" t="b">
        <v>0</v>
      </c>
      <c r="L1712" t="n">
        <v>11</v>
      </c>
      <c r="M1712" t="inlineStr">
        <is>
          <t>Values must be of type &lt;class 'str'&gt;</t>
        </is>
      </c>
      <c r="N1712" t="inlineStr">
        <is>
          <t>00000000</t>
        </is>
      </c>
      <c r="O1712" t="inlineStr">
        <is>
          <t>center</t>
        </is>
      </c>
      <c r="R1712" t="b">
        <v>1</v>
      </c>
      <c r="S1712" t="n">
        <v/>
      </c>
      <c r="T1712" t="n">
        <v/>
      </c>
      <c r="U1712" t="n">
        <v/>
      </c>
      <c r="V1712" t="b">
        <v>0</v>
      </c>
      <c r="W1712" t="inlineStr"/>
      <c r="X1712" t="n">
        <v/>
      </c>
    </row>
    <row r="1713">
      <c r="A1713" t="inlineStr">
        <is>
          <t>ATF Fuel 2</t>
        </is>
      </c>
      <c r="B1713" t="inlineStr">
        <is>
          <t>F104</t>
        </is>
      </c>
      <c r="C1713" t="n">
        <v>104</v>
      </c>
      <c r="D1713" t="n">
        <v>6</v>
      </c>
      <c r="E1713" t="inlineStr">
        <is>
          <t>Input</t>
        </is>
      </c>
      <c r="F1713" t="n">
        <v/>
      </c>
      <c r="G1713" t="n">
        <v>63</v>
      </c>
      <c r="H1713" t="inlineStr"/>
      <c r="I1713" t="inlineStr">
        <is>
          <t>General</t>
        </is>
      </c>
      <c r="J1713" t="b">
        <v>0</v>
      </c>
      <c r="K1713" t="b">
        <v>0</v>
      </c>
      <c r="L1713" t="n">
        <v>11</v>
      </c>
      <c r="M1713" t="inlineStr">
        <is>
          <t>Values must be of type &lt;class 'str'&gt;</t>
        </is>
      </c>
      <c r="N1713" t="inlineStr">
        <is>
          <t>00000000</t>
        </is>
      </c>
      <c r="O1713" t="inlineStr">
        <is>
          <t>center</t>
        </is>
      </c>
      <c r="R1713" t="b">
        <v>1</v>
      </c>
      <c r="S1713" t="n">
        <v/>
      </c>
      <c r="T1713" t="n">
        <v/>
      </c>
      <c r="U1713" t="n">
        <v/>
      </c>
      <c r="V1713" t="b">
        <v>0</v>
      </c>
      <c r="W1713" t="inlineStr"/>
      <c r="X1713" t="n">
        <v/>
      </c>
    </row>
    <row r="1714">
      <c r="A1714" t="inlineStr">
        <is>
          <t>ATF Fuel 2</t>
        </is>
      </c>
      <c r="B1714" t="inlineStr">
        <is>
          <t>G104</t>
        </is>
      </c>
      <c r="C1714" t="n">
        <v>104</v>
      </c>
      <c r="D1714" t="n">
        <v>7</v>
      </c>
      <c r="E1714" t="inlineStr">
        <is>
          <t>Input</t>
        </is>
      </c>
      <c r="F1714" t="n">
        <v/>
      </c>
      <c r="G1714" t="n">
        <v>67.5</v>
      </c>
      <c r="H1714" t="inlineStr"/>
      <c r="I1714" t="inlineStr">
        <is>
          <t>General</t>
        </is>
      </c>
      <c r="J1714" t="b">
        <v>0</v>
      </c>
      <c r="K1714" t="b">
        <v>0</v>
      </c>
      <c r="L1714" t="n">
        <v>11</v>
      </c>
      <c r="M1714" t="inlineStr">
        <is>
          <t>Values must be of type &lt;class 'str'&gt;</t>
        </is>
      </c>
      <c r="N1714" t="inlineStr">
        <is>
          <t>00000000</t>
        </is>
      </c>
      <c r="O1714" t="inlineStr">
        <is>
          <t>center</t>
        </is>
      </c>
      <c r="R1714" t="b">
        <v>1</v>
      </c>
      <c r="S1714" t="n">
        <v/>
      </c>
      <c r="T1714" t="n">
        <v/>
      </c>
      <c r="U1714" t="n">
        <v/>
      </c>
      <c r="V1714" t="b">
        <v>0</v>
      </c>
      <c r="W1714" t="inlineStr"/>
      <c r="X1714" t="n">
        <v/>
      </c>
    </row>
    <row r="1715">
      <c r="A1715" t="inlineStr">
        <is>
          <t>ATF Fuel 2</t>
        </is>
      </c>
      <c r="B1715" t="inlineStr">
        <is>
          <t>H104</t>
        </is>
      </c>
      <c r="C1715" t="n">
        <v>104</v>
      </c>
      <c r="D1715" t="n">
        <v>8</v>
      </c>
      <c r="E1715" t="inlineStr">
        <is>
          <t>Input</t>
        </is>
      </c>
      <c r="F1715" t="n">
        <v/>
      </c>
      <c r="G1715" t="n">
        <v>4252.5</v>
      </c>
      <c r="H1715" t="inlineStr"/>
      <c r="I1715" t="inlineStr">
        <is>
          <t>General</t>
        </is>
      </c>
      <c r="J1715" t="b">
        <v>0</v>
      </c>
      <c r="K1715" t="b">
        <v>0</v>
      </c>
      <c r="L1715" t="n">
        <v>11</v>
      </c>
      <c r="M1715" t="inlineStr">
        <is>
          <t>Values must be of type &lt;class 'str'&gt;</t>
        </is>
      </c>
      <c r="N1715" t="inlineStr">
        <is>
          <t>00000000</t>
        </is>
      </c>
      <c r="O1715" t="inlineStr">
        <is>
          <t>center</t>
        </is>
      </c>
      <c r="R1715" t="b">
        <v>1</v>
      </c>
      <c r="S1715" t="n">
        <v/>
      </c>
      <c r="T1715" t="n">
        <v/>
      </c>
      <c r="U1715" t="n">
        <v/>
      </c>
      <c r="V1715" t="b">
        <v>0</v>
      </c>
      <c r="W1715" t="inlineStr"/>
      <c r="X1715" t="n">
        <v/>
      </c>
    </row>
    <row r="1716">
      <c r="A1716" t="inlineStr">
        <is>
          <t>ATF Fuel 2</t>
        </is>
      </c>
      <c r="B1716" t="inlineStr">
        <is>
          <t>I104</t>
        </is>
      </c>
      <c r="C1716" t="n">
        <v>104</v>
      </c>
      <c r="D1716" t="n">
        <v>9</v>
      </c>
      <c r="E1716" t="inlineStr">
        <is>
          <t>Input</t>
        </is>
      </c>
      <c r="F1716" t="n">
        <v/>
      </c>
      <c r="G1716" t="n">
        <v>0.0357657147397219</v>
      </c>
      <c r="H1716" t="inlineStr"/>
      <c r="I1716" t="inlineStr">
        <is>
          <t>0.00%</t>
        </is>
      </c>
      <c r="J1716" t="b">
        <v>0</v>
      </c>
      <c r="K1716" t="b">
        <v>0</v>
      </c>
      <c r="L1716" t="n">
        <v>11</v>
      </c>
      <c r="M1716" t="inlineStr">
        <is>
          <t>Values must be of type &lt;class 'str'&gt;</t>
        </is>
      </c>
      <c r="N1716" t="inlineStr">
        <is>
          <t>00000000</t>
        </is>
      </c>
      <c r="O1716" t="inlineStr">
        <is>
          <t>center</t>
        </is>
      </c>
      <c r="R1716" t="b">
        <v>1</v>
      </c>
      <c r="S1716" t="n">
        <v/>
      </c>
      <c r="T1716" t="n">
        <v/>
      </c>
      <c r="U1716" t="n">
        <v/>
      </c>
      <c r="V1716" t="b">
        <v>0</v>
      </c>
      <c r="W1716" t="inlineStr"/>
      <c r="X1716" t="n">
        <v/>
      </c>
    </row>
    <row r="1717">
      <c r="A1717" t="inlineStr">
        <is>
          <t>ATF Fuel 2</t>
        </is>
      </c>
      <c r="B1717" t="inlineStr">
        <is>
          <t>J104</t>
        </is>
      </c>
      <c r="C1717" t="n">
        <v>104</v>
      </c>
      <c r="D1717" t="n">
        <v>10</v>
      </c>
      <c r="E1717" t="inlineStr">
        <is>
          <t>Input</t>
        </is>
      </c>
      <c r="F1717" t="n">
        <v/>
      </c>
      <c r="G1717" t="n">
        <v>61095.15856677986</v>
      </c>
      <c r="H1717" t="inlineStr"/>
      <c r="I1717" t="inlineStr">
        <is>
          <t>0</t>
        </is>
      </c>
      <c r="J1717" t="b">
        <v>0</v>
      </c>
      <c r="K1717" t="b">
        <v>0</v>
      </c>
      <c r="L1717" t="n">
        <v>11</v>
      </c>
      <c r="M1717" t="inlineStr">
        <is>
          <t>Values must be of type &lt;class 'str'&gt;</t>
        </is>
      </c>
      <c r="N1717" t="inlineStr">
        <is>
          <t>00000000</t>
        </is>
      </c>
      <c r="O1717" t="inlineStr">
        <is>
          <t>center</t>
        </is>
      </c>
      <c r="R1717" t="b">
        <v>1</v>
      </c>
      <c r="S1717" t="n">
        <v/>
      </c>
      <c r="T1717" t="n">
        <v/>
      </c>
      <c r="U1717" t="n">
        <v/>
      </c>
      <c r="V1717" t="b">
        <v>0</v>
      </c>
      <c r="W1717" t="inlineStr"/>
      <c r="X1717" t="n">
        <v/>
      </c>
    </row>
    <row r="1718">
      <c r="A1718" t="inlineStr">
        <is>
          <t>ATF Fuel 2</t>
        </is>
      </c>
      <c r="B1718" t="inlineStr">
        <is>
          <t>E105</t>
        </is>
      </c>
      <c r="C1718" t="n">
        <v>105</v>
      </c>
      <c r="D1718" t="n">
        <v>5</v>
      </c>
      <c r="E1718" t="inlineStr">
        <is>
          <t>Input</t>
        </is>
      </c>
      <c r="F1718" t="n">
        <v/>
      </c>
      <c r="G1718" t="n">
        <v>2019</v>
      </c>
      <c r="H1718" t="inlineStr"/>
      <c r="I1718" t="inlineStr">
        <is>
          <t>General</t>
        </is>
      </c>
      <c r="J1718" t="b">
        <v>0</v>
      </c>
      <c r="K1718" t="b">
        <v>0</v>
      </c>
      <c r="L1718" t="n">
        <v>11</v>
      </c>
      <c r="M1718" t="inlineStr">
        <is>
          <t>Values must be of type &lt;class 'str'&gt;</t>
        </is>
      </c>
      <c r="N1718" t="inlineStr">
        <is>
          <t>00000000</t>
        </is>
      </c>
      <c r="O1718" t="inlineStr">
        <is>
          <t>center</t>
        </is>
      </c>
      <c r="R1718" t="b">
        <v>1</v>
      </c>
      <c r="S1718" t="n">
        <v/>
      </c>
      <c r="T1718" t="n">
        <v/>
      </c>
      <c r="U1718" t="n">
        <v/>
      </c>
      <c r="V1718" t="b">
        <v>0</v>
      </c>
      <c r="W1718" t="inlineStr"/>
      <c r="X1718" t="n">
        <v/>
      </c>
    </row>
    <row r="1719">
      <c r="A1719" t="inlineStr">
        <is>
          <t>ATF Fuel 2</t>
        </is>
      </c>
      <c r="B1719" t="inlineStr">
        <is>
          <t>F105</t>
        </is>
      </c>
      <c r="C1719" t="n">
        <v>105</v>
      </c>
      <c r="D1719" t="n">
        <v>6</v>
      </c>
      <c r="E1719" t="inlineStr">
        <is>
          <t>Input</t>
        </is>
      </c>
      <c r="F1719" t="n">
        <v/>
      </c>
      <c r="G1719" t="n">
        <v>65</v>
      </c>
      <c r="H1719" t="inlineStr"/>
      <c r="I1719" t="inlineStr">
        <is>
          <t>General</t>
        </is>
      </c>
      <c r="J1719" t="b">
        <v>0</v>
      </c>
      <c r="K1719" t="b">
        <v>0</v>
      </c>
      <c r="L1719" t="n">
        <v>11</v>
      </c>
      <c r="M1719" t="inlineStr">
        <is>
          <t>Values must be of type &lt;class 'str'&gt;</t>
        </is>
      </c>
      <c r="N1719" t="inlineStr">
        <is>
          <t>00000000</t>
        </is>
      </c>
      <c r="O1719" t="inlineStr">
        <is>
          <t>center</t>
        </is>
      </c>
      <c r="R1719" t="b">
        <v>1</v>
      </c>
      <c r="S1719" t="n">
        <v/>
      </c>
      <c r="T1719" t="n">
        <v/>
      </c>
      <c r="U1719" t="n">
        <v/>
      </c>
      <c r="V1719" t="b">
        <v>0</v>
      </c>
      <c r="W1719" t="inlineStr"/>
      <c r="X1719" t="n">
        <v/>
      </c>
    </row>
    <row r="1720">
      <c r="A1720" t="inlineStr">
        <is>
          <t>ATF Fuel 2</t>
        </is>
      </c>
      <c r="B1720" t="inlineStr">
        <is>
          <t>G105</t>
        </is>
      </c>
      <c r="C1720" t="n">
        <v>105</v>
      </c>
      <c r="D1720" t="n">
        <v>7</v>
      </c>
      <c r="E1720" t="inlineStr">
        <is>
          <t>Input</t>
        </is>
      </c>
      <c r="F1720" t="n">
        <v/>
      </c>
      <c r="G1720" t="n">
        <v>70</v>
      </c>
      <c r="H1720" t="inlineStr"/>
      <c r="I1720" t="inlineStr">
        <is>
          <t>General</t>
        </is>
      </c>
      <c r="J1720" t="b">
        <v>0</v>
      </c>
      <c r="K1720" t="b">
        <v>0</v>
      </c>
      <c r="L1720" t="n">
        <v>11</v>
      </c>
      <c r="M1720" t="inlineStr">
        <is>
          <t>Values must be of type &lt;class 'str'&gt;</t>
        </is>
      </c>
      <c r="N1720" t="inlineStr">
        <is>
          <t>00000000</t>
        </is>
      </c>
      <c r="O1720" t="inlineStr">
        <is>
          <t>center</t>
        </is>
      </c>
      <c r="R1720" t="b">
        <v>1</v>
      </c>
      <c r="S1720" t="n">
        <v/>
      </c>
      <c r="T1720" t="n">
        <v/>
      </c>
      <c r="U1720" t="n">
        <v/>
      </c>
      <c r="V1720" t="b">
        <v>0</v>
      </c>
      <c r="W1720" t="inlineStr"/>
      <c r="X1720" t="n">
        <v/>
      </c>
    </row>
    <row r="1721">
      <c r="A1721" t="inlineStr">
        <is>
          <t>ATF Fuel 2</t>
        </is>
      </c>
      <c r="B1721" t="inlineStr">
        <is>
          <t>H105</t>
        </is>
      </c>
      <c r="C1721" t="n">
        <v>105</v>
      </c>
      <c r="D1721" t="n">
        <v>8</v>
      </c>
      <c r="E1721" t="inlineStr">
        <is>
          <t>Input</t>
        </is>
      </c>
      <c r="F1721" t="n">
        <v/>
      </c>
      <c r="G1721" t="n">
        <v>4550</v>
      </c>
      <c r="H1721" t="inlineStr"/>
      <c r="I1721" t="inlineStr">
        <is>
          <t>General</t>
        </is>
      </c>
      <c r="J1721" t="b">
        <v>0</v>
      </c>
      <c r="K1721" t="b">
        <v>0</v>
      </c>
      <c r="L1721" t="n">
        <v>11</v>
      </c>
      <c r="M1721" t="inlineStr">
        <is>
          <t>Values must be of type &lt;class 'str'&gt;</t>
        </is>
      </c>
      <c r="N1721" t="inlineStr">
        <is>
          <t>00000000</t>
        </is>
      </c>
      <c r="O1721" t="inlineStr">
        <is>
          <t>center</t>
        </is>
      </c>
      <c r="R1721" t="b">
        <v>1</v>
      </c>
      <c r="S1721" t="n">
        <v/>
      </c>
      <c r="T1721" t="n">
        <v/>
      </c>
      <c r="U1721" t="n">
        <v/>
      </c>
      <c r="V1721" t="b">
        <v>0</v>
      </c>
      <c r="W1721" t="inlineStr"/>
      <c r="X1721" t="n">
        <v/>
      </c>
    </row>
    <row r="1722">
      <c r="A1722" t="inlineStr">
        <is>
          <t>ATF Fuel 2</t>
        </is>
      </c>
      <c r="B1722" t="inlineStr">
        <is>
          <t>I105</t>
        </is>
      </c>
      <c r="C1722" t="n">
        <v>105</v>
      </c>
      <c r="D1722" t="n">
        <v>9</v>
      </c>
      <c r="E1722" t="inlineStr">
        <is>
          <t>Input</t>
        </is>
      </c>
      <c r="F1722" t="n">
        <v/>
      </c>
      <c r="G1722" t="n">
        <v>0.06995884773662553</v>
      </c>
      <c r="H1722" t="inlineStr"/>
      <c r="I1722" t="inlineStr">
        <is>
          <t>0.00%</t>
        </is>
      </c>
      <c r="J1722" t="b">
        <v>0</v>
      </c>
      <c r="K1722" t="b">
        <v>0</v>
      </c>
      <c r="L1722" t="n">
        <v>11</v>
      </c>
      <c r="M1722" t="inlineStr">
        <is>
          <t>Values must be of type &lt;class 'str'&gt;</t>
        </is>
      </c>
      <c r="N1722" t="inlineStr">
        <is>
          <t>00000000</t>
        </is>
      </c>
      <c r="O1722" t="inlineStr">
        <is>
          <t>center</t>
        </is>
      </c>
      <c r="R1722" t="b">
        <v>1</v>
      </c>
      <c r="S1722" t="n">
        <v/>
      </c>
      <c r="T1722" t="n">
        <v/>
      </c>
      <c r="U1722" t="n">
        <v/>
      </c>
      <c r="V1722" t="b">
        <v>0</v>
      </c>
      <c r="W1722" t="inlineStr"/>
      <c r="X1722" t="n">
        <v/>
      </c>
    </row>
    <row r="1723">
      <c r="A1723" t="inlineStr">
        <is>
          <t>ATF Fuel 2</t>
        </is>
      </c>
      <c r="B1723" t="inlineStr">
        <is>
          <t>J105</t>
        </is>
      </c>
      <c r="C1723" t="n">
        <v>105</v>
      </c>
      <c r="D1723" t="n">
        <v>10</v>
      </c>
      <c r="E1723" t="inlineStr">
        <is>
          <t>Input</t>
        </is>
      </c>
      <c r="F1723" t="n">
        <v/>
      </c>
      <c r="G1723" t="n">
        <v>63280.27058005739</v>
      </c>
      <c r="H1723" t="inlineStr"/>
      <c r="I1723" t="inlineStr">
        <is>
          <t>0</t>
        </is>
      </c>
      <c r="J1723" t="b">
        <v>0</v>
      </c>
      <c r="K1723" t="b">
        <v>0</v>
      </c>
      <c r="L1723" t="n">
        <v>11</v>
      </c>
      <c r="M1723" t="inlineStr">
        <is>
          <t>Values must be of type &lt;class 'str'&gt;</t>
        </is>
      </c>
      <c r="N1723" t="inlineStr">
        <is>
          <t>00000000</t>
        </is>
      </c>
      <c r="O1723" t="inlineStr">
        <is>
          <t>center</t>
        </is>
      </c>
      <c r="R1723" t="b">
        <v>1</v>
      </c>
      <c r="S1723" t="n">
        <v/>
      </c>
      <c r="T1723" t="n">
        <v/>
      </c>
      <c r="U1723" t="n">
        <v/>
      </c>
      <c r="V1723" t="b">
        <v>0</v>
      </c>
      <c r="W1723" t="inlineStr"/>
      <c r="X1723" t="n">
        <v/>
      </c>
    </row>
    <row r="1724">
      <c r="A1724" t="inlineStr">
        <is>
          <t>ATF Fuel 2</t>
        </is>
      </c>
      <c r="B1724" t="inlineStr">
        <is>
          <t>E106</t>
        </is>
      </c>
      <c r="C1724" t="n">
        <v>106</v>
      </c>
      <c r="D1724" t="n">
        <v>5</v>
      </c>
      <c r="E1724" t="inlineStr">
        <is>
          <t>Input</t>
        </is>
      </c>
      <c r="F1724" t="n">
        <v/>
      </c>
      <c r="G1724" t="n">
        <v>2020</v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11</v>
      </c>
      <c r="M1724" t="inlineStr">
        <is>
          <t>Values must be of type &lt;class 'str'&gt;</t>
        </is>
      </c>
      <c r="N1724" t="inlineStr">
        <is>
          <t>00000000</t>
        </is>
      </c>
      <c r="O1724" t="inlineStr">
        <is>
          <t>center</t>
        </is>
      </c>
      <c r="R1724" t="b">
        <v>1</v>
      </c>
      <c r="S1724" t="n">
        <v/>
      </c>
      <c r="T1724" t="n">
        <v/>
      </c>
      <c r="U1724" t="n">
        <v/>
      </c>
      <c r="V1724" t="b">
        <v>0</v>
      </c>
      <c r="W1724" t="inlineStr"/>
      <c r="X1724" t="n">
        <v/>
      </c>
    </row>
    <row r="1725">
      <c r="A1725" t="inlineStr">
        <is>
          <t>ATF Fuel 2</t>
        </is>
      </c>
      <c r="B1725" t="inlineStr">
        <is>
          <t>F106</t>
        </is>
      </c>
      <c r="C1725" t="n">
        <v>106</v>
      </c>
      <c r="D1725" t="n">
        <v>6</v>
      </c>
      <c r="E1725" t="inlineStr">
        <is>
          <t>Input</t>
        </is>
      </c>
      <c r="F1725" t="n">
        <v/>
      </c>
      <c r="G1725" t="n">
        <v>67</v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11</v>
      </c>
      <c r="M1725" t="inlineStr">
        <is>
          <t>Values must be of type &lt;class 'str'&gt;</t>
        </is>
      </c>
      <c r="N1725" t="inlineStr">
        <is>
          <t>00000000</t>
        </is>
      </c>
      <c r="O1725" t="inlineStr">
        <is>
          <t>center</t>
        </is>
      </c>
      <c r="R1725" t="b">
        <v>1</v>
      </c>
      <c r="S1725" t="n">
        <v/>
      </c>
      <c r="T1725" t="n">
        <v/>
      </c>
      <c r="U1725" t="n">
        <v/>
      </c>
      <c r="V1725" t="b">
        <v>0</v>
      </c>
      <c r="W1725" t="inlineStr"/>
      <c r="X1725" t="n">
        <v/>
      </c>
    </row>
    <row r="1726">
      <c r="A1726" t="inlineStr">
        <is>
          <t>ATF Fuel 2</t>
        </is>
      </c>
      <c r="B1726" t="inlineStr">
        <is>
          <t>G106</t>
        </is>
      </c>
      <c r="C1726" t="n">
        <v>106</v>
      </c>
      <c r="D1726" t="n">
        <v>7</v>
      </c>
      <c r="E1726" t="inlineStr">
        <is>
          <t>Input</t>
        </is>
      </c>
      <c r="F1726" t="n">
        <v/>
      </c>
      <c r="G1726" t="n">
        <v>70</v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11</v>
      </c>
      <c r="M1726" t="inlineStr">
        <is>
          <t>Values must be of type &lt;class 'str'&gt;</t>
        </is>
      </c>
      <c r="N1726" t="inlineStr">
        <is>
          <t>00000000</t>
        </is>
      </c>
      <c r="O1726" t="inlineStr">
        <is>
          <t>center</t>
        </is>
      </c>
      <c r="R1726" t="b">
        <v>1</v>
      </c>
      <c r="S1726" t="n">
        <v/>
      </c>
      <c r="T1726" t="n">
        <v/>
      </c>
      <c r="U1726" t="n">
        <v/>
      </c>
      <c r="V1726" t="b">
        <v>0</v>
      </c>
      <c r="W1726" t="inlineStr"/>
      <c r="X1726" t="n">
        <v/>
      </c>
    </row>
    <row r="1727">
      <c r="A1727" t="inlineStr">
        <is>
          <t>ATF Fuel 2</t>
        </is>
      </c>
      <c r="B1727" t="inlineStr">
        <is>
          <t>H106</t>
        </is>
      </c>
      <c r="C1727" t="n">
        <v>106</v>
      </c>
      <c r="D1727" t="n">
        <v>8</v>
      </c>
      <c r="E1727" t="inlineStr">
        <is>
          <t>Input</t>
        </is>
      </c>
      <c r="F1727" t="n">
        <v/>
      </c>
      <c r="G1727" t="n">
        <v>4690</v>
      </c>
      <c r="H1727" t="inlineStr"/>
      <c r="I1727" t="inlineStr">
        <is>
          <t>General</t>
        </is>
      </c>
      <c r="J1727" t="b">
        <v>0</v>
      </c>
      <c r="K1727" t="b">
        <v>0</v>
      </c>
      <c r="L1727" t="n">
        <v>11</v>
      </c>
      <c r="M1727" t="inlineStr">
        <is>
          <t>Values must be of type &lt;class 'str'&gt;</t>
        </is>
      </c>
      <c r="N1727" t="inlineStr">
        <is>
          <t>00000000</t>
        </is>
      </c>
      <c r="O1727" t="inlineStr">
        <is>
          <t>center</t>
        </is>
      </c>
      <c r="R1727" t="b">
        <v>1</v>
      </c>
      <c r="S1727" t="n">
        <v/>
      </c>
      <c r="T1727" t="n">
        <v/>
      </c>
      <c r="U1727" t="n">
        <v/>
      </c>
      <c r="V1727" t="b">
        <v>0</v>
      </c>
      <c r="W1727" t="inlineStr"/>
      <c r="X1727" t="n">
        <v/>
      </c>
    </row>
    <row r="1728">
      <c r="A1728" t="inlineStr">
        <is>
          <t>ATF Fuel 2</t>
        </is>
      </c>
      <c r="B1728" t="inlineStr">
        <is>
          <t>I106</t>
        </is>
      </c>
      <c r="C1728" t="n">
        <v>106</v>
      </c>
      <c r="D1728" t="n">
        <v>9</v>
      </c>
      <c r="E1728" t="inlineStr">
        <is>
          <t>Input</t>
        </is>
      </c>
      <c r="F1728" t="n">
        <v/>
      </c>
      <c r="G1728" t="n">
        <v>0.03076923076923066</v>
      </c>
      <c r="H1728" t="inlineStr"/>
      <c r="I1728" t="inlineStr">
        <is>
          <t>0.00%</t>
        </is>
      </c>
      <c r="J1728" t="b">
        <v>0</v>
      </c>
      <c r="K1728" t="b">
        <v>0</v>
      </c>
      <c r="L1728" t="n">
        <v>11</v>
      </c>
      <c r="M1728" t="inlineStr">
        <is>
          <t>Values must be of type &lt;class 'str'&gt;</t>
        </is>
      </c>
      <c r="N1728" t="inlineStr">
        <is>
          <t>00000000</t>
        </is>
      </c>
      <c r="O1728" t="inlineStr">
        <is>
          <t>center</t>
        </is>
      </c>
      <c r="R1728" t="b">
        <v>1</v>
      </c>
      <c r="S1728" t="n">
        <v/>
      </c>
      <c r="T1728" t="n">
        <v/>
      </c>
      <c r="U1728" t="n">
        <v/>
      </c>
      <c r="V1728" t="b">
        <v>0</v>
      </c>
      <c r="W1728" t="inlineStr"/>
      <c r="X1728" t="n">
        <v/>
      </c>
    </row>
    <row r="1729">
      <c r="A1729" t="inlineStr">
        <is>
          <t>ATF Fuel 2</t>
        </is>
      </c>
      <c r="B1729" t="inlineStr">
        <is>
          <t>J106</t>
        </is>
      </c>
      <c r="C1729" t="n">
        <v>106</v>
      </c>
      <c r="D1729" t="n">
        <v>10</v>
      </c>
      <c r="E1729" t="inlineStr">
        <is>
          <t>Input</t>
        </is>
      </c>
      <c r="F1729" t="n">
        <v/>
      </c>
      <c r="G1729" t="n">
        <v>65543.53468627614</v>
      </c>
      <c r="H1729" t="inlineStr"/>
      <c r="I1729" t="inlineStr">
        <is>
          <t>0</t>
        </is>
      </c>
      <c r="J1729" t="b">
        <v>0</v>
      </c>
      <c r="K1729" t="b">
        <v>0</v>
      </c>
      <c r="L1729" t="n">
        <v>11</v>
      </c>
      <c r="M1729" t="inlineStr">
        <is>
          <t>Values must be of type &lt;class 'str'&gt;</t>
        </is>
      </c>
      <c r="N1729" t="inlineStr">
        <is>
          <t>00000000</t>
        </is>
      </c>
      <c r="O1729" t="inlineStr">
        <is>
          <t>center</t>
        </is>
      </c>
      <c r="R1729" t="b">
        <v>1</v>
      </c>
      <c r="S1729" t="n">
        <v/>
      </c>
      <c r="T1729" t="n">
        <v/>
      </c>
      <c r="U1729" t="n">
        <v/>
      </c>
      <c r="V1729" t="b">
        <v>0</v>
      </c>
      <c r="W1729" t="inlineStr"/>
      <c r="X1729" t="n">
        <v/>
      </c>
    </row>
    <row r="1730">
      <c r="A1730" t="inlineStr">
        <is>
          <t>ATF Fuel 2</t>
        </is>
      </c>
      <c r="B1730" t="inlineStr">
        <is>
          <t>E107</t>
        </is>
      </c>
      <c r="C1730" t="n">
        <v>107</v>
      </c>
      <c r="D1730" t="n">
        <v>5</v>
      </c>
      <c r="E1730" t="inlineStr">
        <is>
          <t>Input</t>
        </is>
      </c>
      <c r="F1730" t="n">
        <v/>
      </c>
      <c r="G1730" t="n">
        <v>2021</v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11</v>
      </c>
      <c r="M1730" t="inlineStr">
        <is>
          <t>Values must be of type &lt;class 'str'&gt;</t>
        </is>
      </c>
      <c r="N1730" t="inlineStr">
        <is>
          <t>00000000</t>
        </is>
      </c>
      <c r="O1730" t="inlineStr">
        <is>
          <t>center</t>
        </is>
      </c>
      <c r="R1730" t="b">
        <v>1</v>
      </c>
      <c r="S1730" t="n">
        <v/>
      </c>
      <c r="T1730" t="n">
        <v/>
      </c>
      <c r="U1730" t="n">
        <v/>
      </c>
      <c r="V1730" t="b">
        <v>0</v>
      </c>
      <c r="W1730" t="inlineStr"/>
      <c r="X1730" t="n">
        <v/>
      </c>
    </row>
    <row r="1731">
      <c r="A1731" t="inlineStr">
        <is>
          <t>ATF Fuel 2</t>
        </is>
      </c>
      <c r="B1731" t="inlineStr">
        <is>
          <t>F107</t>
        </is>
      </c>
      <c r="C1731" t="n">
        <v>107</v>
      </c>
      <c r="D1731" t="n">
        <v>6</v>
      </c>
      <c r="E1731" t="inlineStr">
        <is>
          <t>Input</t>
        </is>
      </c>
      <c r="F1731" t="n">
        <v/>
      </c>
      <c r="G1731" t="n">
        <v>69</v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11</v>
      </c>
      <c r="M1731" t="inlineStr">
        <is>
          <t>Values must be of type &lt;class 'str'&gt;</t>
        </is>
      </c>
      <c r="N1731" t="inlineStr">
        <is>
          <t>00000000</t>
        </is>
      </c>
      <c r="O1731" t="inlineStr">
        <is>
          <t>center</t>
        </is>
      </c>
      <c r="R1731" t="b">
        <v>1</v>
      </c>
      <c r="S1731" t="n">
        <v/>
      </c>
      <c r="T1731" t="n">
        <v/>
      </c>
      <c r="U1731" t="n">
        <v/>
      </c>
      <c r="V1731" t="b">
        <v>0</v>
      </c>
      <c r="W1731" t="inlineStr"/>
      <c r="X1731" t="n">
        <v/>
      </c>
    </row>
    <row r="1732">
      <c r="A1732" t="inlineStr">
        <is>
          <t>ATF Fuel 2</t>
        </is>
      </c>
      <c r="B1732" t="inlineStr">
        <is>
          <t>G107</t>
        </is>
      </c>
      <c r="C1732" t="n">
        <v>107</v>
      </c>
      <c r="D1732" t="n">
        <v>7</v>
      </c>
      <c r="E1732" t="inlineStr">
        <is>
          <t>Input</t>
        </is>
      </c>
      <c r="F1732" t="n">
        <v/>
      </c>
      <c r="G1732" t="n">
        <v>70</v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11</v>
      </c>
      <c r="M1732" t="inlineStr">
        <is>
          <t>Values must be of type &lt;class 'str'&gt;</t>
        </is>
      </c>
      <c r="N1732" t="inlineStr">
        <is>
          <t>00000000</t>
        </is>
      </c>
      <c r="O1732" t="inlineStr">
        <is>
          <t>center</t>
        </is>
      </c>
      <c r="R1732" t="b">
        <v>1</v>
      </c>
      <c r="S1732" t="n">
        <v/>
      </c>
      <c r="T1732" t="n">
        <v/>
      </c>
      <c r="U1732" t="n">
        <v/>
      </c>
      <c r="V1732" t="b">
        <v>0</v>
      </c>
      <c r="W1732" t="inlineStr"/>
      <c r="X1732" t="n">
        <v/>
      </c>
    </row>
    <row r="1733">
      <c r="A1733" t="inlineStr">
        <is>
          <t>ATF Fuel 2</t>
        </is>
      </c>
      <c r="B1733" t="inlineStr">
        <is>
          <t>H107</t>
        </is>
      </c>
      <c r="C1733" t="n">
        <v>107</v>
      </c>
      <c r="D1733" t="n">
        <v>8</v>
      </c>
      <c r="E1733" t="inlineStr">
        <is>
          <t>Input</t>
        </is>
      </c>
      <c r="F1733" t="n">
        <v/>
      </c>
      <c r="G1733" t="n">
        <v>4830</v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11</v>
      </c>
      <c r="M1733" t="inlineStr">
        <is>
          <t>Values must be of type &lt;class 'str'&gt;</t>
        </is>
      </c>
      <c r="N1733" t="inlineStr">
        <is>
          <t>00000000</t>
        </is>
      </c>
      <c r="O1733" t="inlineStr">
        <is>
          <t>center</t>
        </is>
      </c>
      <c r="R1733" t="b">
        <v>1</v>
      </c>
      <c r="S1733" t="n">
        <v/>
      </c>
      <c r="T1733" t="n">
        <v/>
      </c>
      <c r="U1733" t="n">
        <v/>
      </c>
      <c r="V1733" t="b">
        <v>0</v>
      </c>
      <c r="W1733" t="inlineStr"/>
      <c r="X1733" t="n">
        <v/>
      </c>
    </row>
    <row r="1734">
      <c r="A1734" t="inlineStr">
        <is>
          <t>ATF Fuel 2</t>
        </is>
      </c>
      <c r="B1734" t="inlineStr">
        <is>
          <t>I107</t>
        </is>
      </c>
      <c r="C1734" t="n">
        <v>107</v>
      </c>
      <c r="D1734" t="n">
        <v>9</v>
      </c>
      <c r="E1734" t="inlineStr">
        <is>
          <t>Input</t>
        </is>
      </c>
      <c r="F1734" t="n">
        <v/>
      </c>
      <c r="G1734" t="n">
        <v>0.0298507462686568</v>
      </c>
      <c r="H1734" t="inlineStr"/>
      <c r="I1734" t="inlineStr">
        <is>
          <t>0.00%</t>
        </is>
      </c>
      <c r="J1734" t="b">
        <v>0</v>
      </c>
      <c r="K1734" t="b">
        <v>0</v>
      </c>
      <c r="L1734" t="n">
        <v>11</v>
      </c>
      <c r="M1734" t="inlineStr">
        <is>
          <t>Values must be of type &lt;class 'str'&gt;</t>
        </is>
      </c>
      <c r="N1734" t="inlineStr">
        <is>
          <t>00000000</t>
        </is>
      </c>
      <c r="O1734" t="inlineStr">
        <is>
          <t>center</t>
        </is>
      </c>
      <c r="R1734" t="b">
        <v>1</v>
      </c>
      <c r="S1734" t="n">
        <v/>
      </c>
      <c r="T1734" t="n">
        <v/>
      </c>
      <c r="U1734" t="n">
        <v/>
      </c>
      <c r="V1734" t="b">
        <v>0</v>
      </c>
      <c r="W1734" t="inlineStr"/>
      <c r="X1734" t="n">
        <v/>
      </c>
    </row>
    <row r="1735">
      <c r="A1735" t="inlineStr">
        <is>
          <t>ATF Fuel 2</t>
        </is>
      </c>
      <c r="B1735" t="inlineStr">
        <is>
          <t>J107</t>
        </is>
      </c>
      <c r="C1735" t="n">
        <v>107</v>
      </c>
      <c r="D1735" t="n">
        <v>10</v>
      </c>
      <c r="E1735" t="inlineStr">
        <is>
          <t>Input</t>
        </is>
      </c>
      <c r="F1735" t="n">
        <v/>
      </c>
      <c r="G1735" t="n">
        <v>67887.74605089855</v>
      </c>
      <c r="H1735" t="inlineStr"/>
      <c r="I1735" t="inlineStr">
        <is>
          <t>0</t>
        </is>
      </c>
      <c r="J1735" t="b">
        <v>0</v>
      </c>
      <c r="K1735" t="b">
        <v>0</v>
      </c>
      <c r="L1735" t="n">
        <v>11</v>
      </c>
      <c r="M1735" t="inlineStr">
        <is>
          <t>Values must be of type &lt;class 'str'&gt;</t>
        </is>
      </c>
      <c r="N1735" t="inlineStr">
        <is>
          <t>00000000</t>
        </is>
      </c>
      <c r="O1735" t="inlineStr">
        <is>
          <t>center</t>
        </is>
      </c>
      <c r="R1735" t="b">
        <v>1</v>
      </c>
      <c r="S1735" t="n">
        <v/>
      </c>
      <c r="T1735" t="n">
        <v/>
      </c>
      <c r="U1735" t="n">
        <v/>
      </c>
      <c r="V1735" t="b">
        <v>0</v>
      </c>
      <c r="W1735" t="inlineStr"/>
      <c r="X1735" t="n">
        <v/>
      </c>
    </row>
    <row r="1736">
      <c r="A1736" t="inlineStr">
        <is>
          <t>ATF Fuel 2</t>
        </is>
      </c>
      <c r="B1736" t="inlineStr">
        <is>
          <t>E108</t>
        </is>
      </c>
      <c r="C1736" t="n">
        <v>108</v>
      </c>
      <c r="D1736" t="n">
        <v>5</v>
      </c>
      <c r="E1736" t="inlineStr">
        <is>
          <t>Input</t>
        </is>
      </c>
      <c r="F1736" t="n">
        <v/>
      </c>
      <c r="G1736" t="n">
        <v>2022</v>
      </c>
      <c r="H1736" t="inlineStr"/>
      <c r="I1736" t="inlineStr">
        <is>
          <t>General</t>
        </is>
      </c>
      <c r="J1736" t="b">
        <v>0</v>
      </c>
      <c r="K1736" t="b">
        <v>0</v>
      </c>
      <c r="L1736" t="n">
        <v>11</v>
      </c>
      <c r="M1736" t="inlineStr">
        <is>
          <t>Values must be of type &lt;class 'str'&gt;</t>
        </is>
      </c>
      <c r="N1736" t="inlineStr">
        <is>
          <t>00000000</t>
        </is>
      </c>
      <c r="O1736" t="inlineStr">
        <is>
          <t>center</t>
        </is>
      </c>
      <c r="R1736" t="b">
        <v>1</v>
      </c>
      <c r="S1736" t="n">
        <v/>
      </c>
      <c r="T1736" t="n">
        <v/>
      </c>
      <c r="U1736" t="n">
        <v/>
      </c>
      <c r="V1736" t="b">
        <v>0</v>
      </c>
      <c r="W1736" t="inlineStr"/>
      <c r="X1736" t="n">
        <v/>
      </c>
    </row>
    <row r="1737">
      <c r="A1737" t="inlineStr">
        <is>
          <t>ATF Fuel 2</t>
        </is>
      </c>
      <c r="B1737" t="inlineStr">
        <is>
          <t>F108</t>
        </is>
      </c>
      <c r="C1737" t="n">
        <v>108</v>
      </c>
      <c r="D1737" t="n">
        <v>6</v>
      </c>
      <c r="E1737" t="inlineStr">
        <is>
          <t>Input</t>
        </is>
      </c>
      <c r="F1737" t="n">
        <v/>
      </c>
      <c r="G1737" t="n">
        <v>71</v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11</v>
      </c>
      <c r="M1737" t="inlineStr">
        <is>
          <t>Values must be of type &lt;class 'str'&gt;</t>
        </is>
      </c>
      <c r="N1737" t="inlineStr">
        <is>
          <t>00000000</t>
        </is>
      </c>
      <c r="O1737" t="inlineStr">
        <is>
          <t>center</t>
        </is>
      </c>
      <c r="R1737" t="b">
        <v>1</v>
      </c>
      <c r="S1737" t="n">
        <v/>
      </c>
      <c r="T1737" t="n">
        <v/>
      </c>
      <c r="U1737" t="n">
        <v/>
      </c>
      <c r="V1737" t="b">
        <v>0</v>
      </c>
      <c r="W1737" t="inlineStr"/>
      <c r="X1737" t="n">
        <v/>
      </c>
    </row>
    <row r="1738">
      <c r="A1738" t="inlineStr">
        <is>
          <t>ATF Fuel 2</t>
        </is>
      </c>
      <c r="B1738" t="inlineStr">
        <is>
          <t>G108</t>
        </is>
      </c>
      <c r="C1738" t="n">
        <v>108</v>
      </c>
      <c r="D1738" t="n">
        <v>7</v>
      </c>
      <c r="E1738" t="inlineStr">
        <is>
          <t>Input</t>
        </is>
      </c>
      <c r="F1738" t="n">
        <v/>
      </c>
      <c r="G1738" t="n">
        <v>70</v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11</v>
      </c>
      <c r="M1738" t="inlineStr">
        <is>
          <t>Values must be of type &lt;class 'str'&gt;</t>
        </is>
      </c>
      <c r="N1738" t="inlineStr">
        <is>
          <t>00000000</t>
        </is>
      </c>
      <c r="O1738" t="inlineStr">
        <is>
          <t>center</t>
        </is>
      </c>
      <c r="R1738" t="b">
        <v>1</v>
      </c>
      <c r="S1738" t="n">
        <v/>
      </c>
      <c r="T1738" t="n">
        <v/>
      </c>
      <c r="U1738" t="n">
        <v/>
      </c>
      <c r="V1738" t="b">
        <v>0</v>
      </c>
      <c r="W1738" t="inlineStr"/>
      <c r="X1738" t="n">
        <v/>
      </c>
    </row>
    <row r="1739">
      <c r="A1739" t="inlineStr">
        <is>
          <t>ATF Fuel 2</t>
        </is>
      </c>
      <c r="B1739" t="inlineStr">
        <is>
          <t>H108</t>
        </is>
      </c>
      <c r="C1739" t="n">
        <v>108</v>
      </c>
      <c r="D1739" t="n">
        <v>8</v>
      </c>
      <c r="E1739" t="inlineStr">
        <is>
          <t>Input</t>
        </is>
      </c>
      <c r="F1739" t="n">
        <v/>
      </c>
      <c r="G1739" t="n">
        <v>4970</v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11</v>
      </c>
      <c r="M1739" t="inlineStr">
        <is>
          <t>Values must be of type &lt;class 'str'&gt;</t>
        </is>
      </c>
      <c r="N1739" t="inlineStr">
        <is>
          <t>00000000</t>
        </is>
      </c>
      <c r="O1739" t="inlineStr">
        <is>
          <t>center</t>
        </is>
      </c>
      <c r="R1739" t="b">
        <v>1</v>
      </c>
      <c r="S1739" t="n">
        <v/>
      </c>
      <c r="T1739" t="n">
        <v/>
      </c>
      <c r="U1739" t="n">
        <v/>
      </c>
      <c r="V1739" t="b">
        <v>0</v>
      </c>
      <c r="W1739" t="inlineStr"/>
      <c r="X1739" t="n">
        <v/>
      </c>
    </row>
    <row r="1740">
      <c r="A1740" t="inlineStr">
        <is>
          <t>ATF Fuel 2</t>
        </is>
      </c>
      <c r="B1740" t="inlineStr">
        <is>
          <t>I108</t>
        </is>
      </c>
      <c r="C1740" t="n">
        <v>108</v>
      </c>
      <c r="D1740" t="n">
        <v>9</v>
      </c>
      <c r="E1740" t="inlineStr">
        <is>
          <t>Input</t>
        </is>
      </c>
      <c r="F1740" t="n">
        <v/>
      </c>
      <c r="G1740" t="n">
        <v>0.02898550724637672</v>
      </c>
      <c r="H1740" t="inlineStr"/>
      <c r="I1740" t="inlineStr">
        <is>
          <t>0.00%</t>
        </is>
      </c>
      <c r="J1740" t="b">
        <v>0</v>
      </c>
      <c r="K1740" t="b">
        <v>0</v>
      </c>
      <c r="L1740" t="n">
        <v>11</v>
      </c>
      <c r="M1740" t="inlineStr">
        <is>
          <t>Values must be of type &lt;class 'str'&gt;</t>
        </is>
      </c>
      <c r="N1740" t="inlineStr">
        <is>
          <t>00000000</t>
        </is>
      </c>
      <c r="O1740" t="inlineStr">
        <is>
          <t>center</t>
        </is>
      </c>
      <c r="R1740" t="b">
        <v>1</v>
      </c>
      <c r="S1740" t="n">
        <v/>
      </c>
      <c r="T1740" t="n">
        <v/>
      </c>
      <c r="U1740" t="n">
        <v/>
      </c>
      <c r="V1740" t="b">
        <v>0</v>
      </c>
      <c r="W1740" t="inlineStr"/>
      <c r="X1740" t="n">
        <v/>
      </c>
    </row>
    <row r="1741">
      <c r="A1741" t="inlineStr">
        <is>
          <t>ATF Fuel 2</t>
        </is>
      </c>
      <c r="B1741" t="inlineStr">
        <is>
          <t>J108</t>
        </is>
      </c>
      <c r="C1741" t="n">
        <v>108</v>
      </c>
      <c r="D1741" t="n">
        <v>10</v>
      </c>
      <c r="E1741" t="inlineStr">
        <is>
          <t>Input</t>
        </is>
      </c>
      <c r="F1741" t="n">
        <v/>
      </c>
      <c r="G1741" t="n">
        <v>70315.79981047768</v>
      </c>
      <c r="H1741" t="inlineStr"/>
      <c r="I1741" t="inlineStr">
        <is>
          <t>0</t>
        </is>
      </c>
      <c r="J1741" t="b">
        <v>0</v>
      </c>
      <c r="K1741" t="b">
        <v>0</v>
      </c>
      <c r="L1741" t="n">
        <v>11</v>
      </c>
      <c r="M1741" t="inlineStr">
        <is>
          <t>Values must be of type &lt;class 'str'&gt;</t>
        </is>
      </c>
      <c r="N1741" t="inlineStr">
        <is>
          <t>00000000</t>
        </is>
      </c>
      <c r="O1741" t="inlineStr">
        <is>
          <t>center</t>
        </is>
      </c>
      <c r="R1741" t="b">
        <v>1</v>
      </c>
      <c r="S1741" t="n">
        <v/>
      </c>
      <c r="T1741" t="n">
        <v/>
      </c>
      <c r="U1741" t="n">
        <v/>
      </c>
      <c r="V1741" t="b">
        <v>0</v>
      </c>
      <c r="W1741" t="inlineStr"/>
      <c r="X1741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Balance sheet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Balance sheet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Balance sheet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Balance sheet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Balance sheet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Balance sheet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Balance sheet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Balance sheet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Balance sheet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Balance sheet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Balance sheet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Balance sheet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Balance sheet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Balance sheet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Balance sheet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Balance sheet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Balance sheet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Balance sheet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Balance sheet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Balance sheet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Balance sheet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Balance sheet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Balance sheet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Balance sheet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Balance sheet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Balance sheet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Balance sheet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FF0B0280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Balance sheet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G000169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Balance sheet!E5:O5</t>
        </is>
      </c>
      <c r="X29">
        <f>EOMONTH(R[0]C[-1],12)</f>
        <v/>
      </c>
    </row>
    <row r="30">
      <c r="A30" t="inlineStr">
        <is>
          <t>Balance sheet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G000169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Balance sheet!E5:O5</t>
        </is>
      </c>
      <c r="X30">
        <f>EOMONTH(R[0]C[-1],12)</f>
        <v/>
      </c>
    </row>
    <row r="31">
      <c r="A31" t="inlineStr">
        <is>
          <t>Balance sheet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G000169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Balance sheet!E5:O5</t>
        </is>
      </c>
      <c r="X31">
        <f>EOMONTH(R[0]C[-1],12)</f>
        <v/>
      </c>
    </row>
    <row r="32">
      <c r="A32" t="inlineStr">
        <is>
          <t>Balance sheet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G000169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Balance sheet!E5:O5</t>
        </is>
      </c>
      <c r="X32">
        <f>EOMONTH(R[0]C[-1],12)</f>
        <v/>
      </c>
    </row>
    <row r="33">
      <c r="A33" t="inlineStr">
        <is>
          <t>Balance sheet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G000169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Balance sheet!E5:O5</t>
        </is>
      </c>
      <c r="X33">
        <f>EOMONTH(R[0]C[-1],12)</f>
        <v/>
      </c>
    </row>
    <row r="34">
      <c r="A34" t="inlineStr">
        <is>
          <t>Balance sheet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G000169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Balance sheet!E5:O5</t>
        </is>
      </c>
      <c r="X34">
        <f>EOMONTH(R[0]C[-1],12)</f>
        <v/>
      </c>
    </row>
    <row r="35">
      <c r="A35" t="inlineStr">
        <is>
          <t>Balance sheet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G000169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Balance sheet!E5:O5</t>
        </is>
      </c>
      <c r="X35">
        <f>EOMONTH(R[0]C[-1],12)</f>
        <v/>
      </c>
    </row>
    <row r="36">
      <c r="A36" t="inlineStr">
        <is>
          <t>Balance sheet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G000169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Balance sheet!E5:O5</t>
        </is>
      </c>
      <c r="X36">
        <f>EOMONTH(R[0]C[-1],12)</f>
        <v/>
      </c>
    </row>
    <row r="37">
      <c r="A37" t="inlineStr">
        <is>
          <t>Balance sheet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G000169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Balance sheet!E5:O5</t>
        </is>
      </c>
      <c r="X37">
        <f>EOMONTH(R[0]C[-1],12)</f>
        <v/>
      </c>
    </row>
    <row r="38">
      <c r="A38" t="inlineStr">
        <is>
          <t>Balance sheet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G000169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Balance sheet!E5:O5</t>
        </is>
      </c>
      <c r="X38">
        <f>EOMONTH(R[0]C[-1],12)</f>
        <v/>
      </c>
    </row>
    <row r="39">
      <c r="A39" t="inlineStr">
        <is>
          <t>Balance sheet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G000169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Balance sheet!E5:O5</t>
        </is>
      </c>
      <c r="X39">
        <f>EOMONTH(R[0]C[-1],12)</f>
        <v/>
      </c>
    </row>
    <row r="40">
      <c r="A40" t="inlineStr">
        <is>
          <t>Balance sheet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Balance sheet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Balance sheet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G000170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Balance sheet!D6:O6</t>
        </is>
      </c>
      <c r="X42">
        <f>YEAR(R[-1]C[0])</f>
        <v/>
      </c>
    </row>
    <row r="43">
      <c r="A43" t="inlineStr">
        <is>
          <t>Balance sheet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G000170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Balance sheet!D6:O6</t>
        </is>
      </c>
      <c r="X43">
        <f>YEAR(R[-1]C[0])</f>
        <v/>
      </c>
    </row>
    <row r="44">
      <c r="A44" t="inlineStr">
        <is>
          <t>Balance sheet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G000170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Balance sheet!D6:O6</t>
        </is>
      </c>
      <c r="X44">
        <f>YEAR(R[-1]C[0])</f>
        <v/>
      </c>
    </row>
    <row r="45">
      <c r="A45" t="inlineStr">
        <is>
          <t>Balance sheet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G000170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Balance sheet!D6:O6</t>
        </is>
      </c>
      <c r="X45">
        <f>YEAR(R[-1]C[0])</f>
        <v/>
      </c>
    </row>
    <row r="46">
      <c r="A46" t="inlineStr">
        <is>
          <t>Balance sheet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G000170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Balance sheet!D6:O6</t>
        </is>
      </c>
      <c r="X46">
        <f>YEAR(R[-1]C[0])</f>
        <v/>
      </c>
    </row>
    <row r="47">
      <c r="A47" t="inlineStr">
        <is>
          <t>Balance sheet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G000170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Balance sheet!D6:O6</t>
        </is>
      </c>
      <c r="X47">
        <f>YEAR(R[-1]C[0])</f>
        <v/>
      </c>
    </row>
    <row r="48">
      <c r="A48" t="inlineStr">
        <is>
          <t>Balance sheet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G000170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Balance sheet!D6:O6</t>
        </is>
      </c>
      <c r="X48">
        <f>YEAR(R[-1]C[0])</f>
        <v/>
      </c>
    </row>
    <row r="49">
      <c r="A49" t="inlineStr">
        <is>
          <t>Balance sheet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G000170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Balance sheet!D6:O6</t>
        </is>
      </c>
      <c r="X49">
        <f>YEAR(R[-1]C[0])</f>
        <v/>
      </c>
    </row>
    <row r="50">
      <c r="A50" t="inlineStr">
        <is>
          <t>Balance sheet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G000170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Balance sheet!D6:O6</t>
        </is>
      </c>
      <c r="X50">
        <f>YEAR(R[-1]C[0])</f>
        <v/>
      </c>
    </row>
    <row r="51">
      <c r="A51" t="inlineStr">
        <is>
          <t>Balance sheet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G000170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Balance sheet!D6:O6</t>
        </is>
      </c>
      <c r="X51">
        <f>YEAR(R[-1]C[0])</f>
        <v/>
      </c>
    </row>
    <row r="52">
      <c r="A52" t="inlineStr">
        <is>
          <t>Balance sheet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G000170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Balance sheet!D6:O6</t>
        </is>
      </c>
      <c r="X52">
        <f>YEAR(R[-1]C[0])</f>
        <v/>
      </c>
    </row>
    <row r="53">
      <c r="A53" t="inlineStr">
        <is>
          <t>Balance sheet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G000170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Balance sheet!D6:O6</t>
        </is>
      </c>
      <c r="X53">
        <f>YEAR(R[-1]C[0])</f>
        <v/>
      </c>
    </row>
    <row r="54">
      <c r="A54" t="inlineStr">
        <is>
          <t>Balance sheet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Equity and Liabilities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Balance sheet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G55" t="inlineStr">
        <is>
          <t>Share capital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Balance sheet</t>
        </is>
      </c>
      <c r="B56" t="inlineStr">
        <is>
          <t>D8</t>
        </is>
      </c>
      <c r="C56" t="n">
        <v>8</v>
      </c>
      <c r="D56" t="n">
        <v>4</v>
      </c>
      <c r="E56" t="inlineStr">
        <is>
          <t>Input</t>
        </is>
      </c>
      <c r="F56" t="n">
        <v/>
      </c>
      <c r="G56" t="n">
        <v>343.72</v>
      </c>
      <c r="H56" t="inlineStr"/>
      <c r="I56" t="inlineStr">
        <is>
          <t>0</t>
        </is>
      </c>
      <c r="J56" t="b">
        <v>0</v>
      </c>
      <c r="K56" t="b">
        <v>0</v>
      </c>
      <c r="L56" t="n">
        <v>11</v>
      </c>
      <c r="M56" t="inlineStr">
        <is>
          <t>FF0B0280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Balance sheet</t>
        </is>
      </c>
      <c r="B57" t="inlineStr">
        <is>
          <t>E8</t>
        </is>
      </c>
      <c r="C57" t="n">
        <v>8</v>
      </c>
      <c r="D57" t="n">
        <v>5</v>
      </c>
      <c r="E57" t="inlineStr">
        <is>
          <t>Input</t>
        </is>
      </c>
      <c r="F57" t="n">
        <v/>
      </c>
      <c r="G57" t="n">
        <v>343.72</v>
      </c>
      <c r="H57" t="inlineStr"/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FF0B0280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Balance sheet</t>
        </is>
      </c>
      <c r="B58" t="inlineStr">
        <is>
          <t>F8</t>
        </is>
      </c>
      <c r="C58" t="n">
        <v>8</v>
      </c>
      <c r="D58" t="n">
        <v>6</v>
      </c>
      <c r="E58" t="inlineStr">
        <is>
          <t>Input</t>
        </is>
      </c>
      <c r="F58" t="n">
        <v/>
      </c>
      <c r="G58" t="n">
        <v>343.72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FF0B0280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Balance sheet</t>
        </is>
      </c>
      <c r="B59" t="inlineStr">
        <is>
          <t>G8</t>
        </is>
      </c>
      <c r="C59" t="n">
        <v>8</v>
      </c>
      <c r="D59" t="n">
        <v>7</v>
      </c>
      <c r="E59" t="inlineStr">
        <is>
          <t>Input</t>
        </is>
      </c>
      <c r="F59" t="n">
        <v/>
      </c>
      <c r="G59" t="n">
        <v>343.72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FF0B0280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Balance sheet</t>
        </is>
      </c>
      <c r="B60" t="inlineStr">
        <is>
          <t>H8</t>
        </is>
      </c>
      <c r="C60" t="n">
        <v>8</v>
      </c>
      <c r="D60" t="n">
        <v>8</v>
      </c>
      <c r="E60" t="inlineStr">
        <is>
          <t>Input</t>
        </is>
      </c>
      <c r="F60" t="n">
        <v/>
      </c>
      <c r="G60" t="n">
        <v>343.72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Balance sheet</t>
        </is>
      </c>
      <c r="B61" t="inlineStr">
        <is>
          <t>I8</t>
        </is>
      </c>
      <c r="C61" t="n">
        <v>8</v>
      </c>
      <c r="D61" t="n">
        <v>9</v>
      </c>
      <c r="E61" t="inlineStr">
        <is>
          <t>Input</t>
        </is>
      </c>
      <c r="F61" t="n">
        <v/>
      </c>
      <c r="G61" t="n">
        <v>3603.57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Balance sheet</t>
        </is>
      </c>
      <c r="B62" t="inlineStr">
        <is>
          <t>J8</t>
        </is>
      </c>
      <c r="C62" t="n">
        <v>8</v>
      </c>
      <c r="D62" t="n">
        <v>10</v>
      </c>
      <c r="E62" t="inlineStr">
        <is>
          <t>Input</t>
        </is>
      </c>
      <c r="F62" t="n">
        <v/>
      </c>
      <c r="G62" t="n">
        <v>3614.68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FF0B0280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Balance sheet</t>
        </is>
      </c>
      <c r="B63" t="inlineStr">
        <is>
          <t>K8</t>
        </is>
      </c>
      <c r="C63" t="n">
        <v>8</v>
      </c>
      <c r="D63" t="n">
        <v>11</v>
      </c>
      <c r="E63" t="inlineStr">
        <is>
          <t>Calculation</t>
        </is>
      </c>
      <c r="F63" t="inlineStr">
        <is>
          <t>'=J8</t>
        </is>
      </c>
      <c r="G63" t="n">
        <v>3614.68</v>
      </c>
      <c r="H63" t="inlineStr"/>
      <c r="I63" t="inlineStr">
        <is>
          <t>#,##0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G000171</t>
        </is>
      </c>
      <c r="T63" t="inlineStr">
        <is>
          <t>Horizontal</t>
        </is>
      </c>
      <c r="U63" t="n">
        <v>5</v>
      </c>
      <c r="V63" t="b">
        <v>1</v>
      </c>
      <c r="W63" t="inlineStr">
        <is>
          <t>Balance sheet!K8:O8</t>
        </is>
      </c>
      <c r="X63">
        <f>R[0]C[-1]</f>
        <v/>
      </c>
    </row>
    <row r="64">
      <c r="A64" t="inlineStr">
        <is>
          <t>Balance sheet</t>
        </is>
      </c>
      <c r="B64" t="inlineStr">
        <is>
          <t>L8</t>
        </is>
      </c>
      <c r="C64" t="n">
        <v>8</v>
      </c>
      <c r="D64" t="n">
        <v>12</v>
      </c>
      <c r="E64" t="inlineStr">
        <is>
          <t>Calculation</t>
        </is>
      </c>
      <c r="F64" t="inlineStr">
        <is>
          <t>'=K8</t>
        </is>
      </c>
      <c r="G64" t="n">
        <v>3614.68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G000171</t>
        </is>
      </c>
      <c r="T64" t="inlineStr">
        <is>
          <t>Horizontal</t>
        </is>
      </c>
      <c r="U64" t="n">
        <v>5</v>
      </c>
      <c r="V64" t="b">
        <v>1</v>
      </c>
      <c r="W64" t="inlineStr">
        <is>
          <t>Balance sheet!K8:O8</t>
        </is>
      </c>
      <c r="X64">
        <f>R[0]C[-1]</f>
        <v/>
      </c>
    </row>
    <row r="65">
      <c r="A65" t="inlineStr">
        <is>
          <t>Balance sheet</t>
        </is>
      </c>
      <c r="B65" t="inlineStr">
        <is>
          <t>M8</t>
        </is>
      </c>
      <c r="C65" t="n">
        <v>8</v>
      </c>
      <c r="D65" t="n">
        <v>13</v>
      </c>
      <c r="E65" t="inlineStr">
        <is>
          <t>Calculation</t>
        </is>
      </c>
      <c r="F65" t="inlineStr">
        <is>
          <t>'=L8</t>
        </is>
      </c>
      <c r="G65" t="n">
        <v>3614.68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G000171</t>
        </is>
      </c>
      <c r="T65" t="inlineStr">
        <is>
          <t>Horizontal</t>
        </is>
      </c>
      <c r="U65" t="n">
        <v>5</v>
      </c>
      <c r="V65" t="b">
        <v>1</v>
      </c>
      <c r="W65" t="inlineStr">
        <is>
          <t>Balance sheet!K8:O8</t>
        </is>
      </c>
      <c r="X65">
        <f>R[0]C[-1]</f>
        <v/>
      </c>
    </row>
    <row r="66">
      <c r="A66" t="inlineStr">
        <is>
          <t>Balance sheet</t>
        </is>
      </c>
      <c r="B66" t="inlineStr">
        <is>
          <t>N8</t>
        </is>
      </c>
      <c r="C66" t="n">
        <v>8</v>
      </c>
      <c r="D66" t="n">
        <v>14</v>
      </c>
      <c r="E66" t="inlineStr">
        <is>
          <t>Calculation</t>
        </is>
      </c>
      <c r="F66" t="inlineStr">
        <is>
          <t>'=M8</t>
        </is>
      </c>
      <c r="G66" t="n">
        <v>3614.68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G000171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Balance sheet!K8:O8</t>
        </is>
      </c>
      <c r="X66">
        <f>R[0]C[-1]</f>
        <v/>
      </c>
    </row>
    <row r="67">
      <c r="A67" t="inlineStr">
        <is>
          <t>Balance sheet</t>
        </is>
      </c>
      <c r="B67" t="inlineStr">
        <is>
          <t>O8</t>
        </is>
      </c>
      <c r="C67" t="n">
        <v>8</v>
      </c>
      <c r="D67" t="n">
        <v>15</v>
      </c>
      <c r="E67" t="inlineStr">
        <is>
          <t>Calculation</t>
        </is>
      </c>
      <c r="F67" t="inlineStr">
        <is>
          <t>'=N8</t>
        </is>
      </c>
      <c r="G67" t="n">
        <v>3614.68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G000171</t>
        </is>
      </c>
      <c r="T67" t="inlineStr">
        <is>
          <t>Horizontal</t>
        </is>
      </c>
      <c r="U67" t="n">
        <v>5</v>
      </c>
      <c r="V67" t="b">
        <v>1</v>
      </c>
      <c r="W67" t="inlineStr">
        <is>
          <t>Balance sheet!K8:O8</t>
        </is>
      </c>
      <c r="X67">
        <f>R[0]C[-1]</f>
        <v/>
      </c>
    </row>
    <row r="68">
      <c r="A68" t="inlineStr">
        <is>
          <t>Balance sheet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F68" t="n">
        <v/>
      </c>
      <c r="G68" t="inlineStr">
        <is>
          <t>Reserves and surplus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Balance sheet</t>
        </is>
      </c>
      <c r="B69" t="inlineStr">
        <is>
          <t>D9</t>
        </is>
      </c>
      <c r="C69" t="n">
        <v>9</v>
      </c>
      <c r="D69" t="n">
        <v>4</v>
      </c>
      <c r="E69" t="inlineStr">
        <is>
          <t>Input</t>
        </is>
      </c>
      <c r="F69" t="n">
        <v/>
      </c>
      <c r="G69" t="n">
        <v>683.67</v>
      </c>
      <c r="H69" t="inlineStr"/>
      <c r="I69" t="inlineStr">
        <is>
          <t>0</t>
        </is>
      </c>
      <c r="J69" t="b">
        <v>0</v>
      </c>
      <c r="K69" t="b">
        <v>0</v>
      </c>
      <c r="L69" t="n">
        <v>11</v>
      </c>
      <c r="M69" t="inlineStr">
        <is>
          <t>FF0B0280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Balance sheet</t>
        </is>
      </c>
      <c r="B70" t="inlineStr">
        <is>
          <t>E9</t>
        </is>
      </c>
      <c r="C70" t="n">
        <v>9</v>
      </c>
      <c r="D70" t="n">
        <v>5</v>
      </c>
      <c r="E70" t="inlineStr">
        <is>
          <t>Input</t>
        </is>
      </c>
      <c r="F70" t="n">
        <v/>
      </c>
      <c r="G70" t="n">
        <v>2089.61</v>
      </c>
      <c r="H70" t="inlineStr"/>
      <c r="I70" t="inlineStr">
        <is>
          <t>0</t>
        </is>
      </c>
      <c r="J70" t="b">
        <v>0</v>
      </c>
      <c r="K70" t="b">
        <v>0</v>
      </c>
      <c r="L70" t="n">
        <v>11</v>
      </c>
      <c r="M70" t="inlineStr">
        <is>
          <t>FF0B0280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Balance sheet</t>
        </is>
      </c>
      <c r="B71" t="inlineStr">
        <is>
          <t>F9</t>
        </is>
      </c>
      <c r="C71" t="n">
        <v>9</v>
      </c>
      <c r="D71" t="n">
        <v>6</v>
      </c>
      <c r="E71" t="inlineStr">
        <is>
          <t>Input</t>
        </is>
      </c>
      <c r="F71" t="n">
        <v/>
      </c>
      <c r="G71" t="n">
        <v>3546.77</v>
      </c>
      <c r="H71" t="inlineStr"/>
      <c r="I71" t="inlineStr">
        <is>
          <t>0</t>
        </is>
      </c>
      <c r="J71" t="b">
        <v>0</v>
      </c>
      <c r="K71" t="b">
        <v>0</v>
      </c>
      <c r="L71" t="n">
        <v>11</v>
      </c>
      <c r="M71" t="inlineStr">
        <is>
          <t>FF0B0280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Balance sheet</t>
        </is>
      </c>
      <c r="B72" t="inlineStr">
        <is>
          <t>G9</t>
        </is>
      </c>
      <c r="C72" t="n">
        <v>9</v>
      </c>
      <c r="D72" t="n">
        <v>7</v>
      </c>
      <c r="E72" t="inlineStr">
        <is>
          <t>Input</t>
        </is>
      </c>
      <c r="F72" t="n">
        <v/>
      </c>
      <c r="G72" t="n">
        <v>3862.56</v>
      </c>
      <c r="H72" t="inlineStr"/>
      <c r="I72" t="inlineStr">
        <is>
          <t>0</t>
        </is>
      </c>
      <c r="J72" t="b">
        <v>0</v>
      </c>
      <c r="K72" t="b">
        <v>0</v>
      </c>
      <c r="L72" t="n">
        <v>11</v>
      </c>
      <c r="M72" t="inlineStr">
        <is>
          <t>FF0B0280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Balance sheet</t>
        </is>
      </c>
      <c r="B73" t="inlineStr">
        <is>
          <t>H9</t>
        </is>
      </c>
      <c r="C73" t="n">
        <v>9</v>
      </c>
      <c r="D73" t="n">
        <v>8</v>
      </c>
      <c r="E73" t="inlineStr">
        <is>
          <t>Input</t>
        </is>
      </c>
      <c r="F73" t="n">
        <v/>
      </c>
      <c r="G73" t="n">
        <v>3863.23</v>
      </c>
      <c r="H73" t="inlineStr"/>
      <c r="I73" t="inlineStr">
        <is>
          <t>0</t>
        </is>
      </c>
      <c r="J73" t="b">
        <v>0</v>
      </c>
      <c r="K73" t="b">
        <v>0</v>
      </c>
      <c r="L73" t="n">
        <v>11</v>
      </c>
      <c r="M73" t="inlineStr">
        <is>
          <t>FF0B0280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Balance sheet</t>
        </is>
      </c>
      <c r="B74" t="inlineStr">
        <is>
          <t>I9</t>
        </is>
      </c>
      <c r="C74" t="n">
        <v>9</v>
      </c>
      <c r="D74" t="n">
        <v>9</v>
      </c>
      <c r="E74" t="inlineStr">
        <is>
          <t>Input</t>
        </is>
      </c>
      <c r="F74" t="n">
        <v/>
      </c>
      <c r="G74" t="n">
        <v>14739.2</v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FF0B0280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Balance sheet</t>
        </is>
      </c>
      <c r="B75" t="inlineStr">
        <is>
          <t>J9</t>
        </is>
      </c>
      <c r="C75" t="n">
        <v>9</v>
      </c>
      <c r="D75" t="n">
        <v>10</v>
      </c>
      <c r="E75" t="inlineStr">
        <is>
          <t>Input</t>
        </is>
      </c>
      <c r="F75" t="n">
        <v/>
      </c>
      <c r="G75" t="n">
        <v>34177.08</v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FF0B0280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Balance sheet</t>
        </is>
      </c>
      <c r="B76" t="inlineStr">
        <is>
          <t>K9</t>
        </is>
      </c>
      <c r="C76" t="n">
        <v>9</v>
      </c>
      <c r="D76" t="n">
        <v>11</v>
      </c>
      <c r="E76" t="inlineStr">
        <is>
          <t>Calculation</t>
        </is>
      </c>
      <c r="F76" t="inlineStr">
        <is>
          <t>'=J9+'Income statement'!K31-'Cost Matrix'!K46-'Cost Matrix'!K47</t>
        </is>
      </c>
      <c r="G76" t="n">
        <v>57661.12783741397</v>
      </c>
      <c r="H76" t="inlineStr"/>
      <c r="I76" t="inlineStr">
        <is>
          <t>#,##0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G000187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Balance sheet!K9:O9</t>
        </is>
      </c>
      <c r="X76">
        <f>R[0]C[-1]+'Income statement'!R[22]C[0]-'Cost Matrix'!R[37]C[0]-'Cost Matrix'!R[38]C[0]</f>
        <v/>
      </c>
    </row>
    <row r="77">
      <c r="A77" t="inlineStr">
        <is>
          <t>Balance sheet</t>
        </is>
      </c>
      <c r="B77" t="inlineStr">
        <is>
          <t>L9</t>
        </is>
      </c>
      <c r="C77" t="n">
        <v>9</v>
      </c>
      <c r="D77" t="n">
        <v>12</v>
      </c>
      <c r="E77" t="inlineStr">
        <is>
          <t>Calculation</t>
        </is>
      </c>
      <c r="F77" t="inlineStr">
        <is>
          <t>'=K9+'Income statement'!L31-'Cost Matrix'!L46-'Cost Matrix'!L47</t>
        </is>
      </c>
      <c r="G77" t="n">
        <v>83944.73664737836</v>
      </c>
      <c r="H77" t="inlineStr"/>
      <c r="I77" t="inlineStr">
        <is>
          <t>#,##0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inlineStr">
        <is>
          <t>G000187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Balance sheet!K9:O9</t>
        </is>
      </c>
      <c r="X77">
        <f>R[0]C[-1]+'Income statement'!R[22]C[0]-'Cost Matrix'!R[37]C[0]-'Cost Matrix'!R[38]C[0]</f>
        <v/>
      </c>
    </row>
    <row r="78">
      <c r="A78" t="inlineStr">
        <is>
          <t>Balance sheet</t>
        </is>
      </c>
      <c r="B78" t="inlineStr">
        <is>
          <t>M9</t>
        </is>
      </c>
      <c r="C78" t="n">
        <v>9</v>
      </c>
      <c r="D78" t="n">
        <v>13</v>
      </c>
      <c r="E78" t="inlineStr">
        <is>
          <t>Calculation</t>
        </is>
      </c>
      <c r="F78" t="inlineStr">
        <is>
          <t>'=L9+'Income statement'!M31-'Cost Matrix'!M46-'Cost Matrix'!M47</t>
        </is>
      </c>
      <c r="G78" t="n">
        <v>116274.8678135451</v>
      </c>
      <c r="H78" t="inlineStr"/>
      <c r="I78" t="inlineStr">
        <is>
          <t>#,##0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G000187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Balance sheet!K9:O9</t>
        </is>
      </c>
      <c r="X78">
        <f>R[0]C[-1]+'Income statement'!R[22]C[0]-'Cost Matrix'!R[37]C[0]-'Cost Matrix'!R[38]C[0]</f>
        <v/>
      </c>
    </row>
    <row r="79">
      <c r="A79" t="inlineStr">
        <is>
          <t>Balance sheet</t>
        </is>
      </c>
      <c r="B79" t="inlineStr">
        <is>
          <t>N9</t>
        </is>
      </c>
      <c r="C79" t="n">
        <v>9</v>
      </c>
      <c r="D79" t="n">
        <v>14</v>
      </c>
      <c r="E79" t="inlineStr">
        <is>
          <t>Calculation</t>
        </is>
      </c>
      <c r="F79" t="inlineStr">
        <is>
          <t>'=M9+'Income statement'!N31-'Cost Matrix'!N46-'Cost Matrix'!N47</t>
        </is>
      </c>
      <c r="G79" t="n">
        <v>154883.5914513161</v>
      </c>
      <c r="H79" t="inlineStr"/>
      <c r="I79" t="inlineStr">
        <is>
          <t>#,##0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G000187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Balance sheet!K9:O9</t>
        </is>
      </c>
      <c r="X79">
        <f>R[0]C[-1]+'Income statement'!R[22]C[0]-'Cost Matrix'!R[37]C[0]-'Cost Matrix'!R[38]C[0]</f>
        <v/>
      </c>
    </row>
    <row r="80">
      <c r="A80" t="inlineStr">
        <is>
          <t>Balance sheet</t>
        </is>
      </c>
      <c r="B80" t="inlineStr">
        <is>
          <t>O9</t>
        </is>
      </c>
      <c r="C80" t="n">
        <v>9</v>
      </c>
      <c r="D80" t="n">
        <v>15</v>
      </c>
      <c r="E80" t="inlineStr">
        <is>
          <t>Calculation</t>
        </is>
      </c>
      <c r="F80" t="inlineStr">
        <is>
          <t>'=N9+'Income statement'!O31-'Cost Matrix'!O46-'Cost Matrix'!O47</t>
        </is>
      </c>
      <c r="G80" t="n">
        <v>201353.1938200725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G000187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Balance sheet!K9:O9</t>
        </is>
      </c>
      <c r="X80">
        <f>R[0]C[-1]+'Income statement'!R[22]C[0]-'Cost Matrix'!R[37]C[0]-'Cost Matrix'!R[38]C[0]</f>
        <v/>
      </c>
    </row>
    <row r="81">
      <c r="A81" t="inlineStr">
        <is>
          <t>Balance sheet</t>
        </is>
      </c>
      <c r="B81" t="inlineStr">
        <is>
          <t>A10</t>
        </is>
      </c>
      <c r="C81" t="n">
        <v>10</v>
      </c>
      <c r="D81" t="n">
        <v>1</v>
      </c>
      <c r="E81" t="inlineStr">
        <is>
          <t>Input</t>
        </is>
      </c>
      <c r="F81" t="n">
        <v/>
      </c>
      <c r="G81" t="inlineStr">
        <is>
          <t>Shareholders’ funds</t>
        </is>
      </c>
      <c r="H81" t="inlineStr"/>
      <c r="I81" t="inlineStr">
        <is>
          <t>General</t>
        </is>
      </c>
      <c r="J81" t="b">
        <v>1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Balance sheet</t>
        </is>
      </c>
      <c r="B82" t="inlineStr">
        <is>
          <t>D10</t>
        </is>
      </c>
      <c r="C82" t="n">
        <v>10</v>
      </c>
      <c r="D82" t="n">
        <v>4</v>
      </c>
      <c r="E82" t="inlineStr">
        <is>
          <t>Calculation</t>
        </is>
      </c>
      <c r="F82" t="inlineStr">
        <is>
          <t>'=SUM(D8:D9)</t>
        </is>
      </c>
      <c r="G82" t="n">
        <v>1027.39</v>
      </c>
      <c r="H82" t="inlineStr"/>
      <c r="I82" t="inlineStr">
        <is>
          <t>0</t>
        </is>
      </c>
      <c r="J82" t="b">
        <v>1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1</v>
      </c>
      <c r="S82" t="inlineStr">
        <is>
          <t>G000188</t>
        </is>
      </c>
      <c r="T82" t="inlineStr">
        <is>
          <t>Horizontal</t>
        </is>
      </c>
      <c r="U82" t="n">
        <v>12</v>
      </c>
      <c r="V82" t="b">
        <v>1</v>
      </c>
      <c r="W82" t="inlineStr">
        <is>
          <t>Balance sheet!D10:O10</t>
        </is>
      </c>
      <c r="X82">
        <f>SUM(R[-2]C[0]:R[-1]C[0])</f>
        <v/>
      </c>
    </row>
    <row r="83">
      <c r="A83" t="inlineStr">
        <is>
          <t>Balance sheet</t>
        </is>
      </c>
      <c r="B83" t="inlineStr">
        <is>
          <t>E10</t>
        </is>
      </c>
      <c r="C83" t="n">
        <v>10</v>
      </c>
      <c r="D83" t="n">
        <v>5</v>
      </c>
      <c r="E83" t="inlineStr">
        <is>
          <t>Calculation</t>
        </is>
      </c>
      <c r="F83" t="inlineStr">
        <is>
          <t>'=SUM(E8:E9)</t>
        </is>
      </c>
      <c r="G83" t="n">
        <v>2433.33</v>
      </c>
      <c r="H83" t="inlineStr"/>
      <c r="I83" t="inlineStr">
        <is>
          <t>0</t>
        </is>
      </c>
      <c r="J83" t="b">
        <v>1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1</v>
      </c>
      <c r="S83" t="inlineStr">
        <is>
          <t>G000188</t>
        </is>
      </c>
      <c r="T83" t="inlineStr">
        <is>
          <t>Horizontal</t>
        </is>
      </c>
      <c r="U83" t="n">
        <v>12</v>
      </c>
      <c r="V83" t="b">
        <v>1</v>
      </c>
      <c r="W83" t="inlineStr">
        <is>
          <t>Balance sheet!D10:O10</t>
        </is>
      </c>
      <c r="X83">
        <f>SUM(R[-2]C[0]:R[-1]C[0])</f>
        <v/>
      </c>
    </row>
    <row r="84">
      <c r="A84" t="inlineStr">
        <is>
          <t>Balance sheet</t>
        </is>
      </c>
      <c r="B84" t="inlineStr">
        <is>
          <t>F10</t>
        </is>
      </c>
      <c r="C84" t="n">
        <v>10</v>
      </c>
      <c r="D84" t="n">
        <v>6</v>
      </c>
      <c r="E84" t="inlineStr">
        <is>
          <t>Calculation</t>
        </is>
      </c>
      <c r="F84" t="inlineStr">
        <is>
          <t>'=SUM(F8:F9)</t>
        </is>
      </c>
      <c r="G84" t="n">
        <v>3890.49</v>
      </c>
      <c r="H84" t="inlineStr"/>
      <c r="I84" t="inlineStr">
        <is>
          <t>0</t>
        </is>
      </c>
      <c r="J84" t="b">
        <v>1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1</v>
      </c>
      <c r="S84" t="inlineStr">
        <is>
          <t>G000188</t>
        </is>
      </c>
      <c r="T84" t="inlineStr">
        <is>
          <t>Horizontal</t>
        </is>
      </c>
      <c r="U84" t="n">
        <v>12</v>
      </c>
      <c r="V84" t="b">
        <v>1</v>
      </c>
      <c r="W84" t="inlineStr">
        <is>
          <t>Balance sheet!D10:O10</t>
        </is>
      </c>
      <c r="X84">
        <f>SUM(R[-2]C[0]:R[-1]C[0])</f>
        <v/>
      </c>
    </row>
    <row r="85">
      <c r="A85" t="inlineStr">
        <is>
          <t>Balance sheet</t>
        </is>
      </c>
      <c r="B85" t="inlineStr">
        <is>
          <t>G10</t>
        </is>
      </c>
      <c r="C85" t="n">
        <v>10</v>
      </c>
      <c r="D85" t="n">
        <v>7</v>
      </c>
      <c r="E85" t="inlineStr">
        <is>
          <t>Calculation</t>
        </is>
      </c>
      <c r="F85" t="inlineStr">
        <is>
          <t>'=SUM(G8:G9)</t>
        </is>
      </c>
      <c r="G85" t="n">
        <v>4206.28</v>
      </c>
      <c r="H85" t="inlineStr"/>
      <c r="I85" t="inlineStr">
        <is>
          <t>0</t>
        </is>
      </c>
      <c r="J85" t="b">
        <v>1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inlineStr">
        <is>
          <t>G000188</t>
        </is>
      </c>
      <c r="T85" t="inlineStr">
        <is>
          <t>Horizontal</t>
        </is>
      </c>
      <c r="U85" t="n">
        <v>12</v>
      </c>
      <c r="V85" t="b">
        <v>1</v>
      </c>
      <c r="W85" t="inlineStr">
        <is>
          <t>Balance sheet!D10:O10</t>
        </is>
      </c>
      <c r="X85">
        <f>SUM(R[-2]C[0]:R[-1]C[0])</f>
        <v/>
      </c>
    </row>
    <row r="86">
      <c r="A86" t="inlineStr">
        <is>
          <t>Balance sheet</t>
        </is>
      </c>
      <c r="B86" t="inlineStr">
        <is>
          <t>H10</t>
        </is>
      </c>
      <c r="C86" t="n">
        <v>10</v>
      </c>
      <c r="D86" t="n">
        <v>8</v>
      </c>
      <c r="E86" t="inlineStr">
        <is>
          <t>Calculation</t>
        </is>
      </c>
      <c r="F86" t="inlineStr">
        <is>
          <t>'=SUM(H8:H9)</t>
        </is>
      </c>
      <c r="G86" t="n">
        <v>4206.95</v>
      </c>
      <c r="H86" t="inlineStr"/>
      <c r="I86" t="inlineStr">
        <is>
          <t>0</t>
        </is>
      </c>
      <c r="J86" t="b">
        <v>1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inlineStr">
        <is>
          <t>G000188</t>
        </is>
      </c>
      <c r="T86" t="inlineStr">
        <is>
          <t>Horizontal</t>
        </is>
      </c>
      <c r="U86" t="n">
        <v>12</v>
      </c>
      <c r="V86" t="b">
        <v>1</v>
      </c>
      <c r="W86" t="inlineStr">
        <is>
          <t>Balance sheet!D10:O10</t>
        </is>
      </c>
      <c r="X86">
        <f>SUM(R[-2]C[0]:R[-1]C[0])</f>
        <v/>
      </c>
    </row>
    <row r="87">
      <c r="A87" t="inlineStr">
        <is>
          <t>Balance sheet</t>
        </is>
      </c>
      <c r="B87" t="inlineStr">
        <is>
          <t>I10</t>
        </is>
      </c>
      <c r="C87" t="n">
        <v>10</v>
      </c>
      <c r="D87" t="n">
        <v>9</v>
      </c>
      <c r="E87" t="inlineStr">
        <is>
          <t>Calculation</t>
        </is>
      </c>
      <c r="F87" t="inlineStr">
        <is>
          <t>'=SUM(I8:I9)</t>
        </is>
      </c>
      <c r="G87" t="n">
        <v>18342.77</v>
      </c>
      <c r="H87" t="inlineStr"/>
      <c r="I87" t="inlineStr">
        <is>
          <t>0</t>
        </is>
      </c>
      <c r="J87" t="b">
        <v>1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G000188</t>
        </is>
      </c>
      <c r="T87" t="inlineStr">
        <is>
          <t>Horizontal</t>
        </is>
      </c>
      <c r="U87" t="n">
        <v>12</v>
      </c>
      <c r="V87" t="b">
        <v>1</v>
      </c>
      <c r="W87" t="inlineStr">
        <is>
          <t>Balance sheet!D10:O10</t>
        </is>
      </c>
      <c r="X87">
        <f>SUM(R[-2]C[0]:R[-1]C[0])</f>
        <v/>
      </c>
    </row>
    <row r="88">
      <c r="A88" t="inlineStr">
        <is>
          <t>Balance sheet</t>
        </is>
      </c>
      <c r="B88" t="inlineStr">
        <is>
          <t>J10</t>
        </is>
      </c>
      <c r="C88" t="n">
        <v>10</v>
      </c>
      <c r="D88" t="n">
        <v>10</v>
      </c>
      <c r="E88" t="inlineStr">
        <is>
          <t>Calculation</t>
        </is>
      </c>
      <c r="F88" t="inlineStr">
        <is>
          <t>'=SUM(J8:J9)</t>
        </is>
      </c>
      <c r="G88" t="n">
        <v>37791.76</v>
      </c>
      <c r="H88" t="inlineStr"/>
      <c r="I88" t="inlineStr">
        <is>
          <t>0</t>
        </is>
      </c>
      <c r="J88" t="b">
        <v>1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G000188</t>
        </is>
      </c>
      <c r="T88" t="inlineStr">
        <is>
          <t>Horizontal</t>
        </is>
      </c>
      <c r="U88" t="n">
        <v>12</v>
      </c>
      <c r="V88" t="b">
        <v>1</v>
      </c>
      <c r="W88" t="inlineStr">
        <is>
          <t>Balance sheet!D10:O10</t>
        </is>
      </c>
      <c r="X88">
        <f>SUM(R[-2]C[0]:R[-1]C[0])</f>
        <v/>
      </c>
    </row>
    <row r="89">
      <c r="A89" t="inlineStr">
        <is>
          <t>Balance sheet</t>
        </is>
      </c>
      <c r="B89" t="inlineStr">
        <is>
          <t>K10</t>
        </is>
      </c>
      <c r="C89" t="n">
        <v>10</v>
      </c>
      <c r="D89" t="n">
        <v>11</v>
      </c>
      <c r="E89" t="inlineStr">
        <is>
          <t>Calculation</t>
        </is>
      </c>
      <c r="F89" t="inlineStr">
        <is>
          <t>'=SUM(K8:K9)</t>
        </is>
      </c>
      <c r="G89" t="n">
        <v>61275.80783741397</v>
      </c>
      <c r="H89" t="inlineStr"/>
      <c r="I89" t="inlineStr">
        <is>
          <t>0</t>
        </is>
      </c>
      <c r="J89" t="b">
        <v>1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G000188</t>
        </is>
      </c>
      <c r="T89" t="inlineStr">
        <is>
          <t>Horizontal</t>
        </is>
      </c>
      <c r="U89" t="n">
        <v>12</v>
      </c>
      <c r="V89" t="b">
        <v>1</v>
      </c>
      <c r="W89" t="inlineStr">
        <is>
          <t>Balance sheet!D10:O10</t>
        </is>
      </c>
      <c r="X89">
        <f>SUM(R[-2]C[0]:R[-1]C[0])</f>
        <v/>
      </c>
    </row>
    <row r="90">
      <c r="A90" t="inlineStr">
        <is>
          <t>Balance sheet</t>
        </is>
      </c>
      <c r="B90" t="inlineStr">
        <is>
          <t>L10</t>
        </is>
      </c>
      <c r="C90" t="n">
        <v>10</v>
      </c>
      <c r="D90" t="n">
        <v>12</v>
      </c>
      <c r="E90" t="inlineStr">
        <is>
          <t>Calculation</t>
        </is>
      </c>
      <c r="F90" t="inlineStr">
        <is>
          <t>'=SUM(L8:L9)</t>
        </is>
      </c>
      <c r="G90" t="n">
        <v>87559.41664737836</v>
      </c>
      <c r="H90" t="inlineStr"/>
      <c r="I90" t="inlineStr">
        <is>
          <t>0</t>
        </is>
      </c>
      <c r="J90" t="b">
        <v>1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G000188</t>
        </is>
      </c>
      <c r="T90" t="inlineStr">
        <is>
          <t>Horizontal</t>
        </is>
      </c>
      <c r="U90" t="n">
        <v>12</v>
      </c>
      <c r="V90" t="b">
        <v>1</v>
      </c>
      <c r="W90" t="inlineStr">
        <is>
          <t>Balance sheet!D10:O10</t>
        </is>
      </c>
      <c r="X90">
        <f>SUM(R[-2]C[0]:R[-1]C[0])</f>
        <v/>
      </c>
    </row>
    <row r="91">
      <c r="A91" t="inlineStr">
        <is>
          <t>Balance sheet</t>
        </is>
      </c>
      <c r="B91" t="inlineStr">
        <is>
          <t>M10</t>
        </is>
      </c>
      <c r="C91" t="n">
        <v>10</v>
      </c>
      <c r="D91" t="n">
        <v>13</v>
      </c>
      <c r="E91" t="inlineStr">
        <is>
          <t>Calculation</t>
        </is>
      </c>
      <c r="F91" t="inlineStr">
        <is>
          <t>'=SUM(M8:M9)</t>
        </is>
      </c>
      <c r="G91" t="n">
        <v>119889.5478135451</v>
      </c>
      <c r="H91" t="inlineStr"/>
      <c r="I91" t="inlineStr">
        <is>
          <t>0</t>
        </is>
      </c>
      <c r="J91" t="b">
        <v>1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inlineStr">
        <is>
          <t>G000188</t>
        </is>
      </c>
      <c r="T91" t="inlineStr">
        <is>
          <t>Horizontal</t>
        </is>
      </c>
      <c r="U91" t="n">
        <v>12</v>
      </c>
      <c r="V91" t="b">
        <v>1</v>
      </c>
      <c r="W91" t="inlineStr">
        <is>
          <t>Balance sheet!D10:O10</t>
        </is>
      </c>
      <c r="X91">
        <f>SUM(R[-2]C[0]:R[-1]C[0])</f>
        <v/>
      </c>
    </row>
    <row r="92">
      <c r="A92" t="inlineStr">
        <is>
          <t>Balance sheet</t>
        </is>
      </c>
      <c r="B92" t="inlineStr">
        <is>
          <t>N10</t>
        </is>
      </c>
      <c r="C92" t="n">
        <v>10</v>
      </c>
      <c r="D92" t="n">
        <v>14</v>
      </c>
      <c r="E92" t="inlineStr">
        <is>
          <t>Calculation</t>
        </is>
      </c>
      <c r="F92" t="inlineStr">
        <is>
          <t>'=SUM(N8:N9)</t>
        </is>
      </c>
      <c r="G92" t="n">
        <v>158498.2714513161</v>
      </c>
      <c r="H92" t="inlineStr"/>
      <c r="I92" t="inlineStr">
        <is>
          <t>0</t>
        </is>
      </c>
      <c r="J92" t="b">
        <v>1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inlineStr">
        <is>
          <t>G000188</t>
        </is>
      </c>
      <c r="T92" t="inlineStr">
        <is>
          <t>Horizontal</t>
        </is>
      </c>
      <c r="U92" t="n">
        <v>12</v>
      </c>
      <c r="V92" t="b">
        <v>1</v>
      </c>
      <c r="W92" t="inlineStr">
        <is>
          <t>Balance sheet!D10:O10</t>
        </is>
      </c>
      <c r="X92">
        <f>SUM(R[-2]C[0]:R[-1]C[0])</f>
        <v/>
      </c>
    </row>
    <row r="93">
      <c r="A93" t="inlineStr">
        <is>
          <t>Balance sheet</t>
        </is>
      </c>
      <c r="B93" t="inlineStr">
        <is>
          <t>O10</t>
        </is>
      </c>
      <c r="C93" t="n">
        <v>10</v>
      </c>
      <c r="D93" t="n">
        <v>15</v>
      </c>
      <c r="E93" t="inlineStr">
        <is>
          <t>Calculation</t>
        </is>
      </c>
      <c r="F93" t="inlineStr">
        <is>
          <t>'=SUM(O8:O9)</t>
        </is>
      </c>
      <c r="G93" t="n">
        <v>204967.8738200725</v>
      </c>
      <c r="H93" t="inlineStr"/>
      <c r="I93" t="inlineStr">
        <is>
          <t>0</t>
        </is>
      </c>
      <c r="J93" t="b">
        <v>1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1</v>
      </c>
      <c r="S93" t="inlineStr">
        <is>
          <t>G000188</t>
        </is>
      </c>
      <c r="T93" t="inlineStr">
        <is>
          <t>Horizontal</t>
        </is>
      </c>
      <c r="U93" t="n">
        <v>12</v>
      </c>
      <c r="V93" t="b">
        <v>1</v>
      </c>
      <c r="W93" t="inlineStr">
        <is>
          <t>Balance sheet!D10:O10</t>
        </is>
      </c>
      <c r="X93">
        <f>SUM(R[-2]C[0]:R[-1]C[0])</f>
        <v/>
      </c>
    </row>
    <row r="94">
      <c r="A94" t="inlineStr">
        <is>
          <t>Balance sheet</t>
        </is>
      </c>
      <c r="B94" t="inlineStr">
        <is>
          <t>A12</t>
        </is>
      </c>
      <c r="C94" t="n">
        <v>12</v>
      </c>
      <c r="D94" t="n">
        <v>1</v>
      </c>
      <c r="E94" t="inlineStr">
        <is>
          <t>Input</t>
        </is>
      </c>
      <c r="F94" t="n">
        <v/>
      </c>
      <c r="G94" t="inlineStr">
        <is>
          <t>Deferred tax liabilities (net)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Balance sheet</t>
        </is>
      </c>
      <c r="B95" t="inlineStr">
        <is>
          <t>D12</t>
        </is>
      </c>
      <c r="C95" t="n">
        <v>12</v>
      </c>
      <c r="D95" t="n">
        <v>4</v>
      </c>
      <c r="E95" t="inlineStr">
        <is>
          <t>Input</t>
        </is>
      </c>
      <c r="F95" t="n">
        <v/>
      </c>
      <c r="G95" t="n">
        <v>0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FF0B0280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Balance sheet</t>
        </is>
      </c>
      <c r="B96" t="inlineStr">
        <is>
          <t>E12</t>
        </is>
      </c>
      <c r="C96" t="n">
        <v>12</v>
      </c>
      <c r="D96" t="n">
        <v>5</v>
      </c>
      <c r="E96" t="inlineStr">
        <is>
          <t>Input</t>
        </is>
      </c>
      <c r="F96" t="n">
        <v/>
      </c>
      <c r="G96" t="n">
        <v>0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FF0B0280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Balance sheet</t>
        </is>
      </c>
      <c r="B97" t="inlineStr">
        <is>
          <t>F12</t>
        </is>
      </c>
      <c r="C97" t="n">
        <v>12</v>
      </c>
      <c r="D97" t="n">
        <v>6</v>
      </c>
      <c r="E97" t="inlineStr">
        <is>
          <t>Input</t>
        </is>
      </c>
      <c r="F97" t="n">
        <v/>
      </c>
      <c r="G97" t="n">
        <v>537.15</v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FF0B0280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Balance sheet</t>
        </is>
      </c>
      <c r="B98" t="inlineStr">
        <is>
          <t>G12</t>
        </is>
      </c>
      <c r="C98" t="n">
        <v>12</v>
      </c>
      <c r="D98" t="n">
        <v>7</v>
      </c>
      <c r="E98" t="inlineStr">
        <is>
          <t>Input</t>
        </is>
      </c>
      <c r="F98" t="n">
        <v/>
      </c>
      <c r="G98" t="n">
        <v>522.85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FF0B0280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Balance sheet</t>
        </is>
      </c>
      <c r="B99" t="inlineStr">
        <is>
          <t>H12</t>
        </is>
      </c>
      <c r="C99" t="n">
        <v>12</v>
      </c>
      <c r="D99" t="n">
        <v>8</v>
      </c>
      <c r="E99" t="inlineStr">
        <is>
          <t>Input</t>
        </is>
      </c>
      <c r="F99" t="n">
        <v/>
      </c>
      <c r="G99" t="n">
        <v>4091.35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FF0B0280</t>
        </is>
      </c>
      <c r="N99" t="inlineStr">
        <is>
          <t>00000000</t>
        </is>
      </c>
      <c r="O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Balance sheet</t>
        </is>
      </c>
      <c r="B100" t="inlineStr">
        <is>
          <t>I12</t>
        </is>
      </c>
      <c r="C100" t="n">
        <v>12</v>
      </c>
      <c r="D100" t="n">
        <v>9</v>
      </c>
      <c r="E100" t="inlineStr">
        <is>
          <t>Input</t>
        </is>
      </c>
      <c r="F100" t="n">
        <v/>
      </c>
      <c r="G100" t="n">
        <v>5179.72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FF0B0280</t>
        </is>
      </c>
      <c r="N100" t="inlineStr">
        <is>
          <t>00000000</t>
        </is>
      </c>
      <c r="O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Balance sheet</t>
        </is>
      </c>
      <c r="B101" t="inlineStr">
        <is>
          <t>J12</t>
        </is>
      </c>
      <c r="C101" t="n">
        <v>12</v>
      </c>
      <c r="D101" t="n">
        <v>10</v>
      </c>
      <c r="E101" t="inlineStr">
        <is>
          <t>Input</t>
        </is>
      </c>
      <c r="F101" t="n">
        <v/>
      </c>
      <c r="G101" t="n">
        <v>1618.06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FF0B0280</t>
        </is>
      </c>
      <c r="N101" t="inlineStr">
        <is>
          <t>00000000</t>
        </is>
      </c>
      <c r="O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Balance sheet</t>
        </is>
      </c>
      <c r="B102" t="inlineStr">
        <is>
          <t>K12</t>
        </is>
      </c>
      <c r="C102" t="n">
        <v>12</v>
      </c>
      <c r="D102" t="n">
        <v>11</v>
      </c>
      <c r="E102" t="inlineStr">
        <is>
          <t>Calculation</t>
        </is>
      </c>
      <c r="F102" t="inlineStr">
        <is>
          <t>'=J12</t>
        </is>
      </c>
      <c r="G102" t="n">
        <v>1618.06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G000172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Balance sheet!K12:O12</t>
        </is>
      </c>
      <c r="X102">
        <f>R[0]C[-1]</f>
        <v/>
      </c>
    </row>
    <row r="103">
      <c r="A103" t="inlineStr">
        <is>
          <t>Balance sheet</t>
        </is>
      </c>
      <c r="B103" t="inlineStr">
        <is>
          <t>L12</t>
        </is>
      </c>
      <c r="C103" t="n">
        <v>12</v>
      </c>
      <c r="D103" t="n">
        <v>12</v>
      </c>
      <c r="E103" t="inlineStr">
        <is>
          <t>Calculation</t>
        </is>
      </c>
      <c r="F103" t="inlineStr">
        <is>
          <t>'=K12</t>
        </is>
      </c>
      <c r="G103" t="n">
        <v>1618.06</v>
      </c>
      <c r="H103" t="inlineStr"/>
      <c r="I103" t="inlineStr">
        <is>
          <t>#,##0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G000172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Balance sheet!K12:O12</t>
        </is>
      </c>
      <c r="X103">
        <f>R[0]C[-1]</f>
        <v/>
      </c>
    </row>
    <row r="104">
      <c r="A104" t="inlineStr">
        <is>
          <t>Balance sheet</t>
        </is>
      </c>
      <c r="B104" t="inlineStr">
        <is>
          <t>M12</t>
        </is>
      </c>
      <c r="C104" t="n">
        <v>12</v>
      </c>
      <c r="D104" t="n">
        <v>13</v>
      </c>
      <c r="E104" t="inlineStr">
        <is>
          <t>Calculation</t>
        </is>
      </c>
      <c r="F104" t="inlineStr">
        <is>
          <t>'=L12</t>
        </is>
      </c>
      <c r="G104" t="n">
        <v>1618.06</v>
      </c>
      <c r="H104" t="inlineStr"/>
      <c r="I104" t="inlineStr">
        <is>
          <t>#,##0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G000172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Balance sheet!K12:O12</t>
        </is>
      </c>
      <c r="X104">
        <f>R[0]C[-1]</f>
        <v/>
      </c>
    </row>
    <row r="105">
      <c r="A105" t="inlineStr">
        <is>
          <t>Balance sheet</t>
        </is>
      </c>
      <c r="B105" t="inlineStr">
        <is>
          <t>N12</t>
        </is>
      </c>
      <c r="C105" t="n">
        <v>12</v>
      </c>
      <c r="D105" t="n">
        <v>14</v>
      </c>
      <c r="E105" t="inlineStr">
        <is>
          <t>Calculation</t>
        </is>
      </c>
      <c r="F105" t="inlineStr">
        <is>
          <t>'=M12</t>
        </is>
      </c>
      <c r="G105" t="n">
        <v>1618.06</v>
      </c>
      <c r="H105" t="inlineStr"/>
      <c r="I105" t="inlineStr">
        <is>
          <t>#,##0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1</v>
      </c>
      <c r="S105" t="inlineStr">
        <is>
          <t>G000172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Balance sheet!K12:O12</t>
        </is>
      </c>
      <c r="X105">
        <f>R[0]C[-1]</f>
        <v/>
      </c>
    </row>
    <row r="106">
      <c r="A106" t="inlineStr">
        <is>
          <t>Balance sheet</t>
        </is>
      </c>
      <c r="B106" t="inlineStr">
        <is>
          <t>O12</t>
        </is>
      </c>
      <c r="C106" t="n">
        <v>12</v>
      </c>
      <c r="D106" t="n">
        <v>15</v>
      </c>
      <c r="E106" t="inlineStr">
        <is>
          <t>Calculation</t>
        </is>
      </c>
      <c r="F106" t="inlineStr">
        <is>
          <t>'=N12</t>
        </is>
      </c>
      <c r="G106" t="n">
        <v>1618.06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G000172</t>
        </is>
      </c>
      <c r="T106" t="inlineStr">
        <is>
          <t>Horizontal</t>
        </is>
      </c>
      <c r="U106" t="n">
        <v>5</v>
      </c>
      <c r="V106" t="b">
        <v>1</v>
      </c>
      <c r="W106" t="inlineStr">
        <is>
          <t>Balance sheet!K12:O12</t>
        </is>
      </c>
      <c r="X106">
        <f>R[0]C[-1]</f>
        <v/>
      </c>
    </row>
    <row r="107">
      <c r="A107" t="inlineStr">
        <is>
          <t>Balance sheet</t>
        </is>
      </c>
      <c r="B107" t="inlineStr">
        <is>
          <t>A13</t>
        </is>
      </c>
      <c r="C107" t="n">
        <v>13</v>
      </c>
      <c r="D107" t="n">
        <v>1</v>
      </c>
      <c r="E107" t="inlineStr">
        <is>
          <t>Input</t>
        </is>
      </c>
      <c r="F107" t="n">
        <v/>
      </c>
      <c r="G107" t="inlineStr">
        <is>
          <t>Long-term borrowings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Balance sheet</t>
        </is>
      </c>
      <c r="B108" t="inlineStr">
        <is>
          <t>D13</t>
        </is>
      </c>
      <c r="C108" t="n">
        <v>13</v>
      </c>
      <c r="D108" t="n">
        <v>4</v>
      </c>
      <c r="E108" t="inlineStr">
        <is>
          <t>Input</t>
        </is>
      </c>
      <c r="F108" t="n">
        <v/>
      </c>
      <c r="G108" t="n">
        <v>8069.76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FF0B0280</t>
        </is>
      </c>
      <c r="N108" t="inlineStr">
        <is>
          <t>00000000</t>
        </is>
      </c>
      <c r="O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Balance sheet</t>
        </is>
      </c>
      <c r="B109" t="inlineStr">
        <is>
          <t>E13</t>
        </is>
      </c>
      <c r="C109" t="n">
        <v>13</v>
      </c>
      <c r="D109" t="n">
        <v>5</v>
      </c>
      <c r="E109" t="inlineStr">
        <is>
          <t>Input</t>
        </is>
      </c>
      <c r="F109" t="n">
        <v/>
      </c>
      <c r="G109" t="n">
        <v>9055.48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FF0B0280</t>
        </is>
      </c>
      <c r="N109" t="inlineStr">
        <is>
          <t>00000000</t>
        </is>
      </c>
      <c r="O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Balance sheet</t>
        </is>
      </c>
      <c r="B110" t="inlineStr">
        <is>
          <t>F13</t>
        </is>
      </c>
      <c r="C110" t="n">
        <v>13</v>
      </c>
      <c r="D110" t="n">
        <v>6</v>
      </c>
      <c r="E110" t="inlineStr">
        <is>
          <t>Input</t>
        </is>
      </c>
      <c r="F110" t="n">
        <v/>
      </c>
      <c r="G110" t="n">
        <v>16173.32</v>
      </c>
      <c r="H110" t="inlineStr"/>
      <c r="I110" t="inlineStr">
        <is>
          <t>0</t>
        </is>
      </c>
      <c r="J110" t="b">
        <v>0</v>
      </c>
      <c r="K110" t="b">
        <v>0</v>
      </c>
      <c r="L110" t="n">
        <v>11</v>
      </c>
      <c r="M110" t="inlineStr">
        <is>
          <t>FF0B0280</t>
        </is>
      </c>
      <c r="N110" t="inlineStr">
        <is>
          <t>00000000</t>
        </is>
      </c>
      <c r="O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Balance sheet</t>
        </is>
      </c>
      <c r="B111" t="inlineStr">
        <is>
          <t>G13</t>
        </is>
      </c>
      <c r="C111" t="n">
        <v>13</v>
      </c>
      <c r="D111" t="n">
        <v>7</v>
      </c>
      <c r="E111" t="inlineStr">
        <is>
          <t>Input</t>
        </is>
      </c>
      <c r="F111" t="n">
        <v/>
      </c>
      <c r="G111" t="n">
        <v>30807.4</v>
      </c>
      <c r="H111" t="inlineStr"/>
      <c r="I111" t="inlineStr">
        <is>
          <t>0</t>
        </is>
      </c>
      <c r="J111" t="b">
        <v>0</v>
      </c>
      <c r="K111" t="b">
        <v>0</v>
      </c>
      <c r="L111" t="n">
        <v>11</v>
      </c>
      <c r="M111" t="inlineStr">
        <is>
          <t>FF0B0280</t>
        </is>
      </c>
      <c r="N111" t="inlineStr">
        <is>
          <t>00000000</t>
        </is>
      </c>
      <c r="O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Balance sheet</t>
        </is>
      </c>
      <c r="B112" t="inlineStr">
        <is>
          <t>H13</t>
        </is>
      </c>
      <c r="C112" t="n">
        <v>13</v>
      </c>
      <c r="D112" t="n">
        <v>8</v>
      </c>
      <c r="E112" t="inlineStr">
        <is>
          <t>Input</t>
        </is>
      </c>
      <c r="F112" t="n">
        <v/>
      </c>
      <c r="G112" t="n">
        <v>35884.02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FF0B0280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Balance sheet</t>
        </is>
      </c>
      <c r="B113" t="inlineStr">
        <is>
          <t>I13</t>
        </is>
      </c>
      <c r="C113" t="n">
        <v>13</v>
      </c>
      <c r="D113" t="n">
        <v>9</v>
      </c>
      <c r="E113" t="inlineStr">
        <is>
          <t>Input</t>
        </is>
      </c>
      <c r="F113" t="n">
        <v/>
      </c>
      <c r="G113" t="n">
        <v>29498.61</v>
      </c>
      <c r="H113" t="inlineStr"/>
      <c r="I113" t="inlineStr">
        <is>
          <t>#,##0</t>
        </is>
      </c>
      <c r="J113" t="b">
        <v>0</v>
      </c>
      <c r="K113" t="b">
        <v>0</v>
      </c>
      <c r="L113" t="n">
        <v>11</v>
      </c>
      <c r="M113" t="inlineStr">
        <is>
          <t>FF0B0280</t>
        </is>
      </c>
      <c r="N113" t="inlineStr">
        <is>
          <t>00000000</t>
        </is>
      </c>
      <c r="O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Balance sheet</t>
        </is>
      </c>
      <c r="B114" t="inlineStr">
        <is>
          <t>J13</t>
        </is>
      </c>
      <c r="C114" t="n">
        <v>13</v>
      </c>
      <c r="D114" t="n">
        <v>10</v>
      </c>
      <c r="E114" t="inlineStr">
        <is>
          <t>Input</t>
        </is>
      </c>
      <c r="F114" t="n">
        <v/>
      </c>
      <c r="G114" t="n">
        <v>23957.08</v>
      </c>
      <c r="H114" t="inlineStr"/>
      <c r="I114" t="inlineStr">
        <is>
          <t>#,##0</t>
        </is>
      </c>
      <c r="J114" t="b">
        <v>0</v>
      </c>
      <c r="K114" t="b">
        <v>0</v>
      </c>
      <c r="L114" t="n">
        <v>11</v>
      </c>
      <c r="M114" t="inlineStr">
        <is>
          <t>FF0B0280</t>
        </is>
      </c>
      <c r="N114" t="inlineStr">
        <is>
          <t>00000000</t>
        </is>
      </c>
      <c r="O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Balance sheet</t>
        </is>
      </c>
      <c r="B115" t="inlineStr">
        <is>
          <t>K13</t>
        </is>
      </c>
      <c r="C115" t="n">
        <v>13</v>
      </c>
      <c r="D115" t="n">
        <v>11</v>
      </c>
      <c r="E115" t="inlineStr">
        <is>
          <t>Calculation</t>
        </is>
      </c>
      <c r="F115" t="inlineStr">
        <is>
          <t>'='Debt schedule'!K10</t>
        </is>
      </c>
      <c r="G115" t="n">
        <v>31580.42</v>
      </c>
      <c r="H115" t="inlineStr"/>
      <c r="I115" t="inlineStr">
        <is>
          <t>#,##0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G000189</t>
        </is>
      </c>
      <c r="T115" t="inlineStr">
        <is>
          <t>Horizontal</t>
        </is>
      </c>
      <c r="U115" t="n">
        <v>5</v>
      </c>
      <c r="V115" t="b">
        <v>1</v>
      </c>
      <c r="W115" t="inlineStr">
        <is>
          <t>Balance sheet!K13:O13</t>
        </is>
      </c>
      <c r="X115">
        <f>'Debt schedule'!R[-3]C[0]</f>
        <v/>
      </c>
    </row>
    <row r="116">
      <c r="A116" t="inlineStr">
        <is>
          <t>Balance sheet</t>
        </is>
      </c>
      <c r="B116" t="inlineStr">
        <is>
          <t>L13</t>
        </is>
      </c>
      <c r="C116" t="n">
        <v>13</v>
      </c>
      <c r="D116" t="n">
        <v>12</v>
      </c>
      <c r="E116" t="inlineStr">
        <is>
          <t>Calculation</t>
        </is>
      </c>
      <c r="F116" t="inlineStr">
        <is>
          <t>'='Debt schedule'!L10</t>
        </is>
      </c>
      <c r="G116" t="n">
        <v>38806.5825</v>
      </c>
      <c r="H116" t="inlineStr"/>
      <c r="I116" t="inlineStr">
        <is>
          <t>#,##0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1</v>
      </c>
      <c r="S116" t="inlineStr">
        <is>
          <t>G000189</t>
        </is>
      </c>
      <c r="T116" t="inlineStr">
        <is>
          <t>Horizontal</t>
        </is>
      </c>
      <c r="U116" t="n">
        <v>5</v>
      </c>
      <c r="V116" t="b">
        <v>1</v>
      </c>
      <c r="W116" t="inlineStr">
        <is>
          <t>Balance sheet!K13:O13</t>
        </is>
      </c>
      <c r="X116">
        <f>'Debt schedule'!R[-3]C[0]</f>
        <v/>
      </c>
    </row>
    <row r="117">
      <c r="A117" t="inlineStr">
        <is>
          <t>Balance sheet</t>
        </is>
      </c>
      <c r="B117" t="inlineStr">
        <is>
          <t>M13</t>
        </is>
      </c>
      <c r="C117" t="n">
        <v>13</v>
      </c>
      <c r="D117" t="n">
        <v>13</v>
      </c>
      <c r="E117" t="inlineStr">
        <is>
          <t>Calculation</t>
        </is>
      </c>
      <c r="F117" t="inlineStr">
        <is>
          <t>'='Debt schedule'!M10</t>
        </is>
      </c>
      <c r="G117" t="n">
        <v>45894.745</v>
      </c>
      <c r="H117" t="inlineStr"/>
      <c r="I117" t="inlineStr">
        <is>
          <t>#,##0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G000189</t>
        </is>
      </c>
      <c r="T117" t="inlineStr">
        <is>
          <t>Horizontal</t>
        </is>
      </c>
      <c r="U117" t="n">
        <v>5</v>
      </c>
      <c r="V117" t="b">
        <v>1</v>
      </c>
      <c r="W117" t="inlineStr">
        <is>
          <t>Balance sheet!K13:O13</t>
        </is>
      </c>
      <c r="X117">
        <f>'Debt schedule'!R[-3]C[0]</f>
        <v/>
      </c>
    </row>
    <row r="118">
      <c r="A118" t="inlineStr">
        <is>
          <t>Balance sheet</t>
        </is>
      </c>
      <c r="B118" t="inlineStr">
        <is>
          <t>N13</t>
        </is>
      </c>
      <c r="C118" t="n">
        <v>13</v>
      </c>
      <c r="D118" t="n">
        <v>14</v>
      </c>
      <c r="E118" t="inlineStr">
        <is>
          <t>Calculation</t>
        </is>
      </c>
      <c r="F118" t="inlineStr">
        <is>
          <t>'='Debt schedule'!N10</t>
        </is>
      </c>
      <c r="G118" t="n">
        <v>52844.90749999999</v>
      </c>
      <c r="H118" t="inlineStr"/>
      <c r="I118" t="inlineStr">
        <is>
          <t>#,##0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G000189</t>
        </is>
      </c>
      <c r="T118" t="inlineStr">
        <is>
          <t>Horizontal</t>
        </is>
      </c>
      <c r="U118" t="n">
        <v>5</v>
      </c>
      <c r="V118" t="b">
        <v>1</v>
      </c>
      <c r="W118" t="inlineStr">
        <is>
          <t>Balance sheet!K13:O13</t>
        </is>
      </c>
      <c r="X118">
        <f>'Debt schedule'!R[-3]C[0]</f>
        <v/>
      </c>
    </row>
    <row r="119">
      <c r="A119" t="inlineStr">
        <is>
          <t>Balance sheet</t>
        </is>
      </c>
      <c r="B119" t="inlineStr">
        <is>
          <t>O13</t>
        </is>
      </c>
      <c r="C119" t="n">
        <v>13</v>
      </c>
      <c r="D119" t="n">
        <v>15</v>
      </c>
      <c r="E119" t="inlineStr">
        <is>
          <t>Calculation</t>
        </is>
      </c>
      <c r="F119" t="inlineStr">
        <is>
          <t>'='Debt schedule'!O10</t>
        </is>
      </c>
      <c r="G119" t="n">
        <v>59657.06999999999</v>
      </c>
      <c r="H119" t="inlineStr"/>
      <c r="I119" t="inlineStr">
        <is>
          <t>#,##0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1</v>
      </c>
      <c r="S119" t="inlineStr">
        <is>
          <t>G000189</t>
        </is>
      </c>
      <c r="T119" t="inlineStr">
        <is>
          <t>Horizontal</t>
        </is>
      </c>
      <c r="U119" t="n">
        <v>5</v>
      </c>
      <c r="V119" t="b">
        <v>1</v>
      </c>
      <c r="W119" t="inlineStr">
        <is>
          <t>Balance sheet!K13:O13</t>
        </is>
      </c>
      <c r="X119">
        <f>'Debt schedule'!R[-3]C[0]</f>
        <v/>
      </c>
    </row>
    <row r="120">
      <c r="A120" t="inlineStr">
        <is>
          <t>Balance sheet</t>
        </is>
      </c>
      <c r="B120" t="inlineStr">
        <is>
          <t>A14</t>
        </is>
      </c>
      <c r="C120" t="n">
        <v>14</v>
      </c>
      <c r="D120" t="n">
        <v>1</v>
      </c>
      <c r="E120" t="inlineStr">
        <is>
          <t>Input</t>
        </is>
      </c>
      <c r="F120" t="n">
        <v/>
      </c>
      <c r="G120" t="inlineStr">
        <is>
          <t>Other long-term liabilities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Balance sheet</t>
        </is>
      </c>
      <c r="B121" t="inlineStr">
        <is>
          <t>D14</t>
        </is>
      </c>
      <c r="C121" t="n">
        <v>14</v>
      </c>
      <c r="D121" t="n">
        <v>4</v>
      </c>
      <c r="E121" t="inlineStr">
        <is>
          <t>Input</t>
        </is>
      </c>
      <c r="F121" t="n">
        <v/>
      </c>
      <c r="G121" t="n">
        <v>1014.6</v>
      </c>
      <c r="H121" t="inlineStr"/>
      <c r="I121" t="inlineStr">
        <is>
          <t>#,##0</t>
        </is>
      </c>
      <c r="J121" t="b">
        <v>0</v>
      </c>
      <c r="K121" t="b">
        <v>0</v>
      </c>
      <c r="L121" t="n">
        <v>11</v>
      </c>
      <c r="M121" t="inlineStr">
        <is>
          <t>FF0B0280</t>
        </is>
      </c>
      <c r="N121" t="inlineStr">
        <is>
          <t>00000000</t>
        </is>
      </c>
      <c r="O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Balance sheet</t>
        </is>
      </c>
      <c r="B122" t="inlineStr">
        <is>
          <t>E14</t>
        </is>
      </c>
      <c r="C122" t="n">
        <v>14</v>
      </c>
      <c r="D122" t="n">
        <v>5</v>
      </c>
      <c r="E122" t="inlineStr">
        <is>
          <t>Input</t>
        </is>
      </c>
      <c r="F122" t="n">
        <v/>
      </c>
      <c r="G122" t="n">
        <v>2793.79</v>
      </c>
      <c r="H122" t="inlineStr"/>
      <c r="I122" t="inlineStr">
        <is>
          <t>#,##0</t>
        </is>
      </c>
      <c r="J122" t="b">
        <v>0</v>
      </c>
      <c r="K122" t="b">
        <v>0</v>
      </c>
      <c r="L122" t="n">
        <v>11</v>
      </c>
      <c r="M122" t="inlineStr">
        <is>
          <t>FF0B0280</t>
        </is>
      </c>
      <c r="N122" t="inlineStr">
        <is>
          <t>00000000</t>
        </is>
      </c>
      <c r="O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Balance sheet</t>
        </is>
      </c>
      <c r="B123" t="inlineStr">
        <is>
          <t>F14</t>
        </is>
      </c>
      <c r="C123" t="n">
        <v>14</v>
      </c>
      <c r="D123" t="n">
        <v>6</v>
      </c>
      <c r="E123" t="inlineStr">
        <is>
          <t>Input</t>
        </is>
      </c>
      <c r="F123" t="n">
        <v/>
      </c>
      <c r="G123" t="n">
        <v>7234.82</v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FF0B0280</t>
        </is>
      </c>
      <c r="N123" t="inlineStr">
        <is>
          <t>00000000</t>
        </is>
      </c>
      <c r="O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Balance sheet</t>
        </is>
      </c>
      <c r="B124" t="inlineStr">
        <is>
          <t>G14</t>
        </is>
      </c>
      <c r="C124" t="n">
        <v>14</v>
      </c>
      <c r="D124" t="n">
        <v>7</v>
      </c>
      <c r="E124" t="inlineStr">
        <is>
          <t>Input</t>
        </is>
      </c>
      <c r="F124" t="n">
        <v/>
      </c>
      <c r="G124" t="n">
        <v>12957.85</v>
      </c>
      <c r="H124" t="inlineStr"/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FF0B0280</t>
        </is>
      </c>
      <c r="N124" t="inlineStr">
        <is>
          <t>00000000</t>
        </is>
      </c>
      <c r="O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Balance sheet</t>
        </is>
      </c>
      <c r="B125" t="inlineStr">
        <is>
          <t>H14</t>
        </is>
      </c>
      <c r="C125" t="n">
        <v>14</v>
      </c>
      <c r="D125" t="n">
        <v>8</v>
      </c>
      <c r="E125" t="inlineStr">
        <is>
          <t>Input</t>
        </is>
      </c>
      <c r="F125" t="n">
        <v/>
      </c>
      <c r="G125" t="n">
        <v>20169.51</v>
      </c>
      <c r="H125" t="inlineStr"/>
      <c r="I125" t="inlineStr">
        <is>
          <t>#,##0</t>
        </is>
      </c>
      <c r="J125" t="b">
        <v>0</v>
      </c>
      <c r="K125" t="b">
        <v>0</v>
      </c>
      <c r="L125" t="n">
        <v>11</v>
      </c>
      <c r="M125" t="inlineStr">
        <is>
          <t>FF0B0280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Balance sheet</t>
        </is>
      </c>
      <c r="B126" t="inlineStr">
        <is>
          <t>I14</t>
        </is>
      </c>
      <c r="C126" t="n">
        <v>14</v>
      </c>
      <c r="D126" t="n">
        <v>9</v>
      </c>
      <c r="E126" t="inlineStr">
        <is>
          <t>Input</t>
        </is>
      </c>
      <c r="F126" t="n">
        <v/>
      </c>
      <c r="G126" t="n">
        <v>24722.47</v>
      </c>
      <c r="H126" t="inlineStr"/>
      <c r="I126" t="inlineStr">
        <is>
          <t>#,##0</t>
        </is>
      </c>
      <c r="J126" t="b">
        <v>0</v>
      </c>
      <c r="K126" t="b">
        <v>0</v>
      </c>
      <c r="L126" t="n">
        <v>11</v>
      </c>
      <c r="M126" t="inlineStr">
        <is>
          <t>FF0B0280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Balance sheet</t>
        </is>
      </c>
      <c r="B127" t="inlineStr">
        <is>
          <t>J14</t>
        </is>
      </c>
      <c r="C127" t="n">
        <v>14</v>
      </c>
      <c r="D127" t="n">
        <v>10</v>
      </c>
      <c r="E127" t="inlineStr">
        <is>
          <t>Calculation</t>
        </is>
      </c>
      <c r="F127" t="inlineStr">
        <is>
          <t>'=22685.34+75</t>
        </is>
      </c>
      <c r="G127" t="n">
        <v>22760.34</v>
      </c>
      <c r="H127" t="inlineStr"/>
      <c r="I127" t="inlineStr">
        <is>
          <t>#,##0</t>
        </is>
      </c>
      <c r="J127" t="b">
        <v>0</v>
      </c>
      <c r="K127" t="b">
        <v>0</v>
      </c>
      <c r="L127" t="n">
        <v>11</v>
      </c>
      <c r="M127" t="inlineStr">
        <is>
          <t>FF0B0280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>
        <f>22685.34+75</f>
        <v/>
      </c>
    </row>
    <row r="128">
      <c r="A128" t="inlineStr">
        <is>
          <t>Balance sheet</t>
        </is>
      </c>
      <c r="B128" t="inlineStr">
        <is>
          <t>K14</t>
        </is>
      </c>
      <c r="C128" t="n">
        <v>14</v>
      </c>
      <c r="D128" t="n">
        <v>11</v>
      </c>
      <c r="E128" t="inlineStr">
        <is>
          <t>Calculation</t>
        </is>
      </c>
      <c r="F128" t="inlineStr">
        <is>
          <t>'=K57*'Income statement'!K18</t>
        </is>
      </c>
      <c r="G128" t="n">
        <v>31007.62872674689</v>
      </c>
      <c r="H128" t="inlineStr"/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G000190</t>
        </is>
      </c>
      <c r="T128" t="inlineStr">
        <is>
          <t>Horizontal</t>
        </is>
      </c>
      <c r="U128" t="n">
        <v>5</v>
      </c>
      <c r="V128" t="b">
        <v>1</v>
      </c>
      <c r="W128" t="inlineStr">
        <is>
          <t>Balance sheet!K14:O14</t>
        </is>
      </c>
      <c r="X128">
        <f>R[43]C[0]*'Income statement'!R[4]C[0]</f>
        <v/>
      </c>
    </row>
    <row r="129">
      <c r="A129" t="inlineStr">
        <is>
          <t>Balance sheet</t>
        </is>
      </c>
      <c r="B129" t="inlineStr">
        <is>
          <t>L14</t>
        </is>
      </c>
      <c r="C129" t="n">
        <v>14</v>
      </c>
      <c r="D129" t="n">
        <v>12</v>
      </c>
      <c r="E129" t="inlineStr">
        <is>
          <t>Calculation</t>
        </is>
      </c>
      <c r="F129" t="inlineStr">
        <is>
          <t>'=L57*'Income statement'!L18</t>
        </is>
      </c>
      <c r="G129" t="n">
        <v>37176.91062023349</v>
      </c>
      <c r="H129" t="inlineStr"/>
      <c r="I129" t="inlineStr">
        <is>
          <t>0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G000190</t>
        </is>
      </c>
      <c r="T129" t="inlineStr">
        <is>
          <t>Horizontal</t>
        </is>
      </c>
      <c r="U129" t="n">
        <v>5</v>
      </c>
      <c r="V129" t="b">
        <v>1</v>
      </c>
      <c r="W129" t="inlineStr">
        <is>
          <t>Balance sheet!K14:O14</t>
        </is>
      </c>
      <c r="X129">
        <f>R[43]C[0]*'Income statement'!R[4]C[0]</f>
        <v/>
      </c>
    </row>
    <row r="130">
      <c r="A130" t="inlineStr">
        <is>
          <t>Balance sheet</t>
        </is>
      </c>
      <c r="B130" t="inlineStr">
        <is>
          <t>M14</t>
        </is>
      </c>
      <c r="C130" t="n">
        <v>14</v>
      </c>
      <c r="D130" t="n">
        <v>13</v>
      </c>
      <c r="E130" t="inlineStr">
        <is>
          <t>Calculation</t>
        </is>
      </c>
      <c r="F130" t="inlineStr">
        <is>
          <t>'=M57*'Income statement'!M18</t>
        </is>
      </c>
      <c r="G130" t="n">
        <v>44332.17472039367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G000190</t>
        </is>
      </c>
      <c r="T130" t="inlineStr">
        <is>
          <t>Horizontal</t>
        </is>
      </c>
      <c r="U130" t="n">
        <v>5</v>
      </c>
      <c r="V130" t="b">
        <v>1</v>
      </c>
      <c r="W130" t="inlineStr">
        <is>
          <t>Balance sheet!K14:O14</t>
        </is>
      </c>
      <c r="X130">
        <f>R[43]C[0]*'Income statement'!R[4]C[0]</f>
        <v/>
      </c>
    </row>
    <row r="131">
      <c r="A131" t="inlineStr">
        <is>
          <t>Balance sheet</t>
        </is>
      </c>
      <c r="B131" t="inlineStr">
        <is>
          <t>N14</t>
        </is>
      </c>
      <c r="C131" t="n">
        <v>14</v>
      </c>
      <c r="D131" t="n">
        <v>14</v>
      </c>
      <c r="E131" t="inlineStr">
        <is>
          <t>Calculation</t>
        </is>
      </c>
      <c r="F131" t="inlineStr">
        <is>
          <t>'=N57*'Income statement'!N18</t>
        </is>
      </c>
      <c r="G131" t="n">
        <v>52803.64811286067</v>
      </c>
      <c r="H131" t="inlineStr"/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1</v>
      </c>
      <c r="S131" t="inlineStr">
        <is>
          <t>G000190</t>
        </is>
      </c>
      <c r="T131" t="inlineStr">
        <is>
          <t>Horizontal</t>
        </is>
      </c>
      <c r="U131" t="n">
        <v>5</v>
      </c>
      <c r="V131" t="b">
        <v>1</v>
      </c>
      <c r="W131" t="inlineStr">
        <is>
          <t>Balance sheet!K14:O14</t>
        </is>
      </c>
      <c r="X131">
        <f>R[43]C[0]*'Income statement'!R[4]C[0]</f>
        <v/>
      </c>
    </row>
    <row r="132">
      <c r="A132" t="inlineStr">
        <is>
          <t>Balance sheet</t>
        </is>
      </c>
      <c r="B132" t="inlineStr">
        <is>
          <t>O14</t>
        </is>
      </c>
      <c r="C132" t="n">
        <v>14</v>
      </c>
      <c r="D132" t="n">
        <v>15</v>
      </c>
      <c r="E132" t="inlineStr">
        <is>
          <t>Calculation</t>
        </is>
      </c>
      <c r="F132" t="inlineStr">
        <is>
          <t>'=O57*'Income statement'!O18</t>
        </is>
      </c>
      <c r="G132" t="n">
        <v>63093.4979119067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00000000</t>
        </is>
      </c>
      <c r="O132" t="n">
        <v/>
      </c>
      <c r="R132" t="b">
        <v>1</v>
      </c>
      <c r="S132" t="inlineStr">
        <is>
          <t>G000190</t>
        </is>
      </c>
      <c r="T132" t="inlineStr">
        <is>
          <t>Horizontal</t>
        </is>
      </c>
      <c r="U132" t="n">
        <v>5</v>
      </c>
      <c r="V132" t="b">
        <v>1</v>
      </c>
      <c r="W132" t="inlineStr">
        <is>
          <t>Balance sheet!K14:O14</t>
        </is>
      </c>
      <c r="X132">
        <f>R[43]C[0]*'Income statement'!R[4]C[0]</f>
        <v/>
      </c>
    </row>
    <row r="133">
      <c r="A133" t="inlineStr">
        <is>
          <t>Balance sheet</t>
        </is>
      </c>
      <c r="B133" t="inlineStr">
        <is>
          <t>A15</t>
        </is>
      </c>
      <c r="C133" t="n">
        <v>15</v>
      </c>
      <c r="D133" t="n">
        <v>1</v>
      </c>
      <c r="E133" t="inlineStr">
        <is>
          <t>Input</t>
        </is>
      </c>
      <c r="F133" t="n">
        <v/>
      </c>
      <c r="G133" t="inlineStr">
        <is>
          <t>Long-term provisions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Balance sheet</t>
        </is>
      </c>
      <c r="B134" t="inlineStr">
        <is>
          <t>D15</t>
        </is>
      </c>
      <c r="C134" t="n">
        <v>15</v>
      </c>
      <c r="D134" t="n">
        <v>4</v>
      </c>
      <c r="E134" t="inlineStr">
        <is>
          <t>Input</t>
        </is>
      </c>
      <c r="F134" t="n">
        <v/>
      </c>
      <c r="G134" t="n">
        <v>133.82</v>
      </c>
      <c r="H134" t="inlineStr"/>
      <c r="I134" t="inlineStr">
        <is>
          <t>#,##0</t>
        </is>
      </c>
      <c r="J134" t="b">
        <v>0</v>
      </c>
      <c r="K134" t="b">
        <v>0</v>
      </c>
      <c r="L134" t="n">
        <v>11</v>
      </c>
      <c r="M134" t="inlineStr">
        <is>
          <t>FF0B0280</t>
        </is>
      </c>
      <c r="N134" t="inlineStr">
        <is>
          <t>00000000</t>
        </is>
      </c>
      <c r="O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Balance sheet</t>
        </is>
      </c>
      <c r="B135" t="inlineStr">
        <is>
          <t>E15</t>
        </is>
      </c>
      <c r="C135" t="n">
        <v>15</v>
      </c>
      <c r="D135" t="n">
        <v>5</v>
      </c>
      <c r="E135" t="inlineStr">
        <is>
          <t>Input</t>
        </is>
      </c>
      <c r="F135" t="n">
        <v/>
      </c>
      <c r="G135" t="n">
        <v>158.31</v>
      </c>
      <c r="H135" t="inlineStr"/>
      <c r="I135" t="inlineStr">
        <is>
          <t>#,##0</t>
        </is>
      </c>
      <c r="J135" t="b">
        <v>0</v>
      </c>
      <c r="K135" t="b">
        <v>0</v>
      </c>
      <c r="L135" t="n">
        <v>11</v>
      </c>
      <c r="M135" t="inlineStr">
        <is>
          <t>FF0B0280</t>
        </is>
      </c>
      <c r="N135" t="inlineStr">
        <is>
          <t>00000000</t>
        </is>
      </c>
      <c r="O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Balance sheet</t>
        </is>
      </c>
      <c r="B136" t="inlineStr">
        <is>
          <t>F15</t>
        </is>
      </c>
      <c r="C136" t="n">
        <v>15</v>
      </c>
      <c r="D136" t="n">
        <v>6</v>
      </c>
      <c r="E136" t="inlineStr">
        <is>
          <t>Input</t>
        </is>
      </c>
      <c r="F136" t="n">
        <v/>
      </c>
      <c r="G136" t="n">
        <v>231.64</v>
      </c>
      <c r="H136" t="inlineStr"/>
      <c r="I136" t="inlineStr">
        <is>
          <t>0</t>
        </is>
      </c>
      <c r="J136" t="b">
        <v>0</v>
      </c>
      <c r="K136" t="b">
        <v>0</v>
      </c>
      <c r="L136" t="n">
        <v>11</v>
      </c>
      <c r="M136" t="inlineStr">
        <is>
          <t>FF0B0280</t>
        </is>
      </c>
      <c r="N136" t="inlineStr">
        <is>
          <t>00000000</t>
        </is>
      </c>
      <c r="O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Balance sheet</t>
        </is>
      </c>
      <c r="B137" t="inlineStr">
        <is>
          <t>G15</t>
        </is>
      </c>
      <c r="C137" t="n">
        <v>15</v>
      </c>
      <c r="D137" t="n">
        <v>7</v>
      </c>
      <c r="E137" t="inlineStr">
        <is>
          <t>Input</t>
        </is>
      </c>
      <c r="F137" t="n">
        <v/>
      </c>
      <c r="G137" t="n">
        <v>368.32</v>
      </c>
      <c r="H137" t="inlineStr"/>
      <c r="I137" t="inlineStr">
        <is>
          <t>0</t>
        </is>
      </c>
      <c r="J137" t="b">
        <v>0</v>
      </c>
      <c r="K137" t="b">
        <v>0</v>
      </c>
      <c r="L137" t="n">
        <v>11</v>
      </c>
      <c r="M137" t="inlineStr">
        <is>
          <t>FF0B0280</t>
        </is>
      </c>
      <c r="N137" t="inlineStr">
        <is>
          <t>00000000</t>
        </is>
      </c>
      <c r="O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Balance sheet</t>
        </is>
      </c>
      <c r="B138" t="inlineStr">
        <is>
          <t>H15</t>
        </is>
      </c>
      <c r="C138" t="n">
        <v>15</v>
      </c>
      <c r="D138" t="n">
        <v>8</v>
      </c>
      <c r="E138" t="inlineStr">
        <is>
          <t>Input</t>
        </is>
      </c>
      <c r="F138" t="n">
        <v/>
      </c>
      <c r="G138" t="n">
        <v>522.91</v>
      </c>
      <c r="H138" t="inlineStr"/>
      <c r="I138" t="inlineStr">
        <is>
          <t>#,##0</t>
        </is>
      </c>
      <c r="J138" t="b">
        <v>0</v>
      </c>
      <c r="K138" t="b">
        <v>0</v>
      </c>
      <c r="L138" t="n">
        <v>11</v>
      </c>
      <c r="M138" t="inlineStr">
        <is>
          <t>FF0B0280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Balance sheet</t>
        </is>
      </c>
      <c r="B139" t="inlineStr">
        <is>
          <t>I15</t>
        </is>
      </c>
      <c r="C139" t="n">
        <v>15</v>
      </c>
      <c r="D139" t="n">
        <v>9</v>
      </c>
      <c r="E139" t="inlineStr">
        <is>
          <t>Input</t>
        </is>
      </c>
      <c r="F139" t="n">
        <v/>
      </c>
      <c r="G139" t="n">
        <v>810.64</v>
      </c>
      <c r="H139" t="inlineStr"/>
      <c r="I139" t="inlineStr">
        <is>
          <t>#,##0</t>
        </is>
      </c>
      <c r="J139" t="b">
        <v>0</v>
      </c>
      <c r="K139" t="b">
        <v>0</v>
      </c>
      <c r="L139" t="n">
        <v>11</v>
      </c>
      <c r="M139" t="inlineStr">
        <is>
          <t>FF0B0280</t>
        </is>
      </c>
      <c r="N139" t="inlineStr">
        <is>
          <t>00000000</t>
        </is>
      </c>
      <c r="O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Balance sheet</t>
        </is>
      </c>
      <c r="B140" t="inlineStr">
        <is>
          <t>J15</t>
        </is>
      </c>
      <c r="C140" t="n">
        <v>15</v>
      </c>
      <c r="D140" t="n">
        <v>10</v>
      </c>
      <c r="E140" t="inlineStr">
        <is>
          <t>Input</t>
        </is>
      </c>
      <c r="F140" t="n">
        <v/>
      </c>
      <c r="G140" t="n">
        <v>1223.94</v>
      </c>
      <c r="H140" t="inlineStr"/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FF0B0280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Balance sheet</t>
        </is>
      </c>
      <c r="B141" t="inlineStr">
        <is>
          <t>K15</t>
        </is>
      </c>
      <c r="C141" t="n">
        <v>15</v>
      </c>
      <c r="D141" t="n">
        <v>11</v>
      </c>
      <c r="E141" t="inlineStr">
        <is>
          <t>Calculation</t>
        </is>
      </c>
      <c r="F141" t="inlineStr">
        <is>
          <t>'=J15</t>
        </is>
      </c>
      <c r="G141" t="n">
        <v>1223.94</v>
      </c>
      <c r="H141" t="inlineStr"/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1</v>
      </c>
      <c r="S141" t="inlineStr">
        <is>
          <t>G000173</t>
        </is>
      </c>
      <c r="T141" t="inlineStr">
        <is>
          <t>Horizontal</t>
        </is>
      </c>
      <c r="U141" t="n">
        <v>5</v>
      </c>
      <c r="V141" t="b">
        <v>1</v>
      </c>
      <c r="W141" t="inlineStr">
        <is>
          <t>Balance sheet!K15:O15</t>
        </is>
      </c>
      <c r="X141">
        <f>R[0]C[-1]</f>
        <v/>
      </c>
    </row>
    <row r="142">
      <c r="A142" t="inlineStr">
        <is>
          <t>Balance sheet</t>
        </is>
      </c>
      <c r="B142" t="inlineStr">
        <is>
          <t>L15</t>
        </is>
      </c>
      <c r="C142" t="n">
        <v>15</v>
      </c>
      <c r="D142" t="n">
        <v>12</v>
      </c>
      <c r="E142" t="inlineStr">
        <is>
          <t>Calculation</t>
        </is>
      </c>
      <c r="F142" t="inlineStr">
        <is>
          <t>'=K15</t>
        </is>
      </c>
      <c r="G142" t="n">
        <v>1223.94</v>
      </c>
      <c r="H142" t="inlineStr"/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G000173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Balance sheet!K15:O15</t>
        </is>
      </c>
      <c r="X142">
        <f>R[0]C[-1]</f>
        <v/>
      </c>
    </row>
    <row r="143">
      <c r="A143" t="inlineStr">
        <is>
          <t>Balance sheet</t>
        </is>
      </c>
      <c r="B143" t="inlineStr">
        <is>
          <t>M15</t>
        </is>
      </c>
      <c r="C143" t="n">
        <v>15</v>
      </c>
      <c r="D143" t="n">
        <v>13</v>
      </c>
      <c r="E143" t="inlineStr">
        <is>
          <t>Calculation</t>
        </is>
      </c>
      <c r="F143" t="inlineStr">
        <is>
          <t>'=L15</t>
        </is>
      </c>
      <c r="G143" t="n">
        <v>1223.94</v>
      </c>
      <c r="H143" t="inlineStr"/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G000173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Balance sheet!K15:O15</t>
        </is>
      </c>
      <c r="X143">
        <f>R[0]C[-1]</f>
        <v/>
      </c>
    </row>
    <row r="144">
      <c r="A144" t="inlineStr">
        <is>
          <t>Balance sheet</t>
        </is>
      </c>
      <c r="B144" t="inlineStr">
        <is>
          <t>N15</t>
        </is>
      </c>
      <c r="C144" t="n">
        <v>15</v>
      </c>
      <c r="D144" t="n">
        <v>14</v>
      </c>
      <c r="E144" t="inlineStr">
        <is>
          <t>Calculation</t>
        </is>
      </c>
      <c r="F144" t="inlineStr">
        <is>
          <t>'=M15</t>
        </is>
      </c>
      <c r="G144" t="n">
        <v>1223.94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G000173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Balance sheet!K15:O15</t>
        </is>
      </c>
      <c r="X144">
        <f>R[0]C[-1]</f>
        <v/>
      </c>
    </row>
    <row r="145">
      <c r="A145" t="inlineStr">
        <is>
          <t>Balance sheet</t>
        </is>
      </c>
      <c r="B145" t="inlineStr">
        <is>
          <t>O15</t>
        </is>
      </c>
      <c r="C145" t="n">
        <v>15</v>
      </c>
      <c r="D145" t="n">
        <v>15</v>
      </c>
      <c r="E145" t="inlineStr">
        <is>
          <t>Calculation</t>
        </is>
      </c>
      <c r="F145" t="inlineStr">
        <is>
          <t>'=N15</t>
        </is>
      </c>
      <c r="G145" t="n">
        <v>1223.94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G000173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Balance sheet!K15:O15</t>
        </is>
      </c>
      <c r="X145">
        <f>R[0]C[-1]</f>
        <v/>
      </c>
    </row>
    <row r="146">
      <c r="A146" t="inlineStr">
        <is>
          <t>Balance sheet</t>
        </is>
      </c>
      <c r="B146" t="inlineStr">
        <is>
          <t>A16</t>
        </is>
      </c>
      <c r="C146" t="n">
        <v>16</v>
      </c>
      <c r="D146" t="n">
        <v>1</v>
      </c>
      <c r="E146" t="inlineStr">
        <is>
          <t>Input</t>
        </is>
      </c>
      <c r="F146" t="n">
        <v/>
      </c>
      <c r="G146" t="inlineStr">
        <is>
          <t>Deferred incentives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00000000</t>
        </is>
      </c>
      <c r="O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Balance sheet</t>
        </is>
      </c>
      <c r="B147" t="inlineStr">
        <is>
          <t>D16</t>
        </is>
      </c>
      <c r="C147" t="n">
        <v>16</v>
      </c>
      <c r="D147" t="n">
        <v>4</v>
      </c>
      <c r="E147" t="inlineStr">
        <is>
          <t>Input</t>
        </is>
      </c>
      <c r="F147" t="n">
        <v/>
      </c>
      <c r="G147" t="n">
        <v>4678.16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FF0B0280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Balance sheet</t>
        </is>
      </c>
      <c r="B148" t="inlineStr">
        <is>
          <t>E16</t>
        </is>
      </c>
      <c r="C148" t="n">
        <v>16</v>
      </c>
      <c r="D148" t="n">
        <v>5</v>
      </c>
      <c r="E148" t="inlineStr">
        <is>
          <t>Input</t>
        </is>
      </c>
      <c r="F148" t="n">
        <v/>
      </c>
      <c r="G148" t="n">
        <v>8748.389999999999</v>
      </c>
      <c r="H148" t="inlineStr"/>
      <c r="I148" t="inlineStr">
        <is>
          <t>#,##0</t>
        </is>
      </c>
      <c r="J148" t="b">
        <v>0</v>
      </c>
      <c r="K148" t="b">
        <v>0</v>
      </c>
      <c r="L148" t="n">
        <v>11</v>
      </c>
      <c r="M148" t="inlineStr">
        <is>
          <t>FF0B0280</t>
        </is>
      </c>
      <c r="N148" t="inlineStr">
        <is>
          <t>00000000</t>
        </is>
      </c>
      <c r="O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Balance sheet</t>
        </is>
      </c>
      <c r="B149" t="inlineStr">
        <is>
          <t>F16</t>
        </is>
      </c>
      <c r="C149" t="n">
        <v>16</v>
      </c>
      <c r="D149" t="n">
        <v>6</v>
      </c>
      <c r="E149" t="inlineStr">
        <is>
          <t>Input</t>
        </is>
      </c>
      <c r="F149" t="n">
        <v/>
      </c>
      <c r="G149" t="n">
        <v>11677.54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FF0B0280</t>
        </is>
      </c>
      <c r="N149" t="inlineStr">
        <is>
          <t>00000000</t>
        </is>
      </c>
      <c r="O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Balance sheet</t>
        </is>
      </c>
      <c r="B150" t="inlineStr">
        <is>
          <t>G16</t>
        </is>
      </c>
      <c r="C150" t="n">
        <v>16</v>
      </c>
      <c r="D150" t="n">
        <v>7</v>
      </c>
      <c r="E150" t="inlineStr">
        <is>
          <t>Input</t>
        </is>
      </c>
      <c r="F150" t="n">
        <v/>
      </c>
      <c r="G150" t="n">
        <v>13654.32</v>
      </c>
      <c r="H150" t="inlineStr"/>
      <c r="I150" t="inlineStr">
        <is>
          <t>0</t>
        </is>
      </c>
      <c r="J150" t="b">
        <v>0</v>
      </c>
      <c r="K150" t="b">
        <v>0</v>
      </c>
      <c r="L150" t="n">
        <v>11</v>
      </c>
      <c r="M150" t="inlineStr">
        <is>
          <t>FF0B0280</t>
        </is>
      </c>
      <c r="N150" t="inlineStr">
        <is>
          <t>00000000</t>
        </is>
      </c>
      <c r="O150" t="n">
        <v/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Balance sheet</t>
        </is>
      </c>
      <c r="B151" t="inlineStr">
        <is>
          <t>H16</t>
        </is>
      </c>
      <c r="C151" t="n">
        <v>16</v>
      </c>
      <c r="D151" t="n">
        <v>8</v>
      </c>
      <c r="E151" t="inlineStr">
        <is>
          <t>Input</t>
        </is>
      </c>
      <c r="F151" t="n">
        <v/>
      </c>
      <c r="G151" t="n">
        <v>13317.44</v>
      </c>
      <c r="H151" t="inlineStr"/>
      <c r="I151" t="inlineStr">
        <is>
          <t>#,##0</t>
        </is>
      </c>
      <c r="J151" t="b">
        <v>0</v>
      </c>
      <c r="K151" t="b">
        <v>0</v>
      </c>
      <c r="L151" t="n">
        <v>11</v>
      </c>
      <c r="M151" t="inlineStr">
        <is>
          <t>FF0B0280</t>
        </is>
      </c>
      <c r="N151" t="inlineStr">
        <is>
          <t>00000000</t>
        </is>
      </c>
      <c r="O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Balance sheet</t>
        </is>
      </c>
      <c r="B152" t="inlineStr">
        <is>
          <t>I16</t>
        </is>
      </c>
      <c r="C152" t="n">
        <v>16</v>
      </c>
      <c r="D152" t="n">
        <v>9</v>
      </c>
      <c r="E152" t="inlineStr">
        <is>
          <t>Input</t>
        </is>
      </c>
      <c r="F152" t="n">
        <v/>
      </c>
      <c r="G152" t="n">
        <v>11778.16</v>
      </c>
      <c r="H152" t="inlineStr"/>
      <c r="I152" t="inlineStr">
        <is>
          <t>#,##0</t>
        </is>
      </c>
      <c r="J152" t="b">
        <v>0</v>
      </c>
      <c r="K152" t="b">
        <v>0</v>
      </c>
      <c r="L152" t="n">
        <v>11</v>
      </c>
      <c r="M152" t="inlineStr">
        <is>
          <t>FF0B0280</t>
        </is>
      </c>
      <c r="N152" t="inlineStr">
        <is>
          <t>00000000</t>
        </is>
      </c>
      <c r="O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Balance sheet</t>
        </is>
      </c>
      <c r="B153" t="inlineStr">
        <is>
          <t>J16</t>
        </is>
      </c>
      <c r="C153" t="n">
        <v>16</v>
      </c>
      <c r="D153" t="n">
        <v>10</v>
      </c>
      <c r="E153" t="inlineStr">
        <is>
          <t>Input</t>
        </is>
      </c>
      <c r="F153" t="n">
        <v/>
      </c>
      <c r="G153" t="n">
        <v>16899.9</v>
      </c>
      <c r="H153" t="inlineStr"/>
      <c r="I153" t="inlineStr">
        <is>
          <t>#,##0</t>
        </is>
      </c>
      <c r="J153" t="b">
        <v>0</v>
      </c>
      <c r="K153" t="b">
        <v>0</v>
      </c>
      <c r="L153" t="n">
        <v>11</v>
      </c>
      <c r="M153" t="inlineStr">
        <is>
          <t>FF0B0280</t>
        </is>
      </c>
      <c r="N153" t="inlineStr">
        <is>
          <t>00000000</t>
        </is>
      </c>
      <c r="O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Balance sheet</t>
        </is>
      </c>
      <c r="B154" t="inlineStr">
        <is>
          <t>K16</t>
        </is>
      </c>
      <c r="C154" t="n">
        <v>16</v>
      </c>
      <c r="D154" t="n">
        <v>11</v>
      </c>
      <c r="E154" t="inlineStr">
        <is>
          <t>Calculation</t>
        </is>
      </c>
      <c r="F154" t="inlineStr">
        <is>
          <t>'=Incentive!K7</t>
        </is>
      </c>
      <c r="G154" t="n">
        <v>22271.942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1</v>
      </c>
      <c r="S154" t="inlineStr">
        <is>
          <t>G000191</t>
        </is>
      </c>
      <c r="T154" t="inlineStr">
        <is>
          <t>Horizontal</t>
        </is>
      </c>
      <c r="U154" t="n">
        <v>5</v>
      </c>
      <c r="V154" t="b">
        <v>1</v>
      </c>
      <c r="W154" t="inlineStr">
        <is>
          <t>Balance sheet!K16:O16</t>
        </is>
      </c>
      <c r="X154">
        <f>'Incentive'!R[-9]C[0]</f>
        <v/>
      </c>
    </row>
    <row r="155">
      <c r="A155" t="inlineStr">
        <is>
          <t>Balance sheet</t>
        </is>
      </c>
      <c r="B155" t="inlineStr">
        <is>
          <t>L16</t>
        </is>
      </c>
      <c r="C155" t="n">
        <v>16</v>
      </c>
      <c r="D155" t="n">
        <v>12</v>
      </c>
      <c r="E155" t="inlineStr">
        <is>
          <t>Calculation</t>
        </is>
      </c>
      <c r="F155" t="inlineStr">
        <is>
          <t>'=Incentive!L7</t>
        </is>
      </c>
      <c r="G155" t="n">
        <v>17591.19070782608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G000191</t>
        </is>
      </c>
      <c r="T155" t="inlineStr">
        <is>
          <t>Horizontal</t>
        </is>
      </c>
      <c r="U155" t="n">
        <v>5</v>
      </c>
      <c r="V155" t="b">
        <v>1</v>
      </c>
      <c r="W155" t="inlineStr">
        <is>
          <t>Balance sheet!K16:O16</t>
        </is>
      </c>
      <c r="X155">
        <f>'Incentive'!R[-9]C[0]</f>
        <v/>
      </c>
    </row>
    <row r="156">
      <c r="A156" t="inlineStr">
        <is>
          <t>Balance sheet</t>
        </is>
      </c>
      <c r="B156" t="inlineStr">
        <is>
          <t>M16</t>
        </is>
      </c>
      <c r="C156" t="n">
        <v>16</v>
      </c>
      <c r="D156" t="n">
        <v>13</v>
      </c>
      <c r="E156" t="inlineStr">
        <is>
          <t>Calculation</t>
        </is>
      </c>
      <c r="F156" t="inlineStr">
        <is>
          <t>'=Incentive!M7</t>
        </is>
      </c>
      <c r="G156" t="n">
        <v>24897.58348010433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G000191</t>
        </is>
      </c>
      <c r="T156" t="inlineStr">
        <is>
          <t>Horizontal</t>
        </is>
      </c>
      <c r="U156" t="n">
        <v>5</v>
      </c>
      <c r="V156" t="b">
        <v>1</v>
      </c>
      <c r="W156" t="inlineStr">
        <is>
          <t>Balance sheet!K16:O16</t>
        </is>
      </c>
      <c r="X156">
        <f>'Incentive'!R[-9]C[0]</f>
        <v/>
      </c>
    </row>
    <row r="157">
      <c r="A157" t="inlineStr">
        <is>
          <t>Balance sheet</t>
        </is>
      </c>
      <c r="B157" t="inlineStr">
        <is>
          <t>N16</t>
        </is>
      </c>
      <c r="C157" t="n">
        <v>16</v>
      </c>
      <c r="D157" t="n">
        <v>14</v>
      </c>
      <c r="E157" t="inlineStr">
        <is>
          <t>Calculation</t>
        </is>
      </c>
      <c r="F157" t="inlineStr">
        <is>
          <t>'=Incentive!N7</t>
        </is>
      </c>
      <c r="G157" t="n">
        <v>32074.22986193877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G000191</t>
        </is>
      </c>
      <c r="T157" t="inlineStr">
        <is>
          <t>Horizontal</t>
        </is>
      </c>
      <c r="U157" t="n">
        <v>5</v>
      </c>
      <c r="V157" t="b">
        <v>1</v>
      </c>
      <c r="W157" t="inlineStr">
        <is>
          <t>Balance sheet!K16:O16</t>
        </is>
      </c>
      <c r="X157">
        <f>'Incentive'!R[-9]C[0]</f>
        <v/>
      </c>
    </row>
    <row r="158">
      <c r="A158" t="inlineStr">
        <is>
          <t>Balance sheet</t>
        </is>
      </c>
      <c r="B158" t="inlineStr">
        <is>
          <t>O16</t>
        </is>
      </c>
      <c r="C158" t="n">
        <v>16</v>
      </c>
      <c r="D158" t="n">
        <v>15</v>
      </c>
      <c r="E158" t="inlineStr">
        <is>
          <t>Calculation</t>
        </is>
      </c>
      <c r="F158" t="inlineStr">
        <is>
          <t>'=Incentive!O7</t>
        </is>
      </c>
      <c r="G158" t="n">
        <v>39763.41105209841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G000191</t>
        </is>
      </c>
      <c r="T158" t="inlineStr">
        <is>
          <t>Horizontal</t>
        </is>
      </c>
      <c r="U158" t="n">
        <v>5</v>
      </c>
      <c r="V158" t="b">
        <v>1</v>
      </c>
      <c r="W158" t="inlineStr">
        <is>
          <t>Balance sheet!K16:O16</t>
        </is>
      </c>
      <c r="X158">
        <f>'Incentive'!R[-9]C[0]</f>
        <v/>
      </c>
    </row>
    <row r="159">
      <c r="A159" t="inlineStr">
        <is>
          <t>Balance sheet</t>
        </is>
      </c>
      <c r="B159" t="inlineStr">
        <is>
          <t>A17</t>
        </is>
      </c>
      <c r="C159" t="n">
        <v>17</v>
      </c>
      <c r="D159" t="n">
        <v>1</v>
      </c>
      <c r="E159" t="inlineStr">
        <is>
          <t>Input</t>
        </is>
      </c>
      <c r="F159" t="n">
        <v/>
      </c>
      <c r="G159" t="inlineStr">
        <is>
          <t>Non-current liabilities</t>
        </is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Balance sheet</t>
        </is>
      </c>
      <c r="B160" t="inlineStr">
        <is>
          <t>D17</t>
        </is>
      </c>
      <c r="C160" t="n">
        <v>17</v>
      </c>
      <c r="D160" t="n">
        <v>4</v>
      </c>
      <c r="E160" t="inlineStr">
        <is>
          <t>Calculation</t>
        </is>
      </c>
      <c r="F160" t="inlineStr">
        <is>
          <t>'=SUM(D12:D16)</t>
        </is>
      </c>
      <c r="G160" t="n">
        <v>13896.34</v>
      </c>
      <c r="H160" t="inlineStr"/>
      <c r="I160" t="inlineStr">
        <is>
          <t>0</t>
        </is>
      </c>
      <c r="J160" t="b">
        <v>1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G000192</t>
        </is>
      </c>
      <c r="T160" t="inlineStr">
        <is>
          <t>Horizontal</t>
        </is>
      </c>
      <c r="U160" t="n">
        <v>12</v>
      </c>
      <c r="V160" t="b">
        <v>1</v>
      </c>
      <c r="W160" t="inlineStr">
        <is>
          <t>Balance sheet!D17:O17</t>
        </is>
      </c>
      <c r="X160">
        <f>SUM(R[-5]C[0]:R[-1]C[0])</f>
        <v/>
      </c>
    </row>
    <row r="161">
      <c r="A161" t="inlineStr">
        <is>
          <t>Balance sheet</t>
        </is>
      </c>
      <c r="B161" t="inlineStr">
        <is>
          <t>E17</t>
        </is>
      </c>
      <c r="C161" t="n">
        <v>17</v>
      </c>
      <c r="D161" t="n">
        <v>5</v>
      </c>
      <c r="E161" t="inlineStr">
        <is>
          <t>Calculation</t>
        </is>
      </c>
      <c r="F161" t="inlineStr">
        <is>
          <t>'=SUM(E12:E16)</t>
        </is>
      </c>
      <c r="G161" t="n">
        <v>20755.97</v>
      </c>
      <c r="H161" t="inlineStr"/>
      <c r="I161" t="inlineStr">
        <is>
          <t>0</t>
        </is>
      </c>
      <c r="J161" t="b">
        <v>1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1</v>
      </c>
      <c r="S161" t="inlineStr">
        <is>
          <t>G000192</t>
        </is>
      </c>
      <c r="T161" t="inlineStr">
        <is>
          <t>Horizontal</t>
        </is>
      </c>
      <c r="U161" t="n">
        <v>12</v>
      </c>
      <c r="V161" t="b">
        <v>1</v>
      </c>
      <c r="W161" t="inlineStr">
        <is>
          <t>Balance sheet!D17:O17</t>
        </is>
      </c>
      <c r="X161">
        <f>SUM(R[-5]C[0]:R[-1]C[0])</f>
        <v/>
      </c>
    </row>
    <row r="162">
      <c r="A162" t="inlineStr">
        <is>
          <t>Balance sheet</t>
        </is>
      </c>
      <c r="B162" t="inlineStr">
        <is>
          <t>F17</t>
        </is>
      </c>
      <c r="C162" t="n">
        <v>17</v>
      </c>
      <c r="D162" t="n">
        <v>6</v>
      </c>
      <c r="E162" t="inlineStr">
        <is>
          <t>Calculation</t>
        </is>
      </c>
      <c r="F162" t="inlineStr">
        <is>
          <t>'=SUM(F12:F16)</t>
        </is>
      </c>
      <c r="G162" t="n">
        <v>35854.47</v>
      </c>
      <c r="H162" t="inlineStr"/>
      <c r="I162" t="inlineStr">
        <is>
          <t>0</t>
        </is>
      </c>
      <c r="J162" t="b">
        <v>1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G000192</t>
        </is>
      </c>
      <c r="T162" t="inlineStr">
        <is>
          <t>Horizontal</t>
        </is>
      </c>
      <c r="U162" t="n">
        <v>12</v>
      </c>
      <c r="V162" t="b">
        <v>1</v>
      </c>
      <c r="W162" t="inlineStr">
        <is>
          <t>Balance sheet!D17:O17</t>
        </is>
      </c>
      <c r="X162">
        <f>SUM(R[-5]C[0]:R[-1]C[0])</f>
        <v/>
      </c>
    </row>
    <row r="163">
      <c r="A163" t="inlineStr">
        <is>
          <t>Balance sheet</t>
        </is>
      </c>
      <c r="B163" t="inlineStr">
        <is>
          <t>G17</t>
        </is>
      </c>
      <c r="C163" t="n">
        <v>17</v>
      </c>
      <c r="D163" t="n">
        <v>7</v>
      </c>
      <c r="E163" t="inlineStr">
        <is>
          <t>Calculation</t>
        </is>
      </c>
      <c r="F163" t="inlineStr">
        <is>
          <t>'=SUM(G12:G16)</t>
        </is>
      </c>
      <c r="G163" t="n">
        <v>58310.74</v>
      </c>
      <c r="H163" t="inlineStr"/>
      <c r="I163" t="inlineStr">
        <is>
          <t>0</t>
        </is>
      </c>
      <c r="J163" t="b">
        <v>1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G000192</t>
        </is>
      </c>
      <c r="T163" t="inlineStr">
        <is>
          <t>Horizontal</t>
        </is>
      </c>
      <c r="U163" t="n">
        <v>12</v>
      </c>
      <c r="V163" t="b">
        <v>1</v>
      </c>
      <c r="W163" t="inlineStr">
        <is>
          <t>Balance sheet!D17:O17</t>
        </is>
      </c>
      <c r="X163">
        <f>SUM(R[-5]C[0]:R[-1]C[0])</f>
        <v/>
      </c>
    </row>
    <row r="164">
      <c r="A164" t="inlineStr">
        <is>
          <t>Balance sheet</t>
        </is>
      </c>
      <c r="B164" t="inlineStr">
        <is>
          <t>H17</t>
        </is>
      </c>
      <c r="C164" t="n">
        <v>17</v>
      </c>
      <c r="D164" t="n">
        <v>8</v>
      </c>
      <c r="E164" t="inlineStr">
        <is>
          <t>Calculation</t>
        </is>
      </c>
      <c r="F164" t="inlineStr">
        <is>
          <t>'=SUM(H12:H16)</t>
        </is>
      </c>
      <c r="G164" t="n">
        <v>73985.23</v>
      </c>
      <c r="H164" t="inlineStr"/>
      <c r="I164" t="inlineStr">
        <is>
          <t>0</t>
        </is>
      </c>
      <c r="J164" t="b">
        <v>1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G000192</t>
        </is>
      </c>
      <c r="T164" t="inlineStr">
        <is>
          <t>Horizontal</t>
        </is>
      </c>
      <c r="U164" t="n">
        <v>12</v>
      </c>
      <c r="V164" t="b">
        <v>1</v>
      </c>
      <c r="W164" t="inlineStr">
        <is>
          <t>Balance sheet!D17:O17</t>
        </is>
      </c>
      <c r="X164">
        <f>SUM(R[-5]C[0]:R[-1]C[0])</f>
        <v/>
      </c>
    </row>
    <row r="165">
      <c r="A165" t="inlineStr">
        <is>
          <t>Balance sheet</t>
        </is>
      </c>
      <c r="B165" t="inlineStr">
        <is>
          <t>I17</t>
        </is>
      </c>
      <c r="C165" t="n">
        <v>17</v>
      </c>
      <c r="D165" t="n">
        <v>9</v>
      </c>
      <c r="E165" t="inlineStr">
        <is>
          <t>Calculation</t>
        </is>
      </c>
      <c r="F165" t="inlineStr">
        <is>
          <t>'=SUM(I12:I16)</t>
        </is>
      </c>
      <c r="G165" t="n">
        <v>71989.60000000001</v>
      </c>
      <c r="H165" t="inlineStr"/>
      <c r="I165" t="inlineStr">
        <is>
          <t>0</t>
        </is>
      </c>
      <c r="J165" t="b">
        <v>1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G000192</t>
        </is>
      </c>
      <c r="T165" t="inlineStr">
        <is>
          <t>Horizontal</t>
        </is>
      </c>
      <c r="U165" t="n">
        <v>12</v>
      </c>
      <c r="V165" t="b">
        <v>1</v>
      </c>
      <c r="W165" t="inlineStr">
        <is>
          <t>Balance sheet!D17:O17</t>
        </is>
      </c>
      <c r="X165">
        <f>SUM(R[-5]C[0]:R[-1]C[0])</f>
        <v/>
      </c>
    </row>
    <row r="166">
      <c r="A166" t="inlineStr">
        <is>
          <t>Balance sheet</t>
        </is>
      </c>
      <c r="B166" t="inlineStr">
        <is>
          <t>J17</t>
        </is>
      </c>
      <c r="C166" t="n">
        <v>17</v>
      </c>
      <c r="D166" t="n">
        <v>10</v>
      </c>
      <c r="E166" t="inlineStr">
        <is>
          <t>Calculation</t>
        </is>
      </c>
      <c r="F166" t="inlineStr">
        <is>
          <t>'=SUM(J12:J16)</t>
        </is>
      </c>
      <c r="G166" t="n">
        <v>66459.32000000001</v>
      </c>
      <c r="H166" t="inlineStr"/>
      <c r="I166" t="inlineStr">
        <is>
          <t>0</t>
        </is>
      </c>
      <c r="J166" t="b">
        <v>1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G000192</t>
        </is>
      </c>
      <c r="T166" t="inlineStr">
        <is>
          <t>Horizontal</t>
        </is>
      </c>
      <c r="U166" t="n">
        <v>12</v>
      </c>
      <c r="V166" t="b">
        <v>1</v>
      </c>
      <c r="W166" t="inlineStr">
        <is>
          <t>Balance sheet!D17:O17</t>
        </is>
      </c>
      <c r="X166">
        <f>SUM(R[-5]C[0]:R[-1]C[0])</f>
        <v/>
      </c>
    </row>
    <row r="167">
      <c r="A167" t="inlineStr">
        <is>
          <t>Balance sheet</t>
        </is>
      </c>
      <c r="B167" t="inlineStr">
        <is>
          <t>K17</t>
        </is>
      </c>
      <c r="C167" t="n">
        <v>17</v>
      </c>
      <c r="D167" t="n">
        <v>11</v>
      </c>
      <c r="E167" t="inlineStr">
        <is>
          <t>Calculation</t>
        </is>
      </c>
      <c r="F167" t="inlineStr">
        <is>
          <t>'=SUM(K12:K16)</t>
        </is>
      </c>
      <c r="G167" t="n">
        <v>87701.9907267469</v>
      </c>
      <c r="H167" t="inlineStr"/>
      <c r="I167" t="inlineStr">
        <is>
          <t>0</t>
        </is>
      </c>
      <c r="J167" t="b">
        <v>1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G000192</t>
        </is>
      </c>
      <c r="T167" t="inlineStr">
        <is>
          <t>Horizontal</t>
        </is>
      </c>
      <c r="U167" t="n">
        <v>12</v>
      </c>
      <c r="V167" t="b">
        <v>1</v>
      </c>
      <c r="W167" t="inlineStr">
        <is>
          <t>Balance sheet!D17:O17</t>
        </is>
      </c>
      <c r="X167">
        <f>SUM(R[-5]C[0]:R[-1]C[0])</f>
        <v/>
      </c>
    </row>
    <row r="168">
      <c r="A168" t="inlineStr">
        <is>
          <t>Balance sheet</t>
        </is>
      </c>
      <c r="B168" t="inlineStr">
        <is>
          <t>L17</t>
        </is>
      </c>
      <c r="C168" t="n">
        <v>17</v>
      </c>
      <c r="D168" t="n">
        <v>12</v>
      </c>
      <c r="E168" t="inlineStr">
        <is>
          <t>Calculation</t>
        </is>
      </c>
      <c r="F168" t="inlineStr">
        <is>
          <t>'=SUM(L12:L16)</t>
        </is>
      </c>
      <c r="G168" t="n">
        <v>96416.68382805955</v>
      </c>
      <c r="H168" t="inlineStr"/>
      <c r="I168" t="inlineStr">
        <is>
          <t>0</t>
        </is>
      </c>
      <c r="J168" t="b">
        <v>1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n">
        <v/>
      </c>
      <c r="R168" t="b">
        <v>1</v>
      </c>
      <c r="S168" t="inlineStr">
        <is>
          <t>G000192</t>
        </is>
      </c>
      <c r="T168" t="inlineStr">
        <is>
          <t>Horizontal</t>
        </is>
      </c>
      <c r="U168" t="n">
        <v>12</v>
      </c>
      <c r="V168" t="b">
        <v>1</v>
      </c>
      <c r="W168" t="inlineStr">
        <is>
          <t>Balance sheet!D17:O17</t>
        </is>
      </c>
      <c r="X168">
        <f>SUM(R[-5]C[0]:R[-1]C[0])</f>
        <v/>
      </c>
    </row>
    <row r="169">
      <c r="A169" t="inlineStr">
        <is>
          <t>Balance sheet</t>
        </is>
      </c>
      <c r="B169" t="inlineStr">
        <is>
          <t>M17</t>
        </is>
      </c>
      <c r="C169" t="n">
        <v>17</v>
      </c>
      <c r="D169" t="n">
        <v>13</v>
      </c>
      <c r="E169" t="inlineStr">
        <is>
          <t>Calculation</t>
        </is>
      </c>
      <c r="F169" t="inlineStr">
        <is>
          <t>'=SUM(M12:M16)</t>
        </is>
      </c>
      <c r="G169" t="n">
        <v>117966.503200498</v>
      </c>
      <c r="H169" t="inlineStr"/>
      <c r="I169" t="inlineStr">
        <is>
          <t>0</t>
        </is>
      </c>
      <c r="J169" t="b">
        <v>1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G000192</t>
        </is>
      </c>
      <c r="T169" t="inlineStr">
        <is>
          <t>Horizontal</t>
        </is>
      </c>
      <c r="U169" t="n">
        <v>12</v>
      </c>
      <c r="V169" t="b">
        <v>1</v>
      </c>
      <c r="W169" t="inlineStr">
        <is>
          <t>Balance sheet!D17:O17</t>
        </is>
      </c>
      <c r="X169">
        <f>SUM(R[-5]C[0]:R[-1]C[0])</f>
        <v/>
      </c>
    </row>
    <row r="170">
      <c r="A170" t="inlineStr">
        <is>
          <t>Balance sheet</t>
        </is>
      </c>
      <c r="B170" t="inlineStr">
        <is>
          <t>N17</t>
        </is>
      </c>
      <c r="C170" t="n">
        <v>17</v>
      </c>
      <c r="D170" t="n">
        <v>14</v>
      </c>
      <c r="E170" t="inlineStr">
        <is>
          <t>Calculation</t>
        </is>
      </c>
      <c r="F170" t="inlineStr">
        <is>
          <t>'=SUM(N12:N16)</t>
        </is>
      </c>
      <c r="G170" t="n">
        <v>140564.7854747994</v>
      </c>
      <c r="H170" t="inlineStr"/>
      <c r="I170" t="inlineStr">
        <is>
          <t>0</t>
        </is>
      </c>
      <c r="J170" t="b">
        <v>1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G000192</t>
        </is>
      </c>
      <c r="T170" t="inlineStr">
        <is>
          <t>Horizontal</t>
        </is>
      </c>
      <c r="U170" t="n">
        <v>12</v>
      </c>
      <c r="V170" t="b">
        <v>1</v>
      </c>
      <c r="W170" t="inlineStr">
        <is>
          <t>Balance sheet!D17:O17</t>
        </is>
      </c>
      <c r="X170">
        <f>SUM(R[-5]C[0]:R[-1]C[0])</f>
        <v/>
      </c>
    </row>
    <row r="171">
      <c r="A171" t="inlineStr">
        <is>
          <t>Balance sheet</t>
        </is>
      </c>
      <c r="B171" t="inlineStr">
        <is>
          <t>O17</t>
        </is>
      </c>
      <c r="C171" t="n">
        <v>17</v>
      </c>
      <c r="D171" t="n">
        <v>15</v>
      </c>
      <c r="E171" t="inlineStr">
        <is>
          <t>Calculation</t>
        </is>
      </c>
      <c r="F171" t="inlineStr">
        <is>
          <t>'=SUM(O12:O16)</t>
        </is>
      </c>
      <c r="G171" t="n">
        <v>165355.9789640051</v>
      </c>
      <c r="H171" t="inlineStr"/>
      <c r="I171" t="inlineStr">
        <is>
          <t>0</t>
        </is>
      </c>
      <c r="J171" t="b">
        <v>1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R171" t="b">
        <v>1</v>
      </c>
      <c r="S171" t="inlineStr">
        <is>
          <t>G000192</t>
        </is>
      </c>
      <c r="T171" t="inlineStr">
        <is>
          <t>Horizontal</t>
        </is>
      </c>
      <c r="U171" t="n">
        <v>12</v>
      </c>
      <c r="V171" t="b">
        <v>1</v>
      </c>
      <c r="W171" t="inlineStr">
        <is>
          <t>Balance sheet!D17:O17</t>
        </is>
      </c>
      <c r="X171">
        <f>SUM(R[-5]C[0]:R[-1]C[0])</f>
        <v/>
      </c>
    </row>
    <row r="172">
      <c r="A172" t="inlineStr">
        <is>
          <t>Balance sheet</t>
        </is>
      </c>
      <c r="B172" t="inlineStr">
        <is>
          <t>D18</t>
        </is>
      </c>
      <c r="C172" t="n">
        <v>18</v>
      </c>
      <c r="D172" t="n">
        <v>4</v>
      </c>
      <c r="E172" t="inlineStr">
        <is>
          <t>Calculation</t>
        </is>
      </c>
      <c r="F172" t="inlineStr">
        <is>
          <t>'='Cost Matrix'!D30</t>
        </is>
      </c>
      <c r="G172" t="n">
        <v>-2273.94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n">
        <v/>
      </c>
      <c r="R172" t="b">
        <v>1</v>
      </c>
      <c r="S172" t="inlineStr">
        <is>
          <t>G000194</t>
        </is>
      </c>
      <c r="T172" t="inlineStr">
        <is>
          <t>Horizontal</t>
        </is>
      </c>
      <c r="U172" t="n">
        <v>7</v>
      </c>
      <c r="V172" t="b">
        <v>1</v>
      </c>
      <c r="W172" t="inlineStr">
        <is>
          <t>Balance sheet!D18:J18</t>
        </is>
      </c>
      <c r="X172">
        <f>'Cost Matrix'!R[12]C[0]</f>
        <v/>
      </c>
    </row>
    <row r="173">
      <c r="A173" t="inlineStr">
        <is>
          <t>Balance sheet</t>
        </is>
      </c>
      <c r="B173" t="inlineStr">
        <is>
          <t>E18</t>
        </is>
      </c>
      <c r="C173" t="n">
        <v>18</v>
      </c>
      <c r="D173" t="n">
        <v>5</v>
      </c>
      <c r="E173" t="inlineStr">
        <is>
          <t>Calculation</t>
        </is>
      </c>
      <c r="F173" t="inlineStr">
        <is>
          <t>'='Cost Matrix'!E30</t>
        </is>
      </c>
      <c r="G173" t="n">
        <v>-2627.25</v>
      </c>
      <c r="H173" t="inlineStr"/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n">
        <v/>
      </c>
      <c r="R173" t="b">
        <v>1</v>
      </c>
      <c r="S173" t="inlineStr">
        <is>
          <t>G000194</t>
        </is>
      </c>
      <c r="T173" t="inlineStr">
        <is>
          <t>Horizontal</t>
        </is>
      </c>
      <c r="U173" t="n">
        <v>7</v>
      </c>
      <c r="V173" t="b">
        <v>1</v>
      </c>
      <c r="W173" t="inlineStr">
        <is>
          <t>Balance sheet!D18:J18</t>
        </is>
      </c>
      <c r="X173">
        <f>'Cost Matrix'!R[12]C[0]</f>
        <v/>
      </c>
    </row>
    <row r="174">
      <c r="A174" t="inlineStr">
        <is>
          <t>Balance sheet</t>
        </is>
      </c>
      <c r="B174" t="inlineStr">
        <is>
          <t>F18</t>
        </is>
      </c>
      <c r="C174" t="n">
        <v>18</v>
      </c>
      <c r="D174" t="n">
        <v>6</v>
      </c>
      <c r="E174" t="inlineStr">
        <is>
          <t>Calculation</t>
        </is>
      </c>
      <c r="F174" t="inlineStr">
        <is>
          <t>'='Cost Matrix'!F30</t>
        </is>
      </c>
      <c r="G174" t="n">
        <v>-3588.03</v>
      </c>
      <c r="H174" t="inlineStr"/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R174" t="b">
        <v>1</v>
      </c>
      <c r="S174" t="inlineStr">
        <is>
          <t>G000194</t>
        </is>
      </c>
      <c r="T174" t="inlineStr">
        <is>
          <t>Horizontal</t>
        </is>
      </c>
      <c r="U174" t="n">
        <v>7</v>
      </c>
      <c r="V174" t="b">
        <v>1</v>
      </c>
      <c r="W174" t="inlineStr">
        <is>
          <t>Balance sheet!D18:J18</t>
        </is>
      </c>
      <c r="X174">
        <f>'Cost Matrix'!R[12]C[0]</f>
        <v/>
      </c>
    </row>
    <row r="175">
      <c r="A175" t="inlineStr">
        <is>
          <t>Balance sheet</t>
        </is>
      </c>
      <c r="B175" t="inlineStr">
        <is>
          <t>G18</t>
        </is>
      </c>
      <c r="C175" t="n">
        <v>18</v>
      </c>
      <c r="D175" t="n">
        <v>7</v>
      </c>
      <c r="E175" t="inlineStr">
        <is>
          <t>Calculation</t>
        </is>
      </c>
      <c r="F175" t="inlineStr">
        <is>
          <t>'='Cost Matrix'!G30</t>
        </is>
      </c>
      <c r="G175" t="n">
        <v>-3607.17</v>
      </c>
      <c r="H175" t="inlineStr"/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00000000</t>
        </is>
      </c>
      <c r="O175" t="n">
        <v/>
      </c>
      <c r="R175" t="b">
        <v>1</v>
      </c>
      <c r="S175" t="inlineStr">
        <is>
          <t>G000194</t>
        </is>
      </c>
      <c r="T175" t="inlineStr">
        <is>
          <t>Horizontal</t>
        </is>
      </c>
      <c r="U175" t="n">
        <v>7</v>
      </c>
      <c r="V175" t="b">
        <v>1</v>
      </c>
      <c r="W175" t="inlineStr">
        <is>
          <t>Balance sheet!D18:J18</t>
        </is>
      </c>
      <c r="X175">
        <f>'Cost Matrix'!R[12]C[0]</f>
        <v/>
      </c>
    </row>
    <row r="176">
      <c r="A176" t="inlineStr">
        <is>
          <t>Balance sheet</t>
        </is>
      </c>
      <c r="B176" t="inlineStr">
        <is>
          <t>H18</t>
        </is>
      </c>
      <c r="C176" t="n">
        <v>18</v>
      </c>
      <c r="D176" t="n">
        <v>8</v>
      </c>
      <c r="E176" t="inlineStr">
        <is>
          <t>Calculation</t>
        </is>
      </c>
      <c r="F176" t="inlineStr">
        <is>
          <t>'='Cost Matrix'!H30</t>
        </is>
      </c>
      <c r="G176" t="n">
        <v>-3553.12</v>
      </c>
      <c r="H176" t="inlineStr"/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n">
        <v/>
      </c>
      <c r="R176" t="b">
        <v>1</v>
      </c>
      <c r="S176" t="inlineStr">
        <is>
          <t>G000194</t>
        </is>
      </c>
      <c r="T176" t="inlineStr">
        <is>
          <t>Horizontal</t>
        </is>
      </c>
      <c r="U176" t="n">
        <v>7</v>
      </c>
      <c r="V176" t="b">
        <v>1</v>
      </c>
      <c r="W176" t="inlineStr">
        <is>
          <t>Balance sheet!D18:J18</t>
        </is>
      </c>
      <c r="X176">
        <f>'Cost Matrix'!R[12]C[0]</f>
        <v/>
      </c>
    </row>
    <row r="177">
      <c r="A177" t="inlineStr">
        <is>
          <t>Balance sheet</t>
        </is>
      </c>
      <c r="B177" t="inlineStr">
        <is>
          <t>I18</t>
        </is>
      </c>
      <c r="C177" t="n">
        <v>18</v>
      </c>
      <c r="D177" t="n">
        <v>9</v>
      </c>
      <c r="E177" t="inlineStr">
        <is>
          <t>Calculation</t>
        </is>
      </c>
      <c r="F177" t="inlineStr">
        <is>
          <t>'='Cost Matrix'!I30</t>
        </is>
      </c>
      <c r="G177" t="n">
        <v>-3565.96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00000000</t>
        </is>
      </c>
      <c r="O177" t="n">
        <v/>
      </c>
      <c r="R177" t="b">
        <v>1</v>
      </c>
      <c r="S177" t="inlineStr">
        <is>
          <t>G000194</t>
        </is>
      </c>
      <c r="T177" t="inlineStr">
        <is>
          <t>Horizontal</t>
        </is>
      </c>
      <c r="U177" t="n">
        <v>7</v>
      </c>
      <c r="V177" t="b">
        <v>1</v>
      </c>
      <c r="W177" t="inlineStr">
        <is>
          <t>Balance sheet!D18:J18</t>
        </is>
      </c>
      <c r="X177">
        <f>'Cost Matrix'!R[12]C[0]</f>
        <v/>
      </c>
    </row>
    <row r="178">
      <c r="A178" t="inlineStr">
        <is>
          <t>Balance sheet</t>
        </is>
      </c>
      <c r="B178" t="inlineStr">
        <is>
          <t>J18</t>
        </is>
      </c>
      <c r="C178" t="n">
        <v>18</v>
      </c>
      <c r="D178" t="n">
        <v>10</v>
      </c>
      <c r="E178" t="inlineStr">
        <is>
          <t>Calculation</t>
        </is>
      </c>
      <c r="F178" t="inlineStr">
        <is>
          <t>'='Cost Matrix'!J30</t>
        </is>
      </c>
      <c r="G178" t="n">
        <v>-5332</v>
      </c>
      <c r="H178" t="inlineStr"/>
      <c r="I178" t="inlineStr">
        <is>
          <t>#,##0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00000000</t>
        </is>
      </c>
      <c r="O178" t="n">
        <v/>
      </c>
      <c r="R178" t="b">
        <v>1</v>
      </c>
      <c r="S178" t="inlineStr">
        <is>
          <t>G000194</t>
        </is>
      </c>
      <c r="T178" t="inlineStr">
        <is>
          <t>Horizontal</t>
        </is>
      </c>
      <c r="U178" t="n">
        <v>7</v>
      </c>
      <c r="V178" t="b">
        <v>1</v>
      </c>
      <c r="W178" t="inlineStr">
        <is>
          <t>Balance sheet!D18:J18</t>
        </is>
      </c>
      <c r="X178">
        <f>'Cost Matrix'!R[12]C[0]</f>
        <v/>
      </c>
    </row>
    <row r="179">
      <c r="A179" t="inlineStr">
        <is>
          <t>Balance sheet</t>
        </is>
      </c>
      <c r="B179" t="inlineStr">
        <is>
          <t>D19</t>
        </is>
      </c>
      <c r="C179" t="n">
        <v>19</v>
      </c>
      <c r="D179" t="n">
        <v>4</v>
      </c>
      <c r="E179" t="inlineStr">
        <is>
          <t>Output</t>
        </is>
      </c>
      <c r="F179" t="inlineStr">
        <is>
          <t>'=D18/D16</t>
        </is>
      </c>
      <c r="G179" t="n">
        <v>-0.486075722078766</v>
      </c>
      <c r="H179" t="inlineStr"/>
      <c r="I179" t="inlineStr">
        <is>
          <t>0%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G000195</t>
        </is>
      </c>
      <c r="T179" t="inlineStr">
        <is>
          <t>Horizontal</t>
        </is>
      </c>
      <c r="U179" t="n">
        <v>7</v>
      </c>
      <c r="V179" t="b">
        <v>1</v>
      </c>
      <c r="W179" t="inlineStr">
        <is>
          <t>Balance sheet!D19:J19</t>
        </is>
      </c>
      <c r="X179">
        <f>R[-1]C[0]/R[-3]C[0]</f>
        <v/>
      </c>
    </row>
    <row r="180">
      <c r="A180" t="inlineStr">
        <is>
          <t>Balance sheet</t>
        </is>
      </c>
      <c r="B180" t="inlineStr">
        <is>
          <t>E19</t>
        </is>
      </c>
      <c r="C180" t="n">
        <v>19</v>
      </c>
      <c r="D180" t="n">
        <v>5</v>
      </c>
      <c r="E180" t="inlineStr">
        <is>
          <t>Output</t>
        </is>
      </c>
      <c r="F180" t="inlineStr">
        <is>
          <t>'=E18/E16</t>
        </is>
      </c>
      <c r="G180" t="n">
        <v>-0.3003124003388052</v>
      </c>
      <c r="H180" t="inlineStr"/>
      <c r="I180" t="inlineStr">
        <is>
          <t>0%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G000195</t>
        </is>
      </c>
      <c r="T180" t="inlineStr">
        <is>
          <t>Horizontal</t>
        </is>
      </c>
      <c r="U180" t="n">
        <v>7</v>
      </c>
      <c r="V180" t="b">
        <v>1</v>
      </c>
      <c r="W180" t="inlineStr">
        <is>
          <t>Balance sheet!D19:J19</t>
        </is>
      </c>
      <c r="X180">
        <f>R[-1]C[0]/R[-3]C[0]</f>
        <v/>
      </c>
    </row>
    <row r="181">
      <c r="A181" t="inlineStr">
        <is>
          <t>Balance sheet</t>
        </is>
      </c>
      <c r="B181" t="inlineStr">
        <is>
          <t>F19</t>
        </is>
      </c>
      <c r="C181" t="n">
        <v>19</v>
      </c>
      <c r="D181" t="n">
        <v>6</v>
      </c>
      <c r="E181" t="inlineStr">
        <is>
          <t>Output</t>
        </is>
      </c>
      <c r="F181" t="inlineStr">
        <is>
          <t>'=F18/F16</t>
        </is>
      </c>
      <c r="G181" t="n">
        <v>-0.3072590631245964</v>
      </c>
      <c r="H181" t="inlineStr"/>
      <c r="I181" t="inlineStr">
        <is>
          <t>0%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G000195</t>
        </is>
      </c>
      <c r="T181" t="inlineStr">
        <is>
          <t>Horizontal</t>
        </is>
      </c>
      <c r="U181" t="n">
        <v>7</v>
      </c>
      <c r="V181" t="b">
        <v>1</v>
      </c>
      <c r="W181" t="inlineStr">
        <is>
          <t>Balance sheet!D19:J19</t>
        </is>
      </c>
      <c r="X181">
        <f>R[-1]C[0]/R[-3]C[0]</f>
        <v/>
      </c>
    </row>
    <row r="182">
      <c r="A182" t="inlineStr">
        <is>
          <t>Balance sheet</t>
        </is>
      </c>
      <c r="B182" t="inlineStr">
        <is>
          <t>G19</t>
        </is>
      </c>
      <c r="C182" t="n">
        <v>19</v>
      </c>
      <c r="D182" t="n">
        <v>7</v>
      </c>
      <c r="E182" t="inlineStr">
        <is>
          <t>Output</t>
        </is>
      </c>
      <c r="F182" t="inlineStr">
        <is>
          <t>'=G18/G16</t>
        </is>
      </c>
      <c r="G182" t="n">
        <v>-0.2641779305011162</v>
      </c>
      <c r="H182" t="inlineStr"/>
      <c r="I182" t="inlineStr">
        <is>
          <t>0%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R182" t="b">
        <v>1</v>
      </c>
      <c r="S182" t="inlineStr">
        <is>
          <t>G000195</t>
        </is>
      </c>
      <c r="T182" t="inlineStr">
        <is>
          <t>Horizontal</t>
        </is>
      </c>
      <c r="U182" t="n">
        <v>7</v>
      </c>
      <c r="V182" t="b">
        <v>1</v>
      </c>
      <c r="W182" t="inlineStr">
        <is>
          <t>Balance sheet!D19:J19</t>
        </is>
      </c>
      <c r="X182">
        <f>R[-1]C[0]/R[-3]C[0]</f>
        <v/>
      </c>
    </row>
    <row r="183">
      <c r="A183" t="inlineStr">
        <is>
          <t>Balance sheet</t>
        </is>
      </c>
      <c r="B183" t="inlineStr">
        <is>
          <t>H19</t>
        </is>
      </c>
      <c r="C183" t="n">
        <v>19</v>
      </c>
      <c r="D183" t="n">
        <v>8</v>
      </c>
      <c r="E183" t="inlineStr">
        <is>
          <t>Output</t>
        </is>
      </c>
      <c r="F183" t="inlineStr">
        <is>
          <t>'=H18/H16</t>
        </is>
      </c>
      <c r="G183" t="n">
        <v>-0.2668020280173967</v>
      </c>
      <c r="H183" t="inlineStr"/>
      <c r="I183" t="inlineStr">
        <is>
          <t>0%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R183" t="b">
        <v>1</v>
      </c>
      <c r="S183" t="inlineStr">
        <is>
          <t>G000195</t>
        </is>
      </c>
      <c r="T183" t="inlineStr">
        <is>
          <t>Horizontal</t>
        </is>
      </c>
      <c r="U183" t="n">
        <v>7</v>
      </c>
      <c r="V183" t="b">
        <v>1</v>
      </c>
      <c r="W183" t="inlineStr">
        <is>
          <t>Balance sheet!D19:J19</t>
        </is>
      </c>
      <c r="X183">
        <f>R[-1]C[0]/R[-3]C[0]</f>
        <v/>
      </c>
    </row>
    <row r="184">
      <c r="A184" t="inlineStr">
        <is>
          <t>Balance sheet</t>
        </is>
      </c>
      <c r="B184" t="inlineStr">
        <is>
          <t>I19</t>
        </is>
      </c>
      <c r="C184" t="n">
        <v>19</v>
      </c>
      <c r="D184" t="n">
        <v>9</v>
      </c>
      <c r="E184" t="inlineStr">
        <is>
          <t>Output</t>
        </is>
      </c>
      <c r="F184" t="inlineStr">
        <is>
          <t>'=I18/I16</t>
        </is>
      </c>
      <c r="G184" t="n">
        <v>-0.3027603632485889</v>
      </c>
      <c r="H184" t="inlineStr"/>
      <c r="I184" t="inlineStr">
        <is>
          <t>0%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R184" t="b">
        <v>1</v>
      </c>
      <c r="S184" t="inlineStr">
        <is>
          <t>G000195</t>
        </is>
      </c>
      <c r="T184" t="inlineStr">
        <is>
          <t>Horizontal</t>
        </is>
      </c>
      <c r="U184" t="n">
        <v>7</v>
      </c>
      <c r="V184" t="b">
        <v>1</v>
      </c>
      <c r="W184" t="inlineStr">
        <is>
          <t>Balance sheet!D19:J19</t>
        </is>
      </c>
      <c r="X184">
        <f>R[-1]C[0]/R[-3]C[0]</f>
        <v/>
      </c>
    </row>
    <row r="185">
      <c r="A185" t="inlineStr">
        <is>
          <t>Balance sheet</t>
        </is>
      </c>
      <c r="B185" t="inlineStr">
        <is>
          <t>J19</t>
        </is>
      </c>
      <c r="C185" t="n">
        <v>19</v>
      </c>
      <c r="D185" t="n">
        <v>10</v>
      </c>
      <c r="E185" t="inlineStr">
        <is>
          <t>Output</t>
        </is>
      </c>
      <c r="F185" t="inlineStr">
        <is>
          <t>'=J18/J16</t>
        </is>
      </c>
      <c r="G185" t="n">
        <v>-0.31550482547234</v>
      </c>
      <c r="H185" t="inlineStr"/>
      <c r="I185" t="inlineStr">
        <is>
          <t>0%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R185" t="b">
        <v>1</v>
      </c>
      <c r="S185" t="inlineStr">
        <is>
          <t>G000195</t>
        </is>
      </c>
      <c r="T185" t="inlineStr">
        <is>
          <t>Horizontal</t>
        </is>
      </c>
      <c r="U185" t="n">
        <v>7</v>
      </c>
      <c r="V185" t="b">
        <v>1</v>
      </c>
      <c r="W185" t="inlineStr">
        <is>
          <t>Balance sheet!D19:J19</t>
        </is>
      </c>
      <c r="X185">
        <f>R[-1]C[0]/R[-3]C[0]</f>
        <v/>
      </c>
    </row>
    <row r="186">
      <c r="A186" t="inlineStr">
        <is>
          <t>Balance sheet</t>
        </is>
      </c>
      <c r="B186" t="inlineStr">
        <is>
          <t>K19</t>
        </is>
      </c>
      <c r="C186" t="n">
        <v>19</v>
      </c>
      <c r="D186" t="n">
        <v>11</v>
      </c>
      <c r="E186" t="inlineStr">
        <is>
          <t>Input</t>
        </is>
      </c>
      <c r="F186" t="n">
        <v/>
      </c>
      <c r="H186" t="inlineStr"/>
      <c r="I186" t="inlineStr">
        <is>
          <t>0%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Balance sheet</t>
        </is>
      </c>
      <c r="B187" t="inlineStr">
        <is>
          <t>A20</t>
        </is>
      </c>
      <c r="C187" t="n">
        <v>20</v>
      </c>
      <c r="D187" t="n">
        <v>1</v>
      </c>
      <c r="E187" t="inlineStr">
        <is>
          <t>Input</t>
        </is>
      </c>
      <c r="F187" t="n">
        <v/>
      </c>
      <c r="G187" t="inlineStr">
        <is>
          <t>Short-term borrowings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Balance sheet</t>
        </is>
      </c>
      <c r="B188" t="inlineStr">
        <is>
          <t>D20</t>
        </is>
      </c>
      <c r="C188" t="n">
        <v>20</v>
      </c>
      <c r="D188" t="n">
        <v>4</v>
      </c>
      <c r="E188" t="inlineStr">
        <is>
          <t>Input</t>
        </is>
      </c>
      <c r="F188" t="n">
        <v/>
      </c>
      <c r="G188" t="n">
        <v>540.29</v>
      </c>
      <c r="H188" t="inlineStr"/>
      <c r="I188" t="inlineStr">
        <is>
          <t>0</t>
        </is>
      </c>
      <c r="J188" t="b">
        <v>0</v>
      </c>
      <c r="K188" t="b">
        <v>0</v>
      </c>
      <c r="L188" t="n">
        <v>11</v>
      </c>
      <c r="M188" t="inlineStr">
        <is>
          <t>FF0B0280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Balance sheet</t>
        </is>
      </c>
      <c r="B189" t="inlineStr">
        <is>
          <t>E20</t>
        </is>
      </c>
      <c r="C189" t="n">
        <v>20</v>
      </c>
      <c r="D189" t="n">
        <v>5</v>
      </c>
      <c r="E189" t="inlineStr">
        <is>
          <t>Input</t>
        </is>
      </c>
      <c r="F189" t="n">
        <v/>
      </c>
      <c r="G189" t="n">
        <v>305.58</v>
      </c>
      <c r="H189" t="inlineStr"/>
      <c r="I189" t="inlineStr">
        <is>
          <t>0</t>
        </is>
      </c>
      <c r="J189" t="b">
        <v>0</v>
      </c>
      <c r="K189" t="b">
        <v>0</v>
      </c>
      <c r="L189" t="n">
        <v>11</v>
      </c>
      <c r="M189" t="inlineStr">
        <is>
          <t>FF0B0280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Balance sheet</t>
        </is>
      </c>
      <c r="B190" t="inlineStr">
        <is>
          <t>F20</t>
        </is>
      </c>
      <c r="C190" t="n">
        <v>20</v>
      </c>
      <c r="D190" t="n">
        <v>6</v>
      </c>
      <c r="E190" t="inlineStr">
        <is>
          <t>Input</t>
        </is>
      </c>
      <c r="F190" t="n">
        <v/>
      </c>
      <c r="G190" t="n">
        <v>814.34</v>
      </c>
      <c r="H190" t="inlineStr"/>
      <c r="I190" t="inlineStr">
        <is>
          <t>0</t>
        </is>
      </c>
      <c r="J190" t="b">
        <v>0</v>
      </c>
      <c r="K190" t="b">
        <v>0</v>
      </c>
      <c r="L190" t="n">
        <v>11</v>
      </c>
      <c r="M190" t="inlineStr">
        <is>
          <t>FF0B0280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Balance sheet</t>
        </is>
      </c>
      <c r="B191" t="inlineStr">
        <is>
          <t>G20</t>
        </is>
      </c>
      <c r="C191" t="n">
        <v>20</v>
      </c>
      <c r="D191" t="n">
        <v>7</v>
      </c>
      <c r="E191" t="inlineStr">
        <is>
          <t>Input</t>
        </is>
      </c>
      <c r="F191" t="n">
        <v/>
      </c>
      <c r="G191" t="n">
        <v>0</v>
      </c>
      <c r="H191" t="inlineStr"/>
      <c r="I191" t="inlineStr">
        <is>
          <t>0</t>
        </is>
      </c>
      <c r="J191" t="b">
        <v>0</v>
      </c>
      <c r="K191" t="b">
        <v>0</v>
      </c>
      <c r="L191" t="n">
        <v>11</v>
      </c>
      <c r="M191" t="inlineStr">
        <is>
          <t>FF0B0280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Balance sheet</t>
        </is>
      </c>
      <c r="B192" t="inlineStr">
        <is>
          <t>H20</t>
        </is>
      </c>
      <c r="C192" t="n">
        <v>20</v>
      </c>
      <c r="D192" t="n">
        <v>8</v>
      </c>
      <c r="E192" t="inlineStr">
        <is>
          <t>Input</t>
        </is>
      </c>
      <c r="F192" t="n">
        <v/>
      </c>
      <c r="G192" t="n">
        <v>0</v>
      </c>
      <c r="H192" t="inlineStr"/>
      <c r="I192" t="inlineStr">
        <is>
          <t>0</t>
        </is>
      </c>
      <c r="J192" t="b">
        <v>0</v>
      </c>
      <c r="K192" t="b">
        <v>0</v>
      </c>
      <c r="L192" t="n">
        <v>11</v>
      </c>
      <c r="M192" t="inlineStr">
        <is>
          <t>FF0B0280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Balance sheet</t>
        </is>
      </c>
      <c r="B193" t="inlineStr">
        <is>
          <t>I20</t>
        </is>
      </c>
      <c r="C193" t="n">
        <v>20</v>
      </c>
      <c r="D193" t="n">
        <v>9</v>
      </c>
      <c r="E193" t="inlineStr">
        <is>
          <t>Input</t>
        </is>
      </c>
      <c r="F193" t="n">
        <v/>
      </c>
      <c r="G193" t="n">
        <v>0</v>
      </c>
      <c r="H193" t="inlineStr"/>
      <c r="I193" t="inlineStr">
        <is>
          <t>0</t>
        </is>
      </c>
      <c r="J193" t="b">
        <v>0</v>
      </c>
      <c r="K193" t="b">
        <v>0</v>
      </c>
      <c r="L193" t="n">
        <v>11</v>
      </c>
      <c r="M193" t="inlineStr">
        <is>
          <t>FF0B0280</t>
        </is>
      </c>
      <c r="N193" t="inlineStr">
        <is>
          <t>00000000</t>
        </is>
      </c>
      <c r="O193" t="n">
        <v/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Balance sheet</t>
        </is>
      </c>
      <c r="B194" t="inlineStr">
        <is>
          <t>J20</t>
        </is>
      </c>
      <c r="C194" t="n">
        <v>20</v>
      </c>
      <c r="D194" t="n">
        <v>10</v>
      </c>
      <c r="E194" t="inlineStr">
        <is>
          <t>Input</t>
        </is>
      </c>
      <c r="F194" t="n">
        <v/>
      </c>
      <c r="G194" t="n">
        <v>0</v>
      </c>
      <c r="H194" t="inlineStr"/>
      <c r="I194" t="inlineStr">
        <is>
          <t>0</t>
        </is>
      </c>
      <c r="J194" t="b">
        <v>0</v>
      </c>
      <c r="K194" t="b">
        <v>0</v>
      </c>
      <c r="L194" t="n">
        <v>11</v>
      </c>
      <c r="M194" t="inlineStr">
        <is>
          <t>FF0B0280</t>
        </is>
      </c>
      <c r="N194" t="inlineStr">
        <is>
          <t>00000000</t>
        </is>
      </c>
      <c r="O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Balance sheet</t>
        </is>
      </c>
      <c r="B195" t="inlineStr">
        <is>
          <t>K20</t>
        </is>
      </c>
      <c r="C195" t="n">
        <v>20</v>
      </c>
      <c r="D195" t="n">
        <v>11</v>
      </c>
      <c r="E195" t="inlineStr">
        <is>
          <t>Calculation</t>
        </is>
      </c>
      <c r="F195" t="inlineStr">
        <is>
          <t>'=J20</t>
        </is>
      </c>
      <c r="G195" t="n">
        <v>0</v>
      </c>
      <c r="H195" t="inlineStr"/>
      <c r="I195" t="inlineStr">
        <is>
          <t>0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R195" t="b">
        <v>1</v>
      </c>
      <c r="S195" t="inlineStr">
        <is>
          <t>G000174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Balance sheet!K20:O20</t>
        </is>
      </c>
      <c r="X195">
        <f>R[0]C[-1]</f>
        <v/>
      </c>
    </row>
    <row r="196">
      <c r="A196" t="inlineStr">
        <is>
          <t>Balance sheet</t>
        </is>
      </c>
      <c r="B196" t="inlineStr">
        <is>
          <t>L20</t>
        </is>
      </c>
      <c r="C196" t="n">
        <v>20</v>
      </c>
      <c r="D196" t="n">
        <v>12</v>
      </c>
      <c r="E196" t="inlineStr">
        <is>
          <t>Calculation</t>
        </is>
      </c>
      <c r="F196" t="inlineStr">
        <is>
          <t>'=K20</t>
        </is>
      </c>
      <c r="G196" t="n">
        <v>0</v>
      </c>
      <c r="H196" t="inlineStr"/>
      <c r="I196" t="inlineStr">
        <is>
          <t>0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R196" t="b">
        <v>1</v>
      </c>
      <c r="S196" t="inlineStr">
        <is>
          <t>G000174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Balance sheet!K20:O20</t>
        </is>
      </c>
      <c r="X196">
        <f>R[0]C[-1]</f>
        <v/>
      </c>
    </row>
    <row r="197">
      <c r="A197" t="inlineStr">
        <is>
          <t>Balance sheet</t>
        </is>
      </c>
      <c r="B197" t="inlineStr">
        <is>
          <t>M20</t>
        </is>
      </c>
      <c r="C197" t="n">
        <v>20</v>
      </c>
      <c r="D197" t="n">
        <v>13</v>
      </c>
      <c r="E197" t="inlineStr">
        <is>
          <t>Calculation</t>
        </is>
      </c>
      <c r="F197" t="inlineStr">
        <is>
          <t>'=L20</t>
        </is>
      </c>
      <c r="G197" t="n">
        <v>0</v>
      </c>
      <c r="H197" t="inlineStr"/>
      <c r="I197" t="inlineStr">
        <is>
          <t>0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1</v>
      </c>
      <c r="S197" t="inlineStr">
        <is>
          <t>G000174</t>
        </is>
      </c>
      <c r="T197" t="inlineStr">
        <is>
          <t>Horizontal</t>
        </is>
      </c>
      <c r="U197" t="n">
        <v>5</v>
      </c>
      <c r="V197" t="b">
        <v>1</v>
      </c>
      <c r="W197" t="inlineStr">
        <is>
          <t>Balance sheet!K20:O20</t>
        </is>
      </c>
      <c r="X197">
        <f>R[0]C[-1]</f>
        <v/>
      </c>
    </row>
    <row r="198">
      <c r="A198" t="inlineStr">
        <is>
          <t>Balance sheet</t>
        </is>
      </c>
      <c r="B198" t="inlineStr">
        <is>
          <t>N20</t>
        </is>
      </c>
      <c r="C198" t="n">
        <v>20</v>
      </c>
      <c r="D198" t="n">
        <v>14</v>
      </c>
      <c r="E198" t="inlineStr">
        <is>
          <t>Calculation</t>
        </is>
      </c>
      <c r="F198" t="inlineStr">
        <is>
          <t>'=M20</t>
        </is>
      </c>
      <c r="G198" t="n">
        <v>0</v>
      </c>
      <c r="H198" t="inlineStr"/>
      <c r="I198" t="inlineStr">
        <is>
          <t>0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inlineStr">
        <is>
          <t>G000174</t>
        </is>
      </c>
      <c r="T198" t="inlineStr">
        <is>
          <t>Horizontal</t>
        </is>
      </c>
      <c r="U198" t="n">
        <v>5</v>
      </c>
      <c r="V198" t="b">
        <v>1</v>
      </c>
      <c r="W198" t="inlineStr">
        <is>
          <t>Balance sheet!K20:O20</t>
        </is>
      </c>
      <c r="X198">
        <f>R[0]C[-1]</f>
        <v/>
      </c>
    </row>
    <row r="199">
      <c r="A199" t="inlineStr">
        <is>
          <t>Balance sheet</t>
        </is>
      </c>
      <c r="B199" t="inlineStr">
        <is>
          <t>O20</t>
        </is>
      </c>
      <c r="C199" t="n">
        <v>20</v>
      </c>
      <c r="D199" t="n">
        <v>15</v>
      </c>
      <c r="E199" t="inlineStr">
        <is>
          <t>Calculation</t>
        </is>
      </c>
      <c r="F199" t="inlineStr">
        <is>
          <t>'=N20</t>
        </is>
      </c>
      <c r="G199" t="n">
        <v>0</v>
      </c>
      <c r="H199" t="inlineStr"/>
      <c r="I199" t="inlineStr">
        <is>
          <t>0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inlineStr">
        <is>
          <t>G000174</t>
        </is>
      </c>
      <c r="T199" t="inlineStr">
        <is>
          <t>Horizontal</t>
        </is>
      </c>
      <c r="U199" t="n">
        <v>5</v>
      </c>
      <c r="V199" t="b">
        <v>1</v>
      </c>
      <c r="W199" t="inlineStr">
        <is>
          <t>Balance sheet!K20:O20</t>
        </is>
      </c>
      <c r="X199">
        <f>R[0]C[-1]</f>
        <v/>
      </c>
    </row>
    <row r="200">
      <c r="A200" t="inlineStr">
        <is>
          <t>Balance sheet</t>
        </is>
      </c>
      <c r="B200" t="inlineStr">
        <is>
          <t>A21</t>
        </is>
      </c>
      <c r="C200" t="n">
        <v>21</v>
      </c>
      <c r="D200" t="n">
        <v>1</v>
      </c>
      <c r="E200" t="inlineStr">
        <is>
          <t>Input</t>
        </is>
      </c>
      <c r="F200" t="n">
        <v/>
      </c>
      <c r="G200" t="inlineStr">
        <is>
          <t>Trade payables</t>
        </is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Balance sheet</t>
        </is>
      </c>
      <c r="B201" t="inlineStr">
        <is>
          <t>D21</t>
        </is>
      </c>
      <c r="C201" t="n">
        <v>21</v>
      </c>
      <c r="D201" t="n">
        <v>4</v>
      </c>
      <c r="E201" t="inlineStr">
        <is>
          <t>Input</t>
        </is>
      </c>
      <c r="F201" t="n">
        <v/>
      </c>
      <c r="G201" t="n">
        <v>1076.17</v>
      </c>
      <c r="H201" t="inlineStr"/>
      <c r="I201" t="inlineStr">
        <is>
          <t>0</t>
        </is>
      </c>
      <c r="J201" t="b">
        <v>0</v>
      </c>
      <c r="K201" t="b">
        <v>0</v>
      </c>
      <c r="L201" t="n">
        <v>11</v>
      </c>
      <c r="M201" t="inlineStr">
        <is>
          <t>FF0B0280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Balance sheet</t>
        </is>
      </c>
      <c r="B202" t="inlineStr">
        <is>
          <t>E21</t>
        </is>
      </c>
      <c r="C202" t="n">
        <v>21</v>
      </c>
      <c r="D202" t="n">
        <v>5</v>
      </c>
      <c r="E202" t="inlineStr">
        <is>
          <t>Input</t>
        </is>
      </c>
      <c r="F202" t="n">
        <v/>
      </c>
      <c r="G202" t="n">
        <v>1584.84</v>
      </c>
      <c r="H202" t="inlineStr"/>
      <c r="I202" t="inlineStr">
        <is>
          <t>0</t>
        </is>
      </c>
      <c r="J202" t="b">
        <v>0</v>
      </c>
      <c r="K202" t="b">
        <v>0</v>
      </c>
      <c r="L202" t="n">
        <v>11</v>
      </c>
      <c r="M202" t="inlineStr">
        <is>
          <t>FF0B0280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Balance sheet</t>
        </is>
      </c>
      <c r="B203" t="inlineStr">
        <is>
          <t>F21</t>
        </is>
      </c>
      <c r="C203" t="n">
        <v>21</v>
      </c>
      <c r="D203" t="n">
        <v>6</v>
      </c>
      <c r="E203" t="inlineStr">
        <is>
          <t>Input</t>
        </is>
      </c>
      <c r="F203" t="n">
        <v/>
      </c>
      <c r="G203" t="n">
        <v>2647.91</v>
      </c>
      <c r="H203" t="inlineStr"/>
      <c r="I203" t="inlineStr">
        <is>
          <t>0</t>
        </is>
      </c>
      <c r="J203" t="b">
        <v>0</v>
      </c>
      <c r="K203" t="b">
        <v>0</v>
      </c>
      <c r="L203" t="n">
        <v>11</v>
      </c>
      <c r="M203" t="inlineStr">
        <is>
          <t>FF0B0280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Balance sheet</t>
        </is>
      </c>
      <c r="B204" t="inlineStr">
        <is>
          <t>G21</t>
        </is>
      </c>
      <c r="C204" t="n">
        <v>21</v>
      </c>
      <c r="D204" t="n">
        <v>7</v>
      </c>
      <c r="E204" t="inlineStr">
        <is>
          <t>Input</t>
        </is>
      </c>
      <c r="F204" t="n">
        <v/>
      </c>
      <c r="G204" t="n">
        <v>3844.46</v>
      </c>
      <c r="H204" t="inlineStr"/>
      <c r="I204" t="inlineStr">
        <is>
          <t>#,##0</t>
        </is>
      </c>
      <c r="J204" t="b">
        <v>0</v>
      </c>
      <c r="K204" t="b">
        <v>0</v>
      </c>
      <c r="L204" t="n">
        <v>11</v>
      </c>
      <c r="M204" t="inlineStr">
        <is>
          <t>FF0B0280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Balance sheet</t>
        </is>
      </c>
      <c r="B205" t="inlineStr">
        <is>
          <t>H21</t>
        </is>
      </c>
      <c r="C205" t="n">
        <v>21</v>
      </c>
      <c r="D205" t="n">
        <v>8</v>
      </c>
      <c r="E205" t="inlineStr">
        <is>
          <t>Calculation</t>
        </is>
      </c>
      <c r="F205" t="inlineStr">
        <is>
          <t>'=17.75+4737</t>
        </is>
      </c>
      <c r="G205" t="n">
        <v>4754.75</v>
      </c>
      <c r="H205" t="inlineStr"/>
      <c r="I205" t="inlineStr">
        <is>
          <t>0</t>
        </is>
      </c>
      <c r="J205" t="b">
        <v>0</v>
      </c>
      <c r="K205" t="b">
        <v>0</v>
      </c>
      <c r="L205" t="n">
        <v>11</v>
      </c>
      <c r="M205" t="inlineStr">
        <is>
          <t>FF0B0280</t>
        </is>
      </c>
      <c r="N205" t="inlineStr">
        <is>
          <t>00000000</t>
        </is>
      </c>
      <c r="O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>
        <f>17.75+4737</f>
        <v/>
      </c>
    </row>
    <row r="206">
      <c r="A206" t="inlineStr">
        <is>
          <t>Balance sheet</t>
        </is>
      </c>
      <c r="B206" t="inlineStr">
        <is>
          <t>I21</t>
        </is>
      </c>
      <c r="C206" t="n">
        <v>21</v>
      </c>
      <c r="D206" t="n">
        <v>9</v>
      </c>
      <c r="E206" t="inlineStr">
        <is>
          <t>Calculation</t>
        </is>
      </c>
      <c r="F206" t="inlineStr">
        <is>
          <t>'=15.89+7396.39</t>
        </is>
      </c>
      <c r="G206" t="n">
        <v>7412.280000000001</v>
      </c>
      <c r="H206" t="inlineStr"/>
      <c r="I206" t="inlineStr">
        <is>
          <t>0</t>
        </is>
      </c>
      <c r="J206" t="b">
        <v>0</v>
      </c>
      <c r="K206" t="b">
        <v>0</v>
      </c>
      <c r="L206" t="n">
        <v>11</v>
      </c>
      <c r="M206" t="inlineStr">
        <is>
          <t>FF0B0280</t>
        </is>
      </c>
      <c r="N206" t="inlineStr">
        <is>
          <t>00000000</t>
        </is>
      </c>
      <c r="O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>
        <f>15.89+7396.39</f>
        <v/>
      </c>
    </row>
    <row r="207">
      <c r="A207" t="inlineStr">
        <is>
          <t>Balance sheet</t>
        </is>
      </c>
      <c r="B207" t="inlineStr">
        <is>
          <t>J21</t>
        </is>
      </c>
      <c r="C207" t="n">
        <v>21</v>
      </c>
      <c r="D207" t="n">
        <v>10</v>
      </c>
      <c r="E207" t="inlineStr">
        <is>
          <t>Input</t>
        </is>
      </c>
      <c r="F207" t="n">
        <v/>
      </c>
      <c r="G207" t="n">
        <v>7746.1</v>
      </c>
      <c r="H207" t="inlineStr"/>
      <c r="I207" t="inlineStr">
        <is>
          <t>#,##0</t>
        </is>
      </c>
      <c r="J207" t="b">
        <v>0</v>
      </c>
      <c r="K207" t="b">
        <v>0</v>
      </c>
      <c r="L207" t="n">
        <v>11</v>
      </c>
      <c r="M207" t="inlineStr">
        <is>
          <t>FF0B0280</t>
        </is>
      </c>
      <c r="N207" t="inlineStr">
        <is>
          <t>00000000</t>
        </is>
      </c>
      <c r="O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Balance sheet</t>
        </is>
      </c>
      <c r="B208" t="inlineStr">
        <is>
          <t>K21</t>
        </is>
      </c>
      <c r="C208" t="n">
        <v>21</v>
      </c>
      <c r="D208" t="n">
        <v>11</v>
      </c>
      <c r="E208" t="inlineStr">
        <is>
          <t>Calculation</t>
        </is>
      </c>
      <c r="F208" t="inlineStr">
        <is>
          <t>'=('Income statement'!K14+'Income statement'!K16)*'Balance sheet'!K50</t>
        </is>
      </c>
      <c r="G208" t="n">
        <v>9598.401643624209</v>
      </c>
      <c r="H208" t="inlineStr"/>
      <c r="I208" t="inlineStr">
        <is>
          <t>0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00000000</t>
        </is>
      </c>
      <c r="O208" t="n">
        <v/>
      </c>
      <c r="R208" t="b">
        <v>1</v>
      </c>
      <c r="S208" t="inlineStr">
        <is>
          <t>G000196</t>
        </is>
      </c>
      <c r="T208" t="inlineStr">
        <is>
          <t>Horizontal</t>
        </is>
      </c>
      <c r="U208" t="n">
        <v>5</v>
      </c>
      <c r="V208" t="b">
        <v>1</v>
      </c>
      <c r="W208" t="inlineStr">
        <is>
          <t>Balance sheet!K21:O21</t>
        </is>
      </c>
      <c r="X208">
        <f>('Income statement'!R[-7]C[0]+'Income statement'!R[-5]C[0])*R[29]C[0]</f>
        <v/>
      </c>
    </row>
    <row r="209">
      <c r="A209" t="inlineStr">
        <is>
          <t>Balance sheet</t>
        </is>
      </c>
      <c r="B209" t="inlineStr">
        <is>
          <t>L21</t>
        </is>
      </c>
      <c r="C209" t="n">
        <v>21</v>
      </c>
      <c r="D209" t="n">
        <v>12</v>
      </c>
      <c r="E209" t="inlineStr">
        <is>
          <t>Calculation</t>
        </is>
      </c>
      <c r="F209" t="inlineStr">
        <is>
          <t>'=('Income statement'!L14+'Income statement'!L16)*'Balance sheet'!L50</t>
        </is>
      </c>
      <c r="G209" t="n">
        <v>11806.48735023296</v>
      </c>
      <c r="H209" t="inlineStr"/>
      <c r="I209" t="inlineStr">
        <is>
          <t>0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00000000</t>
        </is>
      </c>
      <c r="O209" t="n">
        <v/>
      </c>
      <c r="R209" t="b">
        <v>1</v>
      </c>
      <c r="S209" t="inlineStr">
        <is>
          <t>G000196</t>
        </is>
      </c>
      <c r="T209" t="inlineStr">
        <is>
          <t>Horizontal</t>
        </is>
      </c>
      <c r="U209" t="n">
        <v>5</v>
      </c>
      <c r="V209" t="b">
        <v>1</v>
      </c>
      <c r="W209" t="inlineStr">
        <is>
          <t>Balance sheet!K21:O21</t>
        </is>
      </c>
      <c r="X209">
        <f>('Income statement'!R[-7]C[0]+'Income statement'!R[-5]C[0])*R[29]C[0]</f>
        <v/>
      </c>
    </row>
    <row r="210">
      <c r="A210" t="inlineStr">
        <is>
          <t>Balance sheet</t>
        </is>
      </c>
      <c r="B210" t="inlineStr">
        <is>
          <t>M21</t>
        </is>
      </c>
      <c r="C210" t="n">
        <v>21</v>
      </c>
      <c r="D210" t="n">
        <v>13</v>
      </c>
      <c r="E210" t="inlineStr">
        <is>
          <t>Calculation</t>
        </is>
      </c>
      <c r="F210" t="inlineStr">
        <is>
          <t>'=('Income statement'!M14+'Income statement'!M16)*'Balance sheet'!M50</t>
        </is>
      </c>
      <c r="G210" t="n">
        <v>13812.05395969629</v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n">
        <v/>
      </c>
      <c r="R210" t="b">
        <v>1</v>
      </c>
      <c r="S210" t="inlineStr">
        <is>
          <t>G000196</t>
        </is>
      </c>
      <c r="T210" t="inlineStr">
        <is>
          <t>Horizontal</t>
        </is>
      </c>
      <c r="U210" t="n">
        <v>5</v>
      </c>
      <c r="V210" t="b">
        <v>1</v>
      </c>
      <c r="W210" t="inlineStr">
        <is>
          <t>Balance sheet!K21:O21</t>
        </is>
      </c>
      <c r="X210">
        <f>('Income statement'!R[-7]C[0]+'Income statement'!R[-5]C[0])*R[29]C[0]</f>
        <v/>
      </c>
    </row>
    <row r="211">
      <c r="A211" t="inlineStr">
        <is>
          <t>Balance sheet</t>
        </is>
      </c>
      <c r="B211" t="inlineStr">
        <is>
          <t>N21</t>
        </is>
      </c>
      <c r="C211" t="n">
        <v>21</v>
      </c>
      <c r="D211" t="n">
        <v>14</v>
      </c>
      <c r="E211" t="inlineStr">
        <is>
          <t>Calculation</t>
        </is>
      </c>
      <c r="F211" t="inlineStr">
        <is>
          <t>'=('Income statement'!N14+'Income statement'!N16)*'Balance sheet'!N50</t>
        </is>
      </c>
      <c r="G211" t="n">
        <v>16661.31834741679</v>
      </c>
      <c r="H211" t="inlineStr"/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00000000</t>
        </is>
      </c>
      <c r="O211" t="n">
        <v/>
      </c>
      <c r="R211" t="b">
        <v>1</v>
      </c>
      <c r="S211" t="inlineStr">
        <is>
          <t>G000196</t>
        </is>
      </c>
      <c r="T211" t="inlineStr">
        <is>
          <t>Horizontal</t>
        </is>
      </c>
      <c r="U211" t="n">
        <v>5</v>
      </c>
      <c r="V211" t="b">
        <v>1</v>
      </c>
      <c r="W211" t="inlineStr">
        <is>
          <t>Balance sheet!K21:O21</t>
        </is>
      </c>
      <c r="X211">
        <f>('Income statement'!R[-7]C[0]+'Income statement'!R[-5]C[0])*R[29]C[0]</f>
        <v/>
      </c>
    </row>
    <row r="212">
      <c r="A212" t="inlineStr">
        <is>
          <t>Balance sheet</t>
        </is>
      </c>
      <c r="B212" t="inlineStr">
        <is>
          <t>O21</t>
        </is>
      </c>
      <c r="C212" t="n">
        <v>21</v>
      </c>
      <c r="D212" t="n">
        <v>15</v>
      </c>
      <c r="E212" t="inlineStr">
        <is>
          <t>Calculation</t>
        </is>
      </c>
      <c r="F212" t="inlineStr">
        <is>
          <t>'=('Income statement'!O14+'Income statement'!O16)*'Balance sheet'!O50</t>
        </is>
      </c>
      <c r="G212" t="n">
        <v>20116.9622396384</v>
      </c>
      <c r="H212" t="inlineStr"/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R212" t="b">
        <v>1</v>
      </c>
      <c r="S212" t="inlineStr">
        <is>
          <t>G000196</t>
        </is>
      </c>
      <c r="T212" t="inlineStr">
        <is>
          <t>Horizontal</t>
        </is>
      </c>
      <c r="U212" t="n">
        <v>5</v>
      </c>
      <c r="V212" t="b">
        <v>1</v>
      </c>
      <c r="W212" t="inlineStr">
        <is>
          <t>Balance sheet!K21:O21</t>
        </is>
      </c>
      <c r="X212">
        <f>('Income statement'!R[-7]C[0]+'Income statement'!R[-5]C[0])*R[29]C[0]</f>
        <v/>
      </c>
    </row>
    <row r="213">
      <c r="A213" t="inlineStr">
        <is>
          <t>Balance sheet</t>
        </is>
      </c>
      <c r="B213" t="inlineStr">
        <is>
          <t>A22</t>
        </is>
      </c>
      <c r="C213" t="n">
        <v>22</v>
      </c>
      <c r="D213" t="n">
        <v>1</v>
      </c>
      <c r="E213" t="inlineStr">
        <is>
          <t>Input</t>
        </is>
      </c>
      <c r="F213" t="n">
        <v/>
      </c>
      <c r="G213" t="inlineStr">
        <is>
          <t>Other current liabilities</t>
        </is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Balance sheet</t>
        </is>
      </c>
      <c r="B214" t="inlineStr">
        <is>
          <t>D22</t>
        </is>
      </c>
      <c r="C214" t="n">
        <v>22</v>
      </c>
      <c r="D214" t="n">
        <v>4</v>
      </c>
      <c r="E214" t="inlineStr">
        <is>
          <t>Input</t>
        </is>
      </c>
      <c r="F214" t="n">
        <v/>
      </c>
      <c r="G214" t="n">
        <v>4624.85</v>
      </c>
      <c r="H214" t="inlineStr"/>
      <c r="I214" t="inlineStr">
        <is>
          <t>0</t>
        </is>
      </c>
      <c r="J214" t="b">
        <v>0</v>
      </c>
      <c r="K214" t="b">
        <v>0</v>
      </c>
      <c r="L214" t="n">
        <v>11</v>
      </c>
      <c r="M214" t="inlineStr">
        <is>
          <t>FF0B0280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Balance sheet</t>
        </is>
      </c>
      <c r="B215" t="inlineStr">
        <is>
          <t>E22</t>
        </is>
      </c>
      <c r="C215" t="n">
        <v>22</v>
      </c>
      <c r="D215" t="n">
        <v>5</v>
      </c>
      <c r="E215" t="inlineStr">
        <is>
          <t>Input</t>
        </is>
      </c>
      <c r="F215" t="n">
        <v/>
      </c>
      <c r="G215" t="n">
        <v>8149.01</v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FF0B0280</t>
        </is>
      </c>
      <c r="N215" t="inlineStr">
        <is>
          <t>00000000</t>
        </is>
      </c>
      <c r="O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Balance sheet</t>
        </is>
      </c>
      <c r="B216" t="inlineStr">
        <is>
          <t>F22</t>
        </is>
      </c>
      <c r="C216" t="n">
        <v>22</v>
      </c>
      <c r="D216" t="n">
        <v>6</v>
      </c>
      <c r="E216" t="inlineStr">
        <is>
          <t>Input</t>
        </is>
      </c>
      <c r="F216" t="n">
        <v/>
      </c>
      <c r="G216" t="n">
        <v>11383.29</v>
      </c>
      <c r="H216" t="inlineStr"/>
      <c r="I216" t="inlineStr">
        <is>
          <t>0</t>
        </is>
      </c>
      <c r="J216" t="b">
        <v>0</v>
      </c>
      <c r="K216" t="b">
        <v>0</v>
      </c>
      <c r="L216" t="n">
        <v>11</v>
      </c>
      <c r="M216" t="inlineStr">
        <is>
          <t>FF0B0280</t>
        </is>
      </c>
      <c r="N216" t="inlineStr">
        <is>
          <t>00000000</t>
        </is>
      </c>
      <c r="O216" t="n">
        <v/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Balance sheet</t>
        </is>
      </c>
      <c r="B217" t="inlineStr">
        <is>
          <t>G22</t>
        </is>
      </c>
      <c r="C217" t="n">
        <v>22</v>
      </c>
      <c r="D217" t="n">
        <v>7</v>
      </c>
      <c r="E217" t="inlineStr">
        <is>
          <t>Input</t>
        </is>
      </c>
      <c r="F217" t="n">
        <v/>
      </c>
      <c r="G217" t="n">
        <v>16149.4</v>
      </c>
      <c r="H217" t="inlineStr"/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FF0B0280</t>
        </is>
      </c>
      <c r="N217" t="inlineStr">
        <is>
          <t>00000000</t>
        </is>
      </c>
      <c r="O217" t="n">
        <v/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Balance sheet</t>
        </is>
      </c>
      <c r="B218" t="inlineStr">
        <is>
          <t>H22</t>
        </is>
      </c>
      <c r="C218" t="n">
        <v>22</v>
      </c>
      <c r="D218" t="n">
        <v>8</v>
      </c>
      <c r="E218" t="inlineStr">
        <is>
          <t>Input</t>
        </is>
      </c>
      <c r="F218" t="n">
        <v/>
      </c>
      <c r="G218" t="n">
        <v>19007.99</v>
      </c>
      <c r="H218" t="inlineStr"/>
      <c r="I218" t="inlineStr">
        <is>
          <t>0</t>
        </is>
      </c>
      <c r="J218" t="b">
        <v>0</v>
      </c>
      <c r="K218" t="b">
        <v>0</v>
      </c>
      <c r="L218" t="n">
        <v>11</v>
      </c>
      <c r="M218" t="inlineStr">
        <is>
          <t>FF0B0280</t>
        </is>
      </c>
      <c r="N218" t="inlineStr">
        <is>
          <t>00000000</t>
        </is>
      </c>
      <c r="O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Balance sheet</t>
        </is>
      </c>
      <c r="B219" t="inlineStr">
        <is>
          <t>I22</t>
        </is>
      </c>
      <c r="C219" t="n">
        <v>22</v>
      </c>
      <c r="D219" t="n">
        <v>9</v>
      </c>
      <c r="E219" t="inlineStr">
        <is>
          <t>Input</t>
        </is>
      </c>
      <c r="F219" t="n">
        <v/>
      </c>
      <c r="G219" t="n">
        <v>21509.21</v>
      </c>
      <c r="H219" t="inlineStr"/>
      <c r="I219" t="inlineStr">
        <is>
          <t>0</t>
        </is>
      </c>
      <c r="J219" t="b">
        <v>0</v>
      </c>
      <c r="K219" t="b">
        <v>0</v>
      </c>
      <c r="L219" t="n">
        <v>11</v>
      </c>
      <c r="M219" t="inlineStr">
        <is>
          <t>FF0B0280</t>
        </is>
      </c>
      <c r="N219" t="inlineStr">
        <is>
          <t>00000000</t>
        </is>
      </c>
      <c r="O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Balance sheet</t>
        </is>
      </c>
      <c r="B220" t="inlineStr">
        <is>
          <t>J22</t>
        </is>
      </c>
      <c r="C220" t="n">
        <v>22</v>
      </c>
      <c r="D220" t="n">
        <v>10</v>
      </c>
      <c r="E220" t="inlineStr">
        <is>
          <t>Calculation</t>
        </is>
      </c>
      <c r="F220" t="inlineStr">
        <is>
          <t>'=19725.85+14322.67+447</t>
        </is>
      </c>
      <c r="G220" t="n">
        <v>34495.52</v>
      </c>
      <c r="H220" t="inlineStr"/>
      <c r="I220" t="inlineStr">
        <is>
          <t>#,##0</t>
        </is>
      </c>
      <c r="J220" t="b">
        <v>0</v>
      </c>
      <c r="K220" t="b">
        <v>0</v>
      </c>
      <c r="L220" t="n">
        <v>11</v>
      </c>
      <c r="M220" t="inlineStr">
        <is>
          <t>FF0B0280</t>
        </is>
      </c>
      <c r="N220" t="inlineStr">
        <is>
          <t>00000000</t>
        </is>
      </c>
      <c r="O220" t="n">
        <v/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>
        <f>19725.85+14322.67+447</f>
        <v/>
      </c>
    </row>
    <row r="221">
      <c r="A221" t="inlineStr">
        <is>
          <t>Balance sheet</t>
        </is>
      </c>
      <c r="B221" t="inlineStr">
        <is>
          <t>K22</t>
        </is>
      </c>
      <c r="C221" t="n">
        <v>22</v>
      </c>
      <c r="D221" t="n">
        <v>11</v>
      </c>
      <c r="E221" t="inlineStr">
        <is>
          <t>Calculation</t>
        </is>
      </c>
      <c r="F221" t="inlineStr">
        <is>
          <t>'=K51*'Income statement'!K14</t>
        </is>
      </c>
      <c r="G221" t="n">
        <v>33375.43626075895</v>
      </c>
      <c r="H221" t="inlineStr"/>
      <c r="I221" t="inlineStr">
        <is>
          <t xml:space="preserve">_ * #,##0_ ;_ * \-#,##0_ ;_ * "-"??_ ;_ @_ 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n">
        <v/>
      </c>
      <c r="R221" t="b">
        <v>1</v>
      </c>
      <c r="S221" t="inlineStr">
        <is>
          <t>G000197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Balance sheet!K22:O22</t>
        </is>
      </c>
      <c r="X221">
        <f>R[29]C[0]*'Income statement'!R[-8]C[0]</f>
        <v/>
      </c>
    </row>
    <row r="222">
      <c r="A222" t="inlineStr">
        <is>
          <t>Balance sheet</t>
        </is>
      </c>
      <c r="B222" t="inlineStr">
        <is>
          <t>L22</t>
        </is>
      </c>
      <c r="C222" t="n">
        <v>22</v>
      </c>
      <c r="D222" t="n">
        <v>12</v>
      </c>
      <c r="E222" t="inlineStr">
        <is>
          <t>Calculation</t>
        </is>
      </c>
      <c r="F222" t="inlineStr">
        <is>
          <t>'=L51*'Income statement'!L14</t>
        </is>
      </c>
      <c r="G222" t="n">
        <v>40694.05164704102</v>
      </c>
      <c r="H222" t="inlineStr"/>
      <c r="I222" t="inlineStr">
        <is>
          <t xml:space="preserve">_ * #,##0_ ;_ * \-#,##0_ ;_ * "-"??_ ;_ @_ </t>
        </is>
      </c>
      <c r="J222" t="b">
        <v>0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00000000</t>
        </is>
      </c>
      <c r="O222" t="n">
        <v/>
      </c>
      <c r="R222" t="b">
        <v>1</v>
      </c>
      <c r="S222" t="inlineStr">
        <is>
          <t>G000197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Balance sheet!K22:O22</t>
        </is>
      </c>
      <c r="X222">
        <f>R[29]C[0]*'Income statement'!R[-8]C[0]</f>
        <v/>
      </c>
    </row>
    <row r="223">
      <c r="A223" t="inlineStr">
        <is>
          <t>Balance sheet</t>
        </is>
      </c>
      <c r="B223" t="inlineStr">
        <is>
          <t>M22</t>
        </is>
      </c>
      <c r="C223" t="n">
        <v>22</v>
      </c>
      <c r="D223" t="n">
        <v>13</v>
      </c>
      <c r="E223" t="inlineStr">
        <is>
          <t>Calculation</t>
        </is>
      </c>
      <c r="F223" t="inlineStr">
        <is>
          <t>'=M51*'Income statement'!M14</t>
        </is>
      </c>
      <c r="G223" t="n">
        <v>49362.90260697733</v>
      </c>
      <c r="H223" t="inlineStr"/>
      <c r="I223" t="inlineStr">
        <is>
          <t xml:space="preserve">_ * #,##0_ ;_ * \-#,##0_ ;_ * "-"??_ ;_ @_ </t>
        </is>
      </c>
      <c r="J223" t="b">
        <v>0</v>
      </c>
      <c r="K223" t="b">
        <v>0</v>
      </c>
      <c r="L223" t="n">
        <v>11</v>
      </c>
      <c r="M223" t="inlineStr">
        <is>
          <t>Values must be of type &lt;class 'str'&gt;</t>
        </is>
      </c>
      <c r="N223" t="inlineStr">
        <is>
          <t>00000000</t>
        </is>
      </c>
      <c r="O223" t="n">
        <v/>
      </c>
      <c r="R223" t="b">
        <v>1</v>
      </c>
      <c r="S223" t="inlineStr">
        <is>
          <t>G000197</t>
        </is>
      </c>
      <c r="T223" t="inlineStr">
        <is>
          <t>Horizontal</t>
        </is>
      </c>
      <c r="U223" t="n">
        <v>5</v>
      </c>
      <c r="V223" t="b">
        <v>1</v>
      </c>
      <c r="W223" t="inlineStr">
        <is>
          <t>Balance sheet!K22:O22</t>
        </is>
      </c>
      <c r="X223">
        <f>R[29]C[0]*'Income statement'!R[-8]C[0]</f>
        <v/>
      </c>
    </row>
    <row r="224">
      <c r="A224" t="inlineStr">
        <is>
          <t>Balance sheet</t>
        </is>
      </c>
      <c r="B224" t="inlineStr">
        <is>
          <t>N22</t>
        </is>
      </c>
      <c r="C224" t="n">
        <v>22</v>
      </c>
      <c r="D224" t="n">
        <v>14</v>
      </c>
      <c r="E224" t="inlineStr">
        <is>
          <t>Calculation</t>
        </is>
      </c>
      <c r="F224" t="inlineStr">
        <is>
          <t>'=N51*'Income statement'!N14</t>
        </is>
      </c>
      <c r="G224" t="n">
        <v>59827.20566358203</v>
      </c>
      <c r="H224" t="inlineStr"/>
      <c r="I224" t="inlineStr">
        <is>
          <t xml:space="preserve">_ * #,##0_ ;_ * \-#,##0_ ;_ * "-"??_ ;_ @_ </t>
        </is>
      </c>
      <c r="J224" t="b">
        <v>0</v>
      </c>
      <c r="K224" t="b">
        <v>0</v>
      </c>
      <c r="L224" t="n">
        <v>11</v>
      </c>
      <c r="M224" t="inlineStr">
        <is>
          <t>Values must be of type &lt;class 'str'&gt;</t>
        </is>
      </c>
      <c r="N224" t="inlineStr">
        <is>
          <t>00000000</t>
        </is>
      </c>
      <c r="O224" t="n">
        <v/>
      </c>
      <c r="R224" t="b">
        <v>1</v>
      </c>
      <c r="S224" t="inlineStr">
        <is>
          <t>G000197</t>
        </is>
      </c>
      <c r="T224" t="inlineStr">
        <is>
          <t>Horizontal</t>
        </is>
      </c>
      <c r="U224" t="n">
        <v>5</v>
      </c>
      <c r="V224" t="b">
        <v>1</v>
      </c>
      <c r="W224" t="inlineStr">
        <is>
          <t>Balance sheet!K22:O22</t>
        </is>
      </c>
      <c r="X224">
        <f>R[29]C[0]*'Income statement'!R[-8]C[0]</f>
        <v/>
      </c>
    </row>
    <row r="225">
      <c r="A225" t="inlineStr">
        <is>
          <t>Balance sheet</t>
        </is>
      </c>
      <c r="B225" t="inlineStr">
        <is>
          <t>O22</t>
        </is>
      </c>
      <c r="C225" t="n">
        <v>22</v>
      </c>
      <c r="D225" t="n">
        <v>15</v>
      </c>
      <c r="E225" t="inlineStr">
        <is>
          <t>Calculation</t>
        </is>
      </c>
      <c r="F225" t="inlineStr">
        <is>
          <t>'=O51*'Income statement'!O14</t>
        </is>
      </c>
      <c r="G225" t="n">
        <v>72762.26751617153</v>
      </c>
      <c r="H225" t="inlineStr"/>
      <c r="I225" t="inlineStr">
        <is>
          <t xml:space="preserve">_ * #,##0_ ;_ * \-#,##0_ ;_ * "-"??_ ;_ @_ 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n">
        <v/>
      </c>
      <c r="R225" t="b">
        <v>1</v>
      </c>
      <c r="S225" t="inlineStr">
        <is>
          <t>G000197</t>
        </is>
      </c>
      <c r="T225" t="inlineStr">
        <is>
          <t>Horizontal</t>
        </is>
      </c>
      <c r="U225" t="n">
        <v>5</v>
      </c>
      <c r="V225" t="b">
        <v>1</v>
      </c>
      <c r="W225" t="inlineStr">
        <is>
          <t>Balance sheet!K22:O22</t>
        </is>
      </c>
      <c r="X225">
        <f>R[29]C[0]*'Income statement'!R[-8]C[0]</f>
        <v/>
      </c>
    </row>
    <row r="226">
      <c r="A226" t="inlineStr">
        <is>
          <t>Balance sheet</t>
        </is>
      </c>
      <c r="B226" t="inlineStr">
        <is>
          <t>A23</t>
        </is>
      </c>
      <c r="C226" t="n">
        <v>23</v>
      </c>
      <c r="D226" t="n">
        <v>1</v>
      </c>
      <c r="E226" t="inlineStr">
        <is>
          <t>Input</t>
        </is>
      </c>
      <c r="F226" t="n">
        <v/>
      </c>
      <c r="G226" t="inlineStr">
        <is>
          <t>Short-term provision</t>
        </is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Balance sheet</t>
        </is>
      </c>
      <c r="B227" t="inlineStr">
        <is>
          <t>D23</t>
        </is>
      </c>
      <c r="C227" t="n">
        <v>23</v>
      </c>
      <c r="D227" t="n">
        <v>4</v>
      </c>
      <c r="E227" t="inlineStr">
        <is>
          <t>Input</t>
        </is>
      </c>
      <c r="F227" t="n">
        <v/>
      </c>
      <c r="G227" t="n">
        <v>5808.63</v>
      </c>
      <c r="H227" t="inlineStr"/>
      <c r="I227" t="inlineStr">
        <is>
          <t>0</t>
        </is>
      </c>
      <c r="J227" t="b">
        <v>0</v>
      </c>
      <c r="K227" t="b">
        <v>0</v>
      </c>
      <c r="L227" t="n">
        <v>11</v>
      </c>
      <c r="M227" t="inlineStr">
        <is>
          <t>FF0B0280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Balance sheet</t>
        </is>
      </c>
      <c r="B228" t="inlineStr">
        <is>
          <t>E23</t>
        </is>
      </c>
      <c r="C228" t="n">
        <v>23</v>
      </c>
      <c r="D228" t="n">
        <v>5</v>
      </c>
      <c r="E228" t="inlineStr">
        <is>
          <t>Input</t>
        </is>
      </c>
      <c r="F228" t="n">
        <v/>
      </c>
      <c r="G228" t="n">
        <v>186.51</v>
      </c>
      <c r="H228" t="inlineStr"/>
      <c r="I228" t="inlineStr">
        <is>
          <t>0</t>
        </is>
      </c>
      <c r="J228" t="b">
        <v>0</v>
      </c>
      <c r="K228" t="b">
        <v>0</v>
      </c>
      <c r="L228" t="n">
        <v>11</v>
      </c>
      <c r="M228" t="inlineStr">
        <is>
          <t>FF0B0280</t>
        </is>
      </c>
      <c r="N228" t="inlineStr">
        <is>
          <t>00000000</t>
        </is>
      </c>
      <c r="O228" t="n">
        <v/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Balance sheet</t>
        </is>
      </c>
      <c r="B229" t="inlineStr">
        <is>
          <t>F23</t>
        </is>
      </c>
      <c r="C229" t="n">
        <v>23</v>
      </c>
      <c r="D229" t="n">
        <v>6</v>
      </c>
      <c r="E229" t="inlineStr">
        <is>
          <t>Input</t>
        </is>
      </c>
      <c r="F229" t="n">
        <v/>
      </c>
      <c r="G229" t="n">
        <v>307.85</v>
      </c>
      <c r="H229" t="inlineStr"/>
      <c r="I229" t="inlineStr">
        <is>
          <t>0</t>
        </is>
      </c>
      <c r="J229" t="b">
        <v>0</v>
      </c>
      <c r="K229" t="b">
        <v>0</v>
      </c>
      <c r="L229" t="n">
        <v>11</v>
      </c>
      <c r="M229" t="inlineStr">
        <is>
          <t>FF0B0280</t>
        </is>
      </c>
      <c r="N229" t="inlineStr">
        <is>
          <t>00000000</t>
        </is>
      </c>
      <c r="O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Balance sheet</t>
        </is>
      </c>
      <c r="B230" t="inlineStr">
        <is>
          <t>G23</t>
        </is>
      </c>
      <c r="C230" t="n">
        <v>23</v>
      </c>
      <c r="D230" t="n">
        <v>7</v>
      </c>
      <c r="E230" t="inlineStr">
        <is>
          <t>Input</t>
        </is>
      </c>
      <c r="F230" t="n">
        <v/>
      </c>
      <c r="G230" t="n">
        <v>4645.06</v>
      </c>
      <c r="H230" t="inlineStr"/>
      <c r="I230" t="inlineStr">
        <is>
          <t>#,##0</t>
        </is>
      </c>
      <c r="J230" t="b">
        <v>0</v>
      </c>
      <c r="K230" t="b">
        <v>0</v>
      </c>
      <c r="L230" t="n">
        <v>11</v>
      </c>
      <c r="M230" t="inlineStr">
        <is>
          <t>FF0B0280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Balance sheet</t>
        </is>
      </c>
      <c r="B231" t="inlineStr">
        <is>
          <t>H23</t>
        </is>
      </c>
      <c r="C231" t="n">
        <v>23</v>
      </c>
      <c r="D231" t="n">
        <v>8</v>
      </c>
      <c r="E231" t="inlineStr">
        <is>
          <t>Input</t>
        </is>
      </c>
      <c r="F231" t="n">
        <v/>
      </c>
      <c r="G231" t="n">
        <v>1528.51</v>
      </c>
      <c r="H231" t="inlineStr"/>
      <c r="I231" t="inlineStr">
        <is>
          <t>0</t>
        </is>
      </c>
      <c r="J231" t="b">
        <v>0</v>
      </c>
      <c r="K231" t="b">
        <v>0</v>
      </c>
      <c r="L231" t="n">
        <v>11</v>
      </c>
      <c r="M231" t="inlineStr">
        <is>
          <t>FF0B0280</t>
        </is>
      </c>
      <c r="N231" t="inlineStr">
        <is>
          <t>00000000</t>
        </is>
      </c>
      <c r="O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Balance sheet</t>
        </is>
      </c>
      <c r="B232" t="inlineStr">
        <is>
          <t>I23</t>
        </is>
      </c>
      <c r="C232" t="n">
        <v>23</v>
      </c>
      <c r="D232" t="n">
        <v>9</v>
      </c>
      <c r="E232" t="inlineStr">
        <is>
          <t>Input</t>
        </is>
      </c>
      <c r="F232" t="n">
        <v/>
      </c>
      <c r="G232" t="n">
        <v>6883.18</v>
      </c>
      <c r="H232" t="inlineStr"/>
      <c r="I232" t="inlineStr">
        <is>
          <t>0</t>
        </is>
      </c>
      <c r="J232" t="b">
        <v>0</v>
      </c>
      <c r="K232" t="b">
        <v>0</v>
      </c>
      <c r="L232" t="n">
        <v>11</v>
      </c>
      <c r="M232" t="inlineStr">
        <is>
          <t>FF0B0280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Balance sheet</t>
        </is>
      </c>
      <c r="B233" t="inlineStr">
        <is>
          <t>J23</t>
        </is>
      </c>
      <c r="C233" t="n">
        <v>23</v>
      </c>
      <c r="D233" t="n">
        <v>10</v>
      </c>
      <c r="E233" t="inlineStr">
        <is>
          <t>Input</t>
        </is>
      </c>
      <c r="F233" t="n">
        <v/>
      </c>
      <c r="G233" t="n">
        <v>667.0599999999999</v>
      </c>
      <c r="H233" t="inlineStr"/>
      <c r="I233" t="inlineStr">
        <is>
          <t>#,##0</t>
        </is>
      </c>
      <c r="J233" t="b">
        <v>0</v>
      </c>
      <c r="K233" t="b">
        <v>0</v>
      </c>
      <c r="L233" t="n">
        <v>11</v>
      </c>
      <c r="M233" t="inlineStr">
        <is>
          <t>FF0B0280</t>
        </is>
      </c>
      <c r="N233" t="inlineStr">
        <is>
          <t>00000000</t>
        </is>
      </c>
      <c r="O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Balance sheet</t>
        </is>
      </c>
      <c r="B234" t="inlineStr">
        <is>
          <t>K23</t>
        </is>
      </c>
      <c r="C234" t="n">
        <v>23</v>
      </c>
      <c r="D234" t="n">
        <v>11</v>
      </c>
      <c r="E234" t="inlineStr">
        <is>
          <t>Calculation</t>
        </is>
      </c>
      <c r="F234" t="inlineStr">
        <is>
          <t>'=K52*'Income statement'!K14</t>
        </is>
      </c>
      <c r="G234" t="n">
        <v>737.9867564229287</v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00000000</t>
        </is>
      </c>
      <c r="O234" t="n">
        <v/>
      </c>
      <c r="R234" t="b">
        <v>1</v>
      </c>
      <c r="S234" t="inlineStr">
        <is>
          <t>G000198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Balance sheet!K23:O23</t>
        </is>
      </c>
      <c r="X234">
        <f>R[29]C[0]*'Income statement'!R[-9]C[0]</f>
        <v/>
      </c>
    </row>
    <row r="235">
      <c r="A235" t="inlineStr">
        <is>
          <t>Balance sheet</t>
        </is>
      </c>
      <c r="B235" t="inlineStr">
        <is>
          <t>L23</t>
        </is>
      </c>
      <c r="C235" t="n">
        <v>23</v>
      </c>
      <c r="D235" t="n">
        <v>12</v>
      </c>
      <c r="E235" t="inlineStr">
        <is>
          <t>Calculation</t>
        </is>
      </c>
      <c r="F235" t="inlineStr">
        <is>
          <t>'=L52*'Income statement'!L14</t>
        </is>
      </c>
      <c r="G235" t="n">
        <v>899.8135918306054</v>
      </c>
      <c r="H235" t="inlineStr"/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00000000</t>
        </is>
      </c>
      <c r="O235" t="n">
        <v/>
      </c>
      <c r="R235" t="b">
        <v>1</v>
      </c>
      <c r="S235" t="inlineStr">
        <is>
          <t>G000198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Balance sheet!K23:O23</t>
        </is>
      </c>
      <c r="X235">
        <f>R[29]C[0]*'Income statement'!R[-9]C[0]</f>
        <v/>
      </c>
    </row>
    <row r="236">
      <c r="A236" t="inlineStr">
        <is>
          <t>Balance sheet</t>
        </is>
      </c>
      <c r="B236" t="inlineStr">
        <is>
          <t>M23</t>
        </is>
      </c>
      <c r="C236" t="n">
        <v>23</v>
      </c>
      <c r="D236" t="n">
        <v>13</v>
      </c>
      <c r="E236" t="inlineStr">
        <is>
          <t>Calculation</t>
        </is>
      </c>
      <c r="F236" t="inlineStr">
        <is>
          <t>'=M52*'Income statement'!M14</t>
        </is>
      </c>
      <c r="G236" t="n">
        <v>1091.496395670357</v>
      </c>
      <c r="H236" t="inlineStr"/>
      <c r="I236" t="inlineStr">
        <is>
          <t>0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n">
        <v/>
      </c>
      <c r="R236" t="b">
        <v>1</v>
      </c>
      <c r="S236" t="inlineStr">
        <is>
          <t>G000198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Balance sheet!K23:O23</t>
        </is>
      </c>
      <c r="X236">
        <f>R[29]C[0]*'Income statement'!R[-9]C[0]</f>
        <v/>
      </c>
    </row>
    <row r="237">
      <c r="A237" t="inlineStr">
        <is>
          <t>Balance sheet</t>
        </is>
      </c>
      <c r="B237" t="inlineStr">
        <is>
          <t>N23</t>
        </is>
      </c>
      <c r="C237" t="n">
        <v>23</v>
      </c>
      <c r="D237" t="n">
        <v>14</v>
      </c>
      <c r="E237" t="inlineStr">
        <is>
          <t>Calculation</t>
        </is>
      </c>
      <c r="F237" t="inlineStr">
        <is>
          <t>'=N52*'Income statement'!N14</t>
        </is>
      </c>
      <c r="G237" t="n">
        <v>1322.879650427987</v>
      </c>
      <c r="H237" t="inlineStr"/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n">
        <v/>
      </c>
      <c r="R237" t="b">
        <v>1</v>
      </c>
      <c r="S237" t="inlineStr">
        <is>
          <t>G000198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Balance sheet!K23:O23</t>
        </is>
      </c>
      <c r="X237">
        <f>R[29]C[0]*'Income statement'!R[-9]C[0]</f>
        <v/>
      </c>
    </row>
    <row r="238">
      <c r="A238" t="inlineStr">
        <is>
          <t>Balance sheet</t>
        </is>
      </c>
      <c r="B238" t="inlineStr">
        <is>
          <t>O23</t>
        </is>
      </c>
      <c r="C238" t="n">
        <v>23</v>
      </c>
      <c r="D238" t="n">
        <v>15</v>
      </c>
      <c r="E238" t="inlineStr">
        <is>
          <t>Calculation</t>
        </is>
      </c>
      <c r="F238" t="inlineStr">
        <is>
          <t>'=O52*'Income statement'!O14</t>
        </is>
      </c>
      <c r="G238" t="n">
        <v>1608.895517490856</v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n">
        <v/>
      </c>
      <c r="R238" t="b">
        <v>1</v>
      </c>
      <c r="S238" t="inlineStr">
        <is>
          <t>G000198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Balance sheet!K23:O23</t>
        </is>
      </c>
      <c r="X238">
        <f>R[29]C[0]*'Income statement'!R[-9]C[0]</f>
        <v/>
      </c>
    </row>
    <row r="239">
      <c r="A239" t="inlineStr">
        <is>
          <t>Balance sheet</t>
        </is>
      </c>
      <c r="B239" t="inlineStr">
        <is>
          <t>A24</t>
        </is>
      </c>
      <c r="C239" t="n">
        <v>24</v>
      </c>
      <c r="D239" t="n">
        <v>1</v>
      </c>
      <c r="E239" t="inlineStr">
        <is>
          <t>Input</t>
        </is>
      </c>
      <c r="F239" t="n">
        <v/>
      </c>
      <c r="G239" t="inlineStr">
        <is>
          <t>Deferred incentives</t>
        </is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Balance sheet</t>
        </is>
      </c>
      <c r="B240" t="inlineStr">
        <is>
          <t>D24</t>
        </is>
      </c>
      <c r="C240" t="n">
        <v>24</v>
      </c>
      <c r="D240" t="n">
        <v>4</v>
      </c>
      <c r="E240" t="inlineStr">
        <is>
          <t>Input</t>
        </is>
      </c>
      <c r="F240" t="n">
        <v/>
      </c>
      <c r="G240" t="n">
        <v>2220.83</v>
      </c>
      <c r="H240" t="inlineStr"/>
      <c r="I240" t="inlineStr">
        <is>
          <t>0</t>
        </is>
      </c>
      <c r="J240" t="b">
        <v>0</v>
      </c>
      <c r="K240" t="b">
        <v>0</v>
      </c>
      <c r="L240" t="n">
        <v>11</v>
      </c>
      <c r="M240" t="inlineStr">
        <is>
          <t>FF0B0280</t>
        </is>
      </c>
      <c r="N240" t="inlineStr">
        <is>
          <t>00000000</t>
        </is>
      </c>
      <c r="O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Balance sheet</t>
        </is>
      </c>
      <c r="B241" t="inlineStr">
        <is>
          <t>E24</t>
        </is>
      </c>
      <c r="C241" t="n">
        <v>24</v>
      </c>
      <c r="D241" t="n">
        <v>5</v>
      </c>
      <c r="E241" t="inlineStr">
        <is>
          <t>Input</t>
        </is>
      </c>
      <c r="F241" t="n">
        <v/>
      </c>
      <c r="G241" t="n">
        <v>3055.37</v>
      </c>
      <c r="H241" t="inlineStr"/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FF0B0280</t>
        </is>
      </c>
      <c r="N241" t="inlineStr">
        <is>
          <t>00000000</t>
        </is>
      </c>
      <c r="O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Balance sheet</t>
        </is>
      </c>
      <c r="B242" t="inlineStr">
        <is>
          <t>F24</t>
        </is>
      </c>
      <c r="C242" t="n">
        <v>24</v>
      </c>
      <c r="D242" t="n">
        <v>6</v>
      </c>
      <c r="E242" t="inlineStr">
        <is>
          <t>Input</t>
        </is>
      </c>
      <c r="F242" t="n">
        <v/>
      </c>
      <c r="G242" t="n">
        <v>3626.58</v>
      </c>
      <c r="H242" t="inlineStr"/>
      <c r="I242" t="inlineStr">
        <is>
          <t>0</t>
        </is>
      </c>
      <c r="J242" t="b">
        <v>0</v>
      </c>
      <c r="K242" t="b">
        <v>0</v>
      </c>
      <c r="L242" t="n">
        <v>11</v>
      </c>
      <c r="M242" t="inlineStr">
        <is>
          <t>FF0B0280</t>
        </is>
      </c>
      <c r="N242" t="inlineStr">
        <is>
          <t>00000000</t>
        </is>
      </c>
      <c r="O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Balance sheet</t>
        </is>
      </c>
      <c r="B243" t="inlineStr">
        <is>
          <t>G24</t>
        </is>
      </c>
      <c r="C243" t="n">
        <v>24</v>
      </c>
      <c r="D243" t="n">
        <v>7</v>
      </c>
      <c r="E243" t="inlineStr">
        <is>
          <t>Input</t>
        </is>
      </c>
      <c r="F243" t="n">
        <v/>
      </c>
      <c r="G243" t="n">
        <v>3878.42</v>
      </c>
      <c r="H243" t="inlineStr"/>
      <c r="I243" t="inlineStr">
        <is>
          <t>#,##0</t>
        </is>
      </c>
      <c r="J243" t="b">
        <v>0</v>
      </c>
      <c r="K243" t="b">
        <v>0</v>
      </c>
      <c r="L243" t="n">
        <v>11</v>
      </c>
      <c r="M243" t="inlineStr">
        <is>
          <t>FF0B0280</t>
        </is>
      </c>
      <c r="N243" t="inlineStr">
        <is>
          <t>00000000</t>
        </is>
      </c>
      <c r="O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Balance sheet</t>
        </is>
      </c>
      <c r="B244" t="inlineStr">
        <is>
          <t>H24</t>
        </is>
      </c>
      <c r="C244" t="n">
        <v>24</v>
      </c>
      <c r="D244" t="n">
        <v>8</v>
      </c>
      <c r="E244" t="inlineStr">
        <is>
          <t>Input</t>
        </is>
      </c>
      <c r="F244" t="n">
        <v/>
      </c>
      <c r="G244" t="n">
        <v>4199.02</v>
      </c>
      <c r="H244" t="inlineStr"/>
      <c r="I244" t="inlineStr">
        <is>
          <t>0</t>
        </is>
      </c>
      <c r="J244" t="b">
        <v>0</v>
      </c>
      <c r="K244" t="b">
        <v>0</v>
      </c>
      <c r="L244" t="n">
        <v>11</v>
      </c>
      <c r="M244" t="inlineStr">
        <is>
          <t>FF0B0280</t>
        </is>
      </c>
      <c r="N244" t="inlineStr">
        <is>
          <t>00000000</t>
        </is>
      </c>
      <c r="O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Balance sheet</t>
        </is>
      </c>
      <c r="B245" t="inlineStr">
        <is>
          <t>I24</t>
        </is>
      </c>
      <c r="C245" t="n">
        <v>24</v>
      </c>
      <c r="D245" t="n">
        <v>9</v>
      </c>
      <c r="E245" t="inlineStr">
        <is>
          <t>Input</t>
        </is>
      </c>
      <c r="F245" t="n">
        <v/>
      </c>
      <c r="G245" t="n">
        <v>4054.07</v>
      </c>
      <c r="H245" t="inlineStr"/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FF0B0280</t>
        </is>
      </c>
      <c r="N245" t="inlineStr">
        <is>
          <t>00000000</t>
        </is>
      </c>
      <c r="O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Balance sheet</t>
        </is>
      </c>
      <c r="B246" t="inlineStr">
        <is>
          <t>J24</t>
        </is>
      </c>
      <c r="C246" t="n">
        <v>24</v>
      </c>
      <c r="D246" t="n">
        <v>10</v>
      </c>
      <c r="E246" t="inlineStr">
        <is>
          <t>Input</t>
        </is>
      </c>
      <c r="F246" t="n">
        <v/>
      </c>
      <c r="G246" t="n">
        <v>4937.83</v>
      </c>
      <c r="H246" t="inlineStr"/>
      <c r="I246" t="inlineStr">
        <is>
          <t>#,##0</t>
        </is>
      </c>
      <c r="J246" t="b">
        <v>0</v>
      </c>
      <c r="K246" t="b">
        <v>0</v>
      </c>
      <c r="L246" t="n">
        <v>11</v>
      </c>
      <c r="M246" t="inlineStr">
        <is>
          <t>FF0B0280</t>
        </is>
      </c>
      <c r="N246" t="inlineStr">
        <is>
          <t>00000000</t>
        </is>
      </c>
      <c r="O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Balance sheet</t>
        </is>
      </c>
      <c r="B247" t="inlineStr">
        <is>
          <t>K24</t>
        </is>
      </c>
      <c r="C247" t="n">
        <v>24</v>
      </c>
      <c r="D247" t="n">
        <v>11</v>
      </c>
      <c r="E247" t="inlineStr">
        <is>
          <t>Calculation</t>
        </is>
      </c>
      <c r="F247" t="inlineStr">
        <is>
          <t>'=Incentive!K8</t>
        </is>
      </c>
      <c r="G247" t="n">
        <v>7097.958000000001</v>
      </c>
      <c r="H247" t="inlineStr"/>
      <c r="I247" t="inlineStr">
        <is>
          <t>0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n">
        <v/>
      </c>
      <c r="R247" t="b">
        <v>1</v>
      </c>
      <c r="S247" t="inlineStr">
        <is>
          <t>G000199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Balance sheet!K24:O24</t>
        </is>
      </c>
      <c r="X247">
        <f>'Incentive'!R[-16]C[0]</f>
        <v/>
      </c>
    </row>
    <row r="248">
      <c r="A248" t="inlineStr">
        <is>
          <t>Balance sheet</t>
        </is>
      </c>
      <c r="B248" t="inlineStr">
        <is>
          <t>L24</t>
        </is>
      </c>
      <c r="C248" t="n">
        <v>24</v>
      </c>
      <c r="D248" t="n">
        <v>12</v>
      </c>
      <c r="E248" t="inlineStr">
        <is>
          <t>Calculation</t>
        </is>
      </c>
      <c r="F248" t="inlineStr">
        <is>
          <t>'=Incentive!L8</t>
        </is>
      </c>
      <c r="G248" t="n">
        <v>9354.21564</v>
      </c>
      <c r="H248" t="inlineStr"/>
      <c r="I248" t="inlineStr">
        <is>
          <t>0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G000199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Balance sheet!K24:O24</t>
        </is>
      </c>
      <c r="X248">
        <f>'Incentive'!R[-16]C[0]</f>
        <v/>
      </c>
    </row>
    <row r="249">
      <c r="A249" t="inlineStr">
        <is>
          <t>Balance sheet</t>
        </is>
      </c>
      <c r="B249" t="inlineStr">
        <is>
          <t>M24</t>
        </is>
      </c>
      <c r="C249" t="n">
        <v>24</v>
      </c>
      <c r="D249" t="n">
        <v>13</v>
      </c>
      <c r="E249" t="inlineStr">
        <is>
          <t>Calculation</t>
        </is>
      </c>
      <c r="F249" t="inlineStr">
        <is>
          <t>'=Incentive!M8</t>
        </is>
      </c>
      <c r="G249" t="n">
        <v>7388.300097286952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n">
        <v/>
      </c>
      <c r="R249" t="b">
        <v>1</v>
      </c>
      <c r="S249" t="inlineStr">
        <is>
          <t>G000199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Balance sheet!K24:O24</t>
        </is>
      </c>
      <c r="X249">
        <f>'Incentive'!R[-16]C[0]</f>
        <v/>
      </c>
    </row>
    <row r="250">
      <c r="A250" t="inlineStr">
        <is>
          <t>Balance sheet</t>
        </is>
      </c>
      <c r="B250" t="inlineStr">
        <is>
          <t>N24</t>
        </is>
      </c>
      <c r="C250" t="n">
        <v>24</v>
      </c>
      <c r="D250" t="n">
        <v>14</v>
      </c>
      <c r="E250" t="inlineStr">
        <is>
          <t>Calculation</t>
        </is>
      </c>
      <c r="F250" t="inlineStr">
        <is>
          <t>'=Incentive!N8</t>
        </is>
      </c>
      <c r="G250" t="n">
        <v>10456.98506164382</v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00000000</t>
        </is>
      </c>
      <c r="O250" t="n">
        <v/>
      </c>
      <c r="R250" t="b">
        <v>1</v>
      </c>
      <c r="S250" t="inlineStr">
        <is>
          <t>G000199</t>
        </is>
      </c>
      <c r="T250" t="inlineStr">
        <is>
          <t>Horizontal</t>
        </is>
      </c>
      <c r="U250" t="n">
        <v>5</v>
      </c>
      <c r="V250" t="b">
        <v>1</v>
      </c>
      <c r="W250" t="inlineStr">
        <is>
          <t>Balance sheet!K24:O24</t>
        </is>
      </c>
      <c r="X250">
        <f>'Incentive'!R[-16]C[0]</f>
        <v/>
      </c>
    </row>
    <row r="251">
      <c r="A251" t="inlineStr">
        <is>
          <t>Balance sheet</t>
        </is>
      </c>
      <c r="B251" t="inlineStr">
        <is>
          <t>O24</t>
        </is>
      </c>
      <c r="C251" t="n">
        <v>24</v>
      </c>
      <c r="D251" t="n">
        <v>15</v>
      </c>
      <c r="E251" t="inlineStr">
        <is>
          <t>Calculation</t>
        </is>
      </c>
      <c r="F251" t="inlineStr">
        <is>
          <t>'=Incentive!O8</t>
        </is>
      </c>
      <c r="G251" t="n">
        <v>13471.17654201428</v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00000000</t>
        </is>
      </c>
      <c r="O251" t="n">
        <v/>
      </c>
      <c r="R251" t="b">
        <v>1</v>
      </c>
      <c r="S251" t="inlineStr">
        <is>
          <t>G000199</t>
        </is>
      </c>
      <c r="T251" t="inlineStr">
        <is>
          <t>Horizontal</t>
        </is>
      </c>
      <c r="U251" t="n">
        <v>5</v>
      </c>
      <c r="V251" t="b">
        <v>1</v>
      </c>
      <c r="W251" t="inlineStr">
        <is>
          <t>Balance sheet!K24:O24</t>
        </is>
      </c>
      <c r="X251">
        <f>'Incentive'!R[-16]C[0]</f>
        <v/>
      </c>
    </row>
    <row r="252">
      <c r="A252" t="inlineStr">
        <is>
          <t>Balance sheet</t>
        </is>
      </c>
      <c r="B252" t="inlineStr">
        <is>
          <t>A25</t>
        </is>
      </c>
      <c r="C252" t="n">
        <v>25</v>
      </c>
      <c r="D252" t="n">
        <v>1</v>
      </c>
      <c r="E252" t="inlineStr">
        <is>
          <t>Input</t>
        </is>
      </c>
      <c r="F252" t="n">
        <v/>
      </c>
      <c r="G252" t="inlineStr">
        <is>
          <t>Current liabilities</t>
        </is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00000000</t>
        </is>
      </c>
      <c r="O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Balance sheet</t>
        </is>
      </c>
      <c r="B253" t="inlineStr">
        <is>
          <t>D25</t>
        </is>
      </c>
      <c r="C253" t="n">
        <v>25</v>
      </c>
      <c r="D253" t="n">
        <v>4</v>
      </c>
      <c r="E253" t="inlineStr">
        <is>
          <t>Calculation</t>
        </is>
      </c>
      <c r="F253" t="inlineStr">
        <is>
          <t>'=SUM(D20:D24)</t>
        </is>
      </c>
      <c r="G253" t="n">
        <v>14270.77</v>
      </c>
      <c r="H253" t="inlineStr"/>
      <c r="I253" t="inlineStr">
        <is>
          <t>0</t>
        </is>
      </c>
      <c r="J253" t="b">
        <v>1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00000000</t>
        </is>
      </c>
      <c r="O253" t="n">
        <v/>
      </c>
      <c r="R253" t="b">
        <v>1</v>
      </c>
      <c r="S253" t="inlineStr">
        <is>
          <t>G000193</t>
        </is>
      </c>
      <c r="T253" t="inlineStr">
        <is>
          <t>Horizontal</t>
        </is>
      </c>
      <c r="U253" t="n">
        <v>12</v>
      </c>
      <c r="V253" t="b">
        <v>1</v>
      </c>
      <c r="W253" t="inlineStr">
        <is>
          <t>Balance sheet!D25:O25</t>
        </is>
      </c>
      <c r="X253">
        <f>SUM(R[-5]C[0]:R[-1]C[0])</f>
        <v/>
      </c>
    </row>
    <row r="254">
      <c r="A254" t="inlineStr">
        <is>
          <t>Balance sheet</t>
        </is>
      </c>
      <c r="B254" t="inlineStr">
        <is>
          <t>E25</t>
        </is>
      </c>
      <c r="C254" t="n">
        <v>25</v>
      </c>
      <c r="D254" t="n">
        <v>5</v>
      </c>
      <c r="E254" t="inlineStr">
        <is>
          <t>Calculation</t>
        </is>
      </c>
      <c r="F254" t="inlineStr">
        <is>
          <t>'=SUM(E20:E24)</t>
        </is>
      </c>
      <c r="G254" t="n">
        <v>13281.31</v>
      </c>
      <c r="H254" t="inlineStr"/>
      <c r="I254" t="inlineStr">
        <is>
          <t>0</t>
        </is>
      </c>
      <c r="J254" t="b">
        <v>1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00000000</t>
        </is>
      </c>
      <c r="O254" t="n">
        <v/>
      </c>
      <c r="R254" t="b">
        <v>1</v>
      </c>
      <c r="S254" t="inlineStr">
        <is>
          <t>G000193</t>
        </is>
      </c>
      <c r="T254" t="inlineStr">
        <is>
          <t>Horizontal</t>
        </is>
      </c>
      <c r="U254" t="n">
        <v>12</v>
      </c>
      <c r="V254" t="b">
        <v>1</v>
      </c>
      <c r="W254" t="inlineStr">
        <is>
          <t>Balance sheet!D25:O25</t>
        </is>
      </c>
      <c r="X254">
        <f>SUM(R[-5]C[0]:R[-1]C[0])</f>
        <v/>
      </c>
    </row>
    <row r="255">
      <c r="A255" t="inlineStr">
        <is>
          <t>Balance sheet</t>
        </is>
      </c>
      <c r="B255" t="inlineStr">
        <is>
          <t>F25</t>
        </is>
      </c>
      <c r="C255" t="n">
        <v>25</v>
      </c>
      <c r="D255" t="n">
        <v>6</v>
      </c>
      <c r="E255" t="inlineStr">
        <is>
          <t>Calculation</t>
        </is>
      </c>
      <c r="F255" t="inlineStr">
        <is>
          <t>'=SUM(F20:F24)</t>
        </is>
      </c>
      <c r="G255" t="n">
        <v>18779.97</v>
      </c>
      <c r="H255" t="inlineStr"/>
      <c r="I255" t="inlineStr">
        <is>
          <t>0</t>
        </is>
      </c>
      <c r="J255" t="b">
        <v>1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00000000</t>
        </is>
      </c>
      <c r="O255" t="n">
        <v/>
      </c>
      <c r="R255" t="b">
        <v>1</v>
      </c>
      <c r="S255" t="inlineStr">
        <is>
          <t>G000193</t>
        </is>
      </c>
      <c r="T255" t="inlineStr">
        <is>
          <t>Horizontal</t>
        </is>
      </c>
      <c r="U255" t="n">
        <v>12</v>
      </c>
      <c r="V255" t="b">
        <v>1</v>
      </c>
      <c r="W255" t="inlineStr">
        <is>
          <t>Balance sheet!D25:O25</t>
        </is>
      </c>
      <c r="X255">
        <f>SUM(R[-5]C[0]:R[-1]C[0])</f>
        <v/>
      </c>
    </row>
    <row r="256">
      <c r="A256" t="inlineStr">
        <is>
          <t>Balance sheet</t>
        </is>
      </c>
      <c r="B256" t="inlineStr">
        <is>
          <t>G25</t>
        </is>
      </c>
      <c r="C256" t="n">
        <v>25</v>
      </c>
      <c r="D256" t="n">
        <v>7</v>
      </c>
      <c r="E256" t="inlineStr">
        <is>
          <t>Calculation</t>
        </is>
      </c>
      <c r="F256" t="inlineStr">
        <is>
          <t>'=SUM(G20:G24)</t>
        </is>
      </c>
      <c r="G256" t="n">
        <v>28517.34</v>
      </c>
      <c r="H256" t="inlineStr"/>
      <c r="I256" t="inlineStr">
        <is>
          <t>0</t>
        </is>
      </c>
      <c r="J256" t="b">
        <v>1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00000000</t>
        </is>
      </c>
      <c r="O256" t="n">
        <v/>
      </c>
      <c r="R256" t="b">
        <v>1</v>
      </c>
      <c r="S256" t="inlineStr">
        <is>
          <t>G000193</t>
        </is>
      </c>
      <c r="T256" t="inlineStr">
        <is>
          <t>Horizontal</t>
        </is>
      </c>
      <c r="U256" t="n">
        <v>12</v>
      </c>
      <c r="V256" t="b">
        <v>1</v>
      </c>
      <c r="W256" t="inlineStr">
        <is>
          <t>Balance sheet!D25:O25</t>
        </is>
      </c>
      <c r="X256">
        <f>SUM(R[-5]C[0]:R[-1]C[0])</f>
        <v/>
      </c>
    </row>
    <row r="257">
      <c r="A257" t="inlineStr">
        <is>
          <t>Balance sheet</t>
        </is>
      </c>
      <c r="B257" t="inlineStr">
        <is>
          <t>H25</t>
        </is>
      </c>
      <c r="C257" t="n">
        <v>25</v>
      </c>
      <c r="D257" t="n">
        <v>8</v>
      </c>
      <c r="E257" t="inlineStr">
        <is>
          <t>Calculation</t>
        </is>
      </c>
      <c r="F257" t="inlineStr">
        <is>
          <t>'=SUM(H20:H24)</t>
        </is>
      </c>
      <c r="G257" t="n">
        <v>29490.27</v>
      </c>
      <c r="H257" t="inlineStr"/>
      <c r="I257" t="inlineStr">
        <is>
          <t>0</t>
        </is>
      </c>
      <c r="J257" t="b">
        <v>1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n">
        <v/>
      </c>
      <c r="R257" t="b">
        <v>1</v>
      </c>
      <c r="S257" t="inlineStr">
        <is>
          <t>G000193</t>
        </is>
      </c>
      <c r="T257" t="inlineStr">
        <is>
          <t>Horizontal</t>
        </is>
      </c>
      <c r="U257" t="n">
        <v>12</v>
      </c>
      <c r="V257" t="b">
        <v>1</v>
      </c>
      <c r="W257" t="inlineStr">
        <is>
          <t>Balance sheet!D25:O25</t>
        </is>
      </c>
      <c r="X257">
        <f>SUM(R[-5]C[0]:R[-1]C[0])</f>
        <v/>
      </c>
    </row>
    <row r="258">
      <c r="A258" t="inlineStr">
        <is>
          <t>Balance sheet</t>
        </is>
      </c>
      <c r="B258" t="inlineStr">
        <is>
          <t>I25</t>
        </is>
      </c>
      <c r="C258" t="n">
        <v>25</v>
      </c>
      <c r="D258" t="n">
        <v>9</v>
      </c>
      <c r="E258" t="inlineStr">
        <is>
          <t>Calculation</t>
        </is>
      </c>
      <c r="F258" t="inlineStr">
        <is>
          <t>'=SUM(I20:I24)</t>
        </is>
      </c>
      <c r="G258" t="n">
        <v>39858.74</v>
      </c>
      <c r="H258" t="inlineStr"/>
      <c r="I258" t="inlineStr">
        <is>
          <t>0</t>
        </is>
      </c>
      <c r="J258" t="b">
        <v>1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R258" t="b">
        <v>1</v>
      </c>
      <c r="S258" t="inlineStr">
        <is>
          <t>G000193</t>
        </is>
      </c>
      <c r="T258" t="inlineStr">
        <is>
          <t>Horizontal</t>
        </is>
      </c>
      <c r="U258" t="n">
        <v>12</v>
      </c>
      <c r="V258" t="b">
        <v>1</v>
      </c>
      <c r="W258" t="inlineStr">
        <is>
          <t>Balance sheet!D25:O25</t>
        </is>
      </c>
      <c r="X258">
        <f>SUM(R[-5]C[0]:R[-1]C[0])</f>
        <v/>
      </c>
    </row>
    <row r="259">
      <c r="A259" t="inlineStr">
        <is>
          <t>Balance sheet</t>
        </is>
      </c>
      <c r="B259" t="inlineStr">
        <is>
          <t>J25</t>
        </is>
      </c>
      <c r="C259" t="n">
        <v>25</v>
      </c>
      <c r="D259" t="n">
        <v>10</v>
      </c>
      <c r="E259" t="inlineStr">
        <is>
          <t>Calculation</t>
        </is>
      </c>
      <c r="F259" t="inlineStr">
        <is>
          <t>'=SUM(J20:J24)</t>
        </is>
      </c>
      <c r="G259" t="n">
        <v>47846.50999999999</v>
      </c>
      <c r="H259" t="inlineStr"/>
      <c r="I259" t="inlineStr">
        <is>
          <t>0</t>
        </is>
      </c>
      <c r="J259" t="b">
        <v>1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R259" t="b">
        <v>1</v>
      </c>
      <c r="S259" t="inlineStr">
        <is>
          <t>G000193</t>
        </is>
      </c>
      <c r="T259" t="inlineStr">
        <is>
          <t>Horizontal</t>
        </is>
      </c>
      <c r="U259" t="n">
        <v>12</v>
      </c>
      <c r="V259" t="b">
        <v>1</v>
      </c>
      <c r="W259" t="inlineStr">
        <is>
          <t>Balance sheet!D25:O25</t>
        </is>
      </c>
      <c r="X259">
        <f>SUM(R[-5]C[0]:R[-1]C[0])</f>
        <v/>
      </c>
    </row>
    <row r="260">
      <c r="A260" t="inlineStr">
        <is>
          <t>Balance sheet</t>
        </is>
      </c>
      <c r="B260" t="inlineStr">
        <is>
          <t>K25</t>
        </is>
      </c>
      <c r="C260" t="n">
        <v>25</v>
      </c>
      <c r="D260" t="n">
        <v>11</v>
      </c>
      <c r="E260" t="inlineStr">
        <is>
          <t>Calculation</t>
        </is>
      </c>
      <c r="F260" t="inlineStr">
        <is>
          <t>'=SUM(K20:K24)</t>
        </is>
      </c>
      <c r="G260" t="n">
        <v>50809.78266080609</v>
      </c>
      <c r="H260" t="inlineStr"/>
      <c r="I260" t="inlineStr">
        <is>
          <t>0</t>
        </is>
      </c>
      <c r="J260" t="b">
        <v>1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R260" t="b">
        <v>1</v>
      </c>
      <c r="S260" t="inlineStr">
        <is>
          <t>G000193</t>
        </is>
      </c>
      <c r="T260" t="inlineStr">
        <is>
          <t>Horizontal</t>
        </is>
      </c>
      <c r="U260" t="n">
        <v>12</v>
      </c>
      <c r="V260" t="b">
        <v>1</v>
      </c>
      <c r="W260" t="inlineStr">
        <is>
          <t>Balance sheet!D25:O25</t>
        </is>
      </c>
      <c r="X260">
        <f>SUM(R[-5]C[0]:R[-1]C[0])</f>
        <v/>
      </c>
    </row>
    <row r="261">
      <c r="A261" t="inlineStr">
        <is>
          <t>Balance sheet</t>
        </is>
      </c>
      <c r="B261" t="inlineStr">
        <is>
          <t>L25</t>
        </is>
      </c>
      <c r="C261" t="n">
        <v>25</v>
      </c>
      <c r="D261" t="n">
        <v>12</v>
      </c>
      <c r="E261" t="inlineStr">
        <is>
          <t>Calculation</t>
        </is>
      </c>
      <c r="F261" t="inlineStr">
        <is>
          <t>'=SUM(L20:L24)</t>
        </is>
      </c>
      <c r="G261" t="n">
        <v>62754.5682291046</v>
      </c>
      <c r="H261" t="inlineStr"/>
      <c r="I261" t="inlineStr">
        <is>
          <t>0</t>
        </is>
      </c>
      <c r="J261" t="b">
        <v>1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R261" t="b">
        <v>1</v>
      </c>
      <c r="S261" t="inlineStr">
        <is>
          <t>G000193</t>
        </is>
      </c>
      <c r="T261" t="inlineStr">
        <is>
          <t>Horizontal</t>
        </is>
      </c>
      <c r="U261" t="n">
        <v>12</v>
      </c>
      <c r="V261" t="b">
        <v>1</v>
      </c>
      <c r="W261" t="inlineStr">
        <is>
          <t>Balance sheet!D25:O25</t>
        </is>
      </c>
      <c r="X261">
        <f>SUM(R[-5]C[0]:R[-1]C[0])</f>
        <v/>
      </c>
    </row>
    <row r="262">
      <c r="A262" t="inlineStr">
        <is>
          <t>Balance sheet</t>
        </is>
      </c>
      <c r="B262" t="inlineStr">
        <is>
          <t>M25</t>
        </is>
      </c>
      <c r="C262" t="n">
        <v>25</v>
      </c>
      <c r="D262" t="n">
        <v>13</v>
      </c>
      <c r="E262" t="inlineStr">
        <is>
          <t>Calculation</t>
        </is>
      </c>
      <c r="F262" t="inlineStr">
        <is>
          <t>'=SUM(M20:M24)</t>
        </is>
      </c>
      <c r="G262" t="n">
        <v>71654.75305963092</v>
      </c>
      <c r="H262" t="inlineStr"/>
      <c r="I262" t="inlineStr">
        <is>
          <t>0</t>
        </is>
      </c>
      <c r="J262" t="b">
        <v>1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R262" t="b">
        <v>1</v>
      </c>
      <c r="S262" t="inlineStr">
        <is>
          <t>G000193</t>
        </is>
      </c>
      <c r="T262" t="inlineStr">
        <is>
          <t>Horizontal</t>
        </is>
      </c>
      <c r="U262" t="n">
        <v>12</v>
      </c>
      <c r="V262" t="b">
        <v>1</v>
      </c>
      <c r="W262" t="inlineStr">
        <is>
          <t>Balance sheet!D25:O25</t>
        </is>
      </c>
      <c r="X262">
        <f>SUM(R[-5]C[0]:R[-1]C[0])</f>
        <v/>
      </c>
    </row>
    <row r="263">
      <c r="A263" t="inlineStr">
        <is>
          <t>Balance sheet</t>
        </is>
      </c>
      <c r="B263" t="inlineStr">
        <is>
          <t>N25</t>
        </is>
      </c>
      <c r="C263" t="n">
        <v>25</v>
      </c>
      <c r="D263" t="n">
        <v>14</v>
      </c>
      <c r="E263" t="inlineStr">
        <is>
          <t>Calculation</t>
        </is>
      </c>
      <c r="F263" t="inlineStr">
        <is>
          <t>'=SUM(N20:N24)</t>
        </is>
      </c>
      <c r="G263" t="n">
        <v>88268.38872307063</v>
      </c>
      <c r="H263" t="inlineStr"/>
      <c r="I263" t="inlineStr">
        <is>
          <t>0</t>
        </is>
      </c>
      <c r="J263" t="b">
        <v>1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n">
        <v/>
      </c>
      <c r="R263" t="b">
        <v>1</v>
      </c>
      <c r="S263" t="inlineStr">
        <is>
          <t>G000193</t>
        </is>
      </c>
      <c r="T263" t="inlineStr">
        <is>
          <t>Horizontal</t>
        </is>
      </c>
      <c r="U263" t="n">
        <v>12</v>
      </c>
      <c r="V263" t="b">
        <v>1</v>
      </c>
      <c r="W263" t="inlineStr">
        <is>
          <t>Balance sheet!D25:O25</t>
        </is>
      </c>
      <c r="X263">
        <f>SUM(R[-5]C[0]:R[-1]C[0])</f>
        <v/>
      </c>
    </row>
    <row r="264">
      <c r="A264" t="inlineStr">
        <is>
          <t>Balance sheet</t>
        </is>
      </c>
      <c r="B264" t="inlineStr">
        <is>
          <t>O25</t>
        </is>
      </c>
      <c r="C264" t="n">
        <v>25</v>
      </c>
      <c r="D264" t="n">
        <v>15</v>
      </c>
      <c r="E264" t="inlineStr">
        <is>
          <t>Calculation</t>
        </is>
      </c>
      <c r="F264" t="inlineStr">
        <is>
          <t>'=SUM(O20:O24)</t>
        </is>
      </c>
      <c r="G264" t="n">
        <v>107959.3018153151</v>
      </c>
      <c r="H264" t="inlineStr"/>
      <c r="I264" t="inlineStr">
        <is>
          <t>0</t>
        </is>
      </c>
      <c r="J264" t="b">
        <v>1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n">
        <v/>
      </c>
      <c r="R264" t="b">
        <v>1</v>
      </c>
      <c r="S264" t="inlineStr">
        <is>
          <t>G000193</t>
        </is>
      </c>
      <c r="T264" t="inlineStr">
        <is>
          <t>Horizontal</t>
        </is>
      </c>
      <c r="U264" t="n">
        <v>12</v>
      </c>
      <c r="V264" t="b">
        <v>1</v>
      </c>
      <c r="W264" t="inlineStr">
        <is>
          <t>Balance sheet!D25:O25</t>
        </is>
      </c>
      <c r="X264">
        <f>SUM(R[-5]C[0]:R[-1]C[0])</f>
        <v/>
      </c>
    </row>
    <row r="265">
      <c r="A265" t="inlineStr">
        <is>
          <t>Balance sheet</t>
        </is>
      </c>
      <c r="B265" t="inlineStr">
        <is>
          <t>A26</t>
        </is>
      </c>
      <c r="C265" t="n">
        <v>26</v>
      </c>
      <c r="D265" t="n">
        <v>1</v>
      </c>
      <c r="E265" t="inlineStr">
        <is>
          <t>Input</t>
        </is>
      </c>
      <c r="F265" t="n">
        <v/>
      </c>
      <c r="G265" t="inlineStr">
        <is>
          <t>Total</t>
        </is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Balance sheet</t>
        </is>
      </c>
      <c r="B266" t="inlineStr">
        <is>
          <t>D26</t>
        </is>
      </c>
      <c r="C266" t="n">
        <v>26</v>
      </c>
      <c r="D266" t="n">
        <v>4</v>
      </c>
      <c r="E266" t="inlineStr">
        <is>
          <t>Calculation</t>
        </is>
      </c>
      <c r="F266" t="inlineStr">
        <is>
          <t>'=D10+D17+D25</t>
        </is>
      </c>
      <c r="G266" t="n">
        <v>29194.5</v>
      </c>
      <c r="H266" t="inlineStr"/>
      <c r="I266" t="inlineStr">
        <is>
          <t>0</t>
        </is>
      </c>
      <c r="J266" t="b">
        <v>1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n">
        <v/>
      </c>
      <c r="R266" t="b">
        <v>1</v>
      </c>
      <c r="S266" t="inlineStr">
        <is>
          <t>G000200</t>
        </is>
      </c>
      <c r="T266" t="inlineStr">
        <is>
          <t>Horizontal</t>
        </is>
      </c>
      <c r="U266" t="n">
        <v>12</v>
      </c>
      <c r="V266" t="b">
        <v>1</v>
      </c>
      <c r="W266" t="inlineStr">
        <is>
          <t>Balance sheet!D26:O26</t>
        </is>
      </c>
      <c r="X266">
        <f>R[-16]C[0]+R[-9]C[0]+R[-1]C[0]</f>
        <v/>
      </c>
    </row>
    <row r="267">
      <c r="A267" t="inlineStr">
        <is>
          <t>Balance sheet</t>
        </is>
      </c>
      <c r="B267" t="inlineStr">
        <is>
          <t>E26</t>
        </is>
      </c>
      <c r="C267" t="n">
        <v>26</v>
      </c>
      <c r="D267" t="n">
        <v>5</v>
      </c>
      <c r="E267" t="inlineStr">
        <is>
          <t>Calculation</t>
        </is>
      </c>
      <c r="F267" t="inlineStr">
        <is>
          <t>'=E10+E17+E25</t>
        </is>
      </c>
      <c r="G267" t="n">
        <v>36470.61</v>
      </c>
      <c r="H267" t="inlineStr"/>
      <c r="I267" t="inlineStr">
        <is>
          <t>0</t>
        </is>
      </c>
      <c r="J267" t="b">
        <v>1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n">
        <v/>
      </c>
      <c r="R267" t="b">
        <v>1</v>
      </c>
      <c r="S267" t="inlineStr">
        <is>
          <t>G000200</t>
        </is>
      </c>
      <c r="T267" t="inlineStr">
        <is>
          <t>Horizontal</t>
        </is>
      </c>
      <c r="U267" t="n">
        <v>12</v>
      </c>
      <c r="V267" t="b">
        <v>1</v>
      </c>
      <c r="W267" t="inlineStr">
        <is>
          <t>Balance sheet!D26:O26</t>
        </is>
      </c>
      <c r="X267">
        <f>R[-16]C[0]+R[-9]C[0]+R[-1]C[0]</f>
        <v/>
      </c>
    </row>
    <row r="268">
      <c r="A268" t="inlineStr">
        <is>
          <t>Balance sheet</t>
        </is>
      </c>
      <c r="B268" t="inlineStr">
        <is>
          <t>F26</t>
        </is>
      </c>
      <c r="C268" t="n">
        <v>26</v>
      </c>
      <c r="D268" t="n">
        <v>6</v>
      </c>
      <c r="E268" t="inlineStr">
        <is>
          <t>Calculation</t>
        </is>
      </c>
      <c r="F268" t="inlineStr">
        <is>
          <t>'=F10+F17+F25</t>
        </is>
      </c>
      <c r="G268" t="n">
        <v>58524.93</v>
      </c>
      <c r="H268" t="inlineStr"/>
      <c r="I268" t="inlineStr">
        <is>
          <t>0</t>
        </is>
      </c>
      <c r="J268" t="b">
        <v>1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00000000</t>
        </is>
      </c>
      <c r="O268" t="n">
        <v/>
      </c>
      <c r="R268" t="b">
        <v>1</v>
      </c>
      <c r="S268" t="inlineStr">
        <is>
          <t>G000200</t>
        </is>
      </c>
      <c r="T268" t="inlineStr">
        <is>
          <t>Horizontal</t>
        </is>
      </c>
      <c r="U268" t="n">
        <v>12</v>
      </c>
      <c r="V268" t="b">
        <v>1</v>
      </c>
      <c r="W268" t="inlineStr">
        <is>
          <t>Balance sheet!D26:O26</t>
        </is>
      </c>
      <c r="X268">
        <f>R[-16]C[0]+R[-9]C[0]+R[-1]C[0]</f>
        <v/>
      </c>
    </row>
    <row r="269">
      <c r="A269" t="inlineStr">
        <is>
          <t>Balance sheet</t>
        </is>
      </c>
      <c r="B269" t="inlineStr">
        <is>
          <t>G26</t>
        </is>
      </c>
      <c r="C269" t="n">
        <v>26</v>
      </c>
      <c r="D269" t="n">
        <v>7</v>
      </c>
      <c r="E269" t="inlineStr">
        <is>
          <t>Calculation</t>
        </is>
      </c>
      <c r="F269" t="inlineStr">
        <is>
          <t>'=G10+G17+G25</t>
        </is>
      </c>
      <c r="G269" t="n">
        <v>91034.36</v>
      </c>
      <c r="H269" t="inlineStr"/>
      <c r="I269" t="inlineStr">
        <is>
          <t>0</t>
        </is>
      </c>
      <c r="J269" t="b">
        <v>1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n">
        <v/>
      </c>
      <c r="R269" t="b">
        <v>1</v>
      </c>
      <c r="S269" t="inlineStr">
        <is>
          <t>G000200</t>
        </is>
      </c>
      <c r="T269" t="inlineStr">
        <is>
          <t>Horizontal</t>
        </is>
      </c>
      <c r="U269" t="n">
        <v>12</v>
      </c>
      <c r="V269" t="b">
        <v>1</v>
      </c>
      <c r="W269" t="inlineStr">
        <is>
          <t>Balance sheet!D26:O26</t>
        </is>
      </c>
      <c r="X269">
        <f>R[-16]C[0]+R[-9]C[0]+R[-1]C[0]</f>
        <v/>
      </c>
    </row>
    <row r="270">
      <c r="A270" t="inlineStr">
        <is>
          <t>Balance sheet</t>
        </is>
      </c>
      <c r="B270" t="inlineStr">
        <is>
          <t>H26</t>
        </is>
      </c>
      <c r="C270" t="n">
        <v>26</v>
      </c>
      <c r="D270" t="n">
        <v>8</v>
      </c>
      <c r="E270" t="inlineStr">
        <is>
          <t>Calculation</t>
        </is>
      </c>
      <c r="F270" t="inlineStr">
        <is>
          <t>'=H10+H17+H25</t>
        </is>
      </c>
      <c r="G270" t="n">
        <v>107682.45</v>
      </c>
      <c r="H270" t="inlineStr"/>
      <c r="I270" t="inlineStr">
        <is>
          <t>0</t>
        </is>
      </c>
      <c r="J270" t="b">
        <v>1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R270" t="b">
        <v>1</v>
      </c>
      <c r="S270" t="inlineStr">
        <is>
          <t>G000200</t>
        </is>
      </c>
      <c r="T270" t="inlineStr">
        <is>
          <t>Horizontal</t>
        </is>
      </c>
      <c r="U270" t="n">
        <v>12</v>
      </c>
      <c r="V270" t="b">
        <v>1</v>
      </c>
      <c r="W270" t="inlineStr">
        <is>
          <t>Balance sheet!D26:O26</t>
        </is>
      </c>
      <c r="X270">
        <f>R[-16]C[0]+R[-9]C[0]+R[-1]C[0]</f>
        <v/>
      </c>
    </row>
    <row r="271">
      <c r="A271" t="inlineStr">
        <is>
          <t>Balance sheet</t>
        </is>
      </c>
      <c r="B271" t="inlineStr">
        <is>
          <t>I26</t>
        </is>
      </c>
      <c r="C271" t="n">
        <v>26</v>
      </c>
      <c r="D271" t="n">
        <v>9</v>
      </c>
      <c r="E271" t="inlineStr">
        <is>
          <t>Calculation</t>
        </is>
      </c>
      <c r="F271" t="inlineStr">
        <is>
          <t>'=I10+I17+I25</t>
        </is>
      </c>
      <c r="G271" t="n">
        <v>130191.11</v>
      </c>
      <c r="H271" t="inlineStr"/>
      <c r="I271" t="inlineStr">
        <is>
          <t>0</t>
        </is>
      </c>
      <c r="J271" t="b">
        <v>1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n">
        <v/>
      </c>
      <c r="R271" t="b">
        <v>1</v>
      </c>
      <c r="S271" t="inlineStr">
        <is>
          <t>G000200</t>
        </is>
      </c>
      <c r="T271" t="inlineStr">
        <is>
          <t>Horizontal</t>
        </is>
      </c>
      <c r="U271" t="n">
        <v>12</v>
      </c>
      <c r="V271" t="b">
        <v>1</v>
      </c>
      <c r="W271" t="inlineStr">
        <is>
          <t>Balance sheet!D26:O26</t>
        </is>
      </c>
      <c r="X271">
        <f>R[-16]C[0]+R[-9]C[0]+R[-1]C[0]</f>
        <v/>
      </c>
    </row>
    <row r="272">
      <c r="A272" t="inlineStr">
        <is>
          <t>Balance sheet</t>
        </is>
      </c>
      <c r="B272" t="inlineStr">
        <is>
          <t>J26</t>
        </is>
      </c>
      <c r="C272" t="n">
        <v>26</v>
      </c>
      <c r="D272" t="n">
        <v>10</v>
      </c>
      <c r="E272" t="inlineStr">
        <is>
          <t>Calculation</t>
        </is>
      </c>
      <c r="F272" t="inlineStr">
        <is>
          <t>'=J10+J17+J25</t>
        </is>
      </c>
      <c r="G272" t="n">
        <v>152097.59</v>
      </c>
      <c r="H272" t="inlineStr"/>
      <c r="I272" t="inlineStr">
        <is>
          <t>0</t>
        </is>
      </c>
      <c r="J272" t="b">
        <v>1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n">
        <v/>
      </c>
      <c r="R272" t="b">
        <v>1</v>
      </c>
      <c r="S272" t="inlineStr">
        <is>
          <t>G000200</t>
        </is>
      </c>
      <c r="T272" t="inlineStr">
        <is>
          <t>Horizontal</t>
        </is>
      </c>
      <c r="U272" t="n">
        <v>12</v>
      </c>
      <c r="V272" t="b">
        <v>1</v>
      </c>
      <c r="W272" t="inlineStr">
        <is>
          <t>Balance sheet!D26:O26</t>
        </is>
      </c>
      <c r="X272">
        <f>R[-16]C[0]+R[-9]C[0]+R[-1]C[0]</f>
        <v/>
      </c>
    </row>
    <row r="273">
      <c r="A273" t="inlineStr">
        <is>
          <t>Balance sheet</t>
        </is>
      </c>
      <c r="B273" t="inlineStr">
        <is>
          <t>K26</t>
        </is>
      </c>
      <c r="C273" t="n">
        <v>26</v>
      </c>
      <c r="D273" t="n">
        <v>11</v>
      </c>
      <c r="E273" t="inlineStr">
        <is>
          <t>Calculation</t>
        </is>
      </c>
      <c r="F273" t="inlineStr">
        <is>
          <t>'=K10+K17+K25</t>
        </is>
      </c>
      <c r="G273" t="n">
        <v>199787.581224967</v>
      </c>
      <c r="H273" t="inlineStr"/>
      <c r="I273" t="inlineStr">
        <is>
          <t>0</t>
        </is>
      </c>
      <c r="J273" t="b">
        <v>1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R273" t="b">
        <v>1</v>
      </c>
      <c r="S273" t="inlineStr">
        <is>
          <t>G000200</t>
        </is>
      </c>
      <c r="T273" t="inlineStr">
        <is>
          <t>Horizontal</t>
        </is>
      </c>
      <c r="U273" t="n">
        <v>12</v>
      </c>
      <c r="V273" t="b">
        <v>1</v>
      </c>
      <c r="W273" t="inlineStr">
        <is>
          <t>Balance sheet!D26:O26</t>
        </is>
      </c>
      <c r="X273">
        <f>R[-16]C[0]+R[-9]C[0]+R[-1]C[0]</f>
        <v/>
      </c>
    </row>
    <row r="274">
      <c r="A274" t="inlineStr">
        <is>
          <t>Balance sheet</t>
        </is>
      </c>
      <c r="B274" t="inlineStr">
        <is>
          <t>L26</t>
        </is>
      </c>
      <c r="C274" t="n">
        <v>26</v>
      </c>
      <c r="D274" t="n">
        <v>12</v>
      </c>
      <c r="E274" t="inlineStr">
        <is>
          <t>Calculation</t>
        </is>
      </c>
      <c r="F274" t="inlineStr">
        <is>
          <t>'=L10+L17+L25</t>
        </is>
      </c>
      <c r="G274" t="n">
        <v>246730.6687045425</v>
      </c>
      <c r="H274" t="inlineStr"/>
      <c r="I274" t="inlineStr">
        <is>
          <t>0</t>
        </is>
      </c>
      <c r="J274" t="b">
        <v>1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n">
        <v/>
      </c>
      <c r="R274" t="b">
        <v>1</v>
      </c>
      <c r="S274" t="inlineStr">
        <is>
          <t>G000200</t>
        </is>
      </c>
      <c r="T274" t="inlineStr">
        <is>
          <t>Horizontal</t>
        </is>
      </c>
      <c r="U274" t="n">
        <v>12</v>
      </c>
      <c r="V274" t="b">
        <v>1</v>
      </c>
      <c r="W274" t="inlineStr">
        <is>
          <t>Balance sheet!D26:O26</t>
        </is>
      </c>
      <c r="X274">
        <f>R[-16]C[0]+R[-9]C[0]+R[-1]C[0]</f>
        <v/>
      </c>
    </row>
    <row r="275">
      <c r="A275" t="inlineStr">
        <is>
          <t>Balance sheet</t>
        </is>
      </c>
      <c r="B275" t="inlineStr">
        <is>
          <t>M26</t>
        </is>
      </c>
      <c r="C275" t="n">
        <v>26</v>
      </c>
      <c r="D275" t="n">
        <v>13</v>
      </c>
      <c r="E275" t="inlineStr">
        <is>
          <t>Calculation</t>
        </is>
      </c>
      <c r="F275" t="inlineStr">
        <is>
          <t>'=M10+M17+M25</t>
        </is>
      </c>
      <c r="G275" t="n">
        <v>309510.804073674</v>
      </c>
      <c r="H275" t="inlineStr"/>
      <c r="I275" t="inlineStr">
        <is>
          <t>0</t>
        </is>
      </c>
      <c r="J275" t="b">
        <v>1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00000000</t>
        </is>
      </c>
      <c r="O275" t="n">
        <v/>
      </c>
      <c r="R275" t="b">
        <v>1</v>
      </c>
      <c r="S275" t="inlineStr">
        <is>
          <t>G000200</t>
        </is>
      </c>
      <c r="T275" t="inlineStr">
        <is>
          <t>Horizontal</t>
        </is>
      </c>
      <c r="U275" t="n">
        <v>12</v>
      </c>
      <c r="V275" t="b">
        <v>1</v>
      </c>
      <c r="W275" t="inlineStr">
        <is>
          <t>Balance sheet!D26:O26</t>
        </is>
      </c>
      <c r="X275">
        <f>R[-16]C[0]+R[-9]C[0]+R[-1]C[0]</f>
        <v/>
      </c>
    </row>
    <row r="276">
      <c r="A276" t="inlineStr">
        <is>
          <t>Balance sheet</t>
        </is>
      </c>
      <c r="B276" t="inlineStr">
        <is>
          <t>N26</t>
        </is>
      </c>
      <c r="C276" t="n">
        <v>26</v>
      </c>
      <c r="D276" t="n">
        <v>14</v>
      </c>
      <c r="E276" t="inlineStr">
        <is>
          <t>Calculation</t>
        </is>
      </c>
      <c r="F276" t="inlineStr">
        <is>
          <t>'=N10+N17+N25</t>
        </is>
      </c>
      <c r="G276" t="n">
        <v>387331.4456491861</v>
      </c>
      <c r="H276" t="inlineStr"/>
      <c r="I276" t="inlineStr">
        <is>
          <t>0</t>
        </is>
      </c>
      <c r="J276" t="b">
        <v>1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00000000</t>
        </is>
      </c>
      <c r="O276" t="n">
        <v/>
      </c>
      <c r="R276" t="b">
        <v>1</v>
      </c>
      <c r="S276" t="inlineStr">
        <is>
          <t>G000200</t>
        </is>
      </c>
      <c r="T276" t="inlineStr">
        <is>
          <t>Horizontal</t>
        </is>
      </c>
      <c r="U276" t="n">
        <v>12</v>
      </c>
      <c r="V276" t="b">
        <v>1</v>
      </c>
      <c r="W276" t="inlineStr">
        <is>
          <t>Balance sheet!D26:O26</t>
        </is>
      </c>
      <c r="X276">
        <f>R[-16]C[0]+R[-9]C[0]+R[-1]C[0]</f>
        <v/>
      </c>
    </row>
    <row r="277">
      <c r="A277" t="inlineStr">
        <is>
          <t>Balance sheet</t>
        </is>
      </c>
      <c r="B277" t="inlineStr">
        <is>
          <t>O26</t>
        </is>
      </c>
      <c r="C277" t="n">
        <v>26</v>
      </c>
      <c r="D277" t="n">
        <v>15</v>
      </c>
      <c r="E277" t="inlineStr">
        <is>
          <t>Calculation</t>
        </is>
      </c>
      <c r="F277" t="inlineStr">
        <is>
          <t>'=O10+O17+O25</t>
        </is>
      </c>
      <c r="G277" t="n">
        <v>478283.1545993927</v>
      </c>
      <c r="H277" t="inlineStr"/>
      <c r="I277" t="inlineStr">
        <is>
          <t>0</t>
        </is>
      </c>
      <c r="J277" t="b">
        <v>1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00000000</t>
        </is>
      </c>
      <c r="O277" t="n">
        <v/>
      </c>
      <c r="R277" t="b">
        <v>1</v>
      </c>
      <c r="S277" t="inlineStr">
        <is>
          <t>G000200</t>
        </is>
      </c>
      <c r="T277" t="inlineStr">
        <is>
          <t>Horizontal</t>
        </is>
      </c>
      <c r="U277" t="n">
        <v>12</v>
      </c>
      <c r="V277" t="b">
        <v>1</v>
      </c>
      <c r="W277" t="inlineStr">
        <is>
          <t>Balance sheet!D26:O26</t>
        </is>
      </c>
      <c r="X277">
        <f>R[-16]C[0]+R[-9]C[0]+R[-1]C[0]</f>
        <v/>
      </c>
    </row>
    <row r="278">
      <c r="A278" t="inlineStr">
        <is>
          <t>Balance sheet</t>
        </is>
      </c>
      <c r="B278" t="inlineStr">
        <is>
          <t>A27</t>
        </is>
      </c>
      <c r="C278" t="n">
        <v>27</v>
      </c>
      <c r="D278" t="n">
        <v>1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00000000</t>
        </is>
      </c>
      <c r="O278" t="n">
        <v/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Balance sheet</t>
        </is>
      </c>
      <c r="B279" t="inlineStr">
        <is>
          <t>F27</t>
        </is>
      </c>
      <c r="C279" t="n">
        <v>27</v>
      </c>
      <c r="D279" t="n">
        <v>6</v>
      </c>
      <c r="E279" t="inlineStr">
        <is>
          <t>Input</t>
        </is>
      </c>
      <c r="F279" t="n">
        <v/>
      </c>
      <c r="G279" t="inlineStr">
        <is>
          <t> </t>
        </is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00000000</t>
        </is>
      </c>
      <c r="O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Balance sheet</t>
        </is>
      </c>
      <c r="B280" t="inlineStr">
        <is>
          <t>A28</t>
        </is>
      </c>
      <c r="C280" t="n">
        <v>28</v>
      </c>
      <c r="D280" t="n">
        <v>1</v>
      </c>
      <c r="E280" t="inlineStr">
        <is>
          <t>Input</t>
        </is>
      </c>
      <c r="F280" t="n">
        <v/>
      </c>
      <c r="G280" t="inlineStr">
        <is>
          <t>Tangible fixed assets</t>
        </is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00000000</t>
        </is>
      </c>
      <c r="O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Balance sheet</t>
        </is>
      </c>
      <c r="B281" t="inlineStr">
        <is>
          <t>D28</t>
        </is>
      </c>
      <c r="C281" t="n">
        <v>28</v>
      </c>
      <c r="D281" t="n">
        <v>4</v>
      </c>
      <c r="E281" t="inlineStr">
        <is>
          <t>Input</t>
        </is>
      </c>
      <c r="F281" t="n">
        <v/>
      </c>
      <c r="G281" t="n">
        <v>8310.120000000001</v>
      </c>
      <c r="H281" t="inlineStr"/>
      <c r="I281" t="inlineStr">
        <is>
          <t>#,##0</t>
        </is>
      </c>
      <c r="J281" t="b">
        <v>0</v>
      </c>
      <c r="K281" t="b">
        <v>0</v>
      </c>
      <c r="L281" t="n">
        <v>11</v>
      </c>
      <c r="M281" t="inlineStr">
        <is>
          <t>FF0B0280</t>
        </is>
      </c>
      <c r="N281" t="inlineStr">
        <is>
          <t>00000000</t>
        </is>
      </c>
      <c r="O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Balance sheet</t>
        </is>
      </c>
      <c r="B282" t="inlineStr">
        <is>
          <t>E28</t>
        </is>
      </c>
      <c r="C282" t="n">
        <v>28</v>
      </c>
      <c r="D282" t="n">
        <v>5</v>
      </c>
      <c r="E282" t="inlineStr">
        <is>
          <t>Input</t>
        </is>
      </c>
      <c r="F282" t="n">
        <v/>
      </c>
      <c r="G282" t="n">
        <v>8813.120000000001</v>
      </c>
      <c r="H282" t="inlineStr"/>
      <c r="I282" t="inlineStr">
        <is>
          <t>#,##0</t>
        </is>
      </c>
      <c r="J282" t="b">
        <v>0</v>
      </c>
      <c r="K282" t="b">
        <v>0</v>
      </c>
      <c r="L282" t="n">
        <v>11</v>
      </c>
      <c r="M282" t="inlineStr">
        <is>
          <t>FF0B0280</t>
        </is>
      </c>
      <c r="N282" t="inlineStr">
        <is>
          <t>00000000</t>
        </is>
      </c>
      <c r="O282" t="n">
        <v/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Balance sheet</t>
        </is>
      </c>
      <c r="B283" t="inlineStr">
        <is>
          <t>F28</t>
        </is>
      </c>
      <c r="C283" t="n">
        <v>28</v>
      </c>
      <c r="D283" t="n">
        <v>6</v>
      </c>
      <c r="E283" t="inlineStr">
        <is>
          <t>Input</t>
        </is>
      </c>
      <c r="F283" t="n">
        <v/>
      </c>
      <c r="G283" t="n">
        <v>17547.89</v>
      </c>
      <c r="H283" t="inlineStr"/>
      <c r="I283" t="inlineStr">
        <is>
          <t>#,##0</t>
        </is>
      </c>
      <c r="J283" t="b">
        <v>0</v>
      </c>
      <c r="K283" t="b">
        <v>0</v>
      </c>
      <c r="L283" t="n">
        <v>11</v>
      </c>
      <c r="M283" t="inlineStr">
        <is>
          <t>FF0B0280</t>
        </is>
      </c>
      <c r="N283" t="inlineStr">
        <is>
          <t>00000000</t>
        </is>
      </c>
      <c r="O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Balance sheet</t>
        </is>
      </c>
      <c r="B284" t="inlineStr">
        <is>
          <t>G28</t>
        </is>
      </c>
      <c r="C284" t="n">
        <v>28</v>
      </c>
      <c r="D284" t="n">
        <v>7</v>
      </c>
      <c r="E284" t="inlineStr">
        <is>
          <t>Input</t>
        </is>
      </c>
      <c r="F284" t="n">
        <v/>
      </c>
      <c r="G284" t="n">
        <v>39407.2</v>
      </c>
      <c r="H284" t="inlineStr"/>
      <c r="I284" t="inlineStr">
        <is>
          <t>#,##0</t>
        </is>
      </c>
      <c r="J284" t="b">
        <v>0</v>
      </c>
      <c r="K284" t="b">
        <v>0</v>
      </c>
      <c r="L284" t="n">
        <v>11</v>
      </c>
      <c r="M284" t="inlineStr">
        <is>
          <t>FF0B0280</t>
        </is>
      </c>
      <c r="N284" t="inlineStr">
        <is>
          <t>00000000</t>
        </is>
      </c>
      <c r="O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Balance sheet</t>
        </is>
      </c>
      <c r="B285" t="inlineStr">
        <is>
          <t>H28</t>
        </is>
      </c>
      <c r="C285" t="n">
        <v>28</v>
      </c>
      <c r="D285" t="n">
        <v>8</v>
      </c>
      <c r="E285" t="inlineStr">
        <is>
          <t>Input</t>
        </is>
      </c>
      <c r="F285" t="n">
        <v/>
      </c>
      <c r="G285" t="n">
        <v>48664.02</v>
      </c>
      <c r="H285" t="inlineStr"/>
      <c r="I285" t="inlineStr">
        <is>
          <t>#,##0</t>
        </is>
      </c>
      <c r="J285" t="b">
        <v>0</v>
      </c>
      <c r="K285" t="b">
        <v>0</v>
      </c>
      <c r="L285" t="n">
        <v>11</v>
      </c>
      <c r="M285" t="inlineStr">
        <is>
          <t>FF0B0280</t>
        </is>
      </c>
      <c r="N285" t="inlineStr">
        <is>
          <t>00000000</t>
        </is>
      </c>
      <c r="O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Balance sheet</t>
        </is>
      </c>
      <c r="B286" t="inlineStr">
        <is>
          <t>I28</t>
        </is>
      </c>
      <c r="C286" t="n">
        <v>28</v>
      </c>
      <c r="D286" t="n">
        <v>9</v>
      </c>
      <c r="E286" t="inlineStr">
        <is>
          <t>Input</t>
        </is>
      </c>
      <c r="F286" t="n">
        <v/>
      </c>
      <c r="G286" t="n">
        <v>46755.15</v>
      </c>
      <c r="H286" t="inlineStr"/>
      <c r="I286" t="inlineStr">
        <is>
          <t>#,##0</t>
        </is>
      </c>
      <c r="J286" t="b">
        <v>0</v>
      </c>
      <c r="K286" t="b">
        <v>0</v>
      </c>
      <c r="L286" t="n">
        <v>11</v>
      </c>
      <c r="M286" t="inlineStr">
        <is>
          <t>FF0B0280</t>
        </is>
      </c>
      <c r="N286" t="inlineStr">
        <is>
          <t>00000000</t>
        </is>
      </c>
      <c r="O286" t="n">
        <v/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Balance sheet</t>
        </is>
      </c>
      <c r="B287" t="inlineStr">
        <is>
          <t>J28</t>
        </is>
      </c>
      <c r="C287" t="n">
        <v>28</v>
      </c>
      <c r="D287" t="n">
        <v>10</v>
      </c>
      <c r="E287" t="inlineStr">
        <is>
          <t>Input</t>
        </is>
      </c>
      <c r="F287" t="n">
        <v/>
      </c>
      <c r="G287" t="n">
        <v>37474.72</v>
      </c>
      <c r="H287" t="inlineStr"/>
      <c r="I287" t="inlineStr">
        <is>
          <t>#,##0</t>
        </is>
      </c>
      <c r="J287" t="b">
        <v>0</v>
      </c>
      <c r="K287" t="b">
        <v>0</v>
      </c>
      <c r="L287" t="n">
        <v>11</v>
      </c>
      <c r="M287" t="inlineStr">
        <is>
          <t>FF0B0280</t>
        </is>
      </c>
      <c r="N287" t="inlineStr">
        <is>
          <t>00000000</t>
        </is>
      </c>
      <c r="O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Balance sheet</t>
        </is>
      </c>
      <c r="B288" t="inlineStr">
        <is>
          <t>K28</t>
        </is>
      </c>
      <c r="C288" t="n">
        <v>28</v>
      </c>
      <c r="D288" t="n">
        <v>11</v>
      </c>
      <c r="E288" t="inlineStr">
        <is>
          <t>Calculation</t>
        </is>
      </c>
      <c r="F288" t="inlineStr">
        <is>
          <t>'='Asset Schedule '!K12</t>
        </is>
      </c>
      <c r="G288" t="n">
        <v>43402.95776</v>
      </c>
      <c r="H288" t="inlineStr"/>
      <c r="I288" t="inlineStr">
        <is>
          <t>#,##0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R288" t="b">
        <v>1</v>
      </c>
      <c r="S288" t="inlineStr">
        <is>
          <t>G000201</t>
        </is>
      </c>
      <c r="T288" t="inlineStr">
        <is>
          <t>Horizontal</t>
        </is>
      </c>
      <c r="U288" t="n">
        <v>5</v>
      </c>
      <c r="V288" t="b">
        <v>1</v>
      </c>
      <c r="W288" t="inlineStr">
        <is>
          <t>Balance sheet!K28:O28</t>
        </is>
      </c>
      <c r="X288">
        <f>'Asset Schedule '!R[-16]C[0]</f>
        <v/>
      </c>
    </row>
    <row r="289">
      <c r="A289" t="inlineStr">
        <is>
          <t>Balance sheet</t>
        </is>
      </c>
      <c r="B289" t="inlineStr">
        <is>
          <t>L28</t>
        </is>
      </c>
      <c r="C289" t="n">
        <v>28</v>
      </c>
      <c r="D289" t="n">
        <v>12</v>
      </c>
      <c r="E289" t="inlineStr">
        <is>
          <t>Calculation</t>
        </is>
      </c>
      <c r="F289" t="inlineStr">
        <is>
          <t>'='Asset Schedule '!L12</t>
        </is>
      </c>
      <c r="G289" t="n">
        <v>49083.44564608001</v>
      </c>
      <c r="H289" t="inlineStr"/>
      <c r="I289" t="inlineStr">
        <is>
          <t>#,##0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n">
        <v/>
      </c>
      <c r="R289" t="b">
        <v>1</v>
      </c>
      <c r="S289" t="inlineStr">
        <is>
          <t>G000201</t>
        </is>
      </c>
      <c r="T289" t="inlineStr">
        <is>
          <t>Horizontal</t>
        </is>
      </c>
      <c r="U289" t="n">
        <v>5</v>
      </c>
      <c r="V289" t="b">
        <v>1</v>
      </c>
      <c r="W289" t="inlineStr">
        <is>
          <t>Balance sheet!K28:O28</t>
        </is>
      </c>
      <c r="X289">
        <f>'Asset Schedule '!R[-16]C[0]</f>
        <v/>
      </c>
    </row>
    <row r="290">
      <c r="A290" t="inlineStr">
        <is>
          <t>Balance sheet</t>
        </is>
      </c>
      <c r="B290" t="inlineStr">
        <is>
          <t>M28</t>
        </is>
      </c>
      <c r="C290" t="n">
        <v>28</v>
      </c>
      <c r="D290" t="n">
        <v>13</v>
      </c>
      <c r="E290" t="inlineStr">
        <is>
          <t>Calculation</t>
        </is>
      </c>
      <c r="F290" t="inlineStr">
        <is>
          <t>'='Asset Schedule '!M12</t>
        </is>
      </c>
      <c r="G290" t="n">
        <v>54538.97664664064</v>
      </c>
      <c r="H290" t="inlineStr"/>
      <c r="I290" t="inlineStr">
        <is>
          <t>#,##0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n">
        <v/>
      </c>
      <c r="R290" t="b">
        <v>1</v>
      </c>
      <c r="S290" t="inlineStr">
        <is>
          <t>G000201</t>
        </is>
      </c>
      <c r="T290" t="inlineStr">
        <is>
          <t>Horizontal</t>
        </is>
      </c>
      <c r="U290" t="n">
        <v>5</v>
      </c>
      <c r="V290" t="b">
        <v>1</v>
      </c>
      <c r="W290" t="inlineStr">
        <is>
          <t>Balance sheet!K28:O28</t>
        </is>
      </c>
      <c r="X290">
        <f>'Asset Schedule '!R[-16]C[0]</f>
        <v/>
      </c>
    </row>
    <row r="291">
      <c r="A291" t="inlineStr">
        <is>
          <t>Balance sheet</t>
        </is>
      </c>
      <c r="B291" t="inlineStr">
        <is>
          <t>N28</t>
        </is>
      </c>
      <c r="C291" t="n">
        <v>28</v>
      </c>
      <c r="D291" t="n">
        <v>14</v>
      </c>
      <c r="E291" t="inlineStr">
        <is>
          <t>Calculation</t>
        </is>
      </c>
      <c r="F291" t="inlineStr">
        <is>
          <t>'='Asset Schedule '!N12</t>
        </is>
      </c>
      <c r="G291" t="n">
        <v>59790.2467951497</v>
      </c>
      <c r="H291" t="inlineStr"/>
      <c r="I291" t="inlineStr">
        <is>
          <t>#,##0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n">
        <v/>
      </c>
      <c r="R291" t="b">
        <v>1</v>
      </c>
      <c r="S291" t="inlineStr">
        <is>
          <t>G000201</t>
        </is>
      </c>
      <c r="T291" t="inlineStr">
        <is>
          <t>Horizontal</t>
        </is>
      </c>
      <c r="U291" t="n">
        <v>5</v>
      </c>
      <c r="V291" t="b">
        <v>1</v>
      </c>
      <c r="W291" t="inlineStr">
        <is>
          <t>Balance sheet!K28:O28</t>
        </is>
      </c>
      <c r="X291">
        <f>'Asset Schedule '!R[-16]C[0]</f>
        <v/>
      </c>
    </row>
    <row r="292">
      <c r="A292" t="inlineStr">
        <is>
          <t>Balance sheet</t>
        </is>
      </c>
      <c r="B292" t="inlineStr">
        <is>
          <t>O28</t>
        </is>
      </c>
      <c r="C292" t="n">
        <v>28</v>
      </c>
      <c r="D292" t="n">
        <v>15</v>
      </c>
      <c r="E292" t="inlineStr">
        <is>
          <t>Calculation</t>
        </is>
      </c>
      <c r="F292" t="inlineStr">
        <is>
          <t>'='Asset Schedule '!O12</t>
        </is>
      </c>
      <c r="G292" t="n">
        <v>64856.04808999592</v>
      </c>
      <c r="H292" t="inlineStr"/>
      <c r="I292" t="inlineStr">
        <is>
          <t>#,##0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n">
        <v/>
      </c>
      <c r="R292" t="b">
        <v>1</v>
      </c>
      <c r="S292" t="inlineStr">
        <is>
          <t>G000201</t>
        </is>
      </c>
      <c r="T292" t="inlineStr">
        <is>
          <t>Horizontal</t>
        </is>
      </c>
      <c r="U292" t="n">
        <v>5</v>
      </c>
      <c r="V292" t="b">
        <v>1</v>
      </c>
      <c r="W292" t="inlineStr">
        <is>
          <t>Balance sheet!K28:O28</t>
        </is>
      </c>
      <c r="X292">
        <f>'Asset Schedule '!R[-16]C[0]</f>
        <v/>
      </c>
    </row>
    <row r="293">
      <c r="A293" t="inlineStr">
        <is>
          <t>Balance sheet</t>
        </is>
      </c>
      <c r="B293" t="inlineStr">
        <is>
          <t>A29</t>
        </is>
      </c>
      <c r="C293" t="n">
        <v>29</v>
      </c>
      <c r="D293" t="n">
        <v>1</v>
      </c>
      <c r="E293" t="inlineStr">
        <is>
          <t>Input</t>
        </is>
      </c>
      <c r="F293" t="n">
        <v/>
      </c>
      <c r="G293" t="inlineStr">
        <is>
          <t>Intangible fixed assets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</row>
    <row r="294">
      <c r="A294" t="inlineStr">
        <is>
          <t>Balance sheet</t>
        </is>
      </c>
      <c r="B294" t="inlineStr">
        <is>
          <t>D29</t>
        </is>
      </c>
      <c r="C294" t="n">
        <v>29</v>
      </c>
      <c r="D294" t="n">
        <v>4</v>
      </c>
      <c r="E294" t="inlineStr">
        <is>
          <t>Input</t>
        </is>
      </c>
      <c r="F294" t="n">
        <v/>
      </c>
      <c r="G294" t="n">
        <v>1.29</v>
      </c>
      <c r="H294" t="inlineStr"/>
      <c r="I294" t="inlineStr">
        <is>
          <t>#,##0</t>
        </is>
      </c>
      <c r="J294" t="b">
        <v>0</v>
      </c>
      <c r="K294" t="b">
        <v>0</v>
      </c>
      <c r="L294" t="n">
        <v>11</v>
      </c>
      <c r="M294" t="inlineStr">
        <is>
          <t>FF0B0280</t>
        </is>
      </c>
      <c r="N294" t="inlineStr">
        <is>
          <t>00000000</t>
        </is>
      </c>
      <c r="O294" t="n">
        <v/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</row>
    <row r="295">
      <c r="A295" t="inlineStr">
        <is>
          <t>Balance sheet</t>
        </is>
      </c>
      <c r="B295" t="inlineStr">
        <is>
          <t>E29</t>
        </is>
      </c>
      <c r="C295" t="n">
        <v>29</v>
      </c>
      <c r="D295" t="n">
        <v>5</v>
      </c>
      <c r="E295" t="inlineStr">
        <is>
          <t>Input</t>
        </is>
      </c>
      <c r="F295" t="n">
        <v/>
      </c>
      <c r="G295" t="n">
        <v>46.99</v>
      </c>
      <c r="H295" t="inlineStr"/>
      <c r="I295" t="inlineStr">
        <is>
          <t>#,##0</t>
        </is>
      </c>
      <c r="J295" t="b">
        <v>0</v>
      </c>
      <c r="K295" t="b">
        <v>0</v>
      </c>
      <c r="L295" t="n">
        <v>11</v>
      </c>
      <c r="M295" t="inlineStr">
        <is>
          <t>FF0B0280</t>
        </is>
      </c>
      <c r="N295" t="inlineStr">
        <is>
          <t>00000000</t>
        </is>
      </c>
      <c r="O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Balance sheet</t>
        </is>
      </c>
      <c r="B296" t="inlineStr">
        <is>
          <t>F29</t>
        </is>
      </c>
      <c r="C296" t="n">
        <v>29</v>
      </c>
      <c r="D296" t="n">
        <v>6</v>
      </c>
      <c r="E296" t="inlineStr">
        <is>
          <t>Input</t>
        </is>
      </c>
      <c r="F296" t="n">
        <v/>
      </c>
      <c r="G296" t="n">
        <v>96.7</v>
      </c>
      <c r="H296" t="inlineStr"/>
      <c r="I296" t="inlineStr">
        <is>
          <t>#,##0</t>
        </is>
      </c>
      <c r="J296" t="b">
        <v>0</v>
      </c>
      <c r="K296" t="b">
        <v>0</v>
      </c>
      <c r="L296" t="n">
        <v>11</v>
      </c>
      <c r="M296" t="inlineStr">
        <is>
          <t>FF0B0280</t>
        </is>
      </c>
      <c r="N296" t="inlineStr">
        <is>
          <t>00000000</t>
        </is>
      </c>
      <c r="O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Balance sheet</t>
        </is>
      </c>
      <c r="B297" t="inlineStr">
        <is>
          <t>G29</t>
        </is>
      </c>
      <c r="C297" t="n">
        <v>29</v>
      </c>
      <c r="D297" t="n">
        <v>7</v>
      </c>
      <c r="E297" t="inlineStr">
        <is>
          <t>Input</t>
        </is>
      </c>
      <c r="F297" t="n">
        <v/>
      </c>
      <c r="G297" t="n">
        <v>152.46</v>
      </c>
      <c r="H297" t="inlineStr"/>
      <c r="I297" t="inlineStr">
        <is>
          <t>#,##0</t>
        </is>
      </c>
      <c r="J297" t="b">
        <v>0</v>
      </c>
      <c r="K297" t="b">
        <v>0</v>
      </c>
      <c r="L297" t="n">
        <v>11</v>
      </c>
      <c r="M297" t="inlineStr">
        <is>
          <t>FF0B0280</t>
        </is>
      </c>
      <c r="N297" t="inlineStr">
        <is>
          <t>00000000</t>
        </is>
      </c>
      <c r="O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Balance sheet</t>
        </is>
      </c>
      <c r="B298" t="inlineStr">
        <is>
          <t>H29</t>
        </is>
      </c>
      <c r="C298" t="n">
        <v>29</v>
      </c>
      <c r="D298" t="n">
        <v>8</v>
      </c>
      <c r="E298" t="inlineStr">
        <is>
          <t>Input</t>
        </is>
      </c>
      <c r="F298" t="n">
        <v/>
      </c>
      <c r="G298" t="n">
        <v>96.37</v>
      </c>
      <c r="H298" t="inlineStr"/>
      <c r="I298" t="inlineStr">
        <is>
          <t>#,##0</t>
        </is>
      </c>
      <c r="J298" t="b">
        <v>0</v>
      </c>
      <c r="K298" t="b">
        <v>0</v>
      </c>
      <c r="L298" t="n">
        <v>11</v>
      </c>
      <c r="M298" t="inlineStr">
        <is>
          <t>FF0B0280</t>
        </is>
      </c>
      <c r="N298" t="inlineStr">
        <is>
          <t>00000000</t>
        </is>
      </c>
      <c r="O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Balance sheet</t>
        </is>
      </c>
      <c r="B299" t="inlineStr">
        <is>
          <t>I29</t>
        </is>
      </c>
      <c r="C299" t="n">
        <v>29</v>
      </c>
      <c r="D299" t="n">
        <v>9</v>
      </c>
      <c r="E299" t="inlineStr">
        <is>
          <t>Input</t>
        </is>
      </c>
      <c r="F299" t="n">
        <v/>
      </c>
      <c r="G299" t="n">
        <v>199.74</v>
      </c>
      <c r="H299" t="inlineStr"/>
      <c r="I299" t="inlineStr">
        <is>
          <t>#,##0</t>
        </is>
      </c>
      <c r="J299" t="b">
        <v>0</v>
      </c>
      <c r="K299" t="b">
        <v>0</v>
      </c>
      <c r="L299" t="n">
        <v>11</v>
      </c>
      <c r="M299" t="inlineStr">
        <is>
          <t>FF0B0280</t>
        </is>
      </c>
      <c r="N299" t="inlineStr">
        <is>
          <t>00000000</t>
        </is>
      </c>
      <c r="O299" t="n">
        <v/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Balance sheet</t>
        </is>
      </c>
      <c r="B300" t="inlineStr">
        <is>
          <t>J29</t>
        </is>
      </c>
      <c r="C300" t="n">
        <v>29</v>
      </c>
      <c r="D300" t="n">
        <v>10</v>
      </c>
      <c r="E300" t="inlineStr">
        <is>
          <t>Input</t>
        </is>
      </c>
      <c r="F300" t="n">
        <v/>
      </c>
      <c r="G300" t="n">
        <v>463.69</v>
      </c>
      <c r="H300" t="inlineStr"/>
      <c r="I300" t="inlineStr">
        <is>
          <t>#,##0</t>
        </is>
      </c>
      <c r="J300" t="b">
        <v>0</v>
      </c>
      <c r="K300" t="b">
        <v>0</v>
      </c>
      <c r="L300" t="n">
        <v>11</v>
      </c>
      <c r="M300" t="inlineStr">
        <is>
          <t>FF0B0280</t>
        </is>
      </c>
      <c r="N300" t="inlineStr">
        <is>
          <t>00000000</t>
        </is>
      </c>
      <c r="O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Balance sheet</t>
        </is>
      </c>
      <c r="B301" t="inlineStr">
        <is>
          <t>K29</t>
        </is>
      </c>
      <c r="C301" t="n">
        <v>29</v>
      </c>
      <c r="D301" t="n">
        <v>11</v>
      </c>
      <c r="E301" t="inlineStr">
        <is>
          <t>Calculation</t>
        </is>
      </c>
      <c r="F301" t="inlineStr">
        <is>
          <t>'='Asset Schedule '!K25</t>
        </is>
      </c>
      <c r="G301" t="n">
        <v>614.9602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00000000</t>
        </is>
      </c>
      <c r="O301" t="n">
        <v/>
      </c>
      <c r="R301" t="b">
        <v>1</v>
      </c>
      <c r="S301" t="inlineStr">
        <is>
          <t>G000202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Balance sheet!K29:O29</t>
        </is>
      </c>
      <c r="X301">
        <f>'Asset Schedule '!R[-4]C[0]</f>
        <v/>
      </c>
    </row>
    <row r="302">
      <c r="A302" t="inlineStr">
        <is>
          <t>Balance sheet</t>
        </is>
      </c>
      <c r="B302" t="inlineStr">
        <is>
          <t>L29</t>
        </is>
      </c>
      <c r="C302" t="n">
        <v>29</v>
      </c>
      <c r="D302" t="n">
        <v>12</v>
      </c>
      <c r="E302" t="inlineStr">
        <is>
          <t>Calculation</t>
        </is>
      </c>
      <c r="F302" t="inlineStr">
        <is>
          <t>'='Asset Schedule '!L25</t>
        </is>
      </c>
      <c r="G302" t="n">
        <v>702.696916</v>
      </c>
      <c r="H302" t="inlineStr"/>
      <c r="I302" t="inlineStr">
        <is>
          <t>0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00000000</t>
        </is>
      </c>
      <c r="O302" t="n">
        <v/>
      </c>
      <c r="R302" t="b">
        <v>1</v>
      </c>
      <c r="S302" t="inlineStr">
        <is>
          <t>G000202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Balance sheet!K29:O29</t>
        </is>
      </c>
      <c r="X302">
        <f>'Asset Schedule '!R[-4]C[0]</f>
        <v/>
      </c>
    </row>
    <row r="303">
      <c r="A303" t="inlineStr">
        <is>
          <t>Balance sheet</t>
        </is>
      </c>
      <c r="B303" t="inlineStr">
        <is>
          <t>M29</t>
        </is>
      </c>
      <c r="C303" t="n">
        <v>29</v>
      </c>
      <c r="D303" t="n">
        <v>13</v>
      </c>
      <c r="E303" t="inlineStr">
        <is>
          <t>Calculation</t>
        </is>
      </c>
      <c r="F303" t="inlineStr">
        <is>
          <t>'='Asset Schedule '!M25</t>
        </is>
      </c>
      <c r="G303" t="n">
        <v>753.5842112799999</v>
      </c>
      <c r="H303" t="inlineStr"/>
      <c r="I303" t="inlineStr">
        <is>
          <t>0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00000000</t>
        </is>
      </c>
      <c r="O303" t="n">
        <v/>
      </c>
      <c r="R303" t="b">
        <v>1</v>
      </c>
      <c r="S303" t="inlineStr">
        <is>
          <t>G000202</t>
        </is>
      </c>
      <c r="T303" t="inlineStr">
        <is>
          <t>Horizontal</t>
        </is>
      </c>
      <c r="U303" t="n">
        <v>5</v>
      </c>
      <c r="V303" t="b">
        <v>1</v>
      </c>
      <c r="W303" t="inlineStr">
        <is>
          <t>Balance sheet!K29:O29</t>
        </is>
      </c>
      <c r="X303">
        <f>'Asset Schedule '!R[-4]C[0]</f>
        <v/>
      </c>
    </row>
    <row r="304">
      <c r="A304" t="inlineStr">
        <is>
          <t>Balance sheet</t>
        </is>
      </c>
      <c r="B304" t="inlineStr">
        <is>
          <t>N29</t>
        </is>
      </c>
      <c r="C304" t="n">
        <v>29</v>
      </c>
      <c r="D304" t="n">
        <v>14</v>
      </c>
      <c r="E304" t="inlineStr">
        <is>
          <t>Calculation</t>
        </is>
      </c>
      <c r="F304" t="inlineStr">
        <is>
          <t>'='Asset Schedule '!N25</t>
        </is>
      </c>
      <c r="G304" t="n">
        <v>783.0988425424</v>
      </c>
      <c r="H304" t="inlineStr"/>
      <c r="I304" t="inlineStr">
        <is>
          <t>0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00000000</t>
        </is>
      </c>
      <c r="O304" t="n">
        <v/>
      </c>
      <c r="R304" t="b">
        <v>1</v>
      </c>
      <c r="S304" t="inlineStr">
        <is>
          <t>G000202</t>
        </is>
      </c>
      <c r="T304" t="inlineStr">
        <is>
          <t>Horizontal</t>
        </is>
      </c>
      <c r="U304" t="n">
        <v>5</v>
      </c>
      <c r="V304" t="b">
        <v>1</v>
      </c>
      <c r="W304" t="inlineStr">
        <is>
          <t>Balance sheet!K29:O29</t>
        </is>
      </c>
      <c r="X304">
        <f>'Asset Schedule '!R[-4]C[0]</f>
        <v/>
      </c>
    </row>
    <row r="305">
      <c r="A305" t="inlineStr">
        <is>
          <t>Balance sheet</t>
        </is>
      </c>
      <c r="B305" t="inlineStr">
        <is>
          <t>O29</t>
        </is>
      </c>
      <c r="C305" t="n">
        <v>29</v>
      </c>
      <c r="D305" t="n">
        <v>15</v>
      </c>
      <c r="E305" t="inlineStr">
        <is>
          <t>Calculation</t>
        </is>
      </c>
      <c r="F305" t="inlineStr">
        <is>
          <t>'='Asset Schedule '!O25</t>
        </is>
      </c>
      <c r="G305" t="n">
        <v>800.217328674592</v>
      </c>
      <c r="H305" t="inlineStr"/>
      <c r="I305" t="inlineStr">
        <is>
          <t>0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00000000</t>
        </is>
      </c>
      <c r="O305" t="n">
        <v/>
      </c>
      <c r="R305" t="b">
        <v>1</v>
      </c>
      <c r="S305" t="inlineStr">
        <is>
          <t>G000202</t>
        </is>
      </c>
      <c r="T305" t="inlineStr">
        <is>
          <t>Horizontal</t>
        </is>
      </c>
      <c r="U305" t="n">
        <v>5</v>
      </c>
      <c r="V305" t="b">
        <v>1</v>
      </c>
      <c r="W305" t="inlineStr">
        <is>
          <t>Balance sheet!K29:O29</t>
        </is>
      </c>
      <c r="X305">
        <f>'Asset Schedule '!R[-4]C[0]</f>
        <v/>
      </c>
    </row>
    <row r="306">
      <c r="A306" t="inlineStr">
        <is>
          <t>Balance sheet</t>
        </is>
      </c>
      <c r="B306" t="inlineStr">
        <is>
          <t>A30</t>
        </is>
      </c>
      <c r="C306" t="n">
        <v>30</v>
      </c>
      <c r="D306" t="n">
        <v>1</v>
      </c>
      <c r="E306" t="inlineStr">
        <is>
          <t>Input</t>
        </is>
      </c>
      <c r="F306" t="n">
        <v/>
      </c>
      <c r="G306" t="inlineStr">
        <is>
          <t>Capital work in progress</t>
        </is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00000000</t>
        </is>
      </c>
      <c r="O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Balance sheet</t>
        </is>
      </c>
      <c r="B307" t="inlineStr">
        <is>
          <t>D30</t>
        </is>
      </c>
      <c r="C307" t="n">
        <v>30</v>
      </c>
      <c r="D307" t="n">
        <v>4</v>
      </c>
      <c r="E307" t="inlineStr">
        <is>
          <t>Input</t>
        </is>
      </c>
      <c r="F307" t="n">
        <v/>
      </c>
      <c r="G307" t="n">
        <v>0</v>
      </c>
      <c r="H307" t="inlineStr"/>
      <c r="I307" t="inlineStr">
        <is>
          <t>#,##0</t>
        </is>
      </c>
      <c r="J307" t="b">
        <v>0</v>
      </c>
      <c r="K307" t="b">
        <v>0</v>
      </c>
      <c r="L307" t="n">
        <v>11</v>
      </c>
      <c r="M307" t="inlineStr">
        <is>
          <t>FF0B0280</t>
        </is>
      </c>
      <c r="N307" t="inlineStr">
        <is>
          <t>00000000</t>
        </is>
      </c>
      <c r="O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Balance sheet</t>
        </is>
      </c>
      <c r="B308" t="inlineStr">
        <is>
          <t>E30</t>
        </is>
      </c>
      <c r="C308" t="n">
        <v>30</v>
      </c>
      <c r="D308" t="n">
        <v>5</v>
      </c>
      <c r="E308" t="inlineStr">
        <is>
          <t>Input</t>
        </is>
      </c>
      <c r="F308" t="n">
        <v/>
      </c>
      <c r="G308" t="n">
        <v>0</v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11</v>
      </c>
      <c r="M308" t="inlineStr">
        <is>
          <t>FF0B0280</t>
        </is>
      </c>
      <c r="N308" t="inlineStr">
        <is>
          <t>00000000</t>
        </is>
      </c>
      <c r="O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Balance sheet</t>
        </is>
      </c>
      <c r="B309" t="inlineStr">
        <is>
          <t>F30</t>
        </is>
      </c>
      <c r="C309" t="n">
        <v>30</v>
      </c>
      <c r="D309" t="n">
        <v>6</v>
      </c>
      <c r="E309" t="inlineStr">
        <is>
          <t>Input</t>
        </is>
      </c>
      <c r="F309" t="n">
        <v/>
      </c>
      <c r="G309" t="n">
        <v>68.47</v>
      </c>
      <c r="H309" t="inlineStr"/>
      <c r="I309" t="inlineStr">
        <is>
          <t>#,##0</t>
        </is>
      </c>
      <c r="J309" t="b">
        <v>0</v>
      </c>
      <c r="K309" t="b">
        <v>0</v>
      </c>
      <c r="L309" t="n">
        <v>11</v>
      </c>
      <c r="M309" t="inlineStr">
        <is>
          <t>FF0B0280</t>
        </is>
      </c>
      <c r="N309" t="inlineStr">
        <is>
          <t>00000000</t>
        </is>
      </c>
      <c r="O309" t="n">
        <v/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Balance sheet</t>
        </is>
      </c>
      <c r="B310" t="inlineStr">
        <is>
          <t>G30</t>
        </is>
      </c>
      <c r="C310" t="n">
        <v>30</v>
      </c>
      <c r="D310" t="n">
        <v>7</v>
      </c>
      <c r="E310" t="inlineStr">
        <is>
          <t>Input</t>
        </is>
      </c>
      <c r="F310" t="n">
        <v/>
      </c>
      <c r="G310" t="n">
        <v>0</v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FF0B0280</t>
        </is>
      </c>
      <c r="N310" t="inlineStr">
        <is>
          <t>00000000</t>
        </is>
      </c>
      <c r="O310" t="n">
        <v/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Balance sheet</t>
        </is>
      </c>
      <c r="B311" t="inlineStr">
        <is>
          <t>H30</t>
        </is>
      </c>
      <c r="C311" t="n">
        <v>30</v>
      </c>
      <c r="D311" t="n">
        <v>8</v>
      </c>
      <c r="E311" t="inlineStr">
        <is>
          <t>Input</t>
        </is>
      </c>
      <c r="F311" t="n">
        <v/>
      </c>
      <c r="G311" t="n">
        <v>4.53</v>
      </c>
      <c r="H311" t="inlineStr"/>
      <c r="I311" t="inlineStr">
        <is>
          <t>#,##0</t>
        </is>
      </c>
      <c r="J311" t="b">
        <v>0</v>
      </c>
      <c r="K311" t="b">
        <v>0</v>
      </c>
      <c r="L311" t="n">
        <v>11</v>
      </c>
      <c r="M311" t="inlineStr">
        <is>
          <t>FF0B0280</t>
        </is>
      </c>
      <c r="N311" t="inlineStr">
        <is>
          <t>00000000</t>
        </is>
      </c>
      <c r="O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Balance sheet</t>
        </is>
      </c>
      <c r="B312" t="inlineStr">
        <is>
          <t>I30</t>
        </is>
      </c>
      <c r="C312" t="n">
        <v>30</v>
      </c>
      <c r="D312" t="n">
        <v>9</v>
      </c>
      <c r="E312" t="inlineStr">
        <is>
          <t>Input</t>
        </is>
      </c>
      <c r="F312" t="n">
        <v/>
      </c>
      <c r="G312" t="n">
        <v>237.34</v>
      </c>
      <c r="H312" t="inlineStr"/>
      <c r="I312" t="inlineStr">
        <is>
          <t>#,##0</t>
        </is>
      </c>
      <c r="J312" t="b">
        <v>0</v>
      </c>
      <c r="K312" t="b">
        <v>0</v>
      </c>
      <c r="L312" t="n">
        <v>11</v>
      </c>
      <c r="M312" t="inlineStr">
        <is>
          <t>FF0B0280</t>
        </is>
      </c>
      <c r="N312" t="inlineStr">
        <is>
          <t>00000000</t>
        </is>
      </c>
      <c r="O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Balance sheet</t>
        </is>
      </c>
      <c r="B313" t="inlineStr">
        <is>
          <t>J30</t>
        </is>
      </c>
      <c r="C313" t="n">
        <v>30</v>
      </c>
      <c r="D313" t="n">
        <v>10</v>
      </c>
      <c r="E313" t="inlineStr">
        <is>
          <t>Input</t>
        </is>
      </c>
      <c r="F313" t="n">
        <v/>
      </c>
      <c r="G313" t="n">
        <v>233.03</v>
      </c>
      <c r="H313" t="inlineStr"/>
      <c r="I313" t="inlineStr">
        <is>
          <t>#,##0</t>
        </is>
      </c>
      <c r="J313" t="b">
        <v>0</v>
      </c>
      <c r="K313" t="b">
        <v>0</v>
      </c>
      <c r="L313" t="n">
        <v>11</v>
      </c>
      <c r="M313" t="inlineStr">
        <is>
          <t>FF0B0280</t>
        </is>
      </c>
      <c r="N313" t="inlineStr">
        <is>
          <t>00000000</t>
        </is>
      </c>
      <c r="O313" t="n">
        <v/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Balance sheet</t>
        </is>
      </c>
      <c r="B314" t="inlineStr">
        <is>
          <t>K30</t>
        </is>
      </c>
      <c r="C314" t="n">
        <v>30</v>
      </c>
      <c r="D314" t="n">
        <v>11</v>
      </c>
      <c r="E314" t="inlineStr">
        <is>
          <t>Calculation</t>
        </is>
      </c>
      <c r="F314" t="inlineStr">
        <is>
          <t>'=J30</t>
        </is>
      </c>
      <c r="G314" t="n">
        <v>233.03</v>
      </c>
      <c r="H314" t="inlineStr"/>
      <c r="I314" t="inlineStr">
        <is>
          <t>#,##0</t>
        </is>
      </c>
      <c r="J314" t="b">
        <v>0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00000000</t>
        </is>
      </c>
      <c r="O314" t="n">
        <v/>
      </c>
      <c r="R314" t="b">
        <v>1</v>
      </c>
      <c r="S314" t="inlineStr">
        <is>
          <t>G000175</t>
        </is>
      </c>
      <c r="T314" t="inlineStr">
        <is>
          <t>Horizontal</t>
        </is>
      </c>
      <c r="U314" t="n">
        <v>5</v>
      </c>
      <c r="V314" t="b">
        <v>1</v>
      </c>
      <c r="W314" t="inlineStr">
        <is>
          <t>Balance sheet!K30:O30</t>
        </is>
      </c>
      <c r="X314">
        <f>R[0]C[-1]</f>
        <v/>
      </c>
    </row>
    <row r="315">
      <c r="A315" t="inlineStr">
        <is>
          <t>Balance sheet</t>
        </is>
      </c>
      <c r="B315" t="inlineStr">
        <is>
          <t>L30</t>
        </is>
      </c>
      <c r="C315" t="n">
        <v>30</v>
      </c>
      <c r="D315" t="n">
        <v>12</v>
      </c>
      <c r="E315" t="inlineStr">
        <is>
          <t>Calculation</t>
        </is>
      </c>
      <c r="F315" t="inlineStr">
        <is>
          <t>'=K30</t>
        </is>
      </c>
      <c r="G315" t="n">
        <v>233.03</v>
      </c>
      <c r="H315" t="inlineStr"/>
      <c r="I315" t="inlineStr">
        <is>
          <t>#,##0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R315" t="b">
        <v>1</v>
      </c>
      <c r="S315" t="inlineStr">
        <is>
          <t>G000175</t>
        </is>
      </c>
      <c r="T315" t="inlineStr">
        <is>
          <t>Horizontal</t>
        </is>
      </c>
      <c r="U315" t="n">
        <v>5</v>
      </c>
      <c r="V315" t="b">
        <v>1</v>
      </c>
      <c r="W315" t="inlineStr">
        <is>
          <t>Balance sheet!K30:O30</t>
        </is>
      </c>
      <c r="X315">
        <f>R[0]C[-1]</f>
        <v/>
      </c>
    </row>
    <row r="316">
      <c r="A316" t="inlineStr">
        <is>
          <t>Balance sheet</t>
        </is>
      </c>
      <c r="B316" t="inlineStr">
        <is>
          <t>M30</t>
        </is>
      </c>
      <c r="C316" t="n">
        <v>30</v>
      </c>
      <c r="D316" t="n">
        <v>13</v>
      </c>
      <c r="E316" t="inlineStr">
        <is>
          <t>Calculation</t>
        </is>
      </c>
      <c r="F316" t="inlineStr">
        <is>
          <t>'=L30</t>
        </is>
      </c>
      <c r="G316" t="n">
        <v>233.03</v>
      </c>
      <c r="H316" t="inlineStr"/>
      <c r="I316" t="inlineStr">
        <is>
          <t>#,##0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R316" t="b">
        <v>1</v>
      </c>
      <c r="S316" t="inlineStr">
        <is>
          <t>G000175</t>
        </is>
      </c>
      <c r="T316" t="inlineStr">
        <is>
          <t>Horizontal</t>
        </is>
      </c>
      <c r="U316" t="n">
        <v>5</v>
      </c>
      <c r="V316" t="b">
        <v>1</v>
      </c>
      <c r="W316" t="inlineStr">
        <is>
          <t>Balance sheet!K30:O30</t>
        </is>
      </c>
      <c r="X316">
        <f>R[0]C[-1]</f>
        <v/>
      </c>
    </row>
    <row r="317">
      <c r="A317" t="inlineStr">
        <is>
          <t>Balance sheet</t>
        </is>
      </c>
      <c r="B317" t="inlineStr">
        <is>
          <t>N30</t>
        </is>
      </c>
      <c r="C317" t="n">
        <v>30</v>
      </c>
      <c r="D317" t="n">
        <v>14</v>
      </c>
      <c r="E317" t="inlineStr">
        <is>
          <t>Calculation</t>
        </is>
      </c>
      <c r="F317" t="inlineStr">
        <is>
          <t>'=M30</t>
        </is>
      </c>
      <c r="G317" t="n">
        <v>233.03</v>
      </c>
      <c r="H317" t="inlineStr"/>
      <c r="I317" t="inlineStr">
        <is>
          <t>#,##0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R317" t="b">
        <v>1</v>
      </c>
      <c r="S317" t="inlineStr">
        <is>
          <t>G000175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Balance sheet!K30:O30</t>
        </is>
      </c>
      <c r="X317">
        <f>R[0]C[-1]</f>
        <v/>
      </c>
    </row>
    <row r="318">
      <c r="A318" t="inlineStr">
        <is>
          <t>Balance sheet</t>
        </is>
      </c>
      <c r="B318" t="inlineStr">
        <is>
          <t>O30</t>
        </is>
      </c>
      <c r="C318" t="n">
        <v>30</v>
      </c>
      <c r="D318" t="n">
        <v>15</v>
      </c>
      <c r="E318" t="inlineStr">
        <is>
          <t>Calculation</t>
        </is>
      </c>
      <c r="F318" t="inlineStr">
        <is>
          <t>'=N30</t>
        </is>
      </c>
      <c r="G318" t="n">
        <v>233.03</v>
      </c>
      <c r="H318" t="inlineStr"/>
      <c r="I318" t="inlineStr">
        <is>
          <t>#,##0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R318" t="b">
        <v>1</v>
      </c>
      <c r="S318" t="inlineStr">
        <is>
          <t>G000175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Balance sheet!K30:O30</t>
        </is>
      </c>
      <c r="X318">
        <f>R[0]C[-1]</f>
        <v/>
      </c>
    </row>
    <row r="319">
      <c r="A319" t="inlineStr">
        <is>
          <t>Balance sheet</t>
        </is>
      </c>
      <c r="B319" t="inlineStr">
        <is>
          <t>A31</t>
        </is>
      </c>
      <c r="C319" t="n">
        <v>31</v>
      </c>
      <c r="D319" t="n">
        <v>1</v>
      </c>
      <c r="E319" t="inlineStr">
        <is>
          <t>Input</t>
        </is>
      </c>
      <c r="F319" t="n">
        <v/>
      </c>
      <c r="G319" t="inlineStr">
        <is>
          <t>Intangible assets under development</t>
        </is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00000000</t>
        </is>
      </c>
      <c r="O319" t="n">
        <v/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Balance sheet</t>
        </is>
      </c>
      <c r="B320" t="inlineStr">
        <is>
          <t>D31</t>
        </is>
      </c>
      <c r="C320" t="n">
        <v>31</v>
      </c>
      <c r="D320" t="n">
        <v>4</v>
      </c>
      <c r="E320" t="inlineStr">
        <is>
          <t>Input</t>
        </is>
      </c>
      <c r="F320" t="n">
        <v/>
      </c>
      <c r="G320" t="n">
        <v>0</v>
      </c>
      <c r="H320" t="inlineStr"/>
      <c r="I320" t="inlineStr">
        <is>
          <t>#,##0</t>
        </is>
      </c>
      <c r="J320" t="b">
        <v>0</v>
      </c>
      <c r="K320" t="b">
        <v>0</v>
      </c>
      <c r="L320" t="n">
        <v>11</v>
      </c>
      <c r="M320" t="inlineStr">
        <is>
          <t>FF0B0280</t>
        </is>
      </c>
      <c r="N320" t="inlineStr">
        <is>
          <t>00000000</t>
        </is>
      </c>
      <c r="O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Balance sheet</t>
        </is>
      </c>
      <c r="B321" t="inlineStr">
        <is>
          <t>E31</t>
        </is>
      </c>
      <c r="C321" t="n">
        <v>31</v>
      </c>
      <c r="D321" t="n">
        <v>5</v>
      </c>
      <c r="E321" t="inlineStr">
        <is>
          <t>Input</t>
        </is>
      </c>
      <c r="F321" t="n">
        <v/>
      </c>
      <c r="G321" t="n">
        <v>0</v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FF0B0280</t>
        </is>
      </c>
      <c r="N321" t="inlineStr">
        <is>
          <t>00000000</t>
        </is>
      </c>
      <c r="O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Balance sheet</t>
        </is>
      </c>
      <c r="B322" t="inlineStr">
        <is>
          <t>F31</t>
        </is>
      </c>
      <c r="C322" t="n">
        <v>31</v>
      </c>
      <c r="D322" t="n">
        <v>6</v>
      </c>
      <c r="E322" t="inlineStr">
        <is>
          <t>Input</t>
        </is>
      </c>
      <c r="F322" t="n">
        <v/>
      </c>
      <c r="G322" t="n">
        <v>0</v>
      </c>
      <c r="H322" t="inlineStr"/>
      <c r="I322" t="inlineStr">
        <is>
          <t>#,##0</t>
        </is>
      </c>
      <c r="J322" t="b">
        <v>0</v>
      </c>
      <c r="K322" t="b">
        <v>0</v>
      </c>
      <c r="L322" t="n">
        <v>11</v>
      </c>
      <c r="M322" t="inlineStr">
        <is>
          <t>FF0B0280</t>
        </is>
      </c>
      <c r="N322" t="inlineStr">
        <is>
          <t>00000000</t>
        </is>
      </c>
      <c r="O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Balance sheet</t>
        </is>
      </c>
      <c r="B323" t="inlineStr">
        <is>
          <t>G31</t>
        </is>
      </c>
      <c r="C323" t="n">
        <v>31</v>
      </c>
      <c r="D323" t="n">
        <v>7</v>
      </c>
      <c r="E323" t="inlineStr">
        <is>
          <t>Input</t>
        </is>
      </c>
      <c r="F323" t="n">
        <v/>
      </c>
      <c r="G323" t="n">
        <v>0</v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FF0B0280</t>
        </is>
      </c>
      <c r="N323" t="inlineStr">
        <is>
          <t>00000000</t>
        </is>
      </c>
      <c r="O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Balance sheet</t>
        </is>
      </c>
      <c r="B324" t="inlineStr">
        <is>
          <t>H31</t>
        </is>
      </c>
      <c r="C324" t="n">
        <v>31</v>
      </c>
      <c r="D324" t="n">
        <v>8</v>
      </c>
      <c r="E324" t="inlineStr">
        <is>
          <t>Input</t>
        </is>
      </c>
      <c r="F324" t="n">
        <v/>
      </c>
      <c r="G324" t="n">
        <v>0</v>
      </c>
      <c r="H324" t="inlineStr"/>
      <c r="I324" t="inlineStr">
        <is>
          <t>#,##0</t>
        </is>
      </c>
      <c r="J324" t="b">
        <v>0</v>
      </c>
      <c r="K324" t="b">
        <v>0</v>
      </c>
      <c r="L324" t="n">
        <v>11</v>
      </c>
      <c r="M324" t="inlineStr">
        <is>
          <t>FF0B0280</t>
        </is>
      </c>
      <c r="N324" t="inlineStr">
        <is>
          <t>00000000</t>
        </is>
      </c>
      <c r="O324" t="n">
        <v/>
      </c>
      <c r="R324" t="b">
        <v>1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Balance sheet</t>
        </is>
      </c>
      <c r="B325" t="inlineStr">
        <is>
          <t>I31</t>
        </is>
      </c>
      <c r="C325" t="n">
        <v>31</v>
      </c>
      <c r="D325" t="n">
        <v>9</v>
      </c>
      <c r="E325" t="inlineStr">
        <is>
          <t>Input</t>
        </is>
      </c>
      <c r="F325" t="n">
        <v/>
      </c>
      <c r="G325" t="n">
        <v>82.31</v>
      </c>
      <c r="H325" t="inlineStr"/>
      <c r="I325" t="inlineStr">
        <is>
          <t>#,##0</t>
        </is>
      </c>
      <c r="J325" t="b">
        <v>0</v>
      </c>
      <c r="K325" t="b">
        <v>0</v>
      </c>
      <c r="L325" t="n">
        <v>11</v>
      </c>
      <c r="M325" t="inlineStr">
        <is>
          <t>FF0B0280</t>
        </is>
      </c>
      <c r="N325" t="inlineStr">
        <is>
          <t>00000000</t>
        </is>
      </c>
      <c r="O325" t="n">
        <v/>
      </c>
      <c r="R325" t="b">
        <v>1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Balance sheet</t>
        </is>
      </c>
      <c r="B326" t="inlineStr">
        <is>
          <t>J31</t>
        </is>
      </c>
      <c r="C326" t="n">
        <v>31</v>
      </c>
      <c r="D326" t="n">
        <v>10</v>
      </c>
      <c r="E326" t="inlineStr">
        <is>
          <t>Input</t>
        </is>
      </c>
      <c r="F326" t="n">
        <v/>
      </c>
      <c r="G326" t="n">
        <v>18.83</v>
      </c>
      <c r="H326" t="inlineStr"/>
      <c r="I326" t="inlineStr">
        <is>
          <t>#,##0</t>
        </is>
      </c>
      <c r="J326" t="b">
        <v>0</v>
      </c>
      <c r="K326" t="b">
        <v>0</v>
      </c>
      <c r="L326" t="n">
        <v>11</v>
      </c>
      <c r="M326" t="inlineStr">
        <is>
          <t>FF0B0280</t>
        </is>
      </c>
      <c r="N326" t="inlineStr">
        <is>
          <t>00000000</t>
        </is>
      </c>
      <c r="O326" t="n">
        <v/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Balance sheet</t>
        </is>
      </c>
      <c r="B327" t="inlineStr">
        <is>
          <t>K31</t>
        </is>
      </c>
      <c r="C327" t="n">
        <v>31</v>
      </c>
      <c r="D327" t="n">
        <v>11</v>
      </c>
      <c r="E327" t="inlineStr">
        <is>
          <t>Calculation</t>
        </is>
      </c>
      <c r="F327" t="inlineStr">
        <is>
          <t>'=J31</t>
        </is>
      </c>
      <c r="G327" t="n">
        <v>18.83</v>
      </c>
      <c r="H327" t="inlineStr"/>
      <c r="I327" t="inlineStr">
        <is>
          <t>#,##0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n">
        <v/>
      </c>
      <c r="R327" t="b">
        <v>1</v>
      </c>
      <c r="S327" t="inlineStr">
        <is>
          <t>G000176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Balance sheet!K31:O31</t>
        </is>
      </c>
      <c r="X327">
        <f>R[0]C[-1]</f>
        <v/>
      </c>
    </row>
    <row r="328">
      <c r="A328" t="inlineStr">
        <is>
          <t>Balance sheet</t>
        </is>
      </c>
      <c r="B328" t="inlineStr">
        <is>
          <t>L31</t>
        </is>
      </c>
      <c r="C328" t="n">
        <v>31</v>
      </c>
      <c r="D328" t="n">
        <v>12</v>
      </c>
      <c r="E328" t="inlineStr">
        <is>
          <t>Calculation</t>
        </is>
      </c>
      <c r="F328" t="inlineStr">
        <is>
          <t>'=K31</t>
        </is>
      </c>
      <c r="G328" t="n">
        <v>18.83</v>
      </c>
      <c r="H328" t="inlineStr"/>
      <c r="I328" t="inlineStr">
        <is>
          <t>#,##0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n">
        <v/>
      </c>
      <c r="R328" t="b">
        <v>1</v>
      </c>
      <c r="S328" t="inlineStr">
        <is>
          <t>G000176</t>
        </is>
      </c>
      <c r="T328" t="inlineStr">
        <is>
          <t>Horizontal</t>
        </is>
      </c>
      <c r="U328" t="n">
        <v>5</v>
      </c>
      <c r="V328" t="b">
        <v>1</v>
      </c>
      <c r="W328" t="inlineStr">
        <is>
          <t>Balance sheet!K31:O31</t>
        </is>
      </c>
      <c r="X328">
        <f>R[0]C[-1]</f>
        <v/>
      </c>
    </row>
    <row r="329">
      <c r="A329" t="inlineStr">
        <is>
          <t>Balance sheet</t>
        </is>
      </c>
      <c r="B329" t="inlineStr">
        <is>
          <t>M31</t>
        </is>
      </c>
      <c r="C329" t="n">
        <v>31</v>
      </c>
      <c r="D329" t="n">
        <v>13</v>
      </c>
      <c r="E329" t="inlineStr">
        <is>
          <t>Calculation</t>
        </is>
      </c>
      <c r="F329" t="inlineStr">
        <is>
          <t>'=L31</t>
        </is>
      </c>
      <c r="G329" t="n">
        <v>18.83</v>
      </c>
      <c r="H329" t="inlineStr"/>
      <c r="I329" t="inlineStr">
        <is>
          <t>#,##0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R329" t="b">
        <v>1</v>
      </c>
      <c r="S329" t="inlineStr">
        <is>
          <t>G000176</t>
        </is>
      </c>
      <c r="T329" t="inlineStr">
        <is>
          <t>Horizontal</t>
        </is>
      </c>
      <c r="U329" t="n">
        <v>5</v>
      </c>
      <c r="V329" t="b">
        <v>1</v>
      </c>
      <c r="W329" t="inlineStr">
        <is>
          <t>Balance sheet!K31:O31</t>
        </is>
      </c>
      <c r="X329">
        <f>R[0]C[-1]</f>
        <v/>
      </c>
    </row>
    <row r="330">
      <c r="A330" t="inlineStr">
        <is>
          <t>Balance sheet</t>
        </is>
      </c>
      <c r="B330" t="inlineStr">
        <is>
          <t>N31</t>
        </is>
      </c>
      <c r="C330" t="n">
        <v>31</v>
      </c>
      <c r="D330" t="n">
        <v>14</v>
      </c>
      <c r="E330" t="inlineStr">
        <is>
          <t>Calculation</t>
        </is>
      </c>
      <c r="F330" t="inlineStr">
        <is>
          <t>'=M31</t>
        </is>
      </c>
      <c r="G330" t="n">
        <v>18.83</v>
      </c>
      <c r="H330" t="inlineStr"/>
      <c r="I330" t="inlineStr">
        <is>
          <t>#,##0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n">
        <v/>
      </c>
      <c r="R330" t="b">
        <v>1</v>
      </c>
      <c r="S330" t="inlineStr">
        <is>
          <t>G000176</t>
        </is>
      </c>
      <c r="T330" t="inlineStr">
        <is>
          <t>Horizontal</t>
        </is>
      </c>
      <c r="U330" t="n">
        <v>5</v>
      </c>
      <c r="V330" t="b">
        <v>1</v>
      </c>
      <c r="W330" t="inlineStr">
        <is>
          <t>Balance sheet!K31:O31</t>
        </is>
      </c>
      <c r="X330">
        <f>R[0]C[-1]</f>
        <v/>
      </c>
    </row>
    <row r="331">
      <c r="A331" t="inlineStr">
        <is>
          <t>Balance sheet</t>
        </is>
      </c>
      <c r="B331" t="inlineStr">
        <is>
          <t>O31</t>
        </is>
      </c>
      <c r="C331" t="n">
        <v>31</v>
      </c>
      <c r="D331" t="n">
        <v>15</v>
      </c>
      <c r="E331" t="inlineStr">
        <is>
          <t>Calculation</t>
        </is>
      </c>
      <c r="F331" t="inlineStr">
        <is>
          <t>'=N31</t>
        </is>
      </c>
      <c r="G331" t="n">
        <v>18.83</v>
      </c>
      <c r="H331" t="inlineStr"/>
      <c r="I331" t="inlineStr">
        <is>
          <t>#,##0</t>
        </is>
      </c>
      <c r="J331" t="b">
        <v>0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00000000</t>
        </is>
      </c>
      <c r="O331" t="n">
        <v/>
      </c>
      <c r="R331" t="b">
        <v>1</v>
      </c>
      <c r="S331" t="inlineStr">
        <is>
          <t>G000176</t>
        </is>
      </c>
      <c r="T331" t="inlineStr">
        <is>
          <t>Horizontal</t>
        </is>
      </c>
      <c r="U331" t="n">
        <v>5</v>
      </c>
      <c r="V331" t="b">
        <v>1</v>
      </c>
      <c r="W331" t="inlineStr">
        <is>
          <t>Balance sheet!K31:O31</t>
        </is>
      </c>
      <c r="X331">
        <f>R[0]C[-1]</f>
        <v/>
      </c>
    </row>
    <row r="332">
      <c r="A332" t="inlineStr">
        <is>
          <t>Balance sheet</t>
        </is>
      </c>
      <c r="B332" t="inlineStr">
        <is>
          <t>A32</t>
        </is>
      </c>
      <c r="C332" t="n">
        <v>32</v>
      </c>
      <c r="D332" t="n">
        <v>1</v>
      </c>
      <c r="E332" t="inlineStr">
        <is>
          <t>Input</t>
        </is>
      </c>
      <c r="F332" t="n">
        <v/>
      </c>
      <c r="G332" t="inlineStr">
        <is>
          <t>Fixed assets</t>
        </is>
      </c>
      <c r="H332" t="inlineStr"/>
      <c r="I332" t="inlineStr">
        <is>
          <t>General</t>
        </is>
      </c>
      <c r="J332" t="b">
        <v>1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Balance sheet</t>
        </is>
      </c>
      <c r="B333" t="inlineStr">
        <is>
          <t>D32</t>
        </is>
      </c>
      <c r="C333" t="n">
        <v>32</v>
      </c>
      <c r="D333" t="n">
        <v>4</v>
      </c>
      <c r="E333" t="inlineStr">
        <is>
          <t>Calculation</t>
        </is>
      </c>
      <c r="F333" t="inlineStr">
        <is>
          <t>'=SUM(D28:D31)</t>
        </is>
      </c>
      <c r="G333" t="n">
        <v>8311.410000000002</v>
      </c>
      <c r="H333" t="inlineStr"/>
      <c r="I333" t="inlineStr">
        <is>
          <t>#,##0</t>
        </is>
      </c>
      <c r="J333" t="b">
        <v>1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00000000</t>
        </is>
      </c>
      <c r="O333" t="n">
        <v/>
      </c>
      <c r="R333" t="b">
        <v>1</v>
      </c>
      <c r="S333" t="inlineStr">
        <is>
          <t>G000203</t>
        </is>
      </c>
      <c r="T333" t="inlineStr">
        <is>
          <t>Horizontal</t>
        </is>
      </c>
      <c r="U333" t="n">
        <v>12</v>
      </c>
      <c r="V333" t="b">
        <v>1</v>
      </c>
      <c r="W333" t="inlineStr">
        <is>
          <t>Balance sheet!D32:O32</t>
        </is>
      </c>
      <c r="X333">
        <f>SUM(R[-4]C[0]:R[-1]C[0])</f>
        <v/>
      </c>
    </row>
    <row r="334">
      <c r="A334" t="inlineStr">
        <is>
          <t>Balance sheet</t>
        </is>
      </c>
      <c r="B334" t="inlineStr">
        <is>
          <t>E32</t>
        </is>
      </c>
      <c r="C334" t="n">
        <v>32</v>
      </c>
      <c r="D334" t="n">
        <v>5</v>
      </c>
      <c r="E334" t="inlineStr">
        <is>
          <t>Calculation</t>
        </is>
      </c>
      <c r="F334" t="inlineStr">
        <is>
          <t>'=SUM(E28:E31)</t>
        </is>
      </c>
      <c r="G334" t="n">
        <v>8860.110000000001</v>
      </c>
      <c r="H334" t="inlineStr"/>
      <c r="I334" t="inlineStr">
        <is>
          <t>#,##0</t>
        </is>
      </c>
      <c r="J334" t="b">
        <v>1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00000000</t>
        </is>
      </c>
      <c r="O334" t="n">
        <v/>
      </c>
      <c r="R334" t="b">
        <v>1</v>
      </c>
      <c r="S334" t="inlineStr">
        <is>
          <t>G000203</t>
        </is>
      </c>
      <c r="T334" t="inlineStr">
        <is>
          <t>Horizontal</t>
        </is>
      </c>
      <c r="U334" t="n">
        <v>12</v>
      </c>
      <c r="V334" t="b">
        <v>1</v>
      </c>
      <c r="W334" t="inlineStr">
        <is>
          <t>Balance sheet!D32:O32</t>
        </is>
      </c>
      <c r="X334">
        <f>SUM(R[-4]C[0]:R[-1]C[0])</f>
        <v/>
      </c>
    </row>
    <row r="335">
      <c r="A335" t="inlineStr">
        <is>
          <t>Balance sheet</t>
        </is>
      </c>
      <c r="B335" t="inlineStr">
        <is>
          <t>F32</t>
        </is>
      </c>
      <c r="C335" t="n">
        <v>32</v>
      </c>
      <c r="D335" t="n">
        <v>6</v>
      </c>
      <c r="E335" t="inlineStr">
        <is>
          <t>Calculation</t>
        </is>
      </c>
      <c r="F335" t="inlineStr">
        <is>
          <t>'=SUM(F28:F31)</t>
        </is>
      </c>
      <c r="G335" t="n">
        <v>17713.06</v>
      </c>
      <c r="H335" t="inlineStr"/>
      <c r="I335" t="inlineStr">
        <is>
          <t>#,##0</t>
        </is>
      </c>
      <c r="J335" t="b">
        <v>1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n">
        <v/>
      </c>
      <c r="R335" t="b">
        <v>1</v>
      </c>
      <c r="S335" t="inlineStr">
        <is>
          <t>G000203</t>
        </is>
      </c>
      <c r="T335" t="inlineStr">
        <is>
          <t>Horizontal</t>
        </is>
      </c>
      <c r="U335" t="n">
        <v>12</v>
      </c>
      <c r="V335" t="b">
        <v>1</v>
      </c>
      <c r="W335" t="inlineStr">
        <is>
          <t>Balance sheet!D32:O32</t>
        </is>
      </c>
      <c r="X335">
        <f>SUM(R[-4]C[0]:R[-1]C[0])</f>
        <v/>
      </c>
    </row>
    <row r="336">
      <c r="A336" t="inlineStr">
        <is>
          <t>Balance sheet</t>
        </is>
      </c>
      <c r="B336" t="inlineStr">
        <is>
          <t>G32</t>
        </is>
      </c>
      <c r="C336" t="n">
        <v>32</v>
      </c>
      <c r="D336" t="n">
        <v>7</v>
      </c>
      <c r="E336" t="inlineStr">
        <is>
          <t>Calculation</t>
        </is>
      </c>
      <c r="F336" t="inlineStr">
        <is>
          <t>'=SUM(G28:G31)</t>
        </is>
      </c>
      <c r="G336" t="n">
        <v>39559.66</v>
      </c>
      <c r="H336" t="inlineStr"/>
      <c r="I336" t="inlineStr">
        <is>
          <t>#,##0</t>
        </is>
      </c>
      <c r="J336" t="b">
        <v>1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n">
        <v/>
      </c>
      <c r="R336" t="b">
        <v>1</v>
      </c>
      <c r="S336" t="inlineStr">
        <is>
          <t>G000203</t>
        </is>
      </c>
      <c r="T336" t="inlineStr">
        <is>
          <t>Horizontal</t>
        </is>
      </c>
      <c r="U336" t="n">
        <v>12</v>
      </c>
      <c r="V336" t="b">
        <v>1</v>
      </c>
      <c r="W336" t="inlineStr">
        <is>
          <t>Balance sheet!D32:O32</t>
        </is>
      </c>
      <c r="X336">
        <f>SUM(R[-4]C[0]:R[-1]C[0])</f>
        <v/>
      </c>
    </row>
    <row r="337">
      <c r="A337" t="inlineStr">
        <is>
          <t>Balance sheet</t>
        </is>
      </c>
      <c r="B337" t="inlineStr">
        <is>
          <t>H32</t>
        </is>
      </c>
      <c r="C337" t="n">
        <v>32</v>
      </c>
      <c r="D337" t="n">
        <v>8</v>
      </c>
      <c r="E337" t="inlineStr">
        <is>
          <t>Calculation</t>
        </is>
      </c>
      <c r="F337" t="inlineStr">
        <is>
          <t>'=SUM(H28:H31)</t>
        </is>
      </c>
      <c r="G337" t="n">
        <v>48764.92</v>
      </c>
      <c r="H337" t="inlineStr"/>
      <c r="I337" t="inlineStr">
        <is>
          <t>#,##0</t>
        </is>
      </c>
      <c r="J337" t="b">
        <v>1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00000000</t>
        </is>
      </c>
      <c r="O337" t="n">
        <v/>
      </c>
      <c r="R337" t="b">
        <v>1</v>
      </c>
      <c r="S337" t="inlineStr">
        <is>
          <t>G000203</t>
        </is>
      </c>
      <c r="T337" t="inlineStr">
        <is>
          <t>Horizontal</t>
        </is>
      </c>
      <c r="U337" t="n">
        <v>12</v>
      </c>
      <c r="V337" t="b">
        <v>1</v>
      </c>
      <c r="W337" t="inlineStr">
        <is>
          <t>Balance sheet!D32:O32</t>
        </is>
      </c>
      <c r="X337">
        <f>SUM(R[-4]C[0]:R[-1]C[0])</f>
        <v/>
      </c>
    </row>
    <row r="338">
      <c r="A338" t="inlineStr">
        <is>
          <t>Balance sheet</t>
        </is>
      </c>
      <c r="B338" t="inlineStr">
        <is>
          <t>I32</t>
        </is>
      </c>
      <c r="C338" t="n">
        <v>32</v>
      </c>
      <c r="D338" t="n">
        <v>9</v>
      </c>
      <c r="E338" t="inlineStr">
        <is>
          <t>Calculation</t>
        </is>
      </c>
      <c r="F338" t="inlineStr">
        <is>
          <t>'=SUM(I28:I31)</t>
        </is>
      </c>
      <c r="G338" t="n">
        <v>47274.53999999999</v>
      </c>
      <c r="H338" t="inlineStr"/>
      <c r="I338" t="inlineStr">
        <is>
          <t>#,##0</t>
        </is>
      </c>
      <c r="J338" t="b">
        <v>1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00000000</t>
        </is>
      </c>
      <c r="O338" t="n">
        <v/>
      </c>
      <c r="R338" t="b">
        <v>1</v>
      </c>
      <c r="S338" t="inlineStr">
        <is>
          <t>G000203</t>
        </is>
      </c>
      <c r="T338" t="inlineStr">
        <is>
          <t>Horizontal</t>
        </is>
      </c>
      <c r="U338" t="n">
        <v>12</v>
      </c>
      <c r="V338" t="b">
        <v>1</v>
      </c>
      <c r="W338" t="inlineStr">
        <is>
          <t>Balance sheet!D32:O32</t>
        </is>
      </c>
      <c r="X338">
        <f>SUM(R[-4]C[0]:R[-1]C[0])</f>
        <v/>
      </c>
    </row>
    <row r="339">
      <c r="A339" t="inlineStr">
        <is>
          <t>Balance sheet</t>
        </is>
      </c>
      <c r="B339" t="inlineStr">
        <is>
          <t>J32</t>
        </is>
      </c>
      <c r="C339" t="n">
        <v>32</v>
      </c>
      <c r="D339" t="n">
        <v>10</v>
      </c>
      <c r="E339" t="inlineStr">
        <is>
          <t>Calculation</t>
        </is>
      </c>
      <c r="F339" t="inlineStr">
        <is>
          <t>'=SUM(J28:J31)</t>
        </is>
      </c>
      <c r="G339" t="n">
        <v>38190.27</v>
      </c>
      <c r="H339" t="inlineStr"/>
      <c r="I339" t="inlineStr">
        <is>
          <t>#,##0</t>
        </is>
      </c>
      <c r="J339" t="b">
        <v>1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R339" t="b">
        <v>1</v>
      </c>
      <c r="S339" t="inlineStr">
        <is>
          <t>G000203</t>
        </is>
      </c>
      <c r="T339" t="inlineStr">
        <is>
          <t>Horizontal</t>
        </is>
      </c>
      <c r="U339" t="n">
        <v>12</v>
      </c>
      <c r="V339" t="b">
        <v>1</v>
      </c>
      <c r="W339" t="inlineStr">
        <is>
          <t>Balance sheet!D32:O32</t>
        </is>
      </c>
      <c r="X339">
        <f>SUM(R[-4]C[0]:R[-1]C[0])</f>
        <v/>
      </c>
    </row>
    <row r="340">
      <c r="A340" t="inlineStr">
        <is>
          <t>Balance sheet</t>
        </is>
      </c>
      <c r="B340" t="inlineStr">
        <is>
          <t>K32</t>
        </is>
      </c>
      <c r="C340" t="n">
        <v>32</v>
      </c>
      <c r="D340" t="n">
        <v>11</v>
      </c>
      <c r="E340" t="inlineStr">
        <is>
          <t>Calculation</t>
        </is>
      </c>
      <c r="F340" t="inlineStr">
        <is>
          <t>'=SUM(K28:K31)</t>
        </is>
      </c>
      <c r="G340" t="n">
        <v>44269.77796000001</v>
      </c>
      <c r="H340" t="inlineStr"/>
      <c r="I340" t="inlineStr">
        <is>
          <t>#,##0</t>
        </is>
      </c>
      <c r="J340" t="b">
        <v>1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n">
        <v/>
      </c>
      <c r="R340" t="b">
        <v>1</v>
      </c>
      <c r="S340" t="inlineStr">
        <is>
          <t>G000203</t>
        </is>
      </c>
      <c r="T340" t="inlineStr">
        <is>
          <t>Horizontal</t>
        </is>
      </c>
      <c r="U340" t="n">
        <v>12</v>
      </c>
      <c r="V340" t="b">
        <v>1</v>
      </c>
      <c r="W340" t="inlineStr">
        <is>
          <t>Balance sheet!D32:O32</t>
        </is>
      </c>
      <c r="X340">
        <f>SUM(R[-4]C[0]:R[-1]C[0])</f>
        <v/>
      </c>
    </row>
    <row r="341">
      <c r="A341" t="inlineStr">
        <is>
          <t>Balance sheet</t>
        </is>
      </c>
      <c r="B341" t="inlineStr">
        <is>
          <t>L32</t>
        </is>
      </c>
      <c r="C341" t="n">
        <v>32</v>
      </c>
      <c r="D341" t="n">
        <v>12</v>
      </c>
      <c r="E341" t="inlineStr">
        <is>
          <t>Calculation</t>
        </is>
      </c>
      <c r="F341" t="inlineStr">
        <is>
          <t>'=SUM(L28:L31)</t>
        </is>
      </c>
      <c r="G341" t="n">
        <v>50038.00256208001</v>
      </c>
      <c r="H341" t="inlineStr"/>
      <c r="I341" t="inlineStr">
        <is>
          <t>#,##0</t>
        </is>
      </c>
      <c r="J341" t="b">
        <v>1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n">
        <v/>
      </c>
      <c r="R341" t="b">
        <v>1</v>
      </c>
      <c r="S341" t="inlineStr">
        <is>
          <t>G000203</t>
        </is>
      </c>
      <c r="T341" t="inlineStr">
        <is>
          <t>Horizontal</t>
        </is>
      </c>
      <c r="U341" t="n">
        <v>12</v>
      </c>
      <c r="V341" t="b">
        <v>1</v>
      </c>
      <c r="W341" t="inlineStr">
        <is>
          <t>Balance sheet!D32:O32</t>
        </is>
      </c>
      <c r="X341">
        <f>SUM(R[-4]C[0]:R[-1]C[0])</f>
        <v/>
      </c>
    </row>
    <row r="342">
      <c r="A342" t="inlineStr">
        <is>
          <t>Balance sheet</t>
        </is>
      </c>
      <c r="B342" t="inlineStr">
        <is>
          <t>M32</t>
        </is>
      </c>
      <c r="C342" t="n">
        <v>32</v>
      </c>
      <c r="D342" t="n">
        <v>13</v>
      </c>
      <c r="E342" t="inlineStr">
        <is>
          <t>Calculation</t>
        </is>
      </c>
      <c r="F342" t="inlineStr">
        <is>
          <t>'=SUM(M28:M31)</t>
        </is>
      </c>
      <c r="G342" t="n">
        <v>55544.42085792065</v>
      </c>
      <c r="H342" t="inlineStr"/>
      <c r="I342" t="inlineStr">
        <is>
          <t>#,##0</t>
        </is>
      </c>
      <c r="J342" t="b">
        <v>1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n">
        <v/>
      </c>
      <c r="R342" t="b">
        <v>1</v>
      </c>
      <c r="S342" t="inlineStr">
        <is>
          <t>G000203</t>
        </is>
      </c>
      <c r="T342" t="inlineStr">
        <is>
          <t>Horizontal</t>
        </is>
      </c>
      <c r="U342" t="n">
        <v>12</v>
      </c>
      <c r="V342" t="b">
        <v>1</v>
      </c>
      <c r="W342" t="inlineStr">
        <is>
          <t>Balance sheet!D32:O32</t>
        </is>
      </c>
      <c r="X342">
        <f>SUM(R[-4]C[0]:R[-1]C[0])</f>
        <v/>
      </c>
    </row>
    <row r="343">
      <c r="A343" t="inlineStr">
        <is>
          <t>Balance sheet</t>
        </is>
      </c>
      <c r="B343" t="inlineStr">
        <is>
          <t>N32</t>
        </is>
      </c>
      <c r="C343" t="n">
        <v>32</v>
      </c>
      <c r="D343" t="n">
        <v>14</v>
      </c>
      <c r="E343" t="inlineStr">
        <is>
          <t>Calculation</t>
        </is>
      </c>
      <c r="F343" t="inlineStr">
        <is>
          <t>'=SUM(N28:N31)</t>
        </is>
      </c>
      <c r="G343" t="n">
        <v>60825.2056376921</v>
      </c>
      <c r="H343" t="inlineStr"/>
      <c r="I343" t="inlineStr">
        <is>
          <t>#,##0</t>
        </is>
      </c>
      <c r="J343" t="b">
        <v>1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n">
        <v/>
      </c>
      <c r="R343" t="b">
        <v>1</v>
      </c>
      <c r="S343" t="inlineStr">
        <is>
          <t>G000203</t>
        </is>
      </c>
      <c r="T343" t="inlineStr">
        <is>
          <t>Horizontal</t>
        </is>
      </c>
      <c r="U343" t="n">
        <v>12</v>
      </c>
      <c r="V343" t="b">
        <v>1</v>
      </c>
      <c r="W343" t="inlineStr">
        <is>
          <t>Balance sheet!D32:O32</t>
        </is>
      </c>
      <c r="X343">
        <f>SUM(R[-4]C[0]:R[-1]C[0])</f>
        <v/>
      </c>
    </row>
    <row r="344">
      <c r="A344" t="inlineStr">
        <is>
          <t>Balance sheet</t>
        </is>
      </c>
      <c r="B344" t="inlineStr">
        <is>
          <t>O32</t>
        </is>
      </c>
      <c r="C344" t="n">
        <v>32</v>
      </c>
      <c r="D344" t="n">
        <v>15</v>
      </c>
      <c r="E344" t="inlineStr">
        <is>
          <t>Calculation</t>
        </is>
      </c>
      <c r="F344" t="inlineStr">
        <is>
          <t>'=SUM(O28:O31)</t>
        </is>
      </c>
      <c r="G344" t="n">
        <v>65908.12541867052</v>
      </c>
      <c r="H344" t="inlineStr"/>
      <c r="I344" t="inlineStr">
        <is>
          <t>#,##0</t>
        </is>
      </c>
      <c r="J344" t="b">
        <v>1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n">
        <v/>
      </c>
      <c r="R344" t="b">
        <v>1</v>
      </c>
      <c r="S344" t="inlineStr">
        <is>
          <t>G000203</t>
        </is>
      </c>
      <c r="T344" t="inlineStr">
        <is>
          <t>Horizontal</t>
        </is>
      </c>
      <c r="U344" t="n">
        <v>12</v>
      </c>
      <c r="V344" t="b">
        <v>1</v>
      </c>
      <c r="W344" t="inlineStr">
        <is>
          <t>Balance sheet!D32:O32</t>
        </is>
      </c>
      <c r="X344">
        <f>SUM(R[-4]C[0]:R[-1]C[0])</f>
        <v/>
      </c>
    </row>
    <row r="345">
      <c r="A345" t="inlineStr">
        <is>
          <t>Balance sheet</t>
        </is>
      </c>
      <c r="B345" t="inlineStr">
        <is>
          <t>A34</t>
        </is>
      </c>
      <c r="C345" t="n">
        <v>34</v>
      </c>
      <c r="D345" t="n">
        <v>1</v>
      </c>
      <c r="E345" t="inlineStr">
        <is>
          <t>Input</t>
        </is>
      </c>
      <c r="F345" t="n">
        <v/>
      </c>
      <c r="G345" t="inlineStr">
        <is>
          <t>Non-current investments</t>
        </is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Balance sheet</t>
        </is>
      </c>
      <c r="B346" t="inlineStr">
        <is>
          <t>D34</t>
        </is>
      </c>
      <c r="C346" t="n">
        <v>34</v>
      </c>
      <c r="D346" t="n">
        <v>4</v>
      </c>
      <c r="E346" t="inlineStr">
        <is>
          <t>Input</t>
        </is>
      </c>
      <c r="F346" t="n">
        <v/>
      </c>
      <c r="G346" t="n">
        <v>0</v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FF0B0280</t>
        </is>
      </c>
      <c r="N346" t="inlineStr">
        <is>
          <t>00000000</t>
        </is>
      </c>
      <c r="O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Balance sheet</t>
        </is>
      </c>
      <c r="B347" t="inlineStr">
        <is>
          <t>E34</t>
        </is>
      </c>
      <c r="C347" t="n">
        <v>34</v>
      </c>
      <c r="D347" t="n">
        <v>5</v>
      </c>
      <c r="E347" t="inlineStr">
        <is>
          <t>Input</t>
        </is>
      </c>
      <c r="F347" t="n">
        <v/>
      </c>
      <c r="G347" t="n">
        <v>0</v>
      </c>
      <c r="H347" t="inlineStr"/>
      <c r="I347" t="inlineStr">
        <is>
          <t>#,##0</t>
        </is>
      </c>
      <c r="J347" t="b">
        <v>0</v>
      </c>
      <c r="K347" t="b">
        <v>0</v>
      </c>
      <c r="L347" t="n">
        <v>11</v>
      </c>
      <c r="M347" t="inlineStr">
        <is>
          <t>FF0B0280</t>
        </is>
      </c>
      <c r="N347" t="inlineStr">
        <is>
          <t>00000000</t>
        </is>
      </c>
      <c r="O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Balance sheet</t>
        </is>
      </c>
      <c r="B348" t="inlineStr">
        <is>
          <t>F34</t>
        </is>
      </c>
      <c r="C348" t="n">
        <v>34</v>
      </c>
      <c r="D348" t="n">
        <v>6</v>
      </c>
      <c r="E348" t="inlineStr">
        <is>
          <t>Input</t>
        </is>
      </c>
      <c r="F348" t="n">
        <v/>
      </c>
      <c r="G348" t="n">
        <v>0.35</v>
      </c>
      <c r="H348" t="inlineStr"/>
      <c r="I348" t="inlineStr">
        <is>
          <t>0.00</t>
        </is>
      </c>
      <c r="J348" t="b">
        <v>0</v>
      </c>
      <c r="K348" t="b">
        <v>0</v>
      </c>
      <c r="L348" t="n">
        <v>11</v>
      </c>
      <c r="M348" t="inlineStr">
        <is>
          <t>FF0B0280</t>
        </is>
      </c>
      <c r="N348" t="inlineStr">
        <is>
          <t>00000000</t>
        </is>
      </c>
      <c r="O348" t="n">
        <v/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Balance sheet</t>
        </is>
      </c>
      <c r="B349" t="inlineStr">
        <is>
          <t>G34</t>
        </is>
      </c>
      <c r="C349" t="n">
        <v>34</v>
      </c>
      <c r="D349" t="n">
        <v>7</v>
      </c>
      <c r="E349" t="inlineStr">
        <is>
          <t>Input</t>
        </is>
      </c>
      <c r="F349" t="n">
        <v/>
      </c>
      <c r="G349" t="n">
        <v>0.47</v>
      </c>
      <c r="H349" t="inlineStr"/>
      <c r="I349" t="inlineStr">
        <is>
          <t>0.00</t>
        </is>
      </c>
      <c r="J349" t="b">
        <v>0</v>
      </c>
      <c r="K349" t="b">
        <v>0</v>
      </c>
      <c r="L349" t="n">
        <v>11</v>
      </c>
      <c r="M349" t="inlineStr">
        <is>
          <t>FF0B0280</t>
        </is>
      </c>
      <c r="N349" t="inlineStr">
        <is>
          <t>00000000</t>
        </is>
      </c>
      <c r="O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Balance sheet</t>
        </is>
      </c>
      <c r="B350" t="inlineStr">
        <is>
          <t>H34</t>
        </is>
      </c>
      <c r="C350" t="n">
        <v>34</v>
      </c>
      <c r="D350" t="n">
        <v>8</v>
      </c>
      <c r="E350" t="inlineStr">
        <is>
          <t>Input</t>
        </is>
      </c>
      <c r="F350" t="n">
        <v/>
      </c>
      <c r="G350" t="n">
        <v>0.46</v>
      </c>
      <c r="H350" t="inlineStr"/>
      <c r="I350" t="inlineStr">
        <is>
          <t>0.00</t>
        </is>
      </c>
      <c r="J350" t="b">
        <v>0</v>
      </c>
      <c r="K350" t="b">
        <v>0</v>
      </c>
      <c r="L350" t="n">
        <v>11</v>
      </c>
      <c r="M350" t="inlineStr">
        <is>
          <t>FF0B0280</t>
        </is>
      </c>
      <c r="N350" t="inlineStr">
        <is>
          <t>00000000</t>
        </is>
      </c>
      <c r="O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Balance sheet</t>
        </is>
      </c>
      <c r="B351" t="inlineStr">
        <is>
          <t>I34</t>
        </is>
      </c>
      <c r="C351" t="n">
        <v>34</v>
      </c>
      <c r="D351" t="n">
        <v>9</v>
      </c>
      <c r="E351" t="inlineStr">
        <is>
          <t>Input</t>
        </is>
      </c>
      <c r="F351" t="n">
        <v/>
      </c>
      <c r="G351" t="n">
        <v>0.25</v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FF0B0280</t>
        </is>
      </c>
      <c r="N351" t="inlineStr">
        <is>
          <t>00000000</t>
        </is>
      </c>
      <c r="O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Balance sheet</t>
        </is>
      </c>
      <c r="B352" t="inlineStr">
        <is>
          <t>J34</t>
        </is>
      </c>
      <c r="C352" t="n">
        <v>34</v>
      </c>
      <c r="D352" t="n">
        <v>10</v>
      </c>
      <c r="E352" t="inlineStr">
        <is>
          <t>Input</t>
        </is>
      </c>
      <c r="F352" t="n">
        <v/>
      </c>
      <c r="G352" t="n">
        <v>0.18</v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11</v>
      </c>
      <c r="M352" t="inlineStr">
        <is>
          <t>FF0B0280</t>
        </is>
      </c>
      <c r="N352" t="inlineStr">
        <is>
          <t>00000000</t>
        </is>
      </c>
      <c r="O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Balance sheet</t>
        </is>
      </c>
      <c r="B353" t="inlineStr">
        <is>
          <t>K34</t>
        </is>
      </c>
      <c r="C353" t="n">
        <v>34</v>
      </c>
      <c r="D353" t="n">
        <v>11</v>
      </c>
      <c r="E353" t="inlineStr">
        <is>
          <t>Calculation</t>
        </is>
      </c>
      <c r="F353" t="inlineStr">
        <is>
          <t>'=J34</t>
        </is>
      </c>
      <c r="G353" t="n">
        <v>0.18</v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00000000</t>
        </is>
      </c>
      <c r="O353" t="n">
        <v/>
      </c>
      <c r="R353" t="b">
        <v>1</v>
      </c>
      <c r="S353" t="inlineStr">
        <is>
          <t>G000177</t>
        </is>
      </c>
      <c r="T353" t="inlineStr">
        <is>
          <t>Horizontal</t>
        </is>
      </c>
      <c r="U353" t="n">
        <v>5</v>
      </c>
      <c r="V353" t="b">
        <v>1</v>
      </c>
      <c r="W353" t="inlineStr">
        <is>
          <t>Balance sheet!K34:O34</t>
        </is>
      </c>
      <c r="X353">
        <f>R[0]C[-1]</f>
        <v/>
      </c>
    </row>
    <row r="354">
      <c r="A354" t="inlineStr">
        <is>
          <t>Balance sheet</t>
        </is>
      </c>
      <c r="B354" t="inlineStr">
        <is>
          <t>L34</t>
        </is>
      </c>
      <c r="C354" t="n">
        <v>34</v>
      </c>
      <c r="D354" t="n">
        <v>12</v>
      </c>
      <c r="E354" t="inlineStr">
        <is>
          <t>Calculation</t>
        </is>
      </c>
      <c r="F354" t="inlineStr">
        <is>
          <t>'=K34</t>
        </is>
      </c>
      <c r="G354" t="n">
        <v>0.18</v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00000000</t>
        </is>
      </c>
      <c r="O354" t="n">
        <v/>
      </c>
      <c r="R354" t="b">
        <v>1</v>
      </c>
      <c r="S354" t="inlineStr">
        <is>
          <t>G000177</t>
        </is>
      </c>
      <c r="T354" t="inlineStr">
        <is>
          <t>Horizontal</t>
        </is>
      </c>
      <c r="U354" t="n">
        <v>5</v>
      </c>
      <c r="V354" t="b">
        <v>1</v>
      </c>
      <c r="W354" t="inlineStr">
        <is>
          <t>Balance sheet!K34:O34</t>
        </is>
      </c>
      <c r="X354">
        <f>R[0]C[-1]</f>
        <v/>
      </c>
    </row>
    <row r="355">
      <c r="A355" t="inlineStr">
        <is>
          <t>Balance sheet</t>
        </is>
      </c>
      <c r="B355" t="inlineStr">
        <is>
          <t>M34</t>
        </is>
      </c>
      <c r="C355" t="n">
        <v>34</v>
      </c>
      <c r="D355" t="n">
        <v>13</v>
      </c>
      <c r="E355" t="inlineStr">
        <is>
          <t>Calculation</t>
        </is>
      </c>
      <c r="F355" t="inlineStr">
        <is>
          <t>'=L34</t>
        </is>
      </c>
      <c r="G355" t="n">
        <v>0.18</v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00000000</t>
        </is>
      </c>
      <c r="O355" t="n">
        <v/>
      </c>
      <c r="R355" t="b">
        <v>1</v>
      </c>
      <c r="S355" t="inlineStr">
        <is>
          <t>G000177</t>
        </is>
      </c>
      <c r="T355" t="inlineStr">
        <is>
          <t>Horizontal</t>
        </is>
      </c>
      <c r="U355" t="n">
        <v>5</v>
      </c>
      <c r="V355" t="b">
        <v>1</v>
      </c>
      <c r="W355" t="inlineStr">
        <is>
          <t>Balance sheet!K34:O34</t>
        </is>
      </c>
      <c r="X355">
        <f>R[0]C[-1]</f>
        <v/>
      </c>
    </row>
    <row r="356">
      <c r="A356" t="inlineStr">
        <is>
          <t>Balance sheet</t>
        </is>
      </c>
      <c r="B356" t="inlineStr">
        <is>
          <t>N34</t>
        </is>
      </c>
      <c r="C356" t="n">
        <v>34</v>
      </c>
      <c r="D356" t="n">
        <v>14</v>
      </c>
      <c r="E356" t="inlineStr">
        <is>
          <t>Calculation</t>
        </is>
      </c>
      <c r="F356" t="inlineStr">
        <is>
          <t>'=M34</t>
        </is>
      </c>
      <c r="G356" t="n">
        <v>0.18</v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00000000</t>
        </is>
      </c>
      <c r="O356" t="n">
        <v/>
      </c>
      <c r="R356" t="b">
        <v>1</v>
      </c>
      <c r="S356" t="inlineStr">
        <is>
          <t>G000177</t>
        </is>
      </c>
      <c r="T356" t="inlineStr">
        <is>
          <t>Horizontal</t>
        </is>
      </c>
      <c r="U356" t="n">
        <v>5</v>
      </c>
      <c r="V356" t="b">
        <v>1</v>
      </c>
      <c r="W356" t="inlineStr">
        <is>
          <t>Balance sheet!K34:O34</t>
        </is>
      </c>
      <c r="X356">
        <f>R[0]C[-1]</f>
        <v/>
      </c>
    </row>
    <row r="357">
      <c r="A357" t="inlineStr">
        <is>
          <t>Balance sheet</t>
        </is>
      </c>
      <c r="B357" t="inlineStr">
        <is>
          <t>O34</t>
        </is>
      </c>
      <c r="C357" t="n">
        <v>34</v>
      </c>
      <c r="D357" t="n">
        <v>15</v>
      </c>
      <c r="E357" t="inlineStr">
        <is>
          <t>Calculation</t>
        </is>
      </c>
      <c r="F357" t="inlineStr">
        <is>
          <t>'=N34</t>
        </is>
      </c>
      <c r="G357" t="n">
        <v>0.18</v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00000000</t>
        </is>
      </c>
      <c r="O357" t="n">
        <v/>
      </c>
      <c r="R357" t="b">
        <v>1</v>
      </c>
      <c r="S357" t="inlineStr">
        <is>
          <t>G000177</t>
        </is>
      </c>
      <c r="T357" t="inlineStr">
        <is>
          <t>Horizontal</t>
        </is>
      </c>
      <c r="U357" t="n">
        <v>5</v>
      </c>
      <c r="V357" t="b">
        <v>1</v>
      </c>
      <c r="W357" t="inlineStr">
        <is>
          <t>Balance sheet!K34:O34</t>
        </is>
      </c>
      <c r="X357">
        <f>R[0]C[-1]</f>
        <v/>
      </c>
    </row>
    <row r="358">
      <c r="A358" t="inlineStr">
        <is>
          <t>Balance sheet</t>
        </is>
      </c>
      <c r="B358" t="inlineStr">
        <is>
          <t>A35</t>
        </is>
      </c>
      <c r="C358" t="n">
        <v>35</v>
      </c>
      <c r="D358" t="n">
        <v>1</v>
      </c>
      <c r="E358" t="inlineStr">
        <is>
          <t>Input</t>
        </is>
      </c>
      <c r="F358" t="n">
        <v/>
      </c>
      <c r="G358" t="inlineStr">
        <is>
          <t>Deferred tax asset (net)</t>
        </is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00000000</t>
        </is>
      </c>
      <c r="O358" t="n">
        <v/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Balance sheet</t>
        </is>
      </c>
      <c r="B359" t="inlineStr">
        <is>
          <t>D35</t>
        </is>
      </c>
      <c r="C359" t="n">
        <v>35</v>
      </c>
      <c r="D359" t="n">
        <v>4</v>
      </c>
      <c r="E359" t="inlineStr">
        <is>
          <t>Input</t>
        </is>
      </c>
      <c r="F359" t="n">
        <v/>
      </c>
      <c r="G359" t="n">
        <v>8.199999999999999</v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FF0B0280</t>
        </is>
      </c>
      <c r="N359" t="inlineStr">
        <is>
          <t>00000000</t>
        </is>
      </c>
      <c r="O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Balance sheet</t>
        </is>
      </c>
      <c r="B360" t="inlineStr">
        <is>
          <t>E35</t>
        </is>
      </c>
      <c r="C360" t="n">
        <v>35</v>
      </c>
      <c r="D360" t="n">
        <v>5</v>
      </c>
      <c r="E360" t="inlineStr">
        <is>
          <t>Input</t>
        </is>
      </c>
      <c r="F360" t="n">
        <v/>
      </c>
      <c r="G360" t="n">
        <v>665.1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FF0B0280</t>
        </is>
      </c>
      <c r="N360" t="inlineStr">
        <is>
          <t>00000000</t>
        </is>
      </c>
      <c r="O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Balance sheet</t>
        </is>
      </c>
      <c r="B361" t="inlineStr">
        <is>
          <t>F35</t>
        </is>
      </c>
      <c r="C361" t="n">
        <v>35</v>
      </c>
      <c r="D361" t="n">
        <v>6</v>
      </c>
      <c r="E361" t="inlineStr">
        <is>
          <t>Input</t>
        </is>
      </c>
      <c r="F361" t="n">
        <v/>
      </c>
      <c r="G361" t="n">
        <v>0</v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FF0B0280</t>
        </is>
      </c>
      <c r="N361" t="inlineStr">
        <is>
          <t>00000000</t>
        </is>
      </c>
      <c r="O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Balance sheet</t>
        </is>
      </c>
      <c r="B362" t="inlineStr">
        <is>
          <t>G35</t>
        </is>
      </c>
      <c r="C362" t="n">
        <v>35</v>
      </c>
      <c r="D362" t="n">
        <v>7</v>
      </c>
      <c r="E362" t="inlineStr">
        <is>
          <t>Input</t>
        </is>
      </c>
      <c r="F362" t="n">
        <v/>
      </c>
      <c r="G362" t="n">
        <v>0</v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FF0B0280</t>
        </is>
      </c>
      <c r="N362" t="inlineStr">
        <is>
          <t>00000000</t>
        </is>
      </c>
      <c r="O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Balance sheet</t>
        </is>
      </c>
      <c r="B363" t="inlineStr">
        <is>
          <t>H35</t>
        </is>
      </c>
      <c r="C363" t="n">
        <v>35</v>
      </c>
      <c r="D363" t="n">
        <v>8</v>
      </c>
      <c r="E363" t="inlineStr">
        <is>
          <t>Input</t>
        </is>
      </c>
      <c r="F363" t="n">
        <v/>
      </c>
      <c r="G363" t="n">
        <v>0</v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FF0B0280</t>
        </is>
      </c>
      <c r="N363" t="inlineStr">
        <is>
          <t>00000000</t>
        </is>
      </c>
      <c r="O363" t="n">
        <v/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Balance sheet</t>
        </is>
      </c>
      <c r="B364" t="inlineStr">
        <is>
          <t>I35</t>
        </is>
      </c>
      <c r="C364" t="n">
        <v>35</v>
      </c>
      <c r="D364" t="n">
        <v>9</v>
      </c>
      <c r="E364" t="inlineStr">
        <is>
          <t>Input</t>
        </is>
      </c>
      <c r="F364" t="n">
        <v/>
      </c>
      <c r="G364" t="n">
        <v>0</v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FF0B0280</t>
        </is>
      </c>
      <c r="N364" t="inlineStr">
        <is>
          <t>00000000</t>
        </is>
      </c>
      <c r="O364" t="n">
        <v/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Balance sheet</t>
        </is>
      </c>
      <c r="B365" t="inlineStr">
        <is>
          <t>J35</t>
        </is>
      </c>
      <c r="C365" t="n">
        <v>35</v>
      </c>
      <c r="D365" t="n">
        <v>10</v>
      </c>
      <c r="E365" t="inlineStr">
        <is>
          <t>Input</t>
        </is>
      </c>
      <c r="F365" t="n">
        <v/>
      </c>
      <c r="G365" t="n">
        <v>97.59999999999999</v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FF0B0280</t>
        </is>
      </c>
      <c r="N365" t="inlineStr">
        <is>
          <t>00000000</t>
        </is>
      </c>
      <c r="O365" t="n">
        <v/>
      </c>
      <c r="R365" t="b">
        <v>1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Balance sheet</t>
        </is>
      </c>
      <c r="B366" t="inlineStr">
        <is>
          <t>K35</t>
        </is>
      </c>
      <c r="C366" t="n">
        <v>35</v>
      </c>
      <c r="D366" t="n">
        <v>11</v>
      </c>
      <c r="E366" t="inlineStr">
        <is>
          <t>Calculation</t>
        </is>
      </c>
      <c r="F366" t="inlineStr">
        <is>
          <t>'=J35</t>
        </is>
      </c>
      <c r="G366" t="n">
        <v>97.59999999999999</v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n">
        <v/>
      </c>
      <c r="R366" t="b">
        <v>1</v>
      </c>
      <c r="S366" t="inlineStr">
        <is>
          <t>G000178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Balance sheet!K35:O35</t>
        </is>
      </c>
      <c r="X366">
        <f>R[0]C[-1]</f>
        <v/>
      </c>
    </row>
    <row r="367">
      <c r="A367" t="inlineStr">
        <is>
          <t>Balance sheet</t>
        </is>
      </c>
      <c r="B367" t="inlineStr">
        <is>
          <t>L35</t>
        </is>
      </c>
      <c r="C367" t="n">
        <v>35</v>
      </c>
      <c r="D367" t="n">
        <v>12</v>
      </c>
      <c r="E367" t="inlineStr">
        <is>
          <t>Calculation</t>
        </is>
      </c>
      <c r="F367" t="inlineStr">
        <is>
          <t>'=K35</t>
        </is>
      </c>
      <c r="G367" t="n">
        <v>97.59999999999999</v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n">
        <v/>
      </c>
      <c r="R367" t="b">
        <v>1</v>
      </c>
      <c r="S367" t="inlineStr">
        <is>
          <t>G000178</t>
        </is>
      </c>
      <c r="T367" t="inlineStr">
        <is>
          <t>Horizontal</t>
        </is>
      </c>
      <c r="U367" t="n">
        <v>5</v>
      </c>
      <c r="V367" t="b">
        <v>1</v>
      </c>
      <c r="W367" t="inlineStr">
        <is>
          <t>Balance sheet!K35:O35</t>
        </is>
      </c>
      <c r="X367">
        <f>R[0]C[-1]</f>
        <v/>
      </c>
    </row>
    <row r="368">
      <c r="A368" t="inlineStr">
        <is>
          <t>Balance sheet</t>
        </is>
      </c>
      <c r="B368" t="inlineStr">
        <is>
          <t>M35</t>
        </is>
      </c>
      <c r="C368" t="n">
        <v>35</v>
      </c>
      <c r="D368" t="n">
        <v>13</v>
      </c>
      <c r="E368" t="inlineStr">
        <is>
          <t>Calculation</t>
        </is>
      </c>
      <c r="F368" t="inlineStr">
        <is>
          <t>'=L35</t>
        </is>
      </c>
      <c r="G368" t="n">
        <v>97.59999999999999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n">
        <v/>
      </c>
      <c r="R368" t="b">
        <v>1</v>
      </c>
      <c r="S368" t="inlineStr">
        <is>
          <t>G000178</t>
        </is>
      </c>
      <c r="T368" t="inlineStr">
        <is>
          <t>Horizontal</t>
        </is>
      </c>
      <c r="U368" t="n">
        <v>5</v>
      </c>
      <c r="V368" t="b">
        <v>1</v>
      </c>
      <c r="W368" t="inlineStr">
        <is>
          <t>Balance sheet!K35:O35</t>
        </is>
      </c>
      <c r="X368">
        <f>R[0]C[-1]</f>
        <v/>
      </c>
    </row>
    <row r="369">
      <c r="A369" t="inlineStr">
        <is>
          <t>Balance sheet</t>
        </is>
      </c>
      <c r="B369" t="inlineStr">
        <is>
          <t>N35</t>
        </is>
      </c>
      <c r="C369" t="n">
        <v>35</v>
      </c>
      <c r="D369" t="n">
        <v>14</v>
      </c>
      <c r="E369" t="inlineStr">
        <is>
          <t>Calculation</t>
        </is>
      </c>
      <c r="F369" t="inlineStr">
        <is>
          <t>'=M35</t>
        </is>
      </c>
      <c r="G369" t="n">
        <v>97.59999999999999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R369" t="b">
        <v>1</v>
      </c>
      <c r="S369" t="inlineStr">
        <is>
          <t>G000178</t>
        </is>
      </c>
      <c r="T369" t="inlineStr">
        <is>
          <t>Horizontal</t>
        </is>
      </c>
      <c r="U369" t="n">
        <v>5</v>
      </c>
      <c r="V369" t="b">
        <v>1</v>
      </c>
      <c r="W369" t="inlineStr">
        <is>
          <t>Balance sheet!K35:O35</t>
        </is>
      </c>
      <c r="X369">
        <f>R[0]C[-1]</f>
        <v/>
      </c>
    </row>
    <row r="370">
      <c r="A370" t="inlineStr">
        <is>
          <t>Balance sheet</t>
        </is>
      </c>
      <c r="B370" t="inlineStr">
        <is>
          <t>O35</t>
        </is>
      </c>
      <c r="C370" t="n">
        <v>35</v>
      </c>
      <c r="D370" t="n">
        <v>15</v>
      </c>
      <c r="E370" t="inlineStr">
        <is>
          <t>Calculation</t>
        </is>
      </c>
      <c r="F370" t="inlineStr">
        <is>
          <t>'=N35</t>
        </is>
      </c>
      <c r="G370" t="n">
        <v>97.59999999999999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n">
        <v/>
      </c>
      <c r="R370" t="b">
        <v>1</v>
      </c>
      <c r="S370" t="inlineStr">
        <is>
          <t>G000178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Balance sheet!K35:O35</t>
        </is>
      </c>
      <c r="X370">
        <f>R[0]C[-1]</f>
        <v/>
      </c>
    </row>
    <row r="371">
      <c r="A371" t="inlineStr">
        <is>
          <t>Balance sheet</t>
        </is>
      </c>
      <c r="B371" t="inlineStr">
        <is>
          <t>A36</t>
        </is>
      </c>
      <c r="C371" t="n">
        <v>36</v>
      </c>
      <c r="D371" t="n">
        <v>1</v>
      </c>
      <c r="E371" t="inlineStr">
        <is>
          <t>Input</t>
        </is>
      </c>
      <c r="F371" t="n">
        <v/>
      </c>
      <c r="G371" t="inlineStr">
        <is>
          <t>Long-term loans and advances</t>
        </is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11</v>
      </c>
      <c r="M371" t="inlineStr">
        <is>
          <t>Values must be of type &lt;class 'str'&gt;</t>
        </is>
      </c>
      <c r="N371" t="inlineStr">
        <is>
          <t>00000000</t>
        </is>
      </c>
      <c r="O371" t="n">
        <v/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Balance sheet</t>
        </is>
      </c>
      <c r="B372" t="inlineStr">
        <is>
          <t>D36</t>
        </is>
      </c>
      <c r="C372" t="n">
        <v>36</v>
      </c>
      <c r="D372" t="n">
        <v>4</v>
      </c>
      <c r="E372" t="inlineStr">
        <is>
          <t>Input</t>
        </is>
      </c>
      <c r="F372" t="n">
        <v/>
      </c>
      <c r="G372" t="n">
        <v>1268.71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FF0B0280</t>
        </is>
      </c>
      <c r="N372" t="inlineStr">
        <is>
          <t>00000000</t>
        </is>
      </c>
      <c r="O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Balance sheet</t>
        </is>
      </c>
      <c r="B373" t="inlineStr">
        <is>
          <t>E36</t>
        </is>
      </c>
      <c r="C373" t="n">
        <v>36</v>
      </c>
      <c r="D373" t="n">
        <v>5</v>
      </c>
      <c r="E373" t="inlineStr">
        <is>
          <t>Input</t>
        </is>
      </c>
      <c r="F373" t="n">
        <v/>
      </c>
      <c r="G373" t="n">
        <v>2973.09</v>
      </c>
      <c r="H373" t="inlineStr"/>
      <c r="I373" t="inlineStr">
        <is>
          <t>#,##0</t>
        </is>
      </c>
      <c r="J373" t="b">
        <v>0</v>
      </c>
      <c r="K373" t="b">
        <v>0</v>
      </c>
      <c r="L373" t="n">
        <v>11</v>
      </c>
      <c r="M373" t="inlineStr">
        <is>
          <t>FF0B0280</t>
        </is>
      </c>
      <c r="N373" t="inlineStr">
        <is>
          <t>00000000</t>
        </is>
      </c>
      <c r="O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Balance sheet</t>
        </is>
      </c>
      <c r="B374" t="inlineStr">
        <is>
          <t>F36</t>
        </is>
      </c>
      <c r="C374" t="n">
        <v>36</v>
      </c>
      <c r="D374" t="n">
        <v>6</v>
      </c>
      <c r="E374" t="inlineStr">
        <is>
          <t>Input</t>
        </is>
      </c>
      <c r="F374" t="n">
        <v/>
      </c>
      <c r="G374" t="n">
        <v>5246.98</v>
      </c>
      <c r="H374" t="inlineStr"/>
      <c r="I374" t="inlineStr">
        <is>
          <t>#,##0</t>
        </is>
      </c>
      <c r="J374" t="b">
        <v>0</v>
      </c>
      <c r="K374" t="b">
        <v>0</v>
      </c>
      <c r="L374" t="n">
        <v>11</v>
      </c>
      <c r="M374" t="inlineStr">
        <is>
          <t>FF0B0280</t>
        </is>
      </c>
      <c r="N374" t="inlineStr">
        <is>
          <t>00000000</t>
        </is>
      </c>
      <c r="O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Balance sheet</t>
        </is>
      </c>
      <c r="B375" t="inlineStr">
        <is>
          <t>G36</t>
        </is>
      </c>
      <c r="C375" t="n">
        <v>36</v>
      </c>
      <c r="D375" t="n">
        <v>7</v>
      </c>
      <c r="E375" t="inlineStr">
        <is>
          <t>Input</t>
        </is>
      </c>
      <c r="F375" t="n">
        <v/>
      </c>
      <c r="G375" t="n">
        <v>8012.06</v>
      </c>
      <c r="H375" t="inlineStr"/>
      <c r="I375" t="inlineStr">
        <is>
          <t>#,##0</t>
        </is>
      </c>
      <c r="J375" t="b">
        <v>0</v>
      </c>
      <c r="K375" t="b">
        <v>0</v>
      </c>
      <c r="L375" t="n">
        <v>11</v>
      </c>
      <c r="M375" t="inlineStr">
        <is>
          <t>FF0B0280</t>
        </is>
      </c>
      <c r="N375" t="inlineStr">
        <is>
          <t>00000000</t>
        </is>
      </c>
      <c r="O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Balance sheet</t>
        </is>
      </c>
      <c r="B376" t="inlineStr">
        <is>
          <t>H36</t>
        </is>
      </c>
      <c r="C376" t="n">
        <v>36</v>
      </c>
      <c r="D376" t="n">
        <v>8</v>
      </c>
      <c r="E376" t="inlineStr">
        <is>
          <t>Input</t>
        </is>
      </c>
      <c r="F376" t="n">
        <v/>
      </c>
      <c r="G376" t="n">
        <v>11181.34</v>
      </c>
      <c r="H376" t="inlineStr"/>
      <c r="I376" t="inlineStr">
        <is>
          <t>#,##0</t>
        </is>
      </c>
      <c r="J376" t="b">
        <v>0</v>
      </c>
      <c r="K376" t="b">
        <v>0</v>
      </c>
      <c r="L376" t="n">
        <v>11</v>
      </c>
      <c r="M376" t="inlineStr">
        <is>
          <t>FF0B0280</t>
        </is>
      </c>
      <c r="N376" t="inlineStr">
        <is>
          <t>00000000</t>
        </is>
      </c>
      <c r="O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Balance sheet</t>
        </is>
      </c>
      <c r="B377" t="inlineStr">
        <is>
          <t>I36</t>
        </is>
      </c>
      <c r="C377" t="n">
        <v>36</v>
      </c>
      <c r="D377" t="n">
        <v>9</v>
      </c>
      <c r="E377" t="inlineStr">
        <is>
          <t>Input</t>
        </is>
      </c>
      <c r="F377" t="n">
        <v/>
      </c>
      <c r="G377" t="n">
        <v>11930.62</v>
      </c>
      <c r="H377" t="inlineStr"/>
      <c r="I377" t="inlineStr">
        <is>
          <t>#,##0</t>
        </is>
      </c>
      <c r="J377" t="b">
        <v>0</v>
      </c>
      <c r="K377" t="b">
        <v>0</v>
      </c>
      <c r="L377" t="n">
        <v>11</v>
      </c>
      <c r="M377" t="inlineStr">
        <is>
          <t>FF0B0280</t>
        </is>
      </c>
      <c r="N377" t="inlineStr">
        <is>
          <t>00000000</t>
        </is>
      </c>
      <c r="O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Balance sheet</t>
        </is>
      </c>
      <c r="B378" t="inlineStr">
        <is>
          <t>J36</t>
        </is>
      </c>
      <c r="C378" t="n">
        <v>36</v>
      </c>
      <c r="D378" t="n">
        <v>10</v>
      </c>
      <c r="E378" t="inlineStr">
        <is>
          <t>Input</t>
        </is>
      </c>
      <c r="F378" t="n">
        <v/>
      </c>
      <c r="G378" t="n">
        <v>5440.26</v>
      </c>
      <c r="H378" t="inlineStr"/>
      <c r="I378" t="inlineStr">
        <is>
          <t>#,##0</t>
        </is>
      </c>
      <c r="J378" t="b">
        <v>0</v>
      </c>
      <c r="K378" t="b">
        <v>0</v>
      </c>
      <c r="L378" t="n">
        <v>11</v>
      </c>
      <c r="M378" t="inlineStr">
        <is>
          <t>FF0B0280</t>
        </is>
      </c>
      <c r="N378" t="inlineStr">
        <is>
          <t>00000000</t>
        </is>
      </c>
      <c r="O378" t="n">
        <v/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Balance sheet</t>
        </is>
      </c>
      <c r="B379" t="inlineStr">
        <is>
          <t>K36</t>
        </is>
      </c>
      <c r="C379" t="n">
        <v>36</v>
      </c>
      <c r="D379" t="n">
        <v>11</v>
      </c>
      <c r="E379" t="inlineStr">
        <is>
          <t>Calculation</t>
        </is>
      </c>
      <c r="F379" t="inlineStr">
        <is>
          <t>'=J36</t>
        </is>
      </c>
      <c r="G379" t="n">
        <v>5440.26</v>
      </c>
      <c r="H379" t="inlineStr"/>
      <c r="I379" t="inlineStr">
        <is>
          <t>#,##0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00000000</t>
        </is>
      </c>
      <c r="O379" t="n">
        <v/>
      </c>
      <c r="R379" t="b">
        <v>1</v>
      </c>
      <c r="S379" t="inlineStr">
        <is>
          <t>G000179</t>
        </is>
      </c>
      <c r="T379" t="inlineStr">
        <is>
          <t>Horizontal</t>
        </is>
      </c>
      <c r="U379" t="n">
        <v>5</v>
      </c>
      <c r="V379" t="b">
        <v>1</v>
      </c>
      <c r="W379" t="inlineStr">
        <is>
          <t>Balance sheet!K36:O36</t>
        </is>
      </c>
      <c r="X379">
        <f>R[0]C[-1]</f>
        <v/>
      </c>
    </row>
    <row r="380">
      <c r="A380" t="inlineStr">
        <is>
          <t>Balance sheet</t>
        </is>
      </c>
      <c r="B380" t="inlineStr">
        <is>
          <t>L36</t>
        </is>
      </c>
      <c r="C380" t="n">
        <v>36</v>
      </c>
      <c r="D380" t="n">
        <v>12</v>
      </c>
      <c r="E380" t="inlineStr">
        <is>
          <t>Calculation</t>
        </is>
      </c>
      <c r="F380" t="inlineStr">
        <is>
          <t>'=K36</t>
        </is>
      </c>
      <c r="G380" t="n">
        <v>5440.26</v>
      </c>
      <c r="H380" t="inlineStr"/>
      <c r="I380" t="inlineStr">
        <is>
          <t>#,##0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00000000</t>
        </is>
      </c>
      <c r="O380" t="n">
        <v/>
      </c>
      <c r="R380" t="b">
        <v>1</v>
      </c>
      <c r="S380" t="inlineStr">
        <is>
          <t>G000179</t>
        </is>
      </c>
      <c r="T380" t="inlineStr">
        <is>
          <t>Horizontal</t>
        </is>
      </c>
      <c r="U380" t="n">
        <v>5</v>
      </c>
      <c r="V380" t="b">
        <v>1</v>
      </c>
      <c r="W380" t="inlineStr">
        <is>
          <t>Balance sheet!K36:O36</t>
        </is>
      </c>
      <c r="X380">
        <f>R[0]C[-1]</f>
        <v/>
      </c>
    </row>
    <row r="381">
      <c r="A381" t="inlineStr">
        <is>
          <t>Balance sheet</t>
        </is>
      </c>
      <c r="B381" t="inlineStr">
        <is>
          <t>M36</t>
        </is>
      </c>
      <c r="C381" t="n">
        <v>36</v>
      </c>
      <c r="D381" t="n">
        <v>13</v>
      </c>
      <c r="E381" t="inlineStr">
        <is>
          <t>Calculation</t>
        </is>
      </c>
      <c r="F381" t="inlineStr">
        <is>
          <t>'=L36</t>
        </is>
      </c>
      <c r="G381" t="n">
        <v>5440.26</v>
      </c>
      <c r="H381" t="inlineStr"/>
      <c r="I381" t="inlineStr">
        <is>
          <t>#,##0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00000000</t>
        </is>
      </c>
      <c r="O381" t="n">
        <v/>
      </c>
      <c r="R381" t="b">
        <v>1</v>
      </c>
      <c r="S381" t="inlineStr">
        <is>
          <t>G000179</t>
        </is>
      </c>
      <c r="T381" t="inlineStr">
        <is>
          <t>Horizontal</t>
        </is>
      </c>
      <c r="U381" t="n">
        <v>5</v>
      </c>
      <c r="V381" t="b">
        <v>1</v>
      </c>
      <c r="W381" t="inlineStr">
        <is>
          <t>Balance sheet!K36:O36</t>
        </is>
      </c>
      <c r="X381">
        <f>R[0]C[-1]</f>
        <v/>
      </c>
    </row>
    <row r="382">
      <c r="A382" t="inlineStr">
        <is>
          <t>Balance sheet</t>
        </is>
      </c>
      <c r="B382" t="inlineStr">
        <is>
          <t>N36</t>
        </is>
      </c>
      <c r="C382" t="n">
        <v>36</v>
      </c>
      <c r="D382" t="n">
        <v>14</v>
      </c>
      <c r="E382" t="inlineStr">
        <is>
          <t>Calculation</t>
        </is>
      </c>
      <c r="F382" t="inlineStr">
        <is>
          <t>'=M36</t>
        </is>
      </c>
      <c r="G382" t="n">
        <v>5440.26</v>
      </c>
      <c r="H382" t="inlineStr"/>
      <c r="I382" t="inlineStr">
        <is>
          <t>#,##0</t>
        </is>
      </c>
      <c r="J382" t="b">
        <v>0</v>
      </c>
      <c r="K382" t="b">
        <v>0</v>
      </c>
      <c r="L382" t="n">
        <v>11</v>
      </c>
      <c r="M382" t="inlineStr">
        <is>
          <t>Values must be of type &lt;class 'str'&gt;</t>
        </is>
      </c>
      <c r="N382" t="inlineStr">
        <is>
          <t>00000000</t>
        </is>
      </c>
      <c r="O382" t="n">
        <v/>
      </c>
      <c r="R382" t="b">
        <v>1</v>
      </c>
      <c r="S382" t="inlineStr">
        <is>
          <t>G000179</t>
        </is>
      </c>
      <c r="T382" t="inlineStr">
        <is>
          <t>Horizontal</t>
        </is>
      </c>
      <c r="U382" t="n">
        <v>5</v>
      </c>
      <c r="V382" t="b">
        <v>1</v>
      </c>
      <c r="W382" t="inlineStr">
        <is>
          <t>Balance sheet!K36:O36</t>
        </is>
      </c>
      <c r="X382">
        <f>R[0]C[-1]</f>
        <v/>
      </c>
    </row>
    <row r="383">
      <c r="A383" t="inlineStr">
        <is>
          <t>Balance sheet</t>
        </is>
      </c>
      <c r="B383" t="inlineStr">
        <is>
          <t>O36</t>
        </is>
      </c>
      <c r="C383" t="n">
        <v>36</v>
      </c>
      <c r="D383" t="n">
        <v>15</v>
      </c>
      <c r="E383" t="inlineStr">
        <is>
          <t>Calculation</t>
        </is>
      </c>
      <c r="F383" t="inlineStr">
        <is>
          <t>'=N36</t>
        </is>
      </c>
      <c r="G383" t="n">
        <v>5440.26</v>
      </c>
      <c r="H383" t="inlineStr"/>
      <c r="I383" t="inlineStr">
        <is>
          <t>#,##0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00000000</t>
        </is>
      </c>
      <c r="O383" t="n">
        <v/>
      </c>
      <c r="R383" t="b">
        <v>1</v>
      </c>
      <c r="S383" t="inlineStr">
        <is>
          <t>G000179</t>
        </is>
      </c>
      <c r="T383" t="inlineStr">
        <is>
          <t>Horizontal</t>
        </is>
      </c>
      <c r="U383" t="n">
        <v>5</v>
      </c>
      <c r="V383" t="b">
        <v>1</v>
      </c>
      <c r="W383" t="inlineStr">
        <is>
          <t>Balance sheet!K36:O36</t>
        </is>
      </c>
      <c r="X383">
        <f>R[0]C[-1]</f>
        <v/>
      </c>
    </row>
    <row r="384">
      <c r="A384" t="inlineStr">
        <is>
          <t>Balance sheet</t>
        </is>
      </c>
      <c r="B384" t="inlineStr">
        <is>
          <t>A37</t>
        </is>
      </c>
      <c r="C384" t="n">
        <v>37</v>
      </c>
      <c r="D384" t="n">
        <v>1</v>
      </c>
      <c r="E384" t="inlineStr">
        <is>
          <t>Input</t>
        </is>
      </c>
      <c r="F384" t="n">
        <v/>
      </c>
      <c r="G384" t="inlineStr">
        <is>
          <t>Other non-current assets</t>
        </is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00000000</t>
        </is>
      </c>
      <c r="O384" t="n">
        <v/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Balance sheet</t>
        </is>
      </c>
      <c r="B385" t="inlineStr">
        <is>
          <t>D37</t>
        </is>
      </c>
      <c r="C385" t="n">
        <v>37</v>
      </c>
      <c r="D385" t="n">
        <v>4</v>
      </c>
      <c r="E385" t="inlineStr">
        <is>
          <t>Input</t>
        </is>
      </c>
      <c r="F385" t="n">
        <v/>
      </c>
      <c r="G385" t="n">
        <v>118.95</v>
      </c>
      <c r="H385" t="inlineStr"/>
      <c r="I385" t="inlineStr">
        <is>
          <t>0</t>
        </is>
      </c>
      <c r="J385" t="b">
        <v>0</v>
      </c>
      <c r="K385" t="b">
        <v>0</v>
      </c>
      <c r="L385" t="n">
        <v>11</v>
      </c>
      <c r="M385" t="inlineStr">
        <is>
          <t>FF0B0280</t>
        </is>
      </c>
      <c r="N385" t="inlineStr">
        <is>
          <t>00000000</t>
        </is>
      </c>
      <c r="O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Balance sheet</t>
        </is>
      </c>
      <c r="B386" t="inlineStr">
        <is>
          <t>E37</t>
        </is>
      </c>
      <c r="C386" t="n">
        <v>37</v>
      </c>
      <c r="D386" t="n">
        <v>5</v>
      </c>
      <c r="E386" t="inlineStr">
        <is>
          <t>Input</t>
        </is>
      </c>
      <c r="F386" t="n">
        <v/>
      </c>
      <c r="G386" t="n">
        <v>885.3</v>
      </c>
      <c r="H386" t="inlineStr"/>
      <c r="I386" t="inlineStr">
        <is>
          <t>#,##0</t>
        </is>
      </c>
      <c r="J386" t="b">
        <v>0</v>
      </c>
      <c r="K386" t="b">
        <v>0</v>
      </c>
      <c r="L386" t="n">
        <v>11</v>
      </c>
      <c r="M386" t="inlineStr">
        <is>
          <t>FF0B0280</t>
        </is>
      </c>
      <c r="N386" t="inlineStr">
        <is>
          <t>00000000</t>
        </is>
      </c>
      <c r="O386" t="n">
        <v/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Balance sheet</t>
        </is>
      </c>
      <c r="B387" t="inlineStr">
        <is>
          <t>F37</t>
        </is>
      </c>
      <c r="C387" t="n">
        <v>37</v>
      </c>
      <c r="D387" t="n">
        <v>6</v>
      </c>
      <c r="E387" t="inlineStr">
        <is>
          <t>Input</t>
        </is>
      </c>
      <c r="F387" t="n">
        <v/>
      </c>
      <c r="G387" t="n">
        <v>4857.72</v>
      </c>
      <c r="H387" t="inlineStr"/>
      <c r="I387" t="inlineStr">
        <is>
          <t>#,##0</t>
        </is>
      </c>
      <c r="J387" t="b">
        <v>0</v>
      </c>
      <c r="K387" t="b">
        <v>0</v>
      </c>
      <c r="L387" t="n">
        <v>11</v>
      </c>
      <c r="M387" t="inlineStr">
        <is>
          <t>FF0B0280</t>
        </is>
      </c>
      <c r="N387" t="inlineStr">
        <is>
          <t>00000000</t>
        </is>
      </c>
      <c r="O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Balance sheet</t>
        </is>
      </c>
      <c r="B388" t="inlineStr">
        <is>
          <t>G37</t>
        </is>
      </c>
      <c r="C388" t="n">
        <v>37</v>
      </c>
      <c r="D388" t="n">
        <v>7</v>
      </c>
      <c r="E388" t="inlineStr">
        <is>
          <t>Input</t>
        </is>
      </c>
      <c r="F388" t="n">
        <v/>
      </c>
      <c r="G388" t="n">
        <v>14315.23</v>
      </c>
      <c r="H388" t="inlineStr"/>
      <c r="I388" t="inlineStr">
        <is>
          <t>#,##0</t>
        </is>
      </c>
      <c r="J388" t="b">
        <v>0</v>
      </c>
      <c r="K388" t="b">
        <v>0</v>
      </c>
      <c r="L388" t="n">
        <v>11</v>
      </c>
      <c r="M388" t="inlineStr">
        <is>
          <t>FF0B0280</t>
        </is>
      </c>
      <c r="N388" t="inlineStr">
        <is>
          <t>00000000</t>
        </is>
      </c>
      <c r="O388" t="n">
        <v/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Balance sheet</t>
        </is>
      </c>
      <c r="B389" t="inlineStr">
        <is>
          <t>H37</t>
        </is>
      </c>
      <c r="C389" t="n">
        <v>37</v>
      </c>
      <c r="D389" t="n">
        <v>8</v>
      </c>
      <c r="E389" t="inlineStr">
        <is>
          <t>Input</t>
        </is>
      </c>
      <c r="F389" t="n">
        <v/>
      </c>
      <c r="G389" t="n">
        <v>16055.6</v>
      </c>
      <c r="H389" t="inlineStr"/>
      <c r="I389" t="inlineStr">
        <is>
          <t>#,##0</t>
        </is>
      </c>
      <c r="J389" t="b">
        <v>0</v>
      </c>
      <c r="K389" t="b">
        <v>0</v>
      </c>
      <c r="L389" t="n">
        <v>11</v>
      </c>
      <c r="M389" t="inlineStr">
        <is>
          <t>FF0B0280</t>
        </is>
      </c>
      <c r="N389" t="inlineStr">
        <is>
          <t>00000000</t>
        </is>
      </c>
      <c r="O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Balance sheet</t>
        </is>
      </c>
      <c r="B390" t="inlineStr">
        <is>
          <t>I37</t>
        </is>
      </c>
      <c r="C390" t="n">
        <v>37</v>
      </c>
      <c r="D390" t="n">
        <v>9</v>
      </c>
      <c r="E390" t="inlineStr">
        <is>
          <t>Input</t>
        </is>
      </c>
      <c r="F390" t="n">
        <v/>
      </c>
      <c r="G390" t="n">
        <v>14977.84</v>
      </c>
      <c r="H390" t="inlineStr"/>
      <c r="I390" t="inlineStr">
        <is>
          <t>#,##0</t>
        </is>
      </c>
      <c r="J390" t="b">
        <v>0</v>
      </c>
      <c r="K390" t="b">
        <v>0</v>
      </c>
      <c r="L390" t="n">
        <v>11</v>
      </c>
      <c r="M390" t="inlineStr">
        <is>
          <t>FF0B0280</t>
        </is>
      </c>
      <c r="N390" t="inlineStr">
        <is>
          <t>00000000</t>
        </is>
      </c>
      <c r="O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Balance sheet</t>
        </is>
      </c>
      <c r="B391" t="inlineStr">
        <is>
          <t>J37</t>
        </is>
      </c>
      <c r="C391" t="n">
        <v>37</v>
      </c>
      <c r="D391" t="n">
        <v>10</v>
      </c>
      <c r="E391" t="inlineStr">
        <is>
          <t>Calculation</t>
        </is>
      </c>
      <c r="F391" t="inlineStr">
        <is>
          <t>'=3548.74+10356.39</t>
        </is>
      </c>
      <c r="G391" t="n">
        <v>13905.13</v>
      </c>
      <c r="H391" t="inlineStr"/>
      <c r="I391" t="inlineStr">
        <is>
          <t>#,##0</t>
        </is>
      </c>
      <c r="J391" t="b">
        <v>0</v>
      </c>
      <c r="K391" t="b">
        <v>0</v>
      </c>
      <c r="L391" t="n">
        <v>11</v>
      </c>
      <c r="M391" t="inlineStr">
        <is>
          <t>FF0B0280</t>
        </is>
      </c>
      <c r="N391" t="inlineStr">
        <is>
          <t>00000000</t>
        </is>
      </c>
      <c r="O391" t="n">
        <v/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>
        <f>3548.74+10356.39</f>
        <v/>
      </c>
    </row>
    <row r="392">
      <c r="A392" t="inlineStr">
        <is>
          <t>Balance sheet</t>
        </is>
      </c>
      <c r="B392" t="inlineStr">
        <is>
          <t>K37</t>
        </is>
      </c>
      <c r="C392" t="n">
        <v>37</v>
      </c>
      <c r="D392" t="n">
        <v>11</v>
      </c>
      <c r="E392" t="inlineStr">
        <is>
          <t>Calculation</t>
        </is>
      </c>
      <c r="F392" t="inlineStr">
        <is>
          <t>'=J37</t>
        </is>
      </c>
      <c r="G392" t="n">
        <v>13905.13</v>
      </c>
      <c r="H392" t="inlineStr"/>
      <c r="I392" t="inlineStr">
        <is>
          <t>#,##0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n">
        <v/>
      </c>
      <c r="R392" t="b">
        <v>1</v>
      </c>
      <c r="S392" t="inlineStr">
        <is>
          <t>G000180</t>
        </is>
      </c>
      <c r="T392" t="inlineStr">
        <is>
          <t>Horizontal</t>
        </is>
      </c>
      <c r="U392" t="n">
        <v>5</v>
      </c>
      <c r="V392" t="b">
        <v>1</v>
      </c>
      <c r="W392" t="inlineStr">
        <is>
          <t>Balance sheet!K37:O37</t>
        </is>
      </c>
      <c r="X392">
        <f>R[0]C[-1]</f>
        <v/>
      </c>
    </row>
    <row r="393">
      <c r="A393" t="inlineStr">
        <is>
          <t>Balance sheet</t>
        </is>
      </c>
      <c r="B393" t="inlineStr">
        <is>
          <t>L37</t>
        </is>
      </c>
      <c r="C393" t="n">
        <v>37</v>
      </c>
      <c r="D393" t="n">
        <v>12</v>
      </c>
      <c r="E393" t="inlineStr">
        <is>
          <t>Calculation</t>
        </is>
      </c>
      <c r="F393" t="inlineStr">
        <is>
          <t>'=K37</t>
        </is>
      </c>
      <c r="G393" t="n">
        <v>13905.13</v>
      </c>
      <c r="H393" t="inlineStr"/>
      <c r="I393" t="inlineStr">
        <is>
          <t>#,##0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n">
        <v/>
      </c>
      <c r="R393" t="b">
        <v>1</v>
      </c>
      <c r="S393" t="inlineStr">
        <is>
          <t>G000180</t>
        </is>
      </c>
      <c r="T393" t="inlineStr">
        <is>
          <t>Horizontal</t>
        </is>
      </c>
      <c r="U393" t="n">
        <v>5</v>
      </c>
      <c r="V393" t="b">
        <v>1</v>
      </c>
      <c r="W393" t="inlineStr">
        <is>
          <t>Balance sheet!K37:O37</t>
        </is>
      </c>
      <c r="X393">
        <f>R[0]C[-1]</f>
        <v/>
      </c>
    </row>
    <row r="394">
      <c r="A394" t="inlineStr">
        <is>
          <t>Balance sheet</t>
        </is>
      </c>
      <c r="B394" t="inlineStr">
        <is>
          <t>M37</t>
        </is>
      </c>
      <c r="C394" t="n">
        <v>37</v>
      </c>
      <c r="D394" t="n">
        <v>13</v>
      </c>
      <c r="E394" t="inlineStr">
        <is>
          <t>Calculation</t>
        </is>
      </c>
      <c r="F394" t="inlineStr">
        <is>
          <t>'=L37</t>
        </is>
      </c>
      <c r="G394" t="n">
        <v>13905.13</v>
      </c>
      <c r="H394" t="inlineStr"/>
      <c r="I394" t="inlineStr">
        <is>
          <t>#,##0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n">
        <v/>
      </c>
      <c r="R394" t="b">
        <v>1</v>
      </c>
      <c r="S394" t="inlineStr">
        <is>
          <t>G000180</t>
        </is>
      </c>
      <c r="T394" t="inlineStr">
        <is>
          <t>Horizontal</t>
        </is>
      </c>
      <c r="U394" t="n">
        <v>5</v>
      </c>
      <c r="V394" t="b">
        <v>1</v>
      </c>
      <c r="W394" t="inlineStr">
        <is>
          <t>Balance sheet!K37:O37</t>
        </is>
      </c>
      <c r="X394">
        <f>R[0]C[-1]</f>
        <v/>
      </c>
    </row>
    <row r="395">
      <c r="A395" t="inlineStr">
        <is>
          <t>Balance sheet</t>
        </is>
      </c>
      <c r="B395" t="inlineStr">
        <is>
          <t>N37</t>
        </is>
      </c>
      <c r="C395" t="n">
        <v>37</v>
      </c>
      <c r="D395" t="n">
        <v>14</v>
      </c>
      <c r="E395" t="inlineStr">
        <is>
          <t>Calculation</t>
        </is>
      </c>
      <c r="F395" t="inlineStr">
        <is>
          <t>'=M37</t>
        </is>
      </c>
      <c r="G395" t="n">
        <v>13905.13</v>
      </c>
      <c r="H395" t="inlineStr"/>
      <c r="I395" t="inlineStr">
        <is>
          <t>#,##0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00000000</t>
        </is>
      </c>
      <c r="O395" t="n">
        <v/>
      </c>
      <c r="R395" t="b">
        <v>1</v>
      </c>
      <c r="S395" t="inlineStr">
        <is>
          <t>G000180</t>
        </is>
      </c>
      <c r="T395" t="inlineStr">
        <is>
          <t>Horizontal</t>
        </is>
      </c>
      <c r="U395" t="n">
        <v>5</v>
      </c>
      <c r="V395" t="b">
        <v>1</v>
      </c>
      <c r="W395" t="inlineStr">
        <is>
          <t>Balance sheet!K37:O37</t>
        </is>
      </c>
      <c r="X395">
        <f>R[0]C[-1]</f>
        <v/>
      </c>
    </row>
    <row r="396">
      <c r="A396" t="inlineStr">
        <is>
          <t>Balance sheet</t>
        </is>
      </c>
      <c r="B396" t="inlineStr">
        <is>
          <t>O37</t>
        </is>
      </c>
      <c r="C396" t="n">
        <v>37</v>
      </c>
      <c r="D396" t="n">
        <v>15</v>
      </c>
      <c r="E396" t="inlineStr">
        <is>
          <t>Calculation</t>
        </is>
      </c>
      <c r="F396" t="inlineStr">
        <is>
          <t>'=N37</t>
        </is>
      </c>
      <c r="G396" t="n">
        <v>13905.13</v>
      </c>
      <c r="H396" t="inlineStr"/>
      <c r="I396" t="inlineStr">
        <is>
          <t>#,##0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00000000</t>
        </is>
      </c>
      <c r="O396" t="n">
        <v/>
      </c>
      <c r="R396" t="b">
        <v>1</v>
      </c>
      <c r="S396" t="inlineStr">
        <is>
          <t>G000180</t>
        </is>
      </c>
      <c r="T396" t="inlineStr">
        <is>
          <t>Horizontal</t>
        </is>
      </c>
      <c r="U396" t="n">
        <v>5</v>
      </c>
      <c r="V396" t="b">
        <v>1</v>
      </c>
      <c r="W396" t="inlineStr">
        <is>
          <t>Balance sheet!K37:O37</t>
        </is>
      </c>
      <c r="X396">
        <f>R[0]C[-1]</f>
        <v/>
      </c>
    </row>
    <row r="397">
      <c r="A397" t="inlineStr">
        <is>
          <t>Balance sheet</t>
        </is>
      </c>
      <c r="B397" t="inlineStr">
        <is>
          <t>A38</t>
        </is>
      </c>
      <c r="C397" t="n">
        <v>38</v>
      </c>
      <c r="D397" t="n">
        <v>1</v>
      </c>
      <c r="E397" t="inlineStr">
        <is>
          <t>Input</t>
        </is>
      </c>
      <c r="F397" t="n">
        <v/>
      </c>
      <c r="G397" t="inlineStr">
        <is>
          <t>Non-current assets</t>
        </is>
      </c>
      <c r="H397" t="inlineStr"/>
      <c r="I397" t="inlineStr">
        <is>
          <t>General</t>
        </is>
      </c>
      <c r="J397" t="b">
        <v>1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00000000</t>
        </is>
      </c>
      <c r="O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Balance sheet</t>
        </is>
      </c>
      <c r="B398" t="inlineStr">
        <is>
          <t>D38</t>
        </is>
      </c>
      <c r="C398" t="n">
        <v>38</v>
      </c>
      <c r="D398" t="n">
        <v>4</v>
      </c>
      <c r="E398" t="inlineStr">
        <is>
          <t>Calculation</t>
        </is>
      </c>
      <c r="F398" t="inlineStr">
        <is>
          <t>'=SUM(D34:D37)</t>
        </is>
      </c>
      <c r="G398" t="n">
        <v>1395.86</v>
      </c>
      <c r="H398" t="inlineStr"/>
      <c r="I398" t="inlineStr">
        <is>
          <t>0</t>
        </is>
      </c>
      <c r="J398" t="b">
        <v>1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00000000</t>
        </is>
      </c>
      <c r="O398" t="n">
        <v/>
      </c>
      <c r="R398" t="b">
        <v>1</v>
      </c>
      <c r="S398" t="inlineStr">
        <is>
          <t>G000204</t>
        </is>
      </c>
      <c r="T398" t="inlineStr">
        <is>
          <t>Horizontal</t>
        </is>
      </c>
      <c r="U398" t="n">
        <v>12</v>
      </c>
      <c r="V398" t="b">
        <v>1</v>
      </c>
      <c r="W398" t="inlineStr">
        <is>
          <t>Balance sheet!D38:O38</t>
        </is>
      </c>
      <c r="X398">
        <f>SUM(R[-4]C[0]:R[-1]C[0])</f>
        <v/>
      </c>
    </row>
    <row r="399">
      <c r="A399" t="inlineStr">
        <is>
          <t>Balance sheet</t>
        </is>
      </c>
      <c r="B399" t="inlineStr">
        <is>
          <t>E38</t>
        </is>
      </c>
      <c r="C399" t="n">
        <v>38</v>
      </c>
      <c r="D399" t="n">
        <v>5</v>
      </c>
      <c r="E399" t="inlineStr">
        <is>
          <t>Calculation</t>
        </is>
      </c>
      <c r="F399" t="inlineStr">
        <is>
          <t>'=SUM(E34:E37)</t>
        </is>
      </c>
      <c r="G399" t="n">
        <v>4523.49</v>
      </c>
      <c r="H399" t="inlineStr"/>
      <c r="I399" t="inlineStr">
        <is>
          <t>0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00000000</t>
        </is>
      </c>
      <c r="O399" t="n">
        <v/>
      </c>
      <c r="R399" t="b">
        <v>1</v>
      </c>
      <c r="S399" t="inlineStr">
        <is>
          <t>G000204</t>
        </is>
      </c>
      <c r="T399" t="inlineStr">
        <is>
          <t>Horizontal</t>
        </is>
      </c>
      <c r="U399" t="n">
        <v>12</v>
      </c>
      <c r="V399" t="b">
        <v>1</v>
      </c>
      <c r="W399" t="inlineStr">
        <is>
          <t>Balance sheet!D38:O38</t>
        </is>
      </c>
      <c r="X399">
        <f>SUM(R[-4]C[0]:R[-1]C[0])</f>
        <v/>
      </c>
    </row>
    <row r="400">
      <c r="A400" t="inlineStr">
        <is>
          <t>Balance sheet</t>
        </is>
      </c>
      <c r="B400" t="inlineStr">
        <is>
          <t>F38</t>
        </is>
      </c>
      <c r="C400" t="n">
        <v>38</v>
      </c>
      <c r="D400" t="n">
        <v>6</v>
      </c>
      <c r="E400" t="inlineStr">
        <is>
          <t>Calculation</t>
        </is>
      </c>
      <c r="F400" t="inlineStr">
        <is>
          <t>'=SUM(F34:F37)</t>
        </is>
      </c>
      <c r="G400" t="n">
        <v>10105.05</v>
      </c>
      <c r="H400" t="inlineStr"/>
      <c r="I400" t="inlineStr">
        <is>
          <t>0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00000000</t>
        </is>
      </c>
      <c r="O400" t="n">
        <v/>
      </c>
      <c r="R400" t="b">
        <v>1</v>
      </c>
      <c r="S400" t="inlineStr">
        <is>
          <t>G000204</t>
        </is>
      </c>
      <c r="T400" t="inlineStr">
        <is>
          <t>Horizontal</t>
        </is>
      </c>
      <c r="U400" t="n">
        <v>12</v>
      </c>
      <c r="V400" t="b">
        <v>1</v>
      </c>
      <c r="W400" t="inlineStr">
        <is>
          <t>Balance sheet!D38:O38</t>
        </is>
      </c>
      <c r="X400">
        <f>SUM(R[-4]C[0]:R[-1]C[0])</f>
        <v/>
      </c>
    </row>
    <row r="401">
      <c r="A401" t="inlineStr">
        <is>
          <t>Balance sheet</t>
        </is>
      </c>
      <c r="B401" t="inlineStr">
        <is>
          <t>G38</t>
        </is>
      </c>
      <c r="C401" t="n">
        <v>38</v>
      </c>
      <c r="D401" t="n">
        <v>7</v>
      </c>
      <c r="E401" t="inlineStr">
        <is>
          <t>Calculation</t>
        </is>
      </c>
      <c r="F401" t="inlineStr">
        <is>
          <t>'=SUM(G34:G37)</t>
        </is>
      </c>
      <c r="G401" t="n">
        <v>22327.76</v>
      </c>
      <c r="H401" t="inlineStr"/>
      <c r="I401" t="inlineStr">
        <is>
          <t>0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n">
        <v/>
      </c>
      <c r="R401" t="b">
        <v>1</v>
      </c>
      <c r="S401" t="inlineStr">
        <is>
          <t>G000204</t>
        </is>
      </c>
      <c r="T401" t="inlineStr">
        <is>
          <t>Horizontal</t>
        </is>
      </c>
      <c r="U401" t="n">
        <v>12</v>
      </c>
      <c r="V401" t="b">
        <v>1</v>
      </c>
      <c r="W401" t="inlineStr">
        <is>
          <t>Balance sheet!D38:O38</t>
        </is>
      </c>
      <c r="X401">
        <f>SUM(R[-4]C[0]:R[-1]C[0])</f>
        <v/>
      </c>
    </row>
    <row r="402">
      <c r="A402" t="inlineStr">
        <is>
          <t>Balance sheet</t>
        </is>
      </c>
      <c r="B402" t="inlineStr">
        <is>
          <t>H38</t>
        </is>
      </c>
      <c r="C402" t="n">
        <v>38</v>
      </c>
      <c r="D402" t="n">
        <v>8</v>
      </c>
      <c r="E402" t="inlineStr">
        <is>
          <t>Calculation</t>
        </is>
      </c>
      <c r="F402" t="inlineStr">
        <is>
          <t>'=SUM(H34:H37)</t>
        </is>
      </c>
      <c r="G402" t="n">
        <v>27237.4</v>
      </c>
      <c r="H402" t="inlineStr"/>
      <c r="I402" t="inlineStr">
        <is>
          <t>0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R402" t="b">
        <v>1</v>
      </c>
      <c r="S402" t="inlineStr">
        <is>
          <t>G000204</t>
        </is>
      </c>
      <c r="T402" t="inlineStr">
        <is>
          <t>Horizontal</t>
        </is>
      </c>
      <c r="U402" t="n">
        <v>12</v>
      </c>
      <c r="V402" t="b">
        <v>1</v>
      </c>
      <c r="W402" t="inlineStr">
        <is>
          <t>Balance sheet!D38:O38</t>
        </is>
      </c>
      <c r="X402">
        <f>SUM(R[-4]C[0]:R[-1]C[0])</f>
        <v/>
      </c>
    </row>
    <row r="403">
      <c r="A403" t="inlineStr">
        <is>
          <t>Balance sheet</t>
        </is>
      </c>
      <c r="B403" t="inlineStr">
        <is>
          <t>I38</t>
        </is>
      </c>
      <c r="C403" t="n">
        <v>38</v>
      </c>
      <c r="D403" t="n">
        <v>9</v>
      </c>
      <c r="E403" t="inlineStr">
        <is>
          <t>Calculation</t>
        </is>
      </c>
      <c r="F403" t="inlineStr">
        <is>
          <t>'=SUM(I34:I37)</t>
        </is>
      </c>
      <c r="G403" t="n">
        <v>26908.71</v>
      </c>
      <c r="H403" t="inlineStr"/>
      <c r="I403" t="inlineStr">
        <is>
          <t>0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R403" t="b">
        <v>1</v>
      </c>
      <c r="S403" t="inlineStr">
        <is>
          <t>G000204</t>
        </is>
      </c>
      <c r="T403" t="inlineStr">
        <is>
          <t>Horizontal</t>
        </is>
      </c>
      <c r="U403" t="n">
        <v>12</v>
      </c>
      <c r="V403" t="b">
        <v>1</v>
      </c>
      <c r="W403" t="inlineStr">
        <is>
          <t>Balance sheet!D38:O38</t>
        </is>
      </c>
      <c r="X403">
        <f>SUM(R[-4]C[0]:R[-1]C[0])</f>
        <v/>
      </c>
    </row>
    <row r="404">
      <c r="A404" t="inlineStr">
        <is>
          <t>Balance sheet</t>
        </is>
      </c>
      <c r="B404" t="inlineStr">
        <is>
          <t>J38</t>
        </is>
      </c>
      <c r="C404" t="n">
        <v>38</v>
      </c>
      <c r="D404" t="n">
        <v>10</v>
      </c>
      <c r="E404" t="inlineStr">
        <is>
          <t>Calculation</t>
        </is>
      </c>
      <c r="F404" t="inlineStr">
        <is>
          <t>'=SUM(J34:J37)</t>
        </is>
      </c>
      <c r="G404" t="n">
        <v>19443.17</v>
      </c>
      <c r="H404" t="inlineStr"/>
      <c r="I404" t="inlineStr">
        <is>
          <t>0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R404" t="b">
        <v>1</v>
      </c>
      <c r="S404" t="inlineStr">
        <is>
          <t>G000204</t>
        </is>
      </c>
      <c r="T404" t="inlineStr">
        <is>
          <t>Horizontal</t>
        </is>
      </c>
      <c r="U404" t="n">
        <v>12</v>
      </c>
      <c r="V404" t="b">
        <v>1</v>
      </c>
      <c r="W404" t="inlineStr">
        <is>
          <t>Balance sheet!D38:O38</t>
        </is>
      </c>
      <c r="X404">
        <f>SUM(R[-4]C[0]:R[-1]C[0])</f>
        <v/>
      </c>
    </row>
    <row r="405">
      <c r="A405" t="inlineStr">
        <is>
          <t>Balance sheet</t>
        </is>
      </c>
      <c r="B405" t="inlineStr">
        <is>
          <t>K38</t>
        </is>
      </c>
      <c r="C405" t="n">
        <v>38</v>
      </c>
      <c r="D405" t="n">
        <v>11</v>
      </c>
      <c r="E405" t="inlineStr">
        <is>
          <t>Calculation</t>
        </is>
      </c>
      <c r="F405" t="inlineStr">
        <is>
          <t>'=SUM(K34:K37)</t>
        </is>
      </c>
      <c r="G405" t="n">
        <v>19443.17</v>
      </c>
      <c r="H405" t="inlineStr"/>
      <c r="I405" t="inlineStr">
        <is>
          <t>0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n">
        <v/>
      </c>
      <c r="R405" t="b">
        <v>1</v>
      </c>
      <c r="S405" t="inlineStr">
        <is>
          <t>G000204</t>
        </is>
      </c>
      <c r="T405" t="inlineStr">
        <is>
          <t>Horizontal</t>
        </is>
      </c>
      <c r="U405" t="n">
        <v>12</v>
      </c>
      <c r="V405" t="b">
        <v>1</v>
      </c>
      <c r="W405" t="inlineStr">
        <is>
          <t>Balance sheet!D38:O38</t>
        </is>
      </c>
      <c r="X405">
        <f>SUM(R[-4]C[0]:R[-1]C[0])</f>
        <v/>
      </c>
    </row>
    <row r="406">
      <c r="A406" t="inlineStr">
        <is>
          <t>Balance sheet</t>
        </is>
      </c>
      <c r="B406" t="inlineStr">
        <is>
          <t>L38</t>
        </is>
      </c>
      <c r="C406" t="n">
        <v>38</v>
      </c>
      <c r="D406" t="n">
        <v>12</v>
      </c>
      <c r="E406" t="inlineStr">
        <is>
          <t>Calculation</t>
        </is>
      </c>
      <c r="F406" t="inlineStr">
        <is>
          <t>'=SUM(L34:L37)</t>
        </is>
      </c>
      <c r="G406" t="n">
        <v>19443.17</v>
      </c>
      <c r="H406" t="inlineStr"/>
      <c r="I406" t="inlineStr">
        <is>
          <t>0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n">
        <v/>
      </c>
      <c r="R406" t="b">
        <v>1</v>
      </c>
      <c r="S406" t="inlineStr">
        <is>
          <t>G000204</t>
        </is>
      </c>
      <c r="T406" t="inlineStr">
        <is>
          <t>Horizontal</t>
        </is>
      </c>
      <c r="U406" t="n">
        <v>12</v>
      </c>
      <c r="V406" t="b">
        <v>1</v>
      </c>
      <c r="W406" t="inlineStr">
        <is>
          <t>Balance sheet!D38:O38</t>
        </is>
      </c>
      <c r="X406">
        <f>SUM(R[-4]C[0]:R[-1]C[0])</f>
        <v/>
      </c>
    </row>
    <row r="407">
      <c r="A407" t="inlineStr">
        <is>
          <t>Balance sheet</t>
        </is>
      </c>
      <c r="B407" t="inlineStr">
        <is>
          <t>M38</t>
        </is>
      </c>
      <c r="C407" t="n">
        <v>38</v>
      </c>
      <c r="D407" t="n">
        <v>13</v>
      </c>
      <c r="E407" t="inlineStr">
        <is>
          <t>Calculation</t>
        </is>
      </c>
      <c r="F407" t="inlineStr">
        <is>
          <t>'=SUM(M34:M37)</t>
        </is>
      </c>
      <c r="G407" t="n">
        <v>19443.17</v>
      </c>
      <c r="H407" t="inlineStr"/>
      <c r="I407" t="inlineStr">
        <is>
          <t>0</t>
        </is>
      </c>
      <c r="J407" t="b">
        <v>1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00000000</t>
        </is>
      </c>
      <c r="O407" t="n">
        <v/>
      </c>
      <c r="R407" t="b">
        <v>1</v>
      </c>
      <c r="S407" t="inlineStr">
        <is>
          <t>G000204</t>
        </is>
      </c>
      <c r="T407" t="inlineStr">
        <is>
          <t>Horizontal</t>
        </is>
      </c>
      <c r="U407" t="n">
        <v>12</v>
      </c>
      <c r="V407" t="b">
        <v>1</v>
      </c>
      <c r="W407" t="inlineStr">
        <is>
          <t>Balance sheet!D38:O38</t>
        </is>
      </c>
      <c r="X407">
        <f>SUM(R[-4]C[0]:R[-1]C[0])</f>
        <v/>
      </c>
    </row>
    <row r="408">
      <c r="A408" t="inlineStr">
        <is>
          <t>Balance sheet</t>
        </is>
      </c>
      <c r="B408" t="inlineStr">
        <is>
          <t>N38</t>
        </is>
      </c>
      <c r="C408" t="n">
        <v>38</v>
      </c>
      <c r="D408" t="n">
        <v>14</v>
      </c>
      <c r="E408" t="inlineStr">
        <is>
          <t>Calculation</t>
        </is>
      </c>
      <c r="F408" t="inlineStr">
        <is>
          <t>'=SUM(N34:N37)</t>
        </is>
      </c>
      <c r="G408" t="n">
        <v>19443.17</v>
      </c>
      <c r="H408" t="inlineStr"/>
      <c r="I408" t="inlineStr">
        <is>
          <t>0</t>
        </is>
      </c>
      <c r="J408" t="b">
        <v>1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00000000</t>
        </is>
      </c>
      <c r="O408" t="n">
        <v/>
      </c>
      <c r="R408" t="b">
        <v>1</v>
      </c>
      <c r="S408" t="inlineStr">
        <is>
          <t>G000204</t>
        </is>
      </c>
      <c r="T408" t="inlineStr">
        <is>
          <t>Horizontal</t>
        </is>
      </c>
      <c r="U408" t="n">
        <v>12</v>
      </c>
      <c r="V408" t="b">
        <v>1</v>
      </c>
      <c r="W408" t="inlineStr">
        <is>
          <t>Balance sheet!D38:O38</t>
        </is>
      </c>
      <c r="X408">
        <f>SUM(R[-4]C[0]:R[-1]C[0])</f>
        <v/>
      </c>
    </row>
    <row r="409">
      <c r="A409" t="inlineStr">
        <is>
          <t>Balance sheet</t>
        </is>
      </c>
      <c r="B409" t="inlineStr">
        <is>
          <t>O38</t>
        </is>
      </c>
      <c r="C409" t="n">
        <v>38</v>
      </c>
      <c r="D409" t="n">
        <v>15</v>
      </c>
      <c r="E409" t="inlineStr">
        <is>
          <t>Calculation</t>
        </is>
      </c>
      <c r="F409" t="inlineStr">
        <is>
          <t>'=SUM(O34:O37)</t>
        </is>
      </c>
      <c r="G409" t="n">
        <v>19443.17</v>
      </c>
      <c r="H409" t="inlineStr"/>
      <c r="I409" t="inlineStr">
        <is>
          <t>0</t>
        </is>
      </c>
      <c r="J409" t="b">
        <v>1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00000000</t>
        </is>
      </c>
      <c r="O409" t="n">
        <v/>
      </c>
      <c r="R409" t="b">
        <v>1</v>
      </c>
      <c r="S409" t="inlineStr">
        <is>
          <t>G000204</t>
        </is>
      </c>
      <c r="T409" t="inlineStr">
        <is>
          <t>Horizontal</t>
        </is>
      </c>
      <c r="U409" t="n">
        <v>12</v>
      </c>
      <c r="V409" t="b">
        <v>1</v>
      </c>
      <c r="W409" t="inlineStr">
        <is>
          <t>Balance sheet!D38:O38</t>
        </is>
      </c>
      <c r="X409">
        <f>SUM(R[-4]C[0]:R[-1]C[0])</f>
        <v/>
      </c>
    </row>
    <row r="410">
      <c r="A410" t="inlineStr">
        <is>
          <t>Balance sheet</t>
        </is>
      </c>
      <c r="B410" t="inlineStr">
        <is>
          <t>A39</t>
        </is>
      </c>
      <c r="C410" t="n">
        <v>39</v>
      </c>
      <c r="D410" t="n">
        <v>1</v>
      </c>
      <c r="E410" t="inlineStr">
        <is>
          <t>Input</t>
        </is>
      </c>
      <c r="F410" t="n">
        <v/>
      </c>
      <c r="H410" t="inlineStr"/>
      <c r="I410" t="inlineStr">
        <is>
          <t xml:space="preserve">_ * #,##0_ ;_ * \-#,##0_ ;_ * "-"??_ ;_ @_ 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00000000</t>
        </is>
      </c>
      <c r="O410" t="n">
        <v/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Balance sheet</t>
        </is>
      </c>
      <c r="B411" t="inlineStr">
        <is>
          <t>A40</t>
        </is>
      </c>
      <c r="C411" t="n">
        <v>40</v>
      </c>
      <c r="D411" t="n">
        <v>1</v>
      </c>
      <c r="E411" t="inlineStr">
        <is>
          <t>Input</t>
        </is>
      </c>
      <c r="F411" t="n">
        <v/>
      </c>
      <c r="G411" t="inlineStr">
        <is>
          <t>Current investments</t>
        </is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00000000</t>
        </is>
      </c>
      <c r="O411" t="n">
        <v/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Balance sheet</t>
        </is>
      </c>
      <c r="B412" t="inlineStr">
        <is>
          <t>D40</t>
        </is>
      </c>
      <c r="C412" t="n">
        <v>40</v>
      </c>
      <c r="D412" t="n">
        <v>4</v>
      </c>
      <c r="E412" t="inlineStr">
        <is>
          <t>Input</t>
        </is>
      </c>
      <c r="F412" t="n">
        <v/>
      </c>
      <c r="G412" t="n">
        <v>8022.44</v>
      </c>
      <c r="H412" t="inlineStr"/>
      <c r="I412" t="inlineStr">
        <is>
          <t>#,##0</t>
        </is>
      </c>
      <c r="J412" t="b">
        <v>0</v>
      </c>
      <c r="K412" t="b">
        <v>0</v>
      </c>
      <c r="L412" t="n">
        <v>11</v>
      </c>
      <c r="M412" t="inlineStr">
        <is>
          <t>FF0B0280</t>
        </is>
      </c>
      <c r="N412" t="inlineStr">
        <is>
          <t>00000000</t>
        </is>
      </c>
      <c r="O412" t="n">
        <v/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Balance sheet</t>
        </is>
      </c>
      <c r="B413" t="inlineStr">
        <is>
          <t>E40</t>
        </is>
      </c>
      <c r="C413" t="n">
        <v>40</v>
      </c>
      <c r="D413" t="n">
        <v>5</v>
      </c>
      <c r="E413" t="inlineStr">
        <is>
          <t>Input</t>
        </is>
      </c>
      <c r="F413" t="n">
        <v/>
      </c>
      <c r="G413" t="n">
        <v>5234.18</v>
      </c>
      <c r="H413" t="inlineStr"/>
      <c r="I413" t="inlineStr">
        <is>
          <t>#,##0</t>
        </is>
      </c>
      <c r="J413" t="b">
        <v>0</v>
      </c>
      <c r="K413" t="b">
        <v>0</v>
      </c>
      <c r="L413" t="n">
        <v>11</v>
      </c>
      <c r="M413" t="inlineStr">
        <is>
          <t>FF0B0280</t>
        </is>
      </c>
      <c r="N413" t="inlineStr">
        <is>
          <t>00000000</t>
        </is>
      </c>
      <c r="O413" t="n">
        <v/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Balance sheet</t>
        </is>
      </c>
      <c r="B414" t="inlineStr">
        <is>
          <t>F40</t>
        </is>
      </c>
      <c r="C414" t="n">
        <v>40</v>
      </c>
      <c r="D414" t="n">
        <v>6</v>
      </c>
      <c r="E414" t="inlineStr">
        <is>
          <t>Input</t>
        </is>
      </c>
      <c r="F414" t="n">
        <v/>
      </c>
      <c r="G414" t="n">
        <v>11383.42</v>
      </c>
      <c r="H414" t="inlineStr"/>
      <c r="I414" t="inlineStr">
        <is>
          <t>#,##0</t>
        </is>
      </c>
      <c r="J414" t="b">
        <v>0</v>
      </c>
      <c r="K414" t="b">
        <v>0</v>
      </c>
      <c r="L414" t="n">
        <v>11</v>
      </c>
      <c r="M414" t="inlineStr">
        <is>
          <t>FF0B0280</t>
        </is>
      </c>
      <c r="N414" t="inlineStr">
        <is>
          <t>00000000</t>
        </is>
      </c>
      <c r="O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Balance sheet</t>
        </is>
      </c>
      <c r="B415" t="inlineStr">
        <is>
          <t>G40</t>
        </is>
      </c>
      <c r="C415" t="n">
        <v>40</v>
      </c>
      <c r="D415" t="n">
        <v>7</v>
      </c>
      <c r="E415" t="inlineStr">
        <is>
          <t>Input</t>
        </is>
      </c>
      <c r="F415" t="n">
        <v/>
      </c>
      <c r="G415" t="n">
        <v>12714.84</v>
      </c>
      <c r="H415" t="inlineStr"/>
      <c r="I415" t="inlineStr">
        <is>
          <t>#,##0</t>
        </is>
      </c>
      <c r="J415" t="b">
        <v>0</v>
      </c>
      <c r="K415" t="b">
        <v>0</v>
      </c>
      <c r="L415" t="n">
        <v>11</v>
      </c>
      <c r="M415" t="inlineStr">
        <is>
          <t>FF0B0280</t>
        </is>
      </c>
      <c r="N415" t="inlineStr">
        <is>
          <t>00000000</t>
        </is>
      </c>
      <c r="O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Balance sheet</t>
        </is>
      </c>
      <c r="B416" t="inlineStr">
        <is>
          <t>H40</t>
        </is>
      </c>
      <c r="C416" t="n">
        <v>40</v>
      </c>
      <c r="D416" t="n">
        <v>8</v>
      </c>
      <c r="E416" t="inlineStr">
        <is>
          <t>Input</t>
        </is>
      </c>
      <c r="F416" t="n">
        <v/>
      </c>
      <c r="G416" t="n">
        <v>5167.52</v>
      </c>
      <c r="H416" t="inlineStr"/>
      <c r="I416" t="inlineStr">
        <is>
          <t>#,##0</t>
        </is>
      </c>
      <c r="J416" t="b">
        <v>0</v>
      </c>
      <c r="K416" t="b">
        <v>0</v>
      </c>
      <c r="L416" t="n">
        <v>11</v>
      </c>
      <c r="M416" t="inlineStr">
        <is>
          <t>FF0B0280</t>
        </is>
      </c>
      <c r="N416" t="inlineStr">
        <is>
          <t>00000000</t>
        </is>
      </c>
      <c r="O416" t="n">
        <v/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Balance sheet</t>
        </is>
      </c>
      <c r="B417" t="inlineStr">
        <is>
          <t>I40</t>
        </is>
      </c>
      <c r="C417" t="n">
        <v>40</v>
      </c>
      <c r="D417" t="n">
        <v>9</v>
      </c>
      <c r="E417" t="inlineStr">
        <is>
          <t>Input</t>
        </is>
      </c>
      <c r="F417" t="n">
        <v/>
      </c>
      <c r="G417" t="n">
        <v>9741.200000000001</v>
      </c>
      <c r="H417" t="inlineStr"/>
      <c r="I417" t="inlineStr">
        <is>
          <t>#,##0</t>
        </is>
      </c>
      <c r="J417" t="b">
        <v>0</v>
      </c>
      <c r="K417" t="b">
        <v>0</v>
      </c>
      <c r="L417" t="n">
        <v>11</v>
      </c>
      <c r="M417" t="inlineStr">
        <is>
          <t>FF0B0280</t>
        </is>
      </c>
      <c r="N417" t="inlineStr">
        <is>
          <t>00000000</t>
        </is>
      </c>
      <c r="O417" t="n">
        <v/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Balance sheet</t>
        </is>
      </c>
      <c r="B418" t="inlineStr">
        <is>
          <t>J40</t>
        </is>
      </c>
      <c r="C418" t="n">
        <v>40</v>
      </c>
      <c r="D418" t="n">
        <v>10</v>
      </c>
      <c r="E418" t="inlineStr">
        <is>
          <t>Input</t>
        </is>
      </c>
      <c r="F418" t="n">
        <v/>
      </c>
      <c r="G418" t="n">
        <v>37134.1</v>
      </c>
      <c r="H418" t="inlineStr"/>
      <c r="I418" t="inlineStr">
        <is>
          <t>#,##0</t>
        </is>
      </c>
      <c r="J418" t="b">
        <v>0</v>
      </c>
      <c r="K418" t="b">
        <v>0</v>
      </c>
      <c r="L418" t="n">
        <v>11</v>
      </c>
      <c r="M418" t="inlineStr">
        <is>
          <t>FF0B0280</t>
        </is>
      </c>
      <c r="N418" t="inlineStr">
        <is>
          <t>00000000</t>
        </is>
      </c>
      <c r="O418" t="n">
        <v/>
      </c>
      <c r="R418" t="b">
        <v>1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Balance sheet</t>
        </is>
      </c>
      <c r="B419" t="inlineStr">
        <is>
          <t>K40</t>
        </is>
      </c>
      <c r="C419" t="n">
        <v>40</v>
      </c>
      <c r="D419" t="n">
        <v>11</v>
      </c>
      <c r="E419" t="inlineStr">
        <is>
          <t>Calculation</t>
        </is>
      </c>
      <c r="F419" t="inlineStr">
        <is>
          <t>'=J40</t>
        </is>
      </c>
      <c r="G419" t="n">
        <v>37134.1</v>
      </c>
      <c r="H419" t="inlineStr"/>
      <c r="I419" t="inlineStr">
        <is>
          <t>#,##0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00000000</t>
        </is>
      </c>
      <c r="O419" t="n">
        <v/>
      </c>
      <c r="R419" t="b">
        <v>1</v>
      </c>
      <c r="S419" t="inlineStr">
        <is>
          <t>G000181</t>
        </is>
      </c>
      <c r="T419" t="inlineStr">
        <is>
          <t>Horizontal</t>
        </is>
      </c>
      <c r="U419" t="n">
        <v>5</v>
      </c>
      <c r="V419" t="b">
        <v>1</v>
      </c>
      <c r="W419" t="inlineStr">
        <is>
          <t>Balance sheet!K40:O40</t>
        </is>
      </c>
      <c r="X419">
        <f>R[0]C[-1]</f>
        <v/>
      </c>
    </row>
    <row r="420">
      <c r="A420" t="inlineStr">
        <is>
          <t>Balance sheet</t>
        </is>
      </c>
      <c r="B420" t="inlineStr">
        <is>
          <t>L40</t>
        </is>
      </c>
      <c r="C420" t="n">
        <v>40</v>
      </c>
      <c r="D420" t="n">
        <v>12</v>
      </c>
      <c r="E420" t="inlineStr">
        <is>
          <t>Calculation</t>
        </is>
      </c>
      <c r="F420" t="inlineStr">
        <is>
          <t>'=K40</t>
        </is>
      </c>
      <c r="G420" t="n">
        <v>37134.1</v>
      </c>
      <c r="H420" t="inlineStr"/>
      <c r="I420" t="inlineStr">
        <is>
          <t>#,##0</t>
        </is>
      </c>
      <c r="J420" t="b">
        <v>0</v>
      </c>
      <c r="K420" t="b">
        <v>0</v>
      </c>
      <c r="L420" t="n">
        <v>11</v>
      </c>
      <c r="M420" t="inlineStr">
        <is>
          <t>Values must be of type &lt;class 'str'&gt;</t>
        </is>
      </c>
      <c r="N420" t="inlineStr">
        <is>
          <t>00000000</t>
        </is>
      </c>
      <c r="O420" t="n">
        <v/>
      </c>
      <c r="R420" t="b">
        <v>1</v>
      </c>
      <c r="S420" t="inlineStr">
        <is>
          <t>G000181</t>
        </is>
      </c>
      <c r="T420" t="inlineStr">
        <is>
          <t>Horizontal</t>
        </is>
      </c>
      <c r="U420" t="n">
        <v>5</v>
      </c>
      <c r="V420" t="b">
        <v>1</v>
      </c>
      <c r="W420" t="inlineStr">
        <is>
          <t>Balance sheet!K40:O40</t>
        </is>
      </c>
      <c r="X420">
        <f>R[0]C[-1]</f>
        <v/>
      </c>
    </row>
    <row r="421">
      <c r="A421" t="inlineStr">
        <is>
          <t>Balance sheet</t>
        </is>
      </c>
      <c r="B421" t="inlineStr">
        <is>
          <t>M40</t>
        </is>
      </c>
      <c r="C421" t="n">
        <v>40</v>
      </c>
      <c r="D421" t="n">
        <v>13</v>
      </c>
      <c r="E421" t="inlineStr">
        <is>
          <t>Calculation</t>
        </is>
      </c>
      <c r="F421" t="inlineStr">
        <is>
          <t>'=L40</t>
        </is>
      </c>
      <c r="G421" t="n">
        <v>37134.1</v>
      </c>
      <c r="H421" t="inlineStr"/>
      <c r="I421" t="inlineStr">
        <is>
          <t>#,##0</t>
        </is>
      </c>
      <c r="J421" t="b">
        <v>0</v>
      </c>
      <c r="K421" t="b">
        <v>0</v>
      </c>
      <c r="L421" t="n">
        <v>11</v>
      </c>
      <c r="M421" t="inlineStr">
        <is>
          <t>Values must be of type &lt;class 'str'&gt;</t>
        </is>
      </c>
      <c r="N421" t="inlineStr">
        <is>
          <t>00000000</t>
        </is>
      </c>
      <c r="O421" t="n">
        <v/>
      </c>
      <c r="R421" t="b">
        <v>1</v>
      </c>
      <c r="S421" t="inlineStr">
        <is>
          <t>G000181</t>
        </is>
      </c>
      <c r="T421" t="inlineStr">
        <is>
          <t>Horizontal</t>
        </is>
      </c>
      <c r="U421" t="n">
        <v>5</v>
      </c>
      <c r="V421" t="b">
        <v>1</v>
      </c>
      <c r="W421" t="inlineStr">
        <is>
          <t>Balance sheet!K40:O40</t>
        </is>
      </c>
      <c r="X421">
        <f>R[0]C[-1]</f>
        <v/>
      </c>
    </row>
    <row r="422">
      <c r="A422" t="inlineStr">
        <is>
          <t>Balance sheet</t>
        </is>
      </c>
      <c r="B422" t="inlineStr">
        <is>
          <t>N40</t>
        </is>
      </c>
      <c r="C422" t="n">
        <v>40</v>
      </c>
      <c r="D422" t="n">
        <v>14</v>
      </c>
      <c r="E422" t="inlineStr">
        <is>
          <t>Calculation</t>
        </is>
      </c>
      <c r="F422" t="inlineStr">
        <is>
          <t>'=M40</t>
        </is>
      </c>
      <c r="G422" t="n">
        <v>37134.1</v>
      </c>
      <c r="H422" t="inlineStr"/>
      <c r="I422" t="inlineStr">
        <is>
          <t>#,##0</t>
        </is>
      </c>
      <c r="J422" t="b">
        <v>0</v>
      </c>
      <c r="K422" t="b">
        <v>0</v>
      </c>
      <c r="L422" t="n">
        <v>11</v>
      </c>
      <c r="M422" t="inlineStr">
        <is>
          <t>Values must be of type &lt;class 'str'&gt;</t>
        </is>
      </c>
      <c r="N422" t="inlineStr">
        <is>
          <t>00000000</t>
        </is>
      </c>
      <c r="O422" t="n">
        <v/>
      </c>
      <c r="R422" t="b">
        <v>1</v>
      </c>
      <c r="S422" t="inlineStr">
        <is>
          <t>G000181</t>
        </is>
      </c>
      <c r="T422" t="inlineStr">
        <is>
          <t>Horizontal</t>
        </is>
      </c>
      <c r="U422" t="n">
        <v>5</v>
      </c>
      <c r="V422" t="b">
        <v>1</v>
      </c>
      <c r="W422" t="inlineStr">
        <is>
          <t>Balance sheet!K40:O40</t>
        </is>
      </c>
      <c r="X422">
        <f>R[0]C[-1]</f>
        <v/>
      </c>
    </row>
    <row r="423">
      <c r="A423" t="inlineStr">
        <is>
          <t>Balance sheet</t>
        </is>
      </c>
      <c r="B423" t="inlineStr">
        <is>
          <t>O40</t>
        </is>
      </c>
      <c r="C423" t="n">
        <v>40</v>
      </c>
      <c r="D423" t="n">
        <v>15</v>
      </c>
      <c r="E423" t="inlineStr">
        <is>
          <t>Calculation</t>
        </is>
      </c>
      <c r="F423" t="inlineStr">
        <is>
          <t>'=N40</t>
        </is>
      </c>
      <c r="G423" t="n">
        <v>37134.1</v>
      </c>
      <c r="H423" t="inlineStr"/>
      <c r="I423" t="inlineStr">
        <is>
          <t>#,##0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n">
        <v/>
      </c>
      <c r="R423" t="b">
        <v>1</v>
      </c>
      <c r="S423" t="inlineStr">
        <is>
          <t>G000181</t>
        </is>
      </c>
      <c r="T423" t="inlineStr">
        <is>
          <t>Horizontal</t>
        </is>
      </c>
      <c r="U423" t="n">
        <v>5</v>
      </c>
      <c r="V423" t="b">
        <v>1</v>
      </c>
      <c r="W423" t="inlineStr">
        <is>
          <t>Balance sheet!K40:O40</t>
        </is>
      </c>
      <c r="X423">
        <f>R[0]C[-1]</f>
        <v/>
      </c>
    </row>
    <row r="424">
      <c r="A424" t="inlineStr">
        <is>
          <t>Balance sheet</t>
        </is>
      </c>
      <c r="B424" t="inlineStr">
        <is>
          <t>A41</t>
        </is>
      </c>
      <c r="C424" t="n">
        <v>41</v>
      </c>
      <c r="D424" t="n">
        <v>1</v>
      </c>
      <c r="E424" t="inlineStr">
        <is>
          <t>Input</t>
        </is>
      </c>
      <c r="F424" t="n">
        <v/>
      </c>
      <c r="G424" t="inlineStr">
        <is>
          <t>Inventories</t>
        </is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n">
        <v/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</row>
    <row r="425">
      <c r="A425" t="inlineStr">
        <is>
          <t>Balance sheet</t>
        </is>
      </c>
      <c r="B425" t="inlineStr">
        <is>
          <t>D41</t>
        </is>
      </c>
      <c r="C425" t="n">
        <v>41</v>
      </c>
      <c r="D425" t="n">
        <v>4</v>
      </c>
      <c r="E425" t="inlineStr">
        <is>
          <t>Input</t>
        </is>
      </c>
      <c r="F425" t="n">
        <v/>
      </c>
      <c r="G425" t="n">
        <v>446.74</v>
      </c>
      <c r="H425" t="inlineStr"/>
      <c r="I425" t="inlineStr">
        <is>
          <t>#,##0</t>
        </is>
      </c>
      <c r="J425" t="b">
        <v>0</v>
      </c>
      <c r="K425" t="b">
        <v>0</v>
      </c>
      <c r="L425" t="n">
        <v>11</v>
      </c>
      <c r="M425" t="inlineStr">
        <is>
          <t>FF0B0280</t>
        </is>
      </c>
      <c r="N425" t="inlineStr">
        <is>
          <t>00000000</t>
        </is>
      </c>
      <c r="O425" t="n">
        <v/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</row>
    <row r="426">
      <c r="A426" t="inlineStr">
        <is>
          <t>Balance sheet</t>
        </is>
      </c>
      <c r="B426" t="inlineStr">
        <is>
          <t>E41</t>
        </is>
      </c>
      <c r="C426" t="n">
        <v>41</v>
      </c>
      <c r="D426" t="n">
        <v>5</v>
      </c>
      <c r="E426" t="inlineStr">
        <is>
          <t>Input</t>
        </is>
      </c>
      <c r="F426" t="n">
        <v/>
      </c>
      <c r="G426" t="n">
        <v>373.88</v>
      </c>
      <c r="H426" t="inlineStr"/>
      <c r="I426" t="inlineStr">
        <is>
          <t>#,##0</t>
        </is>
      </c>
      <c r="J426" t="b">
        <v>0</v>
      </c>
      <c r="K426" t="b">
        <v>0</v>
      </c>
      <c r="L426" t="n">
        <v>11</v>
      </c>
      <c r="M426" t="inlineStr">
        <is>
          <t>FF0B0280</t>
        </is>
      </c>
      <c r="N426" t="inlineStr">
        <is>
          <t>00000000</t>
        </is>
      </c>
      <c r="O426" t="n">
        <v/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</row>
    <row r="427">
      <c r="A427" t="inlineStr">
        <is>
          <t>Balance sheet</t>
        </is>
      </c>
      <c r="B427" t="inlineStr">
        <is>
          <t>F41</t>
        </is>
      </c>
      <c r="C427" t="n">
        <v>41</v>
      </c>
      <c r="D427" t="n">
        <v>6</v>
      </c>
      <c r="E427" t="inlineStr">
        <is>
          <t>Input</t>
        </is>
      </c>
      <c r="F427" t="n">
        <v/>
      </c>
      <c r="G427" t="n">
        <v>522.75</v>
      </c>
      <c r="H427" t="inlineStr"/>
      <c r="I427" t="inlineStr">
        <is>
          <t>#,##0</t>
        </is>
      </c>
      <c r="J427" t="b">
        <v>0</v>
      </c>
      <c r="K427" t="b">
        <v>0</v>
      </c>
      <c r="L427" t="n">
        <v>11</v>
      </c>
      <c r="M427" t="inlineStr">
        <is>
          <t>FF0B0280</t>
        </is>
      </c>
      <c r="N427" t="inlineStr">
        <is>
          <t>00000000</t>
        </is>
      </c>
      <c r="O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</row>
    <row r="428">
      <c r="A428" t="inlineStr">
        <is>
          <t>Balance sheet</t>
        </is>
      </c>
      <c r="B428" t="inlineStr">
        <is>
          <t>G41</t>
        </is>
      </c>
      <c r="C428" t="n">
        <v>41</v>
      </c>
      <c r="D428" t="n">
        <v>7</v>
      </c>
      <c r="E428" t="inlineStr">
        <is>
          <t>Input</t>
        </is>
      </c>
      <c r="F428" t="n">
        <v/>
      </c>
      <c r="G428" t="n">
        <v>672.86</v>
      </c>
      <c r="H428" t="inlineStr"/>
      <c r="I428" t="inlineStr">
        <is>
          <t>#,##0</t>
        </is>
      </c>
      <c r="J428" t="b">
        <v>0</v>
      </c>
      <c r="K428" t="b">
        <v>0</v>
      </c>
      <c r="L428" t="n">
        <v>11</v>
      </c>
      <c r="M428" t="inlineStr">
        <is>
          <t>FF0B0280</t>
        </is>
      </c>
      <c r="N428" t="inlineStr">
        <is>
          <t>00000000</t>
        </is>
      </c>
      <c r="O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</row>
    <row r="429">
      <c r="A429" t="inlineStr">
        <is>
          <t>Balance sheet</t>
        </is>
      </c>
      <c r="B429" t="inlineStr">
        <is>
          <t>H41</t>
        </is>
      </c>
      <c r="C429" t="n">
        <v>41</v>
      </c>
      <c r="D429" t="n">
        <v>8</v>
      </c>
      <c r="E429" t="inlineStr">
        <is>
          <t>Input</t>
        </is>
      </c>
      <c r="F429" t="n">
        <v/>
      </c>
      <c r="G429" t="n">
        <v>1305.54</v>
      </c>
      <c r="H429" t="inlineStr"/>
      <c r="I429" t="inlineStr">
        <is>
          <t>#,##0</t>
        </is>
      </c>
      <c r="J429" t="b">
        <v>0</v>
      </c>
      <c r="K429" t="b">
        <v>0</v>
      </c>
      <c r="L429" t="n">
        <v>11</v>
      </c>
      <c r="M429" t="inlineStr">
        <is>
          <t>FF0B0280</t>
        </is>
      </c>
      <c r="N429" t="inlineStr">
        <is>
          <t>00000000</t>
        </is>
      </c>
      <c r="O429" t="n">
        <v/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Balance sheet</t>
        </is>
      </c>
      <c r="B430" t="inlineStr">
        <is>
          <t>I41</t>
        </is>
      </c>
      <c r="C430" t="n">
        <v>41</v>
      </c>
      <c r="D430" t="n">
        <v>9</v>
      </c>
      <c r="E430" t="inlineStr">
        <is>
          <t>Input</t>
        </is>
      </c>
      <c r="F430" t="n">
        <v/>
      </c>
      <c r="G430" t="n">
        <v>1267.2</v>
      </c>
      <c r="H430" t="inlineStr"/>
      <c r="I430" t="inlineStr">
        <is>
          <t>#,##0</t>
        </is>
      </c>
      <c r="J430" t="b">
        <v>0</v>
      </c>
      <c r="K430" t="b">
        <v>0</v>
      </c>
      <c r="L430" t="n">
        <v>11</v>
      </c>
      <c r="M430" t="inlineStr">
        <is>
          <t>FF0B0280</t>
        </is>
      </c>
      <c r="N430" t="inlineStr">
        <is>
          <t>00000000</t>
        </is>
      </c>
      <c r="O430" t="n">
        <v/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Balance sheet</t>
        </is>
      </c>
      <c r="B431" t="inlineStr">
        <is>
          <t>J41</t>
        </is>
      </c>
      <c r="C431" t="n">
        <v>41</v>
      </c>
      <c r="D431" t="n">
        <v>10</v>
      </c>
      <c r="E431" t="inlineStr">
        <is>
          <t>Input</t>
        </is>
      </c>
      <c r="F431" t="n">
        <v/>
      </c>
      <c r="G431" t="n">
        <v>1631.5</v>
      </c>
      <c r="H431" t="inlineStr"/>
      <c r="I431" t="inlineStr">
        <is>
          <t>#,##0</t>
        </is>
      </c>
      <c r="J431" t="b">
        <v>0</v>
      </c>
      <c r="K431" t="b">
        <v>0</v>
      </c>
      <c r="L431" t="n">
        <v>11</v>
      </c>
      <c r="M431" t="inlineStr">
        <is>
          <t>FF0B0280</t>
        </is>
      </c>
      <c r="N431" t="inlineStr">
        <is>
          <t>00000000</t>
        </is>
      </c>
      <c r="O431" t="n">
        <v/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Balance sheet</t>
        </is>
      </c>
      <c r="B432" t="inlineStr">
        <is>
          <t>K41</t>
        </is>
      </c>
      <c r="C432" t="n">
        <v>41</v>
      </c>
      <c r="D432" t="n">
        <v>11</v>
      </c>
      <c r="E432" t="inlineStr">
        <is>
          <t>Calculation</t>
        </is>
      </c>
      <c r="F432" t="inlineStr">
        <is>
          <t>'=('Income statement'!K14+'Income statement'!K16)*K53</t>
        </is>
      </c>
      <c r="G432" t="n">
        <v>1806.31106772711</v>
      </c>
      <c r="H432" t="inlineStr"/>
      <c r="I432" t="inlineStr">
        <is>
          <t>0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n">
        <v/>
      </c>
      <c r="R432" t="b">
        <v>1</v>
      </c>
      <c r="S432" t="inlineStr">
        <is>
          <t>G000205</t>
        </is>
      </c>
      <c r="T432" t="inlineStr">
        <is>
          <t>Horizontal</t>
        </is>
      </c>
      <c r="U432" t="n">
        <v>5</v>
      </c>
      <c r="V432" t="b">
        <v>1</v>
      </c>
      <c r="W432" t="inlineStr">
        <is>
          <t>Balance sheet!K41:O41</t>
        </is>
      </c>
      <c r="X432">
        <f>('Income statement'!R[-27]C[0]+'Income statement'!R[-25]C[0])*R[12]C[0]</f>
        <v/>
      </c>
    </row>
    <row r="433">
      <c r="A433" t="inlineStr">
        <is>
          <t>Balance sheet</t>
        </is>
      </c>
      <c r="B433" t="inlineStr">
        <is>
          <t>L41</t>
        </is>
      </c>
      <c r="C433" t="n">
        <v>41</v>
      </c>
      <c r="D433" t="n">
        <v>12</v>
      </c>
      <c r="E433" t="inlineStr">
        <is>
          <t>Calculation</t>
        </is>
      </c>
      <c r="F433" t="inlineStr">
        <is>
          <t>'=('Income statement'!L14+'Income statement'!L16)*L53</t>
        </is>
      </c>
      <c r="G433" t="n">
        <v>2221.847924635656</v>
      </c>
      <c r="H433" t="inlineStr"/>
      <c r="I433" t="inlineStr">
        <is>
          <t>0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00000000</t>
        </is>
      </c>
      <c r="O433" t="n">
        <v/>
      </c>
      <c r="R433" t="b">
        <v>1</v>
      </c>
      <c r="S433" t="inlineStr">
        <is>
          <t>G000205</t>
        </is>
      </c>
      <c r="T433" t="inlineStr">
        <is>
          <t>Horizontal</t>
        </is>
      </c>
      <c r="U433" t="n">
        <v>5</v>
      </c>
      <c r="V433" t="b">
        <v>1</v>
      </c>
      <c r="W433" t="inlineStr">
        <is>
          <t>Balance sheet!K41:O41</t>
        </is>
      </c>
      <c r="X433">
        <f>('Income statement'!R[-27]C[0]+'Income statement'!R[-25]C[0])*R[12]C[0]</f>
        <v/>
      </c>
    </row>
    <row r="434">
      <c r="A434" t="inlineStr">
        <is>
          <t>Balance sheet</t>
        </is>
      </c>
      <c r="B434" t="inlineStr">
        <is>
          <t>M41</t>
        </is>
      </c>
      <c r="C434" t="n">
        <v>41</v>
      </c>
      <c r="D434" t="n">
        <v>13</v>
      </c>
      <c r="E434" t="inlineStr">
        <is>
          <t>Calculation</t>
        </is>
      </c>
      <c r="F434" t="inlineStr">
        <is>
          <t>'=('Income statement'!M14+'Income statement'!M16)*M53</t>
        </is>
      </c>
      <c r="G434" t="n">
        <v>2599.272968746403</v>
      </c>
      <c r="H434" t="inlineStr"/>
      <c r="I434" t="inlineStr">
        <is>
          <t>0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n">
        <v/>
      </c>
      <c r="R434" t="b">
        <v>1</v>
      </c>
      <c r="S434" t="inlineStr">
        <is>
          <t>G000205</t>
        </is>
      </c>
      <c r="T434" t="inlineStr">
        <is>
          <t>Horizontal</t>
        </is>
      </c>
      <c r="U434" t="n">
        <v>5</v>
      </c>
      <c r="V434" t="b">
        <v>1</v>
      </c>
      <c r="W434" t="inlineStr">
        <is>
          <t>Balance sheet!K41:O41</t>
        </is>
      </c>
      <c r="X434">
        <f>('Income statement'!R[-27]C[0]+'Income statement'!R[-25]C[0])*R[12]C[0]</f>
        <v/>
      </c>
    </row>
    <row r="435">
      <c r="A435" t="inlineStr">
        <is>
          <t>Balance sheet</t>
        </is>
      </c>
      <c r="B435" t="inlineStr">
        <is>
          <t>N41</t>
        </is>
      </c>
      <c r="C435" t="n">
        <v>41</v>
      </c>
      <c r="D435" t="n">
        <v>14</v>
      </c>
      <c r="E435" t="inlineStr">
        <is>
          <t>Calculation</t>
        </is>
      </c>
      <c r="F435" t="inlineStr">
        <is>
          <t>'=('Income statement'!N14+'Income statement'!N16)*N53</t>
        </is>
      </c>
      <c r="G435" t="n">
        <v>3135.472430855695</v>
      </c>
      <c r="H435" t="inlineStr"/>
      <c r="I435" t="inlineStr">
        <is>
          <t>0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n">
        <v/>
      </c>
      <c r="R435" t="b">
        <v>1</v>
      </c>
      <c r="S435" t="inlineStr">
        <is>
          <t>G000205</t>
        </is>
      </c>
      <c r="T435" t="inlineStr">
        <is>
          <t>Horizontal</t>
        </is>
      </c>
      <c r="U435" t="n">
        <v>5</v>
      </c>
      <c r="V435" t="b">
        <v>1</v>
      </c>
      <c r="W435" t="inlineStr">
        <is>
          <t>Balance sheet!K41:O41</t>
        </is>
      </c>
      <c r="X435">
        <f>('Income statement'!R[-27]C[0]+'Income statement'!R[-25]C[0])*R[12]C[0]</f>
        <v/>
      </c>
    </row>
    <row r="436">
      <c r="A436" t="inlineStr">
        <is>
          <t>Balance sheet</t>
        </is>
      </c>
      <c r="B436" t="inlineStr">
        <is>
          <t>O41</t>
        </is>
      </c>
      <c r="C436" t="n">
        <v>41</v>
      </c>
      <c r="D436" t="n">
        <v>15</v>
      </c>
      <c r="E436" t="inlineStr">
        <is>
          <t>Calculation</t>
        </is>
      </c>
      <c r="F436" t="inlineStr">
        <is>
          <t>'=('Income statement'!O14+'Income statement'!O16)*O53</t>
        </is>
      </c>
      <c r="G436" t="n">
        <v>3785.785685124416</v>
      </c>
      <c r="H436" t="inlineStr"/>
      <c r="I436" t="inlineStr">
        <is>
          <t>0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n">
        <v/>
      </c>
      <c r="R436" t="b">
        <v>1</v>
      </c>
      <c r="S436" t="inlineStr">
        <is>
          <t>G000205</t>
        </is>
      </c>
      <c r="T436" t="inlineStr">
        <is>
          <t>Horizontal</t>
        </is>
      </c>
      <c r="U436" t="n">
        <v>5</v>
      </c>
      <c r="V436" t="b">
        <v>1</v>
      </c>
      <c r="W436" t="inlineStr">
        <is>
          <t>Balance sheet!K41:O41</t>
        </is>
      </c>
      <c r="X436">
        <f>('Income statement'!R[-27]C[0]+'Income statement'!R[-25]C[0])*R[12]C[0]</f>
        <v/>
      </c>
    </row>
    <row r="437">
      <c r="A437" t="inlineStr">
        <is>
          <t>Balance sheet</t>
        </is>
      </c>
      <c r="B437" t="inlineStr">
        <is>
          <t>A42</t>
        </is>
      </c>
      <c r="C437" t="n">
        <v>42</v>
      </c>
      <c r="D437" t="n">
        <v>1</v>
      </c>
      <c r="E437" t="inlineStr">
        <is>
          <t>Input</t>
        </is>
      </c>
      <c r="F437" t="n">
        <v/>
      </c>
      <c r="G437" t="inlineStr">
        <is>
          <t>Trade receivables</t>
        </is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n">
        <v/>
      </c>
      <c r="R437" t="b">
        <v>1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</row>
    <row r="438">
      <c r="A438" t="inlineStr">
        <is>
          <t>Balance sheet</t>
        </is>
      </c>
      <c r="B438" t="inlineStr">
        <is>
          <t>D42</t>
        </is>
      </c>
      <c r="C438" t="n">
        <v>42</v>
      </c>
      <c r="D438" t="n">
        <v>4</v>
      </c>
      <c r="E438" t="inlineStr">
        <is>
          <t>Input</t>
        </is>
      </c>
      <c r="F438" t="n">
        <v/>
      </c>
      <c r="G438" t="n">
        <v>166.58</v>
      </c>
      <c r="H438" t="inlineStr"/>
      <c r="I438" t="inlineStr">
        <is>
          <t>#,##0</t>
        </is>
      </c>
      <c r="J438" t="b">
        <v>0</v>
      </c>
      <c r="K438" t="b">
        <v>0</v>
      </c>
      <c r="L438" t="n">
        <v>11</v>
      </c>
      <c r="M438" t="inlineStr">
        <is>
          <t>FF0B0280</t>
        </is>
      </c>
      <c r="N438" t="inlineStr">
        <is>
          <t>00000000</t>
        </is>
      </c>
      <c r="O438" t="n">
        <v/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Balance sheet</t>
        </is>
      </c>
      <c r="B439" t="inlineStr">
        <is>
          <t>E42</t>
        </is>
      </c>
      <c r="C439" t="n">
        <v>42</v>
      </c>
      <c r="D439" t="n">
        <v>5</v>
      </c>
      <c r="E439" t="inlineStr">
        <is>
          <t>Input</t>
        </is>
      </c>
      <c r="F439" t="n">
        <v/>
      </c>
      <c r="G439" t="n">
        <v>389.2</v>
      </c>
      <c r="H439" t="inlineStr"/>
      <c r="I439" t="inlineStr">
        <is>
          <t>#,##0</t>
        </is>
      </c>
      <c r="J439" t="b">
        <v>0</v>
      </c>
      <c r="K439" t="b">
        <v>0</v>
      </c>
      <c r="L439" t="n">
        <v>11</v>
      </c>
      <c r="M439" t="inlineStr">
        <is>
          <t>FF0B0280</t>
        </is>
      </c>
      <c r="N439" t="inlineStr">
        <is>
          <t>00000000</t>
        </is>
      </c>
      <c r="O439" t="n">
        <v/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</row>
    <row r="440">
      <c r="A440" t="inlineStr">
        <is>
          <t>Balance sheet</t>
        </is>
      </c>
      <c r="B440" t="inlineStr">
        <is>
          <t>F42</t>
        </is>
      </c>
      <c r="C440" t="n">
        <v>42</v>
      </c>
      <c r="D440" t="n">
        <v>6</v>
      </c>
      <c r="E440" t="inlineStr">
        <is>
          <t>Input</t>
        </is>
      </c>
      <c r="F440" t="n">
        <v/>
      </c>
      <c r="G440" t="n">
        <v>685.22</v>
      </c>
      <c r="H440" t="inlineStr"/>
      <c r="I440" t="inlineStr">
        <is>
          <t>#,##0</t>
        </is>
      </c>
      <c r="J440" t="b">
        <v>0</v>
      </c>
      <c r="K440" t="b">
        <v>0</v>
      </c>
      <c r="L440" t="n">
        <v>11</v>
      </c>
      <c r="M440" t="inlineStr">
        <is>
          <t>FF0B0280</t>
        </is>
      </c>
      <c r="N440" t="inlineStr">
        <is>
          <t>00000000</t>
        </is>
      </c>
      <c r="O440" t="n">
        <v/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Balance sheet</t>
        </is>
      </c>
      <c r="B441" t="inlineStr">
        <is>
          <t>G42</t>
        </is>
      </c>
      <c r="C441" t="n">
        <v>42</v>
      </c>
      <c r="D441" t="n">
        <v>7</v>
      </c>
      <c r="E441" t="inlineStr">
        <is>
          <t>Input</t>
        </is>
      </c>
      <c r="F441" t="n">
        <v/>
      </c>
      <c r="G441" t="n">
        <v>891.22</v>
      </c>
      <c r="H441" t="inlineStr"/>
      <c r="I441" t="inlineStr">
        <is>
          <t>#,##0</t>
        </is>
      </c>
      <c r="J441" t="b">
        <v>0</v>
      </c>
      <c r="K441" t="b">
        <v>0</v>
      </c>
      <c r="L441" t="n">
        <v>11</v>
      </c>
      <c r="M441" t="inlineStr">
        <is>
          <t>FF0B0280</t>
        </is>
      </c>
      <c r="N441" t="inlineStr">
        <is>
          <t>00000000</t>
        </is>
      </c>
      <c r="O441" t="n">
        <v/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Balance sheet</t>
        </is>
      </c>
      <c r="B442" t="inlineStr">
        <is>
          <t>H42</t>
        </is>
      </c>
      <c r="C442" t="n">
        <v>42</v>
      </c>
      <c r="D442" t="n">
        <v>8</v>
      </c>
      <c r="E442" t="inlineStr">
        <is>
          <t>Input</t>
        </is>
      </c>
      <c r="F442" t="n">
        <v/>
      </c>
      <c r="G442" t="n">
        <v>1045.5</v>
      </c>
      <c r="H442" t="inlineStr"/>
      <c r="I442" t="inlineStr">
        <is>
          <t>#,##0</t>
        </is>
      </c>
      <c r="J442" t="b">
        <v>0</v>
      </c>
      <c r="K442" t="b">
        <v>0</v>
      </c>
      <c r="L442" t="n">
        <v>11</v>
      </c>
      <c r="M442" t="inlineStr">
        <is>
          <t>FF0B0280</t>
        </is>
      </c>
      <c r="N442" t="inlineStr">
        <is>
          <t>00000000</t>
        </is>
      </c>
      <c r="O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Balance sheet</t>
        </is>
      </c>
      <c r="B443" t="inlineStr">
        <is>
          <t>I42</t>
        </is>
      </c>
      <c r="C443" t="n">
        <v>42</v>
      </c>
      <c r="D443" t="n">
        <v>9</v>
      </c>
      <c r="E443" t="inlineStr">
        <is>
          <t>Input</t>
        </is>
      </c>
      <c r="F443" t="n">
        <v/>
      </c>
      <c r="G443" t="n">
        <v>1571.14</v>
      </c>
      <c r="H443" t="inlineStr"/>
      <c r="I443" t="inlineStr">
        <is>
          <t>#,##0</t>
        </is>
      </c>
      <c r="J443" t="b">
        <v>0</v>
      </c>
      <c r="K443" t="b">
        <v>0</v>
      </c>
      <c r="L443" t="n">
        <v>11</v>
      </c>
      <c r="M443" t="inlineStr">
        <is>
          <t>FF0B0280</t>
        </is>
      </c>
      <c r="N443" t="inlineStr">
        <is>
          <t>00000000</t>
        </is>
      </c>
      <c r="O443" t="n">
        <v/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</row>
    <row r="444">
      <c r="A444" t="inlineStr">
        <is>
          <t>Balance sheet</t>
        </is>
      </c>
      <c r="B444" t="inlineStr">
        <is>
          <t>J42</t>
        </is>
      </c>
      <c r="C444" t="n">
        <v>42</v>
      </c>
      <c r="D444" t="n">
        <v>10</v>
      </c>
      <c r="E444" t="inlineStr">
        <is>
          <t>Input</t>
        </is>
      </c>
      <c r="F444" t="n">
        <v/>
      </c>
      <c r="G444" t="n">
        <v>1587.02</v>
      </c>
      <c r="H444" t="inlineStr"/>
      <c r="I444" t="inlineStr">
        <is>
          <t>#,##0</t>
        </is>
      </c>
      <c r="J444" t="b">
        <v>0</v>
      </c>
      <c r="K444" t="b">
        <v>0</v>
      </c>
      <c r="L444" t="n">
        <v>11</v>
      </c>
      <c r="M444" t="inlineStr">
        <is>
          <t>FF0B0280</t>
        </is>
      </c>
      <c r="N444" t="inlineStr">
        <is>
          <t>00000000</t>
        </is>
      </c>
      <c r="O444" t="n">
        <v/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Balance sheet</t>
        </is>
      </c>
      <c r="B445" t="inlineStr">
        <is>
          <t>K42</t>
        </is>
      </c>
      <c r="C445" t="n">
        <v>42</v>
      </c>
      <c r="D445" t="n">
        <v>11</v>
      </c>
      <c r="E445" t="inlineStr">
        <is>
          <t>Calculation</t>
        </is>
      </c>
      <c r="F445" t="inlineStr">
        <is>
          <t>'=K54*'Income statement'!K7</t>
        </is>
      </c>
      <c r="G445" t="n">
        <v>1864.083324816256</v>
      </c>
      <c r="H445" t="inlineStr"/>
      <c r="I445" t="inlineStr">
        <is>
          <t xml:space="preserve">_ * #,##0_ ;_ * \-#,##0_ ;_ * "-"??_ ;_ @_ </t>
        </is>
      </c>
      <c r="J445" t="b">
        <v>0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n">
        <v/>
      </c>
      <c r="R445" t="b">
        <v>1</v>
      </c>
      <c r="S445" t="inlineStr">
        <is>
          <t>G000206</t>
        </is>
      </c>
      <c r="T445" t="inlineStr">
        <is>
          <t>Horizontal</t>
        </is>
      </c>
      <c r="U445" t="n">
        <v>5</v>
      </c>
      <c r="V445" t="b">
        <v>1</v>
      </c>
      <c r="W445" t="inlineStr">
        <is>
          <t>Balance sheet!K42:O42</t>
        </is>
      </c>
      <c r="X445">
        <f>R[12]C[0]*'Income statement'!R[-35]C[0]</f>
        <v/>
      </c>
    </row>
    <row r="446">
      <c r="A446" t="inlineStr">
        <is>
          <t>Balance sheet</t>
        </is>
      </c>
      <c r="B446" t="inlineStr">
        <is>
          <t>L42</t>
        </is>
      </c>
      <c r="C446" t="n">
        <v>42</v>
      </c>
      <c r="D446" t="n">
        <v>12</v>
      </c>
      <c r="E446" t="inlineStr">
        <is>
          <t>Calculation</t>
        </is>
      </c>
      <c r="F446" t="inlineStr">
        <is>
          <t>'=L54*'Income statement'!L7</t>
        </is>
      </c>
      <c r="G446" t="n">
        <v>2238.074415851225</v>
      </c>
      <c r="H446" t="inlineStr"/>
      <c r="I446" t="inlineStr">
        <is>
          <t xml:space="preserve">_ * #,##0_ ;_ * \-#,##0_ ;_ * "-"??_ ;_ @_ 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n">
        <v/>
      </c>
      <c r="R446" t="b">
        <v>1</v>
      </c>
      <c r="S446" t="inlineStr">
        <is>
          <t>G000206</t>
        </is>
      </c>
      <c r="T446" t="inlineStr">
        <is>
          <t>Horizontal</t>
        </is>
      </c>
      <c r="U446" t="n">
        <v>5</v>
      </c>
      <c r="V446" t="b">
        <v>1</v>
      </c>
      <c r="W446" t="inlineStr">
        <is>
          <t>Balance sheet!K42:O42</t>
        </is>
      </c>
      <c r="X446">
        <f>R[12]C[0]*'Income statement'!R[-35]C[0]</f>
        <v/>
      </c>
    </row>
    <row r="447">
      <c r="A447" t="inlineStr">
        <is>
          <t>Balance sheet</t>
        </is>
      </c>
      <c r="B447" t="inlineStr">
        <is>
          <t>M42</t>
        </is>
      </c>
      <c r="C447" t="n">
        <v>42</v>
      </c>
      <c r="D447" t="n">
        <v>13</v>
      </c>
      <c r="E447" t="inlineStr">
        <is>
          <t>Calculation</t>
        </is>
      </c>
      <c r="F447" t="inlineStr">
        <is>
          <t>'=M54*'Income statement'!M7</t>
        </is>
      </c>
      <c r="G447" t="n">
        <v>2675.354349590353</v>
      </c>
      <c r="H447" t="inlineStr"/>
      <c r="I447" t="inlineStr">
        <is>
          <t xml:space="preserve">_ * #,##0_ ;_ * \-#,##0_ ;_ * "-"??_ ;_ @_ 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n">
        <v/>
      </c>
      <c r="R447" t="b">
        <v>1</v>
      </c>
      <c r="S447" t="inlineStr">
        <is>
          <t>G000206</t>
        </is>
      </c>
      <c r="T447" t="inlineStr">
        <is>
          <t>Horizontal</t>
        </is>
      </c>
      <c r="U447" t="n">
        <v>5</v>
      </c>
      <c r="V447" t="b">
        <v>1</v>
      </c>
      <c r="W447" t="inlineStr">
        <is>
          <t>Balance sheet!K42:O42</t>
        </is>
      </c>
      <c r="X447">
        <f>R[12]C[0]*'Income statement'!R[-35]C[0]</f>
        <v/>
      </c>
    </row>
    <row r="448">
      <c r="A448" t="inlineStr">
        <is>
          <t>Balance sheet</t>
        </is>
      </c>
      <c r="B448" t="inlineStr">
        <is>
          <t>N42</t>
        </is>
      </c>
      <c r="C448" t="n">
        <v>42</v>
      </c>
      <c r="D448" t="n">
        <v>14</v>
      </c>
      <c r="E448" t="inlineStr">
        <is>
          <t>Calculation</t>
        </is>
      </c>
      <c r="F448" t="inlineStr">
        <is>
          <t>'=N54*'Income statement'!N7</t>
        </is>
      </c>
      <c r="G448" t="n">
        <v>3198.023280191083</v>
      </c>
      <c r="H448" t="inlineStr"/>
      <c r="I448" t="inlineStr">
        <is>
          <t xml:space="preserve">_ * #,##0_ ;_ * \-#,##0_ ;_ * "-"??_ ;_ @_ 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n">
        <v/>
      </c>
      <c r="R448" t="b">
        <v>1</v>
      </c>
      <c r="S448" t="inlineStr">
        <is>
          <t>G000206</t>
        </is>
      </c>
      <c r="T448" t="inlineStr">
        <is>
          <t>Horizontal</t>
        </is>
      </c>
      <c r="U448" t="n">
        <v>5</v>
      </c>
      <c r="V448" t="b">
        <v>1</v>
      </c>
      <c r="W448" t="inlineStr">
        <is>
          <t>Balance sheet!K42:O42</t>
        </is>
      </c>
      <c r="X448">
        <f>R[12]C[0]*'Income statement'!R[-35]C[0]</f>
        <v/>
      </c>
    </row>
    <row r="449">
      <c r="A449" t="inlineStr">
        <is>
          <t>Balance sheet</t>
        </is>
      </c>
      <c r="B449" t="inlineStr">
        <is>
          <t>O42</t>
        </is>
      </c>
      <c r="C449" t="n">
        <v>42</v>
      </c>
      <c r="D449" t="n">
        <v>15</v>
      </c>
      <c r="E449" t="inlineStr">
        <is>
          <t>Calculation</t>
        </is>
      </c>
      <c r="F449" t="inlineStr">
        <is>
          <t>'=O54*'Income statement'!O7</t>
        </is>
      </c>
      <c r="G449" t="n">
        <v>3839.657344481229</v>
      </c>
      <c r="H449" t="inlineStr"/>
      <c r="I449" t="inlineStr">
        <is>
          <t xml:space="preserve">_ * #,##0_ ;_ * \-#,##0_ ;_ * "-"??_ ;_ @_ 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n">
        <v/>
      </c>
      <c r="R449" t="b">
        <v>1</v>
      </c>
      <c r="S449" t="inlineStr">
        <is>
          <t>G000206</t>
        </is>
      </c>
      <c r="T449" t="inlineStr">
        <is>
          <t>Horizontal</t>
        </is>
      </c>
      <c r="U449" t="n">
        <v>5</v>
      </c>
      <c r="V449" t="b">
        <v>1</v>
      </c>
      <c r="W449" t="inlineStr">
        <is>
          <t>Balance sheet!K42:O42</t>
        </is>
      </c>
      <c r="X449">
        <f>R[12]C[0]*'Income statement'!R[-35]C[0]</f>
        <v/>
      </c>
    </row>
    <row r="450">
      <c r="A450" t="inlineStr">
        <is>
          <t>Balance sheet</t>
        </is>
      </c>
      <c r="B450" t="inlineStr">
        <is>
          <t>A43</t>
        </is>
      </c>
      <c r="C450" t="n">
        <v>43</v>
      </c>
      <c r="D450" t="n">
        <v>1</v>
      </c>
      <c r="E450" t="inlineStr">
        <is>
          <t>Input</t>
        </is>
      </c>
      <c r="F450" t="n">
        <v/>
      </c>
      <c r="G450" t="inlineStr">
        <is>
          <t>Cash and bank balances</t>
        </is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n">
        <v/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Balance sheet</t>
        </is>
      </c>
      <c r="B451" t="inlineStr">
        <is>
          <t>D43</t>
        </is>
      </c>
      <c r="C451" t="n">
        <v>43</v>
      </c>
      <c r="D451" t="n">
        <v>4</v>
      </c>
      <c r="E451" t="inlineStr">
        <is>
          <t>Input</t>
        </is>
      </c>
      <c r="F451" t="n">
        <v/>
      </c>
      <c r="G451" t="n">
        <v>7756.93</v>
      </c>
      <c r="H451" t="inlineStr"/>
      <c r="I451" t="inlineStr">
        <is>
          <t>#,##0</t>
        </is>
      </c>
      <c r="J451" t="b">
        <v>0</v>
      </c>
      <c r="K451" t="b">
        <v>0</v>
      </c>
      <c r="L451" t="n">
        <v>11</v>
      </c>
      <c r="M451" t="inlineStr">
        <is>
          <t>FF0B0280</t>
        </is>
      </c>
      <c r="N451" t="inlineStr">
        <is>
          <t>00000000</t>
        </is>
      </c>
      <c r="O451" t="n">
        <v/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Balance sheet</t>
        </is>
      </c>
      <c r="B452" t="inlineStr">
        <is>
          <t>E43</t>
        </is>
      </c>
      <c r="C452" t="n">
        <v>43</v>
      </c>
      <c r="D452" t="n">
        <v>5</v>
      </c>
      <c r="E452" t="inlineStr">
        <is>
          <t>Input</t>
        </is>
      </c>
      <c r="F452" t="n">
        <v/>
      </c>
      <c r="G452" t="n">
        <v>13088.26</v>
      </c>
      <c r="H452" t="inlineStr"/>
      <c r="I452" t="inlineStr">
        <is>
          <t>#,##0</t>
        </is>
      </c>
      <c r="J452" t="b">
        <v>0</v>
      </c>
      <c r="K452" t="b">
        <v>0</v>
      </c>
      <c r="L452" t="n">
        <v>11</v>
      </c>
      <c r="M452" t="inlineStr">
        <is>
          <t>FF0B0280</t>
        </is>
      </c>
      <c r="N452" t="inlineStr">
        <is>
          <t>00000000</t>
        </is>
      </c>
      <c r="O452" t="n">
        <v/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Balance sheet</t>
        </is>
      </c>
      <c r="B453" t="inlineStr">
        <is>
          <t>F43</t>
        </is>
      </c>
      <c r="C453" t="n">
        <v>43</v>
      </c>
      <c r="D453" t="n">
        <v>6</v>
      </c>
      <c r="E453" t="inlineStr">
        <is>
          <t>Input</t>
        </is>
      </c>
      <c r="F453" t="n">
        <v/>
      </c>
      <c r="G453" t="n">
        <v>13405.88</v>
      </c>
      <c r="H453" t="inlineStr"/>
      <c r="I453" t="inlineStr">
        <is>
          <t>#,##0</t>
        </is>
      </c>
      <c r="J453" t="b">
        <v>0</v>
      </c>
      <c r="K453" t="b">
        <v>0</v>
      </c>
      <c r="L453" t="n">
        <v>11</v>
      </c>
      <c r="M453" t="inlineStr">
        <is>
          <t>FF0B0280</t>
        </is>
      </c>
      <c r="N453" t="inlineStr">
        <is>
          <t>00000000</t>
        </is>
      </c>
      <c r="O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Balance sheet</t>
        </is>
      </c>
      <c r="B454" t="inlineStr">
        <is>
          <t>G43</t>
        </is>
      </c>
      <c r="C454" t="n">
        <v>43</v>
      </c>
      <c r="D454" t="n">
        <v>7</v>
      </c>
      <c r="E454" t="inlineStr">
        <is>
          <t>Input</t>
        </is>
      </c>
      <c r="F454" t="n">
        <v/>
      </c>
      <c r="G454" t="n">
        <v>11015.33</v>
      </c>
      <c r="H454" t="inlineStr"/>
      <c r="I454" t="inlineStr">
        <is>
          <t>#,##0</t>
        </is>
      </c>
      <c r="J454" t="b">
        <v>0</v>
      </c>
      <c r="K454" t="b">
        <v>0</v>
      </c>
      <c r="L454" t="n">
        <v>11</v>
      </c>
      <c r="M454" t="inlineStr">
        <is>
          <t>FF0B0280</t>
        </is>
      </c>
      <c r="N454" t="inlineStr">
        <is>
          <t>00000000</t>
        </is>
      </c>
      <c r="O454" t="n">
        <v/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Balance sheet</t>
        </is>
      </c>
      <c r="B455" t="inlineStr">
        <is>
          <t>H43</t>
        </is>
      </c>
      <c r="C455" t="n">
        <v>43</v>
      </c>
      <c r="D455" t="n">
        <v>8</v>
      </c>
      <c r="E455" t="inlineStr">
        <is>
          <t>Input</t>
        </is>
      </c>
      <c r="F455" t="n">
        <v/>
      </c>
      <c r="G455" t="n">
        <v>19993.8</v>
      </c>
      <c r="H455" t="inlineStr"/>
      <c r="I455" t="inlineStr">
        <is>
          <t>#,##0</t>
        </is>
      </c>
      <c r="J455" t="b">
        <v>0</v>
      </c>
      <c r="K455" t="b">
        <v>0</v>
      </c>
      <c r="L455" t="n">
        <v>11</v>
      </c>
      <c r="M455" t="inlineStr">
        <is>
          <t>FF0B0280</t>
        </is>
      </c>
      <c r="N455" t="inlineStr">
        <is>
          <t>00000000</t>
        </is>
      </c>
      <c r="O455" t="n">
        <v/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Balance sheet</t>
        </is>
      </c>
      <c r="B456" t="inlineStr">
        <is>
          <t>I43</t>
        </is>
      </c>
      <c r="C456" t="n">
        <v>43</v>
      </c>
      <c r="D456" t="n">
        <v>9</v>
      </c>
      <c r="E456" t="inlineStr">
        <is>
          <t>Input</t>
        </is>
      </c>
      <c r="F456" t="n">
        <v/>
      </c>
      <c r="G456" t="n">
        <v>37186.7</v>
      </c>
      <c r="H456" t="inlineStr"/>
      <c r="I456" t="inlineStr">
        <is>
          <t>#,##0</t>
        </is>
      </c>
      <c r="J456" t="b">
        <v>0</v>
      </c>
      <c r="K456" t="b">
        <v>0</v>
      </c>
      <c r="L456" t="n">
        <v>11</v>
      </c>
      <c r="M456" t="inlineStr">
        <is>
          <t>FF0B0280</t>
        </is>
      </c>
      <c r="N456" t="inlineStr">
        <is>
          <t>00000000</t>
        </is>
      </c>
      <c r="O456" t="n">
        <v/>
      </c>
      <c r="R456" t="b">
        <v>1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Balance sheet</t>
        </is>
      </c>
      <c r="B457" t="inlineStr">
        <is>
          <t>J43</t>
        </is>
      </c>
      <c r="C457" t="n">
        <v>43</v>
      </c>
      <c r="D457" t="n">
        <v>10</v>
      </c>
      <c r="E457" t="inlineStr">
        <is>
          <t>Calculation</t>
        </is>
      </c>
      <c r="F457" t="inlineStr">
        <is>
          <t>'=1531.19+44794.26</t>
        </is>
      </c>
      <c r="G457" t="n">
        <v>46325.45</v>
      </c>
      <c r="H457" t="inlineStr"/>
      <c r="I457" t="inlineStr">
        <is>
          <t>#,##0</t>
        </is>
      </c>
      <c r="J457" t="b">
        <v>0</v>
      </c>
      <c r="K457" t="b">
        <v>0</v>
      </c>
      <c r="L457" t="n">
        <v>11</v>
      </c>
      <c r="M457" t="inlineStr">
        <is>
          <t>FF0B0280</t>
        </is>
      </c>
      <c r="N457" t="inlineStr">
        <is>
          <t>00000000</t>
        </is>
      </c>
      <c r="O457" t="n">
        <v/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>
        <f>1531.19+44794.26</f>
        <v/>
      </c>
    </row>
    <row r="458">
      <c r="A458" t="inlineStr">
        <is>
          <t>Balance sheet</t>
        </is>
      </c>
      <c r="B458" t="inlineStr">
        <is>
          <t>K43</t>
        </is>
      </c>
      <c r="C458" t="n">
        <v>43</v>
      </c>
      <c r="D458" t="n">
        <v>11</v>
      </c>
      <c r="E458" t="inlineStr">
        <is>
          <t>Calculation</t>
        </is>
      </c>
      <c r="F458" t="inlineStr">
        <is>
          <t>'='CashFlow Statement'!K55+'CashFlow Statement'!K57</t>
        </is>
      </c>
      <c r="G458" t="n">
        <v>90169.53498845091</v>
      </c>
      <c r="H458" t="inlineStr"/>
      <c r="I458" t="inlineStr">
        <is>
          <t>0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R458" t="b">
        <v>1</v>
      </c>
      <c r="S458" t="inlineStr">
        <is>
          <t>G000207</t>
        </is>
      </c>
      <c r="T458" t="inlineStr">
        <is>
          <t>Horizontal</t>
        </is>
      </c>
      <c r="U458" t="n">
        <v>5</v>
      </c>
      <c r="V458" t="b">
        <v>1</v>
      </c>
      <c r="W458" t="inlineStr">
        <is>
          <t>Balance sheet!K43:O43</t>
        </is>
      </c>
      <c r="X458">
        <f>'CashFlow Statement'!R[12]C[0]+'CashFlow Statement'!R[14]C[0]</f>
        <v/>
      </c>
    </row>
    <row r="459">
      <c r="A459" t="inlineStr">
        <is>
          <t>Balance sheet</t>
        </is>
      </c>
      <c r="B459" t="inlineStr">
        <is>
          <t>L43</t>
        </is>
      </c>
      <c r="C459" t="n">
        <v>43</v>
      </c>
      <c r="D459" t="n">
        <v>12</v>
      </c>
      <c r="E459" t="inlineStr">
        <is>
          <t>Calculation</t>
        </is>
      </c>
      <c r="F459" t="inlineStr">
        <is>
          <t>'='CashFlow Statement'!L55+'CashFlow Statement'!L57</t>
        </is>
      </c>
      <c r="G459" t="n">
        <v>129531.5817590677</v>
      </c>
      <c r="H459" t="inlineStr"/>
      <c r="I459" t="inlineStr">
        <is>
          <t>0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n">
        <v/>
      </c>
      <c r="R459" t="b">
        <v>1</v>
      </c>
      <c r="S459" t="inlineStr">
        <is>
          <t>G000207</t>
        </is>
      </c>
      <c r="T459" t="inlineStr">
        <is>
          <t>Horizontal</t>
        </is>
      </c>
      <c r="U459" t="n">
        <v>5</v>
      </c>
      <c r="V459" t="b">
        <v>1</v>
      </c>
      <c r="W459" t="inlineStr">
        <is>
          <t>Balance sheet!K43:O43</t>
        </is>
      </c>
      <c r="X459">
        <f>'CashFlow Statement'!R[12]C[0]+'CashFlow Statement'!R[14]C[0]</f>
        <v/>
      </c>
    </row>
    <row r="460">
      <c r="A460" t="inlineStr">
        <is>
          <t>Balance sheet</t>
        </is>
      </c>
      <c r="B460" t="inlineStr">
        <is>
          <t>M43</t>
        </is>
      </c>
      <c r="C460" t="n">
        <v>43</v>
      </c>
      <c r="D460" t="n">
        <v>13</v>
      </c>
      <c r="E460" t="inlineStr">
        <is>
          <t>Calculation</t>
        </is>
      </c>
      <c r="F460" t="inlineStr">
        <is>
          <t>'='CashFlow Statement'!M55+'CashFlow Statement'!M57</t>
        </is>
      </c>
      <c r="G460" t="n">
        <v>184794.1392087656</v>
      </c>
      <c r="H460" t="inlineStr"/>
      <c r="I460" t="inlineStr">
        <is>
          <t>0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n">
        <v/>
      </c>
      <c r="R460" t="b">
        <v>1</v>
      </c>
      <c r="S460" t="inlineStr">
        <is>
          <t>G000207</t>
        </is>
      </c>
      <c r="T460" t="inlineStr">
        <is>
          <t>Horizontal</t>
        </is>
      </c>
      <c r="U460" t="n">
        <v>5</v>
      </c>
      <c r="V460" t="b">
        <v>1</v>
      </c>
      <c r="W460" t="inlineStr">
        <is>
          <t>Balance sheet!K43:O43</t>
        </is>
      </c>
      <c r="X460">
        <f>'CashFlow Statement'!R[12]C[0]+'CashFlow Statement'!R[14]C[0]</f>
        <v/>
      </c>
    </row>
    <row r="461">
      <c r="A461" t="inlineStr">
        <is>
          <t>Balance sheet</t>
        </is>
      </c>
      <c r="B461" t="inlineStr">
        <is>
          <t>N43</t>
        </is>
      </c>
      <c r="C461" t="n">
        <v>43</v>
      </c>
      <c r="D461" t="n">
        <v>14</v>
      </c>
      <c r="E461" t="inlineStr">
        <is>
          <t>Calculation</t>
        </is>
      </c>
      <c r="F461" t="inlineStr">
        <is>
          <t>'='CashFlow Statement'!N55+'CashFlow Statement'!N57</t>
        </is>
      </c>
      <c r="G461" t="n">
        <v>254845.0375894725</v>
      </c>
      <c r="H461" t="inlineStr"/>
      <c r="I461" t="inlineStr">
        <is>
          <t>0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n">
        <v/>
      </c>
      <c r="R461" t="b">
        <v>1</v>
      </c>
      <c r="S461" t="inlineStr">
        <is>
          <t>G000207</t>
        </is>
      </c>
      <c r="T461" t="inlineStr">
        <is>
          <t>Horizontal</t>
        </is>
      </c>
      <c r="U461" t="n">
        <v>5</v>
      </c>
      <c r="V461" t="b">
        <v>1</v>
      </c>
      <c r="W461" t="inlineStr">
        <is>
          <t>Balance sheet!K43:O43</t>
        </is>
      </c>
      <c r="X461">
        <f>'CashFlow Statement'!R[12]C[0]+'CashFlow Statement'!R[14]C[0]</f>
        <v/>
      </c>
    </row>
    <row r="462">
      <c r="A462" t="inlineStr">
        <is>
          <t>Balance sheet</t>
        </is>
      </c>
      <c r="B462" t="inlineStr">
        <is>
          <t>O43</t>
        </is>
      </c>
      <c r="C462" t="n">
        <v>43</v>
      </c>
      <c r="D462" t="n">
        <v>15</v>
      </c>
      <c r="E462" t="inlineStr">
        <is>
          <t>Calculation</t>
        </is>
      </c>
      <c r="F462" t="inlineStr">
        <is>
          <t>'='CashFlow Statement'!O55+'CashFlow Statement'!O57</t>
        </is>
      </c>
      <c r="G462" t="n">
        <v>337666.2853736077</v>
      </c>
      <c r="H462" t="inlineStr"/>
      <c r="I462" t="inlineStr">
        <is>
          <t>0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00000000</t>
        </is>
      </c>
      <c r="O462" t="n">
        <v/>
      </c>
      <c r="R462" t="b">
        <v>1</v>
      </c>
      <c r="S462" t="inlineStr">
        <is>
          <t>G000207</t>
        </is>
      </c>
      <c r="T462" t="inlineStr">
        <is>
          <t>Horizontal</t>
        </is>
      </c>
      <c r="U462" t="n">
        <v>5</v>
      </c>
      <c r="V462" t="b">
        <v>1</v>
      </c>
      <c r="W462" t="inlineStr">
        <is>
          <t>Balance sheet!K43:O43</t>
        </is>
      </c>
      <c r="X462">
        <f>'CashFlow Statement'!R[12]C[0]+'CashFlow Statement'!R[14]C[0]</f>
        <v/>
      </c>
    </row>
    <row r="463">
      <c r="A463" t="inlineStr">
        <is>
          <t>Balance sheet</t>
        </is>
      </c>
      <c r="B463" t="inlineStr">
        <is>
          <t>A44</t>
        </is>
      </c>
      <c r="C463" t="n">
        <v>44</v>
      </c>
      <c r="D463" t="n">
        <v>1</v>
      </c>
      <c r="E463" t="inlineStr">
        <is>
          <t>Input</t>
        </is>
      </c>
      <c r="F463" t="n">
        <v/>
      </c>
      <c r="G463" t="inlineStr">
        <is>
          <t>Short-term loans and advances</t>
        </is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00000000</t>
        </is>
      </c>
      <c r="O463" t="n">
        <v/>
      </c>
      <c r="R463" t="b">
        <v>1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Balance sheet</t>
        </is>
      </c>
      <c r="B464" t="inlineStr">
        <is>
          <t>D44</t>
        </is>
      </c>
      <c r="C464" t="n">
        <v>44</v>
      </c>
      <c r="D464" t="n">
        <v>4</v>
      </c>
      <c r="E464" t="inlineStr">
        <is>
          <t>Input</t>
        </is>
      </c>
      <c r="F464" t="n">
        <v/>
      </c>
      <c r="G464" t="n">
        <v>2491.33</v>
      </c>
      <c r="H464" t="inlineStr"/>
      <c r="I464" t="inlineStr">
        <is>
          <t>#,##0</t>
        </is>
      </c>
      <c r="J464" t="b">
        <v>0</v>
      </c>
      <c r="K464" t="b">
        <v>0</v>
      </c>
      <c r="L464" t="n">
        <v>11</v>
      </c>
      <c r="M464" t="inlineStr">
        <is>
          <t>FF0B0280</t>
        </is>
      </c>
      <c r="N464" t="inlineStr">
        <is>
          <t>00000000</t>
        </is>
      </c>
      <c r="O464" t="n">
        <v/>
      </c>
      <c r="R464" t="b">
        <v>1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Balance sheet</t>
        </is>
      </c>
      <c r="B465" t="inlineStr">
        <is>
          <t>E44</t>
        </is>
      </c>
      <c r="C465" t="n">
        <v>44</v>
      </c>
      <c r="D465" t="n">
        <v>5</v>
      </c>
      <c r="E465" t="inlineStr">
        <is>
          <t>Input</t>
        </is>
      </c>
      <c r="F465" t="n">
        <v/>
      </c>
      <c r="G465" t="n">
        <v>3179.45</v>
      </c>
      <c r="H465" t="inlineStr"/>
      <c r="I465" t="inlineStr">
        <is>
          <t>#,##0</t>
        </is>
      </c>
      <c r="J465" t="b">
        <v>0</v>
      </c>
      <c r="K465" t="b">
        <v>0</v>
      </c>
      <c r="L465" t="n">
        <v>11</v>
      </c>
      <c r="M465" t="inlineStr">
        <is>
          <t>FF0B0280</t>
        </is>
      </c>
      <c r="N465" t="inlineStr">
        <is>
          <t>00000000</t>
        </is>
      </c>
      <c r="O465" t="n">
        <v/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Balance sheet</t>
        </is>
      </c>
      <c r="B466" t="inlineStr">
        <is>
          <t>F44</t>
        </is>
      </c>
      <c r="C466" t="n">
        <v>44</v>
      </c>
      <c r="D466" t="n">
        <v>6</v>
      </c>
      <c r="E466" t="inlineStr">
        <is>
          <t>Input</t>
        </is>
      </c>
      <c r="F466" t="n">
        <v/>
      </c>
      <c r="G466" t="n">
        <v>3586.59</v>
      </c>
      <c r="H466" t="inlineStr"/>
      <c r="I466" t="inlineStr">
        <is>
          <t>#,##0</t>
        </is>
      </c>
      <c r="J466" t="b">
        <v>0</v>
      </c>
      <c r="K466" t="b">
        <v>0</v>
      </c>
      <c r="L466" t="n">
        <v>11</v>
      </c>
      <c r="M466" t="inlineStr">
        <is>
          <t>FF0B0280</t>
        </is>
      </c>
      <c r="N466" t="inlineStr">
        <is>
          <t>00000000</t>
        </is>
      </c>
      <c r="O466" t="n">
        <v/>
      </c>
      <c r="R466" t="b">
        <v>1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Balance sheet</t>
        </is>
      </c>
      <c r="B467" t="inlineStr">
        <is>
          <t>G44</t>
        </is>
      </c>
      <c r="C467" t="n">
        <v>44</v>
      </c>
      <c r="D467" t="n">
        <v>7</v>
      </c>
      <c r="E467" t="inlineStr">
        <is>
          <t>Input</t>
        </is>
      </c>
      <c r="F467" t="n">
        <v/>
      </c>
      <c r="G467" t="n">
        <v>2231.34</v>
      </c>
      <c r="H467" t="inlineStr"/>
      <c r="I467" t="inlineStr">
        <is>
          <t>#,##0</t>
        </is>
      </c>
      <c r="J467" t="b">
        <v>0</v>
      </c>
      <c r="K467" t="b">
        <v>0</v>
      </c>
      <c r="L467" t="n">
        <v>11</v>
      </c>
      <c r="M467" t="inlineStr">
        <is>
          <t>FF0B0280</t>
        </is>
      </c>
      <c r="N467" t="inlineStr">
        <is>
          <t>00000000</t>
        </is>
      </c>
      <c r="O467" t="n">
        <v/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</row>
    <row r="468">
      <c r="A468" t="inlineStr">
        <is>
          <t>Balance sheet</t>
        </is>
      </c>
      <c r="B468" t="inlineStr">
        <is>
          <t>H44</t>
        </is>
      </c>
      <c r="C468" t="n">
        <v>44</v>
      </c>
      <c r="D468" t="n">
        <v>8</v>
      </c>
      <c r="E468" t="inlineStr">
        <is>
          <t>Input</t>
        </is>
      </c>
      <c r="F468" t="n">
        <v/>
      </c>
      <c r="G468" t="n">
        <v>1555.61</v>
      </c>
      <c r="H468" t="inlineStr"/>
      <c r="I468" t="inlineStr">
        <is>
          <t>#,##0</t>
        </is>
      </c>
      <c r="J468" t="b">
        <v>0</v>
      </c>
      <c r="K468" t="b">
        <v>0</v>
      </c>
      <c r="L468" t="n">
        <v>11</v>
      </c>
      <c r="M468" t="inlineStr">
        <is>
          <t>FF0B0280</t>
        </is>
      </c>
      <c r="N468" t="inlineStr">
        <is>
          <t>00000000</t>
        </is>
      </c>
      <c r="O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Balance sheet</t>
        </is>
      </c>
      <c r="B469" t="inlineStr">
        <is>
          <t>I44</t>
        </is>
      </c>
      <c r="C469" t="n">
        <v>44</v>
      </c>
      <c r="D469" t="n">
        <v>9</v>
      </c>
      <c r="E469" t="inlineStr">
        <is>
          <t>Input</t>
        </is>
      </c>
      <c r="F469" t="n">
        <v/>
      </c>
      <c r="G469" t="n">
        <v>2248.75</v>
      </c>
      <c r="H469" t="inlineStr"/>
      <c r="I469" t="inlineStr">
        <is>
          <t>#,##0</t>
        </is>
      </c>
      <c r="J469" t="b">
        <v>0</v>
      </c>
      <c r="K469" t="b">
        <v>0</v>
      </c>
      <c r="L469" t="n">
        <v>11</v>
      </c>
      <c r="M469" t="inlineStr">
        <is>
          <t>FF0B0280</t>
        </is>
      </c>
      <c r="N469" t="inlineStr">
        <is>
          <t>00000000</t>
        </is>
      </c>
      <c r="O469" t="n">
        <v/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Balance sheet</t>
        </is>
      </c>
      <c r="B470" t="inlineStr">
        <is>
          <t>J44</t>
        </is>
      </c>
      <c r="C470" t="n">
        <v>44</v>
      </c>
      <c r="D470" t="n">
        <v>10</v>
      </c>
      <c r="E470" t="inlineStr">
        <is>
          <t>Input</t>
        </is>
      </c>
      <c r="F470" t="n">
        <v/>
      </c>
      <c r="G470" t="n">
        <v>39.76</v>
      </c>
      <c r="H470" t="inlineStr"/>
      <c r="I470" t="inlineStr">
        <is>
          <t>#,##0</t>
        </is>
      </c>
      <c r="J470" t="b">
        <v>0</v>
      </c>
      <c r="K470" t="b">
        <v>0</v>
      </c>
      <c r="L470" t="n">
        <v>11</v>
      </c>
      <c r="M470" t="inlineStr">
        <is>
          <t>FF0B0280</t>
        </is>
      </c>
      <c r="N470" t="inlineStr">
        <is>
          <t>00000000</t>
        </is>
      </c>
      <c r="O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Balance sheet</t>
        </is>
      </c>
      <c r="B471" t="inlineStr">
        <is>
          <t>K44</t>
        </is>
      </c>
      <c r="C471" t="n">
        <v>44</v>
      </c>
      <c r="D471" t="n">
        <v>11</v>
      </c>
      <c r="E471" t="inlineStr">
        <is>
          <t>Calculation</t>
        </is>
      </c>
      <c r="F471" t="inlineStr">
        <is>
          <t>'='Income statement'!K7*'Balance sheet'!K55</t>
        </is>
      </c>
      <c r="G471" t="n">
        <v>49.62771851864463</v>
      </c>
      <c r="H471" t="inlineStr"/>
      <c r="I471" t="inlineStr">
        <is>
          <t>0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R471" t="b">
        <v>1</v>
      </c>
      <c r="S471" t="inlineStr">
        <is>
          <t>G000208</t>
        </is>
      </c>
      <c r="T471" t="inlineStr">
        <is>
          <t>Horizontal</t>
        </is>
      </c>
      <c r="U471" t="n">
        <v>5</v>
      </c>
      <c r="V471" t="b">
        <v>1</v>
      </c>
      <c r="W471" t="inlineStr">
        <is>
          <t>Balance sheet!K44:O44</t>
        </is>
      </c>
      <c r="X471">
        <f>'Income statement'!R[-37]C[0]*R[11]C[0]</f>
        <v/>
      </c>
    </row>
    <row r="472">
      <c r="A472" t="inlineStr">
        <is>
          <t>Balance sheet</t>
        </is>
      </c>
      <c r="B472" t="inlineStr">
        <is>
          <t>L44</t>
        </is>
      </c>
      <c r="C472" t="n">
        <v>44</v>
      </c>
      <c r="D472" t="n">
        <v>12</v>
      </c>
      <c r="E472" t="inlineStr">
        <is>
          <t>Calculation</t>
        </is>
      </c>
      <c r="F472" t="inlineStr">
        <is>
          <t>'='Income statement'!L7*'Balance sheet'!L55</t>
        </is>
      </c>
      <c r="G472" t="n">
        <v>59.58452911142956</v>
      </c>
      <c r="H472" t="inlineStr"/>
      <c r="I472" t="inlineStr">
        <is>
          <t>0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n">
        <v/>
      </c>
      <c r="R472" t="b">
        <v>1</v>
      </c>
      <c r="S472" t="inlineStr">
        <is>
          <t>G000208</t>
        </is>
      </c>
      <c r="T472" t="inlineStr">
        <is>
          <t>Horizontal</t>
        </is>
      </c>
      <c r="U472" t="n">
        <v>5</v>
      </c>
      <c r="V472" t="b">
        <v>1</v>
      </c>
      <c r="W472" t="inlineStr">
        <is>
          <t>Balance sheet!K44:O44</t>
        </is>
      </c>
      <c r="X472">
        <f>'Income statement'!R[-37]C[0]*R[11]C[0]</f>
        <v/>
      </c>
    </row>
    <row r="473">
      <c r="A473" t="inlineStr">
        <is>
          <t>Balance sheet</t>
        </is>
      </c>
      <c r="B473" t="inlineStr">
        <is>
          <t>M44</t>
        </is>
      </c>
      <c r="C473" t="n">
        <v>44</v>
      </c>
      <c r="D473" t="n">
        <v>13</v>
      </c>
      <c r="E473" t="inlineStr">
        <is>
          <t>Calculation</t>
        </is>
      </c>
      <c r="F473" t="inlineStr">
        <is>
          <t>'='Income statement'!M7*'Balance sheet'!M55</t>
        </is>
      </c>
      <c r="G473" t="n">
        <v>71.22628631002266</v>
      </c>
      <c r="H473" t="inlineStr"/>
      <c r="I473" t="inlineStr">
        <is>
          <t>0</t>
        </is>
      </c>
      <c r="J473" t="b">
        <v>0</v>
      </c>
      <c r="K473" t="b">
        <v>0</v>
      </c>
      <c r="L473" t="n">
        <v>11</v>
      </c>
      <c r="M473" t="inlineStr">
        <is>
          <t>Values must be of type &lt;class 'str'&gt;</t>
        </is>
      </c>
      <c r="N473" t="inlineStr">
        <is>
          <t>00000000</t>
        </is>
      </c>
      <c r="O473" t="n">
        <v/>
      </c>
      <c r="R473" t="b">
        <v>1</v>
      </c>
      <c r="S473" t="inlineStr">
        <is>
          <t>G000208</t>
        </is>
      </c>
      <c r="T473" t="inlineStr">
        <is>
          <t>Horizontal</t>
        </is>
      </c>
      <c r="U473" t="n">
        <v>5</v>
      </c>
      <c r="V473" t="b">
        <v>1</v>
      </c>
      <c r="W473" t="inlineStr">
        <is>
          <t>Balance sheet!K44:O44</t>
        </is>
      </c>
      <c r="X473">
        <f>'Income statement'!R[-37]C[0]*R[11]C[0]</f>
        <v/>
      </c>
    </row>
    <row r="474">
      <c r="A474" t="inlineStr">
        <is>
          <t>Balance sheet</t>
        </is>
      </c>
      <c r="B474" t="inlineStr">
        <is>
          <t>N44</t>
        </is>
      </c>
      <c r="C474" t="n">
        <v>44</v>
      </c>
      <c r="D474" t="n">
        <v>14</v>
      </c>
      <c r="E474" t="inlineStr">
        <is>
          <t>Calculation</t>
        </is>
      </c>
      <c r="F474" t="inlineStr">
        <is>
          <t>'='Income statement'!N7*'Balance sheet'!N55</t>
        </is>
      </c>
      <c r="G474" t="n">
        <v>85.14136522359584</v>
      </c>
      <c r="H474" t="inlineStr"/>
      <c r="I474" t="inlineStr">
        <is>
          <t>0</t>
        </is>
      </c>
      <c r="J474" t="b">
        <v>0</v>
      </c>
      <c r="K474" t="b">
        <v>0</v>
      </c>
      <c r="L474" t="n">
        <v>11</v>
      </c>
      <c r="M474" t="inlineStr">
        <is>
          <t>Values must be of type &lt;class 'str'&gt;</t>
        </is>
      </c>
      <c r="N474" t="inlineStr">
        <is>
          <t>00000000</t>
        </is>
      </c>
      <c r="O474" t="n">
        <v/>
      </c>
      <c r="R474" t="b">
        <v>1</v>
      </c>
      <c r="S474" t="inlineStr">
        <is>
          <t>G000208</t>
        </is>
      </c>
      <c r="T474" t="inlineStr">
        <is>
          <t>Horizontal</t>
        </is>
      </c>
      <c r="U474" t="n">
        <v>5</v>
      </c>
      <c r="V474" t="b">
        <v>1</v>
      </c>
      <c r="W474" t="inlineStr">
        <is>
          <t>Balance sheet!K44:O44</t>
        </is>
      </c>
      <c r="X474">
        <f>'Income statement'!R[-37]C[0]*R[11]C[0]</f>
        <v/>
      </c>
    </row>
    <row r="475">
      <c r="A475" t="inlineStr">
        <is>
          <t>Balance sheet</t>
        </is>
      </c>
      <c r="B475" t="inlineStr">
        <is>
          <t>O44</t>
        </is>
      </c>
      <c r="C475" t="n">
        <v>44</v>
      </c>
      <c r="D475" t="n">
        <v>15</v>
      </c>
      <c r="E475" t="inlineStr">
        <is>
          <t>Calculation</t>
        </is>
      </c>
      <c r="F475" t="inlineStr">
        <is>
          <t>'='Income statement'!O7*'Balance sheet'!O55</t>
        </is>
      </c>
      <c r="G475" t="n">
        <v>102.2236674526038</v>
      </c>
      <c r="H475" t="inlineStr"/>
      <c r="I475" t="inlineStr">
        <is>
          <t>0</t>
        </is>
      </c>
      <c r="J475" t="b">
        <v>0</v>
      </c>
      <c r="K475" t="b">
        <v>0</v>
      </c>
      <c r="L475" t="n">
        <v>11</v>
      </c>
      <c r="M475" t="inlineStr">
        <is>
          <t>Values must be of type &lt;class 'str'&gt;</t>
        </is>
      </c>
      <c r="N475" t="inlineStr">
        <is>
          <t>00000000</t>
        </is>
      </c>
      <c r="O475" t="n">
        <v/>
      </c>
      <c r="R475" t="b">
        <v>1</v>
      </c>
      <c r="S475" t="inlineStr">
        <is>
          <t>G000208</t>
        </is>
      </c>
      <c r="T475" t="inlineStr">
        <is>
          <t>Horizontal</t>
        </is>
      </c>
      <c r="U475" t="n">
        <v>5</v>
      </c>
      <c r="V475" t="b">
        <v>1</v>
      </c>
      <c r="W475" t="inlineStr">
        <is>
          <t>Balance sheet!K44:O44</t>
        </is>
      </c>
      <c r="X475">
        <f>'Income statement'!R[-37]C[0]*R[11]C[0]</f>
        <v/>
      </c>
    </row>
    <row r="476">
      <c r="A476" t="inlineStr">
        <is>
          <t>Balance sheet</t>
        </is>
      </c>
      <c r="B476" t="inlineStr">
        <is>
          <t>A45</t>
        </is>
      </c>
      <c r="C476" t="n">
        <v>45</v>
      </c>
      <c r="D476" t="n">
        <v>1</v>
      </c>
      <c r="E476" t="inlineStr">
        <is>
          <t>Input</t>
        </is>
      </c>
      <c r="F476" t="n">
        <v/>
      </c>
      <c r="G476" t="inlineStr">
        <is>
          <t>Other current assets</t>
        </is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00000000</t>
        </is>
      </c>
      <c r="O476" t="n">
        <v/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Balance sheet</t>
        </is>
      </c>
      <c r="B477" t="inlineStr">
        <is>
          <t>D45</t>
        </is>
      </c>
      <c r="C477" t="n">
        <v>45</v>
      </c>
      <c r="D477" t="n">
        <v>4</v>
      </c>
      <c r="E477" t="inlineStr">
        <is>
          <t>Input</t>
        </is>
      </c>
      <c r="F477" t="n">
        <v/>
      </c>
      <c r="G477" t="n">
        <v>603.21</v>
      </c>
      <c r="H477" t="inlineStr"/>
      <c r="I477" t="inlineStr">
        <is>
          <t>#,##0</t>
        </is>
      </c>
      <c r="J477" t="b">
        <v>0</v>
      </c>
      <c r="K477" t="b">
        <v>0</v>
      </c>
      <c r="L477" t="n">
        <v>11</v>
      </c>
      <c r="M477" t="inlineStr">
        <is>
          <t>FF0B0280</t>
        </is>
      </c>
      <c r="N477" t="inlineStr">
        <is>
          <t>00000000</t>
        </is>
      </c>
      <c r="O477" t="n">
        <v/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Balance sheet</t>
        </is>
      </c>
      <c r="B478" t="inlineStr">
        <is>
          <t>E45</t>
        </is>
      </c>
      <c r="C478" t="n">
        <v>45</v>
      </c>
      <c r="D478" t="n">
        <v>5</v>
      </c>
      <c r="E478" t="inlineStr">
        <is>
          <t>Input</t>
        </is>
      </c>
      <c r="F478" t="n">
        <v/>
      </c>
      <c r="G478" t="n">
        <v>822.04</v>
      </c>
      <c r="H478" t="inlineStr"/>
      <c r="I478" t="inlineStr">
        <is>
          <t>#,##0</t>
        </is>
      </c>
      <c r="J478" t="b">
        <v>0</v>
      </c>
      <c r="K478" t="b">
        <v>0</v>
      </c>
      <c r="L478" t="n">
        <v>11</v>
      </c>
      <c r="M478" t="inlineStr">
        <is>
          <t>FF0B0280</t>
        </is>
      </c>
      <c r="N478" t="inlineStr">
        <is>
          <t>00000000</t>
        </is>
      </c>
      <c r="O478" t="n">
        <v/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</row>
    <row r="479">
      <c r="A479" t="inlineStr">
        <is>
          <t>Balance sheet</t>
        </is>
      </c>
      <c r="B479" t="inlineStr">
        <is>
          <t>F45</t>
        </is>
      </c>
      <c r="C479" t="n">
        <v>45</v>
      </c>
      <c r="D479" t="n">
        <v>6</v>
      </c>
      <c r="E479" t="inlineStr">
        <is>
          <t>Input</t>
        </is>
      </c>
      <c r="F479" t="n">
        <v/>
      </c>
      <c r="G479" t="n">
        <v>1122.96</v>
      </c>
      <c r="H479" t="inlineStr"/>
      <c r="I479" t="inlineStr">
        <is>
          <t>#,##0</t>
        </is>
      </c>
      <c r="J479" t="b">
        <v>0</v>
      </c>
      <c r="K479" t="b">
        <v>0</v>
      </c>
      <c r="L479" t="n">
        <v>11</v>
      </c>
      <c r="M479" t="inlineStr">
        <is>
          <t>FF0B0280</t>
        </is>
      </c>
      <c r="N479" t="inlineStr">
        <is>
          <t>00000000</t>
        </is>
      </c>
      <c r="O479" t="n">
        <v/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</row>
    <row r="480">
      <c r="A480" t="inlineStr">
        <is>
          <t>Balance sheet</t>
        </is>
      </c>
      <c r="B480" t="inlineStr">
        <is>
          <t>G45</t>
        </is>
      </c>
      <c r="C480" t="n">
        <v>45</v>
      </c>
      <c r="D480" t="n">
        <v>7</v>
      </c>
      <c r="E480" t="inlineStr">
        <is>
          <t>Input</t>
        </is>
      </c>
      <c r="F480" t="n">
        <v/>
      </c>
      <c r="G480" t="n">
        <v>1621.35</v>
      </c>
      <c r="H480" t="inlineStr"/>
      <c r="I480" t="inlineStr">
        <is>
          <t>#,##0</t>
        </is>
      </c>
      <c r="J480" t="b">
        <v>0</v>
      </c>
      <c r="K480" t="b">
        <v>0</v>
      </c>
      <c r="L480" t="n">
        <v>11</v>
      </c>
      <c r="M480" t="inlineStr">
        <is>
          <t>FF0B0280</t>
        </is>
      </c>
      <c r="N480" t="inlineStr">
        <is>
          <t>00000000</t>
        </is>
      </c>
      <c r="O480" t="n">
        <v/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</row>
    <row r="481">
      <c r="A481" t="inlineStr">
        <is>
          <t>Balance sheet</t>
        </is>
      </c>
      <c r="B481" t="inlineStr">
        <is>
          <t>H45</t>
        </is>
      </c>
      <c r="C481" t="n">
        <v>45</v>
      </c>
      <c r="D481" t="n">
        <v>8</v>
      </c>
      <c r="E481" t="inlineStr">
        <is>
          <t>Input</t>
        </is>
      </c>
      <c r="F481" t="n">
        <v/>
      </c>
      <c r="G481" t="n">
        <v>2612.16</v>
      </c>
      <c r="H481" t="inlineStr"/>
      <c r="I481" t="inlineStr">
        <is>
          <t>#,##0</t>
        </is>
      </c>
      <c r="J481" t="b">
        <v>0</v>
      </c>
      <c r="K481" t="b">
        <v>0</v>
      </c>
      <c r="L481" t="n">
        <v>11</v>
      </c>
      <c r="M481" t="inlineStr">
        <is>
          <t>FF0B0280</t>
        </is>
      </c>
      <c r="N481" t="inlineStr">
        <is>
          <t>00000000</t>
        </is>
      </c>
      <c r="O481" t="n">
        <v/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</row>
    <row r="482">
      <c r="A482" t="inlineStr">
        <is>
          <t>Balance sheet</t>
        </is>
      </c>
      <c r="B482" t="inlineStr">
        <is>
          <t>I45</t>
        </is>
      </c>
      <c r="C482" t="n">
        <v>45</v>
      </c>
      <c r="D482" t="n">
        <v>9</v>
      </c>
      <c r="E482" t="inlineStr">
        <is>
          <t>Input</t>
        </is>
      </c>
      <c r="F482" t="n">
        <v/>
      </c>
      <c r="G482" t="n">
        <v>3992.87</v>
      </c>
      <c r="H482" t="inlineStr"/>
      <c r="I482" t="inlineStr">
        <is>
          <t>#,##0</t>
        </is>
      </c>
      <c r="J482" t="b">
        <v>0</v>
      </c>
      <c r="K482" t="b">
        <v>0</v>
      </c>
      <c r="L482" t="n">
        <v>11</v>
      </c>
      <c r="M482" t="inlineStr">
        <is>
          <t>FF0B0280</t>
        </is>
      </c>
      <c r="N482" t="inlineStr">
        <is>
          <t>00000000</t>
        </is>
      </c>
      <c r="O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</row>
    <row r="483">
      <c r="A483" t="inlineStr">
        <is>
          <t>Balance sheet</t>
        </is>
      </c>
      <c r="B483" t="inlineStr">
        <is>
          <t>J45</t>
        </is>
      </c>
      <c r="C483" t="n">
        <v>45</v>
      </c>
      <c r="D483" t="n">
        <v>10</v>
      </c>
      <c r="E483" t="inlineStr">
        <is>
          <t>Calculation</t>
        </is>
      </c>
      <c r="F483" t="inlineStr">
        <is>
          <t>'=3645.23+4100.86</t>
        </is>
      </c>
      <c r="G483" t="n">
        <v>7746.09</v>
      </c>
      <c r="H483" t="inlineStr"/>
      <c r="I483" t="inlineStr">
        <is>
          <t>#,##0</t>
        </is>
      </c>
      <c r="J483" t="b">
        <v>0</v>
      </c>
      <c r="K483" t="b">
        <v>0</v>
      </c>
      <c r="L483" t="n">
        <v>11</v>
      </c>
      <c r="M483" t="inlineStr">
        <is>
          <t>FF0B0280</t>
        </is>
      </c>
      <c r="N483" t="inlineStr">
        <is>
          <t>00000000</t>
        </is>
      </c>
      <c r="O483" t="n">
        <v/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>
        <f>3645.23+4100.86</f>
        <v/>
      </c>
    </row>
    <row r="484">
      <c r="A484" t="inlineStr">
        <is>
          <t>Balance sheet</t>
        </is>
      </c>
      <c r="B484" t="inlineStr">
        <is>
          <t>K45</t>
        </is>
      </c>
      <c r="C484" t="n">
        <v>45</v>
      </c>
      <c r="D484" t="n">
        <v>11</v>
      </c>
      <c r="E484" t="inlineStr">
        <is>
          <t>Calculation</t>
        </is>
      </c>
      <c r="F484" t="inlineStr">
        <is>
          <t>'=K56*'Income statement'!K7</t>
        </is>
      </c>
      <c r="G484" t="n">
        <v>5050.746165454033</v>
      </c>
      <c r="H484" t="inlineStr"/>
      <c r="I484" t="inlineStr">
        <is>
          <t>0</t>
        </is>
      </c>
      <c r="J484" t="b">
        <v>0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00000000</t>
        </is>
      </c>
      <c r="O484" t="n">
        <v/>
      </c>
      <c r="R484" t="b">
        <v>1</v>
      </c>
      <c r="S484" t="inlineStr">
        <is>
          <t>G000209</t>
        </is>
      </c>
      <c r="T484" t="inlineStr">
        <is>
          <t>Horizontal</t>
        </is>
      </c>
      <c r="U484" t="n">
        <v>5</v>
      </c>
      <c r="V484" t="b">
        <v>1</v>
      </c>
      <c r="W484" t="inlineStr">
        <is>
          <t>Balance sheet!K45:O45</t>
        </is>
      </c>
      <c r="X484">
        <f>R[11]C[0]*'Income statement'!R[-38]C[0]</f>
        <v/>
      </c>
    </row>
    <row r="485">
      <c r="A485" t="inlineStr">
        <is>
          <t>Balance sheet</t>
        </is>
      </c>
      <c r="B485" t="inlineStr">
        <is>
          <t>L45</t>
        </is>
      </c>
      <c r="C485" t="n">
        <v>45</v>
      </c>
      <c r="D485" t="n">
        <v>12</v>
      </c>
      <c r="E485" t="inlineStr">
        <is>
          <t>Calculation</t>
        </is>
      </c>
      <c r="F485" t="inlineStr">
        <is>
          <t>'=L56*'Income statement'!L7</t>
        </is>
      </c>
      <c r="G485" t="n">
        <v>6064.07751379654</v>
      </c>
      <c r="H485" t="inlineStr"/>
      <c r="I485" t="inlineStr">
        <is>
          <t>0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00000000</t>
        </is>
      </c>
      <c r="O485" t="n">
        <v/>
      </c>
      <c r="R485" t="b">
        <v>1</v>
      </c>
      <c r="S485" t="inlineStr">
        <is>
          <t>G000209</t>
        </is>
      </c>
      <c r="T485" t="inlineStr">
        <is>
          <t>Horizontal</t>
        </is>
      </c>
      <c r="U485" t="n">
        <v>5</v>
      </c>
      <c r="V485" t="b">
        <v>1</v>
      </c>
      <c r="W485" t="inlineStr">
        <is>
          <t>Balance sheet!K45:O45</t>
        </is>
      </c>
      <c r="X485">
        <f>R[11]C[0]*'Income statement'!R[-38]C[0]</f>
        <v/>
      </c>
    </row>
    <row r="486">
      <c r="A486" t="inlineStr">
        <is>
          <t>Balance sheet</t>
        </is>
      </c>
      <c r="B486" t="inlineStr">
        <is>
          <t>M45</t>
        </is>
      </c>
      <c r="C486" t="n">
        <v>45</v>
      </c>
      <c r="D486" t="n">
        <v>13</v>
      </c>
      <c r="E486" t="inlineStr">
        <is>
          <t>Calculation</t>
        </is>
      </c>
      <c r="F486" t="inlineStr">
        <is>
          <t>'=M56*'Income statement'!M7</t>
        </is>
      </c>
      <c r="G486" t="n">
        <v>7248.890402340883</v>
      </c>
      <c r="H486" t="inlineStr"/>
      <c r="I486" t="inlineStr">
        <is>
          <t>0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00000000</t>
        </is>
      </c>
      <c r="O486" t="n">
        <v/>
      </c>
      <c r="R486" t="b">
        <v>1</v>
      </c>
      <c r="S486" t="inlineStr">
        <is>
          <t>G000209</t>
        </is>
      </c>
      <c r="T486" t="inlineStr">
        <is>
          <t>Horizontal</t>
        </is>
      </c>
      <c r="U486" t="n">
        <v>5</v>
      </c>
      <c r="V486" t="b">
        <v>1</v>
      </c>
      <c r="W486" t="inlineStr">
        <is>
          <t>Balance sheet!K45:O45</t>
        </is>
      </c>
      <c r="X486">
        <f>R[11]C[0]*'Income statement'!R[-38]C[0]</f>
        <v/>
      </c>
    </row>
    <row r="487">
      <c r="A487" t="inlineStr">
        <is>
          <t>Balance sheet</t>
        </is>
      </c>
      <c r="B487" t="inlineStr">
        <is>
          <t>N45</t>
        </is>
      </c>
      <c r="C487" t="n">
        <v>45</v>
      </c>
      <c r="D487" t="n">
        <v>14</v>
      </c>
      <c r="E487" t="inlineStr">
        <is>
          <t>Calculation</t>
        </is>
      </c>
      <c r="F487" t="inlineStr">
        <is>
          <t>'=N56*'Income statement'!N7</t>
        </is>
      </c>
      <c r="G487" t="n">
        <v>8665.065345751105</v>
      </c>
      <c r="H487" t="inlineStr"/>
      <c r="I487" t="inlineStr">
        <is>
          <t>0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00000000</t>
        </is>
      </c>
      <c r="O487" t="n">
        <v/>
      </c>
      <c r="R487" t="b">
        <v>1</v>
      </c>
      <c r="S487" t="inlineStr">
        <is>
          <t>G000209</t>
        </is>
      </c>
      <c r="T487" t="inlineStr">
        <is>
          <t>Horizontal</t>
        </is>
      </c>
      <c r="U487" t="n">
        <v>5</v>
      </c>
      <c r="V487" t="b">
        <v>1</v>
      </c>
      <c r="W487" t="inlineStr">
        <is>
          <t>Balance sheet!K45:O45</t>
        </is>
      </c>
      <c r="X487">
        <f>R[11]C[0]*'Income statement'!R[-38]C[0]</f>
        <v/>
      </c>
    </row>
    <row r="488">
      <c r="A488" t="inlineStr">
        <is>
          <t>Balance sheet</t>
        </is>
      </c>
      <c r="B488" t="inlineStr">
        <is>
          <t>O45</t>
        </is>
      </c>
      <c r="C488" t="n">
        <v>45</v>
      </c>
      <c r="D488" t="n">
        <v>15</v>
      </c>
      <c r="E488" t="inlineStr">
        <is>
          <t>Calculation</t>
        </is>
      </c>
      <c r="F488" t="inlineStr">
        <is>
          <t>'=O56*'Income statement'!O7</t>
        </is>
      </c>
      <c r="G488" t="n">
        <v>10403.57711005627</v>
      </c>
      <c r="H488" t="inlineStr"/>
      <c r="I488" t="inlineStr">
        <is>
          <t>0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00000000</t>
        </is>
      </c>
      <c r="O488" t="n">
        <v/>
      </c>
      <c r="R488" t="b">
        <v>1</v>
      </c>
      <c r="S488" t="inlineStr">
        <is>
          <t>G000209</t>
        </is>
      </c>
      <c r="T488" t="inlineStr">
        <is>
          <t>Horizontal</t>
        </is>
      </c>
      <c r="U488" t="n">
        <v>5</v>
      </c>
      <c r="V488" t="b">
        <v>1</v>
      </c>
      <c r="W488" t="inlineStr">
        <is>
          <t>Balance sheet!K45:O45</t>
        </is>
      </c>
      <c r="X488">
        <f>R[11]C[0]*'Income statement'!R[-38]C[0]</f>
        <v/>
      </c>
    </row>
    <row r="489">
      <c r="A489" t="inlineStr">
        <is>
          <t>Balance sheet</t>
        </is>
      </c>
      <c r="B489" t="inlineStr">
        <is>
          <t>A46</t>
        </is>
      </c>
      <c r="C489" t="n">
        <v>46</v>
      </c>
      <c r="D489" t="n">
        <v>1</v>
      </c>
      <c r="E489" t="inlineStr">
        <is>
          <t>Input</t>
        </is>
      </c>
      <c r="F489" t="n">
        <v/>
      </c>
      <c r="G489" t="inlineStr">
        <is>
          <t>Current assets</t>
        </is>
      </c>
      <c r="H489" t="inlineStr"/>
      <c r="I489" t="inlineStr">
        <is>
          <t>General</t>
        </is>
      </c>
      <c r="J489" t="b">
        <v>1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00000000</t>
        </is>
      </c>
      <c r="O489" t="n">
        <v/>
      </c>
      <c r="R489" t="b">
        <v>1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</row>
    <row r="490">
      <c r="A490" t="inlineStr">
        <is>
          <t>Balance sheet</t>
        </is>
      </c>
      <c r="B490" t="inlineStr">
        <is>
          <t>D46</t>
        </is>
      </c>
      <c r="C490" t="n">
        <v>46</v>
      </c>
      <c r="D490" t="n">
        <v>4</v>
      </c>
      <c r="E490" t="inlineStr">
        <is>
          <t>Calculation</t>
        </is>
      </c>
      <c r="F490" t="inlineStr">
        <is>
          <t>'=SUM(D40:D45)</t>
        </is>
      </c>
      <c r="G490" t="n">
        <v>19487.23</v>
      </c>
      <c r="H490" t="inlineStr"/>
      <c r="I490" t="inlineStr">
        <is>
          <t>#,##0</t>
        </is>
      </c>
      <c r="J490" t="b">
        <v>1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00000000</t>
        </is>
      </c>
      <c r="O490" t="n">
        <v/>
      </c>
      <c r="R490" t="b">
        <v>1</v>
      </c>
      <c r="S490" t="inlineStr">
        <is>
          <t>G000210</t>
        </is>
      </c>
      <c r="T490" t="inlineStr">
        <is>
          <t>Horizontal</t>
        </is>
      </c>
      <c r="U490" t="n">
        <v>12</v>
      </c>
      <c r="V490" t="b">
        <v>1</v>
      </c>
      <c r="W490" t="inlineStr">
        <is>
          <t>Balance sheet!D46:O46</t>
        </is>
      </c>
      <c r="X490">
        <f>SUM(R[-6]C[0]:R[-1]C[0])</f>
        <v/>
      </c>
    </row>
    <row r="491">
      <c r="A491" t="inlineStr">
        <is>
          <t>Balance sheet</t>
        </is>
      </c>
      <c r="B491" t="inlineStr">
        <is>
          <t>E46</t>
        </is>
      </c>
      <c r="C491" t="n">
        <v>46</v>
      </c>
      <c r="D491" t="n">
        <v>5</v>
      </c>
      <c r="E491" t="inlineStr">
        <is>
          <t>Calculation</t>
        </is>
      </c>
      <c r="F491" t="inlineStr">
        <is>
          <t>'=SUM(E40:E45)</t>
        </is>
      </c>
      <c r="G491" t="n">
        <v>23087.01</v>
      </c>
      <c r="H491" t="inlineStr"/>
      <c r="I491" t="inlineStr">
        <is>
          <t>#,##0</t>
        </is>
      </c>
      <c r="J491" t="b">
        <v>1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00000000</t>
        </is>
      </c>
      <c r="O491" t="n">
        <v/>
      </c>
      <c r="R491" t="b">
        <v>1</v>
      </c>
      <c r="S491" t="inlineStr">
        <is>
          <t>G000210</t>
        </is>
      </c>
      <c r="T491" t="inlineStr">
        <is>
          <t>Horizontal</t>
        </is>
      </c>
      <c r="U491" t="n">
        <v>12</v>
      </c>
      <c r="V491" t="b">
        <v>1</v>
      </c>
      <c r="W491" t="inlineStr">
        <is>
          <t>Balance sheet!D46:O46</t>
        </is>
      </c>
      <c r="X491">
        <f>SUM(R[-6]C[0]:R[-1]C[0])</f>
        <v/>
      </c>
    </row>
    <row r="492">
      <c r="A492" t="inlineStr">
        <is>
          <t>Balance sheet</t>
        </is>
      </c>
      <c r="B492" t="inlineStr">
        <is>
          <t>F46</t>
        </is>
      </c>
      <c r="C492" t="n">
        <v>46</v>
      </c>
      <c r="D492" t="n">
        <v>6</v>
      </c>
      <c r="E492" t="inlineStr">
        <is>
          <t>Calculation</t>
        </is>
      </c>
      <c r="F492" t="inlineStr">
        <is>
          <t>'=SUM(F40:F45)</t>
        </is>
      </c>
      <c r="G492" t="n">
        <v>30706.82</v>
      </c>
      <c r="H492" t="inlineStr"/>
      <c r="I492" t="inlineStr">
        <is>
          <t>#,##0</t>
        </is>
      </c>
      <c r="J492" t="b">
        <v>1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00000000</t>
        </is>
      </c>
      <c r="O492" t="n">
        <v/>
      </c>
      <c r="R492" t="b">
        <v>1</v>
      </c>
      <c r="S492" t="inlineStr">
        <is>
          <t>G000210</t>
        </is>
      </c>
      <c r="T492" t="inlineStr">
        <is>
          <t>Horizontal</t>
        </is>
      </c>
      <c r="U492" t="n">
        <v>12</v>
      </c>
      <c r="V492" t="b">
        <v>1</v>
      </c>
      <c r="W492" t="inlineStr">
        <is>
          <t>Balance sheet!D46:O46</t>
        </is>
      </c>
      <c r="X492">
        <f>SUM(R[-6]C[0]:R[-1]C[0])</f>
        <v/>
      </c>
    </row>
    <row r="493">
      <c r="A493" t="inlineStr">
        <is>
          <t>Balance sheet</t>
        </is>
      </c>
      <c r="B493" t="inlineStr">
        <is>
          <t>G46</t>
        </is>
      </c>
      <c r="C493" t="n">
        <v>46</v>
      </c>
      <c r="D493" t="n">
        <v>7</v>
      </c>
      <c r="E493" t="inlineStr">
        <is>
          <t>Calculation</t>
        </is>
      </c>
      <c r="F493" t="inlineStr">
        <is>
          <t>'=SUM(G40:G45)</t>
        </is>
      </c>
      <c r="G493" t="n">
        <v>29146.94</v>
      </c>
      <c r="H493" t="inlineStr"/>
      <c r="I493" t="inlineStr">
        <is>
          <t>#,##0</t>
        </is>
      </c>
      <c r="J493" t="b">
        <v>1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00000000</t>
        </is>
      </c>
      <c r="O493" t="n">
        <v/>
      </c>
      <c r="R493" t="b">
        <v>1</v>
      </c>
      <c r="S493" t="inlineStr">
        <is>
          <t>G000210</t>
        </is>
      </c>
      <c r="T493" t="inlineStr">
        <is>
          <t>Horizontal</t>
        </is>
      </c>
      <c r="U493" t="n">
        <v>12</v>
      </c>
      <c r="V493" t="b">
        <v>1</v>
      </c>
      <c r="W493" t="inlineStr">
        <is>
          <t>Balance sheet!D46:O46</t>
        </is>
      </c>
      <c r="X493">
        <f>SUM(R[-6]C[0]:R[-1]C[0])</f>
        <v/>
      </c>
    </row>
    <row r="494">
      <c r="A494" t="inlineStr">
        <is>
          <t>Balance sheet</t>
        </is>
      </c>
      <c r="B494" t="inlineStr">
        <is>
          <t>H46</t>
        </is>
      </c>
      <c r="C494" t="n">
        <v>46</v>
      </c>
      <c r="D494" t="n">
        <v>8</v>
      </c>
      <c r="E494" t="inlineStr">
        <is>
          <t>Calculation</t>
        </is>
      </c>
      <c r="F494" t="inlineStr">
        <is>
          <t>'=SUM(H40:H45)</t>
        </is>
      </c>
      <c r="G494" t="n">
        <v>31680.13</v>
      </c>
      <c r="H494" t="inlineStr"/>
      <c r="I494" t="inlineStr">
        <is>
          <t>#,##0</t>
        </is>
      </c>
      <c r="J494" t="b">
        <v>1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00000000</t>
        </is>
      </c>
      <c r="O494" t="n">
        <v/>
      </c>
      <c r="R494" t="b">
        <v>1</v>
      </c>
      <c r="S494" t="inlineStr">
        <is>
          <t>G000210</t>
        </is>
      </c>
      <c r="T494" t="inlineStr">
        <is>
          <t>Horizontal</t>
        </is>
      </c>
      <c r="U494" t="n">
        <v>12</v>
      </c>
      <c r="V494" t="b">
        <v>1</v>
      </c>
      <c r="W494" t="inlineStr">
        <is>
          <t>Balance sheet!D46:O46</t>
        </is>
      </c>
      <c r="X494">
        <f>SUM(R[-6]C[0]:R[-1]C[0])</f>
        <v/>
      </c>
    </row>
    <row r="495">
      <c r="A495" t="inlineStr">
        <is>
          <t>Balance sheet</t>
        </is>
      </c>
      <c r="B495" t="inlineStr">
        <is>
          <t>I46</t>
        </is>
      </c>
      <c r="C495" t="n">
        <v>46</v>
      </c>
      <c r="D495" t="n">
        <v>9</v>
      </c>
      <c r="E495" t="inlineStr">
        <is>
          <t>Calculation</t>
        </is>
      </c>
      <c r="F495" t="inlineStr">
        <is>
          <t>'=SUM(I40:I45)</t>
        </is>
      </c>
      <c r="G495" t="n">
        <v>56007.86</v>
      </c>
      <c r="H495" t="inlineStr"/>
      <c r="I495" t="inlineStr">
        <is>
          <t>#,##0</t>
        </is>
      </c>
      <c r="J495" t="b">
        <v>1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00000000</t>
        </is>
      </c>
      <c r="O495" t="n">
        <v/>
      </c>
      <c r="R495" t="b">
        <v>1</v>
      </c>
      <c r="S495" t="inlineStr">
        <is>
          <t>G000210</t>
        </is>
      </c>
      <c r="T495" t="inlineStr">
        <is>
          <t>Horizontal</t>
        </is>
      </c>
      <c r="U495" t="n">
        <v>12</v>
      </c>
      <c r="V495" t="b">
        <v>1</v>
      </c>
      <c r="W495" t="inlineStr">
        <is>
          <t>Balance sheet!D46:O46</t>
        </is>
      </c>
      <c r="X495">
        <f>SUM(R[-6]C[0]:R[-1]C[0])</f>
        <v/>
      </c>
    </row>
    <row r="496">
      <c r="A496" t="inlineStr">
        <is>
          <t>Balance sheet</t>
        </is>
      </c>
      <c r="B496" t="inlineStr">
        <is>
          <t>J46</t>
        </is>
      </c>
      <c r="C496" t="n">
        <v>46</v>
      </c>
      <c r="D496" t="n">
        <v>10</v>
      </c>
      <c r="E496" t="inlineStr">
        <is>
          <t>Calculation</t>
        </is>
      </c>
      <c r="F496" t="inlineStr">
        <is>
          <t>'=SUM(J40:J45)</t>
        </is>
      </c>
      <c r="G496" t="n">
        <v>94463.92</v>
      </c>
      <c r="H496" t="inlineStr"/>
      <c r="I496" t="inlineStr">
        <is>
          <t>#,##0</t>
        </is>
      </c>
      <c r="J496" t="b">
        <v>1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00000000</t>
        </is>
      </c>
      <c r="O496" t="n">
        <v/>
      </c>
      <c r="R496" t="b">
        <v>1</v>
      </c>
      <c r="S496" t="inlineStr">
        <is>
          <t>G000210</t>
        </is>
      </c>
      <c r="T496" t="inlineStr">
        <is>
          <t>Horizontal</t>
        </is>
      </c>
      <c r="U496" t="n">
        <v>12</v>
      </c>
      <c r="V496" t="b">
        <v>1</v>
      </c>
      <c r="W496" t="inlineStr">
        <is>
          <t>Balance sheet!D46:O46</t>
        </is>
      </c>
      <c r="X496">
        <f>SUM(R[-6]C[0]:R[-1]C[0])</f>
        <v/>
      </c>
    </row>
    <row r="497">
      <c r="A497" t="inlineStr">
        <is>
          <t>Balance sheet</t>
        </is>
      </c>
      <c r="B497" t="inlineStr">
        <is>
          <t>K46</t>
        </is>
      </c>
      <c r="C497" t="n">
        <v>46</v>
      </c>
      <c r="D497" t="n">
        <v>11</v>
      </c>
      <c r="E497" t="inlineStr">
        <is>
          <t>Calculation</t>
        </is>
      </c>
      <c r="F497" t="inlineStr">
        <is>
          <t>'=SUM(K40:K45)</t>
        </is>
      </c>
      <c r="G497" t="n">
        <v>136074.4032649669</v>
      </c>
      <c r="H497" t="inlineStr"/>
      <c r="I497" t="inlineStr">
        <is>
          <t>#,##0</t>
        </is>
      </c>
      <c r="J497" t="b">
        <v>1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00000000</t>
        </is>
      </c>
      <c r="O497" t="n">
        <v/>
      </c>
      <c r="R497" t="b">
        <v>1</v>
      </c>
      <c r="S497" t="inlineStr">
        <is>
          <t>G000210</t>
        </is>
      </c>
      <c r="T497" t="inlineStr">
        <is>
          <t>Horizontal</t>
        </is>
      </c>
      <c r="U497" t="n">
        <v>12</v>
      </c>
      <c r="V497" t="b">
        <v>1</v>
      </c>
      <c r="W497" t="inlineStr">
        <is>
          <t>Balance sheet!D46:O46</t>
        </is>
      </c>
      <c r="X497">
        <f>SUM(R[-6]C[0]:R[-1]C[0])</f>
        <v/>
      </c>
    </row>
    <row r="498">
      <c r="A498" t="inlineStr">
        <is>
          <t>Balance sheet</t>
        </is>
      </c>
      <c r="B498" t="inlineStr">
        <is>
          <t>L46</t>
        </is>
      </c>
      <c r="C498" t="n">
        <v>46</v>
      </c>
      <c r="D498" t="n">
        <v>12</v>
      </c>
      <c r="E498" t="inlineStr">
        <is>
          <t>Calculation</t>
        </is>
      </c>
      <c r="F498" t="inlineStr">
        <is>
          <t>'=SUM(L40:L45)</t>
        </is>
      </c>
      <c r="G498" t="n">
        <v>177249.2661424625</v>
      </c>
      <c r="H498" t="inlineStr"/>
      <c r="I498" t="inlineStr">
        <is>
          <t>#,##0</t>
        </is>
      </c>
      <c r="J498" t="b">
        <v>1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00000000</t>
        </is>
      </c>
      <c r="O498" t="n">
        <v/>
      </c>
      <c r="R498" t="b">
        <v>1</v>
      </c>
      <c r="S498" t="inlineStr">
        <is>
          <t>G000210</t>
        </is>
      </c>
      <c r="T498" t="inlineStr">
        <is>
          <t>Horizontal</t>
        </is>
      </c>
      <c r="U498" t="n">
        <v>12</v>
      </c>
      <c r="V498" t="b">
        <v>1</v>
      </c>
      <c r="W498" t="inlineStr">
        <is>
          <t>Balance sheet!D46:O46</t>
        </is>
      </c>
      <c r="X498">
        <f>SUM(R[-6]C[0]:R[-1]C[0])</f>
        <v/>
      </c>
    </row>
    <row r="499">
      <c r="A499" t="inlineStr">
        <is>
          <t>Balance sheet</t>
        </is>
      </c>
      <c r="B499" t="inlineStr">
        <is>
          <t>M46</t>
        </is>
      </c>
      <c r="C499" t="n">
        <v>46</v>
      </c>
      <c r="D499" t="n">
        <v>13</v>
      </c>
      <c r="E499" t="inlineStr">
        <is>
          <t>Calculation</t>
        </is>
      </c>
      <c r="F499" t="inlineStr">
        <is>
          <t>'=SUM(M40:M45)</t>
        </is>
      </c>
      <c r="G499" t="n">
        <v>234522.9832157533</v>
      </c>
      <c r="H499" t="inlineStr"/>
      <c r="I499" t="inlineStr">
        <is>
          <t>#,##0</t>
        </is>
      </c>
      <c r="J499" t="b">
        <v>1</v>
      </c>
      <c r="K499" t="b">
        <v>0</v>
      </c>
      <c r="L499" t="n">
        <v>11</v>
      </c>
      <c r="M499" t="inlineStr">
        <is>
          <t>Values must be of type &lt;class 'str'&gt;</t>
        </is>
      </c>
      <c r="N499" t="inlineStr">
        <is>
          <t>00000000</t>
        </is>
      </c>
      <c r="O499" t="n">
        <v/>
      </c>
      <c r="R499" t="b">
        <v>1</v>
      </c>
      <c r="S499" t="inlineStr">
        <is>
          <t>G000210</t>
        </is>
      </c>
      <c r="T499" t="inlineStr">
        <is>
          <t>Horizontal</t>
        </is>
      </c>
      <c r="U499" t="n">
        <v>12</v>
      </c>
      <c r="V499" t="b">
        <v>1</v>
      </c>
      <c r="W499" t="inlineStr">
        <is>
          <t>Balance sheet!D46:O46</t>
        </is>
      </c>
      <c r="X499">
        <f>SUM(R[-6]C[0]:R[-1]C[0])</f>
        <v/>
      </c>
    </row>
    <row r="500">
      <c r="A500" t="inlineStr">
        <is>
          <t>Balance sheet</t>
        </is>
      </c>
      <c r="B500" t="inlineStr">
        <is>
          <t>N46</t>
        </is>
      </c>
      <c r="C500" t="n">
        <v>46</v>
      </c>
      <c r="D500" t="n">
        <v>14</v>
      </c>
      <c r="E500" t="inlineStr">
        <is>
          <t>Calculation</t>
        </is>
      </c>
      <c r="F500" t="inlineStr">
        <is>
          <t>'=SUM(N40:N45)</t>
        </is>
      </c>
      <c r="G500" t="n">
        <v>307062.8400114941</v>
      </c>
      <c r="H500" t="inlineStr"/>
      <c r="I500" t="inlineStr">
        <is>
          <t>#,##0</t>
        </is>
      </c>
      <c r="J500" t="b">
        <v>1</v>
      </c>
      <c r="K500" t="b">
        <v>0</v>
      </c>
      <c r="L500" t="n">
        <v>11</v>
      </c>
      <c r="M500" t="inlineStr">
        <is>
          <t>Values must be of type &lt;class 'str'&gt;</t>
        </is>
      </c>
      <c r="N500" t="inlineStr">
        <is>
          <t>00000000</t>
        </is>
      </c>
      <c r="O500" t="n">
        <v/>
      </c>
      <c r="R500" t="b">
        <v>1</v>
      </c>
      <c r="S500" t="inlineStr">
        <is>
          <t>G000210</t>
        </is>
      </c>
      <c r="T500" t="inlineStr">
        <is>
          <t>Horizontal</t>
        </is>
      </c>
      <c r="U500" t="n">
        <v>12</v>
      </c>
      <c r="V500" t="b">
        <v>1</v>
      </c>
      <c r="W500" t="inlineStr">
        <is>
          <t>Balance sheet!D46:O46</t>
        </is>
      </c>
      <c r="X500">
        <f>SUM(R[-6]C[0]:R[-1]C[0])</f>
        <v/>
      </c>
    </row>
    <row r="501">
      <c r="A501" t="inlineStr">
        <is>
          <t>Balance sheet</t>
        </is>
      </c>
      <c r="B501" t="inlineStr">
        <is>
          <t>O46</t>
        </is>
      </c>
      <c r="C501" t="n">
        <v>46</v>
      </c>
      <c r="D501" t="n">
        <v>15</v>
      </c>
      <c r="E501" t="inlineStr">
        <is>
          <t>Calculation</t>
        </is>
      </c>
      <c r="F501" t="inlineStr">
        <is>
          <t>'=SUM(O40:O45)</t>
        </is>
      </c>
      <c r="G501" t="n">
        <v>392931.6291807221</v>
      </c>
      <c r="H501" t="inlineStr"/>
      <c r="I501" t="inlineStr">
        <is>
          <t>#,##0</t>
        </is>
      </c>
      <c r="J501" t="b">
        <v>1</v>
      </c>
      <c r="K501" t="b">
        <v>0</v>
      </c>
      <c r="L501" t="n">
        <v>11</v>
      </c>
      <c r="M501" t="inlineStr">
        <is>
          <t>Values must be of type &lt;class 'str'&gt;</t>
        </is>
      </c>
      <c r="N501" t="inlineStr">
        <is>
          <t>00000000</t>
        </is>
      </c>
      <c r="O501" t="n">
        <v/>
      </c>
      <c r="R501" t="b">
        <v>1</v>
      </c>
      <c r="S501" t="inlineStr">
        <is>
          <t>G000210</t>
        </is>
      </c>
      <c r="T501" t="inlineStr">
        <is>
          <t>Horizontal</t>
        </is>
      </c>
      <c r="U501" t="n">
        <v>12</v>
      </c>
      <c r="V501" t="b">
        <v>1</v>
      </c>
      <c r="W501" t="inlineStr">
        <is>
          <t>Balance sheet!D46:O46</t>
        </is>
      </c>
      <c r="X501">
        <f>SUM(R[-6]C[0]:R[-1]C[0])</f>
        <v/>
      </c>
    </row>
    <row r="502">
      <c r="A502" t="inlineStr">
        <is>
          <t>Balance sheet</t>
        </is>
      </c>
      <c r="B502" t="inlineStr">
        <is>
          <t>A47</t>
        </is>
      </c>
      <c r="C502" t="n">
        <v>47</v>
      </c>
      <c r="D502" t="n">
        <v>1</v>
      </c>
      <c r="E502" t="inlineStr">
        <is>
          <t>Input</t>
        </is>
      </c>
      <c r="F502" t="n">
        <v/>
      </c>
      <c r="G502" t="inlineStr">
        <is>
          <t>Total</t>
        </is>
      </c>
      <c r="H502" t="inlineStr"/>
      <c r="I502" t="inlineStr">
        <is>
          <t>General</t>
        </is>
      </c>
      <c r="J502" t="b">
        <v>1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n">
        <v/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</row>
    <row r="503">
      <c r="A503" t="inlineStr">
        <is>
          <t>Balance sheet</t>
        </is>
      </c>
      <c r="B503" t="inlineStr">
        <is>
          <t>D47</t>
        </is>
      </c>
      <c r="C503" t="n">
        <v>47</v>
      </c>
      <c r="D503" t="n">
        <v>4</v>
      </c>
      <c r="E503" t="inlineStr">
        <is>
          <t>Calculation</t>
        </is>
      </c>
      <c r="F503" t="inlineStr">
        <is>
          <t>'=D32+D38+D46</t>
        </is>
      </c>
      <c r="G503" t="n">
        <v>29194.50000000001</v>
      </c>
      <c r="H503" t="inlineStr"/>
      <c r="I503" t="inlineStr">
        <is>
          <t>#,##0</t>
        </is>
      </c>
      <c r="J503" t="b">
        <v>1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n">
        <v/>
      </c>
      <c r="R503" t="b">
        <v>1</v>
      </c>
      <c r="S503" t="inlineStr">
        <is>
          <t>G000211</t>
        </is>
      </c>
      <c r="T503" t="inlineStr">
        <is>
          <t>Horizontal</t>
        </is>
      </c>
      <c r="U503" t="n">
        <v>12</v>
      </c>
      <c r="V503" t="b">
        <v>1</v>
      </c>
      <c r="W503" t="inlineStr">
        <is>
          <t>Balance sheet!D47:O47</t>
        </is>
      </c>
      <c r="X503">
        <f>R[-15]C[0]+R[-9]C[0]+R[-1]C[0]</f>
        <v/>
      </c>
    </row>
    <row r="504">
      <c r="A504" t="inlineStr">
        <is>
          <t>Balance sheet</t>
        </is>
      </c>
      <c r="B504" t="inlineStr">
        <is>
          <t>E47</t>
        </is>
      </c>
      <c r="C504" t="n">
        <v>47</v>
      </c>
      <c r="D504" t="n">
        <v>5</v>
      </c>
      <c r="E504" t="inlineStr">
        <is>
          <t>Calculation</t>
        </is>
      </c>
      <c r="F504" t="inlineStr">
        <is>
          <t>'=E32+E38+E46</t>
        </is>
      </c>
      <c r="G504" t="n">
        <v>36470.61</v>
      </c>
      <c r="H504" t="inlineStr"/>
      <c r="I504" t="inlineStr">
        <is>
          <t>#,##0</t>
        </is>
      </c>
      <c r="J504" t="b">
        <v>1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n">
        <v/>
      </c>
      <c r="R504" t="b">
        <v>1</v>
      </c>
      <c r="S504" t="inlineStr">
        <is>
          <t>G000211</t>
        </is>
      </c>
      <c r="T504" t="inlineStr">
        <is>
          <t>Horizontal</t>
        </is>
      </c>
      <c r="U504" t="n">
        <v>12</v>
      </c>
      <c r="V504" t="b">
        <v>1</v>
      </c>
      <c r="W504" t="inlineStr">
        <is>
          <t>Balance sheet!D47:O47</t>
        </is>
      </c>
      <c r="X504">
        <f>R[-15]C[0]+R[-9]C[0]+R[-1]C[0]</f>
        <v/>
      </c>
    </row>
    <row r="505">
      <c r="A505" t="inlineStr">
        <is>
          <t>Balance sheet</t>
        </is>
      </c>
      <c r="B505" t="inlineStr">
        <is>
          <t>F47</t>
        </is>
      </c>
      <c r="C505" t="n">
        <v>47</v>
      </c>
      <c r="D505" t="n">
        <v>6</v>
      </c>
      <c r="E505" t="inlineStr">
        <is>
          <t>Calculation</t>
        </is>
      </c>
      <c r="F505" t="inlineStr">
        <is>
          <t>'=F32+F38+F46</t>
        </is>
      </c>
      <c r="G505" t="n">
        <v>58524.92999999999</v>
      </c>
      <c r="H505" t="inlineStr"/>
      <c r="I505" t="inlineStr">
        <is>
          <t>#,##0</t>
        </is>
      </c>
      <c r="J505" t="b">
        <v>1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n">
        <v/>
      </c>
      <c r="R505" t="b">
        <v>1</v>
      </c>
      <c r="S505" t="inlineStr">
        <is>
          <t>G000211</t>
        </is>
      </c>
      <c r="T505" t="inlineStr">
        <is>
          <t>Horizontal</t>
        </is>
      </c>
      <c r="U505" t="n">
        <v>12</v>
      </c>
      <c r="V505" t="b">
        <v>1</v>
      </c>
      <c r="W505" t="inlineStr">
        <is>
          <t>Balance sheet!D47:O47</t>
        </is>
      </c>
      <c r="X505">
        <f>R[-15]C[0]+R[-9]C[0]+R[-1]C[0]</f>
        <v/>
      </c>
    </row>
    <row r="506">
      <c r="A506" t="inlineStr">
        <is>
          <t>Balance sheet</t>
        </is>
      </c>
      <c r="B506" t="inlineStr">
        <is>
          <t>G47</t>
        </is>
      </c>
      <c r="C506" t="n">
        <v>47</v>
      </c>
      <c r="D506" t="n">
        <v>7</v>
      </c>
      <c r="E506" t="inlineStr">
        <is>
          <t>Calculation</t>
        </is>
      </c>
      <c r="F506" t="inlineStr">
        <is>
          <t>'=G32+G38+G46</t>
        </is>
      </c>
      <c r="G506" t="n">
        <v>91034.36</v>
      </c>
      <c r="H506" t="inlineStr"/>
      <c r="I506" t="inlineStr">
        <is>
          <t>#,##0</t>
        </is>
      </c>
      <c r="J506" t="b">
        <v>1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00000000</t>
        </is>
      </c>
      <c r="O506" t="n">
        <v/>
      </c>
      <c r="R506" t="b">
        <v>1</v>
      </c>
      <c r="S506" t="inlineStr">
        <is>
          <t>G000211</t>
        </is>
      </c>
      <c r="T506" t="inlineStr">
        <is>
          <t>Horizontal</t>
        </is>
      </c>
      <c r="U506" t="n">
        <v>12</v>
      </c>
      <c r="V506" t="b">
        <v>1</v>
      </c>
      <c r="W506" t="inlineStr">
        <is>
          <t>Balance sheet!D47:O47</t>
        </is>
      </c>
      <c r="X506">
        <f>R[-15]C[0]+R[-9]C[0]+R[-1]C[0]</f>
        <v/>
      </c>
    </row>
    <row r="507">
      <c r="A507" t="inlineStr">
        <is>
          <t>Balance sheet</t>
        </is>
      </c>
      <c r="B507" t="inlineStr">
        <is>
          <t>H47</t>
        </is>
      </c>
      <c r="C507" t="n">
        <v>47</v>
      </c>
      <c r="D507" t="n">
        <v>8</v>
      </c>
      <c r="E507" t="inlineStr">
        <is>
          <t>Calculation</t>
        </is>
      </c>
      <c r="F507" t="inlineStr">
        <is>
          <t>'=H32+H38+H46</t>
        </is>
      </c>
      <c r="G507" t="n">
        <v>107682.45</v>
      </c>
      <c r="H507" t="inlineStr"/>
      <c r="I507" t="inlineStr">
        <is>
          <t>#,##0</t>
        </is>
      </c>
      <c r="J507" t="b">
        <v>1</v>
      </c>
      <c r="K507" t="b">
        <v>0</v>
      </c>
      <c r="L507" t="n">
        <v>11</v>
      </c>
      <c r="M507" t="inlineStr">
        <is>
          <t>Values must be of type &lt;class 'str'&gt;</t>
        </is>
      </c>
      <c r="N507" t="inlineStr">
        <is>
          <t>00000000</t>
        </is>
      </c>
      <c r="O507" t="n">
        <v/>
      </c>
      <c r="R507" t="b">
        <v>1</v>
      </c>
      <c r="S507" t="inlineStr">
        <is>
          <t>G000211</t>
        </is>
      </c>
      <c r="T507" t="inlineStr">
        <is>
          <t>Horizontal</t>
        </is>
      </c>
      <c r="U507" t="n">
        <v>12</v>
      </c>
      <c r="V507" t="b">
        <v>1</v>
      </c>
      <c r="W507" t="inlineStr">
        <is>
          <t>Balance sheet!D47:O47</t>
        </is>
      </c>
      <c r="X507">
        <f>R[-15]C[0]+R[-9]C[0]+R[-1]C[0]</f>
        <v/>
      </c>
    </row>
    <row r="508">
      <c r="A508" t="inlineStr">
        <is>
          <t>Balance sheet</t>
        </is>
      </c>
      <c r="B508" t="inlineStr">
        <is>
          <t>I47</t>
        </is>
      </c>
      <c r="C508" t="n">
        <v>47</v>
      </c>
      <c r="D508" t="n">
        <v>9</v>
      </c>
      <c r="E508" t="inlineStr">
        <is>
          <t>Calculation</t>
        </is>
      </c>
      <c r="F508" t="inlineStr">
        <is>
          <t>'=I32+I38+I46</t>
        </is>
      </c>
      <c r="G508" t="n">
        <v>130191.11</v>
      </c>
      <c r="H508" t="inlineStr"/>
      <c r="I508" t="inlineStr">
        <is>
          <t>#,##0</t>
        </is>
      </c>
      <c r="J508" t="b">
        <v>1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n">
        <v/>
      </c>
      <c r="R508" t="b">
        <v>1</v>
      </c>
      <c r="S508" t="inlineStr">
        <is>
          <t>G000211</t>
        </is>
      </c>
      <c r="T508" t="inlineStr">
        <is>
          <t>Horizontal</t>
        </is>
      </c>
      <c r="U508" t="n">
        <v>12</v>
      </c>
      <c r="V508" t="b">
        <v>1</v>
      </c>
      <c r="W508" t="inlineStr">
        <is>
          <t>Balance sheet!D47:O47</t>
        </is>
      </c>
      <c r="X508">
        <f>R[-15]C[0]+R[-9]C[0]+R[-1]C[0]</f>
        <v/>
      </c>
    </row>
    <row r="509">
      <c r="A509" t="inlineStr">
        <is>
          <t>Balance sheet</t>
        </is>
      </c>
      <c r="B509" t="inlineStr">
        <is>
          <t>J47</t>
        </is>
      </c>
      <c r="C509" t="n">
        <v>47</v>
      </c>
      <c r="D509" t="n">
        <v>10</v>
      </c>
      <c r="E509" t="inlineStr">
        <is>
          <t>Calculation</t>
        </is>
      </c>
      <c r="F509" t="inlineStr">
        <is>
          <t>'=J32+J38+J46</t>
        </is>
      </c>
      <c r="G509" t="n">
        <v>152097.36</v>
      </c>
      <c r="H509" t="inlineStr"/>
      <c r="I509" t="inlineStr">
        <is>
          <t>#,##0</t>
        </is>
      </c>
      <c r="J509" t="b">
        <v>1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n">
        <v/>
      </c>
      <c r="R509" t="b">
        <v>1</v>
      </c>
      <c r="S509" t="inlineStr">
        <is>
          <t>G000211</t>
        </is>
      </c>
      <c r="T509" t="inlineStr">
        <is>
          <t>Horizontal</t>
        </is>
      </c>
      <c r="U509" t="n">
        <v>12</v>
      </c>
      <c r="V509" t="b">
        <v>1</v>
      </c>
      <c r="W509" t="inlineStr">
        <is>
          <t>Balance sheet!D47:O47</t>
        </is>
      </c>
      <c r="X509">
        <f>R[-15]C[0]+R[-9]C[0]+R[-1]C[0]</f>
        <v/>
      </c>
    </row>
    <row r="510">
      <c r="A510" t="inlineStr">
        <is>
          <t>Balance sheet</t>
        </is>
      </c>
      <c r="B510" t="inlineStr">
        <is>
          <t>K47</t>
        </is>
      </c>
      <c r="C510" t="n">
        <v>47</v>
      </c>
      <c r="D510" t="n">
        <v>11</v>
      </c>
      <c r="E510" t="inlineStr">
        <is>
          <t>Calculation</t>
        </is>
      </c>
      <c r="F510" t="inlineStr">
        <is>
          <t>'=K32+K38+K46</t>
        </is>
      </c>
      <c r="G510" t="n">
        <v>199787.3512249669</v>
      </c>
      <c r="H510" t="inlineStr"/>
      <c r="I510" t="inlineStr">
        <is>
          <t>#,##0</t>
        </is>
      </c>
      <c r="J510" t="b">
        <v>1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n">
        <v/>
      </c>
      <c r="R510" t="b">
        <v>1</v>
      </c>
      <c r="S510" t="inlineStr">
        <is>
          <t>G000211</t>
        </is>
      </c>
      <c r="T510" t="inlineStr">
        <is>
          <t>Horizontal</t>
        </is>
      </c>
      <c r="U510" t="n">
        <v>12</v>
      </c>
      <c r="V510" t="b">
        <v>1</v>
      </c>
      <c r="W510" t="inlineStr">
        <is>
          <t>Balance sheet!D47:O47</t>
        </is>
      </c>
      <c r="X510">
        <f>R[-15]C[0]+R[-9]C[0]+R[-1]C[0]</f>
        <v/>
      </c>
    </row>
    <row r="511">
      <c r="A511" t="inlineStr">
        <is>
          <t>Balance sheet</t>
        </is>
      </c>
      <c r="B511" t="inlineStr">
        <is>
          <t>L47</t>
        </is>
      </c>
      <c r="C511" t="n">
        <v>47</v>
      </c>
      <c r="D511" t="n">
        <v>12</v>
      </c>
      <c r="E511" t="inlineStr">
        <is>
          <t>Calculation</t>
        </is>
      </c>
      <c r="F511" t="inlineStr">
        <is>
          <t>'=L32+L38+L46</t>
        </is>
      </c>
      <c r="G511" t="n">
        <v>246730.4387045425</v>
      </c>
      <c r="H511" t="inlineStr"/>
      <c r="I511" t="inlineStr">
        <is>
          <t>#,##0</t>
        </is>
      </c>
      <c r="J511" t="b">
        <v>1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00000000</t>
        </is>
      </c>
      <c r="O511" t="n">
        <v/>
      </c>
      <c r="R511" t="b">
        <v>1</v>
      </c>
      <c r="S511" t="inlineStr">
        <is>
          <t>G000211</t>
        </is>
      </c>
      <c r="T511" t="inlineStr">
        <is>
          <t>Horizontal</t>
        </is>
      </c>
      <c r="U511" t="n">
        <v>12</v>
      </c>
      <c r="V511" t="b">
        <v>1</v>
      </c>
      <c r="W511" t="inlineStr">
        <is>
          <t>Balance sheet!D47:O47</t>
        </is>
      </c>
      <c r="X511">
        <f>R[-15]C[0]+R[-9]C[0]+R[-1]C[0]</f>
        <v/>
      </c>
    </row>
    <row r="512">
      <c r="A512" t="inlineStr">
        <is>
          <t>Balance sheet</t>
        </is>
      </c>
      <c r="B512" t="inlineStr">
        <is>
          <t>M47</t>
        </is>
      </c>
      <c r="C512" t="n">
        <v>47</v>
      </c>
      <c r="D512" t="n">
        <v>13</v>
      </c>
      <c r="E512" t="inlineStr">
        <is>
          <t>Calculation</t>
        </is>
      </c>
      <c r="F512" t="inlineStr">
        <is>
          <t>'=M32+M38+M46</t>
        </is>
      </c>
      <c r="G512" t="n">
        <v>309510.5740736739</v>
      </c>
      <c r="H512" t="inlineStr"/>
      <c r="I512" t="inlineStr">
        <is>
          <t>#,##0</t>
        </is>
      </c>
      <c r="J512" t="b">
        <v>1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00000000</t>
        </is>
      </c>
      <c r="O512" t="n">
        <v/>
      </c>
      <c r="R512" t="b">
        <v>1</v>
      </c>
      <c r="S512" t="inlineStr">
        <is>
          <t>G000211</t>
        </is>
      </c>
      <c r="T512" t="inlineStr">
        <is>
          <t>Horizontal</t>
        </is>
      </c>
      <c r="U512" t="n">
        <v>12</v>
      </c>
      <c r="V512" t="b">
        <v>1</v>
      </c>
      <c r="W512" t="inlineStr">
        <is>
          <t>Balance sheet!D47:O47</t>
        </is>
      </c>
      <c r="X512">
        <f>R[-15]C[0]+R[-9]C[0]+R[-1]C[0]</f>
        <v/>
      </c>
    </row>
    <row r="513">
      <c r="A513" t="inlineStr">
        <is>
          <t>Balance sheet</t>
        </is>
      </c>
      <c r="B513" t="inlineStr">
        <is>
          <t>N47</t>
        </is>
      </c>
      <c r="C513" t="n">
        <v>47</v>
      </c>
      <c r="D513" t="n">
        <v>14</v>
      </c>
      <c r="E513" t="inlineStr">
        <is>
          <t>Calculation</t>
        </is>
      </c>
      <c r="F513" t="inlineStr">
        <is>
          <t>'=N32+N38+N46</t>
        </is>
      </c>
      <c r="G513" t="n">
        <v>387331.2156491862</v>
      </c>
      <c r="H513" t="inlineStr"/>
      <c r="I513" t="inlineStr">
        <is>
          <t>#,##0</t>
        </is>
      </c>
      <c r="J513" t="b">
        <v>1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00000000</t>
        </is>
      </c>
      <c r="O513" t="n">
        <v/>
      </c>
      <c r="R513" t="b">
        <v>1</v>
      </c>
      <c r="S513" t="inlineStr">
        <is>
          <t>G000211</t>
        </is>
      </c>
      <c r="T513" t="inlineStr">
        <is>
          <t>Horizontal</t>
        </is>
      </c>
      <c r="U513" t="n">
        <v>12</v>
      </c>
      <c r="V513" t="b">
        <v>1</v>
      </c>
      <c r="W513" t="inlineStr">
        <is>
          <t>Balance sheet!D47:O47</t>
        </is>
      </c>
      <c r="X513">
        <f>R[-15]C[0]+R[-9]C[0]+R[-1]C[0]</f>
        <v/>
      </c>
    </row>
    <row r="514">
      <c r="A514" t="inlineStr">
        <is>
          <t>Balance sheet</t>
        </is>
      </c>
      <c r="B514" t="inlineStr">
        <is>
          <t>O47</t>
        </is>
      </c>
      <c r="C514" t="n">
        <v>47</v>
      </c>
      <c r="D514" t="n">
        <v>15</v>
      </c>
      <c r="E514" t="inlineStr">
        <is>
          <t>Calculation</t>
        </is>
      </c>
      <c r="F514" t="inlineStr">
        <is>
          <t>'=O32+O38+O46</t>
        </is>
      </c>
      <c r="G514" t="n">
        <v>478282.9245993926</v>
      </c>
      <c r="H514" t="inlineStr"/>
      <c r="I514" t="inlineStr">
        <is>
          <t>#,##0</t>
        </is>
      </c>
      <c r="J514" t="b">
        <v>1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00000000</t>
        </is>
      </c>
      <c r="O514" t="n">
        <v/>
      </c>
      <c r="R514" t="b">
        <v>1</v>
      </c>
      <c r="S514" t="inlineStr">
        <is>
          <t>G000211</t>
        </is>
      </c>
      <c r="T514" t="inlineStr">
        <is>
          <t>Horizontal</t>
        </is>
      </c>
      <c r="U514" t="n">
        <v>12</v>
      </c>
      <c r="V514" t="b">
        <v>1</v>
      </c>
      <c r="W514" t="inlineStr">
        <is>
          <t>Balance sheet!D47:O47</t>
        </is>
      </c>
      <c r="X514">
        <f>R[-15]C[0]+R[-9]C[0]+R[-1]C[0]</f>
        <v/>
      </c>
    </row>
    <row r="515">
      <c r="A515" t="inlineStr">
        <is>
          <t>Balance sheet</t>
        </is>
      </c>
      <c r="B515" t="inlineStr">
        <is>
          <t>A48</t>
        </is>
      </c>
      <c r="C515" t="n">
        <v>48</v>
      </c>
      <c r="D515" t="n">
        <v>1</v>
      </c>
      <c r="E515" t="inlineStr">
        <is>
          <t>Input</t>
        </is>
      </c>
      <c r="F515" t="n">
        <v/>
      </c>
      <c r="G515" t="inlineStr">
        <is>
          <t>Checksum</t>
        </is>
      </c>
      <c r="H515" t="inlineStr"/>
      <c r="I515" t="inlineStr">
        <is>
          <t>General</t>
        </is>
      </c>
      <c r="J515" t="b">
        <v>1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00000000</t>
        </is>
      </c>
      <c r="O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</row>
    <row r="516">
      <c r="A516" t="inlineStr">
        <is>
          <t>Balance sheet</t>
        </is>
      </c>
      <c r="B516" t="inlineStr">
        <is>
          <t>D48</t>
        </is>
      </c>
      <c r="C516" t="n">
        <v>48</v>
      </c>
      <c r="D516" t="n">
        <v>4</v>
      </c>
      <c r="E516" t="inlineStr">
        <is>
          <t>Output</t>
        </is>
      </c>
      <c r="F516" t="inlineStr">
        <is>
          <t>'=D26-D47</t>
        </is>
      </c>
      <c r="G516" t="n">
        <v>0</v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FFFF0000</t>
        </is>
      </c>
      <c r="N516" t="inlineStr">
        <is>
          <t>00000000</t>
        </is>
      </c>
      <c r="O516" t="n">
        <v/>
      </c>
      <c r="R516" t="b">
        <v>1</v>
      </c>
      <c r="S516" t="inlineStr">
        <is>
          <t>G000212</t>
        </is>
      </c>
      <c r="T516" t="inlineStr">
        <is>
          <t>Horizontal</t>
        </is>
      </c>
      <c r="U516" t="n">
        <v>12</v>
      </c>
      <c r="V516" t="b">
        <v>1</v>
      </c>
      <c r="W516" t="inlineStr">
        <is>
          <t>Balance sheet!D48:O48</t>
        </is>
      </c>
      <c r="X516">
        <f>R[-22]C[0]-R[-1]C[0]</f>
        <v/>
      </c>
    </row>
    <row r="517">
      <c r="A517" t="inlineStr">
        <is>
          <t>Balance sheet</t>
        </is>
      </c>
      <c r="B517" t="inlineStr">
        <is>
          <t>E48</t>
        </is>
      </c>
      <c r="C517" t="n">
        <v>48</v>
      </c>
      <c r="D517" t="n">
        <v>5</v>
      </c>
      <c r="E517" t="inlineStr">
        <is>
          <t>Output</t>
        </is>
      </c>
      <c r="F517" t="inlineStr">
        <is>
          <t>'=E26-E47</t>
        </is>
      </c>
      <c r="G517" t="n">
        <v>0</v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FFFF0000</t>
        </is>
      </c>
      <c r="N517" t="inlineStr">
        <is>
          <t>00000000</t>
        </is>
      </c>
      <c r="O517" t="n">
        <v/>
      </c>
      <c r="R517" t="b">
        <v>1</v>
      </c>
      <c r="S517" t="inlineStr">
        <is>
          <t>G000212</t>
        </is>
      </c>
      <c r="T517" t="inlineStr">
        <is>
          <t>Horizontal</t>
        </is>
      </c>
      <c r="U517" t="n">
        <v>12</v>
      </c>
      <c r="V517" t="b">
        <v>1</v>
      </c>
      <c r="W517" t="inlineStr">
        <is>
          <t>Balance sheet!D48:O48</t>
        </is>
      </c>
      <c r="X517">
        <f>R[-22]C[0]-R[-1]C[0]</f>
        <v/>
      </c>
    </row>
    <row r="518">
      <c r="A518" t="inlineStr">
        <is>
          <t>Balance sheet</t>
        </is>
      </c>
      <c r="B518" t="inlineStr">
        <is>
          <t>F48</t>
        </is>
      </c>
      <c r="C518" t="n">
        <v>48</v>
      </c>
      <c r="D518" t="n">
        <v>6</v>
      </c>
      <c r="E518" t="inlineStr">
        <is>
          <t>Output</t>
        </is>
      </c>
      <c r="F518" t="inlineStr">
        <is>
          <t>'=F26-F47</t>
        </is>
      </c>
      <c r="G518" t="n">
        <v>0</v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FFFF0000</t>
        </is>
      </c>
      <c r="N518" t="inlineStr">
        <is>
          <t>00000000</t>
        </is>
      </c>
      <c r="O518" t="n">
        <v/>
      </c>
      <c r="R518" t="b">
        <v>1</v>
      </c>
      <c r="S518" t="inlineStr">
        <is>
          <t>G000212</t>
        </is>
      </c>
      <c r="T518" t="inlineStr">
        <is>
          <t>Horizontal</t>
        </is>
      </c>
      <c r="U518" t="n">
        <v>12</v>
      </c>
      <c r="V518" t="b">
        <v>1</v>
      </c>
      <c r="W518" t="inlineStr">
        <is>
          <t>Balance sheet!D48:O48</t>
        </is>
      </c>
      <c r="X518">
        <f>R[-22]C[0]-R[-1]C[0]</f>
        <v/>
      </c>
    </row>
    <row r="519">
      <c r="A519" t="inlineStr">
        <is>
          <t>Balance sheet</t>
        </is>
      </c>
      <c r="B519" t="inlineStr">
        <is>
          <t>G48</t>
        </is>
      </c>
      <c r="C519" t="n">
        <v>48</v>
      </c>
      <c r="D519" t="n">
        <v>7</v>
      </c>
      <c r="E519" t="inlineStr">
        <is>
          <t>Output</t>
        </is>
      </c>
      <c r="F519" t="inlineStr">
        <is>
          <t>'=G26-G47</t>
        </is>
      </c>
      <c r="G519" t="n">
        <v>0</v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FFFF0000</t>
        </is>
      </c>
      <c r="N519" t="inlineStr">
        <is>
          <t>00000000</t>
        </is>
      </c>
      <c r="O519" t="n">
        <v/>
      </c>
      <c r="R519" t="b">
        <v>1</v>
      </c>
      <c r="S519" t="inlineStr">
        <is>
          <t>G000212</t>
        </is>
      </c>
      <c r="T519" t="inlineStr">
        <is>
          <t>Horizontal</t>
        </is>
      </c>
      <c r="U519" t="n">
        <v>12</v>
      </c>
      <c r="V519" t="b">
        <v>1</v>
      </c>
      <c r="W519" t="inlineStr">
        <is>
          <t>Balance sheet!D48:O48</t>
        </is>
      </c>
      <c r="X519">
        <f>R[-22]C[0]-R[-1]C[0]</f>
        <v/>
      </c>
    </row>
    <row r="520">
      <c r="A520" t="inlineStr">
        <is>
          <t>Balance sheet</t>
        </is>
      </c>
      <c r="B520" t="inlineStr">
        <is>
          <t>H48</t>
        </is>
      </c>
      <c r="C520" t="n">
        <v>48</v>
      </c>
      <c r="D520" t="n">
        <v>8</v>
      </c>
      <c r="E520" t="inlineStr">
        <is>
          <t>Output</t>
        </is>
      </c>
      <c r="F520" t="inlineStr">
        <is>
          <t>'=H26-H47</t>
        </is>
      </c>
      <c r="G520" t="n">
        <v>0</v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11</v>
      </c>
      <c r="M520" t="inlineStr">
        <is>
          <t>FFFF0000</t>
        </is>
      </c>
      <c r="N520" t="inlineStr">
        <is>
          <t>00000000</t>
        </is>
      </c>
      <c r="O520" t="n">
        <v/>
      </c>
      <c r="R520" t="b">
        <v>1</v>
      </c>
      <c r="S520" t="inlineStr">
        <is>
          <t>G000212</t>
        </is>
      </c>
      <c r="T520" t="inlineStr">
        <is>
          <t>Horizontal</t>
        </is>
      </c>
      <c r="U520" t="n">
        <v>12</v>
      </c>
      <c r="V520" t="b">
        <v>1</v>
      </c>
      <c r="W520" t="inlineStr">
        <is>
          <t>Balance sheet!D48:O48</t>
        </is>
      </c>
      <c r="X520">
        <f>R[-22]C[0]-R[-1]C[0]</f>
        <v/>
      </c>
    </row>
    <row r="521">
      <c r="A521" t="inlineStr">
        <is>
          <t>Balance sheet</t>
        </is>
      </c>
      <c r="B521" t="inlineStr">
        <is>
          <t>I48</t>
        </is>
      </c>
      <c r="C521" t="n">
        <v>48</v>
      </c>
      <c r="D521" t="n">
        <v>9</v>
      </c>
      <c r="E521" t="inlineStr">
        <is>
          <t>Output</t>
        </is>
      </c>
      <c r="F521" t="inlineStr">
        <is>
          <t>'=I26-I47</t>
        </is>
      </c>
      <c r="G521" t="n">
        <v>0</v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FFFF0000</t>
        </is>
      </c>
      <c r="N521" t="inlineStr">
        <is>
          <t>00000000</t>
        </is>
      </c>
      <c r="O521" t="n">
        <v/>
      </c>
      <c r="R521" t="b">
        <v>1</v>
      </c>
      <c r="S521" t="inlineStr">
        <is>
          <t>G000212</t>
        </is>
      </c>
      <c r="T521" t="inlineStr">
        <is>
          <t>Horizontal</t>
        </is>
      </c>
      <c r="U521" t="n">
        <v>12</v>
      </c>
      <c r="V521" t="b">
        <v>1</v>
      </c>
      <c r="W521" t="inlineStr">
        <is>
          <t>Balance sheet!D48:O48</t>
        </is>
      </c>
      <c r="X521">
        <f>R[-22]C[0]-R[-1]C[0]</f>
        <v/>
      </c>
    </row>
    <row r="522">
      <c r="A522" t="inlineStr">
        <is>
          <t>Balance sheet</t>
        </is>
      </c>
      <c r="B522" t="inlineStr">
        <is>
          <t>J48</t>
        </is>
      </c>
      <c r="C522" t="n">
        <v>48</v>
      </c>
      <c r="D522" t="n">
        <v>10</v>
      </c>
      <c r="E522" t="inlineStr">
        <is>
          <t>Output</t>
        </is>
      </c>
      <c r="F522" t="inlineStr">
        <is>
          <t>'=J26-J47</t>
        </is>
      </c>
      <c r="G522" t="n">
        <v>0.2300000000395812</v>
      </c>
      <c r="H522" t="inlineStr"/>
      <c r="I522" t="inlineStr">
        <is>
          <t>0</t>
        </is>
      </c>
      <c r="J522" t="b">
        <v>0</v>
      </c>
      <c r="K522" t="b">
        <v>0</v>
      </c>
      <c r="L522" t="n">
        <v>11</v>
      </c>
      <c r="M522" t="inlineStr">
        <is>
          <t>FFFF0000</t>
        </is>
      </c>
      <c r="N522" t="inlineStr">
        <is>
          <t>00000000</t>
        </is>
      </c>
      <c r="O522" t="n">
        <v/>
      </c>
      <c r="R522" t="b">
        <v>1</v>
      </c>
      <c r="S522" t="inlineStr">
        <is>
          <t>G000212</t>
        </is>
      </c>
      <c r="T522" t="inlineStr">
        <is>
          <t>Horizontal</t>
        </is>
      </c>
      <c r="U522" t="n">
        <v>12</v>
      </c>
      <c r="V522" t="b">
        <v>1</v>
      </c>
      <c r="W522" t="inlineStr">
        <is>
          <t>Balance sheet!D48:O48</t>
        </is>
      </c>
      <c r="X522">
        <f>R[-22]C[0]-R[-1]C[0]</f>
        <v/>
      </c>
    </row>
    <row r="523">
      <c r="A523" t="inlineStr">
        <is>
          <t>Balance sheet</t>
        </is>
      </c>
      <c r="B523" t="inlineStr">
        <is>
          <t>K48</t>
        </is>
      </c>
      <c r="C523" t="n">
        <v>48</v>
      </c>
      <c r="D523" t="n">
        <v>11</v>
      </c>
      <c r="E523" t="inlineStr">
        <is>
          <t>Output</t>
        </is>
      </c>
      <c r="F523" t="inlineStr">
        <is>
          <t>'=K26-K47</t>
        </is>
      </c>
      <c r="G523" t="n">
        <v>0.2300000000395812</v>
      </c>
      <c r="H523" t="inlineStr"/>
      <c r="I523" t="inlineStr">
        <is>
          <t>0</t>
        </is>
      </c>
      <c r="J523" t="b">
        <v>0</v>
      </c>
      <c r="K523" t="b">
        <v>0</v>
      </c>
      <c r="L523" t="n">
        <v>11</v>
      </c>
      <c r="M523" t="inlineStr">
        <is>
          <t>FFFF0000</t>
        </is>
      </c>
      <c r="N523" t="inlineStr">
        <is>
          <t>00000000</t>
        </is>
      </c>
      <c r="O523" t="n">
        <v/>
      </c>
      <c r="R523" t="b">
        <v>1</v>
      </c>
      <c r="S523" t="inlineStr">
        <is>
          <t>G000212</t>
        </is>
      </c>
      <c r="T523" t="inlineStr">
        <is>
          <t>Horizontal</t>
        </is>
      </c>
      <c r="U523" t="n">
        <v>12</v>
      </c>
      <c r="V523" t="b">
        <v>1</v>
      </c>
      <c r="W523" t="inlineStr">
        <is>
          <t>Balance sheet!D48:O48</t>
        </is>
      </c>
      <c r="X523">
        <f>R[-22]C[0]-R[-1]C[0]</f>
        <v/>
      </c>
    </row>
    <row r="524">
      <c r="A524" t="inlineStr">
        <is>
          <t>Balance sheet</t>
        </is>
      </c>
      <c r="B524" t="inlineStr">
        <is>
          <t>L48</t>
        </is>
      </c>
      <c r="C524" t="n">
        <v>48</v>
      </c>
      <c r="D524" t="n">
        <v>12</v>
      </c>
      <c r="E524" t="inlineStr">
        <is>
          <t>Output</t>
        </is>
      </c>
      <c r="F524" t="inlineStr">
        <is>
          <t>'=L26-L47</t>
        </is>
      </c>
      <c r="G524" t="n">
        <v>0.2300000000104774</v>
      </c>
      <c r="H524" t="inlineStr"/>
      <c r="I524" t="inlineStr">
        <is>
          <t>0</t>
        </is>
      </c>
      <c r="J524" t="b">
        <v>0</v>
      </c>
      <c r="K524" t="b">
        <v>0</v>
      </c>
      <c r="L524" t="n">
        <v>11</v>
      </c>
      <c r="M524" t="inlineStr">
        <is>
          <t>FFFF0000</t>
        </is>
      </c>
      <c r="N524" t="inlineStr">
        <is>
          <t>00000000</t>
        </is>
      </c>
      <c r="O524" t="n">
        <v/>
      </c>
      <c r="R524" t="b">
        <v>1</v>
      </c>
      <c r="S524" t="inlineStr">
        <is>
          <t>G000212</t>
        </is>
      </c>
      <c r="T524" t="inlineStr">
        <is>
          <t>Horizontal</t>
        </is>
      </c>
      <c r="U524" t="n">
        <v>12</v>
      </c>
      <c r="V524" t="b">
        <v>1</v>
      </c>
      <c r="W524" t="inlineStr">
        <is>
          <t>Balance sheet!D48:O48</t>
        </is>
      </c>
      <c r="X524">
        <f>R[-22]C[0]-R[-1]C[0]</f>
        <v/>
      </c>
    </row>
    <row r="525">
      <c r="A525" t="inlineStr">
        <is>
          <t>Balance sheet</t>
        </is>
      </c>
      <c r="B525" t="inlineStr">
        <is>
          <t>M48</t>
        </is>
      </c>
      <c r="C525" t="n">
        <v>48</v>
      </c>
      <c r="D525" t="n">
        <v>13</v>
      </c>
      <c r="E525" t="inlineStr">
        <is>
          <t>Output</t>
        </is>
      </c>
      <c r="F525" t="inlineStr">
        <is>
          <t>'=M26-M47</t>
        </is>
      </c>
      <c r="G525" t="n">
        <v>0.2300000000395812</v>
      </c>
      <c r="H525" t="inlineStr"/>
      <c r="I525" t="inlineStr">
        <is>
          <t>0</t>
        </is>
      </c>
      <c r="J525" t="b">
        <v>0</v>
      </c>
      <c r="K525" t="b">
        <v>0</v>
      </c>
      <c r="L525" t="n">
        <v>11</v>
      </c>
      <c r="M525" t="inlineStr">
        <is>
          <t>FFFF0000</t>
        </is>
      </c>
      <c r="N525" t="inlineStr">
        <is>
          <t>00000000</t>
        </is>
      </c>
      <c r="O525" t="n">
        <v/>
      </c>
      <c r="R525" t="b">
        <v>1</v>
      </c>
      <c r="S525" t="inlineStr">
        <is>
          <t>G000212</t>
        </is>
      </c>
      <c r="T525" t="inlineStr">
        <is>
          <t>Horizontal</t>
        </is>
      </c>
      <c r="U525" t="n">
        <v>12</v>
      </c>
      <c r="V525" t="b">
        <v>1</v>
      </c>
      <c r="W525" t="inlineStr">
        <is>
          <t>Balance sheet!D48:O48</t>
        </is>
      </c>
      <c r="X525">
        <f>R[-22]C[0]-R[-1]C[0]</f>
        <v/>
      </c>
    </row>
    <row r="526">
      <c r="A526" t="inlineStr">
        <is>
          <t>Balance sheet</t>
        </is>
      </c>
      <c r="B526" t="inlineStr">
        <is>
          <t>N48</t>
        </is>
      </c>
      <c r="C526" t="n">
        <v>48</v>
      </c>
      <c r="D526" t="n">
        <v>14</v>
      </c>
      <c r="E526" t="inlineStr">
        <is>
          <t>Output</t>
        </is>
      </c>
      <c r="F526" t="inlineStr">
        <is>
          <t>'=N26-N47</t>
        </is>
      </c>
      <c r="G526" t="n">
        <v>0.2299999999813735</v>
      </c>
      <c r="H526" t="inlineStr"/>
      <c r="I526" t="inlineStr">
        <is>
          <t>0</t>
        </is>
      </c>
      <c r="J526" t="b">
        <v>0</v>
      </c>
      <c r="K526" t="b">
        <v>0</v>
      </c>
      <c r="L526" t="n">
        <v>11</v>
      </c>
      <c r="M526" t="inlineStr">
        <is>
          <t>FFFF0000</t>
        </is>
      </c>
      <c r="N526" t="inlineStr">
        <is>
          <t>00000000</t>
        </is>
      </c>
      <c r="O526" t="n">
        <v/>
      </c>
      <c r="R526" t="b">
        <v>1</v>
      </c>
      <c r="S526" t="inlineStr">
        <is>
          <t>G000212</t>
        </is>
      </c>
      <c r="T526" t="inlineStr">
        <is>
          <t>Horizontal</t>
        </is>
      </c>
      <c r="U526" t="n">
        <v>12</v>
      </c>
      <c r="V526" t="b">
        <v>1</v>
      </c>
      <c r="W526" t="inlineStr">
        <is>
          <t>Balance sheet!D48:O48</t>
        </is>
      </c>
      <c r="X526">
        <f>R[-22]C[0]-R[-1]C[0]</f>
        <v/>
      </c>
    </row>
    <row r="527">
      <c r="A527" t="inlineStr">
        <is>
          <t>Balance sheet</t>
        </is>
      </c>
      <c r="B527" t="inlineStr">
        <is>
          <t>O48</t>
        </is>
      </c>
      <c r="C527" t="n">
        <v>48</v>
      </c>
      <c r="D527" t="n">
        <v>15</v>
      </c>
      <c r="E527" t="inlineStr">
        <is>
          <t>Output</t>
        </is>
      </c>
      <c r="F527" t="inlineStr">
        <is>
          <t>'=O26-O47</t>
        </is>
      </c>
      <c r="G527" t="n">
        <v>0.2300000000977889</v>
      </c>
      <c r="H527" t="inlineStr"/>
      <c r="I527" t="inlineStr">
        <is>
          <t>0</t>
        </is>
      </c>
      <c r="J527" t="b">
        <v>0</v>
      </c>
      <c r="K527" t="b">
        <v>0</v>
      </c>
      <c r="L527" t="n">
        <v>11</v>
      </c>
      <c r="M527" t="inlineStr">
        <is>
          <t>FFFF0000</t>
        </is>
      </c>
      <c r="N527" t="inlineStr">
        <is>
          <t>00000000</t>
        </is>
      </c>
      <c r="O527" t="n">
        <v/>
      </c>
      <c r="R527" t="b">
        <v>1</v>
      </c>
      <c r="S527" t="inlineStr">
        <is>
          <t>G000212</t>
        </is>
      </c>
      <c r="T527" t="inlineStr">
        <is>
          <t>Horizontal</t>
        </is>
      </c>
      <c r="U527" t="n">
        <v>12</v>
      </c>
      <c r="V527" t="b">
        <v>1</v>
      </c>
      <c r="W527" t="inlineStr">
        <is>
          <t>Balance sheet!D48:O48</t>
        </is>
      </c>
      <c r="X527">
        <f>R[-22]C[0]-R[-1]C[0]</f>
        <v/>
      </c>
    </row>
    <row r="528">
      <c r="A528" t="inlineStr">
        <is>
          <t>Balance sheet</t>
        </is>
      </c>
      <c r="B528" t="inlineStr">
        <is>
          <t>A50</t>
        </is>
      </c>
      <c r="C528" t="n">
        <v>50</v>
      </c>
      <c r="D528" t="n">
        <v>1</v>
      </c>
      <c r="E528" t="inlineStr">
        <is>
          <t>Input</t>
        </is>
      </c>
      <c r="F528" t="n">
        <v/>
      </c>
      <c r="G528" t="inlineStr">
        <is>
          <t>Payable as a % of cost</t>
        </is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Values must be of type &lt;class 'str'&gt;</t>
        </is>
      </c>
      <c r="N528" t="inlineStr">
        <is>
          <t>00000000</t>
        </is>
      </c>
      <c r="O528" t="n">
        <v/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</row>
    <row r="529">
      <c r="A529" t="inlineStr">
        <is>
          <t>Balance sheet</t>
        </is>
      </c>
      <c r="B529" t="inlineStr">
        <is>
          <t>D50</t>
        </is>
      </c>
      <c r="C529" t="n">
        <v>50</v>
      </c>
      <c r="D529" t="n">
        <v>4</v>
      </c>
      <c r="E529" t="inlineStr">
        <is>
          <t>Output</t>
        </is>
      </c>
      <c r="F529" t="inlineStr">
        <is>
          <t>'=D21/('Income statement'!D14+'Income statement'!D16)</t>
        </is>
      </c>
      <c r="G529" t="n">
        <v>0.0396862186298838</v>
      </c>
      <c r="H529" t="inlineStr"/>
      <c r="I529" t="inlineStr">
        <is>
          <t>0.00%</t>
        </is>
      </c>
      <c r="J529" t="b">
        <v>0</v>
      </c>
      <c r="K529" t="b">
        <v>0</v>
      </c>
      <c r="L529" t="n">
        <v>11</v>
      </c>
      <c r="M529" t="inlineStr">
        <is>
          <t>Values must be of type &lt;class 'str'&gt;</t>
        </is>
      </c>
      <c r="N529" t="inlineStr">
        <is>
          <t>00000000</t>
        </is>
      </c>
      <c r="O529" t="n">
        <v/>
      </c>
      <c r="R529" t="b">
        <v>1</v>
      </c>
      <c r="S529" t="inlineStr">
        <is>
          <t>G000213</t>
        </is>
      </c>
      <c r="T529" t="inlineStr">
        <is>
          <t>Horizontal</t>
        </is>
      </c>
      <c r="U529" t="n">
        <v>7</v>
      </c>
      <c r="V529" t="b">
        <v>1</v>
      </c>
      <c r="W529" t="inlineStr">
        <is>
          <t>Balance sheet!D50:J50</t>
        </is>
      </c>
      <c r="X529">
        <f>R[-29]C[0]/('Income statement'!R[-36]C[0]+'Income statement'!R[-34]C[0])</f>
        <v/>
      </c>
    </row>
    <row r="530">
      <c r="A530" t="inlineStr">
        <is>
          <t>Balance sheet</t>
        </is>
      </c>
      <c r="B530" t="inlineStr">
        <is>
          <t>E50</t>
        </is>
      </c>
      <c r="C530" t="n">
        <v>50</v>
      </c>
      <c r="D530" t="n">
        <v>5</v>
      </c>
      <c r="E530" t="inlineStr">
        <is>
          <t>Output</t>
        </is>
      </c>
      <c r="F530" t="inlineStr">
        <is>
          <t>'=E21/('Income statement'!E14+'Income statement'!E16)</t>
        </is>
      </c>
      <c r="G530" t="n">
        <v>0.03361236177509002</v>
      </c>
      <c r="H530" t="inlineStr"/>
      <c r="I530" t="inlineStr">
        <is>
          <t>0.00%</t>
        </is>
      </c>
      <c r="J530" t="b">
        <v>0</v>
      </c>
      <c r="K530" t="b">
        <v>0</v>
      </c>
      <c r="L530" t="n">
        <v>11</v>
      </c>
      <c r="M530" t="inlineStr">
        <is>
          <t>Values must be of type &lt;class 'str'&gt;</t>
        </is>
      </c>
      <c r="N530" t="inlineStr">
        <is>
          <t>00000000</t>
        </is>
      </c>
      <c r="O530" t="n">
        <v/>
      </c>
      <c r="R530" t="b">
        <v>1</v>
      </c>
      <c r="S530" t="inlineStr">
        <is>
          <t>G000213</t>
        </is>
      </c>
      <c r="T530" t="inlineStr">
        <is>
          <t>Horizontal</t>
        </is>
      </c>
      <c r="U530" t="n">
        <v>7</v>
      </c>
      <c r="V530" t="b">
        <v>1</v>
      </c>
      <c r="W530" t="inlineStr">
        <is>
          <t>Balance sheet!D50:J50</t>
        </is>
      </c>
      <c r="X530">
        <f>R[-29]C[0]/('Income statement'!R[-36]C[0]+'Income statement'!R[-34]C[0])</f>
        <v/>
      </c>
    </row>
    <row r="531">
      <c r="A531" t="inlineStr">
        <is>
          <t>Balance sheet</t>
        </is>
      </c>
      <c r="B531" t="inlineStr">
        <is>
          <t>F50</t>
        </is>
      </c>
      <c r="C531" t="n">
        <v>50</v>
      </c>
      <c r="D531" t="n">
        <v>6</v>
      </c>
      <c r="E531" t="inlineStr">
        <is>
          <t>Output</t>
        </is>
      </c>
      <c r="F531" t="inlineStr">
        <is>
          <t>'=F21/('Income statement'!F14+'Income statement'!F16)</t>
        </is>
      </c>
      <c r="G531" t="n">
        <v>0.03808108526728207</v>
      </c>
      <c r="H531" t="inlineStr"/>
      <c r="I531" t="inlineStr">
        <is>
          <t>0.00%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00000000</t>
        </is>
      </c>
      <c r="O531" t="n">
        <v/>
      </c>
      <c r="R531" t="b">
        <v>1</v>
      </c>
      <c r="S531" t="inlineStr">
        <is>
          <t>G000213</t>
        </is>
      </c>
      <c r="T531" t="inlineStr">
        <is>
          <t>Horizontal</t>
        </is>
      </c>
      <c r="U531" t="n">
        <v>7</v>
      </c>
      <c r="V531" t="b">
        <v>1</v>
      </c>
      <c r="W531" t="inlineStr">
        <is>
          <t>Balance sheet!D50:J50</t>
        </is>
      </c>
      <c r="X531">
        <f>R[-29]C[0]/('Income statement'!R[-36]C[0]+'Income statement'!R[-34]C[0])</f>
        <v/>
      </c>
    </row>
    <row r="532">
      <c r="A532" t="inlineStr">
        <is>
          <t>Balance sheet</t>
        </is>
      </c>
      <c r="B532" t="inlineStr">
        <is>
          <t>G50</t>
        </is>
      </c>
      <c r="C532" t="n">
        <v>50</v>
      </c>
      <c r="D532" t="n">
        <v>7</v>
      </c>
      <c r="E532" t="inlineStr">
        <is>
          <t>Output</t>
        </is>
      </c>
      <c r="F532" t="inlineStr">
        <is>
          <t>'=G21/('Income statement'!G14+'Income statement'!G16)</t>
        </is>
      </c>
      <c r="G532" t="n">
        <v>0.0429965501745715</v>
      </c>
      <c r="H532" t="inlineStr"/>
      <c r="I532" t="inlineStr">
        <is>
          <t>0.00%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00000000</t>
        </is>
      </c>
      <c r="O532" t="n">
        <v/>
      </c>
      <c r="R532" t="b">
        <v>1</v>
      </c>
      <c r="S532" t="inlineStr">
        <is>
          <t>G000213</t>
        </is>
      </c>
      <c r="T532" t="inlineStr">
        <is>
          <t>Horizontal</t>
        </is>
      </c>
      <c r="U532" t="n">
        <v>7</v>
      </c>
      <c r="V532" t="b">
        <v>1</v>
      </c>
      <c r="W532" t="inlineStr">
        <is>
          <t>Balance sheet!D50:J50</t>
        </is>
      </c>
      <c r="X532">
        <f>R[-29]C[0]/('Income statement'!R[-36]C[0]+'Income statement'!R[-34]C[0])</f>
        <v/>
      </c>
    </row>
    <row r="533">
      <c r="A533" t="inlineStr">
        <is>
          <t>Balance sheet</t>
        </is>
      </c>
      <c r="B533" t="inlineStr">
        <is>
          <t>H50</t>
        </is>
      </c>
      <c r="C533" t="n">
        <v>50</v>
      </c>
      <c r="D533" t="n">
        <v>8</v>
      </c>
      <c r="E533" t="inlineStr">
        <is>
          <t>Output</t>
        </is>
      </c>
      <c r="F533" t="inlineStr">
        <is>
          <t>'=H21/('Income statement'!H14+'Income statement'!H16)</t>
        </is>
      </c>
      <c r="G533" t="n">
        <v>0.04706083449828632</v>
      </c>
      <c r="H533" t="inlineStr"/>
      <c r="I533" t="inlineStr">
        <is>
          <t>0.00%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n">
        <v/>
      </c>
      <c r="R533" t="b">
        <v>1</v>
      </c>
      <c r="S533" t="inlineStr">
        <is>
          <t>G000213</t>
        </is>
      </c>
      <c r="T533" t="inlineStr">
        <is>
          <t>Horizontal</t>
        </is>
      </c>
      <c r="U533" t="n">
        <v>7</v>
      </c>
      <c r="V533" t="b">
        <v>1</v>
      </c>
      <c r="W533" t="inlineStr">
        <is>
          <t>Balance sheet!D50:J50</t>
        </is>
      </c>
      <c r="X533">
        <f>R[-29]C[0]/('Income statement'!R[-36]C[0]+'Income statement'!R[-34]C[0])</f>
        <v/>
      </c>
    </row>
    <row r="534">
      <c r="A534" t="inlineStr">
        <is>
          <t>Balance sheet</t>
        </is>
      </c>
      <c r="B534" t="inlineStr">
        <is>
          <t>I50</t>
        </is>
      </c>
      <c r="C534" t="n">
        <v>50</v>
      </c>
      <c r="D534" t="n">
        <v>9</v>
      </c>
      <c r="E534" t="inlineStr">
        <is>
          <t>Output</t>
        </is>
      </c>
      <c r="F534" t="inlineStr">
        <is>
          <t>'=I21/('Income statement'!I14+'Income statement'!I16)</t>
        </is>
      </c>
      <c r="G534" t="n">
        <v>0.07044374843902475</v>
      </c>
      <c r="H534" t="inlineStr"/>
      <c r="I534" t="inlineStr">
        <is>
          <t>0.00%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n">
        <v/>
      </c>
      <c r="R534" t="b">
        <v>1</v>
      </c>
      <c r="S534" t="inlineStr">
        <is>
          <t>G000213</t>
        </is>
      </c>
      <c r="T534" t="inlineStr">
        <is>
          <t>Horizontal</t>
        </is>
      </c>
      <c r="U534" t="n">
        <v>7</v>
      </c>
      <c r="V534" t="b">
        <v>1</v>
      </c>
      <c r="W534" t="inlineStr">
        <is>
          <t>Balance sheet!D50:J50</t>
        </is>
      </c>
      <c r="X534">
        <f>R[-29]C[0]/('Income statement'!R[-36]C[0]+'Income statement'!R[-34]C[0])</f>
        <v/>
      </c>
    </row>
    <row r="535">
      <c r="A535" t="inlineStr">
        <is>
          <t>Balance sheet</t>
        </is>
      </c>
      <c r="B535" t="inlineStr">
        <is>
          <t>J50</t>
        </is>
      </c>
      <c r="C535" t="n">
        <v>50</v>
      </c>
      <c r="D535" t="n">
        <v>10</v>
      </c>
      <c r="E535" t="inlineStr">
        <is>
          <t>Output</t>
        </is>
      </c>
      <c r="F535" t="inlineStr">
        <is>
          <t>'=J21/('Income statement'!J14+'Income statement'!J16)</t>
        </is>
      </c>
      <c r="G535" t="n">
        <v>0.05818944227574424</v>
      </c>
      <c r="H535" t="inlineStr"/>
      <c r="I535" t="inlineStr">
        <is>
          <t>0.00%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00000000</t>
        </is>
      </c>
      <c r="O535" t="n">
        <v/>
      </c>
      <c r="R535" t="b">
        <v>1</v>
      </c>
      <c r="S535" t="inlineStr">
        <is>
          <t>G000213</t>
        </is>
      </c>
      <c r="T535" t="inlineStr">
        <is>
          <t>Horizontal</t>
        </is>
      </c>
      <c r="U535" t="n">
        <v>7</v>
      </c>
      <c r="V535" t="b">
        <v>1</v>
      </c>
      <c r="W535" t="inlineStr">
        <is>
          <t>Balance sheet!D50:J50</t>
        </is>
      </c>
      <c r="X535">
        <f>R[-29]C[0]/('Income statement'!R[-36]C[0]+'Income statement'!R[-34]C[0])</f>
        <v/>
      </c>
    </row>
    <row r="536">
      <c r="A536" t="inlineStr">
        <is>
          <t>Balance sheet</t>
        </is>
      </c>
      <c r="B536" t="inlineStr">
        <is>
          <t>K50</t>
        </is>
      </c>
      <c r="C536" t="n">
        <v>50</v>
      </c>
      <c r="D536" t="n">
        <v>11</v>
      </c>
      <c r="E536" t="inlineStr">
        <is>
          <t>Input</t>
        </is>
      </c>
      <c r="F536" t="n">
        <v/>
      </c>
      <c r="G536" t="n">
        <v>0.0582</v>
      </c>
      <c r="H536" t="inlineStr"/>
      <c r="I536" t="inlineStr">
        <is>
          <t>0.00%</t>
        </is>
      </c>
      <c r="J536" t="b">
        <v>0</v>
      </c>
      <c r="K536" t="b">
        <v>0</v>
      </c>
      <c r="L536" t="n">
        <v>11</v>
      </c>
      <c r="M536" t="n">
        <v/>
      </c>
      <c r="N536" t="inlineStr">
        <is>
          <t>00000000</t>
        </is>
      </c>
      <c r="O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Balance sheet</t>
        </is>
      </c>
      <c r="B537" t="inlineStr">
        <is>
          <t>L50</t>
        </is>
      </c>
      <c r="C537" t="n">
        <v>50</v>
      </c>
      <c r="D537" t="n">
        <v>12</v>
      </c>
      <c r="E537" t="inlineStr">
        <is>
          <t>Input</t>
        </is>
      </c>
      <c r="F537" t="n">
        <v/>
      </c>
      <c r="G537" t="n">
        <v>0.0582</v>
      </c>
      <c r="H537" t="inlineStr"/>
      <c r="I537" t="inlineStr">
        <is>
          <t>0.00%</t>
        </is>
      </c>
      <c r="J537" t="b">
        <v>0</v>
      </c>
      <c r="K537" t="b">
        <v>0</v>
      </c>
      <c r="L537" t="n">
        <v>11</v>
      </c>
      <c r="M537" t="n">
        <v/>
      </c>
      <c r="N537" t="inlineStr">
        <is>
          <t>00000000</t>
        </is>
      </c>
      <c r="O537" t="n">
        <v/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</row>
    <row r="538">
      <c r="A538" t="inlineStr">
        <is>
          <t>Balance sheet</t>
        </is>
      </c>
      <c r="B538" t="inlineStr">
        <is>
          <t>M50</t>
        </is>
      </c>
      <c r="C538" t="n">
        <v>50</v>
      </c>
      <c r="D538" t="n">
        <v>13</v>
      </c>
      <c r="E538" t="inlineStr">
        <is>
          <t>Input</t>
        </is>
      </c>
      <c r="F538" t="n">
        <v/>
      </c>
      <c r="G538" t="n">
        <v>0.0582</v>
      </c>
      <c r="H538" t="inlineStr"/>
      <c r="I538" t="inlineStr">
        <is>
          <t>0.00%</t>
        </is>
      </c>
      <c r="J538" t="b">
        <v>0</v>
      </c>
      <c r="K538" t="b">
        <v>0</v>
      </c>
      <c r="L538" t="n">
        <v>11</v>
      </c>
      <c r="M538" t="n">
        <v/>
      </c>
      <c r="N538" t="inlineStr">
        <is>
          <t>00000000</t>
        </is>
      </c>
      <c r="O538" t="n">
        <v/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Balance sheet</t>
        </is>
      </c>
      <c r="B539" t="inlineStr">
        <is>
          <t>N50</t>
        </is>
      </c>
      <c r="C539" t="n">
        <v>50</v>
      </c>
      <c r="D539" t="n">
        <v>14</v>
      </c>
      <c r="E539" t="inlineStr">
        <is>
          <t>Input</t>
        </is>
      </c>
      <c r="F539" t="n">
        <v/>
      </c>
      <c r="G539" t="n">
        <v>0.0582</v>
      </c>
      <c r="H539" t="inlineStr"/>
      <c r="I539" t="inlineStr">
        <is>
          <t>0.00%</t>
        </is>
      </c>
      <c r="J539" t="b">
        <v>0</v>
      </c>
      <c r="K539" t="b">
        <v>0</v>
      </c>
      <c r="L539" t="n">
        <v>11</v>
      </c>
      <c r="M539" t="n">
        <v/>
      </c>
      <c r="N539" t="inlineStr">
        <is>
          <t>00000000</t>
        </is>
      </c>
      <c r="O539" t="n">
        <v/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Balance sheet</t>
        </is>
      </c>
      <c r="B540" t="inlineStr">
        <is>
          <t>O50</t>
        </is>
      </c>
      <c r="C540" t="n">
        <v>50</v>
      </c>
      <c r="D540" t="n">
        <v>15</v>
      </c>
      <c r="E540" t="inlineStr">
        <is>
          <t>Input</t>
        </is>
      </c>
      <c r="F540" t="n">
        <v/>
      </c>
      <c r="G540" t="n">
        <v>0.0582</v>
      </c>
      <c r="H540" t="inlineStr"/>
      <c r="I540" t="inlineStr">
        <is>
          <t>0.00%</t>
        </is>
      </c>
      <c r="J540" t="b">
        <v>0</v>
      </c>
      <c r="K540" t="b">
        <v>0</v>
      </c>
      <c r="L540" t="n">
        <v>11</v>
      </c>
      <c r="M540" t="n">
        <v/>
      </c>
      <c r="N540" t="inlineStr">
        <is>
          <t>00000000</t>
        </is>
      </c>
      <c r="O540" t="n">
        <v/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Balance sheet</t>
        </is>
      </c>
      <c r="B541" t="inlineStr">
        <is>
          <t>A51</t>
        </is>
      </c>
      <c r="C541" t="n">
        <v>51</v>
      </c>
      <c r="D541" t="n">
        <v>1</v>
      </c>
      <c r="E541" t="inlineStr">
        <is>
          <t>Input</t>
        </is>
      </c>
      <c r="F541" t="n">
        <v/>
      </c>
      <c r="G541" t="inlineStr">
        <is>
          <t>other current liabilities as a % of operating cost</t>
        </is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00000000</t>
        </is>
      </c>
      <c r="O541" t="n">
        <v/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Balance sheet</t>
        </is>
      </c>
      <c r="B542" t="inlineStr">
        <is>
          <t>D51</t>
        </is>
      </c>
      <c r="C542" t="n">
        <v>51</v>
      </c>
      <c r="D542" t="n">
        <v>4</v>
      </c>
      <c r="E542" t="inlineStr">
        <is>
          <t>Calculation</t>
        </is>
      </c>
      <c r="F542" t="inlineStr">
        <is>
          <t>'=D22/'Income statement'!D14</t>
        </is>
      </c>
      <c r="G542" t="n">
        <v>0.3885217297800434</v>
      </c>
      <c r="H542" t="inlineStr"/>
      <c r="I542" t="inlineStr">
        <is>
          <t>0.00%</t>
        </is>
      </c>
      <c r="J542" t="b">
        <v>0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00000000</t>
        </is>
      </c>
      <c r="O542" t="n">
        <v/>
      </c>
      <c r="R542" t="b">
        <v>1</v>
      </c>
      <c r="S542" t="inlineStr">
        <is>
          <t>G000214</t>
        </is>
      </c>
      <c r="T542" t="inlineStr">
        <is>
          <t>Horizontal</t>
        </is>
      </c>
      <c r="U542" t="n">
        <v>7</v>
      </c>
      <c r="V542" t="b">
        <v>1</v>
      </c>
      <c r="W542" t="inlineStr">
        <is>
          <t>Balance sheet!D51:J51</t>
        </is>
      </c>
      <c r="X542">
        <f>R[-29]C[0]/'Income statement'!R[-37]C[0]</f>
        <v/>
      </c>
    </row>
    <row r="543">
      <c r="A543" t="inlineStr">
        <is>
          <t>Balance sheet</t>
        </is>
      </c>
      <c r="B543" t="inlineStr">
        <is>
          <t>E51</t>
        </is>
      </c>
      <c r="C543" t="n">
        <v>51</v>
      </c>
      <c r="D543" t="n">
        <v>5</v>
      </c>
      <c r="E543" t="inlineStr">
        <is>
          <t>Calculation</t>
        </is>
      </c>
      <c r="F543" t="inlineStr">
        <is>
          <t>'=E22/'Income statement'!E14</t>
        </is>
      </c>
      <c r="G543" t="n">
        <v>0.4425298404526842</v>
      </c>
      <c r="H543" t="inlineStr"/>
      <c r="I543" t="inlineStr">
        <is>
          <t>0.00%</t>
        </is>
      </c>
      <c r="J543" t="b">
        <v>0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00000000</t>
        </is>
      </c>
      <c r="O543" t="n">
        <v/>
      </c>
      <c r="R543" t="b">
        <v>1</v>
      </c>
      <c r="S543" t="inlineStr">
        <is>
          <t>G000214</t>
        </is>
      </c>
      <c r="T543" t="inlineStr">
        <is>
          <t>Horizontal</t>
        </is>
      </c>
      <c r="U543" t="n">
        <v>7</v>
      </c>
      <c r="V543" t="b">
        <v>1</v>
      </c>
      <c r="W543" t="inlineStr">
        <is>
          <t>Balance sheet!D51:J51</t>
        </is>
      </c>
      <c r="X543">
        <f>R[-29]C[0]/'Income statement'!R[-37]C[0]</f>
        <v/>
      </c>
    </row>
    <row r="544">
      <c r="A544" t="inlineStr">
        <is>
          <t>Balance sheet</t>
        </is>
      </c>
      <c r="B544" t="inlineStr">
        <is>
          <t>F51</t>
        </is>
      </c>
      <c r="C544" t="n">
        <v>51</v>
      </c>
      <c r="D544" t="n">
        <v>6</v>
      </c>
      <c r="E544" t="inlineStr">
        <is>
          <t>Calculation</t>
        </is>
      </c>
      <c r="F544" t="inlineStr">
        <is>
          <t>'=F22/'Income statement'!F14</t>
        </is>
      </c>
      <c r="G544" t="n">
        <v>0.4310675001259126</v>
      </c>
      <c r="H544" t="inlineStr"/>
      <c r="I544" t="inlineStr">
        <is>
          <t>0.00%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n">
        <v/>
      </c>
      <c r="R544" t="b">
        <v>1</v>
      </c>
      <c r="S544" t="inlineStr">
        <is>
          <t>G000214</t>
        </is>
      </c>
      <c r="T544" t="inlineStr">
        <is>
          <t>Horizontal</t>
        </is>
      </c>
      <c r="U544" t="n">
        <v>7</v>
      </c>
      <c r="V544" t="b">
        <v>1</v>
      </c>
      <c r="W544" t="inlineStr">
        <is>
          <t>Balance sheet!D51:J51</t>
        </is>
      </c>
      <c r="X544">
        <f>R[-29]C[0]/'Income statement'!R[-37]C[0]</f>
        <v/>
      </c>
    </row>
    <row r="545">
      <c r="A545" t="inlineStr">
        <is>
          <t>Balance sheet</t>
        </is>
      </c>
      <c r="B545" t="inlineStr">
        <is>
          <t>G51</t>
        </is>
      </c>
      <c r="C545" t="n">
        <v>51</v>
      </c>
      <c r="D545" t="n">
        <v>7</v>
      </c>
      <c r="E545" t="inlineStr">
        <is>
          <t>Calculation</t>
        </is>
      </c>
      <c r="F545" t="inlineStr">
        <is>
          <t>'=G22/'Income statement'!G14</t>
        </is>
      </c>
      <c r="G545" t="n">
        <v>0.4711065317919749</v>
      </c>
      <c r="H545" t="inlineStr"/>
      <c r="I545" t="inlineStr">
        <is>
          <t>0.00%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00000000</t>
        </is>
      </c>
      <c r="O545" t="n">
        <v/>
      </c>
      <c r="R545" t="b">
        <v>1</v>
      </c>
      <c r="S545" t="inlineStr">
        <is>
          <t>G000214</t>
        </is>
      </c>
      <c r="T545" t="inlineStr">
        <is>
          <t>Horizontal</t>
        </is>
      </c>
      <c r="U545" t="n">
        <v>7</v>
      </c>
      <c r="V545" t="b">
        <v>1</v>
      </c>
      <c r="W545" t="inlineStr">
        <is>
          <t>Balance sheet!D51:J51</t>
        </is>
      </c>
      <c r="X545">
        <f>R[-29]C[0]/'Income statement'!R[-37]C[0]</f>
        <v/>
      </c>
    </row>
    <row r="546">
      <c r="A546" t="inlineStr">
        <is>
          <t>Balance sheet</t>
        </is>
      </c>
      <c r="B546" t="inlineStr">
        <is>
          <t>H51</t>
        </is>
      </c>
      <c r="C546" t="n">
        <v>51</v>
      </c>
      <c r="D546" t="n">
        <v>8</v>
      </c>
      <c r="E546" t="inlineStr">
        <is>
          <t>Calculation</t>
        </is>
      </c>
      <c r="F546" t="inlineStr">
        <is>
          <t>'=H22/'Income statement'!H14</t>
        </is>
      </c>
      <c r="G546" t="n">
        <v>0.4364710215512273</v>
      </c>
      <c r="H546" t="inlineStr"/>
      <c r="I546" t="inlineStr">
        <is>
          <t>0.00%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00000000</t>
        </is>
      </c>
      <c r="O546" t="n">
        <v/>
      </c>
      <c r="R546" t="b">
        <v>1</v>
      </c>
      <c r="S546" t="inlineStr">
        <is>
          <t>G000214</t>
        </is>
      </c>
      <c r="T546" t="inlineStr">
        <is>
          <t>Horizontal</t>
        </is>
      </c>
      <c r="U546" t="n">
        <v>7</v>
      </c>
      <c r="V546" t="b">
        <v>1</v>
      </c>
      <c r="W546" t="inlineStr">
        <is>
          <t>Balance sheet!D51:J51</t>
        </is>
      </c>
      <c r="X546">
        <f>R[-29]C[0]/'Income statement'!R[-37]C[0]</f>
        <v/>
      </c>
    </row>
    <row r="547">
      <c r="A547" t="inlineStr">
        <is>
          <t>Balance sheet</t>
        </is>
      </c>
      <c r="B547" t="inlineStr">
        <is>
          <t>I51</t>
        </is>
      </c>
      <c r="C547" t="n">
        <v>51</v>
      </c>
      <c r="D547" t="n">
        <v>9</v>
      </c>
      <c r="E547" t="inlineStr">
        <is>
          <t>Calculation</t>
        </is>
      </c>
      <c r="F547" t="inlineStr">
        <is>
          <t>'=I22/'Income statement'!I14</t>
        </is>
      </c>
      <c r="G547" t="n">
        <v>0.3745328180111107</v>
      </c>
      <c r="H547" t="inlineStr"/>
      <c r="I547" t="inlineStr">
        <is>
          <t>0.00%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n">
        <v/>
      </c>
      <c r="R547" t="b">
        <v>1</v>
      </c>
      <c r="S547" t="inlineStr">
        <is>
          <t>G000214</t>
        </is>
      </c>
      <c r="T547" t="inlineStr">
        <is>
          <t>Horizontal</t>
        </is>
      </c>
      <c r="U547" t="n">
        <v>7</v>
      </c>
      <c r="V547" t="b">
        <v>1</v>
      </c>
      <c r="W547" t="inlineStr">
        <is>
          <t>Balance sheet!D51:J51</t>
        </is>
      </c>
      <c r="X547">
        <f>R[-29]C[0]/'Income statement'!R[-37]C[0]</f>
        <v/>
      </c>
    </row>
    <row r="548">
      <c r="A548" t="inlineStr">
        <is>
          <t>Balance sheet</t>
        </is>
      </c>
      <c r="B548" t="inlineStr">
        <is>
          <t>J51</t>
        </is>
      </c>
      <c r="C548" t="n">
        <v>51</v>
      </c>
      <c r="D548" t="n">
        <v>10</v>
      </c>
      <c r="E548" t="inlineStr">
        <is>
          <t>Calculation</t>
        </is>
      </c>
      <c r="F548" t="inlineStr">
        <is>
          <t>'=J22/'Income statement'!J14</t>
        </is>
      </c>
      <c r="G548" t="n">
        <v>0.4948892107600878</v>
      </c>
      <c r="H548" t="inlineStr"/>
      <c r="I548" t="inlineStr">
        <is>
          <t>0.00%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n">
        <v/>
      </c>
      <c r="R548" t="b">
        <v>1</v>
      </c>
      <c r="S548" t="inlineStr">
        <is>
          <t>G000214</t>
        </is>
      </c>
      <c r="T548" t="inlineStr">
        <is>
          <t>Horizontal</t>
        </is>
      </c>
      <c r="U548" t="n">
        <v>7</v>
      </c>
      <c r="V548" t="b">
        <v>1</v>
      </c>
      <c r="W548" t="inlineStr">
        <is>
          <t>Balance sheet!D51:J51</t>
        </is>
      </c>
      <c r="X548">
        <f>R[-29]C[0]/'Income statement'!R[-37]C[0]</f>
        <v/>
      </c>
    </row>
    <row r="549">
      <c r="A549" t="inlineStr">
        <is>
          <t>Balance sheet</t>
        </is>
      </c>
      <c r="B549" t="inlineStr">
        <is>
          <t>K51</t>
        </is>
      </c>
      <c r="C549" t="n">
        <v>51</v>
      </c>
      <c r="D549" t="n">
        <v>11</v>
      </c>
      <c r="E549" t="inlineStr">
        <is>
          <t>Calculation</t>
        </is>
      </c>
      <c r="F549" t="inlineStr">
        <is>
          <t>'=AVERAGE(D51:J51)</t>
        </is>
      </c>
      <c r="G549" t="n">
        <v>0.4341598074961487</v>
      </c>
      <c r="H549" t="inlineStr"/>
      <c r="I549" t="inlineStr">
        <is>
          <t>0.00%</t>
        </is>
      </c>
      <c r="J549" t="b">
        <v>0</v>
      </c>
      <c r="K549" t="b">
        <v>0</v>
      </c>
      <c r="L549" t="n">
        <v>11</v>
      </c>
      <c r="M549" t="n">
        <v/>
      </c>
      <c r="N549" t="inlineStr">
        <is>
          <t>00000000</t>
        </is>
      </c>
      <c r="O549" t="n">
        <v/>
      </c>
      <c r="R549" t="b">
        <v>1</v>
      </c>
      <c r="S549" t="inlineStr">
        <is>
          <t>G000216</t>
        </is>
      </c>
      <c r="T549" t="inlineStr">
        <is>
          <t>Block</t>
        </is>
      </c>
      <c r="U549" t="n">
        <v>2</v>
      </c>
      <c r="V549" t="b">
        <v>1</v>
      </c>
      <c r="W549" t="inlineStr">
        <is>
          <t>Balance sheet!K51:K56</t>
        </is>
      </c>
      <c r="X549">
        <f>AVERAGE(R[0]C[-7]:R[0]C[-1])</f>
        <v/>
      </c>
    </row>
    <row r="550">
      <c r="A550" t="inlineStr">
        <is>
          <t>Balance sheet</t>
        </is>
      </c>
      <c r="B550" t="inlineStr">
        <is>
          <t>L51</t>
        </is>
      </c>
      <c r="C550" t="n">
        <v>51</v>
      </c>
      <c r="D550" t="n">
        <v>12</v>
      </c>
      <c r="E550" t="inlineStr">
        <is>
          <t>Calculation</t>
        </is>
      </c>
      <c r="F550" t="inlineStr">
        <is>
          <t>'=K51</t>
        </is>
      </c>
      <c r="G550" t="n">
        <v>0.4341598074961487</v>
      </c>
      <c r="H550" t="inlineStr"/>
      <c r="I550" t="inlineStr">
        <is>
          <t>0.00%</t>
        </is>
      </c>
      <c r="J550" t="b">
        <v>0</v>
      </c>
      <c r="K550" t="b">
        <v>0</v>
      </c>
      <c r="L550" t="n">
        <v>11</v>
      </c>
      <c r="M550" t="n">
        <v/>
      </c>
      <c r="N550" t="inlineStr">
        <is>
          <t>00000000</t>
        </is>
      </c>
      <c r="O550" t="n">
        <v/>
      </c>
      <c r="R550" t="b">
        <v>1</v>
      </c>
      <c r="S550" t="inlineStr">
        <is>
          <t>G000182</t>
        </is>
      </c>
      <c r="T550" t="inlineStr">
        <is>
          <t>Horizontal</t>
        </is>
      </c>
      <c r="U550" t="n">
        <v>4</v>
      </c>
      <c r="V550" t="b">
        <v>1</v>
      </c>
      <c r="W550" t="inlineStr">
        <is>
          <t>Balance sheet!L51:O51</t>
        </is>
      </c>
      <c r="X550">
        <f>R[0]C[-1]</f>
        <v/>
      </c>
    </row>
    <row r="551">
      <c r="A551" t="inlineStr">
        <is>
          <t>Balance sheet</t>
        </is>
      </c>
      <c r="B551" t="inlineStr">
        <is>
          <t>M51</t>
        </is>
      </c>
      <c r="C551" t="n">
        <v>51</v>
      </c>
      <c r="D551" t="n">
        <v>13</v>
      </c>
      <c r="E551" t="inlineStr">
        <is>
          <t>Calculation</t>
        </is>
      </c>
      <c r="F551" t="inlineStr">
        <is>
          <t>'=L51</t>
        </is>
      </c>
      <c r="G551" t="n">
        <v>0.4341598074961487</v>
      </c>
      <c r="H551" t="inlineStr"/>
      <c r="I551" t="inlineStr">
        <is>
          <t>0.00%</t>
        </is>
      </c>
      <c r="J551" t="b">
        <v>0</v>
      </c>
      <c r="K551" t="b">
        <v>0</v>
      </c>
      <c r="L551" t="n">
        <v>11</v>
      </c>
      <c r="M551" t="n">
        <v/>
      </c>
      <c r="N551" t="inlineStr">
        <is>
          <t>00000000</t>
        </is>
      </c>
      <c r="O551" t="n">
        <v/>
      </c>
      <c r="R551" t="b">
        <v>1</v>
      </c>
      <c r="S551" t="inlineStr">
        <is>
          <t>G000182</t>
        </is>
      </c>
      <c r="T551" t="inlineStr">
        <is>
          <t>Horizontal</t>
        </is>
      </c>
      <c r="U551" t="n">
        <v>4</v>
      </c>
      <c r="V551" t="b">
        <v>1</v>
      </c>
      <c r="W551" t="inlineStr">
        <is>
          <t>Balance sheet!L51:O51</t>
        </is>
      </c>
      <c r="X551">
        <f>R[0]C[-1]</f>
        <v/>
      </c>
    </row>
    <row r="552">
      <c r="A552" t="inlineStr">
        <is>
          <t>Balance sheet</t>
        </is>
      </c>
      <c r="B552" t="inlineStr">
        <is>
          <t>N51</t>
        </is>
      </c>
      <c r="C552" t="n">
        <v>51</v>
      </c>
      <c r="D552" t="n">
        <v>14</v>
      </c>
      <c r="E552" t="inlineStr">
        <is>
          <t>Calculation</t>
        </is>
      </c>
      <c r="F552" t="inlineStr">
        <is>
          <t>'=M51</t>
        </is>
      </c>
      <c r="G552" t="n">
        <v>0.4341598074961487</v>
      </c>
      <c r="H552" t="inlineStr"/>
      <c r="I552" t="inlineStr">
        <is>
          <t>0.00%</t>
        </is>
      </c>
      <c r="J552" t="b">
        <v>0</v>
      </c>
      <c r="K552" t="b">
        <v>0</v>
      </c>
      <c r="L552" t="n">
        <v>11</v>
      </c>
      <c r="M552" t="n">
        <v/>
      </c>
      <c r="N552" t="inlineStr">
        <is>
          <t>00000000</t>
        </is>
      </c>
      <c r="O552" t="n">
        <v/>
      </c>
      <c r="R552" t="b">
        <v>1</v>
      </c>
      <c r="S552" t="inlineStr">
        <is>
          <t>G000182</t>
        </is>
      </c>
      <c r="T552" t="inlineStr">
        <is>
          <t>Horizontal</t>
        </is>
      </c>
      <c r="U552" t="n">
        <v>4</v>
      </c>
      <c r="V552" t="b">
        <v>1</v>
      </c>
      <c r="W552" t="inlineStr">
        <is>
          <t>Balance sheet!L51:O51</t>
        </is>
      </c>
      <c r="X552">
        <f>R[0]C[-1]</f>
        <v/>
      </c>
    </row>
    <row r="553">
      <c r="A553" t="inlineStr">
        <is>
          <t>Balance sheet</t>
        </is>
      </c>
      <c r="B553" t="inlineStr">
        <is>
          <t>O51</t>
        </is>
      </c>
      <c r="C553" t="n">
        <v>51</v>
      </c>
      <c r="D553" t="n">
        <v>15</v>
      </c>
      <c r="E553" t="inlineStr">
        <is>
          <t>Calculation</t>
        </is>
      </c>
      <c r="F553" t="inlineStr">
        <is>
          <t>'=N51</t>
        </is>
      </c>
      <c r="G553" t="n">
        <v>0.4341598074961487</v>
      </c>
      <c r="H553" t="inlineStr"/>
      <c r="I553" t="inlineStr">
        <is>
          <t>0.00%</t>
        </is>
      </c>
      <c r="J553" t="b">
        <v>0</v>
      </c>
      <c r="K553" t="b">
        <v>0</v>
      </c>
      <c r="L553" t="n">
        <v>11</v>
      </c>
      <c r="M553" t="n">
        <v/>
      </c>
      <c r="N553" t="inlineStr">
        <is>
          <t>00000000</t>
        </is>
      </c>
      <c r="O553" t="n">
        <v/>
      </c>
      <c r="R553" t="b">
        <v>1</v>
      </c>
      <c r="S553" t="inlineStr">
        <is>
          <t>G000182</t>
        </is>
      </c>
      <c r="T553" t="inlineStr">
        <is>
          <t>Horizontal</t>
        </is>
      </c>
      <c r="U553" t="n">
        <v>4</v>
      </c>
      <c r="V553" t="b">
        <v>1</v>
      </c>
      <c r="W553" t="inlineStr">
        <is>
          <t>Balance sheet!L51:O51</t>
        </is>
      </c>
      <c r="X553">
        <f>R[0]C[-1]</f>
        <v/>
      </c>
    </row>
    <row r="554">
      <c r="A554" t="inlineStr">
        <is>
          <t>Balance sheet</t>
        </is>
      </c>
      <c r="B554" t="inlineStr">
        <is>
          <t>A52</t>
        </is>
      </c>
      <c r="C554" t="n">
        <v>52</v>
      </c>
      <c r="D554" t="n">
        <v>1</v>
      </c>
      <c r="E554" t="inlineStr">
        <is>
          <t>Input</t>
        </is>
      </c>
      <c r="F554" t="n">
        <v/>
      </c>
      <c r="G554" t="inlineStr">
        <is>
          <t>Short term provisions as a % of operating cost</t>
        </is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11</v>
      </c>
      <c r="M554" t="inlineStr">
        <is>
          <t>Values must be of type &lt;class 'str'&gt;</t>
        </is>
      </c>
      <c r="N554" t="inlineStr">
        <is>
          <t>00000000</t>
        </is>
      </c>
      <c r="O554" t="n">
        <v/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</row>
    <row r="555">
      <c r="A555" t="inlineStr">
        <is>
          <t>Balance sheet</t>
        </is>
      </c>
      <c r="B555" t="inlineStr">
        <is>
          <t>D52</t>
        </is>
      </c>
      <c r="C555" t="n">
        <v>52</v>
      </c>
      <c r="D555" t="n">
        <v>4</v>
      </c>
      <c r="E555" t="inlineStr">
        <is>
          <t>Output</t>
        </is>
      </c>
      <c r="F555" t="inlineStr">
        <is>
          <t>'=D23/'Income statement'!D14</t>
        </is>
      </c>
      <c r="G555" t="n">
        <v>0.4879680368557366</v>
      </c>
      <c r="H555" t="inlineStr"/>
      <c r="I555" t="inlineStr">
        <is>
          <t>0.00%</t>
        </is>
      </c>
      <c r="J555" t="b">
        <v>0</v>
      </c>
      <c r="K555" t="b">
        <v>0</v>
      </c>
      <c r="L555" t="n">
        <v>11</v>
      </c>
      <c r="M555" t="inlineStr">
        <is>
          <t>Values must be of type &lt;class 'str'&gt;</t>
        </is>
      </c>
      <c r="N555" t="inlineStr">
        <is>
          <t>00000000</t>
        </is>
      </c>
      <c r="O555" t="n">
        <v/>
      </c>
      <c r="R555" t="b">
        <v>1</v>
      </c>
      <c r="S555" t="inlineStr">
        <is>
          <t>G000217</t>
        </is>
      </c>
      <c r="T555" t="inlineStr">
        <is>
          <t>Horizontal</t>
        </is>
      </c>
      <c r="U555" t="n">
        <v>7</v>
      </c>
      <c r="V555" t="b">
        <v>1</v>
      </c>
      <c r="W555" t="inlineStr">
        <is>
          <t>Balance sheet!D52:J52</t>
        </is>
      </c>
      <c r="X555">
        <f>R[-29]C[0]/'Income statement'!R[-38]C[0]</f>
        <v/>
      </c>
    </row>
    <row r="556">
      <c r="A556" t="inlineStr">
        <is>
          <t>Balance sheet</t>
        </is>
      </c>
      <c r="B556" t="inlineStr">
        <is>
          <t>E52</t>
        </is>
      </c>
      <c r="C556" t="n">
        <v>52</v>
      </c>
      <c r="D556" t="n">
        <v>5</v>
      </c>
      <c r="E556" t="inlineStr">
        <is>
          <t>Output</t>
        </is>
      </c>
      <c r="F556" t="inlineStr">
        <is>
          <t>'=E23/'Income statement'!E14</t>
        </is>
      </c>
      <c r="G556" t="n">
        <v>0.01012837639698934</v>
      </c>
      <c r="H556" t="inlineStr"/>
      <c r="I556" t="inlineStr">
        <is>
          <t>0.00%</t>
        </is>
      </c>
      <c r="J556" t="b">
        <v>0</v>
      </c>
      <c r="K556" t="b">
        <v>0</v>
      </c>
      <c r="L556" t="n">
        <v>11</v>
      </c>
      <c r="M556" t="inlineStr">
        <is>
          <t>Values must be of type &lt;class 'str'&gt;</t>
        </is>
      </c>
      <c r="N556" t="inlineStr">
        <is>
          <t>00000000</t>
        </is>
      </c>
      <c r="O556" t="n">
        <v/>
      </c>
      <c r="R556" t="b">
        <v>1</v>
      </c>
      <c r="S556" t="inlineStr">
        <is>
          <t>G000217</t>
        </is>
      </c>
      <c r="T556" t="inlineStr">
        <is>
          <t>Horizontal</t>
        </is>
      </c>
      <c r="U556" t="n">
        <v>7</v>
      </c>
      <c r="V556" t="b">
        <v>1</v>
      </c>
      <c r="W556" t="inlineStr">
        <is>
          <t>Balance sheet!D52:J52</t>
        </is>
      </c>
      <c r="X556">
        <f>R[-29]C[0]/'Income statement'!R[-38]C[0]</f>
        <v/>
      </c>
    </row>
    <row r="557">
      <c r="A557" t="inlineStr">
        <is>
          <t>Balance sheet</t>
        </is>
      </c>
      <c r="B557" t="inlineStr">
        <is>
          <t>F52</t>
        </is>
      </c>
      <c r="C557" t="n">
        <v>52</v>
      </c>
      <c r="D557" t="n">
        <v>6</v>
      </c>
      <c r="E557" t="inlineStr">
        <is>
          <t>Output</t>
        </is>
      </c>
      <c r="F557" t="inlineStr">
        <is>
          <t>'=F23/'Income statement'!F14</t>
        </is>
      </c>
      <c r="G557" t="n">
        <v>0.01165780103236957</v>
      </c>
      <c r="H557" t="inlineStr"/>
      <c r="I557" t="inlineStr">
        <is>
          <t>0.00%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n">
        <v/>
      </c>
      <c r="R557" t="b">
        <v>1</v>
      </c>
      <c r="S557" t="inlineStr">
        <is>
          <t>G000217</t>
        </is>
      </c>
      <c r="T557" t="inlineStr">
        <is>
          <t>Horizontal</t>
        </is>
      </c>
      <c r="U557" t="n">
        <v>7</v>
      </c>
      <c r="V557" t="b">
        <v>1</v>
      </c>
      <c r="W557" t="inlineStr">
        <is>
          <t>Balance sheet!D52:J52</t>
        </is>
      </c>
      <c r="X557">
        <f>R[-29]C[0]/'Income statement'!R[-38]C[0]</f>
        <v/>
      </c>
    </row>
    <row r="558">
      <c r="A558" t="inlineStr">
        <is>
          <t>Balance sheet</t>
        </is>
      </c>
      <c r="B558" t="inlineStr">
        <is>
          <t>G52</t>
        </is>
      </c>
      <c r="C558" t="n">
        <v>52</v>
      </c>
      <c r="D558" t="n">
        <v>7</v>
      </c>
      <c r="E558" t="inlineStr">
        <is>
          <t>Output</t>
        </is>
      </c>
      <c r="F558" t="inlineStr">
        <is>
          <t>'=G23/'Income statement'!G14</t>
        </is>
      </c>
      <c r="G558" t="n">
        <v>0.1355046073888585</v>
      </c>
      <c r="H558" t="inlineStr"/>
      <c r="I558" t="inlineStr">
        <is>
          <t>0.00%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00000000</t>
        </is>
      </c>
      <c r="O558" t="n">
        <v/>
      </c>
      <c r="R558" t="b">
        <v>1</v>
      </c>
      <c r="S558" t="inlineStr">
        <is>
          <t>G000217</t>
        </is>
      </c>
      <c r="T558" t="inlineStr">
        <is>
          <t>Horizontal</t>
        </is>
      </c>
      <c r="U558" t="n">
        <v>7</v>
      </c>
      <c r="V558" t="b">
        <v>1</v>
      </c>
      <c r="W558" t="inlineStr">
        <is>
          <t>Balance sheet!D52:J52</t>
        </is>
      </c>
      <c r="X558">
        <f>R[-29]C[0]/'Income statement'!R[-38]C[0]</f>
        <v/>
      </c>
    </row>
    <row r="559">
      <c r="A559" t="inlineStr">
        <is>
          <t>Balance sheet</t>
        </is>
      </c>
      <c r="B559" t="inlineStr">
        <is>
          <t>H52</t>
        </is>
      </c>
      <c r="C559" t="n">
        <v>52</v>
      </c>
      <c r="D559" t="n">
        <v>8</v>
      </c>
      <c r="E559" t="inlineStr">
        <is>
          <t>Output</t>
        </is>
      </c>
      <c r="F559" t="inlineStr">
        <is>
          <t>'=H23/'Income statement'!H14</t>
        </is>
      </c>
      <c r="G559" t="n">
        <v>0.03509841499028916</v>
      </c>
      <c r="H559" t="inlineStr"/>
      <c r="I559" t="inlineStr">
        <is>
          <t>0.00%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n">
        <v/>
      </c>
      <c r="R559" t="b">
        <v>1</v>
      </c>
      <c r="S559" t="inlineStr">
        <is>
          <t>G000217</t>
        </is>
      </c>
      <c r="T559" t="inlineStr">
        <is>
          <t>Horizontal</t>
        </is>
      </c>
      <c r="U559" t="n">
        <v>7</v>
      </c>
      <c r="V559" t="b">
        <v>1</v>
      </c>
      <c r="W559" t="inlineStr">
        <is>
          <t>Balance sheet!D52:J52</t>
        </is>
      </c>
      <c r="X559">
        <f>R[-29]C[0]/'Income statement'!R[-38]C[0]</f>
        <v/>
      </c>
    </row>
    <row r="560">
      <c r="A560" t="inlineStr">
        <is>
          <t>Balance sheet</t>
        </is>
      </c>
      <c r="B560" t="inlineStr">
        <is>
          <t>I52</t>
        </is>
      </c>
      <c r="C560" t="n">
        <v>52</v>
      </c>
      <c r="D560" t="n">
        <v>9</v>
      </c>
      <c r="E560" t="inlineStr">
        <is>
          <t>Output</t>
        </is>
      </c>
      <c r="F560" t="inlineStr">
        <is>
          <t>'=I23/'Income statement'!I14</t>
        </is>
      </c>
      <c r="G560" t="n">
        <v>0.1198545554335895</v>
      </c>
      <c r="H560" t="inlineStr"/>
      <c r="I560" t="inlineStr">
        <is>
          <t>0.00%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n">
        <v/>
      </c>
      <c r="R560" t="b">
        <v>1</v>
      </c>
      <c r="S560" t="inlineStr">
        <is>
          <t>G000217</t>
        </is>
      </c>
      <c r="T560" t="inlineStr">
        <is>
          <t>Horizontal</t>
        </is>
      </c>
      <c r="U560" t="n">
        <v>7</v>
      </c>
      <c r="V560" t="b">
        <v>1</v>
      </c>
      <c r="W560" t="inlineStr">
        <is>
          <t>Balance sheet!D52:J52</t>
        </is>
      </c>
      <c r="X560">
        <f>R[-29]C[0]/'Income statement'!R[-38]C[0]</f>
        <v/>
      </c>
    </row>
    <row r="561">
      <c r="A561" t="inlineStr">
        <is>
          <t>Balance sheet</t>
        </is>
      </c>
      <c r="B561" t="inlineStr">
        <is>
          <t>J52</t>
        </is>
      </c>
      <c r="C561" t="n">
        <v>52</v>
      </c>
      <c r="D561" t="n">
        <v>10</v>
      </c>
      <c r="E561" t="inlineStr">
        <is>
          <t>Output</t>
        </is>
      </c>
      <c r="F561" t="inlineStr">
        <is>
          <t>'=J23/'Income statement'!J14</t>
        </is>
      </c>
      <c r="G561" t="n">
        <v>0.009569961459622123</v>
      </c>
      <c r="H561" t="inlineStr"/>
      <c r="I561" t="inlineStr">
        <is>
          <t>0.00%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00000000</t>
        </is>
      </c>
      <c r="O561" t="n">
        <v/>
      </c>
      <c r="R561" t="b">
        <v>1</v>
      </c>
      <c r="S561" t="inlineStr">
        <is>
          <t>G000217</t>
        </is>
      </c>
      <c r="T561" t="inlineStr">
        <is>
          <t>Horizontal</t>
        </is>
      </c>
      <c r="U561" t="n">
        <v>7</v>
      </c>
      <c r="V561" t="b">
        <v>1</v>
      </c>
      <c r="W561" t="inlineStr">
        <is>
          <t>Balance sheet!D52:J52</t>
        </is>
      </c>
      <c r="X561">
        <f>R[-29]C[0]/'Income statement'!R[-38]C[0]</f>
        <v/>
      </c>
    </row>
    <row r="562">
      <c r="A562" t="inlineStr">
        <is>
          <t>Balance sheet</t>
        </is>
      </c>
      <c r="B562" t="inlineStr">
        <is>
          <t>K52</t>
        </is>
      </c>
      <c r="C562" t="n">
        <v>52</v>
      </c>
      <c r="D562" t="n">
        <v>11</v>
      </c>
      <c r="E562" t="inlineStr">
        <is>
          <t>Input</t>
        </is>
      </c>
      <c r="F562" t="n">
        <v/>
      </c>
      <c r="G562" t="n">
        <v>0.009599999999999999</v>
      </c>
      <c r="H562" t="inlineStr"/>
      <c r="I562" t="inlineStr">
        <is>
          <t>0.00%</t>
        </is>
      </c>
      <c r="J562" t="b">
        <v>0</v>
      </c>
      <c r="K562" t="b">
        <v>0</v>
      </c>
      <c r="L562" t="n">
        <v>11</v>
      </c>
      <c r="M562" t="n">
        <v/>
      </c>
      <c r="N562" t="inlineStr">
        <is>
          <t>00000000</t>
        </is>
      </c>
      <c r="O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Balance sheet</t>
        </is>
      </c>
      <c r="B563" t="inlineStr">
        <is>
          <t>L52</t>
        </is>
      </c>
      <c r="C563" t="n">
        <v>52</v>
      </c>
      <c r="D563" t="n">
        <v>12</v>
      </c>
      <c r="E563" t="inlineStr">
        <is>
          <t>Input</t>
        </is>
      </c>
      <c r="F563" t="n">
        <v/>
      </c>
      <c r="G563" t="n">
        <v>0.009599999999999999</v>
      </c>
      <c r="H563" t="inlineStr"/>
      <c r="I563" t="inlineStr">
        <is>
          <t>0.00%</t>
        </is>
      </c>
      <c r="J563" t="b">
        <v>0</v>
      </c>
      <c r="K563" t="b">
        <v>0</v>
      </c>
      <c r="L563" t="n">
        <v>11</v>
      </c>
      <c r="M563" t="n">
        <v/>
      </c>
      <c r="N563" t="inlineStr">
        <is>
          <t>00000000</t>
        </is>
      </c>
      <c r="O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Balance sheet</t>
        </is>
      </c>
      <c r="B564" t="inlineStr">
        <is>
          <t>M52</t>
        </is>
      </c>
      <c r="C564" t="n">
        <v>52</v>
      </c>
      <c r="D564" t="n">
        <v>13</v>
      </c>
      <c r="E564" t="inlineStr">
        <is>
          <t>Input</t>
        </is>
      </c>
      <c r="F564" t="n">
        <v/>
      </c>
      <c r="G564" t="n">
        <v>0.009599999999999999</v>
      </c>
      <c r="H564" t="inlineStr"/>
      <c r="I564" t="inlineStr">
        <is>
          <t>0.00%</t>
        </is>
      </c>
      <c r="J564" t="b">
        <v>0</v>
      </c>
      <c r="K564" t="b">
        <v>0</v>
      </c>
      <c r="L564" t="n">
        <v>11</v>
      </c>
      <c r="M564" t="n">
        <v/>
      </c>
      <c r="N564" t="inlineStr">
        <is>
          <t>00000000</t>
        </is>
      </c>
      <c r="O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</row>
    <row r="565">
      <c r="A565" t="inlineStr">
        <is>
          <t>Balance sheet</t>
        </is>
      </c>
      <c r="B565" t="inlineStr">
        <is>
          <t>N52</t>
        </is>
      </c>
      <c r="C565" t="n">
        <v>52</v>
      </c>
      <c r="D565" t="n">
        <v>14</v>
      </c>
      <c r="E565" t="inlineStr">
        <is>
          <t>Input</t>
        </is>
      </c>
      <c r="F565" t="n">
        <v/>
      </c>
      <c r="G565" t="n">
        <v>0.009599999999999999</v>
      </c>
      <c r="H565" t="inlineStr"/>
      <c r="I565" t="inlineStr">
        <is>
          <t>0.00%</t>
        </is>
      </c>
      <c r="J565" t="b">
        <v>0</v>
      </c>
      <c r="K565" t="b">
        <v>0</v>
      </c>
      <c r="L565" t="n">
        <v>11</v>
      </c>
      <c r="M565" t="n">
        <v/>
      </c>
      <c r="N565" t="inlineStr">
        <is>
          <t>00000000</t>
        </is>
      </c>
      <c r="O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Balance sheet</t>
        </is>
      </c>
      <c r="B566" t="inlineStr">
        <is>
          <t>O52</t>
        </is>
      </c>
      <c r="C566" t="n">
        <v>52</v>
      </c>
      <c r="D566" t="n">
        <v>15</v>
      </c>
      <c r="E566" t="inlineStr">
        <is>
          <t>Input</t>
        </is>
      </c>
      <c r="F566" t="n">
        <v/>
      </c>
      <c r="G566" t="n">
        <v>0.009599999999999999</v>
      </c>
      <c r="H566" t="inlineStr"/>
      <c r="I566" t="inlineStr">
        <is>
          <t>0.00%</t>
        </is>
      </c>
      <c r="J566" t="b">
        <v>0</v>
      </c>
      <c r="K566" t="b">
        <v>0</v>
      </c>
      <c r="L566" t="n">
        <v>11</v>
      </c>
      <c r="M566" t="n">
        <v/>
      </c>
      <c r="N566" t="inlineStr">
        <is>
          <t>00000000</t>
        </is>
      </c>
      <c r="O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</row>
    <row r="567">
      <c r="A567" t="inlineStr">
        <is>
          <t>Balance sheet</t>
        </is>
      </c>
      <c r="B567" t="inlineStr">
        <is>
          <t>A53</t>
        </is>
      </c>
      <c r="C567" t="n">
        <v>53</v>
      </c>
      <c r="D567" t="n">
        <v>1</v>
      </c>
      <c r="E567" t="inlineStr">
        <is>
          <t>Input</t>
        </is>
      </c>
      <c r="F567" t="n">
        <v/>
      </c>
      <c r="G567" t="inlineStr">
        <is>
          <t>Inventory as % of total expenses</t>
        </is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00000000</t>
        </is>
      </c>
      <c r="O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Balance sheet</t>
        </is>
      </c>
      <c r="B568" t="inlineStr">
        <is>
          <t>D53</t>
        </is>
      </c>
      <c r="C568" t="n">
        <v>53</v>
      </c>
      <c r="D568" t="n">
        <v>4</v>
      </c>
      <c r="E568" t="inlineStr">
        <is>
          <t>Calculation</t>
        </is>
      </c>
      <c r="F568" t="inlineStr">
        <is>
          <t>'=D41/('Income statement'!D14+'Income statement'!D16)</t>
        </is>
      </c>
      <c r="G568" t="n">
        <v>0.01647455449484216</v>
      </c>
      <c r="H568" t="inlineStr"/>
      <c r="I568" t="inlineStr">
        <is>
          <t>0.00%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00000000</t>
        </is>
      </c>
      <c r="O568" t="n">
        <v/>
      </c>
      <c r="R568" t="b">
        <v>1</v>
      </c>
      <c r="S568" t="inlineStr">
        <is>
          <t>G000218</t>
        </is>
      </c>
      <c r="T568" t="inlineStr">
        <is>
          <t>Horizontal</t>
        </is>
      </c>
      <c r="U568" t="n">
        <v>7</v>
      </c>
      <c r="V568" t="b">
        <v>1</v>
      </c>
      <c r="W568" t="inlineStr">
        <is>
          <t>Balance sheet!D53:J53</t>
        </is>
      </c>
      <c r="X568">
        <f>R[-12]C[0]/('Income statement'!R[-39]C[0]+'Income statement'!R[-37]C[0])</f>
        <v/>
      </c>
    </row>
    <row r="569">
      <c r="A569" t="inlineStr">
        <is>
          <t>Balance sheet</t>
        </is>
      </c>
      <c r="B569" t="inlineStr">
        <is>
          <t>E53</t>
        </is>
      </c>
      <c r="C569" t="n">
        <v>53</v>
      </c>
      <c r="D569" t="n">
        <v>5</v>
      </c>
      <c r="E569" t="inlineStr">
        <is>
          <t>Calculation</t>
        </is>
      </c>
      <c r="F569" t="inlineStr">
        <is>
          <t>'=E41/('Income statement'!E14+'Income statement'!E16)</t>
        </is>
      </c>
      <c r="G569" t="n">
        <v>0.007929500656514637</v>
      </c>
      <c r="H569" t="inlineStr"/>
      <c r="I569" t="inlineStr">
        <is>
          <t>0.00%</t>
        </is>
      </c>
      <c r="J569" t="b">
        <v>0</v>
      </c>
      <c r="K569" t="b">
        <v>0</v>
      </c>
      <c r="L569" t="n">
        <v>11</v>
      </c>
      <c r="M569" t="inlineStr">
        <is>
          <t>Values must be of type &lt;class 'str'&gt;</t>
        </is>
      </c>
      <c r="N569" t="inlineStr">
        <is>
          <t>00000000</t>
        </is>
      </c>
      <c r="O569" t="n">
        <v/>
      </c>
      <c r="R569" t="b">
        <v>1</v>
      </c>
      <c r="S569" t="inlineStr">
        <is>
          <t>G000218</t>
        </is>
      </c>
      <c r="T569" t="inlineStr">
        <is>
          <t>Horizontal</t>
        </is>
      </c>
      <c r="U569" t="n">
        <v>7</v>
      </c>
      <c r="V569" t="b">
        <v>1</v>
      </c>
      <c r="W569" t="inlineStr">
        <is>
          <t>Balance sheet!D53:J53</t>
        </is>
      </c>
      <c r="X569">
        <f>R[-12]C[0]/('Income statement'!R[-39]C[0]+'Income statement'!R[-37]C[0])</f>
        <v/>
      </c>
    </row>
    <row r="570">
      <c r="A570" t="inlineStr">
        <is>
          <t>Balance sheet</t>
        </is>
      </c>
      <c r="B570" t="inlineStr">
        <is>
          <t>F53</t>
        </is>
      </c>
      <c r="C570" t="n">
        <v>53</v>
      </c>
      <c r="D570" t="n">
        <v>6</v>
      </c>
      <c r="E570" t="inlineStr">
        <is>
          <t>Calculation</t>
        </is>
      </c>
      <c r="F570" t="inlineStr">
        <is>
          <t>'=F41/('Income statement'!F14+'Income statement'!F16)</t>
        </is>
      </c>
      <c r="G570" t="n">
        <v>0.007517962213017702</v>
      </c>
      <c r="H570" t="inlineStr"/>
      <c r="I570" t="inlineStr">
        <is>
          <t>0.00%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n">
        <v/>
      </c>
      <c r="R570" t="b">
        <v>1</v>
      </c>
      <c r="S570" t="inlineStr">
        <is>
          <t>G000218</t>
        </is>
      </c>
      <c r="T570" t="inlineStr">
        <is>
          <t>Horizontal</t>
        </is>
      </c>
      <c r="U570" t="n">
        <v>7</v>
      </c>
      <c r="V570" t="b">
        <v>1</v>
      </c>
      <c r="W570" t="inlineStr">
        <is>
          <t>Balance sheet!D53:J53</t>
        </is>
      </c>
      <c r="X570">
        <f>R[-12]C[0]/('Income statement'!R[-39]C[0]+'Income statement'!R[-37]C[0])</f>
        <v/>
      </c>
    </row>
    <row r="571">
      <c r="A571" t="inlineStr">
        <is>
          <t>Balance sheet</t>
        </is>
      </c>
      <c r="B571" t="inlineStr">
        <is>
          <t>G53</t>
        </is>
      </c>
      <c r="C571" t="n">
        <v>53</v>
      </c>
      <c r="D571" t="n">
        <v>7</v>
      </c>
      <c r="E571" t="inlineStr">
        <is>
          <t>Calculation</t>
        </is>
      </c>
      <c r="F571" t="inlineStr">
        <is>
          <t>'=G41/('Income statement'!G14+'Income statement'!G16)</t>
        </is>
      </c>
      <c r="G571" t="n">
        <v>0.00752528541081509</v>
      </c>
      <c r="H571" t="inlineStr"/>
      <c r="I571" t="inlineStr">
        <is>
          <t>0.00%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n">
        <v/>
      </c>
      <c r="R571" t="b">
        <v>1</v>
      </c>
      <c r="S571" t="inlineStr">
        <is>
          <t>G000218</t>
        </is>
      </c>
      <c r="T571" t="inlineStr">
        <is>
          <t>Horizontal</t>
        </is>
      </c>
      <c r="U571" t="n">
        <v>7</v>
      </c>
      <c r="V571" t="b">
        <v>1</v>
      </c>
      <c r="W571" t="inlineStr">
        <is>
          <t>Balance sheet!D53:J53</t>
        </is>
      </c>
      <c r="X571">
        <f>R[-12]C[0]/('Income statement'!R[-39]C[0]+'Income statement'!R[-37]C[0])</f>
        <v/>
      </c>
    </row>
    <row r="572">
      <c r="A572" t="inlineStr">
        <is>
          <t>Balance sheet</t>
        </is>
      </c>
      <c r="B572" t="inlineStr">
        <is>
          <t>H53</t>
        </is>
      </c>
      <c r="C572" t="n">
        <v>53</v>
      </c>
      <c r="D572" t="n">
        <v>8</v>
      </c>
      <c r="E572" t="inlineStr">
        <is>
          <t>Calculation</t>
        </is>
      </c>
      <c r="F572" t="inlineStr">
        <is>
          <t>'=H41/('Income statement'!H14+'Income statement'!H16)</t>
        </is>
      </c>
      <c r="G572" t="n">
        <v>0.0129217733573569</v>
      </c>
      <c r="H572" t="inlineStr"/>
      <c r="I572" t="inlineStr">
        <is>
          <t>0.00%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00000000</t>
        </is>
      </c>
      <c r="O572" t="n">
        <v/>
      </c>
      <c r="R572" t="b">
        <v>1</v>
      </c>
      <c r="S572" t="inlineStr">
        <is>
          <t>G000218</t>
        </is>
      </c>
      <c r="T572" t="inlineStr">
        <is>
          <t>Horizontal</t>
        </is>
      </c>
      <c r="U572" t="n">
        <v>7</v>
      </c>
      <c r="V572" t="b">
        <v>1</v>
      </c>
      <c r="W572" t="inlineStr">
        <is>
          <t>Balance sheet!D53:J53</t>
        </is>
      </c>
      <c r="X572">
        <f>R[-12]C[0]/('Income statement'!R[-39]C[0]+'Income statement'!R[-37]C[0])</f>
        <v/>
      </c>
    </row>
    <row r="573">
      <c r="A573" t="inlineStr">
        <is>
          <t>Balance sheet</t>
        </is>
      </c>
      <c r="B573" t="inlineStr">
        <is>
          <t>I53</t>
        </is>
      </c>
      <c r="C573" t="n">
        <v>53</v>
      </c>
      <c r="D573" t="n">
        <v>9</v>
      </c>
      <c r="E573" t="inlineStr">
        <is>
          <t>Calculation</t>
        </is>
      </c>
      <c r="F573" t="inlineStr">
        <is>
          <t>'=I41/('Income statement'!I14+'Income statement'!I16)</t>
        </is>
      </c>
      <c r="G573" t="n">
        <v>0.01204303102715118</v>
      </c>
      <c r="H573" t="inlineStr"/>
      <c r="I573" t="inlineStr">
        <is>
          <t>0.00%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00000000</t>
        </is>
      </c>
      <c r="O573" t="n">
        <v/>
      </c>
      <c r="R573" t="b">
        <v>1</v>
      </c>
      <c r="S573" t="inlineStr">
        <is>
          <t>G000218</t>
        </is>
      </c>
      <c r="T573" t="inlineStr">
        <is>
          <t>Horizontal</t>
        </is>
      </c>
      <c r="U573" t="n">
        <v>7</v>
      </c>
      <c r="V573" t="b">
        <v>1</v>
      </c>
      <c r="W573" t="inlineStr">
        <is>
          <t>Balance sheet!D53:J53</t>
        </is>
      </c>
      <c r="X573">
        <f>R[-12]C[0]/('Income statement'!R[-39]C[0]+'Income statement'!R[-37]C[0])</f>
        <v/>
      </c>
    </row>
    <row r="574">
      <c r="A574" t="inlineStr">
        <is>
          <t>Balance sheet</t>
        </is>
      </c>
      <c r="B574" t="inlineStr">
        <is>
          <t>J53</t>
        </is>
      </c>
      <c r="C574" t="n">
        <v>53</v>
      </c>
      <c r="D574" t="n">
        <v>10</v>
      </c>
      <c r="E574" t="inlineStr">
        <is>
          <t>Calculation</t>
        </is>
      </c>
      <c r="F574" t="inlineStr">
        <is>
          <t>'=J41/('Income statement'!J14+'Income statement'!J16)</t>
        </is>
      </c>
      <c r="G574" t="n">
        <v>0.01225598366569973</v>
      </c>
      <c r="H574" t="inlineStr"/>
      <c r="I574" t="inlineStr">
        <is>
          <t>0.00%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00000000</t>
        </is>
      </c>
      <c r="O574" t="n">
        <v/>
      </c>
      <c r="R574" t="b">
        <v>1</v>
      </c>
      <c r="S574" t="inlineStr">
        <is>
          <t>G000218</t>
        </is>
      </c>
      <c r="T574" t="inlineStr">
        <is>
          <t>Horizontal</t>
        </is>
      </c>
      <c r="U574" t="n">
        <v>7</v>
      </c>
      <c r="V574" t="b">
        <v>1</v>
      </c>
      <c r="W574" t="inlineStr">
        <is>
          <t>Balance sheet!D53:J53</t>
        </is>
      </c>
      <c r="X574">
        <f>R[-12]C[0]/('Income statement'!R[-39]C[0]+'Income statement'!R[-37]C[0])</f>
        <v/>
      </c>
    </row>
    <row r="575">
      <c r="A575" t="inlineStr">
        <is>
          <t>Balance sheet</t>
        </is>
      </c>
      <c r="B575" t="inlineStr">
        <is>
          <t>K53</t>
        </is>
      </c>
      <c r="C575" t="n">
        <v>53</v>
      </c>
      <c r="D575" t="n">
        <v>11</v>
      </c>
      <c r="E575" t="inlineStr">
        <is>
          <t>Calculation</t>
        </is>
      </c>
      <c r="F575" t="inlineStr">
        <is>
          <t>'=AVERAGE(D53:J53)</t>
        </is>
      </c>
      <c r="G575" t="n">
        <v>0.0109525844036282</v>
      </c>
      <c r="H575" t="inlineStr"/>
      <c r="I575" t="inlineStr">
        <is>
          <t>0.00%</t>
        </is>
      </c>
      <c r="J575" t="b">
        <v>0</v>
      </c>
      <c r="K575" t="b">
        <v>0</v>
      </c>
      <c r="L575" t="n">
        <v>11</v>
      </c>
      <c r="M575" t="n">
        <v/>
      </c>
      <c r="N575" t="inlineStr">
        <is>
          <t>00000000</t>
        </is>
      </c>
      <c r="O575" t="n">
        <v/>
      </c>
      <c r="R575" t="b">
        <v>1</v>
      </c>
      <c r="S575" t="inlineStr">
        <is>
          <t>G000215</t>
        </is>
      </c>
      <c r="T575" t="inlineStr">
        <is>
          <t>Vertical</t>
        </is>
      </c>
      <c r="U575" t="n">
        <v>2</v>
      </c>
      <c r="V575" t="b">
        <v>1</v>
      </c>
      <c r="W575" t="inlineStr">
        <is>
          <t>Balance sheet!K53:K54</t>
        </is>
      </c>
      <c r="X575">
        <f>AVERAGE(R[0]C[-7]:R[0]C[-1])</f>
        <v/>
      </c>
    </row>
    <row r="576">
      <c r="A576" t="inlineStr">
        <is>
          <t>Balance sheet</t>
        </is>
      </c>
      <c r="B576" t="inlineStr">
        <is>
          <t>L53</t>
        </is>
      </c>
      <c r="C576" t="n">
        <v>53</v>
      </c>
      <c r="D576" t="n">
        <v>12</v>
      </c>
      <c r="E576" t="inlineStr">
        <is>
          <t>Calculation</t>
        </is>
      </c>
      <c r="F576" t="inlineStr">
        <is>
          <t>'=K53</t>
        </is>
      </c>
      <c r="G576" t="n">
        <v>0.0109525844036282</v>
      </c>
      <c r="H576" t="inlineStr"/>
      <c r="I576" t="inlineStr">
        <is>
          <t>0.00%</t>
        </is>
      </c>
      <c r="J576" t="b">
        <v>0</v>
      </c>
      <c r="K576" t="b">
        <v>0</v>
      </c>
      <c r="L576" t="n">
        <v>11</v>
      </c>
      <c r="M576" t="n">
        <v/>
      </c>
      <c r="N576" t="inlineStr">
        <is>
          <t>00000000</t>
        </is>
      </c>
      <c r="O576" t="n">
        <v/>
      </c>
      <c r="R576" t="b">
        <v>1</v>
      </c>
      <c r="S576" t="inlineStr">
        <is>
          <t>G000183</t>
        </is>
      </c>
      <c r="T576" t="inlineStr">
        <is>
          <t>Horizontal</t>
        </is>
      </c>
      <c r="U576" t="n">
        <v>4</v>
      </c>
      <c r="V576" t="b">
        <v>1</v>
      </c>
      <c r="W576" t="inlineStr">
        <is>
          <t>Balance sheet!L53:O53</t>
        </is>
      </c>
      <c r="X576">
        <f>R[0]C[-1]</f>
        <v/>
      </c>
    </row>
    <row r="577">
      <c r="A577" t="inlineStr">
        <is>
          <t>Balance sheet</t>
        </is>
      </c>
      <c r="B577" t="inlineStr">
        <is>
          <t>M53</t>
        </is>
      </c>
      <c r="C577" t="n">
        <v>53</v>
      </c>
      <c r="D577" t="n">
        <v>13</v>
      </c>
      <c r="E577" t="inlineStr">
        <is>
          <t>Calculation</t>
        </is>
      </c>
      <c r="F577" t="inlineStr">
        <is>
          <t>'=L53</t>
        </is>
      </c>
      <c r="G577" t="n">
        <v>0.0109525844036282</v>
      </c>
      <c r="H577" t="inlineStr"/>
      <c r="I577" t="inlineStr">
        <is>
          <t>0.00%</t>
        </is>
      </c>
      <c r="J577" t="b">
        <v>0</v>
      </c>
      <c r="K577" t="b">
        <v>0</v>
      </c>
      <c r="L577" t="n">
        <v>11</v>
      </c>
      <c r="M577" t="n">
        <v/>
      </c>
      <c r="N577" t="inlineStr">
        <is>
          <t>00000000</t>
        </is>
      </c>
      <c r="O577" t="n">
        <v/>
      </c>
      <c r="R577" t="b">
        <v>1</v>
      </c>
      <c r="S577" t="inlineStr">
        <is>
          <t>G000183</t>
        </is>
      </c>
      <c r="T577" t="inlineStr">
        <is>
          <t>Horizontal</t>
        </is>
      </c>
      <c r="U577" t="n">
        <v>4</v>
      </c>
      <c r="V577" t="b">
        <v>1</v>
      </c>
      <c r="W577" t="inlineStr">
        <is>
          <t>Balance sheet!L53:O53</t>
        </is>
      </c>
      <c r="X577">
        <f>R[0]C[-1]</f>
        <v/>
      </c>
    </row>
    <row r="578">
      <c r="A578" t="inlineStr">
        <is>
          <t>Balance sheet</t>
        </is>
      </c>
      <c r="B578" t="inlineStr">
        <is>
          <t>N53</t>
        </is>
      </c>
      <c r="C578" t="n">
        <v>53</v>
      </c>
      <c r="D578" t="n">
        <v>14</v>
      </c>
      <c r="E578" t="inlineStr">
        <is>
          <t>Calculation</t>
        </is>
      </c>
      <c r="F578" t="inlineStr">
        <is>
          <t>'=M53</t>
        </is>
      </c>
      <c r="G578" t="n">
        <v>0.0109525844036282</v>
      </c>
      <c r="H578" t="inlineStr"/>
      <c r="I578" t="inlineStr">
        <is>
          <t>0.00%</t>
        </is>
      </c>
      <c r="J578" t="b">
        <v>0</v>
      </c>
      <c r="K578" t="b">
        <v>0</v>
      </c>
      <c r="L578" t="n">
        <v>11</v>
      </c>
      <c r="M578" t="n">
        <v/>
      </c>
      <c r="N578" t="inlineStr">
        <is>
          <t>00000000</t>
        </is>
      </c>
      <c r="O578" t="n">
        <v/>
      </c>
      <c r="R578" t="b">
        <v>1</v>
      </c>
      <c r="S578" t="inlineStr">
        <is>
          <t>G000183</t>
        </is>
      </c>
      <c r="T578" t="inlineStr">
        <is>
          <t>Horizontal</t>
        </is>
      </c>
      <c r="U578" t="n">
        <v>4</v>
      </c>
      <c r="V578" t="b">
        <v>1</v>
      </c>
      <c r="W578" t="inlineStr">
        <is>
          <t>Balance sheet!L53:O53</t>
        </is>
      </c>
      <c r="X578">
        <f>R[0]C[-1]</f>
        <v/>
      </c>
    </row>
    <row r="579">
      <c r="A579" t="inlineStr">
        <is>
          <t>Balance sheet</t>
        </is>
      </c>
      <c r="B579" t="inlineStr">
        <is>
          <t>O53</t>
        </is>
      </c>
      <c r="C579" t="n">
        <v>53</v>
      </c>
      <c r="D579" t="n">
        <v>15</v>
      </c>
      <c r="E579" t="inlineStr">
        <is>
          <t>Calculation</t>
        </is>
      </c>
      <c r="F579" t="inlineStr">
        <is>
          <t>'=N53</t>
        </is>
      </c>
      <c r="G579" t="n">
        <v>0.0109525844036282</v>
      </c>
      <c r="H579" t="inlineStr"/>
      <c r="I579" t="inlineStr">
        <is>
          <t>0.00%</t>
        </is>
      </c>
      <c r="J579" t="b">
        <v>0</v>
      </c>
      <c r="K579" t="b">
        <v>0</v>
      </c>
      <c r="L579" t="n">
        <v>11</v>
      </c>
      <c r="M579" t="n">
        <v/>
      </c>
      <c r="N579" t="inlineStr">
        <is>
          <t>00000000</t>
        </is>
      </c>
      <c r="O579" t="n">
        <v/>
      </c>
      <c r="R579" t="b">
        <v>1</v>
      </c>
      <c r="S579" t="inlineStr">
        <is>
          <t>G000183</t>
        </is>
      </c>
      <c r="T579" t="inlineStr">
        <is>
          <t>Horizontal</t>
        </is>
      </c>
      <c r="U579" t="n">
        <v>4</v>
      </c>
      <c r="V579" t="b">
        <v>1</v>
      </c>
      <c r="W579" t="inlineStr">
        <is>
          <t>Balance sheet!L53:O53</t>
        </is>
      </c>
      <c r="X579">
        <f>R[0]C[-1]</f>
        <v/>
      </c>
    </row>
    <row r="580">
      <c r="A580" t="inlineStr">
        <is>
          <t>Balance sheet</t>
        </is>
      </c>
      <c r="B580" t="inlineStr">
        <is>
          <t>A54</t>
        </is>
      </c>
      <c r="C580" t="n">
        <v>54</v>
      </c>
      <c r="D580" t="n">
        <v>1</v>
      </c>
      <c r="E580" t="inlineStr">
        <is>
          <t>Input</t>
        </is>
      </c>
      <c r="F580" t="n">
        <v/>
      </c>
      <c r="G580" t="inlineStr">
        <is>
          <t>Trade receivable as a % of Revenue</t>
        </is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</row>
    <row r="581">
      <c r="A581" t="inlineStr">
        <is>
          <t>Balance sheet</t>
        </is>
      </c>
      <c r="B581" t="inlineStr">
        <is>
          <t>D54</t>
        </is>
      </c>
      <c r="C581" t="n">
        <v>54</v>
      </c>
      <c r="D581" t="n">
        <v>4</v>
      </c>
      <c r="E581" t="inlineStr">
        <is>
          <t>Calculation</t>
        </is>
      </c>
      <c r="F581" t="inlineStr">
        <is>
          <t>'=D42/'Income statement'!D7</t>
        </is>
      </c>
      <c r="G581" t="n">
        <v>0.004345466972051067</v>
      </c>
      <c r="H581" t="inlineStr"/>
      <c r="I581" t="inlineStr">
        <is>
          <t>0.00%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n">
        <v/>
      </c>
      <c r="R581" t="b">
        <v>1</v>
      </c>
      <c r="S581" t="inlineStr">
        <is>
          <t>G000219</t>
        </is>
      </c>
      <c r="T581" t="inlineStr">
        <is>
          <t>Horizontal</t>
        </is>
      </c>
      <c r="U581" t="n">
        <v>7</v>
      </c>
      <c r="V581" t="b">
        <v>1</v>
      </c>
      <c r="W581" t="inlineStr">
        <is>
          <t>Balance sheet!D54:J54</t>
        </is>
      </c>
      <c r="X581">
        <f>R[-12]C[0]/'Income statement'!R[-47]C[0]</f>
        <v/>
      </c>
    </row>
    <row r="582">
      <c r="A582" t="inlineStr">
        <is>
          <t>Balance sheet</t>
        </is>
      </c>
      <c r="B582" t="inlineStr">
        <is>
          <t>E54</t>
        </is>
      </c>
      <c r="C582" t="n">
        <v>54</v>
      </c>
      <c r="D582" t="n">
        <v>5</v>
      </c>
      <c r="E582" t="inlineStr">
        <is>
          <t>Calculation</t>
        </is>
      </c>
      <c r="F582" t="inlineStr">
        <is>
          <t>'=E42/'Income statement'!E7</t>
        </is>
      </c>
      <c r="G582" t="n">
        <v>0.006994138006634727</v>
      </c>
      <c r="H582" t="inlineStr"/>
      <c r="I582" t="inlineStr">
        <is>
          <t>0.00%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n">
        <v/>
      </c>
      <c r="R582" t="b">
        <v>1</v>
      </c>
      <c r="S582" t="inlineStr">
        <is>
          <t>G000219</t>
        </is>
      </c>
      <c r="T582" t="inlineStr">
        <is>
          <t>Horizontal</t>
        </is>
      </c>
      <c r="U582" t="n">
        <v>7</v>
      </c>
      <c r="V582" t="b">
        <v>1</v>
      </c>
      <c r="W582" t="inlineStr">
        <is>
          <t>Balance sheet!D54:J54</t>
        </is>
      </c>
      <c r="X582">
        <f>R[-12]C[0]/'Income statement'!R[-47]C[0]</f>
        <v/>
      </c>
    </row>
    <row r="583">
      <c r="A583" t="inlineStr">
        <is>
          <t>Balance sheet</t>
        </is>
      </c>
      <c r="B583" t="inlineStr">
        <is>
          <t>F54</t>
        </is>
      </c>
      <c r="C583" t="n">
        <v>54</v>
      </c>
      <c r="D583" t="n">
        <v>6</v>
      </c>
      <c r="E583" t="inlineStr">
        <is>
          <t>Calculation</t>
        </is>
      </c>
      <c r="F583" t="inlineStr">
        <is>
          <t>'=F42/'Income statement'!F7</t>
        </is>
      </c>
      <c r="G583" t="n">
        <v>0.007445510386140368</v>
      </c>
      <c r="H583" t="inlineStr"/>
      <c r="I583" t="inlineStr">
        <is>
          <t>0.00%</t>
        </is>
      </c>
      <c r="J583" t="b">
        <v>0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00000000</t>
        </is>
      </c>
      <c r="O583" t="n">
        <v/>
      </c>
      <c r="R583" t="b">
        <v>1</v>
      </c>
      <c r="S583" t="inlineStr">
        <is>
          <t>G000219</t>
        </is>
      </c>
      <c r="T583" t="inlineStr">
        <is>
          <t>Horizontal</t>
        </is>
      </c>
      <c r="U583" t="n">
        <v>7</v>
      </c>
      <c r="V583" t="b">
        <v>1</v>
      </c>
      <c r="W583" t="inlineStr">
        <is>
          <t>Balance sheet!D54:J54</t>
        </is>
      </c>
      <c r="X583">
        <f>R[-12]C[0]/'Income statement'!R[-47]C[0]</f>
        <v/>
      </c>
    </row>
    <row r="584">
      <c r="A584" t="inlineStr">
        <is>
          <t>Balance sheet</t>
        </is>
      </c>
      <c r="B584" t="inlineStr">
        <is>
          <t>G54</t>
        </is>
      </c>
      <c r="C584" t="n">
        <v>54</v>
      </c>
      <c r="D584" t="n">
        <v>7</v>
      </c>
      <c r="E584" t="inlineStr">
        <is>
          <t>Calculation</t>
        </is>
      </c>
      <c r="F584" t="inlineStr">
        <is>
          <t>'=G42/'Income statement'!G7</t>
        </is>
      </c>
      <c r="G584" t="n">
        <v>0.008017031131146043</v>
      </c>
      <c r="H584" t="inlineStr"/>
      <c r="I584" t="inlineStr">
        <is>
          <t>0.00%</t>
        </is>
      </c>
      <c r="J584" t="b">
        <v>0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00000000</t>
        </is>
      </c>
      <c r="O584" t="n">
        <v/>
      </c>
      <c r="R584" t="b">
        <v>1</v>
      </c>
      <c r="S584" t="inlineStr">
        <is>
          <t>G000219</t>
        </is>
      </c>
      <c r="T584" t="inlineStr">
        <is>
          <t>Horizontal</t>
        </is>
      </c>
      <c r="U584" t="n">
        <v>7</v>
      </c>
      <c r="V584" t="b">
        <v>1</v>
      </c>
      <c r="W584" t="inlineStr">
        <is>
          <t>Balance sheet!D54:J54</t>
        </is>
      </c>
      <c r="X584">
        <f>R[-12]C[0]/'Income statement'!R[-47]C[0]</f>
        <v/>
      </c>
    </row>
    <row r="585">
      <c r="A585" t="inlineStr">
        <is>
          <t>Balance sheet</t>
        </is>
      </c>
      <c r="B585" t="inlineStr">
        <is>
          <t>H54</t>
        </is>
      </c>
      <c r="C585" t="n">
        <v>54</v>
      </c>
      <c r="D585" t="n">
        <v>8</v>
      </c>
      <c r="E585" t="inlineStr">
        <is>
          <t>Calculation</t>
        </is>
      </c>
      <c r="F585" t="inlineStr">
        <is>
          <t>'=H42/'Income statement'!H7</t>
        </is>
      </c>
      <c r="G585" t="n">
        <v>0.007507897834565716</v>
      </c>
      <c r="H585" t="inlineStr"/>
      <c r="I585" t="inlineStr">
        <is>
          <t>0.00%</t>
        </is>
      </c>
      <c r="J585" t="b">
        <v>0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00000000</t>
        </is>
      </c>
      <c r="O585" t="n">
        <v/>
      </c>
      <c r="R585" t="b">
        <v>1</v>
      </c>
      <c r="S585" t="inlineStr">
        <is>
          <t>G000219</t>
        </is>
      </c>
      <c r="T585" t="inlineStr">
        <is>
          <t>Horizontal</t>
        </is>
      </c>
      <c r="U585" t="n">
        <v>7</v>
      </c>
      <c r="V585" t="b">
        <v>1</v>
      </c>
      <c r="W585" t="inlineStr">
        <is>
          <t>Balance sheet!D54:J54</t>
        </is>
      </c>
      <c r="X585">
        <f>R[-12]C[0]/'Income statement'!R[-47]C[0]</f>
        <v/>
      </c>
    </row>
    <row r="586">
      <c r="A586" t="inlineStr">
        <is>
          <t>Balance sheet</t>
        </is>
      </c>
      <c r="B586" t="inlineStr">
        <is>
          <t>I54</t>
        </is>
      </c>
      <c r="C586" t="n">
        <v>54</v>
      </c>
      <c r="D586" t="n">
        <v>9</v>
      </c>
      <c r="E586" t="inlineStr">
        <is>
          <t>Calculation</t>
        </is>
      </c>
      <c r="F586" t="inlineStr">
        <is>
          <t>'=I42/'Income statement'!I7</t>
        </is>
      </c>
      <c r="G586" t="n">
        <v>0.009734503459715913</v>
      </c>
      <c r="H586" t="inlineStr"/>
      <c r="I586" t="inlineStr">
        <is>
          <t>0.00%</t>
        </is>
      </c>
      <c r="J586" t="b">
        <v>0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00000000</t>
        </is>
      </c>
      <c r="O586" t="n">
        <v/>
      </c>
      <c r="R586" t="b">
        <v>1</v>
      </c>
      <c r="S586" t="inlineStr">
        <is>
          <t>G000219</t>
        </is>
      </c>
      <c r="T586" t="inlineStr">
        <is>
          <t>Horizontal</t>
        </is>
      </c>
      <c r="U586" t="n">
        <v>7</v>
      </c>
      <c r="V586" t="b">
        <v>1</v>
      </c>
      <c r="W586" t="inlineStr">
        <is>
          <t>Balance sheet!D54:J54</t>
        </is>
      </c>
      <c r="X586">
        <f>R[-12]C[0]/'Income statement'!R[-47]C[0]</f>
        <v/>
      </c>
    </row>
    <row r="587">
      <c r="A587" t="inlineStr">
        <is>
          <t>Balance sheet</t>
        </is>
      </c>
      <c r="B587" t="inlineStr">
        <is>
          <t>J54</t>
        </is>
      </c>
      <c r="C587" t="n">
        <v>54</v>
      </c>
      <c r="D587" t="n">
        <v>10</v>
      </c>
      <c r="E587" t="inlineStr">
        <is>
          <t>Calculation</t>
        </is>
      </c>
      <c r="F587" t="inlineStr">
        <is>
          <t>'=J42/'Income statement'!J7</t>
        </is>
      </c>
      <c r="G587" t="n">
        <v>0.008541320201286295</v>
      </c>
      <c r="H587" t="inlineStr"/>
      <c r="I587" t="inlineStr">
        <is>
          <t>0.00%</t>
        </is>
      </c>
      <c r="J587" t="b">
        <v>0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00000000</t>
        </is>
      </c>
      <c r="O587" t="n">
        <v/>
      </c>
      <c r="R587" t="b">
        <v>1</v>
      </c>
      <c r="S587" t="inlineStr">
        <is>
          <t>G000219</t>
        </is>
      </c>
      <c r="T587" t="inlineStr">
        <is>
          <t>Horizontal</t>
        </is>
      </c>
      <c r="U587" t="n">
        <v>7</v>
      </c>
      <c r="V587" t="b">
        <v>1</v>
      </c>
      <c r="W587" t="inlineStr">
        <is>
          <t>Balance sheet!D54:J54</t>
        </is>
      </c>
      <c r="X587">
        <f>R[-12]C[0]/'Income statement'!R[-47]C[0]</f>
        <v/>
      </c>
    </row>
    <row r="588">
      <c r="A588" t="inlineStr">
        <is>
          <t>Balance sheet</t>
        </is>
      </c>
      <c r="B588" t="inlineStr">
        <is>
          <t>K54</t>
        </is>
      </c>
      <c r="C588" t="n">
        <v>54</v>
      </c>
      <c r="D588" t="n">
        <v>11</v>
      </c>
      <c r="E588" t="inlineStr">
        <is>
          <t>Calculation</t>
        </is>
      </c>
      <c r="F588" t="inlineStr">
        <is>
          <t>'=AVERAGE(D54:J54)</t>
        </is>
      </c>
      <c r="G588" t="n">
        <v>0.007512266855934305</v>
      </c>
      <c r="H588" t="inlineStr"/>
      <c r="I588" t="inlineStr">
        <is>
          <t>0.00%</t>
        </is>
      </c>
      <c r="J588" t="b">
        <v>0</v>
      </c>
      <c r="K588" t="b">
        <v>0</v>
      </c>
      <c r="L588" t="n">
        <v>11</v>
      </c>
      <c r="M588" t="n">
        <v/>
      </c>
      <c r="N588" t="inlineStr">
        <is>
          <t>00000000</t>
        </is>
      </c>
      <c r="O588" t="n">
        <v/>
      </c>
      <c r="R588" t="b">
        <v>1</v>
      </c>
      <c r="S588" t="inlineStr">
        <is>
          <t>G000215</t>
        </is>
      </c>
      <c r="T588" t="inlineStr">
        <is>
          <t>Vertical</t>
        </is>
      </c>
      <c r="U588" t="n">
        <v>2</v>
      </c>
      <c r="V588" t="b">
        <v>1</v>
      </c>
      <c r="W588" t="inlineStr">
        <is>
          <t>Balance sheet!K53:K54</t>
        </is>
      </c>
      <c r="X588">
        <f>AVERAGE(R[0]C[-7]:R[0]C[-1])</f>
        <v/>
      </c>
    </row>
    <row r="589">
      <c r="A589" t="inlineStr">
        <is>
          <t>Balance sheet</t>
        </is>
      </c>
      <c r="B589" t="inlineStr">
        <is>
          <t>L54</t>
        </is>
      </c>
      <c r="C589" t="n">
        <v>54</v>
      </c>
      <c r="D589" t="n">
        <v>12</v>
      </c>
      <c r="E589" t="inlineStr">
        <is>
          <t>Calculation</t>
        </is>
      </c>
      <c r="F589" t="inlineStr">
        <is>
          <t>'=K54</t>
        </is>
      </c>
      <c r="G589" t="n">
        <v>0.007512266855934305</v>
      </c>
      <c r="H589" t="inlineStr"/>
      <c r="I589" t="inlineStr">
        <is>
          <t>0.00%</t>
        </is>
      </c>
      <c r="J589" t="b">
        <v>0</v>
      </c>
      <c r="K589" t="b">
        <v>0</v>
      </c>
      <c r="L589" t="n">
        <v>11</v>
      </c>
      <c r="M589" t="n">
        <v/>
      </c>
      <c r="N589" t="inlineStr">
        <is>
          <t>00000000</t>
        </is>
      </c>
      <c r="O589" t="n">
        <v/>
      </c>
      <c r="R589" t="b">
        <v>1</v>
      </c>
      <c r="S589" t="inlineStr">
        <is>
          <t>G000184</t>
        </is>
      </c>
      <c r="T589" t="inlineStr">
        <is>
          <t>Horizontal</t>
        </is>
      </c>
      <c r="U589" t="n">
        <v>4</v>
      </c>
      <c r="V589" t="b">
        <v>1</v>
      </c>
      <c r="W589" t="inlineStr">
        <is>
          <t>Balance sheet!L54:O54</t>
        </is>
      </c>
      <c r="X589">
        <f>R[0]C[-1]</f>
        <v/>
      </c>
    </row>
    <row r="590">
      <c r="A590" t="inlineStr">
        <is>
          <t>Balance sheet</t>
        </is>
      </c>
      <c r="B590" t="inlineStr">
        <is>
          <t>M54</t>
        </is>
      </c>
      <c r="C590" t="n">
        <v>54</v>
      </c>
      <c r="D590" t="n">
        <v>13</v>
      </c>
      <c r="E590" t="inlineStr">
        <is>
          <t>Calculation</t>
        </is>
      </c>
      <c r="F590" t="inlineStr">
        <is>
          <t>'=L54</t>
        </is>
      </c>
      <c r="G590" t="n">
        <v>0.007512266855934305</v>
      </c>
      <c r="H590" t="inlineStr"/>
      <c r="I590" t="inlineStr">
        <is>
          <t>0.00%</t>
        </is>
      </c>
      <c r="J590" t="b">
        <v>0</v>
      </c>
      <c r="K590" t="b">
        <v>0</v>
      </c>
      <c r="L590" t="n">
        <v>11</v>
      </c>
      <c r="M590" t="n">
        <v/>
      </c>
      <c r="N590" t="inlineStr">
        <is>
          <t>00000000</t>
        </is>
      </c>
      <c r="O590" t="n">
        <v/>
      </c>
      <c r="R590" t="b">
        <v>1</v>
      </c>
      <c r="S590" t="inlineStr">
        <is>
          <t>G000184</t>
        </is>
      </c>
      <c r="T590" t="inlineStr">
        <is>
          <t>Horizontal</t>
        </is>
      </c>
      <c r="U590" t="n">
        <v>4</v>
      </c>
      <c r="V590" t="b">
        <v>1</v>
      </c>
      <c r="W590" t="inlineStr">
        <is>
          <t>Balance sheet!L54:O54</t>
        </is>
      </c>
      <c r="X590">
        <f>R[0]C[-1]</f>
        <v/>
      </c>
    </row>
    <row r="591">
      <c r="A591" t="inlineStr">
        <is>
          <t>Balance sheet</t>
        </is>
      </c>
      <c r="B591" t="inlineStr">
        <is>
          <t>N54</t>
        </is>
      </c>
      <c r="C591" t="n">
        <v>54</v>
      </c>
      <c r="D591" t="n">
        <v>14</v>
      </c>
      <c r="E591" t="inlineStr">
        <is>
          <t>Calculation</t>
        </is>
      </c>
      <c r="F591" t="inlineStr">
        <is>
          <t>'=M54</t>
        </is>
      </c>
      <c r="G591" t="n">
        <v>0.007512266855934305</v>
      </c>
      <c r="H591" t="inlineStr"/>
      <c r="I591" t="inlineStr">
        <is>
          <t>0.00%</t>
        </is>
      </c>
      <c r="J591" t="b">
        <v>0</v>
      </c>
      <c r="K591" t="b">
        <v>0</v>
      </c>
      <c r="L591" t="n">
        <v>11</v>
      </c>
      <c r="M591" t="n">
        <v/>
      </c>
      <c r="N591" t="inlineStr">
        <is>
          <t>00000000</t>
        </is>
      </c>
      <c r="O591" t="n">
        <v/>
      </c>
      <c r="R591" t="b">
        <v>1</v>
      </c>
      <c r="S591" t="inlineStr">
        <is>
          <t>G000184</t>
        </is>
      </c>
      <c r="T591" t="inlineStr">
        <is>
          <t>Horizontal</t>
        </is>
      </c>
      <c r="U591" t="n">
        <v>4</v>
      </c>
      <c r="V591" t="b">
        <v>1</v>
      </c>
      <c r="W591" t="inlineStr">
        <is>
          <t>Balance sheet!L54:O54</t>
        </is>
      </c>
      <c r="X591">
        <f>R[0]C[-1]</f>
        <v/>
      </c>
    </row>
    <row r="592">
      <c r="A592" t="inlineStr">
        <is>
          <t>Balance sheet</t>
        </is>
      </c>
      <c r="B592" t="inlineStr">
        <is>
          <t>O54</t>
        </is>
      </c>
      <c r="C592" t="n">
        <v>54</v>
      </c>
      <c r="D592" t="n">
        <v>15</v>
      </c>
      <c r="E592" t="inlineStr">
        <is>
          <t>Calculation</t>
        </is>
      </c>
      <c r="F592" t="inlineStr">
        <is>
          <t>'=N54</t>
        </is>
      </c>
      <c r="G592" t="n">
        <v>0.007512266855934305</v>
      </c>
      <c r="H592" t="inlineStr"/>
      <c r="I592" t="inlineStr">
        <is>
          <t>0.00%</t>
        </is>
      </c>
      <c r="J592" t="b">
        <v>0</v>
      </c>
      <c r="K592" t="b">
        <v>0</v>
      </c>
      <c r="L592" t="n">
        <v>11</v>
      </c>
      <c r="M592" t="n">
        <v/>
      </c>
      <c r="N592" t="inlineStr">
        <is>
          <t>00000000</t>
        </is>
      </c>
      <c r="O592" t="n">
        <v/>
      </c>
      <c r="R592" t="b">
        <v>1</v>
      </c>
      <c r="S592" t="inlineStr">
        <is>
          <t>G000184</t>
        </is>
      </c>
      <c r="T592" t="inlineStr">
        <is>
          <t>Horizontal</t>
        </is>
      </c>
      <c r="U592" t="n">
        <v>4</v>
      </c>
      <c r="V592" t="b">
        <v>1</v>
      </c>
      <c r="W592" t="inlineStr">
        <is>
          <t>Balance sheet!L54:O54</t>
        </is>
      </c>
      <c r="X592">
        <f>R[0]C[-1]</f>
        <v/>
      </c>
    </row>
    <row r="593">
      <c r="A593" t="inlineStr">
        <is>
          <t>Balance sheet</t>
        </is>
      </c>
      <c r="B593" t="inlineStr">
        <is>
          <t>A55</t>
        </is>
      </c>
      <c r="C593" t="n">
        <v>55</v>
      </c>
      <c r="D593" t="n">
        <v>1</v>
      </c>
      <c r="E593" t="inlineStr">
        <is>
          <t>Input</t>
        </is>
      </c>
      <c r="F593" t="n">
        <v/>
      </c>
      <c r="G593" t="inlineStr">
        <is>
          <t>Short term loans and advances as a %pf sales</t>
        </is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n">
        <v/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</row>
    <row r="594">
      <c r="A594" t="inlineStr">
        <is>
          <t>Balance sheet</t>
        </is>
      </c>
      <c r="B594" t="inlineStr">
        <is>
          <t>D55</t>
        </is>
      </c>
      <c r="C594" t="n">
        <v>55</v>
      </c>
      <c r="D594" t="n">
        <v>4</v>
      </c>
      <c r="E594" t="inlineStr">
        <is>
          <t>Output</t>
        </is>
      </c>
      <c r="F594" t="inlineStr">
        <is>
          <t>'=D44/'Income statement'!D7</t>
        </is>
      </c>
      <c r="G594" t="n">
        <v>0.06498974805787</v>
      </c>
      <c r="H594" t="inlineStr"/>
      <c r="I594" t="inlineStr">
        <is>
          <t>0.00%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00000000</t>
        </is>
      </c>
      <c r="O594" t="n">
        <v/>
      </c>
      <c r="R594" t="b">
        <v>1</v>
      </c>
      <c r="S594" t="inlineStr">
        <is>
          <t>G000220</t>
        </is>
      </c>
      <c r="T594" t="inlineStr">
        <is>
          <t>Horizontal</t>
        </is>
      </c>
      <c r="U594" t="n">
        <v>7</v>
      </c>
      <c r="V594" t="b">
        <v>1</v>
      </c>
      <c r="W594" t="inlineStr">
        <is>
          <t>Balance sheet!D55:J55</t>
        </is>
      </c>
      <c r="X594">
        <f>R[-11]C[0]/'Income statement'!R[-48]C[0]</f>
        <v/>
      </c>
    </row>
    <row r="595">
      <c r="A595" t="inlineStr">
        <is>
          <t>Balance sheet</t>
        </is>
      </c>
      <c r="B595" t="inlineStr">
        <is>
          <t>E55</t>
        </is>
      </c>
      <c r="C595" t="n">
        <v>55</v>
      </c>
      <c r="D595" t="n">
        <v>5</v>
      </c>
      <c r="E595" t="inlineStr">
        <is>
          <t>Output</t>
        </is>
      </c>
      <c r="F595" t="inlineStr">
        <is>
          <t>'=E44/'Income statement'!E7</t>
        </is>
      </c>
      <c r="G595" t="n">
        <v>0.05713646476154877</v>
      </c>
      <c r="H595" t="inlineStr"/>
      <c r="I595" t="inlineStr">
        <is>
          <t>0.00%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00000000</t>
        </is>
      </c>
      <c r="O595" t="n">
        <v/>
      </c>
      <c r="R595" t="b">
        <v>1</v>
      </c>
      <c r="S595" t="inlineStr">
        <is>
          <t>G000220</t>
        </is>
      </c>
      <c r="T595" t="inlineStr">
        <is>
          <t>Horizontal</t>
        </is>
      </c>
      <c r="U595" t="n">
        <v>7</v>
      </c>
      <c r="V595" t="b">
        <v>1</v>
      </c>
      <c r="W595" t="inlineStr">
        <is>
          <t>Balance sheet!D55:J55</t>
        </is>
      </c>
      <c r="X595">
        <f>R[-11]C[0]/'Income statement'!R[-48]C[0]</f>
        <v/>
      </c>
    </row>
    <row r="596">
      <c r="A596" t="inlineStr">
        <is>
          <t>Balance sheet</t>
        </is>
      </c>
      <c r="B596" t="inlineStr">
        <is>
          <t>F55</t>
        </is>
      </c>
      <c r="C596" t="n">
        <v>55</v>
      </c>
      <c r="D596" t="n">
        <v>6</v>
      </c>
      <c r="E596" t="inlineStr">
        <is>
          <t>Output</t>
        </is>
      </c>
      <c r="F596" t="inlineStr">
        <is>
          <t>'=F44/'Income statement'!F7</t>
        </is>
      </c>
      <c r="G596" t="n">
        <v>0.03897141515984236</v>
      </c>
      <c r="H596" t="inlineStr"/>
      <c r="I596" t="inlineStr">
        <is>
          <t>0.00%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n">
        <v/>
      </c>
      <c r="R596" t="b">
        <v>1</v>
      </c>
      <c r="S596" t="inlineStr">
        <is>
          <t>G000220</t>
        </is>
      </c>
      <c r="T596" t="inlineStr">
        <is>
          <t>Horizontal</t>
        </is>
      </c>
      <c r="U596" t="n">
        <v>7</v>
      </c>
      <c r="V596" t="b">
        <v>1</v>
      </c>
      <c r="W596" t="inlineStr">
        <is>
          <t>Balance sheet!D55:J55</t>
        </is>
      </c>
      <c r="X596">
        <f>R[-11]C[0]/'Income statement'!R[-48]C[0]</f>
        <v/>
      </c>
    </row>
    <row r="597">
      <c r="A597" t="inlineStr">
        <is>
          <t>Balance sheet</t>
        </is>
      </c>
      <c r="B597" t="inlineStr">
        <is>
          <t>G55</t>
        </is>
      </c>
      <c r="C597" t="n">
        <v>55</v>
      </c>
      <c r="D597" t="n">
        <v>7</v>
      </c>
      <c r="E597" t="inlineStr">
        <is>
          <t>Output</t>
        </is>
      </c>
      <c r="F597" t="inlineStr">
        <is>
          <t>'=G44/'Income statement'!G7</t>
        </is>
      </c>
      <c r="G597" t="n">
        <v>0.02007217325034381</v>
      </c>
      <c r="H597" t="inlineStr"/>
      <c r="I597" t="inlineStr">
        <is>
          <t>0.00%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n">
        <v/>
      </c>
      <c r="R597" t="b">
        <v>1</v>
      </c>
      <c r="S597" t="inlineStr">
        <is>
          <t>G000220</t>
        </is>
      </c>
      <c r="T597" t="inlineStr">
        <is>
          <t>Horizontal</t>
        </is>
      </c>
      <c r="U597" t="n">
        <v>7</v>
      </c>
      <c r="V597" t="b">
        <v>1</v>
      </c>
      <c r="W597" t="inlineStr">
        <is>
          <t>Balance sheet!D55:J55</t>
        </is>
      </c>
      <c r="X597">
        <f>R[-11]C[0]/'Income statement'!R[-48]C[0]</f>
        <v/>
      </c>
    </row>
    <row r="598">
      <c r="A598" t="inlineStr">
        <is>
          <t>Balance sheet</t>
        </is>
      </c>
      <c r="B598" t="inlineStr">
        <is>
          <t>H55</t>
        </is>
      </c>
      <c r="C598" t="n">
        <v>55</v>
      </c>
      <c r="D598" t="n">
        <v>8</v>
      </c>
      <c r="E598" t="inlineStr">
        <is>
          <t>Output</t>
        </is>
      </c>
      <c r="F598" t="inlineStr">
        <is>
          <t>'=H44/'Income statement'!H7</t>
        </is>
      </c>
      <c r="G598" t="n">
        <v>0.01117107694923842</v>
      </c>
      <c r="H598" t="inlineStr"/>
      <c r="I598" t="inlineStr">
        <is>
          <t>0.00%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n">
        <v/>
      </c>
      <c r="R598" t="b">
        <v>1</v>
      </c>
      <c r="S598" t="inlineStr">
        <is>
          <t>G000220</t>
        </is>
      </c>
      <c r="T598" t="inlineStr">
        <is>
          <t>Horizontal</t>
        </is>
      </c>
      <c r="U598" t="n">
        <v>7</v>
      </c>
      <c r="V598" t="b">
        <v>1</v>
      </c>
      <c r="W598" t="inlineStr">
        <is>
          <t>Balance sheet!D55:J55</t>
        </is>
      </c>
      <c r="X598">
        <f>R[-11]C[0]/'Income statement'!R[-48]C[0]</f>
        <v/>
      </c>
    </row>
    <row r="599">
      <c r="A599" t="inlineStr">
        <is>
          <t>Balance sheet</t>
        </is>
      </c>
      <c r="B599" t="inlineStr">
        <is>
          <t>I55</t>
        </is>
      </c>
      <c r="C599" t="n">
        <v>55</v>
      </c>
      <c r="D599" t="n">
        <v>9</v>
      </c>
      <c r="E599" t="inlineStr">
        <is>
          <t>Output</t>
        </is>
      </c>
      <c r="F599" t="inlineStr">
        <is>
          <t>'=I44/'Income statement'!I7</t>
        </is>
      </c>
      <c r="G599" t="n">
        <v>0.01393285426826136</v>
      </c>
      <c r="H599" t="inlineStr"/>
      <c r="I599" t="inlineStr">
        <is>
          <t>0.00%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n">
        <v/>
      </c>
      <c r="R599" t="b">
        <v>1</v>
      </c>
      <c r="S599" t="inlineStr">
        <is>
          <t>G000220</t>
        </is>
      </c>
      <c r="T599" t="inlineStr">
        <is>
          <t>Horizontal</t>
        </is>
      </c>
      <c r="U599" t="n">
        <v>7</v>
      </c>
      <c r="V599" t="b">
        <v>1</v>
      </c>
      <c r="W599" t="inlineStr">
        <is>
          <t>Balance sheet!D55:J55</t>
        </is>
      </c>
      <c r="X599">
        <f>R[-11]C[0]/'Income statement'!R[-48]C[0]</f>
        <v/>
      </c>
    </row>
    <row r="600">
      <c r="A600" t="inlineStr">
        <is>
          <t>Balance sheet</t>
        </is>
      </c>
      <c r="B600" t="inlineStr">
        <is>
          <t>J55</t>
        </is>
      </c>
      <c r="C600" t="n">
        <v>55</v>
      </c>
      <c r="D600" t="n">
        <v>10</v>
      </c>
      <c r="E600" t="inlineStr">
        <is>
          <t>Output</t>
        </is>
      </c>
      <c r="F600" t="inlineStr">
        <is>
          <t>'=J44/'Income statement'!J7</t>
        </is>
      </c>
      <c r="G600" t="n">
        <v>0.0002139877828906649</v>
      </c>
      <c r="H600" t="inlineStr"/>
      <c r="I600" t="inlineStr">
        <is>
          <t>0.00%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R600" t="b">
        <v>1</v>
      </c>
      <c r="S600" t="inlineStr">
        <is>
          <t>G000220</t>
        </is>
      </c>
      <c r="T600" t="inlineStr">
        <is>
          <t>Horizontal</t>
        </is>
      </c>
      <c r="U600" t="n">
        <v>7</v>
      </c>
      <c r="V600" t="b">
        <v>1</v>
      </c>
      <c r="W600" t="inlineStr">
        <is>
          <t>Balance sheet!D55:J55</t>
        </is>
      </c>
      <c r="X600">
        <f>R[-11]C[0]/'Income statement'!R[-48]C[0]</f>
        <v/>
      </c>
    </row>
    <row r="601">
      <c r="A601" t="inlineStr">
        <is>
          <t>Balance sheet</t>
        </is>
      </c>
      <c r="B601" t="inlineStr">
        <is>
          <t>K55</t>
        </is>
      </c>
      <c r="C601" t="n">
        <v>55</v>
      </c>
      <c r="D601" t="n">
        <v>11</v>
      </c>
      <c r="E601" t="inlineStr">
        <is>
          <t>Input</t>
        </is>
      </c>
      <c r="F601" t="n">
        <v/>
      </c>
      <c r="G601" t="n">
        <v>0.0002</v>
      </c>
      <c r="H601" t="inlineStr"/>
      <c r="I601" t="inlineStr">
        <is>
          <t>0.00%</t>
        </is>
      </c>
      <c r="J601" t="b">
        <v>0</v>
      </c>
      <c r="K601" t="b">
        <v>0</v>
      </c>
      <c r="L601" t="n">
        <v>11</v>
      </c>
      <c r="M601" t="n">
        <v/>
      </c>
      <c r="N601" t="inlineStr">
        <is>
          <t>00000000</t>
        </is>
      </c>
      <c r="O601" t="n">
        <v/>
      </c>
      <c r="R601" t="b">
        <v>1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</row>
    <row r="602">
      <c r="A602" t="inlineStr">
        <is>
          <t>Balance sheet</t>
        </is>
      </c>
      <c r="B602" t="inlineStr">
        <is>
          <t>L55</t>
        </is>
      </c>
      <c r="C602" t="n">
        <v>55</v>
      </c>
      <c r="D602" t="n">
        <v>12</v>
      </c>
      <c r="E602" t="inlineStr">
        <is>
          <t>Input</t>
        </is>
      </c>
      <c r="F602" t="n">
        <v/>
      </c>
      <c r="G602" t="n">
        <v>0.0002</v>
      </c>
      <c r="H602" t="inlineStr"/>
      <c r="I602" t="inlineStr">
        <is>
          <t>0.00%</t>
        </is>
      </c>
      <c r="J602" t="b">
        <v>0</v>
      </c>
      <c r="K602" t="b">
        <v>0</v>
      </c>
      <c r="L602" t="n">
        <v>11</v>
      </c>
      <c r="M602" t="n">
        <v/>
      </c>
      <c r="N602" t="inlineStr">
        <is>
          <t>00000000</t>
        </is>
      </c>
      <c r="O602" t="n">
        <v/>
      </c>
      <c r="R602" t="b">
        <v>1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</row>
    <row r="603">
      <c r="A603" t="inlineStr">
        <is>
          <t>Balance sheet</t>
        </is>
      </c>
      <c r="B603" t="inlineStr">
        <is>
          <t>M55</t>
        </is>
      </c>
      <c r="C603" t="n">
        <v>55</v>
      </c>
      <c r="D603" t="n">
        <v>13</v>
      </c>
      <c r="E603" t="inlineStr">
        <is>
          <t>Input</t>
        </is>
      </c>
      <c r="F603" t="n">
        <v/>
      </c>
      <c r="G603" t="n">
        <v>0.0002</v>
      </c>
      <c r="H603" t="inlineStr"/>
      <c r="I603" t="inlineStr">
        <is>
          <t>0.00%</t>
        </is>
      </c>
      <c r="J603" t="b">
        <v>0</v>
      </c>
      <c r="K603" t="b">
        <v>0</v>
      </c>
      <c r="L603" t="n">
        <v>11</v>
      </c>
      <c r="M603" t="n">
        <v/>
      </c>
      <c r="N603" t="inlineStr">
        <is>
          <t>00000000</t>
        </is>
      </c>
      <c r="O603" t="n">
        <v/>
      </c>
      <c r="R603" t="b">
        <v>1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</row>
    <row r="604">
      <c r="A604" t="inlineStr">
        <is>
          <t>Balance sheet</t>
        </is>
      </c>
      <c r="B604" t="inlineStr">
        <is>
          <t>N55</t>
        </is>
      </c>
      <c r="C604" t="n">
        <v>55</v>
      </c>
      <c r="D604" t="n">
        <v>14</v>
      </c>
      <c r="E604" t="inlineStr">
        <is>
          <t>Input</t>
        </is>
      </c>
      <c r="F604" t="n">
        <v/>
      </c>
      <c r="G604" t="n">
        <v>0.0002</v>
      </c>
      <c r="H604" t="inlineStr"/>
      <c r="I604" t="inlineStr">
        <is>
          <t>0.00%</t>
        </is>
      </c>
      <c r="J604" t="b">
        <v>0</v>
      </c>
      <c r="K604" t="b">
        <v>0</v>
      </c>
      <c r="L604" t="n">
        <v>11</v>
      </c>
      <c r="M604" t="n">
        <v/>
      </c>
      <c r="N604" t="inlineStr">
        <is>
          <t>00000000</t>
        </is>
      </c>
      <c r="O604" t="n">
        <v/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</row>
    <row r="605">
      <c r="A605" t="inlineStr">
        <is>
          <t>Balance sheet</t>
        </is>
      </c>
      <c r="B605" t="inlineStr">
        <is>
          <t>O55</t>
        </is>
      </c>
      <c r="C605" t="n">
        <v>55</v>
      </c>
      <c r="D605" t="n">
        <v>15</v>
      </c>
      <c r="E605" t="inlineStr">
        <is>
          <t>Input</t>
        </is>
      </c>
      <c r="F605" t="n">
        <v/>
      </c>
      <c r="G605" t="n">
        <v>0.0002</v>
      </c>
      <c r="H605" t="inlineStr"/>
      <c r="I605" t="inlineStr">
        <is>
          <t>0.00%</t>
        </is>
      </c>
      <c r="J605" t="b">
        <v>0</v>
      </c>
      <c r="K605" t="b">
        <v>0</v>
      </c>
      <c r="L605" t="n">
        <v>11</v>
      </c>
      <c r="M605" t="n">
        <v/>
      </c>
      <c r="N605" t="inlineStr">
        <is>
          <t>00000000</t>
        </is>
      </c>
      <c r="O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</row>
    <row r="606">
      <c r="A606" t="inlineStr">
        <is>
          <t>Balance sheet</t>
        </is>
      </c>
      <c r="B606" t="inlineStr">
        <is>
          <t>A56</t>
        </is>
      </c>
      <c r="C606" t="n">
        <v>56</v>
      </c>
      <c r="D606" t="n">
        <v>1</v>
      </c>
      <c r="E606" t="inlineStr">
        <is>
          <t>Input</t>
        </is>
      </c>
      <c r="F606" t="n">
        <v/>
      </c>
      <c r="G606" t="inlineStr">
        <is>
          <t>Other current Assets as a % of sales</t>
        </is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00000000</t>
        </is>
      </c>
      <c r="O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</row>
    <row r="607">
      <c r="A607" t="inlineStr">
        <is>
          <t>Balance sheet</t>
        </is>
      </c>
      <c r="B607" t="inlineStr">
        <is>
          <t>D56</t>
        </is>
      </c>
      <c r="C607" t="n">
        <v>56</v>
      </c>
      <c r="D607" t="n">
        <v>4</v>
      </c>
      <c r="E607" t="inlineStr">
        <is>
          <t>Calculation</t>
        </is>
      </c>
      <c r="F607" t="inlineStr">
        <is>
          <t>'=D45/'Income statement'!D7</t>
        </is>
      </c>
      <c r="G607" t="n">
        <v>0.01573555728305273</v>
      </c>
      <c r="H607" t="inlineStr"/>
      <c r="I607" t="inlineStr">
        <is>
          <t>0.00%</t>
        </is>
      </c>
      <c r="J607" t="b">
        <v>0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00000000</t>
        </is>
      </c>
      <c r="O607" t="n">
        <v/>
      </c>
      <c r="R607" t="b">
        <v>1</v>
      </c>
      <c r="S607" t="inlineStr">
        <is>
          <t>G000221</t>
        </is>
      </c>
      <c r="T607" t="inlineStr">
        <is>
          <t>Horizontal</t>
        </is>
      </c>
      <c r="U607" t="n">
        <v>7</v>
      </c>
      <c r="V607" t="b">
        <v>1</v>
      </c>
      <c r="W607" t="inlineStr">
        <is>
          <t>Balance sheet!D56:J56</t>
        </is>
      </c>
      <c r="X607">
        <f>R[-11]C[0]/'Income statement'!R[-49]C[0]</f>
        <v/>
      </c>
    </row>
    <row r="608">
      <c r="A608" t="inlineStr">
        <is>
          <t>Balance sheet</t>
        </is>
      </c>
      <c r="B608" t="inlineStr">
        <is>
          <t>E56</t>
        </is>
      </c>
      <c r="C608" t="n">
        <v>56</v>
      </c>
      <c r="D608" t="n">
        <v>5</v>
      </c>
      <c r="E608" t="inlineStr">
        <is>
          <t>Calculation</t>
        </is>
      </c>
      <c r="F608" t="inlineStr">
        <is>
          <t>'=E45/'Income statement'!E7</t>
        </is>
      </c>
      <c r="G608" t="n">
        <v>0.01477251080928574</v>
      </c>
      <c r="H608" t="inlineStr"/>
      <c r="I608" t="inlineStr">
        <is>
          <t>0.00%</t>
        </is>
      </c>
      <c r="J608" t="b">
        <v>0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00000000</t>
        </is>
      </c>
      <c r="O608" t="n">
        <v/>
      </c>
      <c r="R608" t="b">
        <v>1</v>
      </c>
      <c r="S608" t="inlineStr">
        <is>
          <t>G000221</t>
        </is>
      </c>
      <c r="T608" t="inlineStr">
        <is>
          <t>Horizontal</t>
        </is>
      </c>
      <c r="U608" t="n">
        <v>7</v>
      </c>
      <c r="V608" t="b">
        <v>1</v>
      </c>
      <c r="W608" t="inlineStr">
        <is>
          <t>Balance sheet!D56:J56</t>
        </is>
      </c>
      <c r="X608">
        <f>R[-11]C[0]/'Income statement'!R[-49]C[0]</f>
        <v/>
      </c>
    </row>
    <row r="609">
      <c r="A609" t="inlineStr">
        <is>
          <t>Balance sheet</t>
        </is>
      </c>
      <c r="B609" t="inlineStr">
        <is>
          <t>F56</t>
        </is>
      </c>
      <c r="C609" t="n">
        <v>56</v>
      </c>
      <c r="D609" t="n">
        <v>6</v>
      </c>
      <c r="E609" t="inlineStr">
        <is>
          <t>Calculation</t>
        </is>
      </c>
      <c r="F609" t="inlineStr">
        <is>
          <t>'=F45/'Income statement'!F7</t>
        </is>
      </c>
      <c r="G609" t="n">
        <v>0.01220193564580746</v>
      </c>
      <c r="H609" t="inlineStr"/>
      <c r="I609" t="inlineStr">
        <is>
          <t>0.00%</t>
        </is>
      </c>
      <c r="J609" t="b">
        <v>0</v>
      </c>
      <c r="K609" t="b">
        <v>0</v>
      </c>
      <c r="L609" t="n">
        <v>11</v>
      </c>
      <c r="M609" t="inlineStr">
        <is>
          <t>Values must be of type &lt;class 'str'&gt;</t>
        </is>
      </c>
      <c r="N609" t="inlineStr">
        <is>
          <t>00000000</t>
        </is>
      </c>
      <c r="O609" t="n">
        <v/>
      </c>
      <c r="R609" t="b">
        <v>1</v>
      </c>
      <c r="S609" t="inlineStr">
        <is>
          <t>G000221</t>
        </is>
      </c>
      <c r="T609" t="inlineStr">
        <is>
          <t>Horizontal</t>
        </is>
      </c>
      <c r="U609" t="n">
        <v>7</v>
      </c>
      <c r="V609" t="b">
        <v>1</v>
      </c>
      <c r="W609" t="inlineStr">
        <is>
          <t>Balance sheet!D56:J56</t>
        </is>
      </c>
      <c r="X609">
        <f>R[-11]C[0]/'Income statement'!R[-49]C[0]</f>
        <v/>
      </c>
    </row>
    <row r="610">
      <c r="A610" t="inlineStr">
        <is>
          <t>Balance sheet</t>
        </is>
      </c>
      <c r="B610" t="inlineStr">
        <is>
          <t>G56</t>
        </is>
      </c>
      <c r="C610" t="n">
        <v>56</v>
      </c>
      <c r="D610" t="n">
        <v>7</v>
      </c>
      <c r="E610" t="inlineStr">
        <is>
          <t>Calculation</t>
        </is>
      </c>
      <c r="F610" t="inlineStr">
        <is>
          <t>'=G45/'Income statement'!G7</t>
        </is>
      </c>
      <c r="G610" t="n">
        <v>0.01458496602913269</v>
      </c>
      <c r="H610" t="inlineStr"/>
      <c r="I610" t="inlineStr">
        <is>
          <t>0.00%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n">
        <v/>
      </c>
      <c r="R610" t="b">
        <v>1</v>
      </c>
      <c r="S610" t="inlineStr">
        <is>
          <t>G000221</t>
        </is>
      </c>
      <c r="T610" t="inlineStr">
        <is>
          <t>Horizontal</t>
        </is>
      </c>
      <c r="U610" t="n">
        <v>7</v>
      </c>
      <c r="V610" t="b">
        <v>1</v>
      </c>
      <c r="W610" t="inlineStr">
        <is>
          <t>Balance sheet!D56:J56</t>
        </is>
      </c>
      <c r="X610">
        <f>R[-11]C[0]/'Income statement'!R[-49]C[0]</f>
        <v/>
      </c>
    </row>
    <row r="611">
      <c r="A611" t="inlineStr">
        <is>
          <t>Balance sheet</t>
        </is>
      </c>
      <c r="B611" t="inlineStr">
        <is>
          <t>H56</t>
        </is>
      </c>
      <c r="C611" t="n">
        <v>56</v>
      </c>
      <c r="D611" t="n">
        <v>8</v>
      </c>
      <c r="E611" t="inlineStr">
        <is>
          <t>Calculation</t>
        </is>
      </c>
      <c r="F611" t="inlineStr">
        <is>
          <t>'=H45/'Income statement'!H7</t>
        </is>
      </c>
      <c r="G611" t="n">
        <v>0.01875832654953532</v>
      </c>
      <c r="H611" t="inlineStr"/>
      <c r="I611" t="inlineStr">
        <is>
          <t>0.00%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n">
        <v/>
      </c>
      <c r="R611" t="b">
        <v>1</v>
      </c>
      <c r="S611" t="inlineStr">
        <is>
          <t>G000221</t>
        </is>
      </c>
      <c r="T611" t="inlineStr">
        <is>
          <t>Horizontal</t>
        </is>
      </c>
      <c r="U611" t="n">
        <v>7</v>
      </c>
      <c r="V611" t="b">
        <v>1</v>
      </c>
      <c r="W611" t="inlineStr">
        <is>
          <t>Balance sheet!D56:J56</t>
        </is>
      </c>
      <c r="X611">
        <f>R[-11]C[0]/'Income statement'!R[-49]C[0]</f>
        <v/>
      </c>
    </row>
    <row r="612">
      <c r="A612" t="inlineStr">
        <is>
          <t>Balance sheet</t>
        </is>
      </c>
      <c r="B612" t="inlineStr">
        <is>
          <t>I56</t>
        </is>
      </c>
      <c r="C612" t="n">
        <v>56</v>
      </c>
      <c r="D612" t="n">
        <v>9</v>
      </c>
      <c r="E612" t="inlineStr">
        <is>
          <t>Calculation</t>
        </is>
      </c>
      <c r="F612" t="inlineStr">
        <is>
          <t>'=I45/'Income statement'!I7</t>
        </is>
      </c>
      <c r="G612" t="n">
        <v>0.024739110982596</v>
      </c>
      <c r="H612" t="inlineStr"/>
      <c r="I612" t="inlineStr">
        <is>
          <t>0.00%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n">
        <v/>
      </c>
      <c r="R612" t="b">
        <v>1</v>
      </c>
      <c r="S612" t="inlineStr">
        <is>
          <t>G000221</t>
        </is>
      </c>
      <c r="T612" t="inlineStr">
        <is>
          <t>Horizontal</t>
        </is>
      </c>
      <c r="U612" t="n">
        <v>7</v>
      </c>
      <c r="V612" t="b">
        <v>1</v>
      </c>
      <c r="W612" t="inlineStr">
        <is>
          <t>Balance sheet!D56:J56</t>
        </is>
      </c>
      <c r="X612">
        <f>R[-11]C[0]/'Income statement'!R[-49]C[0]</f>
        <v/>
      </c>
    </row>
    <row r="613">
      <c r="A613" t="inlineStr">
        <is>
          <t>Balance sheet</t>
        </is>
      </c>
      <c r="B613" t="inlineStr">
        <is>
          <t>J56</t>
        </is>
      </c>
      <c r="C613" t="n">
        <v>56</v>
      </c>
      <c r="D613" t="n">
        <v>10</v>
      </c>
      <c r="E613" t="inlineStr">
        <is>
          <t>Calculation</t>
        </is>
      </c>
      <c r="F613" t="inlineStr">
        <is>
          <t>'=J45/'Income statement'!J7</t>
        </is>
      </c>
      <c r="G613" t="n">
        <v>0.04168935173972713</v>
      </c>
      <c r="H613" t="inlineStr"/>
      <c r="I613" t="inlineStr">
        <is>
          <t>0.00%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n">
        <v/>
      </c>
      <c r="R613" t="b">
        <v>1</v>
      </c>
      <c r="S613" t="inlineStr">
        <is>
          <t>G000221</t>
        </is>
      </c>
      <c r="T613" t="inlineStr">
        <is>
          <t>Horizontal</t>
        </is>
      </c>
      <c r="U613" t="n">
        <v>7</v>
      </c>
      <c r="V613" t="b">
        <v>1</v>
      </c>
      <c r="W613" t="inlineStr">
        <is>
          <t>Balance sheet!D56:J56</t>
        </is>
      </c>
      <c r="X613">
        <f>R[-11]C[0]/'Income statement'!R[-49]C[0]</f>
        <v/>
      </c>
    </row>
    <row r="614">
      <c r="A614" t="inlineStr">
        <is>
          <t>Balance sheet</t>
        </is>
      </c>
      <c r="B614" t="inlineStr">
        <is>
          <t>K56</t>
        </is>
      </c>
      <c r="C614" t="n">
        <v>56</v>
      </c>
      <c r="D614" t="n">
        <v>11</v>
      </c>
      <c r="E614" t="inlineStr">
        <is>
          <t>Calculation</t>
        </is>
      </c>
      <c r="F614" t="inlineStr">
        <is>
          <t>'=AVERAGE(D56:J56)</t>
        </is>
      </c>
      <c r="G614" t="n">
        <v>0.02035453700559101</v>
      </c>
      <c r="H614" t="inlineStr"/>
      <c r="I614" t="inlineStr">
        <is>
          <t>0.00%</t>
        </is>
      </c>
      <c r="J614" t="b">
        <v>0</v>
      </c>
      <c r="K614" t="b">
        <v>0</v>
      </c>
      <c r="L614" t="n">
        <v>11</v>
      </c>
      <c r="M614" t="n">
        <v/>
      </c>
      <c r="N614" t="inlineStr">
        <is>
          <t>00000000</t>
        </is>
      </c>
      <c r="O614" t="n">
        <v/>
      </c>
      <c r="R614" t="b">
        <v>1</v>
      </c>
      <c r="S614" t="inlineStr">
        <is>
          <t>G000216</t>
        </is>
      </c>
      <c r="T614" t="inlineStr">
        <is>
          <t>Block</t>
        </is>
      </c>
      <c r="U614" t="n">
        <v>2</v>
      </c>
      <c r="V614" t="b">
        <v>1</v>
      </c>
      <c r="W614" t="inlineStr">
        <is>
          <t>Balance sheet!K51:K56</t>
        </is>
      </c>
      <c r="X614">
        <f>AVERAGE(R[0]C[-7]:R[0]C[-1])</f>
        <v/>
      </c>
    </row>
    <row r="615">
      <c r="A615" t="inlineStr">
        <is>
          <t>Balance sheet</t>
        </is>
      </c>
      <c r="B615" t="inlineStr">
        <is>
          <t>L56</t>
        </is>
      </c>
      <c r="C615" t="n">
        <v>56</v>
      </c>
      <c r="D615" t="n">
        <v>12</v>
      </c>
      <c r="E615" t="inlineStr">
        <is>
          <t>Calculation</t>
        </is>
      </c>
      <c r="F615" t="inlineStr">
        <is>
          <t>'=K56</t>
        </is>
      </c>
      <c r="G615" t="n">
        <v>0.02035453700559101</v>
      </c>
      <c r="H615" t="inlineStr"/>
      <c r="I615" t="inlineStr">
        <is>
          <t>0.00%</t>
        </is>
      </c>
      <c r="J615" t="b">
        <v>0</v>
      </c>
      <c r="K615" t="b">
        <v>0</v>
      </c>
      <c r="L615" t="n">
        <v>11</v>
      </c>
      <c r="M615" t="n">
        <v/>
      </c>
      <c r="N615" t="inlineStr">
        <is>
          <t>00000000</t>
        </is>
      </c>
      <c r="O615" t="n">
        <v/>
      </c>
      <c r="R615" t="b">
        <v>1</v>
      </c>
      <c r="S615" t="inlineStr">
        <is>
          <t>G000185</t>
        </is>
      </c>
      <c r="T615" t="inlineStr">
        <is>
          <t>Horizontal</t>
        </is>
      </c>
      <c r="U615" t="n">
        <v>4</v>
      </c>
      <c r="V615" t="b">
        <v>1</v>
      </c>
      <c r="W615" t="inlineStr">
        <is>
          <t>Balance sheet!L56:O56</t>
        </is>
      </c>
      <c r="X615">
        <f>R[0]C[-1]</f>
        <v/>
      </c>
    </row>
    <row r="616">
      <c r="A616" t="inlineStr">
        <is>
          <t>Balance sheet</t>
        </is>
      </c>
      <c r="B616" t="inlineStr">
        <is>
          <t>M56</t>
        </is>
      </c>
      <c r="C616" t="n">
        <v>56</v>
      </c>
      <c r="D616" t="n">
        <v>13</v>
      </c>
      <c r="E616" t="inlineStr">
        <is>
          <t>Calculation</t>
        </is>
      </c>
      <c r="F616" t="inlineStr">
        <is>
          <t>'=L56</t>
        </is>
      </c>
      <c r="G616" t="n">
        <v>0.02035453700559101</v>
      </c>
      <c r="H616" t="inlineStr"/>
      <c r="I616" t="inlineStr">
        <is>
          <t>0.00%</t>
        </is>
      </c>
      <c r="J616" t="b">
        <v>0</v>
      </c>
      <c r="K616" t="b">
        <v>0</v>
      </c>
      <c r="L616" t="n">
        <v>11</v>
      </c>
      <c r="M616" t="n">
        <v/>
      </c>
      <c r="N616" t="inlineStr">
        <is>
          <t>00000000</t>
        </is>
      </c>
      <c r="O616" t="n">
        <v/>
      </c>
      <c r="R616" t="b">
        <v>1</v>
      </c>
      <c r="S616" t="inlineStr">
        <is>
          <t>G000185</t>
        </is>
      </c>
      <c r="T616" t="inlineStr">
        <is>
          <t>Horizontal</t>
        </is>
      </c>
      <c r="U616" t="n">
        <v>4</v>
      </c>
      <c r="V616" t="b">
        <v>1</v>
      </c>
      <c r="W616" t="inlineStr">
        <is>
          <t>Balance sheet!L56:O56</t>
        </is>
      </c>
      <c r="X616">
        <f>R[0]C[-1]</f>
        <v/>
      </c>
    </row>
    <row r="617">
      <c r="A617" t="inlineStr">
        <is>
          <t>Balance sheet</t>
        </is>
      </c>
      <c r="B617" t="inlineStr">
        <is>
          <t>N56</t>
        </is>
      </c>
      <c r="C617" t="n">
        <v>56</v>
      </c>
      <c r="D617" t="n">
        <v>14</v>
      </c>
      <c r="E617" t="inlineStr">
        <is>
          <t>Calculation</t>
        </is>
      </c>
      <c r="F617" t="inlineStr">
        <is>
          <t>'=M56</t>
        </is>
      </c>
      <c r="G617" t="n">
        <v>0.02035453700559101</v>
      </c>
      <c r="H617" t="inlineStr"/>
      <c r="I617" t="inlineStr">
        <is>
          <t>0.00%</t>
        </is>
      </c>
      <c r="J617" t="b">
        <v>0</v>
      </c>
      <c r="K617" t="b">
        <v>0</v>
      </c>
      <c r="L617" t="n">
        <v>11</v>
      </c>
      <c r="M617" t="n">
        <v/>
      </c>
      <c r="N617" t="inlineStr">
        <is>
          <t>00000000</t>
        </is>
      </c>
      <c r="O617" t="n">
        <v/>
      </c>
      <c r="R617" t="b">
        <v>1</v>
      </c>
      <c r="S617" t="inlineStr">
        <is>
          <t>G000185</t>
        </is>
      </c>
      <c r="T617" t="inlineStr">
        <is>
          <t>Horizontal</t>
        </is>
      </c>
      <c r="U617" t="n">
        <v>4</v>
      </c>
      <c r="V617" t="b">
        <v>1</v>
      </c>
      <c r="W617" t="inlineStr">
        <is>
          <t>Balance sheet!L56:O56</t>
        </is>
      </c>
      <c r="X617">
        <f>R[0]C[-1]</f>
        <v/>
      </c>
    </row>
    <row r="618">
      <c r="A618" t="inlineStr">
        <is>
          <t>Balance sheet</t>
        </is>
      </c>
      <c r="B618" t="inlineStr">
        <is>
          <t>O56</t>
        </is>
      </c>
      <c r="C618" t="n">
        <v>56</v>
      </c>
      <c r="D618" t="n">
        <v>15</v>
      </c>
      <c r="E618" t="inlineStr">
        <is>
          <t>Calculation</t>
        </is>
      </c>
      <c r="F618" t="inlineStr">
        <is>
          <t>'=N56</t>
        </is>
      </c>
      <c r="G618" t="n">
        <v>0.02035453700559101</v>
      </c>
      <c r="H618" t="inlineStr"/>
      <c r="I618" t="inlineStr">
        <is>
          <t>0.00%</t>
        </is>
      </c>
      <c r="J618" t="b">
        <v>0</v>
      </c>
      <c r="K618" t="b">
        <v>0</v>
      </c>
      <c r="L618" t="n">
        <v>11</v>
      </c>
      <c r="M618" t="n">
        <v/>
      </c>
      <c r="N618" t="inlineStr">
        <is>
          <t>00000000</t>
        </is>
      </c>
      <c r="O618" t="n">
        <v/>
      </c>
      <c r="R618" t="b">
        <v>1</v>
      </c>
      <c r="S618" t="inlineStr">
        <is>
          <t>G000185</t>
        </is>
      </c>
      <c r="T618" t="inlineStr">
        <is>
          <t>Horizontal</t>
        </is>
      </c>
      <c r="U618" t="n">
        <v>4</v>
      </c>
      <c r="V618" t="b">
        <v>1</v>
      </c>
      <c r="W618" t="inlineStr">
        <is>
          <t>Balance sheet!L56:O56</t>
        </is>
      </c>
      <c r="X618">
        <f>R[0]C[-1]</f>
        <v/>
      </c>
    </row>
    <row r="619">
      <c r="A619" t="inlineStr">
        <is>
          <t>Balance sheet</t>
        </is>
      </c>
      <c r="B619" t="inlineStr">
        <is>
          <t>A57</t>
        </is>
      </c>
      <c r="C619" t="n">
        <v>57</v>
      </c>
      <c r="D619" t="n">
        <v>1</v>
      </c>
      <c r="E619" t="inlineStr">
        <is>
          <t>Input</t>
        </is>
      </c>
      <c r="F619" t="n">
        <v/>
      </c>
      <c r="G619" t="inlineStr">
        <is>
          <t>Other long term liabilities as a % of Rental</t>
        </is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</row>
    <row r="620">
      <c r="A620" t="inlineStr">
        <is>
          <t>Balance sheet</t>
        </is>
      </c>
      <c r="B620" t="inlineStr">
        <is>
          <t>D57</t>
        </is>
      </c>
      <c r="C620" t="n">
        <v>57</v>
      </c>
      <c r="D620" t="n">
        <v>4</v>
      </c>
      <c r="E620" t="inlineStr">
        <is>
          <t>Output</t>
        </is>
      </c>
      <c r="F620" t="inlineStr">
        <is>
          <t>'=D14/'Income statement'!D18</t>
        </is>
      </c>
      <c r="G620" t="n">
        <v>0.1592171275321973</v>
      </c>
      <c r="H620" t="inlineStr"/>
      <c r="I620" t="inlineStr">
        <is>
          <t>0.00%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00000000</t>
        </is>
      </c>
      <c r="O620" t="n">
        <v/>
      </c>
      <c r="R620" t="b">
        <v>1</v>
      </c>
      <c r="S620" t="inlineStr">
        <is>
          <t>G000222</t>
        </is>
      </c>
      <c r="T620" t="inlineStr">
        <is>
          <t>Horizontal</t>
        </is>
      </c>
      <c r="U620" t="n">
        <v>7</v>
      </c>
      <c r="V620" t="b">
        <v>1</v>
      </c>
      <c r="W620" t="inlineStr">
        <is>
          <t>Balance sheet!D57:J57</t>
        </is>
      </c>
      <c r="X620">
        <f>R[-43]C[0]/'Income statement'!R[-39]C[0]</f>
        <v/>
      </c>
    </row>
    <row r="621">
      <c r="A621" t="inlineStr">
        <is>
          <t>Balance sheet</t>
        </is>
      </c>
      <c r="B621" t="inlineStr">
        <is>
          <t>E57</t>
        </is>
      </c>
      <c r="C621" t="n">
        <v>57</v>
      </c>
      <c r="D621" t="n">
        <v>5</v>
      </c>
      <c r="E621" t="inlineStr">
        <is>
          <t>Output</t>
        </is>
      </c>
      <c r="F621" t="inlineStr">
        <is>
          <t>'=E14/'Income statement'!E18</t>
        </is>
      </c>
      <c r="G621" t="n">
        <v>0.2627125178665463</v>
      </c>
      <c r="H621" t="inlineStr"/>
      <c r="I621" t="inlineStr">
        <is>
          <t>0.00%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n">
        <v/>
      </c>
      <c r="R621" t="b">
        <v>1</v>
      </c>
      <c r="S621" t="inlineStr">
        <is>
          <t>G000222</t>
        </is>
      </c>
      <c r="T621" t="inlineStr">
        <is>
          <t>Horizontal</t>
        </is>
      </c>
      <c r="U621" t="n">
        <v>7</v>
      </c>
      <c r="V621" t="b">
        <v>1</v>
      </c>
      <c r="W621" t="inlineStr">
        <is>
          <t>Balance sheet!D57:J57</t>
        </is>
      </c>
      <c r="X621">
        <f>R[-43]C[0]/'Income statement'!R[-39]C[0]</f>
        <v/>
      </c>
    </row>
    <row r="622">
      <c r="A622" t="inlineStr">
        <is>
          <t>Balance sheet</t>
        </is>
      </c>
      <c r="B622" t="inlineStr">
        <is>
          <t>F57</t>
        </is>
      </c>
      <c r="C622" t="n">
        <v>57</v>
      </c>
      <c r="D622" t="n">
        <v>6</v>
      </c>
      <c r="E622" t="inlineStr">
        <is>
          <t>Output</t>
        </is>
      </c>
      <c r="F622" t="inlineStr">
        <is>
          <t>'=F14/'Income statement'!F18</t>
        </is>
      </c>
      <c r="G622" t="n">
        <v>0.4218674469416328</v>
      </c>
      <c r="H622" t="inlineStr"/>
      <c r="I622" t="inlineStr">
        <is>
          <t>0.00%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n">
        <v/>
      </c>
      <c r="R622" t="b">
        <v>1</v>
      </c>
      <c r="S622" t="inlineStr">
        <is>
          <t>G000222</t>
        </is>
      </c>
      <c r="T622" t="inlineStr">
        <is>
          <t>Horizontal</t>
        </is>
      </c>
      <c r="U622" t="n">
        <v>7</v>
      </c>
      <c r="V622" t="b">
        <v>1</v>
      </c>
      <c r="W622" t="inlineStr">
        <is>
          <t>Balance sheet!D57:J57</t>
        </is>
      </c>
      <c r="X622">
        <f>R[-43]C[0]/'Income statement'!R[-39]C[0]</f>
        <v/>
      </c>
    </row>
    <row r="623">
      <c r="A623" t="inlineStr">
        <is>
          <t>Balance sheet</t>
        </is>
      </c>
      <c r="B623" t="inlineStr">
        <is>
          <t>G57</t>
        </is>
      </c>
      <c r="C623" t="n">
        <v>57</v>
      </c>
      <c r="D623" t="n">
        <v>7</v>
      </c>
      <c r="E623" t="inlineStr">
        <is>
          <t>Calculation</t>
        </is>
      </c>
      <c r="F623" t="inlineStr">
        <is>
          <t>'=G14/'Income statement'!G18</t>
        </is>
      </c>
      <c r="G623" t="n">
        <v>0.6379937086139995</v>
      </c>
      <c r="H623" t="inlineStr"/>
      <c r="I623" t="inlineStr">
        <is>
          <t>0.00%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n">
        <v/>
      </c>
      <c r="R623" t="b">
        <v>1</v>
      </c>
      <c r="S623" t="inlineStr">
        <is>
          <t>G000222</t>
        </is>
      </c>
      <c r="T623" t="inlineStr">
        <is>
          <t>Horizontal</t>
        </is>
      </c>
      <c r="U623" t="n">
        <v>7</v>
      </c>
      <c r="V623" t="b">
        <v>1</v>
      </c>
      <c r="W623" t="inlineStr">
        <is>
          <t>Balance sheet!D57:J57</t>
        </is>
      </c>
      <c r="X623">
        <f>R[-43]C[0]/'Income statement'!R[-39]C[0]</f>
        <v/>
      </c>
    </row>
    <row r="624">
      <c r="A624" t="inlineStr">
        <is>
          <t>Balance sheet</t>
        </is>
      </c>
      <c r="B624" t="inlineStr">
        <is>
          <t>H57</t>
        </is>
      </c>
      <c r="C624" t="n">
        <v>57</v>
      </c>
      <c r="D624" t="n">
        <v>8</v>
      </c>
      <c r="E624" t="inlineStr">
        <is>
          <t>Calculation</t>
        </is>
      </c>
      <c r="F624" t="inlineStr">
        <is>
          <t>'=H14/'Income statement'!H18</t>
        </is>
      </c>
      <c r="G624" t="n">
        <v>0.874066000736712</v>
      </c>
      <c r="H624" t="inlineStr"/>
      <c r="I624" t="inlineStr">
        <is>
          <t>0.00%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R624" t="b">
        <v>1</v>
      </c>
      <c r="S624" t="inlineStr">
        <is>
          <t>G000222</t>
        </is>
      </c>
      <c r="T624" t="inlineStr">
        <is>
          <t>Horizontal</t>
        </is>
      </c>
      <c r="U624" t="n">
        <v>7</v>
      </c>
      <c r="V624" t="b">
        <v>1</v>
      </c>
      <c r="W624" t="inlineStr">
        <is>
          <t>Balance sheet!D57:J57</t>
        </is>
      </c>
      <c r="X624">
        <f>R[-43]C[0]/'Income statement'!R[-39]C[0]</f>
        <v/>
      </c>
    </row>
    <row r="625">
      <c r="A625" t="inlineStr">
        <is>
          <t>Balance sheet</t>
        </is>
      </c>
      <c r="B625" t="inlineStr">
        <is>
          <t>I57</t>
        </is>
      </c>
      <c r="C625" t="n">
        <v>57</v>
      </c>
      <c r="D625" t="n">
        <v>9</v>
      </c>
      <c r="E625" t="inlineStr">
        <is>
          <t>Calculation</t>
        </is>
      </c>
      <c r="F625" t="inlineStr">
        <is>
          <t>'=I14/'Income statement'!I18</t>
        </is>
      </c>
      <c r="G625" t="n">
        <v>0.8327574452260684</v>
      </c>
      <c r="H625" t="inlineStr"/>
      <c r="I625" t="inlineStr">
        <is>
          <t>0.00%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n">
        <v/>
      </c>
      <c r="R625" t="b">
        <v>1</v>
      </c>
      <c r="S625" t="inlineStr">
        <is>
          <t>G000222</t>
        </is>
      </c>
      <c r="T625" t="inlineStr">
        <is>
          <t>Horizontal</t>
        </is>
      </c>
      <c r="U625" t="n">
        <v>7</v>
      </c>
      <c r="V625" t="b">
        <v>1</v>
      </c>
      <c r="W625" t="inlineStr">
        <is>
          <t>Balance sheet!D57:J57</t>
        </is>
      </c>
      <c r="X625">
        <f>R[-43]C[0]/'Income statement'!R[-39]C[0]</f>
        <v/>
      </c>
    </row>
    <row r="626">
      <c r="A626" t="inlineStr">
        <is>
          <t>Balance sheet</t>
        </is>
      </c>
      <c r="B626" t="inlineStr">
        <is>
          <t>J57</t>
        </is>
      </c>
      <c r="C626" t="n">
        <v>57</v>
      </c>
      <c r="D626" t="n">
        <v>10</v>
      </c>
      <c r="E626" t="inlineStr">
        <is>
          <t>Calculation</t>
        </is>
      </c>
      <c r="F626" t="inlineStr">
        <is>
          <t>'=J14/'Income statement'!J18</t>
        </is>
      </c>
      <c r="G626" t="n">
        <v>0.6221087476859185</v>
      </c>
      <c r="H626" t="inlineStr"/>
      <c r="I626" t="inlineStr">
        <is>
          <t>0.00%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00000000</t>
        </is>
      </c>
      <c r="O626" t="n">
        <v/>
      </c>
      <c r="R626" t="b">
        <v>1</v>
      </c>
      <c r="S626" t="inlineStr">
        <is>
          <t>G000222</t>
        </is>
      </c>
      <c r="T626" t="inlineStr">
        <is>
          <t>Horizontal</t>
        </is>
      </c>
      <c r="U626" t="n">
        <v>7</v>
      </c>
      <c r="V626" t="b">
        <v>1</v>
      </c>
      <c r="W626" t="inlineStr">
        <is>
          <t>Balance sheet!D57:J57</t>
        </is>
      </c>
      <c r="X626">
        <f>R[-43]C[0]/'Income statement'!R[-39]C[0]</f>
        <v/>
      </c>
    </row>
    <row r="627">
      <c r="A627" t="inlineStr">
        <is>
          <t>Balance sheet</t>
        </is>
      </c>
      <c r="B627" t="inlineStr">
        <is>
          <t>K57</t>
        </is>
      </c>
      <c r="C627" t="n">
        <v>57</v>
      </c>
      <c r="D627" t="n">
        <v>11</v>
      </c>
      <c r="E627" t="inlineStr">
        <is>
          <t>Calculation</t>
        </is>
      </c>
      <c r="F627" t="inlineStr">
        <is>
          <t>'=AVERAGE(G57:J57)</t>
        </is>
      </c>
      <c r="G627" t="n">
        <v>0.7417314755656745</v>
      </c>
      <c r="H627" t="inlineStr"/>
      <c r="I627" t="inlineStr">
        <is>
          <t>0.00%</t>
        </is>
      </c>
      <c r="J627" t="b">
        <v>0</v>
      </c>
      <c r="K627" t="b">
        <v>0</v>
      </c>
      <c r="L627" t="n">
        <v>11</v>
      </c>
      <c r="M627" t="n">
        <v/>
      </c>
      <c r="N627" t="inlineStr">
        <is>
          <t>00000000</t>
        </is>
      </c>
      <c r="O627" t="n">
        <v/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>
        <f>AVERAGE(R[0]C[-4]:R[0]C[-1])</f>
        <v/>
      </c>
    </row>
    <row r="628">
      <c r="A628" t="inlineStr">
        <is>
          <t>Balance sheet</t>
        </is>
      </c>
      <c r="B628" t="inlineStr">
        <is>
          <t>L57</t>
        </is>
      </c>
      <c r="C628" t="n">
        <v>57</v>
      </c>
      <c r="D628" t="n">
        <v>12</v>
      </c>
      <c r="E628" t="inlineStr">
        <is>
          <t>Calculation</t>
        </is>
      </c>
      <c r="F628" t="inlineStr">
        <is>
          <t>'=K57</t>
        </is>
      </c>
      <c r="G628" t="n">
        <v>0.7417314755656745</v>
      </c>
      <c r="H628" t="inlineStr"/>
      <c r="I628" t="inlineStr">
        <is>
          <t>0.00%</t>
        </is>
      </c>
      <c r="J628" t="b">
        <v>0</v>
      </c>
      <c r="K628" t="b">
        <v>0</v>
      </c>
      <c r="L628" t="n">
        <v>11</v>
      </c>
      <c r="M628" t="n">
        <v/>
      </c>
      <c r="N628" t="inlineStr">
        <is>
          <t>00000000</t>
        </is>
      </c>
      <c r="O628" t="n">
        <v/>
      </c>
      <c r="R628" t="b">
        <v>1</v>
      </c>
      <c r="S628" t="inlineStr">
        <is>
          <t>G000186</t>
        </is>
      </c>
      <c r="T628" t="inlineStr">
        <is>
          <t>Horizontal</t>
        </is>
      </c>
      <c r="U628" t="n">
        <v>4</v>
      </c>
      <c r="V628" t="b">
        <v>1</v>
      </c>
      <c r="W628" t="inlineStr">
        <is>
          <t>Balance sheet!L57:O57</t>
        </is>
      </c>
      <c r="X628">
        <f>R[0]C[-1]</f>
        <v/>
      </c>
    </row>
    <row r="629">
      <c r="A629" t="inlineStr">
        <is>
          <t>Balance sheet</t>
        </is>
      </c>
      <c r="B629" t="inlineStr">
        <is>
          <t>M57</t>
        </is>
      </c>
      <c r="C629" t="n">
        <v>57</v>
      </c>
      <c r="D629" t="n">
        <v>13</v>
      </c>
      <c r="E629" t="inlineStr">
        <is>
          <t>Calculation</t>
        </is>
      </c>
      <c r="F629" t="inlineStr">
        <is>
          <t>'=L57</t>
        </is>
      </c>
      <c r="G629" t="n">
        <v>0.7417314755656745</v>
      </c>
      <c r="H629" t="inlineStr"/>
      <c r="I629" t="inlineStr">
        <is>
          <t>0.00%</t>
        </is>
      </c>
      <c r="J629" t="b">
        <v>0</v>
      </c>
      <c r="K629" t="b">
        <v>0</v>
      </c>
      <c r="L629" t="n">
        <v>11</v>
      </c>
      <c r="M629" t="n">
        <v/>
      </c>
      <c r="N629" t="inlineStr">
        <is>
          <t>00000000</t>
        </is>
      </c>
      <c r="O629" t="n">
        <v/>
      </c>
      <c r="R629" t="b">
        <v>1</v>
      </c>
      <c r="S629" t="inlineStr">
        <is>
          <t>G000186</t>
        </is>
      </c>
      <c r="T629" t="inlineStr">
        <is>
          <t>Horizontal</t>
        </is>
      </c>
      <c r="U629" t="n">
        <v>4</v>
      </c>
      <c r="V629" t="b">
        <v>1</v>
      </c>
      <c r="W629" t="inlineStr">
        <is>
          <t>Balance sheet!L57:O57</t>
        </is>
      </c>
      <c r="X629">
        <f>R[0]C[-1]</f>
        <v/>
      </c>
    </row>
    <row r="630">
      <c r="A630" t="inlineStr">
        <is>
          <t>Balance sheet</t>
        </is>
      </c>
      <c r="B630" t="inlineStr">
        <is>
          <t>N57</t>
        </is>
      </c>
      <c r="C630" t="n">
        <v>57</v>
      </c>
      <c r="D630" t="n">
        <v>14</v>
      </c>
      <c r="E630" t="inlineStr">
        <is>
          <t>Calculation</t>
        </is>
      </c>
      <c r="F630" t="inlineStr">
        <is>
          <t>'=M57</t>
        </is>
      </c>
      <c r="G630" t="n">
        <v>0.7417314755656745</v>
      </c>
      <c r="H630" t="inlineStr"/>
      <c r="I630" t="inlineStr">
        <is>
          <t>0.00%</t>
        </is>
      </c>
      <c r="J630" t="b">
        <v>0</v>
      </c>
      <c r="K630" t="b">
        <v>0</v>
      </c>
      <c r="L630" t="n">
        <v>11</v>
      </c>
      <c r="M630" t="n">
        <v/>
      </c>
      <c r="N630" t="inlineStr">
        <is>
          <t>00000000</t>
        </is>
      </c>
      <c r="O630" t="n">
        <v/>
      </c>
      <c r="R630" t="b">
        <v>1</v>
      </c>
      <c r="S630" t="inlineStr">
        <is>
          <t>G000186</t>
        </is>
      </c>
      <c r="T630" t="inlineStr">
        <is>
          <t>Horizontal</t>
        </is>
      </c>
      <c r="U630" t="n">
        <v>4</v>
      </c>
      <c r="V630" t="b">
        <v>1</v>
      </c>
      <c r="W630" t="inlineStr">
        <is>
          <t>Balance sheet!L57:O57</t>
        </is>
      </c>
      <c r="X630">
        <f>R[0]C[-1]</f>
        <v/>
      </c>
    </row>
    <row r="631">
      <c r="A631" t="inlineStr">
        <is>
          <t>Balance sheet</t>
        </is>
      </c>
      <c r="B631" t="inlineStr">
        <is>
          <t>O57</t>
        </is>
      </c>
      <c r="C631" t="n">
        <v>57</v>
      </c>
      <c r="D631" t="n">
        <v>15</v>
      </c>
      <c r="E631" t="inlineStr">
        <is>
          <t>Calculation</t>
        </is>
      </c>
      <c r="F631" t="inlineStr">
        <is>
          <t>'=N57</t>
        </is>
      </c>
      <c r="G631" t="n">
        <v>0.7417314755656745</v>
      </c>
      <c r="H631" t="inlineStr"/>
      <c r="I631" t="inlineStr">
        <is>
          <t>0.00%</t>
        </is>
      </c>
      <c r="J631" t="b">
        <v>0</v>
      </c>
      <c r="K631" t="b">
        <v>0</v>
      </c>
      <c r="L631" t="n">
        <v>11</v>
      </c>
      <c r="M631" t="n">
        <v/>
      </c>
      <c r="N631" t="inlineStr">
        <is>
          <t>00000000</t>
        </is>
      </c>
      <c r="O631" t="n">
        <v/>
      </c>
      <c r="R631" t="b">
        <v>1</v>
      </c>
      <c r="S631" t="inlineStr">
        <is>
          <t>G000186</t>
        </is>
      </c>
      <c r="T631" t="inlineStr">
        <is>
          <t>Horizontal</t>
        </is>
      </c>
      <c r="U631" t="n">
        <v>4</v>
      </c>
      <c r="V631" t="b">
        <v>1</v>
      </c>
      <c r="W631" t="inlineStr">
        <is>
          <t>Balance sheet!L57:O57</t>
        </is>
      </c>
      <c r="X631">
        <f>R[0]C[-1]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Revenue Matrix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Revenue Matrix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Revenue Matrix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Revenue Matrix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Revenue Matrix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Revenue Matrix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Revenue Matrix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Revenue Matrix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Revenue Matrix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Revenue Matrix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Revenue Matrix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Revenue Matrix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Revenue Matrix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Revenue Matrix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Revenue Matrix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Revenue Matrix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Revenue Matrix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Revenue Matrix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Revenue Matrix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Revenue Matrix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Revenue Matrix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Revenue Matrix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Revenue Matrix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Revenue Matrix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Revenue Matrix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Revenue Matrix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Revenue Matrix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Revenue Matrix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G000223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Revenue Matrix!E5:O5</t>
        </is>
      </c>
      <c r="X29">
        <f>EOMONTH(R[0]C[-1],12)</f>
        <v/>
      </c>
    </row>
    <row r="30">
      <c r="A30" t="inlineStr">
        <is>
          <t>Revenue Matrix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G000223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Revenue Matrix!E5:O5</t>
        </is>
      </c>
      <c r="X30">
        <f>EOMONTH(R[0]C[-1],12)</f>
        <v/>
      </c>
    </row>
    <row r="31">
      <c r="A31" t="inlineStr">
        <is>
          <t>Revenue Matrix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G000223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Revenue Matrix!E5:O5</t>
        </is>
      </c>
      <c r="X31">
        <f>EOMONTH(R[0]C[-1],12)</f>
        <v/>
      </c>
    </row>
    <row r="32">
      <c r="A32" t="inlineStr">
        <is>
          <t>Revenue Matrix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G000223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Revenue Matrix!E5:O5</t>
        </is>
      </c>
      <c r="X32">
        <f>EOMONTH(R[0]C[-1],12)</f>
        <v/>
      </c>
    </row>
    <row r="33">
      <c r="A33" t="inlineStr">
        <is>
          <t>Revenue Matrix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G000223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Revenue Matrix!E5:O5</t>
        </is>
      </c>
      <c r="X33">
        <f>EOMONTH(R[0]C[-1],12)</f>
        <v/>
      </c>
    </row>
    <row r="34">
      <c r="A34" t="inlineStr">
        <is>
          <t>Revenue Matrix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G000223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Revenue Matrix!E5:O5</t>
        </is>
      </c>
      <c r="X34">
        <f>EOMONTH(R[0]C[-1],12)</f>
        <v/>
      </c>
    </row>
    <row r="35">
      <c r="A35" t="inlineStr">
        <is>
          <t>Revenue Matrix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G000223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Revenue Matrix!E5:O5</t>
        </is>
      </c>
      <c r="X35">
        <f>EOMONTH(R[0]C[-1],12)</f>
        <v/>
      </c>
    </row>
    <row r="36">
      <c r="A36" t="inlineStr">
        <is>
          <t>Revenue Matrix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G000223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Revenue Matrix!E5:O5</t>
        </is>
      </c>
      <c r="X36">
        <f>EOMONTH(R[0]C[-1],12)</f>
        <v/>
      </c>
    </row>
    <row r="37">
      <c r="A37" t="inlineStr">
        <is>
          <t>Revenue Matrix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G000223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Revenue Matrix!E5:O5</t>
        </is>
      </c>
      <c r="X37">
        <f>EOMONTH(R[0]C[-1],12)</f>
        <v/>
      </c>
    </row>
    <row r="38">
      <c r="A38" t="inlineStr">
        <is>
          <t>Revenue Matrix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G000223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Revenue Matrix!E5:O5</t>
        </is>
      </c>
      <c r="X38">
        <f>EOMONTH(R[0]C[-1],12)</f>
        <v/>
      </c>
    </row>
    <row r="39">
      <c r="A39" t="inlineStr">
        <is>
          <t>Revenue Matrix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G000223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Revenue Matrix!E5:O5</t>
        </is>
      </c>
      <c r="X39">
        <f>EOMONTH(R[0]C[-1],12)</f>
        <v/>
      </c>
    </row>
    <row r="40">
      <c r="A40" t="inlineStr">
        <is>
          <t>Revenue Matrix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Revenue Matrix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Revenue Matrix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G000224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Revenue Matrix!D6:O6</t>
        </is>
      </c>
      <c r="X42">
        <f>YEAR(R[-1]C[0])</f>
        <v/>
      </c>
    </row>
    <row r="43">
      <c r="A43" t="inlineStr">
        <is>
          <t>Revenue Matrix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G000224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Revenue Matrix!D6:O6</t>
        </is>
      </c>
      <c r="X43">
        <f>YEAR(R[-1]C[0])</f>
        <v/>
      </c>
    </row>
    <row r="44">
      <c r="A44" t="inlineStr">
        <is>
          <t>Revenue Matrix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G000224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Revenue Matrix!D6:O6</t>
        </is>
      </c>
      <c r="X44">
        <f>YEAR(R[-1]C[0])</f>
        <v/>
      </c>
    </row>
    <row r="45">
      <c r="A45" t="inlineStr">
        <is>
          <t>Revenue Matrix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G000224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Revenue Matrix!D6:O6</t>
        </is>
      </c>
      <c r="X45">
        <f>YEAR(R[-1]C[0])</f>
        <v/>
      </c>
    </row>
    <row r="46">
      <c r="A46" t="inlineStr">
        <is>
          <t>Revenue Matrix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G000224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Revenue Matrix!D6:O6</t>
        </is>
      </c>
      <c r="X46">
        <f>YEAR(R[-1]C[0])</f>
        <v/>
      </c>
    </row>
    <row r="47">
      <c r="A47" t="inlineStr">
        <is>
          <t>Revenue Matrix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G000224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Revenue Matrix!D6:O6</t>
        </is>
      </c>
      <c r="X47">
        <f>YEAR(R[-1]C[0])</f>
        <v/>
      </c>
    </row>
    <row r="48">
      <c r="A48" t="inlineStr">
        <is>
          <t>Revenue Matrix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G000224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Revenue Matrix!D6:O6</t>
        </is>
      </c>
      <c r="X48">
        <f>YEAR(R[-1]C[0])</f>
        <v/>
      </c>
    </row>
    <row r="49">
      <c r="A49" t="inlineStr">
        <is>
          <t>Revenue Matrix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G000224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Revenue Matrix!D6:O6</t>
        </is>
      </c>
      <c r="X49">
        <f>YEAR(R[-1]C[0])</f>
        <v/>
      </c>
    </row>
    <row r="50">
      <c r="A50" t="inlineStr">
        <is>
          <t>Revenue Matrix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G000224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Revenue Matrix!D6:O6</t>
        </is>
      </c>
      <c r="X50">
        <f>YEAR(R[-1]C[0])</f>
        <v/>
      </c>
    </row>
    <row r="51">
      <c r="A51" t="inlineStr">
        <is>
          <t>Revenue Matrix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G000224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Revenue Matrix!D6:O6</t>
        </is>
      </c>
      <c r="X51">
        <f>YEAR(R[-1]C[0])</f>
        <v/>
      </c>
    </row>
    <row r="52">
      <c r="A52" t="inlineStr">
        <is>
          <t>Revenue Matrix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G000224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Revenue Matrix!D6:O6</t>
        </is>
      </c>
      <c r="X52">
        <f>YEAR(R[-1]C[0])</f>
        <v/>
      </c>
    </row>
    <row r="53">
      <c r="A53" t="inlineStr">
        <is>
          <t>Revenue Matrix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G000224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Revenue Matrix!D6:O6</t>
        </is>
      </c>
      <c r="X53">
        <f>YEAR(R[-1]C[0])</f>
        <v/>
      </c>
    </row>
    <row r="54">
      <c r="A54" t="inlineStr">
        <is>
          <t>Revenue Matrix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Passenger ticket revenue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Revenue Matrix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Revenue Matrix</t>
        </is>
      </c>
      <c r="B56" t="inlineStr">
        <is>
          <t>D7</t>
        </is>
      </c>
      <c r="C56" t="n">
        <v>7</v>
      </c>
      <c r="D56" t="n">
        <v>4</v>
      </c>
      <c r="E56" t="inlineStr">
        <is>
          <t>Input</t>
        </is>
      </c>
      <c r="F56" t="n">
        <v/>
      </c>
      <c r="G56" t="n">
        <v>33909.86</v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Revenue Matrix</t>
        </is>
      </c>
      <c r="B57" t="inlineStr">
        <is>
          <t>E7</t>
        </is>
      </c>
      <c r="C57" t="n">
        <v>7</v>
      </c>
      <c r="D57" t="n">
        <v>5</v>
      </c>
      <c r="E57" t="inlineStr">
        <is>
          <t>Input</t>
        </is>
      </c>
      <c r="F57" t="n">
        <v/>
      </c>
      <c r="G57" t="n">
        <v>49873.04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Revenue Matrix</t>
        </is>
      </c>
      <c r="B58" t="inlineStr">
        <is>
          <t>F7</t>
        </is>
      </c>
      <c r="C58" t="n">
        <v>7</v>
      </c>
      <c r="D58" t="n">
        <v>6</v>
      </c>
      <c r="E58" t="inlineStr">
        <is>
          <t>Input</t>
        </is>
      </c>
      <c r="F58" t="n">
        <v/>
      </c>
      <c r="G58" t="n">
        <v>82666.57000000001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Revenue Matrix</t>
        </is>
      </c>
      <c r="B59" t="inlineStr">
        <is>
          <t>G7</t>
        </is>
      </c>
      <c r="C59" t="n">
        <v>7</v>
      </c>
      <c r="D59" t="n">
        <v>7</v>
      </c>
      <c r="E59" t="inlineStr">
        <is>
          <t>Input</t>
        </is>
      </c>
      <c r="F59" t="n">
        <v/>
      </c>
      <c r="G59" t="n">
        <v>99239.83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Revenue Matrix</t>
        </is>
      </c>
      <c r="B60" t="inlineStr">
        <is>
          <t>H7</t>
        </is>
      </c>
      <c r="C60" t="n">
        <v>7</v>
      </c>
      <c r="D60" t="n">
        <v>8</v>
      </c>
      <c r="E60" t="inlineStr">
        <is>
          <t>Input</t>
        </is>
      </c>
      <c r="F60" t="n">
        <v/>
      </c>
      <c r="G60" t="n">
        <v>122938.97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Revenue Matrix</t>
        </is>
      </c>
      <c r="B61" t="inlineStr">
        <is>
          <t>I7</t>
        </is>
      </c>
      <c r="C61" t="n">
        <v>7</v>
      </c>
      <c r="D61" t="n">
        <v>9</v>
      </c>
      <c r="E61" t="inlineStr">
        <is>
          <t>Input</t>
        </is>
      </c>
      <c r="F61" t="n">
        <v/>
      </c>
      <c r="G61" t="n">
        <v>140624.22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Revenue Matrix</t>
        </is>
      </c>
      <c r="B62" t="inlineStr">
        <is>
          <t>J7</t>
        </is>
      </c>
      <c r="C62" t="n">
        <v>7</v>
      </c>
      <c r="D62" t="n">
        <v>10</v>
      </c>
      <c r="E62" t="inlineStr">
        <is>
          <t>Input</t>
        </is>
      </c>
      <c r="F62" t="n">
        <v/>
      </c>
      <c r="G62" t="n">
        <v>161970.72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Revenue Matrix</t>
        </is>
      </c>
      <c r="B63" t="inlineStr">
        <is>
          <t>K7</t>
        </is>
      </c>
      <c r="C63" t="n">
        <v>7</v>
      </c>
      <c r="D63" t="n">
        <v>11</v>
      </c>
      <c r="E63" t="inlineStr">
        <is>
          <t>Calculation</t>
        </is>
      </c>
      <c r="F63" t="inlineStr">
        <is>
          <t>'='Assumptions Sheet'!K24</t>
        </is>
      </c>
      <c r="G63" t="n">
        <v>217131.174</v>
      </c>
      <c r="H63" t="inlineStr"/>
      <c r="I63" t="inlineStr">
        <is>
          <t>#,##0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G000225</t>
        </is>
      </c>
      <c r="T63" t="inlineStr">
        <is>
          <t>Horizontal</t>
        </is>
      </c>
      <c r="U63" t="n">
        <v>5</v>
      </c>
      <c r="V63" t="b">
        <v>1</v>
      </c>
      <c r="W63" t="inlineStr">
        <is>
          <t>Revenue Matrix!K7:O7</t>
        </is>
      </c>
      <c r="X63">
        <f>'Assumptions Sheet'!R[17]C[0]</f>
        <v/>
      </c>
    </row>
    <row r="64">
      <c r="A64" t="inlineStr">
        <is>
          <t>Revenue Matrix</t>
        </is>
      </c>
      <c r="B64" t="inlineStr">
        <is>
          <t>L7</t>
        </is>
      </c>
      <c r="C64" t="n">
        <v>7</v>
      </c>
      <c r="D64" t="n">
        <v>12</v>
      </c>
      <c r="E64" t="inlineStr">
        <is>
          <t>Calculation</t>
        </is>
      </c>
      <c r="F64" t="inlineStr">
        <is>
          <t>'='Assumptions Sheet'!L24</t>
        </is>
      </c>
      <c r="G64" t="n">
        <v>260557.4087999999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G000225</t>
        </is>
      </c>
      <c r="T64" t="inlineStr">
        <is>
          <t>Horizontal</t>
        </is>
      </c>
      <c r="U64" t="n">
        <v>5</v>
      </c>
      <c r="V64" t="b">
        <v>1</v>
      </c>
      <c r="W64" t="inlineStr">
        <is>
          <t>Revenue Matrix!K7:O7</t>
        </is>
      </c>
      <c r="X64">
        <f>'Assumptions Sheet'!R[17]C[0]</f>
        <v/>
      </c>
    </row>
    <row r="65">
      <c r="A65" t="inlineStr">
        <is>
          <t>Revenue Matrix</t>
        </is>
      </c>
      <c r="B65" t="inlineStr">
        <is>
          <t>M7</t>
        </is>
      </c>
      <c r="C65" t="n">
        <v>7</v>
      </c>
      <c r="D65" t="n">
        <v>13</v>
      </c>
      <c r="E65" t="inlineStr">
        <is>
          <t>Calculation</t>
        </is>
      </c>
      <c r="F65" t="inlineStr">
        <is>
          <t>'='Assumptions Sheet'!M24</t>
        </is>
      </c>
      <c r="G65" t="n">
        <v>312668.8905599999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G000225</t>
        </is>
      </c>
      <c r="T65" t="inlineStr">
        <is>
          <t>Horizontal</t>
        </is>
      </c>
      <c r="U65" t="n">
        <v>5</v>
      </c>
      <c r="V65" t="b">
        <v>1</v>
      </c>
      <c r="W65" t="inlineStr">
        <is>
          <t>Revenue Matrix!K7:O7</t>
        </is>
      </c>
      <c r="X65">
        <f>'Assumptions Sheet'!R[17]C[0]</f>
        <v/>
      </c>
    </row>
    <row r="66">
      <c r="A66" t="inlineStr">
        <is>
          <t>Revenue Matrix</t>
        </is>
      </c>
      <c r="B66" t="inlineStr">
        <is>
          <t>N7</t>
        </is>
      </c>
      <c r="C66" t="n">
        <v>7</v>
      </c>
      <c r="D66" t="n">
        <v>14</v>
      </c>
      <c r="E66" t="inlineStr">
        <is>
          <t>Calculation</t>
        </is>
      </c>
      <c r="F66" t="inlineStr">
        <is>
          <t>'='Assumptions Sheet'!N24</t>
        </is>
      </c>
      <c r="G66" t="n">
        <v>375202.6686719999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G000225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Revenue Matrix!K7:O7</t>
        </is>
      </c>
      <c r="X66">
        <f>'Assumptions Sheet'!R[17]C[0]</f>
        <v/>
      </c>
    </row>
    <row r="67">
      <c r="A67" t="inlineStr">
        <is>
          <t>Revenue Matrix</t>
        </is>
      </c>
      <c r="B67" t="inlineStr">
        <is>
          <t>O7</t>
        </is>
      </c>
      <c r="C67" t="n">
        <v>7</v>
      </c>
      <c r="D67" t="n">
        <v>15</v>
      </c>
      <c r="E67" t="inlineStr">
        <is>
          <t>Calculation</t>
        </is>
      </c>
      <c r="F67" t="inlineStr">
        <is>
          <t>'='Assumptions Sheet'!O24</t>
        </is>
      </c>
      <c r="G67" t="n">
        <v>450243.2024063999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G000225</t>
        </is>
      </c>
      <c r="T67" t="inlineStr">
        <is>
          <t>Horizontal</t>
        </is>
      </c>
      <c r="U67" t="n">
        <v>5</v>
      </c>
      <c r="V67" t="b">
        <v>1</v>
      </c>
      <c r="W67" t="inlineStr">
        <is>
          <t>Revenue Matrix!K7:O7</t>
        </is>
      </c>
      <c r="X67">
        <f>'Assumptions Sheet'!R[17]C[0]</f>
        <v/>
      </c>
    </row>
    <row r="68">
      <c r="A68" t="inlineStr">
        <is>
          <t>Revenue Matrix</t>
        </is>
      </c>
      <c r="B68" t="inlineStr">
        <is>
          <t>A8</t>
        </is>
      </c>
      <c r="C68" t="n">
        <v>8</v>
      </c>
      <c r="D68" t="n">
        <v>1</v>
      </c>
      <c r="E68" t="inlineStr">
        <is>
          <t>Input</t>
        </is>
      </c>
      <c r="F68" t="n">
        <v/>
      </c>
      <c r="G68" t="inlineStr">
        <is>
          <t>Ancillary Revenue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Revenue Matrix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4356.65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Revenue Matrix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Input</t>
        </is>
      </c>
      <c r="F70" t="n">
        <v/>
      </c>
      <c r="G70" t="n">
        <v>5680.34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Revenue Matrix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Input</t>
        </is>
      </c>
      <c r="F71" t="n">
        <v/>
      </c>
      <c r="G71" t="n">
        <v>9253.440000000001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Revenue Matrix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Input</t>
        </is>
      </c>
      <c r="F72" t="n">
        <v/>
      </c>
      <c r="G72" t="n">
        <v>11553.32</v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Revenue Matrix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Input</t>
        </is>
      </c>
      <c r="F73" t="n">
        <v/>
      </c>
      <c r="G73" t="n">
        <v>15724.94</v>
      </c>
      <c r="H73" t="inlineStr"/>
      <c r="I73" t="inlineStr">
        <is>
          <t>#,##0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Revenue Matrix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Input</t>
        </is>
      </c>
      <c r="F74" t="n">
        <v/>
      </c>
      <c r="G74" t="n">
        <v>20019.97</v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Revenue Matrix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n">
        <v>22667.58</v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Revenue Matrix</t>
        </is>
      </c>
      <c r="B76" t="inlineStr">
        <is>
          <t>K8</t>
        </is>
      </c>
      <c r="C76" t="n">
        <v>8</v>
      </c>
      <c r="D76" t="n">
        <v>11</v>
      </c>
      <c r="E76" t="inlineStr">
        <is>
          <t>Calculation</t>
        </is>
      </c>
      <c r="F76" t="inlineStr">
        <is>
          <t>'='Assumptions Sheet'!K26</t>
        </is>
      </c>
      <c r="G76" t="n">
        <v>29312.70849</v>
      </c>
      <c r="H76" t="inlineStr"/>
      <c r="I76" t="inlineStr">
        <is>
          <t>#,##0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G000226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Revenue Matrix!K8:O8</t>
        </is>
      </c>
      <c r="X76">
        <f>'Assumptions Sheet'!R[18]C[0]</f>
        <v/>
      </c>
    </row>
    <row r="77">
      <c r="A77" t="inlineStr">
        <is>
          <t>Revenue Matrix</t>
        </is>
      </c>
      <c r="B77" t="inlineStr">
        <is>
          <t>L8</t>
        </is>
      </c>
      <c r="C77" t="n">
        <v>8</v>
      </c>
      <c r="D77" t="n">
        <v>12</v>
      </c>
      <c r="E77" t="inlineStr">
        <is>
          <t>Calculation</t>
        </is>
      </c>
      <c r="F77" t="inlineStr">
        <is>
          <t>'='Assumptions Sheet'!L26</t>
        </is>
      </c>
      <c r="G77" t="n">
        <v>35175.250188</v>
      </c>
      <c r="H77" t="inlineStr"/>
      <c r="I77" t="inlineStr">
        <is>
          <t>#,##0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inlineStr">
        <is>
          <t>G000226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Revenue Matrix!K8:O8</t>
        </is>
      </c>
      <c r="X77">
        <f>'Assumptions Sheet'!R[18]C[0]</f>
        <v/>
      </c>
    </row>
    <row r="78">
      <c r="A78" t="inlineStr">
        <is>
          <t>Revenue Matrix</t>
        </is>
      </c>
      <c r="B78" t="inlineStr">
        <is>
          <t>M8</t>
        </is>
      </c>
      <c r="C78" t="n">
        <v>8</v>
      </c>
      <c r="D78" t="n">
        <v>13</v>
      </c>
      <c r="E78" t="inlineStr">
        <is>
          <t>Calculation</t>
        </is>
      </c>
      <c r="F78" t="inlineStr">
        <is>
          <t>'='Assumptions Sheet'!M26</t>
        </is>
      </c>
      <c r="G78" t="n">
        <v>40646.95577279999</v>
      </c>
      <c r="H78" t="inlineStr"/>
      <c r="I78" t="inlineStr">
        <is>
          <t>#,##0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G000226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Revenue Matrix!K8:O8</t>
        </is>
      </c>
      <c r="X78">
        <f>'Assumptions Sheet'!R[18]C[0]</f>
        <v/>
      </c>
    </row>
    <row r="79">
      <c r="A79" t="inlineStr">
        <is>
          <t>Revenue Matrix</t>
        </is>
      </c>
      <c r="B79" t="inlineStr">
        <is>
          <t>N8</t>
        </is>
      </c>
      <c r="C79" t="n">
        <v>8</v>
      </c>
      <c r="D79" t="n">
        <v>14</v>
      </c>
      <c r="E79" t="inlineStr">
        <is>
          <t>Calculation</t>
        </is>
      </c>
      <c r="F79" t="inlineStr">
        <is>
          <t>'='Assumptions Sheet'!N26</t>
        </is>
      </c>
      <c r="G79" t="n">
        <v>46900.33358399999</v>
      </c>
      <c r="H79" t="inlineStr"/>
      <c r="I79" t="inlineStr">
        <is>
          <t>#,##0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G000226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Revenue Matrix!K8:O8</t>
        </is>
      </c>
      <c r="X79">
        <f>'Assumptions Sheet'!R[18]C[0]</f>
        <v/>
      </c>
    </row>
    <row r="80">
      <c r="A80" t="inlineStr">
        <is>
          <t>Revenue Matrix</t>
        </is>
      </c>
      <c r="B80" t="inlineStr">
        <is>
          <t>O8</t>
        </is>
      </c>
      <c r="C80" t="n">
        <v>8</v>
      </c>
      <c r="D80" t="n">
        <v>15</v>
      </c>
      <c r="E80" t="inlineStr">
        <is>
          <t>Calculation</t>
        </is>
      </c>
      <c r="F80" t="inlineStr">
        <is>
          <t>'='Assumptions Sheet'!O26</t>
        </is>
      </c>
      <c r="G80" t="n">
        <v>56280.40030079999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G000226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Revenue Matrix!K8:O8</t>
        </is>
      </c>
      <c r="X80">
        <f>'Assumptions Sheet'!R[18]C[0]</f>
        <v/>
      </c>
    </row>
    <row r="81">
      <c r="A81" t="inlineStr">
        <is>
          <t>Revenue Matrix</t>
        </is>
      </c>
      <c r="B81" t="inlineStr">
        <is>
          <t>A9</t>
        </is>
      </c>
      <c r="C81" t="n">
        <v>9</v>
      </c>
      <c r="D81" t="n">
        <v>1</v>
      </c>
      <c r="E81" t="inlineStr">
        <is>
          <t>Input</t>
        </is>
      </c>
      <c r="F81" t="n">
        <v/>
      </c>
      <c r="G81" t="inlineStr">
        <is>
          <t>Other operating revenue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Revenue Matrix</t>
        </is>
      </c>
      <c r="B82" t="inlineStr">
        <is>
          <t>D9</t>
        </is>
      </c>
      <c r="C82" t="n">
        <v>9</v>
      </c>
      <c r="D82" t="n">
        <v>4</v>
      </c>
      <c r="E82" t="inlineStr">
        <is>
          <t>Input</t>
        </is>
      </c>
      <c r="F82" t="n">
        <v/>
      </c>
      <c r="G82" t="n">
        <v>67.69</v>
      </c>
      <c r="H82" t="inlineStr"/>
      <c r="I82" t="inlineStr">
        <is>
          <t>0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Revenue Matrix</t>
        </is>
      </c>
      <c r="B83" t="inlineStr">
        <is>
          <t>E9</t>
        </is>
      </c>
      <c r="C83" t="n">
        <v>9</v>
      </c>
      <c r="D83" t="n">
        <v>5</v>
      </c>
      <c r="E83" t="inlineStr">
        <is>
          <t>Input</t>
        </is>
      </c>
      <c r="F83" t="n">
        <v/>
      </c>
      <c r="G83" t="n">
        <v>93.22</v>
      </c>
      <c r="H83" t="inlineStr"/>
      <c r="I83" t="inlineStr">
        <is>
          <t>0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Revenue Matrix</t>
        </is>
      </c>
      <c r="B84" t="inlineStr">
        <is>
          <t>F9</t>
        </is>
      </c>
      <c r="C84" t="n">
        <v>9</v>
      </c>
      <c r="D84" t="n">
        <v>6</v>
      </c>
      <c r="E84" t="inlineStr">
        <is>
          <t>Input</t>
        </is>
      </c>
      <c r="F84" t="n">
        <v/>
      </c>
      <c r="G84" t="n">
        <v>111.29</v>
      </c>
      <c r="H84" t="inlineStr"/>
      <c r="I84" t="inlineStr">
        <is>
          <t>0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Revenue Matrix</t>
        </is>
      </c>
      <c r="B85" t="inlineStr">
        <is>
          <t>G9</t>
        </is>
      </c>
      <c r="C85" t="n">
        <v>9</v>
      </c>
      <c r="D85" t="n">
        <v>7</v>
      </c>
      <c r="E85" t="inlineStr">
        <is>
          <t>Input</t>
        </is>
      </c>
      <c r="F85" t="n">
        <v/>
      </c>
      <c r="G85" t="n">
        <v>372.69</v>
      </c>
      <c r="H85" t="inlineStr"/>
      <c r="I85" t="inlineStr">
        <is>
          <t>0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Revenue Matrix</t>
        </is>
      </c>
      <c r="B86" t="inlineStr">
        <is>
          <t>H9</t>
        </is>
      </c>
      <c r="C86" t="n">
        <v>9</v>
      </c>
      <c r="D86" t="n">
        <v>8</v>
      </c>
      <c r="E86" t="inlineStr">
        <is>
          <t>Input</t>
        </is>
      </c>
      <c r="F86" t="n">
        <v/>
      </c>
      <c r="G86" t="n">
        <v>589.45</v>
      </c>
      <c r="H86" t="inlineStr"/>
      <c r="I86" t="inlineStr">
        <is>
          <t>0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Revenue Matrix</t>
        </is>
      </c>
      <c r="B87" t="inlineStr">
        <is>
          <t>I9</t>
        </is>
      </c>
      <c r="C87" t="n">
        <v>9</v>
      </c>
      <c r="D87" t="n">
        <v>9</v>
      </c>
      <c r="E87" t="inlineStr">
        <is>
          <t>Input</t>
        </is>
      </c>
      <c r="F87" t="n">
        <v/>
      </c>
      <c r="G87" t="n">
        <v>754.89</v>
      </c>
      <c r="H87" t="inlineStr"/>
      <c r="I87" t="inlineStr">
        <is>
          <t>0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Revenue Matrix</t>
        </is>
      </c>
      <c r="B88" t="inlineStr">
        <is>
          <t>J9</t>
        </is>
      </c>
      <c r="C88" t="n">
        <v>9</v>
      </c>
      <c r="D88" t="n">
        <v>10</v>
      </c>
      <c r="E88" t="inlineStr">
        <is>
          <t>Output</t>
        </is>
      </c>
      <c r="F88" t="inlineStr">
        <is>
          <t>'=J11-J7-J8</t>
        </is>
      </c>
      <c r="G88" t="n">
        <v>1166.699999999997</v>
      </c>
      <c r="H88" t="inlineStr"/>
      <c r="I88" t="inlineStr">
        <is>
          <t>0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>
        <f>R[2]C[0]-R[-2]C[0]-R[-1]C[0]</f>
        <v/>
      </c>
    </row>
    <row r="89">
      <c r="A89" t="inlineStr">
        <is>
          <t>Revenue Matrix</t>
        </is>
      </c>
      <c r="B89" t="inlineStr">
        <is>
          <t>K9</t>
        </is>
      </c>
      <c r="C89" t="n">
        <v>9</v>
      </c>
      <c r="D89" t="n">
        <v>11</v>
      </c>
      <c r="E89" t="inlineStr">
        <is>
          <t>Calculation</t>
        </is>
      </c>
      <c r="F89" t="inlineStr">
        <is>
          <t>'='Assumptions Sheet'!K28</t>
        </is>
      </c>
      <c r="G89" t="n">
        <v>1694.710103223194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FFFF0000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G000227</t>
        </is>
      </c>
      <c r="T89" t="inlineStr">
        <is>
          <t>Horizontal</t>
        </is>
      </c>
      <c r="U89" t="n">
        <v>5</v>
      </c>
      <c r="V89" t="b">
        <v>1</v>
      </c>
      <c r="W89" t="inlineStr">
        <is>
          <t>Revenue Matrix!K9:O9</t>
        </is>
      </c>
      <c r="X89">
        <f>'Assumptions Sheet'!R[19]C[0]</f>
        <v/>
      </c>
    </row>
    <row r="90">
      <c r="A90" t="inlineStr">
        <is>
          <t>Revenue Matrix</t>
        </is>
      </c>
      <c r="B90" t="inlineStr">
        <is>
          <t>L9</t>
        </is>
      </c>
      <c r="C90" t="n">
        <v>9</v>
      </c>
      <c r="D90" t="n">
        <v>12</v>
      </c>
      <c r="E90" t="inlineStr">
        <is>
          <t>Calculation</t>
        </is>
      </c>
      <c r="F90" t="inlineStr">
        <is>
          <t>'='Assumptions Sheet'!L28</t>
        </is>
      </c>
      <c r="G90" t="n">
        <v>2189.986569147833</v>
      </c>
      <c r="H90" t="inlineStr"/>
      <c r="I90" t="inlineStr">
        <is>
          <t>0</t>
        </is>
      </c>
      <c r="J90" t="b">
        <v>0</v>
      </c>
      <c r="K90" t="b">
        <v>0</v>
      </c>
      <c r="L90" t="n">
        <v>11</v>
      </c>
      <c r="M90" t="inlineStr">
        <is>
          <t>FFFF0000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G000227</t>
        </is>
      </c>
      <c r="T90" t="inlineStr">
        <is>
          <t>Horizontal</t>
        </is>
      </c>
      <c r="U90" t="n">
        <v>5</v>
      </c>
      <c r="V90" t="b">
        <v>1</v>
      </c>
      <c r="W90" t="inlineStr">
        <is>
          <t>Revenue Matrix!K9:O9</t>
        </is>
      </c>
      <c r="X90">
        <f>'Assumptions Sheet'!R[19]C[0]</f>
        <v/>
      </c>
    </row>
    <row r="91">
      <c r="A91" t="inlineStr">
        <is>
          <t>Revenue Matrix</t>
        </is>
      </c>
      <c r="B91" t="inlineStr">
        <is>
          <t>M9</t>
        </is>
      </c>
      <c r="C91" t="n">
        <v>9</v>
      </c>
      <c r="D91" t="n">
        <v>13</v>
      </c>
      <c r="E91" t="inlineStr">
        <is>
          <t>Calculation</t>
        </is>
      </c>
      <c r="F91" t="inlineStr">
        <is>
          <t>'='Assumptions Sheet'!M28</t>
        </is>
      </c>
      <c r="G91" t="n">
        <v>2815.585217313399</v>
      </c>
      <c r="H91" t="inlineStr"/>
      <c r="I91" t="inlineStr">
        <is>
          <t>0</t>
        </is>
      </c>
      <c r="J91" t="b">
        <v>0</v>
      </c>
      <c r="K91" t="b">
        <v>0</v>
      </c>
      <c r="L91" t="n">
        <v>11</v>
      </c>
      <c r="M91" t="inlineStr">
        <is>
          <t>FFFF0000</t>
        </is>
      </c>
      <c r="N91" t="inlineStr">
        <is>
          <t>00000000</t>
        </is>
      </c>
      <c r="O91" t="n">
        <v/>
      </c>
      <c r="R91" t="b">
        <v>1</v>
      </c>
      <c r="S91" t="inlineStr">
        <is>
          <t>G000227</t>
        </is>
      </c>
      <c r="T91" t="inlineStr">
        <is>
          <t>Horizontal</t>
        </is>
      </c>
      <c r="U91" t="n">
        <v>5</v>
      </c>
      <c r="V91" t="b">
        <v>1</v>
      </c>
      <c r="W91" t="inlineStr">
        <is>
          <t>Revenue Matrix!K9:O9</t>
        </is>
      </c>
      <c r="X91">
        <f>'Assumptions Sheet'!R[19]C[0]</f>
        <v/>
      </c>
    </row>
    <row r="92">
      <c r="A92" t="inlineStr">
        <is>
          <t>Revenue Matrix</t>
        </is>
      </c>
      <c r="B92" t="inlineStr">
        <is>
          <t>N9</t>
        </is>
      </c>
      <c r="C92" t="n">
        <v>9</v>
      </c>
      <c r="D92" t="n">
        <v>14</v>
      </c>
      <c r="E92" t="inlineStr">
        <is>
          <t>Calculation</t>
        </is>
      </c>
      <c r="F92" t="inlineStr">
        <is>
          <t>'='Assumptions Sheet'!N28</t>
        </is>
      </c>
      <c r="G92" t="n">
        <v>3603.823861979279</v>
      </c>
      <c r="H92" t="inlineStr"/>
      <c r="I92" t="inlineStr">
        <is>
          <t>0</t>
        </is>
      </c>
      <c r="J92" t="b">
        <v>0</v>
      </c>
      <c r="K92" t="b">
        <v>0</v>
      </c>
      <c r="L92" t="n">
        <v>11</v>
      </c>
      <c r="M92" t="inlineStr">
        <is>
          <t>FFFF0000</t>
        </is>
      </c>
      <c r="N92" t="inlineStr">
        <is>
          <t>00000000</t>
        </is>
      </c>
      <c r="O92" t="n">
        <v/>
      </c>
      <c r="R92" t="b">
        <v>1</v>
      </c>
      <c r="S92" t="inlineStr">
        <is>
          <t>G000227</t>
        </is>
      </c>
      <c r="T92" t="inlineStr">
        <is>
          <t>Horizontal</t>
        </is>
      </c>
      <c r="U92" t="n">
        <v>5</v>
      </c>
      <c r="V92" t="b">
        <v>1</v>
      </c>
      <c r="W92" t="inlineStr">
        <is>
          <t>Revenue Matrix!K9:O9</t>
        </is>
      </c>
      <c r="X92">
        <f>'Assumptions Sheet'!R[19]C[0]</f>
        <v/>
      </c>
    </row>
    <row r="93">
      <c r="A93" t="inlineStr">
        <is>
          <t>Revenue Matrix</t>
        </is>
      </c>
      <c r="B93" t="inlineStr">
        <is>
          <t>O9</t>
        </is>
      </c>
      <c r="C93" t="n">
        <v>9</v>
      </c>
      <c r="D93" t="n">
        <v>15</v>
      </c>
      <c r="E93" t="inlineStr">
        <is>
          <t>Calculation</t>
        </is>
      </c>
      <c r="F93" t="inlineStr">
        <is>
          <t>'='Assumptions Sheet'!O28</t>
        </is>
      </c>
      <c r="G93" t="n">
        <v>4594.734555818975</v>
      </c>
      <c r="H93" t="inlineStr"/>
      <c r="I93" t="inlineStr">
        <is>
          <t>0</t>
        </is>
      </c>
      <c r="J93" t="b">
        <v>0</v>
      </c>
      <c r="K93" t="b">
        <v>0</v>
      </c>
      <c r="L93" t="n">
        <v>11</v>
      </c>
      <c r="M93" t="inlineStr">
        <is>
          <t>FFFF0000</t>
        </is>
      </c>
      <c r="N93" t="inlineStr">
        <is>
          <t>00000000</t>
        </is>
      </c>
      <c r="O93" t="n">
        <v/>
      </c>
      <c r="R93" t="b">
        <v>1</v>
      </c>
      <c r="S93" t="inlineStr">
        <is>
          <t>G000227</t>
        </is>
      </c>
      <c r="T93" t="inlineStr">
        <is>
          <t>Horizontal</t>
        </is>
      </c>
      <c r="U93" t="n">
        <v>5</v>
      </c>
      <c r="V93" t="b">
        <v>1</v>
      </c>
      <c r="W93" t="inlineStr">
        <is>
          <t>Revenue Matrix!K9:O9</t>
        </is>
      </c>
      <c r="X93">
        <f>'Assumptions Sheet'!R[19]C[0]</f>
        <v/>
      </c>
    </row>
    <row r="94">
      <c r="A94" t="inlineStr">
        <is>
          <t>Revenue Matrix</t>
        </is>
      </c>
      <c r="B94" t="inlineStr">
        <is>
          <t>A10</t>
        </is>
      </c>
      <c r="C94" t="n">
        <v>10</v>
      </c>
      <c r="D94" t="n">
        <v>1</v>
      </c>
      <c r="E94" t="inlineStr">
        <is>
          <t>Input</t>
        </is>
      </c>
      <c r="F94" t="n">
        <v/>
      </c>
      <c r="G94" t="inlineStr">
        <is>
          <t>Other Income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Revenue Matrix</t>
        </is>
      </c>
      <c r="B95" t="inlineStr">
        <is>
          <t>D10</t>
        </is>
      </c>
      <c r="C95" t="n">
        <v>10</v>
      </c>
      <c r="D95" t="n">
        <v>4</v>
      </c>
      <c r="E95" t="inlineStr">
        <is>
          <t>Output</t>
        </is>
      </c>
      <c r="F95" t="inlineStr">
        <is>
          <t>'='Assumptions Sheet'!C30</t>
        </is>
      </c>
      <c r="G95" t="n">
        <v>621.9299999999999</v>
      </c>
      <c r="H95" t="inlineStr"/>
      <c r="I95" t="inlineStr">
        <is>
          <t>0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1</v>
      </c>
      <c r="S95" t="inlineStr">
        <is>
          <t>G000228</t>
        </is>
      </c>
      <c r="T95" t="inlineStr">
        <is>
          <t>Horizontal</t>
        </is>
      </c>
      <c r="U95" t="n">
        <v>12</v>
      </c>
      <c r="V95" t="b">
        <v>1</v>
      </c>
      <c r="W95" t="inlineStr">
        <is>
          <t>Revenue Matrix!D10:O10</t>
        </is>
      </c>
      <c r="X95">
        <f>'Assumptions Sheet'!R[20]C[-1]</f>
        <v/>
      </c>
    </row>
    <row r="96">
      <c r="A96" t="inlineStr">
        <is>
          <t>Revenue Matrix</t>
        </is>
      </c>
      <c r="B96" t="inlineStr">
        <is>
          <t>E10</t>
        </is>
      </c>
      <c r="C96" t="n">
        <v>10</v>
      </c>
      <c r="D96" t="n">
        <v>5</v>
      </c>
      <c r="E96" t="inlineStr">
        <is>
          <t>Output</t>
        </is>
      </c>
      <c r="F96" t="inlineStr">
        <is>
          <t>'='Assumptions Sheet'!D30</t>
        </is>
      </c>
      <c r="G96" t="n">
        <v>1107.37</v>
      </c>
      <c r="H96" t="inlineStr"/>
      <c r="I96" t="inlineStr">
        <is>
          <t>0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1</v>
      </c>
      <c r="S96" t="inlineStr">
        <is>
          <t>G000228</t>
        </is>
      </c>
      <c r="T96" t="inlineStr">
        <is>
          <t>Horizontal</t>
        </is>
      </c>
      <c r="U96" t="n">
        <v>12</v>
      </c>
      <c r="V96" t="b">
        <v>1</v>
      </c>
      <c r="W96" t="inlineStr">
        <is>
          <t>Revenue Matrix!D10:O10</t>
        </is>
      </c>
      <c r="X96">
        <f>'Assumptions Sheet'!R[20]C[-1]</f>
        <v/>
      </c>
    </row>
    <row r="97">
      <c r="A97" t="inlineStr">
        <is>
          <t>Revenue Matrix</t>
        </is>
      </c>
      <c r="B97" t="inlineStr">
        <is>
          <t>F10</t>
        </is>
      </c>
      <c r="C97" t="n">
        <v>10</v>
      </c>
      <c r="D97" t="n">
        <v>6</v>
      </c>
      <c r="E97" t="inlineStr">
        <is>
          <t>Output</t>
        </is>
      </c>
      <c r="F97" t="inlineStr">
        <is>
          <t>'='Assumptions Sheet'!E30</t>
        </is>
      </c>
      <c r="G97" t="n">
        <v>1439.6</v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n">
        <v/>
      </c>
      <c r="R97" t="b">
        <v>1</v>
      </c>
      <c r="S97" t="inlineStr">
        <is>
          <t>G000228</t>
        </is>
      </c>
      <c r="T97" t="inlineStr">
        <is>
          <t>Horizontal</t>
        </is>
      </c>
      <c r="U97" t="n">
        <v>12</v>
      </c>
      <c r="V97" t="b">
        <v>1</v>
      </c>
      <c r="W97" t="inlineStr">
        <is>
          <t>Revenue Matrix!D10:O10</t>
        </is>
      </c>
      <c r="X97">
        <f>'Assumptions Sheet'!R[20]C[-1]</f>
        <v/>
      </c>
    </row>
    <row r="98">
      <c r="A98" t="inlineStr">
        <is>
          <t>Revenue Matrix</t>
        </is>
      </c>
      <c r="B98" t="inlineStr">
        <is>
          <t>G10</t>
        </is>
      </c>
      <c r="C98" t="n">
        <v>10</v>
      </c>
      <c r="D98" t="n">
        <v>7</v>
      </c>
      <c r="E98" t="inlineStr">
        <is>
          <t>Output</t>
        </is>
      </c>
      <c r="F98" t="inlineStr">
        <is>
          <t>'='Assumptions Sheet'!F30</t>
        </is>
      </c>
      <c r="G98" t="n">
        <v>2371.04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1</v>
      </c>
      <c r="S98" t="inlineStr">
        <is>
          <t>G000228</t>
        </is>
      </c>
      <c r="T98" t="inlineStr">
        <is>
          <t>Horizontal</t>
        </is>
      </c>
      <c r="U98" t="n">
        <v>12</v>
      </c>
      <c r="V98" t="b">
        <v>1</v>
      </c>
      <c r="W98" t="inlineStr">
        <is>
          <t>Revenue Matrix!D10:O10</t>
        </is>
      </c>
      <c r="X98">
        <f>'Assumptions Sheet'!R[20]C[-1]</f>
        <v/>
      </c>
    </row>
    <row r="99">
      <c r="A99" t="inlineStr">
        <is>
          <t>Revenue Matrix</t>
        </is>
      </c>
      <c r="B99" t="inlineStr">
        <is>
          <t>H10</t>
        </is>
      </c>
      <c r="C99" t="n">
        <v>10</v>
      </c>
      <c r="D99" t="n">
        <v>8</v>
      </c>
      <c r="E99" t="inlineStr">
        <is>
          <t>Output</t>
        </is>
      </c>
      <c r="F99" t="inlineStr">
        <is>
          <t>'='Assumptions Sheet'!G30</t>
        </is>
      </c>
      <c r="G99" t="n">
        <v>3155.34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G000228</t>
        </is>
      </c>
      <c r="T99" t="inlineStr">
        <is>
          <t>Horizontal</t>
        </is>
      </c>
      <c r="U99" t="n">
        <v>12</v>
      </c>
      <c r="V99" t="b">
        <v>1</v>
      </c>
      <c r="W99" t="inlineStr">
        <is>
          <t>Revenue Matrix!D10:O10</t>
        </is>
      </c>
      <c r="X99">
        <f>'Assumptions Sheet'!R[20]C[-1]</f>
        <v/>
      </c>
    </row>
    <row r="100">
      <c r="A100" t="inlineStr">
        <is>
          <t>Revenue Matrix</t>
        </is>
      </c>
      <c r="B100" t="inlineStr">
        <is>
          <t>I10</t>
        </is>
      </c>
      <c r="C100" t="n">
        <v>10</v>
      </c>
      <c r="D100" t="n">
        <v>9</v>
      </c>
      <c r="E100" t="inlineStr">
        <is>
          <t>Output</t>
        </is>
      </c>
      <c r="F100" t="inlineStr">
        <is>
          <t>'='Assumptions Sheet'!H30</t>
        </is>
      </c>
      <c r="G100" t="n">
        <v>3945.83</v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G000228</t>
        </is>
      </c>
      <c r="T100" t="inlineStr">
        <is>
          <t>Horizontal</t>
        </is>
      </c>
      <c r="U100" t="n">
        <v>12</v>
      </c>
      <c r="V100" t="b">
        <v>1</v>
      </c>
      <c r="W100" t="inlineStr">
        <is>
          <t>Revenue Matrix!D10:O10</t>
        </is>
      </c>
      <c r="X100">
        <f>'Assumptions Sheet'!R[20]C[-1]</f>
        <v/>
      </c>
    </row>
    <row r="101">
      <c r="A101" t="inlineStr">
        <is>
          <t>Revenue Matrix</t>
        </is>
      </c>
      <c r="B101" t="inlineStr">
        <is>
          <t>J10</t>
        </is>
      </c>
      <c r="C101" t="n">
        <v>10</v>
      </c>
      <c r="D101" t="n">
        <v>10</v>
      </c>
      <c r="E101" t="inlineStr">
        <is>
          <t>Output</t>
        </is>
      </c>
      <c r="F101" t="inlineStr">
        <is>
          <t>'='Assumptions Sheet'!I30</t>
        </is>
      </c>
      <c r="G101" t="n">
        <v>4613.93</v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1</v>
      </c>
      <c r="S101" t="inlineStr">
        <is>
          <t>G000228</t>
        </is>
      </c>
      <c r="T101" t="inlineStr">
        <is>
          <t>Horizontal</t>
        </is>
      </c>
      <c r="U101" t="n">
        <v>12</v>
      </c>
      <c r="V101" t="b">
        <v>1</v>
      </c>
      <c r="W101" t="inlineStr">
        <is>
          <t>Revenue Matrix!D10:O10</t>
        </is>
      </c>
      <c r="X101">
        <f>'Assumptions Sheet'!R[20]C[-1]</f>
        <v/>
      </c>
    </row>
    <row r="102">
      <c r="A102" t="inlineStr">
        <is>
          <t>Revenue Matrix</t>
        </is>
      </c>
      <c r="B102" t="inlineStr">
        <is>
          <t>K10</t>
        </is>
      </c>
      <c r="C102" t="n">
        <v>10</v>
      </c>
      <c r="D102" t="n">
        <v>11</v>
      </c>
      <c r="E102" t="inlineStr">
        <is>
          <t>Output</t>
        </is>
      </c>
      <c r="F102" t="inlineStr">
        <is>
          <t>'='Assumptions Sheet'!J30</t>
        </is>
      </c>
      <c r="G102" t="n">
        <v>7890.7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G000228</t>
        </is>
      </c>
      <c r="T102" t="inlineStr">
        <is>
          <t>Horizontal</t>
        </is>
      </c>
      <c r="U102" t="n">
        <v>12</v>
      </c>
      <c r="V102" t="b">
        <v>1</v>
      </c>
      <c r="W102" t="inlineStr">
        <is>
          <t>Revenue Matrix!D10:O10</t>
        </is>
      </c>
      <c r="X102">
        <f>'Assumptions Sheet'!R[20]C[-1]</f>
        <v/>
      </c>
    </row>
    <row r="103">
      <c r="A103" t="inlineStr">
        <is>
          <t>Revenue Matrix</t>
        </is>
      </c>
      <c r="B103" t="inlineStr">
        <is>
          <t>L10</t>
        </is>
      </c>
      <c r="C103" t="n">
        <v>10</v>
      </c>
      <c r="D103" t="n">
        <v>12</v>
      </c>
      <c r="E103" t="inlineStr">
        <is>
          <t>Output</t>
        </is>
      </c>
      <c r="F103" t="inlineStr">
        <is>
          <t>'='Assumptions Sheet'!K30</t>
        </is>
      </c>
      <c r="G103" t="n">
        <v>6513.935219999998</v>
      </c>
      <c r="H103" t="inlineStr"/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G000228</t>
        </is>
      </c>
      <c r="T103" t="inlineStr">
        <is>
          <t>Horizontal</t>
        </is>
      </c>
      <c r="U103" t="n">
        <v>12</v>
      </c>
      <c r="V103" t="b">
        <v>1</v>
      </c>
      <c r="W103" t="inlineStr">
        <is>
          <t>Revenue Matrix!D10:O10</t>
        </is>
      </c>
      <c r="X103">
        <f>'Assumptions Sheet'!R[20]C[-1]</f>
        <v/>
      </c>
    </row>
    <row r="104">
      <c r="A104" t="inlineStr">
        <is>
          <t>Revenue Matrix</t>
        </is>
      </c>
      <c r="B104" t="inlineStr">
        <is>
          <t>M10</t>
        </is>
      </c>
      <c r="C104" t="n">
        <v>10</v>
      </c>
      <c r="D104" t="n">
        <v>13</v>
      </c>
      <c r="E104" t="inlineStr">
        <is>
          <t>Output</t>
        </is>
      </c>
      <c r="F104" t="inlineStr">
        <is>
          <t>'='Assumptions Sheet'!L30</t>
        </is>
      </c>
      <c r="G104" t="n">
        <v>7816.722263999998</v>
      </c>
      <c r="H104" t="inlineStr"/>
      <c r="I104" t="inlineStr">
        <is>
          <t>0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G000228</t>
        </is>
      </c>
      <c r="T104" t="inlineStr">
        <is>
          <t>Horizontal</t>
        </is>
      </c>
      <c r="U104" t="n">
        <v>12</v>
      </c>
      <c r="V104" t="b">
        <v>1</v>
      </c>
      <c r="W104" t="inlineStr">
        <is>
          <t>Revenue Matrix!D10:O10</t>
        </is>
      </c>
      <c r="X104">
        <f>'Assumptions Sheet'!R[20]C[-1]</f>
        <v/>
      </c>
    </row>
    <row r="105">
      <c r="A105" t="inlineStr">
        <is>
          <t>Revenue Matrix</t>
        </is>
      </c>
      <c r="B105" t="inlineStr">
        <is>
          <t>N10</t>
        </is>
      </c>
      <c r="C105" t="n">
        <v>10</v>
      </c>
      <c r="D105" t="n">
        <v>14</v>
      </c>
      <c r="E105" t="inlineStr">
        <is>
          <t>Output</t>
        </is>
      </c>
      <c r="F105" t="inlineStr">
        <is>
          <t>'='Assumptions Sheet'!M30</t>
        </is>
      </c>
      <c r="G105" t="n">
        <v>9380.066716799996</v>
      </c>
      <c r="H105" t="inlineStr"/>
      <c r="I105" t="inlineStr">
        <is>
          <t>0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1</v>
      </c>
      <c r="S105" t="inlineStr">
        <is>
          <t>G000228</t>
        </is>
      </c>
      <c r="T105" t="inlineStr">
        <is>
          <t>Horizontal</t>
        </is>
      </c>
      <c r="U105" t="n">
        <v>12</v>
      </c>
      <c r="V105" t="b">
        <v>1</v>
      </c>
      <c r="W105" t="inlineStr">
        <is>
          <t>Revenue Matrix!D10:O10</t>
        </is>
      </c>
      <c r="X105">
        <f>'Assumptions Sheet'!R[20]C[-1]</f>
        <v/>
      </c>
    </row>
    <row r="106">
      <c r="A106" t="inlineStr">
        <is>
          <t>Revenue Matrix</t>
        </is>
      </c>
      <c r="B106" t="inlineStr">
        <is>
          <t>O10</t>
        </is>
      </c>
      <c r="C106" t="n">
        <v>10</v>
      </c>
      <c r="D106" t="n">
        <v>15</v>
      </c>
      <c r="E106" t="inlineStr">
        <is>
          <t>Output</t>
        </is>
      </c>
      <c r="F106" t="inlineStr">
        <is>
          <t>'='Assumptions Sheet'!N30</t>
        </is>
      </c>
      <c r="G106" t="n">
        <v>11256.08006016</v>
      </c>
      <c r="H106" t="inlineStr"/>
      <c r="I106" t="inlineStr">
        <is>
          <t>0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G000228</t>
        </is>
      </c>
      <c r="T106" t="inlineStr">
        <is>
          <t>Horizontal</t>
        </is>
      </c>
      <c r="U106" t="n">
        <v>12</v>
      </c>
      <c r="V106" t="b">
        <v>1</v>
      </c>
      <c r="W106" t="inlineStr">
        <is>
          <t>Revenue Matrix!D10:O10</t>
        </is>
      </c>
      <c r="X106">
        <f>'Assumptions Sheet'!R[20]C[-1]</f>
        <v/>
      </c>
    </row>
    <row r="107">
      <c r="A107" t="inlineStr">
        <is>
          <t>Revenue Matrix</t>
        </is>
      </c>
      <c r="B107" t="inlineStr">
        <is>
          <t>A11</t>
        </is>
      </c>
      <c r="C107" t="n">
        <v>11</v>
      </c>
      <c r="D107" t="n">
        <v>1</v>
      </c>
      <c r="E107" t="inlineStr">
        <is>
          <t>Input</t>
        </is>
      </c>
      <c r="F107" t="n">
        <v/>
      </c>
      <c r="G107" t="inlineStr">
        <is>
          <t>Revenue from operations</t>
        </is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Revenue Matrix</t>
        </is>
      </c>
      <c r="B108" t="inlineStr">
        <is>
          <t>B11</t>
        </is>
      </c>
      <c r="C108" t="n">
        <v>11</v>
      </c>
      <c r="D108" t="n">
        <v>2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Revenue Matrix</t>
        </is>
      </c>
      <c r="B109" t="inlineStr">
        <is>
          <t>C11</t>
        </is>
      </c>
      <c r="C109" t="n">
        <v>11</v>
      </c>
      <c r="D109" t="n">
        <v>3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Revenue Matrix</t>
        </is>
      </c>
      <c r="B110" t="inlineStr">
        <is>
          <t>D11</t>
        </is>
      </c>
      <c r="C110" t="n">
        <v>11</v>
      </c>
      <c r="D110" t="n">
        <v>4</v>
      </c>
      <c r="E110" t="inlineStr">
        <is>
          <t>Output</t>
        </is>
      </c>
      <c r="F110" t="inlineStr">
        <is>
          <t>'=SUM(D7:D9)</t>
        </is>
      </c>
      <c r="G110" t="n">
        <v>38334.2</v>
      </c>
      <c r="H110" t="inlineStr"/>
      <c r="I110" t="inlineStr">
        <is>
          <t>#,##0</t>
        </is>
      </c>
      <c r="J110" t="b">
        <v>1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G000229</t>
        </is>
      </c>
      <c r="T110" t="inlineStr">
        <is>
          <t>Horizontal</t>
        </is>
      </c>
      <c r="U110" t="n">
        <v>6</v>
      </c>
      <c r="V110" t="b">
        <v>1</v>
      </c>
      <c r="W110" t="inlineStr">
        <is>
          <t>Revenue Matrix!D11:I11</t>
        </is>
      </c>
      <c r="X110">
        <f>SUM(R[-4]C[0]:R[-2]C[0])</f>
        <v/>
      </c>
    </row>
    <row r="111">
      <c r="A111" t="inlineStr">
        <is>
          <t>Revenue Matrix</t>
        </is>
      </c>
      <c r="B111" t="inlineStr">
        <is>
          <t>E11</t>
        </is>
      </c>
      <c r="C111" t="n">
        <v>11</v>
      </c>
      <c r="D111" t="n">
        <v>5</v>
      </c>
      <c r="E111" t="inlineStr">
        <is>
          <t>Output</t>
        </is>
      </c>
      <c r="F111" t="inlineStr">
        <is>
          <t>'=SUM(E7:E9)</t>
        </is>
      </c>
      <c r="G111" t="n">
        <v>55646.60000000001</v>
      </c>
      <c r="H111" t="inlineStr"/>
      <c r="I111" t="inlineStr">
        <is>
          <t>#,##0</t>
        </is>
      </c>
      <c r="J111" t="b">
        <v>1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R111" t="b">
        <v>1</v>
      </c>
      <c r="S111" t="inlineStr">
        <is>
          <t>G000229</t>
        </is>
      </c>
      <c r="T111" t="inlineStr">
        <is>
          <t>Horizontal</t>
        </is>
      </c>
      <c r="U111" t="n">
        <v>6</v>
      </c>
      <c r="V111" t="b">
        <v>1</v>
      </c>
      <c r="W111" t="inlineStr">
        <is>
          <t>Revenue Matrix!D11:I11</t>
        </is>
      </c>
      <c r="X111">
        <f>SUM(R[-4]C[0]:R[-2]C[0])</f>
        <v/>
      </c>
    </row>
    <row r="112">
      <c r="A112" t="inlineStr">
        <is>
          <t>Revenue Matrix</t>
        </is>
      </c>
      <c r="B112" t="inlineStr">
        <is>
          <t>F11</t>
        </is>
      </c>
      <c r="C112" t="n">
        <v>11</v>
      </c>
      <c r="D112" t="n">
        <v>6</v>
      </c>
      <c r="E112" t="inlineStr">
        <is>
          <t>Output</t>
        </is>
      </c>
      <c r="F112" t="inlineStr">
        <is>
          <t>'=SUM(F7:F9)</t>
        </is>
      </c>
      <c r="G112" t="n">
        <v>92031.3</v>
      </c>
      <c r="H112" t="inlineStr"/>
      <c r="I112" t="inlineStr">
        <is>
          <t>#,##0</t>
        </is>
      </c>
      <c r="J112" t="b">
        <v>1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1</v>
      </c>
      <c r="S112" t="inlineStr">
        <is>
          <t>G000229</t>
        </is>
      </c>
      <c r="T112" t="inlineStr">
        <is>
          <t>Horizontal</t>
        </is>
      </c>
      <c r="U112" t="n">
        <v>6</v>
      </c>
      <c r="V112" t="b">
        <v>1</v>
      </c>
      <c r="W112" t="inlineStr">
        <is>
          <t>Revenue Matrix!D11:I11</t>
        </is>
      </c>
      <c r="X112">
        <f>SUM(R[-4]C[0]:R[-2]C[0])</f>
        <v/>
      </c>
    </row>
    <row r="113">
      <c r="A113" t="inlineStr">
        <is>
          <t>Revenue Matrix</t>
        </is>
      </c>
      <c r="B113" t="inlineStr">
        <is>
          <t>G11</t>
        </is>
      </c>
      <c r="C113" t="n">
        <v>11</v>
      </c>
      <c r="D113" t="n">
        <v>7</v>
      </c>
      <c r="E113" t="inlineStr">
        <is>
          <t>Output</t>
        </is>
      </c>
      <c r="F113" t="inlineStr">
        <is>
          <t>'=SUM(G7:G9)</t>
        </is>
      </c>
      <c r="G113" t="n">
        <v>111165.84</v>
      </c>
      <c r="H113" t="inlineStr"/>
      <c r="I113" t="inlineStr">
        <is>
          <t>#,##0</t>
        </is>
      </c>
      <c r="J113" t="b">
        <v>1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1</v>
      </c>
      <c r="S113" t="inlineStr">
        <is>
          <t>G000229</t>
        </is>
      </c>
      <c r="T113" t="inlineStr">
        <is>
          <t>Horizontal</t>
        </is>
      </c>
      <c r="U113" t="n">
        <v>6</v>
      </c>
      <c r="V113" t="b">
        <v>1</v>
      </c>
      <c r="W113" t="inlineStr">
        <is>
          <t>Revenue Matrix!D11:I11</t>
        </is>
      </c>
      <c r="X113">
        <f>SUM(R[-4]C[0]:R[-2]C[0])</f>
        <v/>
      </c>
    </row>
    <row r="114">
      <c r="A114" t="inlineStr">
        <is>
          <t>Revenue Matrix</t>
        </is>
      </c>
      <c r="B114" t="inlineStr">
        <is>
          <t>H11</t>
        </is>
      </c>
      <c r="C114" t="n">
        <v>11</v>
      </c>
      <c r="D114" t="n">
        <v>8</v>
      </c>
      <c r="E114" t="inlineStr">
        <is>
          <t>Output</t>
        </is>
      </c>
      <c r="F114" t="inlineStr">
        <is>
          <t>'=SUM(H7:H9)</t>
        </is>
      </c>
      <c r="G114" t="n">
        <v>139253.36</v>
      </c>
      <c r="H114" t="inlineStr"/>
      <c r="I114" t="inlineStr">
        <is>
          <t>#,##0</t>
        </is>
      </c>
      <c r="J114" t="b">
        <v>1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1</v>
      </c>
      <c r="S114" t="inlineStr">
        <is>
          <t>G000229</t>
        </is>
      </c>
      <c r="T114" t="inlineStr">
        <is>
          <t>Horizontal</t>
        </is>
      </c>
      <c r="U114" t="n">
        <v>6</v>
      </c>
      <c r="V114" t="b">
        <v>1</v>
      </c>
      <c r="W114" t="inlineStr">
        <is>
          <t>Revenue Matrix!D11:I11</t>
        </is>
      </c>
      <c r="X114">
        <f>SUM(R[-4]C[0]:R[-2]C[0])</f>
        <v/>
      </c>
    </row>
    <row r="115">
      <c r="A115" t="inlineStr">
        <is>
          <t>Revenue Matrix</t>
        </is>
      </c>
      <c r="B115" t="inlineStr">
        <is>
          <t>I11</t>
        </is>
      </c>
      <c r="C115" t="n">
        <v>11</v>
      </c>
      <c r="D115" t="n">
        <v>9</v>
      </c>
      <c r="E115" t="inlineStr">
        <is>
          <t>Output</t>
        </is>
      </c>
      <c r="F115" t="inlineStr">
        <is>
          <t>'=SUM(I7:I9)</t>
        </is>
      </c>
      <c r="G115" t="n">
        <v>161399.08</v>
      </c>
      <c r="H115" t="inlineStr"/>
      <c r="I115" t="inlineStr">
        <is>
          <t>#,##0</t>
        </is>
      </c>
      <c r="J115" t="b">
        <v>1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G000229</t>
        </is>
      </c>
      <c r="T115" t="inlineStr">
        <is>
          <t>Horizontal</t>
        </is>
      </c>
      <c r="U115" t="n">
        <v>6</v>
      </c>
      <c r="V115" t="b">
        <v>1</v>
      </c>
      <c r="W115" t="inlineStr">
        <is>
          <t>Revenue Matrix!D11:I11</t>
        </is>
      </c>
      <c r="X115">
        <f>SUM(R[-4]C[0]:R[-2]C[0])</f>
        <v/>
      </c>
    </row>
    <row r="116">
      <c r="A116" t="inlineStr">
        <is>
          <t>Revenue Matrix</t>
        </is>
      </c>
      <c r="B116" t="inlineStr">
        <is>
          <t>J11</t>
        </is>
      </c>
      <c r="C116" t="n">
        <v>11</v>
      </c>
      <c r="D116" t="n">
        <v>10</v>
      </c>
      <c r="E116" t="inlineStr">
        <is>
          <t>Input</t>
        </is>
      </c>
      <c r="F116" t="n">
        <v/>
      </c>
      <c r="G116" t="n">
        <v>185805</v>
      </c>
      <c r="H116" t="inlineStr"/>
      <c r="I116" t="inlineStr">
        <is>
          <t>#,##0</t>
        </is>
      </c>
      <c r="J116" t="b">
        <v>1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Revenue Matrix</t>
        </is>
      </c>
      <c r="B117" t="inlineStr">
        <is>
          <t>K11</t>
        </is>
      </c>
      <c r="C117" t="n">
        <v>11</v>
      </c>
      <c r="D117" t="n">
        <v>11</v>
      </c>
      <c r="E117" t="inlineStr">
        <is>
          <t>Output</t>
        </is>
      </c>
      <c r="F117" t="inlineStr">
        <is>
          <t>'=SUM(K7:K9)</t>
        </is>
      </c>
      <c r="G117" t="n">
        <v>248138.5925932231</v>
      </c>
      <c r="H117" t="inlineStr"/>
      <c r="I117" t="inlineStr">
        <is>
          <t>#,##0</t>
        </is>
      </c>
      <c r="J117" t="b">
        <v>1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G000230</t>
        </is>
      </c>
      <c r="T117" t="inlineStr">
        <is>
          <t>Horizontal</t>
        </is>
      </c>
      <c r="U117" t="n">
        <v>5</v>
      </c>
      <c r="V117" t="b">
        <v>1</v>
      </c>
      <c r="W117" t="inlineStr">
        <is>
          <t>Revenue Matrix!K11:O11</t>
        </is>
      </c>
      <c r="X117">
        <f>SUM(R[-4]C[0]:R[-2]C[0])</f>
        <v/>
      </c>
    </row>
    <row r="118">
      <c r="A118" t="inlineStr">
        <is>
          <t>Revenue Matrix</t>
        </is>
      </c>
      <c r="B118" t="inlineStr">
        <is>
          <t>L11</t>
        </is>
      </c>
      <c r="C118" t="n">
        <v>11</v>
      </c>
      <c r="D118" t="n">
        <v>12</v>
      </c>
      <c r="E118" t="inlineStr">
        <is>
          <t>Output</t>
        </is>
      </c>
      <c r="F118" t="inlineStr">
        <is>
          <t>'=SUM(L7:L9)</t>
        </is>
      </c>
      <c r="G118" t="n">
        <v>297922.6455571478</v>
      </c>
      <c r="H118" t="inlineStr"/>
      <c r="I118" t="inlineStr">
        <is>
          <t>#,##0</t>
        </is>
      </c>
      <c r="J118" t="b">
        <v>1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G000230</t>
        </is>
      </c>
      <c r="T118" t="inlineStr">
        <is>
          <t>Horizontal</t>
        </is>
      </c>
      <c r="U118" t="n">
        <v>5</v>
      </c>
      <c r="V118" t="b">
        <v>1</v>
      </c>
      <c r="W118" t="inlineStr">
        <is>
          <t>Revenue Matrix!K11:O11</t>
        </is>
      </c>
      <c r="X118">
        <f>SUM(R[-4]C[0]:R[-2]C[0])</f>
        <v/>
      </c>
    </row>
    <row r="119">
      <c r="A119" t="inlineStr">
        <is>
          <t>Revenue Matrix</t>
        </is>
      </c>
      <c r="B119" t="inlineStr">
        <is>
          <t>M11</t>
        </is>
      </c>
      <c r="C119" t="n">
        <v>11</v>
      </c>
      <c r="D119" t="n">
        <v>13</v>
      </c>
      <c r="E119" t="inlineStr">
        <is>
          <t>Output</t>
        </is>
      </c>
      <c r="F119" t="inlineStr">
        <is>
          <t>'=SUM(M7:M9)</t>
        </is>
      </c>
      <c r="G119" t="n">
        <v>356131.4315501133</v>
      </c>
      <c r="H119" t="inlineStr"/>
      <c r="I119" t="inlineStr">
        <is>
          <t>#,##0</t>
        </is>
      </c>
      <c r="J119" t="b">
        <v>1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1</v>
      </c>
      <c r="S119" t="inlineStr">
        <is>
          <t>G000230</t>
        </is>
      </c>
      <c r="T119" t="inlineStr">
        <is>
          <t>Horizontal</t>
        </is>
      </c>
      <c r="U119" t="n">
        <v>5</v>
      </c>
      <c r="V119" t="b">
        <v>1</v>
      </c>
      <c r="W119" t="inlineStr">
        <is>
          <t>Revenue Matrix!K11:O11</t>
        </is>
      </c>
      <c r="X119">
        <f>SUM(R[-4]C[0]:R[-2]C[0])</f>
        <v/>
      </c>
    </row>
    <row r="120">
      <c r="A120" t="inlineStr">
        <is>
          <t>Revenue Matrix</t>
        </is>
      </c>
      <c r="B120" t="inlineStr">
        <is>
          <t>N11</t>
        </is>
      </c>
      <c r="C120" t="n">
        <v>11</v>
      </c>
      <c r="D120" t="n">
        <v>14</v>
      </c>
      <c r="E120" t="inlineStr">
        <is>
          <t>Output</t>
        </is>
      </c>
      <c r="F120" t="inlineStr">
        <is>
          <t>'=SUM(N7:N9)</t>
        </is>
      </c>
      <c r="G120" t="n">
        <v>425706.8261179792</v>
      </c>
      <c r="H120" t="inlineStr"/>
      <c r="I120" t="inlineStr">
        <is>
          <t>#,##0</t>
        </is>
      </c>
      <c r="J120" t="b">
        <v>1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G000230</t>
        </is>
      </c>
      <c r="T120" t="inlineStr">
        <is>
          <t>Horizontal</t>
        </is>
      </c>
      <c r="U120" t="n">
        <v>5</v>
      </c>
      <c r="V120" t="b">
        <v>1</v>
      </c>
      <c r="W120" t="inlineStr">
        <is>
          <t>Revenue Matrix!K11:O11</t>
        </is>
      </c>
      <c r="X120">
        <f>SUM(R[-4]C[0]:R[-2]C[0])</f>
        <v/>
      </c>
    </row>
    <row r="121">
      <c r="A121" t="inlineStr">
        <is>
          <t>Revenue Matrix</t>
        </is>
      </c>
      <c r="B121" t="inlineStr">
        <is>
          <t>O11</t>
        </is>
      </c>
      <c r="C121" t="n">
        <v>11</v>
      </c>
      <c r="D121" t="n">
        <v>15</v>
      </c>
      <c r="E121" t="inlineStr">
        <is>
          <t>Output</t>
        </is>
      </c>
      <c r="F121" t="inlineStr">
        <is>
          <t>'=SUM(O7:O9)</t>
        </is>
      </c>
      <c r="G121" t="n">
        <v>511118.3372630189</v>
      </c>
      <c r="H121" t="inlineStr"/>
      <c r="I121" t="inlineStr">
        <is>
          <t>#,##0</t>
        </is>
      </c>
      <c r="J121" t="b">
        <v>1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G000230</t>
        </is>
      </c>
      <c r="T121" t="inlineStr">
        <is>
          <t>Horizontal</t>
        </is>
      </c>
      <c r="U121" t="n">
        <v>5</v>
      </c>
      <c r="V121" t="b">
        <v>1</v>
      </c>
      <c r="W121" t="inlineStr">
        <is>
          <t>Revenue Matrix!K11:O11</t>
        </is>
      </c>
      <c r="X121">
        <f>SUM(R[-4]C[0]:R[-2]C[0])</f>
        <v/>
      </c>
    </row>
    <row r="122">
      <c r="A122" t="inlineStr">
        <is>
          <t>Revenue Matrix</t>
        </is>
      </c>
      <c r="B122" t="inlineStr">
        <is>
          <t>A13</t>
        </is>
      </c>
      <c r="C122" t="n">
        <v>13</v>
      </c>
      <c r="D122" t="n">
        <v>1</v>
      </c>
      <c r="E122" t="inlineStr">
        <is>
          <t>Input</t>
        </is>
      </c>
      <c r="F122" t="n">
        <v/>
      </c>
      <c r="G122" t="inlineStr">
        <is>
          <t>ASK (millions)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Revenue Matrix</t>
        </is>
      </c>
      <c r="B123" t="inlineStr">
        <is>
          <t>D13</t>
        </is>
      </c>
      <c r="C123" t="n">
        <v>13</v>
      </c>
      <c r="D123" t="n">
        <v>4</v>
      </c>
      <c r="E123" t="inlineStr">
        <is>
          <t>Input</t>
        </is>
      </c>
      <c r="F123" t="n">
        <v/>
      </c>
      <c r="G123" t="n">
        <v>12491</v>
      </c>
      <c r="H123" t="inlineStr"/>
      <c r="I123" t="inlineStr">
        <is>
          <t>#,##0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Revenue Matrix</t>
        </is>
      </c>
      <c r="B124" t="inlineStr">
        <is>
          <t>E13</t>
        </is>
      </c>
      <c r="C124" t="n">
        <v>13</v>
      </c>
      <c r="D124" t="n">
        <v>5</v>
      </c>
      <c r="E124" t="inlineStr">
        <is>
          <t>Calculation</t>
        </is>
      </c>
      <c r="F124" t="inlineStr">
        <is>
          <t>'=16661+1345</t>
        </is>
      </c>
      <c r="G124" t="n">
        <v>18006</v>
      </c>
      <c r="H124" t="inlineStr"/>
      <c r="I124" t="inlineStr">
        <is>
          <t>#,##0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>
        <f>16661+1345</f>
        <v/>
      </c>
    </row>
    <row r="125">
      <c r="A125" t="inlineStr">
        <is>
          <t>Revenue Matrix</t>
        </is>
      </c>
      <c r="B125" t="inlineStr">
        <is>
          <t>F13</t>
        </is>
      </c>
      <c r="C125" t="n">
        <v>13</v>
      </c>
      <c r="D125" t="n">
        <v>6</v>
      </c>
      <c r="E125" t="inlineStr">
        <is>
          <t>Calculation</t>
        </is>
      </c>
      <c r="F125" t="inlineStr">
        <is>
          <t>'=21263+3714</t>
        </is>
      </c>
      <c r="G125" t="n">
        <v>24977</v>
      </c>
      <c r="H125" t="inlineStr"/>
      <c r="I125" t="inlineStr">
        <is>
          <t>#,##0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>
        <f>21263+3714</f>
        <v/>
      </c>
    </row>
    <row r="126">
      <c r="A126" t="inlineStr">
        <is>
          <t>Revenue Matrix</t>
        </is>
      </c>
      <c r="B126" t="inlineStr">
        <is>
          <t>G13</t>
        </is>
      </c>
      <c r="C126" t="n">
        <v>13</v>
      </c>
      <c r="D126" t="n">
        <v>7</v>
      </c>
      <c r="E126" t="inlineStr">
        <is>
          <t>Calculation</t>
        </is>
      </c>
      <c r="F126" t="inlineStr">
        <is>
          <t>'=25760+4207</t>
        </is>
      </c>
      <c r="G126" t="n">
        <v>29967</v>
      </c>
      <c r="H126" t="inlineStr"/>
      <c r="I126" t="inlineStr">
        <is>
          <t>#,##0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>
        <f>25760+4207</f>
        <v/>
      </c>
    </row>
    <row r="127">
      <c r="A127" t="inlineStr">
        <is>
          <t>Revenue Matrix</t>
        </is>
      </c>
      <c r="B127" t="inlineStr">
        <is>
          <t>H13</t>
        </is>
      </c>
      <c r="C127" t="n">
        <v>13</v>
      </c>
      <c r="D127" t="n">
        <v>8</v>
      </c>
      <c r="E127" t="inlineStr">
        <is>
          <t>Input</t>
        </is>
      </c>
      <c r="F127" t="n">
        <v/>
      </c>
      <c r="G127" t="n">
        <v>35327</v>
      </c>
      <c r="H127" t="inlineStr"/>
      <c r="I127" t="inlineStr">
        <is>
          <t>#,##0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Revenue Matrix</t>
        </is>
      </c>
      <c r="B128" t="inlineStr">
        <is>
          <t>I13</t>
        </is>
      </c>
      <c r="C128" t="n">
        <v>13</v>
      </c>
      <c r="D128" t="n">
        <v>9</v>
      </c>
      <c r="E128" t="inlineStr">
        <is>
          <t>Input</t>
        </is>
      </c>
      <c r="F128" t="n">
        <v/>
      </c>
      <c r="G128" t="n">
        <v>42826</v>
      </c>
      <c r="H128" t="inlineStr"/>
      <c r="I128" t="inlineStr">
        <is>
          <t>#,##0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Revenue Matrix</t>
        </is>
      </c>
      <c r="B129" t="inlineStr">
        <is>
          <t>J13</t>
        </is>
      </c>
      <c r="C129" t="n">
        <v>13</v>
      </c>
      <c r="D129" t="n">
        <v>10</v>
      </c>
      <c r="E129" t="inlineStr">
        <is>
          <t>Input</t>
        </is>
      </c>
      <c r="F129" t="n">
        <v/>
      </c>
      <c r="G129" t="n">
        <v>54583</v>
      </c>
      <c r="H129" t="inlineStr"/>
      <c r="I129" t="inlineStr">
        <is>
          <t>#,##0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Revenue Matrix</t>
        </is>
      </c>
      <c r="B130" t="inlineStr">
        <is>
          <t>K13</t>
        </is>
      </c>
      <c r="C130" t="n">
        <v>13</v>
      </c>
      <c r="D130" t="n">
        <v>11</v>
      </c>
      <c r="E130" t="inlineStr">
        <is>
          <t>Output</t>
        </is>
      </c>
      <c r="F130" t="inlineStr">
        <is>
          <t>'='Assumptions Sheet'!K2</t>
        </is>
      </c>
      <c r="G130" t="n">
        <v>65499.6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G000231</t>
        </is>
      </c>
      <c r="T130" t="inlineStr">
        <is>
          <t>Horizontal</t>
        </is>
      </c>
      <c r="U130" t="n">
        <v>5</v>
      </c>
      <c r="V130" t="b">
        <v>1</v>
      </c>
      <c r="W130" t="inlineStr">
        <is>
          <t>Revenue Matrix!K13:O13</t>
        </is>
      </c>
      <c r="X130">
        <f>'Assumptions Sheet'!R[-11]C[0]</f>
        <v/>
      </c>
    </row>
    <row r="131">
      <c r="A131" t="inlineStr">
        <is>
          <t>Revenue Matrix</t>
        </is>
      </c>
      <c r="B131" t="inlineStr">
        <is>
          <t>L13</t>
        </is>
      </c>
      <c r="C131" t="n">
        <v>13</v>
      </c>
      <c r="D131" t="n">
        <v>12</v>
      </c>
      <c r="E131" t="inlineStr">
        <is>
          <t>Output</t>
        </is>
      </c>
      <c r="F131" t="inlineStr">
        <is>
          <t>'='Assumptions Sheet'!L2</t>
        </is>
      </c>
      <c r="G131" t="n">
        <v>78599.51999999999</v>
      </c>
      <c r="H131" t="inlineStr"/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1</v>
      </c>
      <c r="S131" t="inlineStr">
        <is>
          <t>G000231</t>
        </is>
      </c>
      <c r="T131" t="inlineStr">
        <is>
          <t>Horizontal</t>
        </is>
      </c>
      <c r="U131" t="n">
        <v>5</v>
      </c>
      <c r="V131" t="b">
        <v>1</v>
      </c>
      <c r="W131" t="inlineStr">
        <is>
          <t>Revenue Matrix!K13:O13</t>
        </is>
      </c>
      <c r="X131">
        <f>'Assumptions Sheet'!R[-11]C[0]</f>
        <v/>
      </c>
    </row>
    <row r="132">
      <c r="A132" t="inlineStr">
        <is>
          <t>Revenue Matrix</t>
        </is>
      </c>
      <c r="B132" t="inlineStr">
        <is>
          <t>M13</t>
        </is>
      </c>
      <c r="C132" t="n">
        <v>13</v>
      </c>
      <c r="D132" t="n">
        <v>13</v>
      </c>
      <c r="E132" t="inlineStr">
        <is>
          <t>Output</t>
        </is>
      </c>
      <c r="F132" t="inlineStr">
        <is>
          <t>'='Assumptions Sheet'!M2</t>
        </is>
      </c>
      <c r="G132" t="n">
        <v>94319.42399999998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00000000</t>
        </is>
      </c>
      <c r="O132" t="n">
        <v/>
      </c>
      <c r="R132" t="b">
        <v>1</v>
      </c>
      <c r="S132" t="inlineStr">
        <is>
          <t>G000231</t>
        </is>
      </c>
      <c r="T132" t="inlineStr">
        <is>
          <t>Horizontal</t>
        </is>
      </c>
      <c r="U132" t="n">
        <v>5</v>
      </c>
      <c r="V132" t="b">
        <v>1</v>
      </c>
      <c r="W132" t="inlineStr">
        <is>
          <t>Revenue Matrix!K13:O13</t>
        </is>
      </c>
      <c r="X132">
        <f>'Assumptions Sheet'!R[-11]C[0]</f>
        <v/>
      </c>
    </row>
    <row r="133">
      <c r="A133" t="inlineStr">
        <is>
          <t>Revenue Matrix</t>
        </is>
      </c>
      <c r="B133" t="inlineStr">
        <is>
          <t>N13</t>
        </is>
      </c>
      <c r="C133" t="n">
        <v>13</v>
      </c>
      <c r="D133" t="n">
        <v>14</v>
      </c>
      <c r="E133" t="inlineStr">
        <is>
          <t>Output</t>
        </is>
      </c>
      <c r="F133" t="inlineStr">
        <is>
          <t>'='Assumptions Sheet'!N2</t>
        </is>
      </c>
      <c r="G133" t="n">
        <v>113183.3088</v>
      </c>
      <c r="H133" t="inlineStr"/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1</v>
      </c>
      <c r="S133" t="inlineStr">
        <is>
          <t>G000231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Revenue Matrix!K13:O13</t>
        </is>
      </c>
      <c r="X133">
        <f>'Assumptions Sheet'!R[-11]C[0]</f>
        <v/>
      </c>
    </row>
    <row r="134">
      <c r="A134" t="inlineStr">
        <is>
          <t>Revenue Matrix</t>
        </is>
      </c>
      <c r="B134" t="inlineStr">
        <is>
          <t>O13</t>
        </is>
      </c>
      <c r="C134" t="n">
        <v>13</v>
      </c>
      <c r="D134" t="n">
        <v>15</v>
      </c>
      <c r="E134" t="inlineStr">
        <is>
          <t>Output</t>
        </is>
      </c>
      <c r="F134" t="inlineStr">
        <is>
          <t>'='Assumptions Sheet'!O2</t>
        </is>
      </c>
      <c r="G134" t="n">
        <v>135819.97056</v>
      </c>
      <c r="H134" t="inlineStr"/>
      <c r="I134" t="inlineStr">
        <is>
          <t>0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1</v>
      </c>
      <c r="S134" t="inlineStr">
        <is>
          <t>G000231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Revenue Matrix!K13:O13</t>
        </is>
      </c>
      <c r="X134">
        <f>'Assumptions Sheet'!R[-11]C[0]</f>
        <v/>
      </c>
    </row>
    <row r="135">
      <c r="A135" t="inlineStr">
        <is>
          <t>Revenue Matrix</t>
        </is>
      </c>
      <c r="B135" t="inlineStr">
        <is>
          <t>A14</t>
        </is>
      </c>
      <c r="C135" t="n">
        <v>14</v>
      </c>
      <c r="D135" t="n">
        <v>1</v>
      </c>
      <c r="E135" t="inlineStr">
        <is>
          <t>Input</t>
        </is>
      </c>
      <c r="F135" t="n">
        <v/>
      </c>
      <c r="G135" t="inlineStr">
        <is>
          <t>No of aircrafts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Revenue Matrix</t>
        </is>
      </c>
      <c r="B136" t="inlineStr">
        <is>
          <t>D14</t>
        </is>
      </c>
      <c r="C136" t="n">
        <v>14</v>
      </c>
      <c r="D136" t="n">
        <v>4</v>
      </c>
      <c r="E136" t="inlineStr">
        <is>
          <t>Input</t>
        </is>
      </c>
      <c r="F136" t="n">
        <v/>
      </c>
      <c r="G136" t="n">
        <v>39</v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Revenue Matrix</t>
        </is>
      </c>
      <c r="B137" t="inlineStr">
        <is>
          <t>E14</t>
        </is>
      </c>
      <c r="C137" t="n">
        <v>14</v>
      </c>
      <c r="D137" t="n">
        <v>5</v>
      </c>
      <c r="E137" t="inlineStr">
        <is>
          <t>Input</t>
        </is>
      </c>
      <c r="F137" t="n">
        <v/>
      </c>
      <c r="G137" t="n">
        <v>55</v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Revenue Matrix</t>
        </is>
      </c>
      <c r="B138" t="inlineStr">
        <is>
          <t>F14</t>
        </is>
      </c>
      <c r="C138" t="n">
        <v>14</v>
      </c>
      <c r="D138" t="n">
        <v>6</v>
      </c>
      <c r="E138" t="inlineStr">
        <is>
          <t>Input</t>
        </is>
      </c>
      <c r="F138" t="n">
        <v/>
      </c>
      <c r="G138" t="n">
        <v>66</v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Revenue Matrix</t>
        </is>
      </c>
      <c r="B139" t="inlineStr">
        <is>
          <t>G14</t>
        </is>
      </c>
      <c r="C139" t="n">
        <v>14</v>
      </c>
      <c r="D139" t="n">
        <v>7</v>
      </c>
      <c r="E139" t="inlineStr">
        <is>
          <t>Input</t>
        </is>
      </c>
      <c r="F139" t="n">
        <v/>
      </c>
      <c r="G139" t="n">
        <v>77</v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Revenue Matrix</t>
        </is>
      </c>
      <c r="B140" t="inlineStr">
        <is>
          <t>H14</t>
        </is>
      </c>
      <c r="C140" t="n">
        <v>14</v>
      </c>
      <c r="D140" t="n">
        <v>8</v>
      </c>
      <c r="E140" t="inlineStr">
        <is>
          <t>Input</t>
        </is>
      </c>
      <c r="F140" t="n">
        <v/>
      </c>
      <c r="G140" t="n">
        <v>94</v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Revenue Matrix</t>
        </is>
      </c>
      <c r="B141" t="inlineStr">
        <is>
          <t>I14</t>
        </is>
      </c>
      <c r="C141" t="n">
        <v>14</v>
      </c>
      <c r="D141" t="n">
        <v>9</v>
      </c>
      <c r="E141" t="inlineStr">
        <is>
          <t>Input</t>
        </is>
      </c>
      <c r="F141" t="n">
        <v/>
      </c>
      <c r="G141" t="n">
        <v>107</v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Revenue Matrix</t>
        </is>
      </c>
      <c r="B142" t="inlineStr">
        <is>
          <t>J14</t>
        </is>
      </c>
      <c r="C142" t="n">
        <v>14</v>
      </c>
      <c r="D142" t="n">
        <v>10</v>
      </c>
      <c r="E142" t="inlineStr">
        <is>
          <t>Input</t>
        </is>
      </c>
      <c r="F142" t="n">
        <v/>
      </c>
      <c r="G142" t="n">
        <v>131</v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Revenue Matrix</t>
        </is>
      </c>
      <c r="B143" t="inlineStr">
        <is>
          <t>K14</t>
        </is>
      </c>
      <c r="C143" t="n">
        <v>14</v>
      </c>
      <c r="D143" t="n">
        <v>11</v>
      </c>
      <c r="E143" t="inlineStr">
        <is>
          <t>Calculation</t>
        </is>
      </c>
      <c r="F143" t="inlineStr">
        <is>
          <t>'='Assumptions Sheet'!K17</t>
        </is>
      </c>
      <c r="G143" t="n">
        <v>160</v>
      </c>
      <c r="H143" t="inlineStr"/>
      <c r="I143" t="inlineStr">
        <is>
          <t>0</t>
        </is>
      </c>
      <c r="J143" t="b">
        <v>0</v>
      </c>
      <c r="K143" t="b">
        <v>0</v>
      </c>
      <c r="L143" t="n">
        <v>11</v>
      </c>
      <c r="M143" t="inlineStr">
        <is>
          <t>FFFF0000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G000232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Revenue Matrix!K14:O14</t>
        </is>
      </c>
      <c r="X143">
        <f>'Assumptions Sheet'!R[3]C[0]</f>
        <v/>
      </c>
    </row>
    <row r="144">
      <c r="A144" t="inlineStr">
        <is>
          <t>Revenue Matrix</t>
        </is>
      </c>
      <c r="B144" t="inlineStr">
        <is>
          <t>L14</t>
        </is>
      </c>
      <c r="C144" t="n">
        <v>14</v>
      </c>
      <c r="D144" t="n">
        <v>12</v>
      </c>
      <c r="E144" t="inlineStr">
        <is>
          <t>Calculation</t>
        </is>
      </c>
      <c r="F144" t="inlineStr">
        <is>
          <t>'='Assumptions Sheet'!L17</t>
        </is>
      </c>
      <c r="G144" t="n">
        <v>170.8685217391304</v>
      </c>
      <c r="H144" t="inlineStr"/>
      <c r="I144" t="inlineStr">
        <is>
          <t>0</t>
        </is>
      </c>
      <c r="J144" t="b">
        <v>0</v>
      </c>
      <c r="K144" t="b">
        <v>0</v>
      </c>
      <c r="L144" t="n">
        <v>11</v>
      </c>
      <c r="M144" t="inlineStr">
        <is>
          <t>FFFF0000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G000232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Revenue Matrix!K14:O14</t>
        </is>
      </c>
      <c r="X144">
        <f>'Assumptions Sheet'!R[3]C[0]</f>
        <v/>
      </c>
    </row>
    <row r="145">
      <c r="A145" t="inlineStr">
        <is>
          <t>Revenue Matrix</t>
        </is>
      </c>
      <c r="B145" t="inlineStr">
        <is>
          <t>M14</t>
        </is>
      </c>
      <c r="C145" t="n">
        <v>14</v>
      </c>
      <c r="D145" t="n">
        <v>13</v>
      </c>
      <c r="E145" t="inlineStr">
        <is>
          <t>Calculation</t>
        </is>
      </c>
      <c r="F145" t="inlineStr">
        <is>
          <t>'='Assumptions Sheet'!M17</t>
        </is>
      </c>
      <c r="G145" t="n">
        <v>205.0422260869565</v>
      </c>
      <c r="H145" t="inlineStr"/>
      <c r="I145" t="inlineStr">
        <is>
          <t>0</t>
        </is>
      </c>
      <c r="J145" t="b">
        <v>0</v>
      </c>
      <c r="K145" t="b">
        <v>0</v>
      </c>
      <c r="L145" t="n">
        <v>11</v>
      </c>
      <c r="M145" t="inlineStr">
        <is>
          <t>FFFF0000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G000232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Revenue Matrix!K14:O14</t>
        </is>
      </c>
      <c r="X145">
        <f>'Assumptions Sheet'!R[3]C[0]</f>
        <v/>
      </c>
    </row>
    <row r="146">
      <c r="A146" t="inlineStr">
        <is>
          <t>Revenue Matrix</t>
        </is>
      </c>
      <c r="B146" t="inlineStr">
        <is>
          <t>N14</t>
        </is>
      </c>
      <c r="C146" t="n">
        <v>14</v>
      </c>
      <c r="D146" t="n">
        <v>14</v>
      </c>
      <c r="E146" t="inlineStr">
        <is>
          <t>Calculation</t>
        </is>
      </c>
      <c r="F146" t="inlineStr">
        <is>
          <t>'='Assumptions Sheet'!N17</t>
        </is>
      </c>
      <c r="G146" t="n">
        <v>246.0506713043478</v>
      </c>
      <c r="H146" t="inlineStr"/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FFFF0000</t>
        </is>
      </c>
      <c r="N146" t="inlineStr">
        <is>
          <t>00000000</t>
        </is>
      </c>
      <c r="O146" t="n">
        <v/>
      </c>
      <c r="R146" t="b">
        <v>1</v>
      </c>
      <c r="S146" t="inlineStr">
        <is>
          <t>G000232</t>
        </is>
      </c>
      <c r="T146" t="inlineStr">
        <is>
          <t>Horizontal</t>
        </is>
      </c>
      <c r="U146" t="n">
        <v>5</v>
      </c>
      <c r="V146" t="b">
        <v>1</v>
      </c>
      <c r="W146" t="inlineStr">
        <is>
          <t>Revenue Matrix!K14:O14</t>
        </is>
      </c>
      <c r="X146">
        <f>'Assumptions Sheet'!R[3]C[0]</f>
        <v/>
      </c>
    </row>
    <row r="147">
      <c r="A147" t="inlineStr">
        <is>
          <t>Revenue Matrix</t>
        </is>
      </c>
      <c r="B147" t="inlineStr">
        <is>
          <t>O14</t>
        </is>
      </c>
      <c r="C147" t="n">
        <v>14</v>
      </c>
      <c r="D147" t="n">
        <v>15</v>
      </c>
      <c r="E147" t="inlineStr">
        <is>
          <t>Calculation</t>
        </is>
      </c>
      <c r="F147" t="inlineStr">
        <is>
          <t>'='Assumptions Sheet'!O17</t>
        </is>
      </c>
      <c r="G147" t="n">
        <v>295.2608055652174</v>
      </c>
      <c r="H147" t="inlineStr"/>
      <c r="I147" t="inlineStr">
        <is>
          <t>0</t>
        </is>
      </c>
      <c r="J147" t="b">
        <v>0</v>
      </c>
      <c r="K147" t="b">
        <v>0</v>
      </c>
      <c r="L147" t="n">
        <v>11</v>
      </c>
      <c r="M147" t="inlineStr">
        <is>
          <t>FFFF0000</t>
        </is>
      </c>
      <c r="N147" t="inlineStr">
        <is>
          <t>00000000</t>
        </is>
      </c>
      <c r="O147" t="n">
        <v/>
      </c>
      <c r="R147" t="b">
        <v>1</v>
      </c>
      <c r="S147" t="inlineStr">
        <is>
          <t>G000232</t>
        </is>
      </c>
      <c r="T147" t="inlineStr">
        <is>
          <t>Horizontal</t>
        </is>
      </c>
      <c r="U147" t="n">
        <v>5</v>
      </c>
      <c r="V147" t="b">
        <v>1</v>
      </c>
      <c r="W147" t="inlineStr">
        <is>
          <t>Revenue Matrix!K14:O14</t>
        </is>
      </c>
      <c r="X147">
        <f>'Assumptions Sheet'!R[3]C[0]</f>
        <v/>
      </c>
    </row>
    <row r="148">
      <c r="A148" t="inlineStr">
        <is>
          <t>Revenue Matrix</t>
        </is>
      </c>
      <c r="B148" t="inlineStr">
        <is>
          <t>A15</t>
        </is>
      </c>
      <c r="C148" t="n">
        <v>15</v>
      </c>
      <c r="D148" t="n">
        <v>1</v>
      </c>
      <c r="E148" t="inlineStr">
        <is>
          <t>Input</t>
        </is>
      </c>
      <c r="F148" t="n">
        <v/>
      </c>
      <c r="G148" t="inlineStr">
        <is>
          <t>ASK per aircraft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Revenue Matrix</t>
        </is>
      </c>
      <c r="B149" t="inlineStr">
        <is>
          <t>E15</t>
        </is>
      </c>
      <c r="C149" t="n">
        <v>15</v>
      </c>
      <c r="D149" t="n">
        <v>5</v>
      </c>
      <c r="E149" t="inlineStr">
        <is>
          <t>Calculation</t>
        </is>
      </c>
      <c r="F149" t="inlineStr">
        <is>
          <t>'=E13/AVERAGE(D14:E14)</t>
        </is>
      </c>
      <c r="G149" t="n">
        <v>383.1063829787234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G000233</t>
        </is>
      </c>
      <c r="T149" t="inlineStr">
        <is>
          <t>Horizontal</t>
        </is>
      </c>
      <c r="U149" t="n">
        <v>6</v>
      </c>
      <c r="V149" t="b">
        <v>1</v>
      </c>
      <c r="W149" t="inlineStr">
        <is>
          <t>Revenue Matrix!E15:J15</t>
        </is>
      </c>
      <c r="X149">
        <f>R[-2]C[0]/AVERAGE(R[-1]C[-1]:R[-1]C[0])</f>
        <v/>
      </c>
    </row>
    <row r="150">
      <c r="A150" t="inlineStr">
        <is>
          <t>Revenue Matrix</t>
        </is>
      </c>
      <c r="B150" t="inlineStr">
        <is>
          <t>F15</t>
        </is>
      </c>
      <c r="C150" t="n">
        <v>15</v>
      </c>
      <c r="D150" t="n">
        <v>6</v>
      </c>
      <c r="E150" t="inlineStr">
        <is>
          <t>Calculation</t>
        </is>
      </c>
      <c r="F150" t="inlineStr">
        <is>
          <t>'=F13/AVERAGE(E14:F14)</t>
        </is>
      </c>
      <c r="G150" t="n">
        <v>412.8429752066116</v>
      </c>
      <c r="H150" t="inlineStr"/>
      <c r="I150" t="inlineStr">
        <is>
          <t>0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G000233</t>
        </is>
      </c>
      <c r="T150" t="inlineStr">
        <is>
          <t>Horizontal</t>
        </is>
      </c>
      <c r="U150" t="n">
        <v>6</v>
      </c>
      <c r="V150" t="b">
        <v>1</v>
      </c>
      <c r="W150" t="inlineStr">
        <is>
          <t>Revenue Matrix!E15:J15</t>
        </is>
      </c>
      <c r="X150">
        <f>R[-2]C[0]/AVERAGE(R[-1]C[-1]:R[-1]C[0])</f>
        <v/>
      </c>
    </row>
    <row r="151">
      <c r="A151" t="inlineStr">
        <is>
          <t>Revenue Matrix</t>
        </is>
      </c>
      <c r="B151" t="inlineStr">
        <is>
          <t>G15</t>
        </is>
      </c>
      <c r="C151" t="n">
        <v>15</v>
      </c>
      <c r="D151" t="n">
        <v>7</v>
      </c>
      <c r="E151" t="inlineStr">
        <is>
          <t>Calculation</t>
        </is>
      </c>
      <c r="F151" t="inlineStr">
        <is>
          <t>'=G13/AVERAGE(F14:G14)</t>
        </is>
      </c>
      <c r="G151" t="n">
        <v>419.1188811188811</v>
      </c>
      <c r="H151" t="inlineStr"/>
      <c r="I151" t="inlineStr">
        <is>
          <t>0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1</v>
      </c>
      <c r="S151" t="inlineStr">
        <is>
          <t>G000233</t>
        </is>
      </c>
      <c r="T151" t="inlineStr">
        <is>
          <t>Horizontal</t>
        </is>
      </c>
      <c r="U151" t="n">
        <v>6</v>
      </c>
      <c r="V151" t="b">
        <v>1</v>
      </c>
      <c r="W151" t="inlineStr">
        <is>
          <t>Revenue Matrix!E15:J15</t>
        </is>
      </c>
      <c r="X151">
        <f>R[-2]C[0]/AVERAGE(R[-1]C[-1]:R[-1]C[0])</f>
        <v/>
      </c>
    </row>
    <row r="152">
      <c r="A152" t="inlineStr">
        <is>
          <t>Revenue Matrix</t>
        </is>
      </c>
      <c r="B152" t="inlineStr">
        <is>
          <t>H15</t>
        </is>
      </c>
      <c r="C152" t="n">
        <v>15</v>
      </c>
      <c r="D152" t="n">
        <v>8</v>
      </c>
      <c r="E152" t="inlineStr">
        <is>
          <t>Calculation</t>
        </is>
      </c>
      <c r="F152" t="inlineStr">
        <is>
          <t>'=H13/AVERAGE(G14:H14)</t>
        </is>
      </c>
      <c r="G152" t="n">
        <v>413.1812865497076</v>
      </c>
      <c r="H152" t="inlineStr"/>
      <c r="I152" t="inlineStr">
        <is>
          <t>0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1</v>
      </c>
      <c r="S152" t="inlineStr">
        <is>
          <t>G000233</t>
        </is>
      </c>
      <c r="T152" t="inlineStr">
        <is>
          <t>Horizontal</t>
        </is>
      </c>
      <c r="U152" t="n">
        <v>6</v>
      </c>
      <c r="V152" t="b">
        <v>1</v>
      </c>
      <c r="W152" t="inlineStr">
        <is>
          <t>Revenue Matrix!E15:J15</t>
        </is>
      </c>
      <c r="X152">
        <f>R[-2]C[0]/AVERAGE(R[-1]C[-1]:R[-1]C[0])</f>
        <v/>
      </c>
    </row>
    <row r="153">
      <c r="A153" t="inlineStr">
        <is>
          <t>Revenue Matrix</t>
        </is>
      </c>
      <c r="B153" t="inlineStr">
        <is>
          <t>I15</t>
        </is>
      </c>
      <c r="C153" t="n">
        <v>15</v>
      </c>
      <c r="D153" t="n">
        <v>9</v>
      </c>
      <c r="E153" t="inlineStr">
        <is>
          <t>Calculation</t>
        </is>
      </c>
      <c r="F153" t="inlineStr">
        <is>
          <t>'=I13/AVERAGE(H14:I14)</t>
        </is>
      </c>
      <c r="G153" t="n">
        <v>426.1293532338308</v>
      </c>
      <c r="H153" t="inlineStr"/>
      <c r="I153" t="inlineStr">
        <is>
          <t>0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n">
        <v/>
      </c>
      <c r="R153" t="b">
        <v>1</v>
      </c>
      <c r="S153" t="inlineStr">
        <is>
          <t>G000233</t>
        </is>
      </c>
      <c r="T153" t="inlineStr">
        <is>
          <t>Horizontal</t>
        </is>
      </c>
      <c r="U153" t="n">
        <v>6</v>
      </c>
      <c r="V153" t="b">
        <v>1</v>
      </c>
      <c r="W153" t="inlineStr">
        <is>
          <t>Revenue Matrix!E15:J15</t>
        </is>
      </c>
      <c r="X153">
        <f>R[-2]C[0]/AVERAGE(R[-1]C[-1]:R[-1]C[0])</f>
        <v/>
      </c>
    </row>
    <row r="154">
      <c r="A154" t="inlineStr">
        <is>
          <t>Revenue Matrix</t>
        </is>
      </c>
      <c r="B154" t="inlineStr">
        <is>
          <t>J15</t>
        </is>
      </c>
      <c r="C154" t="n">
        <v>15</v>
      </c>
      <c r="D154" t="n">
        <v>10</v>
      </c>
      <c r="E154" t="inlineStr">
        <is>
          <t>Calculation</t>
        </is>
      </c>
      <c r="F154" t="inlineStr">
        <is>
          <t>'=J13/AVERAGE(I14:J14)</t>
        </is>
      </c>
      <c r="G154" t="n">
        <v>458.6806722689076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1</v>
      </c>
      <c r="S154" t="inlineStr">
        <is>
          <t>G000233</t>
        </is>
      </c>
      <c r="T154" t="inlineStr">
        <is>
          <t>Horizontal</t>
        </is>
      </c>
      <c r="U154" t="n">
        <v>6</v>
      </c>
      <c r="V154" t="b">
        <v>1</v>
      </c>
      <c r="W154" t="inlineStr">
        <is>
          <t>Revenue Matrix!E15:J15</t>
        </is>
      </c>
      <c r="X154">
        <f>R[-2]C[0]/AVERAGE(R[-1]C[-1]:R[-1]C[0])</f>
        <v/>
      </c>
    </row>
    <row r="155">
      <c r="A155" t="inlineStr">
        <is>
          <t>Revenue Matrix</t>
        </is>
      </c>
      <c r="B155" t="inlineStr">
        <is>
          <t>K15</t>
        </is>
      </c>
      <c r="C155" t="n">
        <v>15</v>
      </c>
      <c r="D155" t="n">
        <v>11</v>
      </c>
      <c r="E155" t="inlineStr">
        <is>
          <t>Output</t>
        </is>
      </c>
      <c r="F155" t="inlineStr">
        <is>
          <t>'='Assumptions Sheet'!K20</t>
        </is>
      </c>
      <c r="G155" t="n">
        <v>460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FFFF0000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G000234</t>
        </is>
      </c>
      <c r="T155" t="inlineStr">
        <is>
          <t>Horizontal</t>
        </is>
      </c>
      <c r="U155" t="n">
        <v>5</v>
      </c>
      <c r="V155" t="b">
        <v>1</v>
      </c>
      <c r="W155" t="inlineStr">
        <is>
          <t>Revenue Matrix!K15:O15</t>
        </is>
      </c>
      <c r="X155">
        <f>'Assumptions Sheet'!R[5]C[0]</f>
        <v/>
      </c>
    </row>
    <row r="156">
      <c r="A156" t="inlineStr">
        <is>
          <t>Revenue Matrix</t>
        </is>
      </c>
      <c r="B156" t="inlineStr">
        <is>
          <t>L15</t>
        </is>
      </c>
      <c r="C156" t="n">
        <v>15</v>
      </c>
      <c r="D156" t="n">
        <v>12</v>
      </c>
      <c r="E156" t="inlineStr">
        <is>
          <t>Output</t>
        </is>
      </c>
      <c r="F156" t="inlineStr">
        <is>
          <t>'='Assumptions Sheet'!L20</t>
        </is>
      </c>
      <c r="G156" t="n">
        <v>460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FFFF0000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G000234</t>
        </is>
      </c>
      <c r="T156" t="inlineStr">
        <is>
          <t>Horizontal</t>
        </is>
      </c>
      <c r="U156" t="n">
        <v>5</v>
      </c>
      <c r="V156" t="b">
        <v>1</v>
      </c>
      <c r="W156" t="inlineStr">
        <is>
          <t>Revenue Matrix!K15:O15</t>
        </is>
      </c>
      <c r="X156">
        <f>'Assumptions Sheet'!R[5]C[0]</f>
        <v/>
      </c>
    </row>
    <row r="157">
      <c r="A157" t="inlineStr">
        <is>
          <t>Revenue Matrix</t>
        </is>
      </c>
      <c r="B157" t="inlineStr">
        <is>
          <t>M15</t>
        </is>
      </c>
      <c r="C157" t="n">
        <v>15</v>
      </c>
      <c r="D157" t="n">
        <v>13</v>
      </c>
      <c r="E157" t="inlineStr">
        <is>
          <t>Output</t>
        </is>
      </c>
      <c r="F157" t="inlineStr">
        <is>
          <t>'='Assumptions Sheet'!M20</t>
        </is>
      </c>
      <c r="G157" t="n">
        <v>460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FFFF0000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G000234</t>
        </is>
      </c>
      <c r="T157" t="inlineStr">
        <is>
          <t>Horizontal</t>
        </is>
      </c>
      <c r="U157" t="n">
        <v>5</v>
      </c>
      <c r="V157" t="b">
        <v>1</v>
      </c>
      <c r="W157" t="inlineStr">
        <is>
          <t>Revenue Matrix!K15:O15</t>
        </is>
      </c>
      <c r="X157">
        <f>'Assumptions Sheet'!R[5]C[0]</f>
        <v/>
      </c>
    </row>
    <row r="158">
      <c r="A158" t="inlineStr">
        <is>
          <t>Revenue Matrix</t>
        </is>
      </c>
      <c r="B158" t="inlineStr">
        <is>
          <t>N15</t>
        </is>
      </c>
      <c r="C158" t="n">
        <v>15</v>
      </c>
      <c r="D158" t="n">
        <v>14</v>
      </c>
      <c r="E158" t="inlineStr">
        <is>
          <t>Output</t>
        </is>
      </c>
      <c r="F158" t="inlineStr">
        <is>
          <t>'='Assumptions Sheet'!N20</t>
        </is>
      </c>
      <c r="G158" t="n">
        <v>460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FFFF0000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G000234</t>
        </is>
      </c>
      <c r="T158" t="inlineStr">
        <is>
          <t>Horizontal</t>
        </is>
      </c>
      <c r="U158" t="n">
        <v>5</v>
      </c>
      <c r="V158" t="b">
        <v>1</v>
      </c>
      <c r="W158" t="inlineStr">
        <is>
          <t>Revenue Matrix!K15:O15</t>
        </is>
      </c>
      <c r="X158">
        <f>'Assumptions Sheet'!R[5]C[0]</f>
        <v/>
      </c>
    </row>
    <row r="159">
      <c r="A159" t="inlineStr">
        <is>
          <t>Revenue Matrix</t>
        </is>
      </c>
      <c r="B159" t="inlineStr">
        <is>
          <t>O15</t>
        </is>
      </c>
      <c r="C159" t="n">
        <v>15</v>
      </c>
      <c r="D159" t="n">
        <v>15</v>
      </c>
      <c r="E159" t="inlineStr">
        <is>
          <t>Output</t>
        </is>
      </c>
      <c r="F159" t="inlineStr">
        <is>
          <t>'='Assumptions Sheet'!O20</t>
        </is>
      </c>
      <c r="G159" t="n">
        <v>460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FFFF0000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G000234</t>
        </is>
      </c>
      <c r="T159" t="inlineStr">
        <is>
          <t>Horizontal</t>
        </is>
      </c>
      <c r="U159" t="n">
        <v>5</v>
      </c>
      <c r="V159" t="b">
        <v>1</v>
      </c>
      <c r="W159" t="inlineStr">
        <is>
          <t>Revenue Matrix!K15:O15</t>
        </is>
      </c>
      <c r="X159">
        <f>'Assumptions Sheet'!R[5]C[0]</f>
        <v/>
      </c>
    </row>
    <row r="160">
      <c r="A160" t="inlineStr">
        <is>
          <t>Revenue Matrix</t>
        </is>
      </c>
      <c r="B160" t="inlineStr">
        <is>
          <t>E16</t>
        </is>
      </c>
      <c r="C160" t="n">
        <v>16</v>
      </c>
      <c r="D160" t="n">
        <v>5</v>
      </c>
      <c r="E160" t="inlineStr">
        <is>
          <t>Output</t>
        </is>
      </c>
      <c r="F160" t="inlineStr">
        <is>
          <t>'=E14/D14-1</t>
        </is>
      </c>
      <c r="G160" t="n">
        <v>0.4102564102564104</v>
      </c>
      <c r="H160" t="inlineStr"/>
      <c r="I160" t="inlineStr">
        <is>
          <t>0%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G000235</t>
        </is>
      </c>
      <c r="T160" t="inlineStr">
        <is>
          <t>Horizontal</t>
        </is>
      </c>
      <c r="U160" t="n">
        <v>11</v>
      </c>
      <c r="V160" t="b">
        <v>1</v>
      </c>
      <c r="W160" t="inlineStr">
        <is>
          <t>Revenue Matrix!E16:O16</t>
        </is>
      </c>
      <c r="X160">
        <f>R[-2]C[0]/R[-2]C[-1]-1</f>
        <v/>
      </c>
    </row>
    <row r="161">
      <c r="A161" t="inlineStr">
        <is>
          <t>Revenue Matrix</t>
        </is>
      </c>
      <c r="B161" t="inlineStr">
        <is>
          <t>F16</t>
        </is>
      </c>
      <c r="C161" t="n">
        <v>16</v>
      </c>
      <c r="D161" t="n">
        <v>6</v>
      </c>
      <c r="E161" t="inlineStr">
        <is>
          <t>Output</t>
        </is>
      </c>
      <c r="F161" t="inlineStr">
        <is>
          <t>'=F14/E14-1</t>
        </is>
      </c>
      <c r="G161" t="n">
        <v>0.2</v>
      </c>
      <c r="H161" t="inlineStr"/>
      <c r="I161" t="inlineStr">
        <is>
          <t>0%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1</v>
      </c>
      <c r="S161" t="inlineStr">
        <is>
          <t>G000235</t>
        </is>
      </c>
      <c r="T161" t="inlineStr">
        <is>
          <t>Horizontal</t>
        </is>
      </c>
      <c r="U161" t="n">
        <v>11</v>
      </c>
      <c r="V161" t="b">
        <v>1</v>
      </c>
      <c r="W161" t="inlineStr">
        <is>
          <t>Revenue Matrix!E16:O16</t>
        </is>
      </c>
      <c r="X161">
        <f>R[-2]C[0]/R[-2]C[-1]-1</f>
        <v/>
      </c>
    </row>
    <row r="162">
      <c r="A162" t="inlineStr">
        <is>
          <t>Revenue Matrix</t>
        </is>
      </c>
      <c r="B162" t="inlineStr">
        <is>
          <t>G16</t>
        </is>
      </c>
      <c r="C162" t="n">
        <v>16</v>
      </c>
      <c r="D162" t="n">
        <v>7</v>
      </c>
      <c r="E162" t="inlineStr">
        <is>
          <t>Output</t>
        </is>
      </c>
      <c r="F162" t="inlineStr">
        <is>
          <t>'=G14/F14-1</t>
        </is>
      </c>
      <c r="G162" t="n">
        <v>0.1666666666666667</v>
      </c>
      <c r="H162" t="inlineStr"/>
      <c r="I162" t="inlineStr">
        <is>
          <t>0%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G000235</t>
        </is>
      </c>
      <c r="T162" t="inlineStr">
        <is>
          <t>Horizontal</t>
        </is>
      </c>
      <c r="U162" t="n">
        <v>11</v>
      </c>
      <c r="V162" t="b">
        <v>1</v>
      </c>
      <c r="W162" t="inlineStr">
        <is>
          <t>Revenue Matrix!E16:O16</t>
        </is>
      </c>
      <c r="X162">
        <f>R[-2]C[0]/R[-2]C[-1]-1</f>
        <v/>
      </c>
    </row>
    <row r="163">
      <c r="A163" t="inlineStr">
        <is>
          <t>Revenue Matrix</t>
        </is>
      </c>
      <c r="B163" t="inlineStr">
        <is>
          <t>H16</t>
        </is>
      </c>
      <c r="C163" t="n">
        <v>16</v>
      </c>
      <c r="D163" t="n">
        <v>8</v>
      </c>
      <c r="E163" t="inlineStr">
        <is>
          <t>Output</t>
        </is>
      </c>
      <c r="F163" t="inlineStr">
        <is>
          <t>'=H14/G14-1</t>
        </is>
      </c>
      <c r="G163" t="n">
        <v>0.2207792207792207</v>
      </c>
      <c r="H163" t="inlineStr"/>
      <c r="I163" t="inlineStr">
        <is>
          <t>0%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G000235</t>
        </is>
      </c>
      <c r="T163" t="inlineStr">
        <is>
          <t>Horizontal</t>
        </is>
      </c>
      <c r="U163" t="n">
        <v>11</v>
      </c>
      <c r="V163" t="b">
        <v>1</v>
      </c>
      <c r="W163" t="inlineStr">
        <is>
          <t>Revenue Matrix!E16:O16</t>
        </is>
      </c>
      <c r="X163">
        <f>R[-2]C[0]/R[-2]C[-1]-1</f>
        <v/>
      </c>
    </row>
    <row r="164">
      <c r="A164" t="inlineStr">
        <is>
          <t>Revenue Matrix</t>
        </is>
      </c>
      <c r="B164" t="inlineStr">
        <is>
          <t>I16</t>
        </is>
      </c>
      <c r="C164" t="n">
        <v>16</v>
      </c>
      <c r="D164" t="n">
        <v>9</v>
      </c>
      <c r="E164" t="inlineStr">
        <is>
          <t>Output</t>
        </is>
      </c>
      <c r="F164" t="inlineStr">
        <is>
          <t>'=I14/H14-1</t>
        </is>
      </c>
      <c r="G164" t="n">
        <v>0.1382978723404256</v>
      </c>
      <c r="H164" t="inlineStr"/>
      <c r="I164" t="inlineStr">
        <is>
          <t>0%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G000235</t>
        </is>
      </c>
      <c r="T164" t="inlineStr">
        <is>
          <t>Horizontal</t>
        </is>
      </c>
      <c r="U164" t="n">
        <v>11</v>
      </c>
      <c r="V164" t="b">
        <v>1</v>
      </c>
      <c r="W164" t="inlineStr">
        <is>
          <t>Revenue Matrix!E16:O16</t>
        </is>
      </c>
      <c r="X164">
        <f>R[-2]C[0]/R[-2]C[-1]-1</f>
        <v/>
      </c>
    </row>
    <row r="165">
      <c r="A165" t="inlineStr">
        <is>
          <t>Revenue Matrix</t>
        </is>
      </c>
      <c r="B165" t="inlineStr">
        <is>
          <t>J16</t>
        </is>
      </c>
      <c r="C165" t="n">
        <v>16</v>
      </c>
      <c r="D165" t="n">
        <v>10</v>
      </c>
      <c r="E165" t="inlineStr">
        <is>
          <t>Output</t>
        </is>
      </c>
      <c r="F165" t="inlineStr">
        <is>
          <t>'=J14/I14-1</t>
        </is>
      </c>
      <c r="G165" t="n">
        <v>0.2242990654205608</v>
      </c>
      <c r="H165" t="inlineStr"/>
      <c r="I165" t="inlineStr">
        <is>
          <t>0%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G000235</t>
        </is>
      </c>
      <c r="T165" t="inlineStr">
        <is>
          <t>Horizontal</t>
        </is>
      </c>
      <c r="U165" t="n">
        <v>11</v>
      </c>
      <c r="V165" t="b">
        <v>1</v>
      </c>
      <c r="W165" t="inlineStr">
        <is>
          <t>Revenue Matrix!E16:O16</t>
        </is>
      </c>
      <c r="X165">
        <f>R[-2]C[0]/R[-2]C[-1]-1</f>
        <v/>
      </c>
    </row>
    <row r="166">
      <c r="A166" t="inlineStr">
        <is>
          <t>Revenue Matrix</t>
        </is>
      </c>
      <c r="B166" t="inlineStr">
        <is>
          <t>K16</t>
        </is>
      </c>
      <c r="C166" t="n">
        <v>16</v>
      </c>
      <c r="D166" t="n">
        <v>11</v>
      </c>
      <c r="E166" t="inlineStr">
        <is>
          <t>Output</t>
        </is>
      </c>
      <c r="F166" t="inlineStr">
        <is>
          <t>'=K14/J14-1</t>
        </is>
      </c>
      <c r="G166" t="n">
        <v>0.2213740458015268</v>
      </c>
      <c r="H166" t="inlineStr"/>
      <c r="I166" t="inlineStr">
        <is>
          <t>0%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G000235</t>
        </is>
      </c>
      <c r="T166" t="inlineStr">
        <is>
          <t>Horizontal</t>
        </is>
      </c>
      <c r="U166" t="n">
        <v>11</v>
      </c>
      <c r="V166" t="b">
        <v>1</v>
      </c>
      <c r="W166" t="inlineStr">
        <is>
          <t>Revenue Matrix!E16:O16</t>
        </is>
      </c>
      <c r="X166">
        <f>R[-2]C[0]/R[-2]C[-1]-1</f>
        <v/>
      </c>
    </row>
    <row r="167">
      <c r="A167" t="inlineStr">
        <is>
          <t>Revenue Matrix</t>
        </is>
      </c>
      <c r="B167" t="inlineStr">
        <is>
          <t>L16</t>
        </is>
      </c>
      <c r="C167" t="n">
        <v>16</v>
      </c>
      <c r="D167" t="n">
        <v>12</v>
      </c>
      <c r="E167" t="inlineStr">
        <is>
          <t>Output</t>
        </is>
      </c>
      <c r="F167" t="inlineStr">
        <is>
          <t>'=L14/K14-1</t>
        </is>
      </c>
      <c r="G167" t="n">
        <v>0.06792826086956505</v>
      </c>
      <c r="H167" t="inlineStr"/>
      <c r="I167" t="inlineStr">
        <is>
          <t>0%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G000235</t>
        </is>
      </c>
      <c r="T167" t="inlineStr">
        <is>
          <t>Horizontal</t>
        </is>
      </c>
      <c r="U167" t="n">
        <v>11</v>
      </c>
      <c r="V167" t="b">
        <v>1</v>
      </c>
      <c r="W167" t="inlineStr">
        <is>
          <t>Revenue Matrix!E16:O16</t>
        </is>
      </c>
      <c r="X167">
        <f>R[-2]C[0]/R[-2]C[-1]-1</f>
        <v/>
      </c>
    </row>
    <row r="168">
      <c r="A168" t="inlineStr">
        <is>
          <t>Revenue Matrix</t>
        </is>
      </c>
      <c r="B168" t="inlineStr">
        <is>
          <t>M16</t>
        </is>
      </c>
      <c r="C168" t="n">
        <v>16</v>
      </c>
      <c r="D168" t="n">
        <v>13</v>
      </c>
      <c r="E168" t="inlineStr">
        <is>
          <t>Output</t>
        </is>
      </c>
      <c r="F168" t="inlineStr">
        <is>
          <t>'=M14/L14-1</t>
        </is>
      </c>
      <c r="G168" t="n">
        <v>0.2</v>
      </c>
      <c r="H168" t="inlineStr"/>
      <c r="I168" t="inlineStr">
        <is>
          <t>0%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n">
        <v/>
      </c>
      <c r="R168" t="b">
        <v>1</v>
      </c>
      <c r="S168" t="inlineStr">
        <is>
          <t>G000235</t>
        </is>
      </c>
      <c r="T168" t="inlineStr">
        <is>
          <t>Horizontal</t>
        </is>
      </c>
      <c r="U168" t="n">
        <v>11</v>
      </c>
      <c r="V168" t="b">
        <v>1</v>
      </c>
      <c r="W168" t="inlineStr">
        <is>
          <t>Revenue Matrix!E16:O16</t>
        </is>
      </c>
      <c r="X168">
        <f>R[-2]C[0]/R[-2]C[-1]-1</f>
        <v/>
      </c>
    </row>
    <row r="169">
      <c r="A169" t="inlineStr">
        <is>
          <t>Revenue Matrix</t>
        </is>
      </c>
      <c r="B169" t="inlineStr">
        <is>
          <t>N16</t>
        </is>
      </c>
      <c r="C169" t="n">
        <v>16</v>
      </c>
      <c r="D169" t="n">
        <v>14</v>
      </c>
      <c r="E169" t="inlineStr">
        <is>
          <t>Output</t>
        </is>
      </c>
      <c r="F169" t="inlineStr">
        <is>
          <t>'=N14/M14-1</t>
        </is>
      </c>
      <c r="G169" t="n">
        <v>0.2000000000000002</v>
      </c>
      <c r="H169" t="inlineStr"/>
      <c r="I169" t="inlineStr">
        <is>
          <t>0%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G000235</t>
        </is>
      </c>
      <c r="T169" t="inlineStr">
        <is>
          <t>Horizontal</t>
        </is>
      </c>
      <c r="U169" t="n">
        <v>11</v>
      </c>
      <c r="V169" t="b">
        <v>1</v>
      </c>
      <c r="W169" t="inlineStr">
        <is>
          <t>Revenue Matrix!E16:O16</t>
        </is>
      </c>
      <c r="X169">
        <f>R[-2]C[0]/R[-2]C[-1]-1</f>
        <v/>
      </c>
    </row>
    <row r="170">
      <c r="A170" t="inlineStr">
        <is>
          <t>Revenue Matrix</t>
        </is>
      </c>
      <c r="B170" t="inlineStr">
        <is>
          <t>O16</t>
        </is>
      </c>
      <c r="C170" t="n">
        <v>16</v>
      </c>
      <c r="D170" t="n">
        <v>15</v>
      </c>
      <c r="E170" t="inlineStr">
        <is>
          <t>Output</t>
        </is>
      </c>
      <c r="F170" t="inlineStr">
        <is>
          <t>'=O14/N14-1</t>
        </is>
      </c>
      <c r="G170" t="n">
        <v>0.2000000000000002</v>
      </c>
      <c r="H170" t="inlineStr"/>
      <c r="I170" t="inlineStr">
        <is>
          <t>0%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G000235</t>
        </is>
      </c>
      <c r="T170" t="inlineStr">
        <is>
          <t>Horizontal</t>
        </is>
      </c>
      <c r="U170" t="n">
        <v>11</v>
      </c>
      <c r="V170" t="b">
        <v>1</v>
      </c>
      <c r="W170" t="inlineStr">
        <is>
          <t>Revenue Matrix!E16:O16</t>
        </is>
      </c>
      <c r="X170">
        <f>R[-2]C[0]/R[-2]C[-1]-1</f>
        <v/>
      </c>
    </row>
    <row r="171">
      <c r="A171" t="inlineStr">
        <is>
          <t>Revenue Matrix</t>
        </is>
      </c>
      <c r="B171" t="inlineStr">
        <is>
          <t>A17</t>
        </is>
      </c>
      <c r="C171" t="n">
        <v>17</v>
      </c>
      <c r="D171" t="n">
        <v>1</v>
      </c>
      <c r="E171" t="inlineStr">
        <is>
          <t>Input</t>
        </is>
      </c>
      <c r="F171" t="n">
        <v/>
      </c>
      <c r="G171" t="inlineStr">
        <is>
          <t>RPK (millions)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Revenue Matrix</t>
        </is>
      </c>
      <c r="B172" t="inlineStr">
        <is>
          <t>D17</t>
        </is>
      </c>
      <c r="C172" t="n">
        <v>17</v>
      </c>
      <c r="D172" t="n">
        <v>4</v>
      </c>
      <c r="E172" t="inlineStr">
        <is>
          <t>Input</t>
        </is>
      </c>
      <c r="F172" t="n">
        <v/>
      </c>
      <c r="G172" t="n">
        <v>10634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Revenue Matrix</t>
        </is>
      </c>
      <c r="B173" t="inlineStr">
        <is>
          <t>E17</t>
        </is>
      </c>
      <c r="C173" t="n">
        <v>17</v>
      </c>
      <c r="D173" t="n">
        <v>5</v>
      </c>
      <c r="E173" t="inlineStr">
        <is>
          <t>Output</t>
        </is>
      </c>
      <c r="F173" t="inlineStr">
        <is>
          <t>'=13719+1107</t>
        </is>
      </c>
      <c r="G173" t="n">
        <v>14826</v>
      </c>
      <c r="H173" t="inlineStr"/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>
        <f>13719+1107</f>
        <v/>
      </c>
    </row>
    <row r="174">
      <c r="A174" t="inlineStr">
        <is>
          <t>Revenue Matrix</t>
        </is>
      </c>
      <c r="B174" t="inlineStr">
        <is>
          <t>F17</t>
        </is>
      </c>
      <c r="C174" t="n">
        <v>17</v>
      </c>
      <c r="D174" t="n">
        <v>6</v>
      </c>
      <c r="E174" t="inlineStr">
        <is>
          <t>Output</t>
        </is>
      </c>
      <c r="F174" t="inlineStr">
        <is>
          <t>'=17176+3084</t>
        </is>
      </c>
      <c r="G174" t="n">
        <v>20260</v>
      </c>
      <c r="H174" t="inlineStr"/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>
        <f>17176+3084</f>
        <v/>
      </c>
    </row>
    <row r="175">
      <c r="A175" t="inlineStr">
        <is>
          <t>Revenue Matrix</t>
        </is>
      </c>
      <c r="B175" t="inlineStr">
        <is>
          <t>G17</t>
        </is>
      </c>
      <c r="C175" t="n">
        <v>17</v>
      </c>
      <c r="D175" t="n">
        <v>7</v>
      </c>
      <c r="E175" t="inlineStr">
        <is>
          <t>Output</t>
        </is>
      </c>
      <c r="F175" t="inlineStr">
        <is>
          <t>'=19701+3435</t>
        </is>
      </c>
      <c r="G175" t="n">
        <v>23136</v>
      </c>
      <c r="H175" t="inlineStr"/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>
        <f>19701+3435</f>
        <v/>
      </c>
    </row>
    <row r="176">
      <c r="A176" t="inlineStr">
        <is>
          <t>Revenue Matrix</t>
        </is>
      </c>
      <c r="B176" t="inlineStr">
        <is>
          <t>H17</t>
        </is>
      </c>
      <c r="C176" t="n">
        <v>17</v>
      </c>
      <c r="D176" t="n">
        <v>8</v>
      </c>
      <c r="E176" t="inlineStr">
        <is>
          <t>Input</t>
        </is>
      </c>
      <c r="F176" t="n">
        <v/>
      </c>
      <c r="G176" t="n">
        <v>28177</v>
      </c>
      <c r="H176" t="inlineStr"/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Revenue Matrix</t>
        </is>
      </c>
      <c r="B177" t="inlineStr">
        <is>
          <t>I17</t>
        </is>
      </c>
      <c r="C177" t="n">
        <v>17</v>
      </c>
      <c r="D177" t="n">
        <v>9</v>
      </c>
      <c r="E177" t="inlineStr">
        <is>
          <t>Input</t>
        </is>
      </c>
      <c r="F177" t="n">
        <v/>
      </c>
      <c r="G177" t="n">
        <v>35968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00000000</t>
        </is>
      </c>
      <c r="O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Revenue Matrix</t>
        </is>
      </c>
      <c r="B178" t="inlineStr">
        <is>
          <t>J17</t>
        </is>
      </c>
      <c r="C178" t="n">
        <v>17</v>
      </c>
      <c r="D178" t="n">
        <v>10</v>
      </c>
      <c r="E178" t="inlineStr">
        <is>
          <t>Input</t>
        </is>
      </c>
      <c r="F178" t="n">
        <v/>
      </c>
      <c r="G178" t="n">
        <v>46288</v>
      </c>
      <c r="H178" t="inlineStr"/>
      <c r="I178" t="inlineStr">
        <is>
          <t>#,##0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00000000</t>
        </is>
      </c>
      <c r="O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Revenue Matrix</t>
        </is>
      </c>
      <c r="B179" t="inlineStr">
        <is>
          <t>K17</t>
        </is>
      </c>
      <c r="C179" t="n">
        <v>17</v>
      </c>
      <c r="D179" t="n">
        <v>11</v>
      </c>
      <c r="E179" t="inlineStr">
        <is>
          <t>Output</t>
        </is>
      </c>
      <c r="F179" t="inlineStr">
        <is>
          <t>'='Assumptions Sheet'!K4</t>
        </is>
      </c>
      <c r="G179" t="n">
        <v>55674.66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G000236</t>
        </is>
      </c>
      <c r="T179" t="inlineStr">
        <is>
          <t>Horizontal</t>
        </is>
      </c>
      <c r="U179" t="n">
        <v>5</v>
      </c>
      <c r="V179" t="b">
        <v>1</v>
      </c>
      <c r="W179" t="inlineStr">
        <is>
          <t>Revenue Matrix!K17:O17</t>
        </is>
      </c>
      <c r="X179">
        <f>'Assumptions Sheet'!R[-13]C[0]</f>
        <v/>
      </c>
    </row>
    <row r="180">
      <c r="A180" t="inlineStr">
        <is>
          <t>Revenue Matrix</t>
        </is>
      </c>
      <c r="B180" t="inlineStr">
        <is>
          <t>L17</t>
        </is>
      </c>
      <c r="C180" t="n">
        <v>17</v>
      </c>
      <c r="D180" t="n">
        <v>12</v>
      </c>
      <c r="E180" t="inlineStr">
        <is>
          <t>Output</t>
        </is>
      </c>
      <c r="F180" t="inlineStr">
        <is>
          <t>'='Assumptions Sheet'!L4</t>
        </is>
      </c>
      <c r="G180" t="n">
        <v>66809.59199999999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G000236</t>
        </is>
      </c>
      <c r="T180" t="inlineStr">
        <is>
          <t>Horizontal</t>
        </is>
      </c>
      <c r="U180" t="n">
        <v>5</v>
      </c>
      <c r="V180" t="b">
        <v>1</v>
      </c>
      <c r="W180" t="inlineStr">
        <is>
          <t>Revenue Matrix!K17:O17</t>
        </is>
      </c>
      <c r="X180">
        <f>'Assumptions Sheet'!R[-13]C[0]</f>
        <v/>
      </c>
    </row>
    <row r="181">
      <c r="A181" t="inlineStr">
        <is>
          <t>Revenue Matrix</t>
        </is>
      </c>
      <c r="B181" t="inlineStr">
        <is>
          <t>M17</t>
        </is>
      </c>
      <c r="C181" t="n">
        <v>17</v>
      </c>
      <c r="D181" t="n">
        <v>13</v>
      </c>
      <c r="E181" t="inlineStr">
        <is>
          <t>Output</t>
        </is>
      </c>
      <c r="F181" t="inlineStr">
        <is>
          <t>'='Assumptions Sheet'!M4</t>
        </is>
      </c>
      <c r="G181" t="n">
        <v>80171.51039999998</v>
      </c>
      <c r="H181" t="inlineStr"/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G000236</t>
        </is>
      </c>
      <c r="T181" t="inlineStr">
        <is>
          <t>Horizontal</t>
        </is>
      </c>
      <c r="U181" t="n">
        <v>5</v>
      </c>
      <c r="V181" t="b">
        <v>1</v>
      </c>
      <c r="W181" t="inlineStr">
        <is>
          <t>Revenue Matrix!K17:O17</t>
        </is>
      </c>
      <c r="X181">
        <f>'Assumptions Sheet'!R[-13]C[0]</f>
        <v/>
      </c>
    </row>
    <row r="182">
      <c r="A182" t="inlineStr">
        <is>
          <t>Revenue Matrix</t>
        </is>
      </c>
      <c r="B182" t="inlineStr">
        <is>
          <t>N17</t>
        </is>
      </c>
      <c r="C182" t="n">
        <v>17</v>
      </c>
      <c r="D182" t="n">
        <v>14</v>
      </c>
      <c r="E182" t="inlineStr">
        <is>
          <t>Output</t>
        </is>
      </c>
      <c r="F182" t="inlineStr">
        <is>
          <t>'='Assumptions Sheet'!N4</t>
        </is>
      </c>
      <c r="G182" t="n">
        <v>96205.81247999998</v>
      </c>
      <c r="H182" t="inlineStr"/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R182" t="b">
        <v>1</v>
      </c>
      <c r="S182" t="inlineStr">
        <is>
          <t>G000236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Revenue Matrix!K17:O17</t>
        </is>
      </c>
      <c r="X182">
        <f>'Assumptions Sheet'!R[-13]C[0]</f>
        <v/>
      </c>
    </row>
    <row r="183">
      <c r="A183" t="inlineStr">
        <is>
          <t>Revenue Matrix</t>
        </is>
      </c>
      <c r="B183" t="inlineStr">
        <is>
          <t>O17</t>
        </is>
      </c>
      <c r="C183" t="n">
        <v>17</v>
      </c>
      <c r="D183" t="n">
        <v>15</v>
      </c>
      <c r="E183" t="inlineStr">
        <is>
          <t>Output</t>
        </is>
      </c>
      <c r="F183" t="inlineStr">
        <is>
          <t>'='Assumptions Sheet'!O4</t>
        </is>
      </c>
      <c r="G183" t="n">
        <v>115446.974976</v>
      </c>
      <c r="H183" t="inlineStr"/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R183" t="b">
        <v>1</v>
      </c>
      <c r="S183" t="inlineStr">
        <is>
          <t>G000236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Revenue Matrix!K17:O17</t>
        </is>
      </c>
      <c r="X183">
        <f>'Assumptions Sheet'!R[-13]C[0]</f>
        <v/>
      </c>
    </row>
    <row r="184">
      <c r="A184" t="inlineStr">
        <is>
          <t>Revenue Matrix</t>
        </is>
      </c>
      <c r="B184" t="inlineStr">
        <is>
          <t>A18</t>
        </is>
      </c>
      <c r="C184" t="n">
        <v>18</v>
      </c>
      <c r="D184" t="n">
        <v>1</v>
      </c>
      <c r="E184" t="inlineStr">
        <is>
          <t>Input</t>
        </is>
      </c>
      <c r="F184" t="n">
        <v/>
      </c>
      <c r="G184" t="inlineStr">
        <is>
          <t>Load Factor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Revenue Matrix</t>
        </is>
      </c>
      <c r="B185" t="inlineStr">
        <is>
          <t>D18</t>
        </is>
      </c>
      <c r="C185" t="n">
        <v>18</v>
      </c>
      <c r="D185" t="n">
        <v>4</v>
      </c>
      <c r="E185" t="inlineStr">
        <is>
          <t>Input</t>
        </is>
      </c>
      <c r="F185" t="n">
        <v/>
      </c>
      <c r="G185" t="n">
        <v>0.85</v>
      </c>
      <c r="H185" t="inlineStr"/>
      <c r="I185" t="inlineStr">
        <is>
          <t>0%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Revenue Matrix</t>
        </is>
      </c>
      <c r="B186" t="inlineStr">
        <is>
          <t>E18</t>
        </is>
      </c>
      <c r="C186" t="n">
        <v>18</v>
      </c>
      <c r="D186" t="n">
        <v>5</v>
      </c>
      <c r="E186" t="inlineStr">
        <is>
          <t>Input</t>
        </is>
      </c>
      <c r="F186" t="n">
        <v/>
      </c>
      <c r="G186" t="n">
        <v>0.82</v>
      </c>
      <c r="H186" t="inlineStr"/>
      <c r="I186" t="inlineStr">
        <is>
          <t>0%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Revenue Matrix</t>
        </is>
      </c>
      <c r="B187" t="inlineStr">
        <is>
          <t>F18</t>
        </is>
      </c>
      <c r="C187" t="n">
        <v>18</v>
      </c>
      <c r="D187" t="n">
        <v>6</v>
      </c>
      <c r="E187" t="inlineStr">
        <is>
          <t>Input</t>
        </is>
      </c>
      <c r="F187" t="n">
        <v/>
      </c>
      <c r="G187" t="n">
        <v>0.8100000000000001</v>
      </c>
      <c r="H187" t="inlineStr"/>
      <c r="I187" t="inlineStr">
        <is>
          <t>0%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Revenue Matrix</t>
        </is>
      </c>
      <c r="B188" t="inlineStr">
        <is>
          <t>G18</t>
        </is>
      </c>
      <c r="C188" t="n">
        <v>18</v>
      </c>
      <c r="D188" t="n">
        <v>7</v>
      </c>
      <c r="E188" t="inlineStr">
        <is>
          <t>Input</t>
        </is>
      </c>
      <c r="F188" t="n">
        <v/>
      </c>
      <c r="G188" t="n">
        <v>0.77</v>
      </c>
      <c r="H188" t="inlineStr"/>
      <c r="I188" t="inlineStr">
        <is>
          <t>0%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Revenue Matrix</t>
        </is>
      </c>
      <c r="B189" t="inlineStr">
        <is>
          <t>H18</t>
        </is>
      </c>
      <c r="C189" t="n">
        <v>18</v>
      </c>
      <c r="D189" t="n">
        <v>8</v>
      </c>
      <c r="E189" t="inlineStr">
        <is>
          <t>Input</t>
        </is>
      </c>
      <c r="F189" t="n">
        <v/>
      </c>
      <c r="G189" t="n">
        <v>0.798</v>
      </c>
      <c r="H189" t="inlineStr"/>
      <c r="I189" t="inlineStr">
        <is>
          <t>0%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Revenue Matrix</t>
        </is>
      </c>
      <c r="B190" t="inlineStr">
        <is>
          <t>I18</t>
        </is>
      </c>
      <c r="C190" t="n">
        <v>18</v>
      </c>
      <c r="D190" t="n">
        <v>9</v>
      </c>
      <c r="E190" t="inlineStr">
        <is>
          <t>Input</t>
        </is>
      </c>
      <c r="F190" t="n">
        <v/>
      </c>
      <c r="G190" t="n">
        <v>0.84</v>
      </c>
      <c r="H190" t="inlineStr"/>
      <c r="I190" t="inlineStr">
        <is>
          <t>0%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Revenue Matrix</t>
        </is>
      </c>
      <c r="B191" t="inlineStr">
        <is>
          <t>J18</t>
        </is>
      </c>
      <c r="C191" t="n">
        <v>18</v>
      </c>
      <c r="D191" t="n">
        <v>10</v>
      </c>
      <c r="E191" t="inlineStr">
        <is>
          <t>Input</t>
        </is>
      </c>
      <c r="F191" t="n">
        <v/>
      </c>
      <c r="G191" t="n">
        <v>0.848</v>
      </c>
      <c r="H191" t="inlineStr"/>
      <c r="I191" t="inlineStr">
        <is>
          <t>0%</t>
        </is>
      </c>
      <c r="J191" t="b">
        <v>0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Revenue Matrix</t>
        </is>
      </c>
      <c r="B192" t="inlineStr">
        <is>
          <t>K18</t>
        </is>
      </c>
      <c r="C192" t="n">
        <v>18</v>
      </c>
      <c r="D192" t="n">
        <v>11</v>
      </c>
      <c r="E192" t="inlineStr">
        <is>
          <t>Output</t>
        </is>
      </c>
      <c r="F192" t="inlineStr">
        <is>
          <t>'='Assumptions Sheet'!K5</t>
        </is>
      </c>
      <c r="G192" t="n">
        <v>0.85</v>
      </c>
      <c r="H192" t="inlineStr"/>
      <c r="I192" t="inlineStr">
        <is>
          <t>0%</t>
        </is>
      </c>
      <c r="J192" t="b">
        <v>0</v>
      </c>
      <c r="K192" t="b">
        <v>0</v>
      </c>
      <c r="L192" t="n">
        <v>11</v>
      </c>
      <c r="M192" t="inlineStr">
        <is>
          <t>FFFF0000</t>
        </is>
      </c>
      <c r="N192" t="inlineStr">
        <is>
          <t>00000000</t>
        </is>
      </c>
      <c r="O192" t="n">
        <v/>
      </c>
      <c r="R192" t="b">
        <v>1</v>
      </c>
      <c r="S192" t="inlineStr">
        <is>
          <t>G000237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Revenue Matrix!K18:O18</t>
        </is>
      </c>
      <c r="X192">
        <f>'Assumptions Sheet'!R[-13]C[0]</f>
        <v/>
      </c>
    </row>
    <row r="193">
      <c r="A193" t="inlineStr">
        <is>
          <t>Revenue Matrix</t>
        </is>
      </c>
      <c r="B193" t="inlineStr">
        <is>
          <t>L18</t>
        </is>
      </c>
      <c r="C193" t="n">
        <v>18</v>
      </c>
      <c r="D193" t="n">
        <v>12</v>
      </c>
      <c r="E193" t="inlineStr">
        <is>
          <t>Output</t>
        </is>
      </c>
      <c r="F193" t="inlineStr">
        <is>
          <t>'='Assumptions Sheet'!L5</t>
        </is>
      </c>
      <c r="G193" t="n">
        <v>0.85</v>
      </c>
      <c r="H193" t="inlineStr"/>
      <c r="I193" t="inlineStr">
        <is>
          <t>0%</t>
        </is>
      </c>
      <c r="J193" t="b">
        <v>0</v>
      </c>
      <c r="K193" t="b">
        <v>0</v>
      </c>
      <c r="L193" t="n">
        <v>11</v>
      </c>
      <c r="M193" t="inlineStr">
        <is>
          <t>FFFF0000</t>
        </is>
      </c>
      <c r="N193" t="inlineStr">
        <is>
          <t>00000000</t>
        </is>
      </c>
      <c r="O193" t="n">
        <v/>
      </c>
      <c r="R193" t="b">
        <v>1</v>
      </c>
      <c r="S193" t="inlineStr">
        <is>
          <t>G000237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Revenue Matrix!K18:O18</t>
        </is>
      </c>
      <c r="X193">
        <f>'Assumptions Sheet'!R[-13]C[0]</f>
        <v/>
      </c>
    </row>
    <row r="194">
      <c r="A194" t="inlineStr">
        <is>
          <t>Revenue Matrix</t>
        </is>
      </c>
      <c r="B194" t="inlineStr">
        <is>
          <t>M18</t>
        </is>
      </c>
      <c r="C194" t="n">
        <v>18</v>
      </c>
      <c r="D194" t="n">
        <v>13</v>
      </c>
      <c r="E194" t="inlineStr">
        <is>
          <t>Output</t>
        </is>
      </c>
      <c r="F194" t="inlineStr">
        <is>
          <t>'='Assumptions Sheet'!M5</t>
        </is>
      </c>
      <c r="G194" t="n">
        <v>0.85</v>
      </c>
      <c r="H194" t="inlineStr"/>
      <c r="I194" t="inlineStr">
        <is>
          <t>0%</t>
        </is>
      </c>
      <c r="J194" t="b">
        <v>0</v>
      </c>
      <c r="K194" t="b">
        <v>0</v>
      </c>
      <c r="L194" t="n">
        <v>11</v>
      </c>
      <c r="M194" t="inlineStr">
        <is>
          <t>FFFF0000</t>
        </is>
      </c>
      <c r="N194" t="inlineStr">
        <is>
          <t>00000000</t>
        </is>
      </c>
      <c r="O194" t="n">
        <v/>
      </c>
      <c r="R194" t="b">
        <v>1</v>
      </c>
      <c r="S194" t="inlineStr">
        <is>
          <t>G000237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Revenue Matrix!K18:O18</t>
        </is>
      </c>
      <c r="X194">
        <f>'Assumptions Sheet'!R[-13]C[0]</f>
        <v/>
      </c>
    </row>
    <row r="195">
      <c r="A195" t="inlineStr">
        <is>
          <t>Revenue Matrix</t>
        </is>
      </c>
      <c r="B195" t="inlineStr">
        <is>
          <t>N18</t>
        </is>
      </c>
      <c r="C195" t="n">
        <v>18</v>
      </c>
      <c r="D195" t="n">
        <v>14</v>
      </c>
      <c r="E195" t="inlineStr">
        <is>
          <t>Output</t>
        </is>
      </c>
      <c r="F195" t="inlineStr">
        <is>
          <t>'='Assumptions Sheet'!N5</t>
        </is>
      </c>
      <c r="G195" t="n">
        <v>0.85</v>
      </c>
      <c r="H195" t="inlineStr"/>
      <c r="I195" t="inlineStr">
        <is>
          <t>0%</t>
        </is>
      </c>
      <c r="J195" t="b">
        <v>0</v>
      </c>
      <c r="K195" t="b">
        <v>0</v>
      </c>
      <c r="L195" t="n">
        <v>11</v>
      </c>
      <c r="M195" t="inlineStr">
        <is>
          <t>FFFF0000</t>
        </is>
      </c>
      <c r="N195" t="inlineStr">
        <is>
          <t>00000000</t>
        </is>
      </c>
      <c r="O195" t="n">
        <v/>
      </c>
      <c r="R195" t="b">
        <v>1</v>
      </c>
      <c r="S195" t="inlineStr">
        <is>
          <t>G000237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Revenue Matrix!K18:O18</t>
        </is>
      </c>
      <c r="X195">
        <f>'Assumptions Sheet'!R[-13]C[0]</f>
        <v/>
      </c>
    </row>
    <row r="196">
      <c r="A196" t="inlineStr">
        <is>
          <t>Revenue Matrix</t>
        </is>
      </c>
      <c r="B196" t="inlineStr">
        <is>
          <t>O18</t>
        </is>
      </c>
      <c r="C196" t="n">
        <v>18</v>
      </c>
      <c r="D196" t="n">
        <v>15</v>
      </c>
      <c r="E196" t="inlineStr">
        <is>
          <t>Output</t>
        </is>
      </c>
      <c r="F196" t="inlineStr">
        <is>
          <t>'='Assumptions Sheet'!O5</t>
        </is>
      </c>
      <c r="G196" t="n">
        <v>0.85</v>
      </c>
      <c r="H196" t="inlineStr"/>
      <c r="I196" t="inlineStr">
        <is>
          <t>0%</t>
        </is>
      </c>
      <c r="J196" t="b">
        <v>0</v>
      </c>
      <c r="K196" t="b">
        <v>0</v>
      </c>
      <c r="L196" t="n">
        <v>11</v>
      </c>
      <c r="M196" t="inlineStr">
        <is>
          <t>FFFF0000</t>
        </is>
      </c>
      <c r="N196" t="inlineStr">
        <is>
          <t>00000000</t>
        </is>
      </c>
      <c r="O196" t="n">
        <v/>
      </c>
      <c r="R196" t="b">
        <v>1</v>
      </c>
      <c r="S196" t="inlineStr">
        <is>
          <t>G000237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Revenue Matrix!K18:O18</t>
        </is>
      </c>
      <c r="X196">
        <f>'Assumptions Sheet'!R[-13]C[0]</f>
        <v/>
      </c>
    </row>
    <row r="197">
      <c r="A197" t="inlineStr">
        <is>
          <t>Revenue Matrix</t>
        </is>
      </c>
      <c r="B197" t="inlineStr">
        <is>
          <t>A19</t>
        </is>
      </c>
      <c r="C197" t="n">
        <v>19</v>
      </c>
      <c r="D197" t="n">
        <v>1</v>
      </c>
      <c r="E197" t="inlineStr">
        <is>
          <t>Input</t>
        </is>
      </c>
      <c r="F197" t="n">
        <v/>
      </c>
      <c r="G197" t="inlineStr">
        <is>
          <t>Yields (Rs)</t>
        </is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Revenue Matrix</t>
        </is>
      </c>
      <c r="B198" t="inlineStr">
        <is>
          <t>D19</t>
        </is>
      </c>
      <c r="C198" t="n">
        <v>19</v>
      </c>
      <c r="D198" t="n">
        <v>4</v>
      </c>
      <c r="E198" t="inlineStr">
        <is>
          <t>Input</t>
        </is>
      </c>
      <c r="F198" t="n">
        <v/>
      </c>
      <c r="G198" t="n">
        <v>3.19</v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Revenue Matrix</t>
        </is>
      </c>
      <c r="B199" t="inlineStr">
        <is>
          <t>E19</t>
        </is>
      </c>
      <c r="C199" t="n">
        <v>19</v>
      </c>
      <c r="D199" t="n">
        <v>5</v>
      </c>
      <c r="E199" t="inlineStr">
        <is>
          <t>Input</t>
        </is>
      </c>
      <c r="F199" t="n">
        <v/>
      </c>
      <c r="G199" t="n">
        <v>3.36</v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Revenue Matrix</t>
        </is>
      </c>
      <c r="B200" t="inlineStr">
        <is>
          <t>F19</t>
        </is>
      </c>
      <c r="C200" t="n">
        <v>19</v>
      </c>
      <c r="D200" t="n">
        <v>6</v>
      </c>
      <c r="E200" t="inlineStr">
        <is>
          <t>Input</t>
        </is>
      </c>
      <c r="F200" t="n">
        <v/>
      </c>
      <c r="G200" t="n">
        <v>4.08</v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Revenue Matrix</t>
        </is>
      </c>
      <c r="B201" t="inlineStr">
        <is>
          <t>G19</t>
        </is>
      </c>
      <c r="C201" t="n">
        <v>19</v>
      </c>
      <c r="D201" t="n">
        <v>7</v>
      </c>
      <c r="E201" t="inlineStr">
        <is>
          <t>Input</t>
        </is>
      </c>
      <c r="F201" t="n">
        <v/>
      </c>
      <c r="G201" t="n">
        <v>4.29</v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Revenue Matrix</t>
        </is>
      </c>
      <c r="B202" t="inlineStr">
        <is>
          <t>H19</t>
        </is>
      </c>
      <c r="C202" t="n">
        <v>19</v>
      </c>
      <c r="D202" t="n">
        <v>8</v>
      </c>
      <c r="E202" t="inlineStr">
        <is>
          <t>Output</t>
        </is>
      </c>
      <c r="F202" t="inlineStr">
        <is>
          <t>'=H7/H17</t>
        </is>
      </c>
      <c r="G202" t="n">
        <v>4.36309649714306</v>
      </c>
      <c r="H202" t="inlineStr"/>
      <c r="I202" t="inlineStr">
        <is>
          <t>0.00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>
        <f>R[-12]C[0]/R[-2]C[0]</f>
        <v/>
      </c>
    </row>
    <row r="203">
      <c r="A203" t="inlineStr">
        <is>
          <t>Revenue Matrix</t>
        </is>
      </c>
      <c r="B203" t="inlineStr">
        <is>
          <t>I19</t>
        </is>
      </c>
      <c r="C203" t="n">
        <v>19</v>
      </c>
      <c r="D203" t="n">
        <v>9</v>
      </c>
      <c r="E203" t="inlineStr">
        <is>
          <t>Input</t>
        </is>
      </c>
      <c r="F203" t="n">
        <v/>
      </c>
      <c r="G203" t="n">
        <v>3.91</v>
      </c>
      <c r="H203" t="inlineStr"/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Revenue Matrix</t>
        </is>
      </c>
      <c r="B204" t="inlineStr">
        <is>
          <t>J19</t>
        </is>
      </c>
      <c r="C204" t="n">
        <v>19</v>
      </c>
      <c r="D204" t="n">
        <v>10</v>
      </c>
      <c r="E204" t="inlineStr">
        <is>
          <t>Input</t>
        </is>
      </c>
      <c r="F204" t="n">
        <v/>
      </c>
      <c r="G204" t="n">
        <v>3.5</v>
      </c>
      <c r="H204" t="inlineStr"/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Revenue Matrix</t>
        </is>
      </c>
      <c r="B205" t="inlineStr">
        <is>
          <t>K19</t>
        </is>
      </c>
      <c r="C205" t="n">
        <v>19</v>
      </c>
      <c r="D205" t="n">
        <v>11</v>
      </c>
      <c r="E205" t="inlineStr">
        <is>
          <t>Output</t>
        </is>
      </c>
      <c r="F205" t="inlineStr">
        <is>
          <t>'='Assumptions Sheet'!K7</t>
        </is>
      </c>
      <c r="G205" t="n">
        <v>3.9</v>
      </c>
      <c r="H205" t="inlineStr"/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FFFF0000</t>
        </is>
      </c>
      <c r="N205" t="inlineStr">
        <is>
          <t>00000000</t>
        </is>
      </c>
      <c r="O205" t="n">
        <v/>
      </c>
      <c r="R205" t="b">
        <v>1</v>
      </c>
      <c r="S205" t="inlineStr">
        <is>
          <t>G000238</t>
        </is>
      </c>
      <c r="T205" t="inlineStr">
        <is>
          <t>Horizontal</t>
        </is>
      </c>
      <c r="U205" t="n">
        <v>5</v>
      </c>
      <c r="V205" t="b">
        <v>1</v>
      </c>
      <c r="W205" t="inlineStr">
        <is>
          <t>Revenue Matrix!K19:O19</t>
        </is>
      </c>
      <c r="X205">
        <f>'Assumptions Sheet'!R[-12]C[0]</f>
        <v/>
      </c>
    </row>
    <row r="206">
      <c r="A206" t="inlineStr">
        <is>
          <t>Revenue Matrix</t>
        </is>
      </c>
      <c r="B206" t="inlineStr">
        <is>
          <t>L19</t>
        </is>
      </c>
      <c r="C206" t="n">
        <v>19</v>
      </c>
      <c r="D206" t="n">
        <v>12</v>
      </c>
      <c r="E206" t="inlineStr">
        <is>
          <t>Output</t>
        </is>
      </c>
      <c r="F206" t="inlineStr">
        <is>
          <t>'='Assumptions Sheet'!L7</t>
        </is>
      </c>
      <c r="G206" t="n">
        <v>3.9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FFFF0000</t>
        </is>
      </c>
      <c r="N206" t="inlineStr">
        <is>
          <t>00000000</t>
        </is>
      </c>
      <c r="O206" t="n">
        <v/>
      </c>
      <c r="R206" t="b">
        <v>1</v>
      </c>
      <c r="S206" t="inlineStr">
        <is>
          <t>G000238</t>
        </is>
      </c>
      <c r="T206" t="inlineStr">
        <is>
          <t>Horizontal</t>
        </is>
      </c>
      <c r="U206" t="n">
        <v>5</v>
      </c>
      <c r="V206" t="b">
        <v>1</v>
      </c>
      <c r="W206" t="inlineStr">
        <is>
          <t>Revenue Matrix!K19:O19</t>
        </is>
      </c>
      <c r="X206">
        <f>'Assumptions Sheet'!R[-12]C[0]</f>
        <v/>
      </c>
    </row>
    <row r="207">
      <c r="A207" t="inlineStr">
        <is>
          <t>Revenue Matrix</t>
        </is>
      </c>
      <c r="B207" t="inlineStr">
        <is>
          <t>M19</t>
        </is>
      </c>
      <c r="C207" t="n">
        <v>19</v>
      </c>
      <c r="D207" t="n">
        <v>13</v>
      </c>
      <c r="E207" t="inlineStr">
        <is>
          <t>Output</t>
        </is>
      </c>
      <c r="F207" t="inlineStr">
        <is>
          <t>'='Assumptions Sheet'!M7</t>
        </is>
      </c>
      <c r="G207" t="n">
        <v>3.9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FFFF0000</t>
        </is>
      </c>
      <c r="N207" t="inlineStr">
        <is>
          <t>00000000</t>
        </is>
      </c>
      <c r="O207" t="n">
        <v/>
      </c>
      <c r="R207" t="b">
        <v>1</v>
      </c>
      <c r="S207" t="inlineStr">
        <is>
          <t>G000238</t>
        </is>
      </c>
      <c r="T207" t="inlineStr">
        <is>
          <t>Horizontal</t>
        </is>
      </c>
      <c r="U207" t="n">
        <v>5</v>
      </c>
      <c r="V207" t="b">
        <v>1</v>
      </c>
      <c r="W207" t="inlineStr">
        <is>
          <t>Revenue Matrix!K19:O19</t>
        </is>
      </c>
      <c r="X207">
        <f>'Assumptions Sheet'!R[-12]C[0]</f>
        <v/>
      </c>
    </row>
    <row r="208">
      <c r="A208" t="inlineStr">
        <is>
          <t>Revenue Matrix</t>
        </is>
      </c>
      <c r="B208" t="inlineStr">
        <is>
          <t>N19</t>
        </is>
      </c>
      <c r="C208" t="n">
        <v>19</v>
      </c>
      <c r="D208" t="n">
        <v>14</v>
      </c>
      <c r="E208" t="inlineStr">
        <is>
          <t>Output</t>
        </is>
      </c>
      <c r="F208" t="inlineStr">
        <is>
          <t>'='Assumptions Sheet'!N7</t>
        </is>
      </c>
      <c r="G208" t="n">
        <v>3.9</v>
      </c>
      <c r="H208" t="inlineStr"/>
      <c r="I208" t="inlineStr">
        <is>
          <t>0.00</t>
        </is>
      </c>
      <c r="J208" t="b">
        <v>0</v>
      </c>
      <c r="K208" t="b">
        <v>0</v>
      </c>
      <c r="L208" t="n">
        <v>11</v>
      </c>
      <c r="M208" t="inlineStr">
        <is>
          <t>FFFF0000</t>
        </is>
      </c>
      <c r="N208" t="inlineStr">
        <is>
          <t>00000000</t>
        </is>
      </c>
      <c r="O208" t="n">
        <v/>
      </c>
      <c r="R208" t="b">
        <v>1</v>
      </c>
      <c r="S208" t="inlineStr">
        <is>
          <t>G000238</t>
        </is>
      </c>
      <c r="T208" t="inlineStr">
        <is>
          <t>Horizontal</t>
        </is>
      </c>
      <c r="U208" t="n">
        <v>5</v>
      </c>
      <c r="V208" t="b">
        <v>1</v>
      </c>
      <c r="W208" t="inlineStr">
        <is>
          <t>Revenue Matrix!K19:O19</t>
        </is>
      </c>
      <c r="X208">
        <f>'Assumptions Sheet'!R[-12]C[0]</f>
        <v/>
      </c>
    </row>
    <row r="209">
      <c r="A209" t="inlineStr">
        <is>
          <t>Revenue Matrix</t>
        </is>
      </c>
      <c r="B209" t="inlineStr">
        <is>
          <t>O19</t>
        </is>
      </c>
      <c r="C209" t="n">
        <v>19</v>
      </c>
      <c r="D209" t="n">
        <v>15</v>
      </c>
      <c r="E209" t="inlineStr">
        <is>
          <t>Output</t>
        </is>
      </c>
      <c r="F209" t="inlineStr">
        <is>
          <t>'='Assumptions Sheet'!O7</t>
        </is>
      </c>
      <c r="G209" t="n">
        <v>3.9</v>
      </c>
      <c r="H209" t="inlineStr"/>
      <c r="I209" t="inlineStr">
        <is>
          <t>0.00</t>
        </is>
      </c>
      <c r="J209" t="b">
        <v>0</v>
      </c>
      <c r="K209" t="b">
        <v>0</v>
      </c>
      <c r="L209" t="n">
        <v>11</v>
      </c>
      <c r="M209" t="inlineStr">
        <is>
          <t>FFFF0000</t>
        </is>
      </c>
      <c r="N209" t="inlineStr">
        <is>
          <t>00000000</t>
        </is>
      </c>
      <c r="O209" t="n">
        <v/>
      </c>
      <c r="R209" t="b">
        <v>1</v>
      </c>
      <c r="S209" t="inlineStr">
        <is>
          <t>G000238</t>
        </is>
      </c>
      <c r="T209" t="inlineStr">
        <is>
          <t>Horizontal</t>
        </is>
      </c>
      <c r="U209" t="n">
        <v>5</v>
      </c>
      <c r="V209" t="b">
        <v>1</v>
      </c>
      <c r="W209" t="inlineStr">
        <is>
          <t>Revenue Matrix!K19:O19</t>
        </is>
      </c>
      <c r="X209">
        <f>'Assumptions Sheet'!R[-12]C[0]</f>
        <v/>
      </c>
    </row>
    <row r="210">
      <c r="A210" t="inlineStr">
        <is>
          <t>Revenue Matrix</t>
        </is>
      </c>
      <c r="B210" t="inlineStr">
        <is>
          <t>Q19</t>
        </is>
      </c>
      <c r="C210" t="n">
        <v>19</v>
      </c>
      <c r="D210" t="n">
        <v>17</v>
      </c>
      <c r="E210" t="inlineStr">
        <is>
          <t>Calculation</t>
        </is>
      </c>
      <c r="F210" t="inlineStr">
        <is>
          <t>'=O20</t>
        </is>
      </c>
      <c r="G210" t="n">
        <v>0</v>
      </c>
      <c r="H210" t="inlineStr"/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>
        <f>R[1]C[-2]</f>
        <v/>
      </c>
    </row>
    <row r="211">
      <c r="A211" t="inlineStr">
        <is>
          <t>Revenue Matrix</t>
        </is>
      </c>
      <c r="B211" t="inlineStr">
        <is>
          <t>R19</t>
        </is>
      </c>
      <c r="C211" t="n">
        <v>19</v>
      </c>
      <c r="D211" t="n">
        <v>18</v>
      </c>
      <c r="E211" t="inlineStr">
        <is>
          <t>Input</t>
        </is>
      </c>
      <c r="F211" t="n">
        <v/>
      </c>
      <c r="G211" t="n">
        <v>85</v>
      </c>
      <c r="H211" t="inlineStr"/>
      <c r="I211" t="inlineStr">
        <is>
          <t>0.00</t>
        </is>
      </c>
      <c r="J211" t="b">
        <v>0</v>
      </c>
      <c r="K211" t="b">
        <v>0</v>
      </c>
      <c r="L211" t="n">
        <v>11</v>
      </c>
      <c r="M211" t="inlineStr">
        <is>
          <t>FFFF0000</t>
        </is>
      </c>
      <c r="N211" t="inlineStr">
        <is>
          <t>00000000</t>
        </is>
      </c>
      <c r="O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Revenue Matrix</t>
        </is>
      </c>
      <c r="B212" t="inlineStr">
        <is>
          <t>Q20</t>
        </is>
      </c>
      <c r="C212" t="n">
        <v>20</v>
      </c>
      <c r="D212" t="n">
        <v>17</v>
      </c>
      <c r="E212" t="inlineStr">
        <is>
          <t>Calculation</t>
        </is>
      </c>
      <c r="F212" t="inlineStr">
        <is>
          <t>'=100%-Q19</t>
        </is>
      </c>
      <c r="G212" t="n">
        <v>1</v>
      </c>
      <c r="H212" t="inlineStr"/>
      <c r="I212" t="inlineStr">
        <is>
          <t>0%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>
        <f>100%-R[-1]C[0]</f>
        <v/>
      </c>
    </row>
    <row r="213">
      <c r="A213" t="inlineStr">
        <is>
          <t>Revenue Matrix</t>
        </is>
      </c>
      <c r="B213" t="inlineStr">
        <is>
          <t>R20</t>
        </is>
      </c>
      <c r="C213" t="n">
        <v>20</v>
      </c>
      <c r="D213" t="n">
        <v>18</v>
      </c>
      <c r="E213" t="inlineStr">
        <is>
          <t>Input</t>
        </is>
      </c>
      <c r="F213" t="n">
        <v/>
      </c>
      <c r="G213" t="n">
        <v>100</v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FFFF0000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Revenue Matrix</t>
        </is>
      </c>
      <c r="B214" t="inlineStr">
        <is>
          <t>A21</t>
        </is>
      </c>
      <c r="C214" t="n">
        <v>21</v>
      </c>
      <c r="D214" t="n">
        <v>1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FFFFFF00</t>
        </is>
      </c>
      <c r="O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Revenue Matrix</t>
        </is>
      </c>
      <c r="B215" t="inlineStr">
        <is>
          <t>D21</t>
        </is>
      </c>
      <c r="C215" t="n">
        <v>21</v>
      </c>
      <c r="D215" t="n">
        <v>4</v>
      </c>
      <c r="E215" t="inlineStr">
        <is>
          <t>Input</t>
        </is>
      </c>
      <c r="F215" t="n">
        <v/>
      </c>
      <c r="H215" t="inlineStr"/>
      <c r="I215" t="inlineStr">
        <is>
          <t>0.0%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Revenue Matrix</t>
        </is>
      </c>
      <c r="B216" t="inlineStr">
        <is>
          <t>E21</t>
        </is>
      </c>
      <c r="C216" t="n">
        <v>21</v>
      </c>
      <c r="D216" t="n">
        <v>5</v>
      </c>
      <c r="E216" t="inlineStr">
        <is>
          <t>Input</t>
        </is>
      </c>
      <c r="F216" t="n">
        <v/>
      </c>
      <c r="H216" t="inlineStr"/>
      <c r="I216" t="inlineStr">
        <is>
          <t>0.0%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Revenue Matrix</t>
        </is>
      </c>
      <c r="B217" t="inlineStr">
        <is>
          <t>F21</t>
        </is>
      </c>
      <c r="C217" t="n">
        <v>21</v>
      </c>
      <c r="D217" t="n">
        <v>6</v>
      </c>
      <c r="E217" t="inlineStr">
        <is>
          <t>Input</t>
        </is>
      </c>
      <c r="F217" t="n">
        <v/>
      </c>
      <c r="H217" t="inlineStr"/>
      <c r="I217" t="inlineStr">
        <is>
          <t>0.0%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Revenue Matrix</t>
        </is>
      </c>
      <c r="B218" t="inlineStr">
        <is>
          <t>G21</t>
        </is>
      </c>
      <c r="C218" t="n">
        <v>21</v>
      </c>
      <c r="D218" t="n">
        <v>7</v>
      </c>
      <c r="E218" t="inlineStr">
        <is>
          <t>Input</t>
        </is>
      </c>
      <c r="F218" t="n">
        <v/>
      </c>
      <c r="H218" t="inlineStr"/>
      <c r="I218" t="inlineStr">
        <is>
          <t>0.0%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Revenue Matrix</t>
        </is>
      </c>
      <c r="B219" t="inlineStr">
        <is>
          <t>H21</t>
        </is>
      </c>
      <c r="C219" t="n">
        <v>21</v>
      </c>
      <c r="D219" t="n">
        <v>8</v>
      </c>
      <c r="E219" t="inlineStr">
        <is>
          <t>Input</t>
        </is>
      </c>
      <c r="F219" t="n">
        <v/>
      </c>
      <c r="H219" t="inlineStr"/>
      <c r="I219" t="inlineStr">
        <is>
          <t>0.0%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Revenue Matrix</t>
        </is>
      </c>
      <c r="B220" t="inlineStr">
        <is>
          <t>I21</t>
        </is>
      </c>
      <c r="C220" t="n">
        <v>21</v>
      </c>
      <c r="D220" t="n">
        <v>9</v>
      </c>
      <c r="E220" t="inlineStr">
        <is>
          <t>Input</t>
        </is>
      </c>
      <c r="F220" t="n">
        <v/>
      </c>
      <c r="H220" t="inlineStr"/>
      <c r="I220" t="inlineStr">
        <is>
          <t>0.0%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Revenue Matrix</t>
        </is>
      </c>
      <c r="B221" t="inlineStr">
        <is>
          <t>J21</t>
        </is>
      </c>
      <c r="C221" t="n">
        <v>21</v>
      </c>
      <c r="D221" t="n">
        <v>10</v>
      </c>
      <c r="E221" t="inlineStr">
        <is>
          <t>Input</t>
        </is>
      </c>
      <c r="F221" t="n">
        <v/>
      </c>
      <c r="H221" t="inlineStr"/>
      <c r="I221" t="inlineStr">
        <is>
          <t>0.0%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Revenue Matrix</t>
        </is>
      </c>
      <c r="B222" t="inlineStr">
        <is>
          <t>K21</t>
        </is>
      </c>
      <c r="C222" t="n">
        <v>21</v>
      </c>
      <c r="D222" t="n">
        <v>11</v>
      </c>
      <c r="E222" t="inlineStr">
        <is>
          <t>Input</t>
        </is>
      </c>
      <c r="F222" t="n">
        <v/>
      </c>
      <c r="H222" t="inlineStr"/>
      <c r="I222" t="inlineStr">
        <is>
          <t>0.0%</t>
        </is>
      </c>
      <c r="J222" t="b">
        <v>0</v>
      </c>
      <c r="K222" t="b">
        <v>0</v>
      </c>
      <c r="L222" t="n">
        <v>11</v>
      </c>
      <c r="M222" t="inlineStr">
        <is>
          <t>FFFF0000</t>
        </is>
      </c>
      <c r="N222" t="inlineStr">
        <is>
          <t>00000000</t>
        </is>
      </c>
      <c r="O222" t="n">
        <v/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Revenue Matrix</t>
        </is>
      </c>
      <c r="B223" t="inlineStr">
        <is>
          <t>L21</t>
        </is>
      </c>
      <c r="C223" t="n">
        <v>21</v>
      </c>
      <c r="D223" t="n">
        <v>12</v>
      </c>
      <c r="E223" t="inlineStr">
        <is>
          <t>Input</t>
        </is>
      </c>
      <c r="F223" t="n">
        <v/>
      </c>
      <c r="H223" t="inlineStr"/>
      <c r="I223" t="inlineStr">
        <is>
          <t>0.0%</t>
        </is>
      </c>
      <c r="J223" t="b">
        <v>0</v>
      </c>
      <c r="K223" t="b">
        <v>0</v>
      </c>
      <c r="L223" t="n">
        <v>11</v>
      </c>
      <c r="M223" t="inlineStr">
        <is>
          <t>FFFF0000</t>
        </is>
      </c>
      <c r="N223" t="inlineStr">
        <is>
          <t>00000000</t>
        </is>
      </c>
      <c r="O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Revenue Matrix</t>
        </is>
      </c>
      <c r="B224" t="inlineStr">
        <is>
          <t>M21</t>
        </is>
      </c>
      <c r="C224" t="n">
        <v>21</v>
      </c>
      <c r="D224" t="n">
        <v>13</v>
      </c>
      <c r="E224" t="inlineStr">
        <is>
          <t>Input</t>
        </is>
      </c>
      <c r="F224" t="n">
        <v/>
      </c>
      <c r="H224" t="inlineStr"/>
      <c r="I224" t="inlineStr">
        <is>
          <t>0.0%</t>
        </is>
      </c>
      <c r="J224" t="b">
        <v>0</v>
      </c>
      <c r="K224" t="b">
        <v>0</v>
      </c>
      <c r="L224" t="n">
        <v>11</v>
      </c>
      <c r="M224" t="inlineStr">
        <is>
          <t>FFFF0000</t>
        </is>
      </c>
      <c r="N224" t="inlineStr">
        <is>
          <t>00000000</t>
        </is>
      </c>
      <c r="O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Revenue Matrix</t>
        </is>
      </c>
      <c r="B225" t="inlineStr">
        <is>
          <t>N21</t>
        </is>
      </c>
      <c r="C225" t="n">
        <v>21</v>
      </c>
      <c r="D225" t="n">
        <v>14</v>
      </c>
      <c r="E225" t="inlineStr">
        <is>
          <t>Input</t>
        </is>
      </c>
      <c r="F225" t="n">
        <v/>
      </c>
      <c r="H225" t="inlineStr"/>
      <c r="I225" t="inlineStr">
        <is>
          <t>0.0%</t>
        </is>
      </c>
      <c r="J225" t="b">
        <v>0</v>
      </c>
      <c r="K225" t="b">
        <v>0</v>
      </c>
      <c r="L225" t="n">
        <v>11</v>
      </c>
      <c r="M225" t="inlineStr">
        <is>
          <t>FFFF0000</t>
        </is>
      </c>
      <c r="N225" t="inlineStr">
        <is>
          <t>00000000</t>
        </is>
      </c>
      <c r="O225" t="n">
        <v/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Revenue Matrix</t>
        </is>
      </c>
      <c r="B226" t="inlineStr">
        <is>
          <t>O21</t>
        </is>
      </c>
      <c r="C226" t="n">
        <v>21</v>
      </c>
      <c r="D226" t="n">
        <v>15</v>
      </c>
      <c r="E226" t="inlineStr">
        <is>
          <t>Input</t>
        </is>
      </c>
      <c r="F226" t="n">
        <v/>
      </c>
      <c r="H226" t="inlineStr"/>
      <c r="I226" t="inlineStr">
        <is>
          <t>0.0%</t>
        </is>
      </c>
      <c r="J226" t="b">
        <v>0</v>
      </c>
      <c r="K226" t="b">
        <v>0</v>
      </c>
      <c r="L226" t="n">
        <v>11</v>
      </c>
      <c r="M226" t="inlineStr">
        <is>
          <t>FFFF0000</t>
        </is>
      </c>
      <c r="N226" t="inlineStr">
        <is>
          <t>00000000</t>
        </is>
      </c>
      <c r="O226" t="n">
        <v/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Revenue Matrix</t>
        </is>
      </c>
      <c r="B227" t="inlineStr">
        <is>
          <t>R21</t>
        </is>
      </c>
      <c r="C227" t="n">
        <v>21</v>
      </c>
      <c r="D227" t="n">
        <v>18</v>
      </c>
      <c r="E227" t="inlineStr">
        <is>
          <t>Output</t>
        </is>
      </c>
      <c r="F227" t="inlineStr">
        <is>
          <t>'=SUMPRODUCT(R19:R20,Q19:Q20)</t>
        </is>
      </c>
      <c r="G227" t="n">
        <v>100</v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>
        <f>SUMPRODUCT(R[-2]C[0]:R[-1]C[0],R[-2]C[-1]:R[-1]C[-1])</f>
        <v/>
      </c>
    </row>
    <row r="228">
      <c r="A228" t="inlineStr">
        <is>
          <t>Revenue Matrix</t>
        </is>
      </c>
      <c r="B228" t="inlineStr">
        <is>
          <t>D23</t>
        </is>
      </c>
      <c r="C228" t="n">
        <v>23</v>
      </c>
      <c r="D228" t="n">
        <v>4</v>
      </c>
      <c r="E228" t="inlineStr">
        <is>
          <t>Input</t>
        </is>
      </c>
      <c r="F228" t="n">
        <v/>
      </c>
      <c r="H228" t="inlineStr"/>
      <c r="I228" t="inlineStr">
        <is>
          <t>#,##0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00000000</t>
        </is>
      </c>
      <c r="O228" t="n">
        <v/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Revenue Matrix</t>
        </is>
      </c>
      <c r="B229" t="inlineStr">
        <is>
          <t>E23</t>
        </is>
      </c>
      <c r="C229" t="n">
        <v>23</v>
      </c>
      <c r="D229" t="n">
        <v>5</v>
      </c>
      <c r="E229" t="inlineStr">
        <is>
          <t>Input</t>
        </is>
      </c>
      <c r="F229" t="n">
        <v/>
      </c>
      <c r="H229" t="inlineStr"/>
      <c r="I229" t="inlineStr">
        <is>
          <t>#,##0</t>
        </is>
      </c>
      <c r="J229" t="b">
        <v>0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00000000</t>
        </is>
      </c>
      <c r="O229" t="n">
        <v/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Revenue Matrix</t>
        </is>
      </c>
      <c r="B230" t="inlineStr">
        <is>
          <t>F23</t>
        </is>
      </c>
      <c r="C230" t="n">
        <v>23</v>
      </c>
      <c r="D230" t="n">
        <v>6</v>
      </c>
      <c r="E230" t="inlineStr">
        <is>
          <t>Input</t>
        </is>
      </c>
      <c r="F230" t="n">
        <v/>
      </c>
      <c r="H230" t="inlineStr"/>
      <c r="I230" t="inlineStr">
        <is>
          <t>#,##0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00000000</t>
        </is>
      </c>
      <c r="O230" t="n">
        <v/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Revenue Matrix</t>
        </is>
      </c>
      <c r="B231" t="inlineStr">
        <is>
          <t>G23</t>
        </is>
      </c>
      <c r="C231" t="n">
        <v>23</v>
      </c>
      <c r="D231" t="n">
        <v>7</v>
      </c>
      <c r="E231" t="inlineStr">
        <is>
          <t>Input</t>
        </is>
      </c>
      <c r="F231" t="n">
        <v/>
      </c>
      <c r="H231" t="inlineStr"/>
      <c r="I231" t="inlineStr">
        <is>
          <t>#,##0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00000000</t>
        </is>
      </c>
      <c r="O231" t="n">
        <v/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Revenue Matrix</t>
        </is>
      </c>
      <c r="B232" t="inlineStr">
        <is>
          <t>H23</t>
        </is>
      </c>
      <c r="C232" t="n">
        <v>23</v>
      </c>
      <c r="D232" t="n">
        <v>8</v>
      </c>
      <c r="E232" t="inlineStr">
        <is>
          <t>Input</t>
        </is>
      </c>
      <c r="F232" t="n">
        <v/>
      </c>
      <c r="H232" t="inlineStr"/>
      <c r="I232" t="inlineStr">
        <is>
          <t>#,##0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00000000</t>
        </is>
      </c>
      <c r="O232" t="n">
        <v/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Revenue Matrix</t>
        </is>
      </c>
      <c r="B233" t="inlineStr">
        <is>
          <t>I23</t>
        </is>
      </c>
      <c r="C233" t="n">
        <v>23</v>
      </c>
      <c r="D233" t="n">
        <v>9</v>
      </c>
      <c r="E233" t="inlineStr">
        <is>
          <t>Input</t>
        </is>
      </c>
      <c r="F233" t="n">
        <v/>
      </c>
      <c r="H233" t="inlineStr"/>
      <c r="I233" t="inlineStr">
        <is>
          <t>#,##0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00000000</t>
        </is>
      </c>
      <c r="O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Revenue Matrix</t>
        </is>
      </c>
      <c r="B234" t="inlineStr">
        <is>
          <t>J23</t>
        </is>
      </c>
      <c r="C234" t="n">
        <v>23</v>
      </c>
      <c r="D234" t="n">
        <v>10</v>
      </c>
      <c r="E234" t="inlineStr">
        <is>
          <t>Input</t>
        </is>
      </c>
      <c r="F234" t="n">
        <v/>
      </c>
      <c r="H234" t="inlineStr"/>
      <c r="I234" t="inlineStr">
        <is>
          <t>#,##0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00000000</t>
        </is>
      </c>
      <c r="O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Revenue Matrix</t>
        </is>
      </c>
      <c r="B235" t="inlineStr">
        <is>
          <t>D24</t>
        </is>
      </c>
      <c r="C235" t="n">
        <v>24</v>
      </c>
      <c r="D235" t="n">
        <v>4</v>
      </c>
      <c r="E235" t="inlineStr">
        <is>
          <t>Input</t>
        </is>
      </c>
      <c r="F235" t="n">
        <v/>
      </c>
      <c r="H235" t="inlineStr"/>
      <c r="I235" t="inlineStr">
        <is>
          <t>#,##0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00000000</t>
        </is>
      </c>
      <c r="O235" t="n">
        <v/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Revenue Matrix</t>
        </is>
      </c>
      <c r="B236" t="inlineStr">
        <is>
          <t>E24</t>
        </is>
      </c>
      <c r="C236" t="n">
        <v>24</v>
      </c>
      <c r="D236" t="n">
        <v>5</v>
      </c>
      <c r="E236" t="inlineStr">
        <is>
          <t>Input</t>
        </is>
      </c>
      <c r="F236" t="n">
        <v/>
      </c>
      <c r="H236" t="inlineStr"/>
      <c r="I236" t="inlineStr">
        <is>
          <t>#,##0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n">
        <v/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Revenue Matrix</t>
        </is>
      </c>
      <c r="B237" t="inlineStr">
        <is>
          <t>F24</t>
        </is>
      </c>
      <c r="C237" t="n">
        <v>24</v>
      </c>
      <c r="D237" t="n">
        <v>6</v>
      </c>
      <c r="E237" t="inlineStr">
        <is>
          <t>Input</t>
        </is>
      </c>
      <c r="F237" t="n">
        <v/>
      </c>
      <c r="H237" t="inlineStr"/>
      <c r="I237" t="inlineStr">
        <is>
          <t>#,##0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n">
        <v/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Revenue Matrix</t>
        </is>
      </c>
      <c r="B238" t="inlineStr">
        <is>
          <t>G24</t>
        </is>
      </c>
      <c r="C238" t="n">
        <v>24</v>
      </c>
      <c r="D238" t="n">
        <v>7</v>
      </c>
      <c r="E238" t="inlineStr">
        <is>
          <t>Input</t>
        </is>
      </c>
      <c r="F238" t="n">
        <v/>
      </c>
      <c r="H238" t="inlineStr"/>
      <c r="I238" t="inlineStr">
        <is>
          <t>#,##0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Revenue Matrix</t>
        </is>
      </c>
      <c r="B239" t="inlineStr">
        <is>
          <t>H24</t>
        </is>
      </c>
      <c r="C239" t="n">
        <v>24</v>
      </c>
      <c r="D239" t="n">
        <v>8</v>
      </c>
      <c r="E239" t="inlineStr">
        <is>
          <t>Input</t>
        </is>
      </c>
      <c r="F239" t="n">
        <v/>
      </c>
      <c r="H239" t="inlineStr"/>
      <c r="I239" t="inlineStr">
        <is>
          <t>#,##0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Revenue Matrix</t>
        </is>
      </c>
      <c r="B240" t="inlineStr">
        <is>
          <t>I24</t>
        </is>
      </c>
      <c r="C240" t="n">
        <v>24</v>
      </c>
      <c r="D240" t="n">
        <v>9</v>
      </c>
      <c r="E240" t="inlineStr">
        <is>
          <t>Input</t>
        </is>
      </c>
      <c r="F240" t="n">
        <v/>
      </c>
      <c r="H240" t="inlineStr"/>
      <c r="I240" t="inlineStr">
        <is>
          <t>#,##0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n">
        <v/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Revenue Matrix</t>
        </is>
      </c>
      <c r="B241" t="inlineStr">
        <is>
          <t>I27</t>
        </is>
      </c>
      <c r="C241" t="n">
        <v>27</v>
      </c>
      <c r="D241" t="n">
        <v>9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inlineStr">
        <is>
          <t>center</t>
        </is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Revenue Matrix</t>
        </is>
      </c>
      <c r="B242" t="inlineStr">
        <is>
          <t>J27</t>
        </is>
      </c>
      <c r="C242" t="n">
        <v>27</v>
      </c>
      <c r="D242" t="n">
        <v>10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inlineStr">
        <is>
          <t>center</t>
        </is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Revenue Matrix</t>
        </is>
      </c>
      <c r="B243" t="inlineStr">
        <is>
          <t>I28</t>
        </is>
      </c>
      <c r="C243" t="n">
        <v>28</v>
      </c>
      <c r="D243" t="n">
        <v>9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inlineStr">
        <is>
          <t>center</t>
        </is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Revenue Matrix</t>
        </is>
      </c>
      <c r="B244" t="inlineStr">
        <is>
          <t>J28</t>
        </is>
      </c>
      <c r="C244" t="n">
        <v>28</v>
      </c>
      <c r="D244" t="n">
        <v>10</v>
      </c>
      <c r="E244" t="inlineStr">
        <is>
          <t>Input</t>
        </is>
      </c>
      <c r="F244" t="n">
        <v/>
      </c>
      <c r="H244" t="inlineStr"/>
      <c r="I244" t="inlineStr">
        <is>
          <t xml:space="preserve">_ * #,##0_ ;_ * \-#,##0_ ;_ * "-"??_ ;_ @_ 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inlineStr">
        <is>
          <t>center</t>
        </is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Revenue Matrix</t>
        </is>
      </c>
      <c r="B245" t="inlineStr">
        <is>
          <t>K28</t>
        </is>
      </c>
      <c r="C245" t="n">
        <v>28</v>
      </c>
      <c r="D245" t="n">
        <v>11</v>
      </c>
      <c r="E245" t="inlineStr">
        <is>
          <t>Input</t>
        </is>
      </c>
      <c r="F245" t="n">
        <v/>
      </c>
      <c r="H245" t="inlineStr"/>
      <c r="I245" t="inlineStr">
        <is>
          <t xml:space="preserve">_ * #,##0_ ;_ * \-#,##0_ ;_ * "-"??_ ;_ @_ 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00000000</t>
        </is>
      </c>
      <c r="O245" t="n">
        <v/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Revenue Matrix</t>
        </is>
      </c>
      <c r="B246" t="inlineStr">
        <is>
          <t>L28</t>
        </is>
      </c>
      <c r="C246" t="n">
        <v>28</v>
      </c>
      <c r="D246" t="n">
        <v>12</v>
      </c>
      <c r="E246" t="inlineStr">
        <is>
          <t>Input</t>
        </is>
      </c>
      <c r="F246" t="n">
        <v/>
      </c>
      <c r="H246" t="inlineStr"/>
      <c r="I246" t="inlineStr">
        <is>
          <t xml:space="preserve">_ * #,##0_ ;_ * \-#,##0_ ;_ * "-"??_ ;_ @_ 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00000000</t>
        </is>
      </c>
      <c r="O246" t="n">
        <v/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Revenue Matrix</t>
        </is>
      </c>
      <c r="B247" t="inlineStr">
        <is>
          <t>I29</t>
        </is>
      </c>
      <c r="C247" t="n">
        <v>29</v>
      </c>
      <c r="D247" t="n">
        <v>9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inlineStr">
        <is>
          <t>center</t>
        </is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Revenue Matrix</t>
        </is>
      </c>
      <c r="B248" t="inlineStr">
        <is>
          <t>J29</t>
        </is>
      </c>
      <c r="C248" t="n">
        <v>29</v>
      </c>
      <c r="D248" t="n">
        <v>10</v>
      </c>
      <c r="E248" t="inlineStr">
        <is>
          <t>Input</t>
        </is>
      </c>
      <c r="F248" t="n">
        <v/>
      </c>
      <c r="H248" t="inlineStr"/>
      <c r="I248" t="inlineStr">
        <is>
          <t xml:space="preserve">_ * #,##0_ ;_ * \-#,##0_ ;_ * "-"??_ ;_ @_ 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inlineStr">
        <is>
          <t>center</t>
        </is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Revenue Matrix</t>
        </is>
      </c>
      <c r="B249" t="inlineStr">
        <is>
          <t>K29</t>
        </is>
      </c>
      <c r="C249" t="n">
        <v>29</v>
      </c>
      <c r="D249" t="n">
        <v>11</v>
      </c>
      <c r="E249" t="inlineStr">
        <is>
          <t>Input</t>
        </is>
      </c>
      <c r="F249" t="n">
        <v/>
      </c>
      <c r="H249" t="inlineStr"/>
      <c r="I249" t="inlineStr">
        <is>
          <t xml:space="preserve">_ * #,##0_ ;_ * \-#,##0_ ;_ * "-"??_ ;_ @_ 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n">
        <v/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Revenue Matrix</t>
        </is>
      </c>
      <c r="B250" t="inlineStr">
        <is>
          <t>L29</t>
        </is>
      </c>
      <c r="C250" t="n">
        <v>29</v>
      </c>
      <c r="D250" t="n">
        <v>12</v>
      </c>
      <c r="E250" t="inlineStr">
        <is>
          <t>Input</t>
        </is>
      </c>
      <c r="F250" t="n">
        <v/>
      </c>
      <c r="H250" t="inlineStr"/>
      <c r="I250" t="inlineStr">
        <is>
          <t xml:space="preserve">_ * #,##0_ ;_ * \-#,##0_ ;_ * "-"??_ ;_ @_ 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00000000</t>
        </is>
      </c>
      <c r="O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Revenue Matrix</t>
        </is>
      </c>
      <c r="B251" t="inlineStr">
        <is>
          <t>I30</t>
        </is>
      </c>
      <c r="C251" t="n">
        <v>30</v>
      </c>
      <c r="D251" t="n">
        <v>9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00000000</t>
        </is>
      </c>
      <c r="O251" t="inlineStr">
        <is>
          <t>center</t>
        </is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Revenue Matrix</t>
        </is>
      </c>
      <c r="B252" t="inlineStr">
        <is>
          <t>J30</t>
        </is>
      </c>
      <c r="C252" t="n">
        <v>30</v>
      </c>
      <c r="D252" t="n">
        <v>10</v>
      </c>
      <c r="E252" t="inlineStr">
        <is>
          <t>Input</t>
        </is>
      </c>
      <c r="F252" t="n">
        <v/>
      </c>
      <c r="H252" t="inlineStr"/>
      <c r="I252" t="inlineStr">
        <is>
          <t xml:space="preserve">_ * #,##0_ ;_ * \-#,##0_ ;_ * "-"??_ ;_ @_ 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00000000</t>
        </is>
      </c>
      <c r="O252" t="inlineStr">
        <is>
          <t>center</t>
        </is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Revenue Matrix</t>
        </is>
      </c>
      <c r="B253" t="inlineStr">
        <is>
          <t>K30</t>
        </is>
      </c>
      <c r="C253" t="n">
        <v>30</v>
      </c>
      <c r="D253" t="n">
        <v>11</v>
      </c>
      <c r="E253" t="inlineStr">
        <is>
          <t>Input</t>
        </is>
      </c>
      <c r="F253" t="n">
        <v/>
      </c>
      <c r="H253" t="inlineStr"/>
      <c r="I253" t="inlineStr">
        <is>
          <t xml:space="preserve">_ * #,##0_ ;_ * \-#,##0_ ;_ * "-"??_ ;_ @_ 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00000000</t>
        </is>
      </c>
      <c r="O253" t="n">
        <v/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Revenue Matrix</t>
        </is>
      </c>
      <c r="B254" t="inlineStr">
        <is>
          <t>L30</t>
        </is>
      </c>
      <c r="C254" t="n">
        <v>30</v>
      </c>
      <c r="D254" t="n">
        <v>12</v>
      </c>
      <c r="E254" t="inlineStr">
        <is>
          <t>Input</t>
        </is>
      </c>
      <c r="F254" t="n">
        <v/>
      </c>
      <c r="H254" t="inlineStr"/>
      <c r="I254" t="inlineStr">
        <is>
          <t xml:space="preserve">_ * #,##0_ ;_ * \-#,##0_ ;_ * "-"??_ ;_ @_ </t>
        </is>
      </c>
      <c r="J254" t="b">
        <v>0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00000000</t>
        </is>
      </c>
      <c r="O254" t="n">
        <v/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Revenue Matrix</t>
        </is>
      </c>
      <c r="B255" t="inlineStr">
        <is>
          <t>I31</t>
        </is>
      </c>
      <c r="C255" t="n">
        <v>31</v>
      </c>
      <c r="D255" t="n">
        <v>9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00000000</t>
        </is>
      </c>
      <c r="O255" t="inlineStr">
        <is>
          <t>center</t>
        </is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Revenue Matrix</t>
        </is>
      </c>
      <c r="B256" t="inlineStr">
        <is>
          <t>J31</t>
        </is>
      </c>
      <c r="C256" t="n">
        <v>31</v>
      </c>
      <c r="D256" t="n">
        <v>10</v>
      </c>
      <c r="E256" t="inlineStr">
        <is>
          <t>Input</t>
        </is>
      </c>
      <c r="F256" t="n">
        <v/>
      </c>
      <c r="H256" t="inlineStr"/>
      <c r="I256" t="inlineStr">
        <is>
          <t xml:space="preserve">_ * #,##0_ ;_ * \-#,##0_ ;_ * "-"??_ ;_ @_ </t>
        </is>
      </c>
      <c r="J256" t="b">
        <v>0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00000000</t>
        </is>
      </c>
      <c r="O256" t="inlineStr">
        <is>
          <t>center</t>
        </is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Revenue Matrix</t>
        </is>
      </c>
      <c r="B257" t="inlineStr">
        <is>
          <t>K31</t>
        </is>
      </c>
      <c r="C257" t="n">
        <v>31</v>
      </c>
      <c r="D257" t="n">
        <v>11</v>
      </c>
      <c r="E257" t="inlineStr">
        <is>
          <t>Input</t>
        </is>
      </c>
      <c r="F257" t="n">
        <v/>
      </c>
      <c r="H257" t="inlineStr"/>
      <c r="I257" t="inlineStr">
        <is>
          <t xml:space="preserve">_ * #,##0_ ;_ * \-#,##0_ ;_ * "-"??_ ;_ @_ 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n">
        <v/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Revenue Matrix</t>
        </is>
      </c>
      <c r="B258" t="inlineStr">
        <is>
          <t>L31</t>
        </is>
      </c>
      <c r="C258" t="n">
        <v>31</v>
      </c>
      <c r="D258" t="n">
        <v>12</v>
      </c>
      <c r="E258" t="inlineStr">
        <is>
          <t>Input</t>
        </is>
      </c>
      <c r="F258" t="n">
        <v/>
      </c>
      <c r="H258" t="inlineStr"/>
      <c r="I258" t="inlineStr">
        <is>
          <t xml:space="preserve">_ * #,##0_ ;_ * \-#,##0_ ;_ * "-"??_ ;_ @_ 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Revenue Matrix</t>
        </is>
      </c>
      <c r="B259" t="inlineStr">
        <is>
          <t>I32</t>
        </is>
      </c>
      <c r="C259" t="n">
        <v>32</v>
      </c>
      <c r="D259" t="n">
        <v>9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inlineStr">
        <is>
          <t>center</t>
        </is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Revenue Matrix</t>
        </is>
      </c>
      <c r="B260" t="inlineStr">
        <is>
          <t>J32</t>
        </is>
      </c>
      <c r="C260" t="n">
        <v>32</v>
      </c>
      <c r="D260" t="n">
        <v>10</v>
      </c>
      <c r="E260" t="inlineStr">
        <is>
          <t>Input</t>
        </is>
      </c>
      <c r="F260" t="n">
        <v/>
      </c>
      <c r="H260" t="inlineStr"/>
      <c r="I260" t="inlineStr">
        <is>
          <t xml:space="preserve">_ * #,##0_ ;_ * \-#,##0_ ;_ * "-"??_ ;_ @_ 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inlineStr">
        <is>
          <t>center</t>
        </is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Revenue Matrix</t>
        </is>
      </c>
      <c r="B261" t="inlineStr">
        <is>
          <t>K32</t>
        </is>
      </c>
      <c r="C261" t="n">
        <v>32</v>
      </c>
      <c r="D261" t="n">
        <v>11</v>
      </c>
      <c r="E261" t="inlineStr">
        <is>
          <t>Input</t>
        </is>
      </c>
      <c r="F261" t="n">
        <v/>
      </c>
      <c r="H261" t="inlineStr"/>
      <c r="I261" t="inlineStr">
        <is>
          <t xml:space="preserve">_ * #,##0_ ;_ * \-#,##0_ ;_ * "-"??_ ;_ @_ 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Revenue Matrix</t>
        </is>
      </c>
      <c r="B262" t="inlineStr">
        <is>
          <t>L32</t>
        </is>
      </c>
      <c r="C262" t="n">
        <v>32</v>
      </c>
      <c r="D262" t="n">
        <v>12</v>
      </c>
      <c r="E262" t="inlineStr">
        <is>
          <t>Input</t>
        </is>
      </c>
      <c r="F262" t="n">
        <v/>
      </c>
      <c r="H262" t="inlineStr"/>
      <c r="I262" t="inlineStr">
        <is>
          <t xml:space="preserve">_ * #,##0_ ;_ * \-#,##0_ ;_ * "-"??_ ;_ @_ 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Revenue Matrix</t>
        </is>
      </c>
      <c r="B263" t="inlineStr">
        <is>
          <t>I33</t>
        </is>
      </c>
      <c r="C263" t="n">
        <v>33</v>
      </c>
      <c r="D263" t="n">
        <v>9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inlineStr">
        <is>
          <t>center</t>
        </is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Revenue Matrix</t>
        </is>
      </c>
      <c r="B264" t="inlineStr">
        <is>
          <t>J33</t>
        </is>
      </c>
      <c r="C264" t="n">
        <v>33</v>
      </c>
      <c r="D264" t="n">
        <v>10</v>
      </c>
      <c r="E264" t="inlineStr">
        <is>
          <t>Input</t>
        </is>
      </c>
      <c r="F264" t="n">
        <v/>
      </c>
      <c r="H264" t="inlineStr"/>
      <c r="I264" t="inlineStr">
        <is>
          <t xml:space="preserve">_ * #,##0_ ;_ * \-#,##0_ ;_ * "-"??_ ;_ @_ 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inlineStr">
        <is>
          <t>center</t>
        </is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Revenue Matrix</t>
        </is>
      </c>
      <c r="B265" t="inlineStr">
        <is>
          <t>K33</t>
        </is>
      </c>
      <c r="C265" t="n">
        <v>33</v>
      </c>
      <c r="D265" t="n">
        <v>11</v>
      </c>
      <c r="E265" t="inlineStr">
        <is>
          <t>Input</t>
        </is>
      </c>
      <c r="F265" t="n">
        <v/>
      </c>
      <c r="H265" t="inlineStr"/>
      <c r="I265" t="inlineStr">
        <is>
          <t xml:space="preserve">_ * #,##0_ ;_ * \-#,##0_ ;_ * "-"??_ ;_ @_ 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Revenue Matrix</t>
        </is>
      </c>
      <c r="B266" t="inlineStr">
        <is>
          <t>L33</t>
        </is>
      </c>
      <c r="C266" t="n">
        <v>33</v>
      </c>
      <c r="D266" t="n">
        <v>12</v>
      </c>
      <c r="E266" t="inlineStr">
        <is>
          <t>Input</t>
        </is>
      </c>
      <c r="F266" t="n">
        <v/>
      </c>
      <c r="H266" t="inlineStr"/>
      <c r="I266" t="inlineStr">
        <is>
          <t xml:space="preserve">_ * #,##0_ ;_ * \-#,##0_ ;_ * "-"??_ ;_ @_ </t>
        </is>
      </c>
      <c r="J266" t="b">
        <v>0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n">
        <v/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Revenue Matrix</t>
        </is>
      </c>
      <c r="B267" t="inlineStr">
        <is>
          <t>I34</t>
        </is>
      </c>
      <c r="C267" t="n">
        <v>34</v>
      </c>
      <c r="D267" t="n">
        <v>9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inlineStr">
        <is>
          <t>center</t>
        </is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Revenue Matrix</t>
        </is>
      </c>
      <c r="B268" t="inlineStr">
        <is>
          <t>J34</t>
        </is>
      </c>
      <c r="C268" t="n">
        <v>34</v>
      </c>
      <c r="D268" t="n">
        <v>10</v>
      </c>
      <c r="E268" t="inlineStr">
        <is>
          <t>Input</t>
        </is>
      </c>
      <c r="F268" t="n">
        <v/>
      </c>
      <c r="H268" t="inlineStr"/>
      <c r="I268" t="inlineStr">
        <is>
          <t xml:space="preserve">_ * #,##0_ ;_ * \-#,##0_ ;_ * "-"??_ ;_ @_ </t>
        </is>
      </c>
      <c r="J268" t="b">
        <v>0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00000000</t>
        </is>
      </c>
      <c r="O268" t="inlineStr">
        <is>
          <t>center</t>
        </is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Revenue Matrix</t>
        </is>
      </c>
      <c r="B269" t="inlineStr">
        <is>
          <t>K34</t>
        </is>
      </c>
      <c r="C269" t="n">
        <v>34</v>
      </c>
      <c r="D269" t="n">
        <v>11</v>
      </c>
      <c r="E269" t="inlineStr">
        <is>
          <t>Input</t>
        </is>
      </c>
      <c r="F269" t="n">
        <v/>
      </c>
      <c r="H269" t="inlineStr"/>
      <c r="I269" t="inlineStr">
        <is>
          <t xml:space="preserve">_ * #,##0_ ;_ * \-#,##0_ ;_ * "-"??_ ;_ @_ </t>
        </is>
      </c>
      <c r="J269" t="b">
        <v>0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n">
        <v/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Revenue Matrix</t>
        </is>
      </c>
      <c r="B270" t="inlineStr">
        <is>
          <t>L34</t>
        </is>
      </c>
      <c r="C270" t="n">
        <v>34</v>
      </c>
      <c r="D270" t="n">
        <v>12</v>
      </c>
      <c r="E270" t="inlineStr">
        <is>
          <t>Input</t>
        </is>
      </c>
      <c r="F270" t="n">
        <v/>
      </c>
      <c r="H270" t="inlineStr"/>
      <c r="I270" t="inlineStr">
        <is>
          <t xml:space="preserve">_ * #,##0_ ;_ * \-#,##0_ ;_ * "-"??_ ;_ @_ 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Revenue Matrix</t>
        </is>
      </c>
      <c r="B271" t="inlineStr">
        <is>
          <t>I35</t>
        </is>
      </c>
      <c r="C271" t="n">
        <v>35</v>
      </c>
      <c r="D271" t="n">
        <v>9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inlineStr">
        <is>
          <t>center</t>
        </is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Revenue Matrix</t>
        </is>
      </c>
      <c r="B272" t="inlineStr">
        <is>
          <t>J35</t>
        </is>
      </c>
      <c r="C272" t="n">
        <v>35</v>
      </c>
      <c r="D272" t="n">
        <v>10</v>
      </c>
      <c r="E272" t="inlineStr">
        <is>
          <t>Input</t>
        </is>
      </c>
      <c r="F272" t="n">
        <v/>
      </c>
      <c r="H272" t="inlineStr"/>
      <c r="I272" t="inlineStr">
        <is>
          <t xml:space="preserve">_ * #,##0_ ;_ * \-#,##0_ ;_ * "-"??_ ;_ @_ 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n">
        <v/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Revenue Matrix</t>
        </is>
      </c>
      <c r="B273" t="inlineStr">
        <is>
          <t>K35</t>
        </is>
      </c>
      <c r="C273" t="n">
        <v>35</v>
      </c>
      <c r="D273" t="n">
        <v>11</v>
      </c>
      <c r="E273" t="inlineStr">
        <is>
          <t>Input</t>
        </is>
      </c>
      <c r="F273" t="n">
        <v/>
      </c>
      <c r="H273" t="inlineStr"/>
      <c r="I273" t="inlineStr">
        <is>
          <t xml:space="preserve">_ * #,##0_ ;_ * \-#,##0_ ;_ * "-"??_ ;_ @_ 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Revenue Matrix</t>
        </is>
      </c>
      <c r="B274" t="inlineStr">
        <is>
          <t>L35</t>
        </is>
      </c>
      <c r="C274" t="n">
        <v>35</v>
      </c>
      <c r="D274" t="n">
        <v>12</v>
      </c>
      <c r="E274" t="inlineStr">
        <is>
          <t>Input</t>
        </is>
      </c>
      <c r="F274" t="n">
        <v/>
      </c>
      <c r="H274" t="inlineStr"/>
      <c r="I274" t="inlineStr">
        <is>
          <t xml:space="preserve">_ * #,##0_ ;_ * \-#,##0_ ;_ * "-"??_ ;_ @_ 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n">
        <v/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Debt schedule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Debt schedule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Debt schedule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Debt schedule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Debt schedule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Debt schedule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Debt schedule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Debt schedule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Debt schedule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Debt schedule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Debt schedule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Debt schedule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Debt schedule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Debt schedule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Debt schedule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Debt schedule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Debt schedule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Debt schedule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Debt schedule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Debt schedule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Debt schedule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Debt schedule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Debt schedule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Debt schedule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Debt schedule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Debt schedule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Debt schedule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Debt schedule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G000239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Debt schedule!E5:O5</t>
        </is>
      </c>
      <c r="X29">
        <f>EOMONTH(R[0]C[-1],12)</f>
        <v/>
      </c>
    </row>
    <row r="30">
      <c r="A30" t="inlineStr">
        <is>
          <t>Debt schedule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G000239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Debt schedule!E5:O5</t>
        </is>
      </c>
      <c r="X30">
        <f>EOMONTH(R[0]C[-1],12)</f>
        <v/>
      </c>
    </row>
    <row r="31">
      <c r="A31" t="inlineStr">
        <is>
          <t>Debt schedule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G000239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Debt schedule!E5:O5</t>
        </is>
      </c>
      <c r="X31">
        <f>EOMONTH(R[0]C[-1],12)</f>
        <v/>
      </c>
    </row>
    <row r="32">
      <c r="A32" t="inlineStr">
        <is>
          <t>Debt schedule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G000239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Debt schedule!E5:O5</t>
        </is>
      </c>
      <c r="X32">
        <f>EOMONTH(R[0]C[-1],12)</f>
        <v/>
      </c>
    </row>
    <row r="33">
      <c r="A33" t="inlineStr">
        <is>
          <t>Debt schedule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G000239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Debt schedule!E5:O5</t>
        </is>
      </c>
      <c r="X33">
        <f>EOMONTH(R[0]C[-1],12)</f>
        <v/>
      </c>
    </row>
    <row r="34">
      <c r="A34" t="inlineStr">
        <is>
          <t>Debt schedule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G000239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Debt schedule!E5:O5</t>
        </is>
      </c>
      <c r="X34">
        <f>EOMONTH(R[0]C[-1],12)</f>
        <v/>
      </c>
    </row>
    <row r="35">
      <c r="A35" t="inlineStr">
        <is>
          <t>Debt schedule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G000239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Debt schedule!E5:O5</t>
        </is>
      </c>
      <c r="X35">
        <f>EOMONTH(R[0]C[-1],12)</f>
        <v/>
      </c>
    </row>
    <row r="36">
      <c r="A36" t="inlineStr">
        <is>
          <t>Debt schedule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G000239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Debt schedule!E5:O5</t>
        </is>
      </c>
      <c r="X36">
        <f>EOMONTH(R[0]C[-1],12)</f>
        <v/>
      </c>
    </row>
    <row r="37">
      <c r="A37" t="inlineStr">
        <is>
          <t>Debt schedule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G000239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Debt schedule!E5:O5</t>
        </is>
      </c>
      <c r="X37">
        <f>EOMONTH(R[0]C[-1],12)</f>
        <v/>
      </c>
    </row>
    <row r="38">
      <c r="A38" t="inlineStr">
        <is>
          <t>Debt schedule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G000239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Debt schedule!E5:O5</t>
        </is>
      </c>
      <c r="X38">
        <f>EOMONTH(R[0]C[-1],12)</f>
        <v/>
      </c>
    </row>
    <row r="39">
      <c r="A39" t="inlineStr">
        <is>
          <t>Debt schedule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G000239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Debt schedule!E5:O5</t>
        </is>
      </c>
      <c r="X39">
        <f>EOMONTH(R[0]C[-1],12)</f>
        <v/>
      </c>
    </row>
    <row r="40">
      <c r="A40" t="inlineStr">
        <is>
          <t>Debt schedule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Debt schedule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Debt schedule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G000240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Debt schedule!D6:O6</t>
        </is>
      </c>
      <c r="X42">
        <f>YEAR(R[-1]C[0])</f>
        <v/>
      </c>
    </row>
    <row r="43">
      <c r="A43" t="inlineStr">
        <is>
          <t>Debt schedule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G000240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Debt schedule!D6:O6</t>
        </is>
      </c>
      <c r="X43">
        <f>YEAR(R[-1]C[0])</f>
        <v/>
      </c>
    </row>
    <row r="44">
      <c r="A44" t="inlineStr">
        <is>
          <t>Debt schedule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G000240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Debt schedule!D6:O6</t>
        </is>
      </c>
      <c r="X44">
        <f>YEAR(R[-1]C[0])</f>
        <v/>
      </c>
    </row>
    <row r="45">
      <c r="A45" t="inlineStr">
        <is>
          <t>Debt schedule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G000240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Debt schedule!D6:O6</t>
        </is>
      </c>
      <c r="X45">
        <f>YEAR(R[-1]C[0])</f>
        <v/>
      </c>
    </row>
    <row r="46">
      <c r="A46" t="inlineStr">
        <is>
          <t>Debt schedule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G000240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Debt schedule!D6:O6</t>
        </is>
      </c>
      <c r="X46">
        <f>YEAR(R[-1]C[0])</f>
        <v/>
      </c>
    </row>
    <row r="47">
      <c r="A47" t="inlineStr">
        <is>
          <t>Debt schedule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G000240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Debt schedule!D6:O6</t>
        </is>
      </c>
      <c r="X47">
        <f>YEAR(R[-1]C[0])</f>
        <v/>
      </c>
    </row>
    <row r="48">
      <c r="A48" t="inlineStr">
        <is>
          <t>Debt schedule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G000240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Debt schedule!D6:O6</t>
        </is>
      </c>
      <c r="X48">
        <f>YEAR(R[-1]C[0])</f>
        <v/>
      </c>
    </row>
    <row r="49">
      <c r="A49" t="inlineStr">
        <is>
          <t>Debt schedule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G000240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Debt schedule!D6:O6</t>
        </is>
      </c>
      <c r="X49">
        <f>YEAR(R[-1]C[0])</f>
        <v/>
      </c>
    </row>
    <row r="50">
      <c r="A50" t="inlineStr">
        <is>
          <t>Debt schedule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G000240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Debt schedule!D6:O6</t>
        </is>
      </c>
      <c r="X50">
        <f>YEAR(R[-1]C[0])</f>
        <v/>
      </c>
    </row>
    <row r="51">
      <c r="A51" t="inlineStr">
        <is>
          <t>Debt schedule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G000240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Debt schedule!D6:O6</t>
        </is>
      </c>
      <c r="X51">
        <f>YEAR(R[-1]C[0])</f>
        <v/>
      </c>
    </row>
    <row r="52">
      <c r="A52" t="inlineStr">
        <is>
          <t>Debt schedule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G000240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Debt schedule!D6:O6</t>
        </is>
      </c>
      <c r="X52">
        <f>YEAR(R[-1]C[0])</f>
        <v/>
      </c>
    </row>
    <row r="53">
      <c r="A53" t="inlineStr">
        <is>
          <t>Debt schedule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G000240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Debt schedule!D6:O6</t>
        </is>
      </c>
      <c r="X53">
        <f>YEAR(R[-1]C[0])</f>
        <v/>
      </c>
    </row>
    <row r="54">
      <c r="A54" t="inlineStr">
        <is>
          <t>Debt schedule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Opening Balance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Debt schedule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Debt schedule</t>
        </is>
      </c>
      <c r="B56" t="inlineStr">
        <is>
          <t>D7</t>
        </is>
      </c>
      <c r="C56" t="n">
        <v>7</v>
      </c>
      <c r="D56" t="n">
        <v>4</v>
      </c>
      <c r="E56" t="inlineStr">
        <is>
          <t>Input</t>
        </is>
      </c>
      <c r="F56" t="n">
        <v/>
      </c>
      <c r="G56" t="n">
        <v>6603</v>
      </c>
      <c r="H56" t="inlineStr"/>
      <c r="I56" t="inlineStr">
        <is>
          <t xml:space="preserve">_ * #,##0_ ;_ * \-#,##0_ ;_ * "-"??_ ;_ @_ </t>
        </is>
      </c>
      <c r="J56" t="b">
        <v>0</v>
      </c>
      <c r="K56" t="b">
        <v>0</v>
      </c>
      <c r="L56" t="n">
        <v>11</v>
      </c>
      <c r="M56" t="inlineStr">
        <is>
          <t>FF0B0280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Debt schedule</t>
        </is>
      </c>
      <c r="B57" t="inlineStr">
        <is>
          <t>E7</t>
        </is>
      </c>
      <c r="C57" t="n">
        <v>7</v>
      </c>
      <c r="D57" t="n">
        <v>5</v>
      </c>
      <c r="E57" t="inlineStr">
        <is>
          <t>Calculation</t>
        </is>
      </c>
      <c r="F57" t="inlineStr">
        <is>
          <t>'=D10</t>
        </is>
      </c>
      <c r="G57" t="n">
        <v>8069.76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FF0B0280</t>
        </is>
      </c>
      <c r="N57" t="inlineStr">
        <is>
          <t>00000000</t>
        </is>
      </c>
      <c r="O57" t="n">
        <v/>
      </c>
      <c r="R57" t="b">
        <v>1</v>
      </c>
      <c r="S57" t="inlineStr">
        <is>
          <t>G000241</t>
        </is>
      </c>
      <c r="T57" t="inlineStr">
        <is>
          <t>Horizontal</t>
        </is>
      </c>
      <c r="U57" t="n">
        <v>11</v>
      </c>
      <c r="V57" t="b">
        <v>1</v>
      </c>
      <c r="W57" t="inlineStr">
        <is>
          <t>Debt schedule!E7:O7</t>
        </is>
      </c>
      <c r="X57">
        <f>R[3]C[-1]</f>
        <v/>
      </c>
    </row>
    <row r="58">
      <c r="A58" t="inlineStr">
        <is>
          <t>Debt schedule</t>
        </is>
      </c>
      <c r="B58" t="inlineStr">
        <is>
          <t>F7</t>
        </is>
      </c>
      <c r="C58" t="n">
        <v>7</v>
      </c>
      <c r="D58" t="n">
        <v>6</v>
      </c>
      <c r="E58" t="inlineStr">
        <is>
          <t>Calculation</t>
        </is>
      </c>
      <c r="F58" t="inlineStr">
        <is>
          <t>'=E10</t>
        </is>
      </c>
      <c r="G58" t="n">
        <v>9055.48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FF0B0280</t>
        </is>
      </c>
      <c r="N58" t="inlineStr">
        <is>
          <t>00000000</t>
        </is>
      </c>
      <c r="O58" t="n">
        <v/>
      </c>
      <c r="R58" t="b">
        <v>1</v>
      </c>
      <c r="S58" t="inlineStr">
        <is>
          <t>G000241</t>
        </is>
      </c>
      <c r="T58" t="inlineStr">
        <is>
          <t>Horizontal</t>
        </is>
      </c>
      <c r="U58" t="n">
        <v>11</v>
      </c>
      <c r="V58" t="b">
        <v>1</v>
      </c>
      <c r="W58" t="inlineStr">
        <is>
          <t>Debt schedule!E7:O7</t>
        </is>
      </c>
      <c r="X58">
        <f>R[3]C[-1]</f>
        <v/>
      </c>
    </row>
    <row r="59">
      <c r="A59" t="inlineStr">
        <is>
          <t>Debt schedule</t>
        </is>
      </c>
      <c r="B59" t="inlineStr">
        <is>
          <t>G7</t>
        </is>
      </c>
      <c r="C59" t="n">
        <v>7</v>
      </c>
      <c r="D59" t="n">
        <v>7</v>
      </c>
      <c r="E59" t="inlineStr">
        <is>
          <t>Calculation</t>
        </is>
      </c>
      <c r="F59" t="inlineStr">
        <is>
          <t>'=F10</t>
        </is>
      </c>
      <c r="G59" t="n">
        <v>16173.32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FF0B0280</t>
        </is>
      </c>
      <c r="N59" t="inlineStr">
        <is>
          <t>00000000</t>
        </is>
      </c>
      <c r="O59" t="n">
        <v/>
      </c>
      <c r="R59" t="b">
        <v>1</v>
      </c>
      <c r="S59" t="inlineStr">
        <is>
          <t>G000241</t>
        </is>
      </c>
      <c r="T59" t="inlineStr">
        <is>
          <t>Horizontal</t>
        </is>
      </c>
      <c r="U59" t="n">
        <v>11</v>
      </c>
      <c r="V59" t="b">
        <v>1</v>
      </c>
      <c r="W59" t="inlineStr">
        <is>
          <t>Debt schedule!E7:O7</t>
        </is>
      </c>
      <c r="X59">
        <f>R[3]C[-1]</f>
        <v/>
      </c>
    </row>
    <row r="60">
      <c r="A60" t="inlineStr">
        <is>
          <t>Debt schedule</t>
        </is>
      </c>
      <c r="B60" t="inlineStr">
        <is>
          <t>H7</t>
        </is>
      </c>
      <c r="C60" t="n">
        <v>7</v>
      </c>
      <c r="D60" t="n">
        <v>8</v>
      </c>
      <c r="E60" t="inlineStr">
        <is>
          <t>Calculation</t>
        </is>
      </c>
      <c r="F60" t="inlineStr">
        <is>
          <t>'=G10</t>
        </is>
      </c>
      <c r="G60" t="n">
        <v>30807.4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inlineStr">
        <is>
          <t>G000241</t>
        </is>
      </c>
      <c r="T60" t="inlineStr">
        <is>
          <t>Horizontal</t>
        </is>
      </c>
      <c r="U60" t="n">
        <v>11</v>
      </c>
      <c r="V60" t="b">
        <v>1</v>
      </c>
      <c r="W60" t="inlineStr">
        <is>
          <t>Debt schedule!E7:O7</t>
        </is>
      </c>
      <c r="X60">
        <f>R[3]C[-1]</f>
        <v/>
      </c>
    </row>
    <row r="61">
      <c r="A61" t="inlineStr">
        <is>
          <t>Debt schedule</t>
        </is>
      </c>
      <c r="B61" t="inlineStr">
        <is>
          <t>I7</t>
        </is>
      </c>
      <c r="C61" t="n">
        <v>7</v>
      </c>
      <c r="D61" t="n">
        <v>9</v>
      </c>
      <c r="E61" t="inlineStr">
        <is>
          <t>Calculation</t>
        </is>
      </c>
      <c r="F61" t="inlineStr">
        <is>
          <t>'=H10</t>
        </is>
      </c>
      <c r="G61" t="n">
        <v>35884.02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inlineStr">
        <is>
          <t>G000241</t>
        </is>
      </c>
      <c r="T61" t="inlineStr">
        <is>
          <t>Horizontal</t>
        </is>
      </c>
      <c r="U61" t="n">
        <v>11</v>
      </c>
      <c r="V61" t="b">
        <v>1</v>
      </c>
      <c r="W61" t="inlineStr">
        <is>
          <t>Debt schedule!E7:O7</t>
        </is>
      </c>
      <c r="X61">
        <f>R[3]C[-1]</f>
        <v/>
      </c>
    </row>
    <row r="62">
      <c r="A62" t="inlineStr">
        <is>
          <t>Debt schedule</t>
        </is>
      </c>
      <c r="B62" t="inlineStr">
        <is>
          <t>J7</t>
        </is>
      </c>
      <c r="C62" t="n">
        <v>7</v>
      </c>
      <c r="D62" t="n">
        <v>10</v>
      </c>
      <c r="E62" t="inlineStr">
        <is>
          <t>Calculation</t>
        </is>
      </c>
      <c r="F62" t="inlineStr">
        <is>
          <t>'=I10</t>
        </is>
      </c>
      <c r="G62" t="n">
        <v>29498.61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FF0B0280</t>
        </is>
      </c>
      <c r="N62" t="inlineStr">
        <is>
          <t>00000000</t>
        </is>
      </c>
      <c r="O62" t="n">
        <v/>
      </c>
      <c r="R62" t="b">
        <v>1</v>
      </c>
      <c r="S62" t="inlineStr">
        <is>
          <t>G000241</t>
        </is>
      </c>
      <c r="T62" t="inlineStr">
        <is>
          <t>Horizontal</t>
        </is>
      </c>
      <c r="U62" t="n">
        <v>11</v>
      </c>
      <c r="V62" t="b">
        <v>1</v>
      </c>
      <c r="W62" t="inlineStr">
        <is>
          <t>Debt schedule!E7:O7</t>
        </is>
      </c>
      <c r="X62">
        <f>R[3]C[-1]</f>
        <v/>
      </c>
    </row>
    <row r="63">
      <c r="A63" t="inlineStr">
        <is>
          <t>Debt schedule</t>
        </is>
      </c>
      <c r="B63" t="inlineStr">
        <is>
          <t>K7</t>
        </is>
      </c>
      <c r="C63" t="n">
        <v>7</v>
      </c>
      <c r="D63" t="n">
        <v>11</v>
      </c>
      <c r="E63" t="inlineStr">
        <is>
          <t>Calculation</t>
        </is>
      </c>
      <c r="F63" t="inlineStr">
        <is>
          <t>'=J10</t>
        </is>
      </c>
      <c r="G63" t="n">
        <v>23957.08</v>
      </c>
      <c r="H63" t="inlineStr"/>
      <c r="I63" t="inlineStr">
        <is>
          <t>#,##0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G000241</t>
        </is>
      </c>
      <c r="T63" t="inlineStr">
        <is>
          <t>Horizontal</t>
        </is>
      </c>
      <c r="U63" t="n">
        <v>11</v>
      </c>
      <c r="V63" t="b">
        <v>1</v>
      </c>
      <c r="W63" t="inlineStr">
        <is>
          <t>Debt schedule!E7:O7</t>
        </is>
      </c>
      <c r="X63">
        <f>R[3]C[-1]</f>
        <v/>
      </c>
    </row>
    <row r="64">
      <c r="A64" t="inlineStr">
        <is>
          <t>Debt schedule</t>
        </is>
      </c>
      <c r="B64" t="inlineStr">
        <is>
          <t>L7</t>
        </is>
      </c>
      <c r="C64" t="n">
        <v>7</v>
      </c>
      <c r="D64" t="n">
        <v>12</v>
      </c>
      <c r="E64" t="inlineStr">
        <is>
          <t>Calculation</t>
        </is>
      </c>
      <c r="F64" t="inlineStr">
        <is>
          <t>'=K10</t>
        </is>
      </c>
      <c r="G64" t="n">
        <v>31580.42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G000241</t>
        </is>
      </c>
      <c r="T64" t="inlineStr">
        <is>
          <t>Horizontal</t>
        </is>
      </c>
      <c r="U64" t="n">
        <v>11</v>
      </c>
      <c r="V64" t="b">
        <v>1</v>
      </c>
      <c r="W64" t="inlineStr">
        <is>
          <t>Debt schedule!E7:O7</t>
        </is>
      </c>
      <c r="X64">
        <f>R[3]C[-1]</f>
        <v/>
      </c>
    </row>
    <row r="65">
      <c r="A65" t="inlineStr">
        <is>
          <t>Debt schedule</t>
        </is>
      </c>
      <c r="B65" t="inlineStr">
        <is>
          <t>M7</t>
        </is>
      </c>
      <c r="C65" t="n">
        <v>7</v>
      </c>
      <c r="D65" t="n">
        <v>13</v>
      </c>
      <c r="E65" t="inlineStr">
        <is>
          <t>Calculation</t>
        </is>
      </c>
      <c r="F65" t="inlineStr">
        <is>
          <t>'=L10</t>
        </is>
      </c>
      <c r="G65" t="n">
        <v>38806.5825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G000241</t>
        </is>
      </c>
      <c r="T65" t="inlineStr">
        <is>
          <t>Horizontal</t>
        </is>
      </c>
      <c r="U65" t="n">
        <v>11</v>
      </c>
      <c r="V65" t="b">
        <v>1</v>
      </c>
      <c r="W65" t="inlineStr">
        <is>
          <t>Debt schedule!E7:O7</t>
        </is>
      </c>
      <c r="X65">
        <f>R[3]C[-1]</f>
        <v/>
      </c>
    </row>
    <row r="66">
      <c r="A66" t="inlineStr">
        <is>
          <t>Debt schedule</t>
        </is>
      </c>
      <c r="B66" t="inlineStr">
        <is>
          <t>N7</t>
        </is>
      </c>
      <c r="C66" t="n">
        <v>7</v>
      </c>
      <c r="D66" t="n">
        <v>14</v>
      </c>
      <c r="E66" t="inlineStr">
        <is>
          <t>Calculation</t>
        </is>
      </c>
      <c r="F66" t="inlineStr">
        <is>
          <t>'=M10</t>
        </is>
      </c>
      <c r="G66" t="n">
        <v>45894.745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G000241</t>
        </is>
      </c>
      <c r="T66" t="inlineStr">
        <is>
          <t>Horizontal</t>
        </is>
      </c>
      <c r="U66" t="n">
        <v>11</v>
      </c>
      <c r="V66" t="b">
        <v>1</v>
      </c>
      <c r="W66" t="inlineStr">
        <is>
          <t>Debt schedule!E7:O7</t>
        </is>
      </c>
      <c r="X66">
        <f>R[3]C[-1]</f>
        <v/>
      </c>
    </row>
    <row r="67">
      <c r="A67" t="inlineStr">
        <is>
          <t>Debt schedule</t>
        </is>
      </c>
      <c r="B67" t="inlineStr">
        <is>
          <t>O7</t>
        </is>
      </c>
      <c r="C67" t="n">
        <v>7</v>
      </c>
      <c r="D67" t="n">
        <v>15</v>
      </c>
      <c r="E67" t="inlineStr">
        <is>
          <t>Calculation</t>
        </is>
      </c>
      <c r="F67" t="inlineStr">
        <is>
          <t>'=N10</t>
        </is>
      </c>
      <c r="G67" t="n">
        <v>52844.90749999999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G000241</t>
        </is>
      </c>
      <c r="T67" t="inlineStr">
        <is>
          <t>Horizontal</t>
        </is>
      </c>
      <c r="U67" t="n">
        <v>11</v>
      </c>
      <c r="V67" t="b">
        <v>1</v>
      </c>
      <c r="W67" t="inlineStr">
        <is>
          <t>Debt schedule!E7:O7</t>
        </is>
      </c>
      <c r="X67">
        <f>R[3]C[-1]</f>
        <v/>
      </c>
    </row>
    <row r="68">
      <c r="A68" t="inlineStr">
        <is>
          <t>Debt schedule</t>
        </is>
      </c>
      <c r="B68" t="inlineStr">
        <is>
          <t>A8</t>
        </is>
      </c>
      <c r="C68" t="n">
        <v>8</v>
      </c>
      <c r="D68" t="n">
        <v>1</v>
      </c>
      <c r="E68" t="inlineStr">
        <is>
          <t>Input</t>
        </is>
      </c>
      <c r="F68" t="n">
        <v/>
      </c>
      <c r="G68" t="inlineStr">
        <is>
          <t>Addition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Debt schedule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FF0B0280</t>
        </is>
      </c>
      <c r="N69" t="inlineStr">
        <is>
          <t>00000000</t>
        </is>
      </c>
      <c r="O69" t="n">
        <v/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Debt schedule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FF0B0280</t>
        </is>
      </c>
      <c r="N70" t="inlineStr">
        <is>
          <t>00000000</t>
        </is>
      </c>
      <c r="O70" t="n">
        <v/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Debt schedule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FF0B0280</t>
        </is>
      </c>
      <c r="N71" t="inlineStr">
        <is>
          <t>00000000</t>
        </is>
      </c>
      <c r="O71" t="n">
        <v/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Debt schedule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FF0B0280</t>
        </is>
      </c>
      <c r="N72" t="inlineStr">
        <is>
          <t>00000000</t>
        </is>
      </c>
      <c r="O72" t="n">
        <v/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Debt schedule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FF0B0280</t>
        </is>
      </c>
      <c r="N73" t="inlineStr">
        <is>
          <t>00000000</t>
        </is>
      </c>
      <c r="O73" t="n">
        <v/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Debt schedule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FF0B0280</t>
        </is>
      </c>
      <c r="N74" t="inlineStr">
        <is>
          <t>00000000</t>
        </is>
      </c>
      <c r="O74" t="n">
        <v/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Debt schedule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FF0B0280</t>
        </is>
      </c>
      <c r="N75" t="inlineStr">
        <is>
          <t>00000000</t>
        </is>
      </c>
      <c r="O75" t="n">
        <v/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Debt schedule</t>
        </is>
      </c>
      <c r="B76" t="inlineStr">
        <is>
          <t>K8</t>
        </is>
      </c>
      <c r="C76" t="n">
        <v>8</v>
      </c>
      <c r="D76" t="n">
        <v>11</v>
      </c>
      <c r="E76" t="inlineStr">
        <is>
          <t>Calculation</t>
        </is>
      </c>
      <c r="F76" t="inlineStr">
        <is>
          <t>'='Asset Schedule '!K9</t>
        </is>
      </c>
      <c r="G76" t="n">
        <v>9828</v>
      </c>
      <c r="H76" t="inlineStr"/>
      <c r="I76" t="inlineStr">
        <is>
          <t>#,##0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G000242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Debt schedule!K8:O8</t>
        </is>
      </c>
      <c r="X76">
        <f>'Asset Schedule '!R[1]C[0]</f>
        <v/>
      </c>
    </row>
    <row r="77">
      <c r="A77" t="inlineStr">
        <is>
          <t>Debt schedule</t>
        </is>
      </c>
      <c r="B77" t="inlineStr">
        <is>
          <t>L8</t>
        </is>
      </c>
      <c r="C77" t="n">
        <v>8</v>
      </c>
      <c r="D77" t="n">
        <v>12</v>
      </c>
      <c r="E77" t="inlineStr">
        <is>
          <t>Calculation</t>
        </is>
      </c>
      <c r="F77" t="inlineStr">
        <is>
          <t>'='Asset Schedule '!L9</t>
        </is>
      </c>
      <c r="G77" t="n">
        <v>10140</v>
      </c>
      <c r="H77" t="inlineStr"/>
      <c r="I77" t="inlineStr">
        <is>
          <t>#,##0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inlineStr">
        <is>
          <t>G000242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Debt schedule!K8:O8</t>
        </is>
      </c>
      <c r="X77">
        <f>'Asset Schedule '!R[1]C[0]</f>
        <v/>
      </c>
    </row>
    <row r="78">
      <c r="A78" t="inlineStr">
        <is>
          <t>Debt schedule</t>
        </is>
      </c>
      <c r="B78" t="inlineStr">
        <is>
          <t>M8</t>
        </is>
      </c>
      <c r="C78" t="n">
        <v>8</v>
      </c>
      <c r="D78" t="n">
        <v>13</v>
      </c>
      <c r="E78" t="inlineStr">
        <is>
          <t>Calculation</t>
        </is>
      </c>
      <c r="F78" t="inlineStr">
        <is>
          <t>'='Asset Schedule '!M9</t>
        </is>
      </c>
      <c r="G78" t="n">
        <v>10452</v>
      </c>
      <c r="H78" t="inlineStr"/>
      <c r="I78" t="inlineStr">
        <is>
          <t>#,##0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G000242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Debt schedule!K8:O8</t>
        </is>
      </c>
      <c r="X78">
        <f>'Asset Schedule '!R[1]C[0]</f>
        <v/>
      </c>
    </row>
    <row r="79">
      <c r="A79" t="inlineStr">
        <is>
          <t>Debt schedule</t>
        </is>
      </c>
      <c r="B79" t="inlineStr">
        <is>
          <t>N8</t>
        </is>
      </c>
      <c r="C79" t="n">
        <v>8</v>
      </c>
      <c r="D79" t="n">
        <v>14</v>
      </c>
      <c r="E79" t="inlineStr">
        <is>
          <t>Calculation</t>
        </is>
      </c>
      <c r="F79" t="inlineStr">
        <is>
          <t>'='Asset Schedule '!N9</t>
        </is>
      </c>
      <c r="G79" t="n">
        <v>10764</v>
      </c>
      <c r="H79" t="inlineStr"/>
      <c r="I79" t="inlineStr">
        <is>
          <t>#,##0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G000242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Debt schedule!K8:O8</t>
        </is>
      </c>
      <c r="X79">
        <f>'Asset Schedule '!R[1]C[0]</f>
        <v/>
      </c>
    </row>
    <row r="80">
      <c r="A80" t="inlineStr">
        <is>
          <t>Debt schedule</t>
        </is>
      </c>
      <c r="B80" t="inlineStr">
        <is>
          <t>O8</t>
        </is>
      </c>
      <c r="C80" t="n">
        <v>8</v>
      </c>
      <c r="D80" t="n">
        <v>15</v>
      </c>
      <c r="E80" t="inlineStr">
        <is>
          <t>Calculation</t>
        </is>
      </c>
      <c r="F80" t="inlineStr">
        <is>
          <t>'='Asset Schedule '!O9</t>
        </is>
      </c>
      <c r="G80" t="n">
        <v>11076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G000242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Debt schedule!K8:O8</t>
        </is>
      </c>
      <c r="X80">
        <f>'Asset Schedule '!R[1]C[0]</f>
        <v/>
      </c>
    </row>
    <row r="81">
      <c r="A81" t="inlineStr">
        <is>
          <t>Debt schedule</t>
        </is>
      </c>
      <c r="B81" t="inlineStr">
        <is>
          <t>A9</t>
        </is>
      </c>
      <c r="C81" t="n">
        <v>9</v>
      </c>
      <c r="D81" t="n">
        <v>1</v>
      </c>
      <c r="E81" t="inlineStr">
        <is>
          <t>Input</t>
        </is>
      </c>
      <c r="F81" t="n">
        <v/>
      </c>
      <c r="G81" t="inlineStr">
        <is>
          <t>Repayment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Debt schedule</t>
        </is>
      </c>
      <c r="B82" t="inlineStr">
        <is>
          <t>D9</t>
        </is>
      </c>
      <c r="C82" t="n">
        <v>9</v>
      </c>
      <c r="D82" t="n">
        <v>4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FF0B0280</t>
        </is>
      </c>
      <c r="N82" t="inlineStr">
        <is>
          <t>00000000</t>
        </is>
      </c>
      <c r="O82" t="n">
        <v/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Debt schedule</t>
        </is>
      </c>
      <c r="B83" t="inlineStr">
        <is>
          <t>E9</t>
        </is>
      </c>
      <c r="C83" t="n">
        <v>9</v>
      </c>
      <c r="D83" t="n">
        <v>5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FF0B0280</t>
        </is>
      </c>
      <c r="N83" t="inlineStr">
        <is>
          <t>00000000</t>
        </is>
      </c>
      <c r="O83" t="n">
        <v/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Debt schedule</t>
        </is>
      </c>
      <c r="B84" t="inlineStr">
        <is>
          <t>F9</t>
        </is>
      </c>
      <c r="C84" t="n">
        <v>9</v>
      </c>
      <c r="D84" t="n">
        <v>6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FF0B0280</t>
        </is>
      </c>
      <c r="N84" t="inlineStr">
        <is>
          <t>00000000</t>
        </is>
      </c>
      <c r="O84" t="n">
        <v/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Debt schedule</t>
        </is>
      </c>
      <c r="B85" t="inlineStr">
        <is>
          <t>G9</t>
        </is>
      </c>
      <c r="C85" t="n">
        <v>9</v>
      </c>
      <c r="D85" t="n">
        <v>7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FF0B0280</t>
        </is>
      </c>
      <c r="N85" t="inlineStr">
        <is>
          <t>00000000</t>
        </is>
      </c>
      <c r="O85" t="n">
        <v/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Debt schedule</t>
        </is>
      </c>
      <c r="B86" t="inlineStr">
        <is>
          <t>H9</t>
        </is>
      </c>
      <c r="C86" t="n">
        <v>9</v>
      </c>
      <c r="D86" t="n">
        <v>8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FF0B0280</t>
        </is>
      </c>
      <c r="N86" t="inlineStr">
        <is>
          <t>00000000</t>
        </is>
      </c>
      <c r="O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Debt schedule</t>
        </is>
      </c>
      <c r="B87" t="inlineStr">
        <is>
          <t>I9</t>
        </is>
      </c>
      <c r="C87" t="n">
        <v>9</v>
      </c>
      <c r="D87" t="n">
        <v>9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FF0B0280</t>
        </is>
      </c>
      <c r="N87" t="inlineStr">
        <is>
          <t>00000000</t>
        </is>
      </c>
      <c r="O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Debt schedule</t>
        </is>
      </c>
      <c r="B88" t="inlineStr">
        <is>
          <t>J9</t>
        </is>
      </c>
      <c r="C88" t="n">
        <v>9</v>
      </c>
      <c r="D88" t="n">
        <v>10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FF0B0280</t>
        </is>
      </c>
      <c r="N88" t="inlineStr">
        <is>
          <t>00000000</t>
        </is>
      </c>
      <c r="O88" t="n">
        <v/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Debt schedule</t>
        </is>
      </c>
      <c r="B89" t="inlineStr">
        <is>
          <t>K9</t>
        </is>
      </c>
      <c r="C89" t="n">
        <v>9</v>
      </c>
      <c r="D89" t="n">
        <v>11</v>
      </c>
      <c r="E89" t="inlineStr">
        <is>
          <t>Calculation</t>
        </is>
      </c>
      <c r="F89" t="inlineStr">
        <is>
          <t>'=-(2004.66+200)</t>
        </is>
      </c>
      <c r="G89" t="n">
        <v>-2204.66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>
        <f>-(2004.66+200)</f>
        <v/>
      </c>
    </row>
    <row r="90">
      <c r="A90" t="inlineStr">
        <is>
          <t>Debt schedule</t>
        </is>
      </c>
      <c r="B90" t="inlineStr">
        <is>
          <t>L9</t>
        </is>
      </c>
      <c r="C90" t="n">
        <v>9</v>
      </c>
      <c r="D90" t="n">
        <v>12</v>
      </c>
      <c r="E90" t="inlineStr">
        <is>
          <t>Calculation</t>
        </is>
      </c>
      <c r="F90" t="inlineStr">
        <is>
          <t>'=-(9055.35/4+450+200)</t>
        </is>
      </c>
      <c r="G90" t="n">
        <v>-2913.8375</v>
      </c>
      <c r="H90" t="inlineStr"/>
      <c r="I90" t="inlineStr">
        <is>
          <t>0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>
        <f>-(9055.35/4+450+200)</f>
        <v/>
      </c>
    </row>
    <row r="91">
      <c r="A91" t="inlineStr">
        <is>
          <t>Debt schedule</t>
        </is>
      </c>
      <c r="B91" t="inlineStr">
        <is>
          <t>M9</t>
        </is>
      </c>
      <c r="C91" t="n">
        <v>9</v>
      </c>
      <c r="D91" t="n">
        <v>13</v>
      </c>
      <c r="E91" t="inlineStr">
        <is>
          <t>Calculation</t>
        </is>
      </c>
      <c r="F91" t="inlineStr">
        <is>
          <t>'=-(9055.35/4+450*2+200)</t>
        </is>
      </c>
      <c r="G91" t="n">
        <v>-3363.8375</v>
      </c>
      <c r="H91" t="inlineStr"/>
      <c r="I91" t="inlineStr">
        <is>
          <t>0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>
        <f>-(9055.35/4+450*2+200)</f>
        <v/>
      </c>
    </row>
    <row r="92">
      <c r="A92" t="inlineStr">
        <is>
          <t>Debt schedule</t>
        </is>
      </c>
      <c r="B92" t="inlineStr">
        <is>
          <t>N9</t>
        </is>
      </c>
      <c r="C92" t="n">
        <v>9</v>
      </c>
      <c r="D92" t="n">
        <v>14</v>
      </c>
      <c r="E92" t="inlineStr">
        <is>
          <t>Calculation</t>
        </is>
      </c>
      <c r="F92" t="inlineStr">
        <is>
          <t>'=-(9055.35/4+450*3+200)</t>
        </is>
      </c>
      <c r="G92" t="n">
        <v>-3813.8375</v>
      </c>
      <c r="H92" t="inlineStr"/>
      <c r="I92" t="inlineStr">
        <is>
          <t>0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>
        <f>-(9055.35/4+450*3+200)</f>
        <v/>
      </c>
    </row>
    <row r="93">
      <c r="A93" t="inlineStr">
        <is>
          <t>Debt schedule</t>
        </is>
      </c>
      <c r="B93" t="inlineStr">
        <is>
          <t>O9</t>
        </is>
      </c>
      <c r="C93" t="n">
        <v>9</v>
      </c>
      <c r="D93" t="n">
        <v>15</v>
      </c>
      <c r="E93" t="inlineStr">
        <is>
          <t>Calculation</t>
        </is>
      </c>
      <c r="F93" t="inlineStr">
        <is>
          <t>'=-(9055.35/4+450*4+200)</t>
        </is>
      </c>
      <c r="G93" t="n">
        <v>-4263.8375</v>
      </c>
      <c r="H93" t="inlineStr"/>
      <c r="I93" t="inlineStr">
        <is>
          <t>0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>
        <f>-(9055.35/4+450*4+200)</f>
        <v/>
      </c>
    </row>
    <row r="94">
      <c r="A94" t="inlineStr">
        <is>
          <t>Debt schedule</t>
        </is>
      </c>
      <c r="B94" t="inlineStr">
        <is>
          <t>A10</t>
        </is>
      </c>
      <c r="C94" t="n">
        <v>10</v>
      </c>
      <c r="D94" t="n">
        <v>1</v>
      </c>
      <c r="E94" t="inlineStr">
        <is>
          <t>Input</t>
        </is>
      </c>
      <c r="F94" t="n">
        <v/>
      </c>
      <c r="G94" t="inlineStr">
        <is>
          <t>Closing Balance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Debt schedule</t>
        </is>
      </c>
      <c r="B95" t="inlineStr">
        <is>
          <t>D10</t>
        </is>
      </c>
      <c r="C95" t="n">
        <v>10</v>
      </c>
      <c r="D95" t="n">
        <v>4</v>
      </c>
      <c r="E95" t="inlineStr">
        <is>
          <t>Input</t>
        </is>
      </c>
      <c r="F95" t="n">
        <v/>
      </c>
      <c r="G95" t="n">
        <v>8069.76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FF0B0280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Debt schedule</t>
        </is>
      </c>
      <c r="B96" t="inlineStr">
        <is>
          <t>E10</t>
        </is>
      </c>
      <c r="C96" t="n">
        <v>10</v>
      </c>
      <c r="D96" t="n">
        <v>5</v>
      </c>
      <c r="E96" t="inlineStr">
        <is>
          <t>Input</t>
        </is>
      </c>
      <c r="F96" t="n">
        <v/>
      </c>
      <c r="G96" t="n">
        <v>9055.48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FF0B0280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Debt schedule</t>
        </is>
      </c>
      <c r="B97" t="inlineStr">
        <is>
          <t>F10</t>
        </is>
      </c>
      <c r="C97" t="n">
        <v>10</v>
      </c>
      <c r="D97" t="n">
        <v>6</v>
      </c>
      <c r="E97" t="inlineStr">
        <is>
          <t>Input</t>
        </is>
      </c>
      <c r="F97" t="n">
        <v/>
      </c>
      <c r="G97" t="n">
        <v>16173.32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FF0B0280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Debt schedule</t>
        </is>
      </c>
      <c r="B98" t="inlineStr">
        <is>
          <t>G10</t>
        </is>
      </c>
      <c r="C98" t="n">
        <v>10</v>
      </c>
      <c r="D98" t="n">
        <v>7</v>
      </c>
      <c r="E98" t="inlineStr">
        <is>
          <t>Input</t>
        </is>
      </c>
      <c r="F98" t="n">
        <v/>
      </c>
      <c r="G98" t="n">
        <v>30807.4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FF0B0280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Debt schedule</t>
        </is>
      </c>
      <c r="B99" t="inlineStr">
        <is>
          <t>H10</t>
        </is>
      </c>
      <c r="C99" t="n">
        <v>10</v>
      </c>
      <c r="D99" t="n">
        <v>8</v>
      </c>
      <c r="E99" t="inlineStr">
        <is>
          <t>Input</t>
        </is>
      </c>
      <c r="F99" t="n">
        <v/>
      </c>
      <c r="G99" t="n">
        <v>35884.02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FF0B0280</t>
        </is>
      </c>
      <c r="N99" t="inlineStr">
        <is>
          <t>00000000</t>
        </is>
      </c>
      <c r="O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Debt schedule</t>
        </is>
      </c>
      <c r="B100" t="inlineStr">
        <is>
          <t>I10</t>
        </is>
      </c>
      <c r="C100" t="n">
        <v>10</v>
      </c>
      <c r="D100" t="n">
        <v>9</v>
      </c>
      <c r="E100" t="inlineStr">
        <is>
          <t>Input</t>
        </is>
      </c>
      <c r="F100" t="n">
        <v/>
      </c>
      <c r="G100" t="n">
        <v>29498.61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FF0B0280</t>
        </is>
      </c>
      <c r="N100" t="inlineStr">
        <is>
          <t>00000000</t>
        </is>
      </c>
      <c r="O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Debt schedule</t>
        </is>
      </c>
      <c r="B101" t="inlineStr">
        <is>
          <t>J10</t>
        </is>
      </c>
      <c r="C101" t="n">
        <v>10</v>
      </c>
      <c r="D101" t="n">
        <v>10</v>
      </c>
      <c r="E101" t="inlineStr">
        <is>
          <t>Input</t>
        </is>
      </c>
      <c r="F101" t="n">
        <v/>
      </c>
      <c r="G101" t="n">
        <v>23957.08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FF0B0280</t>
        </is>
      </c>
      <c r="N101" t="inlineStr">
        <is>
          <t>00000000</t>
        </is>
      </c>
      <c r="O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Debt schedule</t>
        </is>
      </c>
      <c r="B102" t="inlineStr">
        <is>
          <t>K10</t>
        </is>
      </c>
      <c r="C102" t="n">
        <v>10</v>
      </c>
      <c r="D102" t="n">
        <v>11</v>
      </c>
      <c r="E102" t="inlineStr">
        <is>
          <t>Calculation</t>
        </is>
      </c>
      <c r="F102" t="inlineStr">
        <is>
          <t>'=SUM(K7:K9)</t>
        </is>
      </c>
      <c r="G102" t="n">
        <v>31580.42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G000243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Debt schedule!K10:O10</t>
        </is>
      </c>
      <c r="X102">
        <f>SUM(R[-3]C[0]:R[-1]C[0])</f>
        <v/>
      </c>
    </row>
    <row r="103">
      <c r="A103" t="inlineStr">
        <is>
          <t>Debt schedule</t>
        </is>
      </c>
      <c r="B103" t="inlineStr">
        <is>
          <t>L10</t>
        </is>
      </c>
      <c r="C103" t="n">
        <v>10</v>
      </c>
      <c r="D103" t="n">
        <v>12</v>
      </c>
      <c r="E103" t="inlineStr">
        <is>
          <t>Calculation</t>
        </is>
      </c>
      <c r="F103" t="inlineStr">
        <is>
          <t>'=SUM(L7:L9)</t>
        </is>
      </c>
      <c r="G103" t="n">
        <v>38806.5825</v>
      </c>
      <c r="H103" t="inlineStr"/>
      <c r="I103" t="inlineStr">
        <is>
          <t>#,##0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G000243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Debt schedule!K10:O10</t>
        </is>
      </c>
      <c r="X103">
        <f>SUM(R[-3]C[0]:R[-1]C[0])</f>
        <v/>
      </c>
    </row>
    <row r="104">
      <c r="A104" t="inlineStr">
        <is>
          <t>Debt schedule</t>
        </is>
      </c>
      <c r="B104" t="inlineStr">
        <is>
          <t>M10</t>
        </is>
      </c>
      <c r="C104" t="n">
        <v>10</v>
      </c>
      <c r="D104" t="n">
        <v>13</v>
      </c>
      <c r="E104" t="inlineStr">
        <is>
          <t>Calculation</t>
        </is>
      </c>
      <c r="F104" t="inlineStr">
        <is>
          <t>'=SUM(M7:M9)</t>
        </is>
      </c>
      <c r="G104" t="n">
        <v>45894.745</v>
      </c>
      <c r="H104" t="inlineStr"/>
      <c r="I104" t="inlineStr">
        <is>
          <t>#,##0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G000243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Debt schedule!K10:O10</t>
        </is>
      </c>
      <c r="X104">
        <f>SUM(R[-3]C[0]:R[-1]C[0])</f>
        <v/>
      </c>
    </row>
    <row r="105">
      <c r="A105" t="inlineStr">
        <is>
          <t>Debt schedule</t>
        </is>
      </c>
      <c r="B105" t="inlineStr">
        <is>
          <t>N10</t>
        </is>
      </c>
      <c r="C105" t="n">
        <v>10</v>
      </c>
      <c r="D105" t="n">
        <v>14</v>
      </c>
      <c r="E105" t="inlineStr">
        <is>
          <t>Calculation</t>
        </is>
      </c>
      <c r="F105" t="inlineStr">
        <is>
          <t>'=SUM(N7:N9)</t>
        </is>
      </c>
      <c r="G105" t="n">
        <v>52844.90749999999</v>
      </c>
      <c r="H105" t="inlineStr"/>
      <c r="I105" t="inlineStr">
        <is>
          <t>#,##0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1</v>
      </c>
      <c r="S105" t="inlineStr">
        <is>
          <t>G000243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Debt schedule!K10:O10</t>
        </is>
      </c>
      <c r="X105">
        <f>SUM(R[-3]C[0]:R[-1]C[0])</f>
        <v/>
      </c>
    </row>
    <row r="106">
      <c r="A106" t="inlineStr">
        <is>
          <t>Debt schedule</t>
        </is>
      </c>
      <c r="B106" t="inlineStr">
        <is>
          <t>O10</t>
        </is>
      </c>
      <c r="C106" t="n">
        <v>10</v>
      </c>
      <c r="D106" t="n">
        <v>15</v>
      </c>
      <c r="E106" t="inlineStr">
        <is>
          <t>Calculation</t>
        </is>
      </c>
      <c r="F106" t="inlineStr">
        <is>
          <t>'=SUM(O7:O9)</t>
        </is>
      </c>
      <c r="G106" t="n">
        <v>59657.06999999999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G000243</t>
        </is>
      </c>
      <c r="T106" t="inlineStr">
        <is>
          <t>Horizontal</t>
        </is>
      </c>
      <c r="U106" t="n">
        <v>5</v>
      </c>
      <c r="V106" t="b">
        <v>1</v>
      </c>
      <c r="W106" t="inlineStr">
        <is>
          <t>Debt schedule!K10:O10</t>
        </is>
      </c>
      <c r="X106">
        <f>SUM(R[-3]C[0]:R[-1]C[0])</f>
        <v/>
      </c>
    </row>
    <row r="107">
      <c r="A107" t="inlineStr">
        <is>
          <t>Debt schedule</t>
        </is>
      </c>
      <c r="B107" t="inlineStr">
        <is>
          <t>D11</t>
        </is>
      </c>
      <c r="C107" t="n">
        <v>11</v>
      </c>
      <c r="D107" t="n">
        <v>4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FF0B0280</t>
        </is>
      </c>
      <c r="N107" t="inlineStr">
        <is>
          <t>00000000</t>
        </is>
      </c>
      <c r="O107" t="n">
        <v/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Debt schedule</t>
        </is>
      </c>
      <c r="B108" t="inlineStr">
        <is>
          <t>E11</t>
        </is>
      </c>
      <c r="C108" t="n">
        <v>11</v>
      </c>
      <c r="D108" t="n">
        <v>5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FF0B0280</t>
        </is>
      </c>
      <c r="N108" t="inlineStr">
        <is>
          <t>00000000</t>
        </is>
      </c>
      <c r="O108" t="n">
        <v/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Debt schedule</t>
        </is>
      </c>
      <c r="B109" t="inlineStr">
        <is>
          <t>F11</t>
        </is>
      </c>
      <c r="C109" t="n">
        <v>11</v>
      </c>
      <c r="D109" t="n">
        <v>6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FF0B0280</t>
        </is>
      </c>
      <c r="N109" t="inlineStr">
        <is>
          <t>00000000</t>
        </is>
      </c>
      <c r="O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Debt schedule</t>
        </is>
      </c>
      <c r="B110" t="inlineStr">
        <is>
          <t>G11</t>
        </is>
      </c>
      <c r="C110" t="n">
        <v>11</v>
      </c>
      <c r="D110" t="n">
        <v>7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FF0B0280</t>
        </is>
      </c>
      <c r="N110" t="inlineStr">
        <is>
          <t>00000000</t>
        </is>
      </c>
      <c r="O110" t="n">
        <v/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Debt schedule</t>
        </is>
      </c>
      <c r="B111" t="inlineStr">
        <is>
          <t>H11</t>
        </is>
      </c>
      <c r="C111" t="n">
        <v>11</v>
      </c>
      <c r="D111" t="n">
        <v>8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FF0B0280</t>
        </is>
      </c>
      <c r="N111" t="inlineStr">
        <is>
          <t>00000000</t>
        </is>
      </c>
      <c r="O111" t="n">
        <v/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Debt schedule</t>
        </is>
      </c>
      <c r="B112" t="inlineStr">
        <is>
          <t>I11</t>
        </is>
      </c>
      <c r="C112" t="n">
        <v>11</v>
      </c>
      <c r="D112" t="n">
        <v>9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FF0B0280</t>
        </is>
      </c>
      <c r="N112" t="inlineStr">
        <is>
          <t>00000000</t>
        </is>
      </c>
      <c r="O112" t="n">
        <v/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Debt schedule</t>
        </is>
      </c>
      <c r="B113" t="inlineStr">
        <is>
          <t>J11</t>
        </is>
      </c>
      <c r="C113" t="n">
        <v>11</v>
      </c>
      <c r="D113" t="n">
        <v>10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FF0B0280</t>
        </is>
      </c>
      <c r="N113" t="inlineStr">
        <is>
          <t>00000000</t>
        </is>
      </c>
      <c r="O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Debt schedule</t>
        </is>
      </c>
      <c r="B114" t="inlineStr">
        <is>
          <t>A12</t>
        </is>
      </c>
      <c r="C114" t="n">
        <v>12</v>
      </c>
      <c r="D114" t="n">
        <v>1</v>
      </c>
      <c r="E114" t="inlineStr">
        <is>
          <t>Input</t>
        </is>
      </c>
      <c r="F114" t="n">
        <v/>
      </c>
      <c r="G114" t="inlineStr">
        <is>
          <t>Finance cost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Debt schedule</t>
        </is>
      </c>
      <c r="B115" t="inlineStr">
        <is>
          <t>D12</t>
        </is>
      </c>
      <c r="C115" t="n">
        <v>12</v>
      </c>
      <c r="D115" t="n">
        <v>4</v>
      </c>
      <c r="E115" t="inlineStr">
        <is>
          <t>Input</t>
        </is>
      </c>
      <c r="F115" t="n">
        <v/>
      </c>
      <c r="G115" t="n">
        <v>449.91</v>
      </c>
      <c r="H115" t="inlineStr"/>
      <c r="I115" t="inlineStr">
        <is>
          <t xml:space="preserve">_ * #,##0_ ;_ * \-#,##0_ ;_ * "-"??_ ;_ @_ </t>
        </is>
      </c>
      <c r="J115" t="b">
        <v>0</v>
      </c>
      <c r="K115" t="b">
        <v>0</v>
      </c>
      <c r="L115" t="n">
        <v>11</v>
      </c>
      <c r="M115" t="inlineStr">
        <is>
          <t>FF0B0280</t>
        </is>
      </c>
      <c r="N115" t="inlineStr">
        <is>
          <t>00000000</t>
        </is>
      </c>
      <c r="O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Debt schedule</t>
        </is>
      </c>
      <c r="B116" t="inlineStr">
        <is>
          <t>E12</t>
        </is>
      </c>
      <c r="C116" t="n">
        <v>12</v>
      </c>
      <c r="D116" t="n">
        <v>5</v>
      </c>
      <c r="E116" t="inlineStr">
        <is>
          <t>Input</t>
        </is>
      </c>
      <c r="F116" t="n">
        <v/>
      </c>
      <c r="G116" t="n">
        <v>514.27</v>
      </c>
      <c r="H116" t="inlineStr"/>
      <c r="I116" t="inlineStr">
        <is>
          <t xml:space="preserve">_ * #,##0_ ;_ * \-#,##0_ ;_ * "-"??_ ;_ @_ </t>
        </is>
      </c>
      <c r="J116" t="b">
        <v>0</v>
      </c>
      <c r="K116" t="b">
        <v>0</v>
      </c>
      <c r="L116" t="n">
        <v>11</v>
      </c>
      <c r="M116" t="inlineStr">
        <is>
          <t>FF0B0280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Debt schedule</t>
        </is>
      </c>
      <c r="B117" t="inlineStr">
        <is>
          <t>F12</t>
        </is>
      </c>
      <c r="C117" t="n">
        <v>12</v>
      </c>
      <c r="D117" t="n">
        <v>6</v>
      </c>
      <c r="E117" t="inlineStr">
        <is>
          <t>Input</t>
        </is>
      </c>
      <c r="F117" t="n">
        <v/>
      </c>
      <c r="G117" t="n">
        <v>578.01</v>
      </c>
      <c r="H117" t="inlineStr"/>
      <c r="I117" t="inlineStr">
        <is>
          <t xml:space="preserve">_ * #,##0_ ;_ * \-#,##0_ ;_ * "-"??_ ;_ @_ </t>
        </is>
      </c>
      <c r="J117" t="b">
        <v>0</v>
      </c>
      <c r="K117" t="b">
        <v>0</v>
      </c>
      <c r="L117" t="n">
        <v>11</v>
      </c>
      <c r="M117" t="inlineStr">
        <is>
          <t>FF0B0280</t>
        </is>
      </c>
      <c r="N117" t="inlineStr">
        <is>
          <t>00000000</t>
        </is>
      </c>
      <c r="O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Debt schedule</t>
        </is>
      </c>
      <c r="B118" t="inlineStr">
        <is>
          <t>G12</t>
        </is>
      </c>
      <c r="C118" t="n">
        <v>12</v>
      </c>
      <c r="D118" t="n">
        <v>7</v>
      </c>
      <c r="E118" t="inlineStr">
        <is>
          <t>Input</t>
        </is>
      </c>
      <c r="F118" t="n">
        <v/>
      </c>
      <c r="G118" t="n">
        <v>1225.77</v>
      </c>
      <c r="H118" t="inlineStr"/>
      <c r="I118" t="inlineStr">
        <is>
          <t xml:space="preserve">_ * #,##0_ ;_ * \-#,##0_ ;_ * "-"??_ ;_ @_ </t>
        </is>
      </c>
      <c r="J118" t="b">
        <v>0</v>
      </c>
      <c r="K118" t="b">
        <v>0</v>
      </c>
      <c r="L118" t="n">
        <v>11</v>
      </c>
      <c r="M118" t="inlineStr">
        <is>
          <t>FF0B0280</t>
        </is>
      </c>
      <c r="N118" t="inlineStr">
        <is>
          <t>00000000</t>
        </is>
      </c>
      <c r="O118" t="n">
        <v/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Debt schedule</t>
        </is>
      </c>
      <c r="B119" t="inlineStr">
        <is>
          <t>H12</t>
        </is>
      </c>
      <c r="C119" t="n">
        <v>12</v>
      </c>
      <c r="D119" t="n">
        <v>8</v>
      </c>
      <c r="E119" t="inlineStr">
        <is>
          <t>Input</t>
        </is>
      </c>
      <c r="F119" t="n">
        <v/>
      </c>
      <c r="G119" t="n">
        <v>1155.32</v>
      </c>
      <c r="H119" t="inlineStr"/>
      <c r="I119" t="inlineStr">
        <is>
          <t xml:space="preserve">_ * #,##0_ ;_ * \-#,##0_ ;_ * "-"??_ ;_ @_ </t>
        </is>
      </c>
      <c r="J119" t="b">
        <v>0</v>
      </c>
      <c r="K119" t="b">
        <v>0</v>
      </c>
      <c r="L119" t="n">
        <v>11</v>
      </c>
      <c r="M119" t="inlineStr">
        <is>
          <t>FF0B0280</t>
        </is>
      </c>
      <c r="N119" t="inlineStr">
        <is>
          <t>00000000</t>
        </is>
      </c>
      <c r="O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Debt schedule</t>
        </is>
      </c>
      <c r="B120" t="inlineStr">
        <is>
          <t>I12</t>
        </is>
      </c>
      <c r="C120" t="n">
        <v>12</v>
      </c>
      <c r="D120" t="n">
        <v>9</v>
      </c>
      <c r="E120" t="inlineStr">
        <is>
          <t>Input</t>
        </is>
      </c>
      <c r="F120" t="n">
        <v/>
      </c>
      <c r="G120" t="n">
        <v>1348.53</v>
      </c>
      <c r="H120" t="inlineStr"/>
      <c r="I120" t="inlineStr">
        <is>
          <t xml:space="preserve">_ * #,##0_ ;_ * \-#,##0_ ;_ * "-"??_ ;_ @_ </t>
        </is>
      </c>
      <c r="J120" t="b">
        <v>0</v>
      </c>
      <c r="K120" t="b">
        <v>0</v>
      </c>
      <c r="L120" t="n">
        <v>11</v>
      </c>
      <c r="M120" t="inlineStr">
        <is>
          <t>FF0B0280</t>
        </is>
      </c>
      <c r="N120" t="inlineStr">
        <is>
          <t>00000000</t>
        </is>
      </c>
      <c r="O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Debt schedule</t>
        </is>
      </c>
      <c r="B121" t="inlineStr">
        <is>
          <t>J12</t>
        </is>
      </c>
      <c r="C121" t="n">
        <v>12</v>
      </c>
      <c r="D121" t="n">
        <v>10</v>
      </c>
      <c r="E121" t="inlineStr">
        <is>
          <t>Input</t>
        </is>
      </c>
      <c r="F121" t="n">
        <v/>
      </c>
      <c r="G121" t="n">
        <v>1348.53</v>
      </c>
      <c r="H121" t="inlineStr"/>
      <c r="I121" t="inlineStr">
        <is>
          <t xml:space="preserve">_ * #,##0_ ;_ * \-#,##0_ ;_ * "-"??_ ;_ @_ </t>
        </is>
      </c>
      <c r="J121" t="b">
        <v>0</v>
      </c>
      <c r="K121" t="b">
        <v>0</v>
      </c>
      <c r="L121" t="n">
        <v>11</v>
      </c>
      <c r="M121" t="inlineStr">
        <is>
          <t>FF0B0280</t>
        </is>
      </c>
      <c r="N121" t="inlineStr">
        <is>
          <t>00000000</t>
        </is>
      </c>
      <c r="O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Debt schedule</t>
        </is>
      </c>
      <c r="B122" t="inlineStr">
        <is>
          <t>K12</t>
        </is>
      </c>
      <c r="C122" t="n">
        <v>12</v>
      </c>
      <c r="D122" t="n">
        <v>11</v>
      </c>
      <c r="E122" t="inlineStr">
        <is>
          <t>Calculation</t>
        </is>
      </c>
      <c r="F122" t="inlineStr">
        <is>
          <t>'=AVERAGE(K7,K10)*K13</t>
        </is>
      </c>
      <c r="G122" t="n">
        <v>1527.28125</v>
      </c>
      <c r="H122" t="inlineStr"/>
      <c r="I122" t="inlineStr">
        <is>
          <t>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G000244</t>
        </is>
      </c>
      <c r="T122" t="inlineStr">
        <is>
          <t>Horizontal</t>
        </is>
      </c>
      <c r="U122" t="n">
        <v>5</v>
      </c>
      <c r="V122" t="b">
        <v>1</v>
      </c>
      <c r="W122" t="inlineStr">
        <is>
          <t>Debt schedule!K12:O12</t>
        </is>
      </c>
      <c r="X122">
        <f>AVERAGE(R[-5]C[0],R[-2]C[0])*R[1]C[0]</f>
        <v/>
      </c>
    </row>
    <row r="123">
      <c r="A123" t="inlineStr">
        <is>
          <t>Debt schedule</t>
        </is>
      </c>
      <c r="B123" t="inlineStr">
        <is>
          <t>L12</t>
        </is>
      </c>
      <c r="C123" t="n">
        <v>12</v>
      </c>
      <c r="D123" t="n">
        <v>12</v>
      </c>
      <c r="E123" t="inlineStr">
        <is>
          <t>Calculation</t>
        </is>
      </c>
      <c r="F123" t="inlineStr">
        <is>
          <t>'=AVERAGE(L7,L10)*L13</t>
        </is>
      </c>
      <c r="G123" t="n">
        <v>2111.610075</v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1</v>
      </c>
      <c r="S123" t="inlineStr">
        <is>
          <t>G000244</t>
        </is>
      </c>
      <c r="T123" t="inlineStr">
        <is>
          <t>Horizontal</t>
        </is>
      </c>
      <c r="U123" t="n">
        <v>5</v>
      </c>
      <c r="V123" t="b">
        <v>1</v>
      </c>
      <c r="W123" t="inlineStr">
        <is>
          <t>Debt schedule!K12:O12</t>
        </is>
      </c>
      <c r="X123">
        <f>AVERAGE(R[-5]C[0],R[-2]C[0])*R[1]C[0]</f>
        <v/>
      </c>
    </row>
    <row r="124">
      <c r="A124" t="inlineStr">
        <is>
          <t>Debt schedule</t>
        </is>
      </c>
      <c r="B124" t="inlineStr">
        <is>
          <t>M12</t>
        </is>
      </c>
      <c r="C124" t="n">
        <v>12</v>
      </c>
      <c r="D124" t="n">
        <v>13</v>
      </c>
      <c r="E124" t="inlineStr">
        <is>
          <t>Calculation</t>
        </is>
      </c>
      <c r="F124" t="inlineStr">
        <is>
          <t>'=AVERAGE(M7,M10)*M13</t>
        </is>
      </c>
      <c r="G124" t="n">
        <v>2541.039824999999</v>
      </c>
      <c r="H124" t="inlineStr"/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1</v>
      </c>
      <c r="S124" t="inlineStr">
        <is>
          <t>G000244</t>
        </is>
      </c>
      <c r="T124" t="inlineStr">
        <is>
          <t>Horizontal</t>
        </is>
      </c>
      <c r="U124" t="n">
        <v>5</v>
      </c>
      <c r="V124" t="b">
        <v>1</v>
      </c>
      <c r="W124" t="inlineStr">
        <is>
          <t>Debt schedule!K12:O12</t>
        </is>
      </c>
      <c r="X124">
        <f>AVERAGE(R[-5]C[0],R[-2]C[0])*R[1]C[0]</f>
        <v/>
      </c>
    </row>
    <row r="125">
      <c r="A125" t="inlineStr">
        <is>
          <t>Debt schedule</t>
        </is>
      </c>
      <c r="B125" t="inlineStr">
        <is>
          <t>N12</t>
        </is>
      </c>
      <c r="C125" t="n">
        <v>12</v>
      </c>
      <c r="D125" t="n">
        <v>14</v>
      </c>
      <c r="E125" t="inlineStr">
        <is>
          <t>Calculation</t>
        </is>
      </c>
      <c r="F125" t="inlineStr">
        <is>
          <t>'=AVERAGE(N7,N10)*N13</t>
        </is>
      </c>
      <c r="G125" t="n">
        <v>2962.189575</v>
      </c>
      <c r="H125" t="inlineStr"/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00000000</t>
        </is>
      </c>
      <c r="O125" t="n">
        <v/>
      </c>
      <c r="R125" t="b">
        <v>1</v>
      </c>
      <c r="S125" t="inlineStr">
        <is>
          <t>G000244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Debt schedule!K12:O12</t>
        </is>
      </c>
      <c r="X125">
        <f>AVERAGE(R[-5]C[0],R[-2]C[0])*R[1]C[0]</f>
        <v/>
      </c>
    </row>
    <row r="126">
      <c r="A126" t="inlineStr">
        <is>
          <t>Debt schedule</t>
        </is>
      </c>
      <c r="B126" t="inlineStr">
        <is>
          <t>O12</t>
        </is>
      </c>
      <c r="C126" t="n">
        <v>12</v>
      </c>
      <c r="D126" t="n">
        <v>15</v>
      </c>
      <c r="E126" t="inlineStr">
        <is>
          <t>Calculation</t>
        </is>
      </c>
      <c r="F126" t="inlineStr">
        <is>
          <t>'=AVERAGE(O7,O10)*O13</t>
        </is>
      </c>
      <c r="G126" t="n">
        <v>3375.059324999999</v>
      </c>
      <c r="H126" t="inlineStr"/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1</v>
      </c>
      <c r="S126" t="inlineStr">
        <is>
          <t>G000244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Debt schedule!K12:O12</t>
        </is>
      </c>
      <c r="X126">
        <f>AVERAGE(R[-5]C[0],R[-2]C[0])*R[1]C[0]</f>
        <v/>
      </c>
    </row>
    <row r="127">
      <c r="A127" t="inlineStr">
        <is>
          <t>Debt schedule</t>
        </is>
      </c>
      <c r="B127" t="inlineStr">
        <is>
          <t>A13</t>
        </is>
      </c>
      <c r="C127" t="n">
        <v>13</v>
      </c>
      <c r="D127" t="n">
        <v>1</v>
      </c>
      <c r="E127" t="inlineStr">
        <is>
          <t>Input</t>
        </is>
      </c>
      <c r="F127" t="n">
        <v/>
      </c>
      <c r="G127" t="inlineStr">
        <is>
          <t>Interest Rate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Debt schedule</t>
        </is>
      </c>
      <c r="B128" t="inlineStr">
        <is>
          <t>D13</t>
        </is>
      </c>
      <c r="C128" t="n">
        <v>13</v>
      </c>
      <c r="D128" t="n">
        <v>4</v>
      </c>
      <c r="E128" t="inlineStr">
        <is>
          <t>Output</t>
        </is>
      </c>
      <c r="F128" t="inlineStr">
        <is>
          <t>'=D12/AVERAGE(D7,D10)</t>
        </is>
      </c>
      <c r="G128" t="n">
        <v>0.06132588551847096</v>
      </c>
      <c r="H128" t="inlineStr"/>
      <c r="I128" t="inlineStr">
        <is>
          <t>0.0%</t>
        </is>
      </c>
      <c r="J128" t="b">
        <v>0</v>
      </c>
      <c r="K128" t="b">
        <v>0</v>
      </c>
      <c r="L128" t="n">
        <v>11</v>
      </c>
      <c r="M128" t="n">
        <v/>
      </c>
      <c r="N128" t="inlineStr">
        <is>
          <t>00000000</t>
        </is>
      </c>
      <c r="O128" t="n">
        <v/>
      </c>
      <c r="R128" t="b">
        <v>1</v>
      </c>
      <c r="S128" t="inlineStr">
        <is>
          <t>G000245</t>
        </is>
      </c>
      <c r="T128" t="inlineStr">
        <is>
          <t>Horizontal</t>
        </is>
      </c>
      <c r="U128" t="n">
        <v>7</v>
      </c>
      <c r="V128" t="b">
        <v>1</v>
      </c>
      <c r="W128" t="inlineStr">
        <is>
          <t>Debt schedule!D13:J13</t>
        </is>
      </c>
      <c r="X128">
        <f>R[-1]C[0]/AVERAGE(R[-6]C[0],R[-3]C[0])</f>
        <v/>
      </c>
    </row>
    <row r="129">
      <c r="A129" t="inlineStr">
        <is>
          <t>Debt schedule</t>
        </is>
      </c>
      <c r="B129" t="inlineStr">
        <is>
          <t>E13</t>
        </is>
      </c>
      <c r="C129" t="n">
        <v>13</v>
      </c>
      <c r="D129" t="n">
        <v>5</v>
      </c>
      <c r="E129" t="inlineStr">
        <is>
          <t>Output</t>
        </is>
      </c>
      <c r="F129" t="inlineStr">
        <is>
          <t>'=E12/AVERAGE(E7,E10)</t>
        </is>
      </c>
      <c r="G129" t="n">
        <v>0.06005988821178565</v>
      </c>
      <c r="H129" t="inlineStr"/>
      <c r="I129" t="inlineStr">
        <is>
          <t>0.0%</t>
        </is>
      </c>
      <c r="J129" t="b">
        <v>0</v>
      </c>
      <c r="K129" t="b">
        <v>0</v>
      </c>
      <c r="L129" t="n">
        <v>11</v>
      </c>
      <c r="M129" t="n">
        <v/>
      </c>
      <c r="N129" t="inlineStr">
        <is>
          <t>00000000</t>
        </is>
      </c>
      <c r="O129" t="n">
        <v/>
      </c>
      <c r="R129" t="b">
        <v>1</v>
      </c>
      <c r="S129" t="inlineStr">
        <is>
          <t>G000245</t>
        </is>
      </c>
      <c r="T129" t="inlineStr">
        <is>
          <t>Horizontal</t>
        </is>
      </c>
      <c r="U129" t="n">
        <v>7</v>
      </c>
      <c r="V129" t="b">
        <v>1</v>
      </c>
      <c r="W129" t="inlineStr">
        <is>
          <t>Debt schedule!D13:J13</t>
        </is>
      </c>
      <c r="X129">
        <f>R[-1]C[0]/AVERAGE(R[-6]C[0],R[-3]C[0])</f>
        <v/>
      </c>
    </row>
    <row r="130">
      <c r="A130" t="inlineStr">
        <is>
          <t>Debt schedule</t>
        </is>
      </c>
      <c r="B130" t="inlineStr">
        <is>
          <t>F13</t>
        </is>
      </c>
      <c r="C130" t="n">
        <v>13</v>
      </c>
      <c r="D130" t="n">
        <v>6</v>
      </c>
      <c r="E130" t="inlineStr">
        <is>
          <t>Output</t>
        </is>
      </c>
      <c r="F130" t="inlineStr">
        <is>
          <t>'=F12/AVERAGE(F7,F10)</t>
        </is>
      </c>
      <c r="G130" t="n">
        <v>0.04582144216133942</v>
      </c>
      <c r="H130" t="inlineStr"/>
      <c r="I130" t="inlineStr">
        <is>
          <t>0.0%</t>
        </is>
      </c>
      <c r="J130" t="b">
        <v>0</v>
      </c>
      <c r="K130" t="b">
        <v>0</v>
      </c>
      <c r="L130" t="n">
        <v>11</v>
      </c>
      <c r="M130" t="n">
        <v/>
      </c>
      <c r="N130" t="inlineStr">
        <is>
          <t>00000000</t>
        </is>
      </c>
      <c r="O130" t="n">
        <v/>
      </c>
      <c r="R130" t="b">
        <v>1</v>
      </c>
      <c r="S130" t="inlineStr">
        <is>
          <t>G000245</t>
        </is>
      </c>
      <c r="T130" t="inlineStr">
        <is>
          <t>Horizontal</t>
        </is>
      </c>
      <c r="U130" t="n">
        <v>7</v>
      </c>
      <c r="V130" t="b">
        <v>1</v>
      </c>
      <c r="W130" t="inlineStr">
        <is>
          <t>Debt schedule!D13:J13</t>
        </is>
      </c>
      <c r="X130">
        <f>R[-1]C[0]/AVERAGE(R[-6]C[0],R[-3]C[0])</f>
        <v/>
      </c>
    </row>
    <row r="131">
      <c r="A131" t="inlineStr">
        <is>
          <t>Debt schedule</t>
        </is>
      </c>
      <c r="B131" t="inlineStr">
        <is>
          <t>G13</t>
        </is>
      </c>
      <c r="C131" t="n">
        <v>13</v>
      </c>
      <c r="D131" t="n">
        <v>7</v>
      </c>
      <c r="E131" t="inlineStr">
        <is>
          <t>Output</t>
        </is>
      </c>
      <c r="F131" t="inlineStr">
        <is>
          <t>'=G12/AVERAGE(G7,G10)</t>
        </is>
      </c>
      <c r="G131" t="n">
        <v>0.0521818311852181</v>
      </c>
      <c r="H131" t="inlineStr"/>
      <c r="I131" t="inlineStr">
        <is>
          <t>0.0%</t>
        </is>
      </c>
      <c r="J131" t="b">
        <v>0</v>
      </c>
      <c r="K131" t="b">
        <v>0</v>
      </c>
      <c r="L131" t="n">
        <v>11</v>
      </c>
      <c r="M131" t="n">
        <v/>
      </c>
      <c r="N131" t="inlineStr">
        <is>
          <t>00000000</t>
        </is>
      </c>
      <c r="O131" t="n">
        <v/>
      </c>
      <c r="R131" t="b">
        <v>1</v>
      </c>
      <c r="S131" t="inlineStr">
        <is>
          <t>G000245</t>
        </is>
      </c>
      <c r="T131" t="inlineStr">
        <is>
          <t>Horizontal</t>
        </is>
      </c>
      <c r="U131" t="n">
        <v>7</v>
      </c>
      <c r="V131" t="b">
        <v>1</v>
      </c>
      <c r="W131" t="inlineStr">
        <is>
          <t>Debt schedule!D13:J13</t>
        </is>
      </c>
      <c r="X131">
        <f>R[-1]C[0]/AVERAGE(R[-6]C[0],R[-3]C[0])</f>
        <v/>
      </c>
    </row>
    <row r="132">
      <c r="A132" t="inlineStr">
        <is>
          <t>Debt schedule</t>
        </is>
      </c>
      <c r="B132" t="inlineStr">
        <is>
          <t>H13</t>
        </is>
      </c>
      <c r="C132" t="n">
        <v>13</v>
      </c>
      <c r="D132" t="n">
        <v>8</v>
      </c>
      <c r="E132" t="inlineStr">
        <is>
          <t>Output</t>
        </is>
      </c>
      <c r="F132" t="inlineStr">
        <is>
          <t>'=H12/AVERAGE(H7,H10)</t>
        </is>
      </c>
      <c r="G132" t="n">
        <v>0.03464673566704683</v>
      </c>
      <c r="H132" t="inlineStr"/>
      <c r="I132" t="inlineStr">
        <is>
          <t>0.0%</t>
        </is>
      </c>
      <c r="J132" t="b">
        <v>0</v>
      </c>
      <c r="K132" t="b">
        <v>0</v>
      </c>
      <c r="L132" t="n">
        <v>11</v>
      </c>
      <c r="M132" t="n">
        <v/>
      </c>
      <c r="N132" t="inlineStr">
        <is>
          <t>00000000</t>
        </is>
      </c>
      <c r="O132" t="n">
        <v/>
      </c>
      <c r="R132" t="b">
        <v>1</v>
      </c>
      <c r="S132" t="inlineStr">
        <is>
          <t>G000245</t>
        </is>
      </c>
      <c r="T132" t="inlineStr">
        <is>
          <t>Horizontal</t>
        </is>
      </c>
      <c r="U132" t="n">
        <v>7</v>
      </c>
      <c r="V132" t="b">
        <v>1</v>
      </c>
      <c r="W132" t="inlineStr">
        <is>
          <t>Debt schedule!D13:J13</t>
        </is>
      </c>
      <c r="X132">
        <f>R[-1]C[0]/AVERAGE(R[-6]C[0],R[-3]C[0])</f>
        <v/>
      </c>
    </row>
    <row r="133">
      <c r="A133" t="inlineStr">
        <is>
          <t>Debt schedule</t>
        </is>
      </c>
      <c r="B133" t="inlineStr">
        <is>
          <t>I13</t>
        </is>
      </c>
      <c r="C133" t="n">
        <v>13</v>
      </c>
      <c r="D133" t="n">
        <v>9</v>
      </c>
      <c r="E133" t="inlineStr">
        <is>
          <t>Output</t>
        </is>
      </c>
      <c r="F133" t="inlineStr">
        <is>
          <t>'=I12/AVERAGE(I7,I10)</t>
        </is>
      </c>
      <c r="G133" t="n">
        <v>0.04125040549760693</v>
      </c>
      <c r="H133" t="inlineStr"/>
      <c r="I133" t="inlineStr">
        <is>
          <t>0.0%</t>
        </is>
      </c>
      <c r="J133" t="b">
        <v>0</v>
      </c>
      <c r="K133" t="b">
        <v>0</v>
      </c>
      <c r="L133" t="n">
        <v>11</v>
      </c>
      <c r="M133" t="n">
        <v/>
      </c>
      <c r="N133" t="inlineStr">
        <is>
          <t>00000000</t>
        </is>
      </c>
      <c r="O133" t="n">
        <v/>
      </c>
      <c r="R133" t="b">
        <v>1</v>
      </c>
      <c r="S133" t="inlineStr">
        <is>
          <t>G000245</t>
        </is>
      </c>
      <c r="T133" t="inlineStr">
        <is>
          <t>Horizontal</t>
        </is>
      </c>
      <c r="U133" t="n">
        <v>7</v>
      </c>
      <c r="V133" t="b">
        <v>1</v>
      </c>
      <c r="W133" t="inlineStr">
        <is>
          <t>Debt schedule!D13:J13</t>
        </is>
      </c>
      <c r="X133">
        <f>R[-1]C[0]/AVERAGE(R[-6]C[0],R[-3]C[0])</f>
        <v/>
      </c>
    </row>
    <row r="134">
      <c r="A134" t="inlineStr">
        <is>
          <t>Debt schedule</t>
        </is>
      </c>
      <c r="B134" t="inlineStr">
        <is>
          <t>J13</t>
        </is>
      </c>
      <c r="C134" t="n">
        <v>13</v>
      </c>
      <c r="D134" t="n">
        <v>10</v>
      </c>
      <c r="E134" t="inlineStr">
        <is>
          <t>Output</t>
        </is>
      </c>
      <c r="F134" t="inlineStr">
        <is>
          <t>'=J12/AVERAGE(J7,J10)</t>
        </is>
      </c>
      <c r="G134" t="n">
        <v>0.0504541237799007</v>
      </c>
      <c r="H134" t="inlineStr"/>
      <c r="I134" t="inlineStr">
        <is>
          <t>0.0%</t>
        </is>
      </c>
      <c r="J134" t="b">
        <v>0</v>
      </c>
      <c r="K134" t="b">
        <v>0</v>
      </c>
      <c r="L134" t="n">
        <v>11</v>
      </c>
      <c r="M134" t="n">
        <v/>
      </c>
      <c r="N134" t="inlineStr">
        <is>
          <t>00000000</t>
        </is>
      </c>
      <c r="O134" t="n">
        <v/>
      </c>
      <c r="R134" t="b">
        <v>1</v>
      </c>
      <c r="S134" t="inlineStr">
        <is>
          <t>G000245</t>
        </is>
      </c>
      <c r="T134" t="inlineStr">
        <is>
          <t>Horizontal</t>
        </is>
      </c>
      <c r="U134" t="n">
        <v>7</v>
      </c>
      <c r="V134" t="b">
        <v>1</v>
      </c>
      <c r="W134" t="inlineStr">
        <is>
          <t>Debt schedule!D13:J13</t>
        </is>
      </c>
      <c r="X134">
        <f>R[-1]C[0]/AVERAGE(R[-6]C[0],R[-3]C[0])</f>
        <v/>
      </c>
    </row>
    <row r="135">
      <c r="A135" t="inlineStr">
        <is>
          <t>Debt schedule</t>
        </is>
      </c>
      <c r="B135" t="inlineStr">
        <is>
          <t>K13</t>
        </is>
      </c>
      <c r="C135" t="n">
        <v>13</v>
      </c>
      <c r="D135" t="n">
        <v>11</v>
      </c>
      <c r="E135" t="inlineStr">
        <is>
          <t>Input</t>
        </is>
      </c>
      <c r="F135" t="n">
        <v/>
      </c>
      <c r="G135" t="n">
        <v>0.055</v>
      </c>
      <c r="H135" t="inlineStr"/>
      <c r="I135" t="inlineStr">
        <is>
          <t>0.0%</t>
        </is>
      </c>
      <c r="J135" t="b">
        <v>0</v>
      </c>
      <c r="K135" t="b">
        <v>0</v>
      </c>
      <c r="L135" t="n">
        <v>11</v>
      </c>
      <c r="M135" t="inlineStr">
        <is>
          <t>FFFF0000</t>
        </is>
      </c>
      <c r="N135" t="inlineStr">
        <is>
          <t>00000000</t>
        </is>
      </c>
      <c r="O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Debt schedule</t>
        </is>
      </c>
      <c r="B136" t="inlineStr">
        <is>
          <t>L13</t>
        </is>
      </c>
      <c r="C136" t="n">
        <v>13</v>
      </c>
      <c r="D136" t="n">
        <v>12</v>
      </c>
      <c r="E136" t="inlineStr">
        <is>
          <t>Input</t>
        </is>
      </c>
      <c r="F136" t="n">
        <v/>
      </c>
      <c r="G136" t="n">
        <v>0.06</v>
      </c>
      <c r="H136" t="inlineStr"/>
      <c r="I136" t="inlineStr">
        <is>
          <t>0.0%</t>
        </is>
      </c>
      <c r="J136" t="b">
        <v>0</v>
      </c>
      <c r="K136" t="b">
        <v>0</v>
      </c>
      <c r="L136" t="n">
        <v>11</v>
      </c>
      <c r="M136" t="inlineStr">
        <is>
          <t>FFFF0000</t>
        </is>
      </c>
      <c r="N136" t="inlineStr">
        <is>
          <t>00000000</t>
        </is>
      </c>
      <c r="O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Debt schedule</t>
        </is>
      </c>
      <c r="B137" t="inlineStr">
        <is>
          <t>M13</t>
        </is>
      </c>
      <c r="C137" t="n">
        <v>13</v>
      </c>
      <c r="D137" t="n">
        <v>13</v>
      </c>
      <c r="E137" t="inlineStr">
        <is>
          <t>Input</t>
        </is>
      </c>
      <c r="F137" t="n">
        <v/>
      </c>
      <c r="G137" t="n">
        <v>0.06</v>
      </c>
      <c r="H137" t="inlineStr"/>
      <c r="I137" t="inlineStr">
        <is>
          <t>0.0%</t>
        </is>
      </c>
      <c r="J137" t="b">
        <v>0</v>
      </c>
      <c r="K137" t="b">
        <v>0</v>
      </c>
      <c r="L137" t="n">
        <v>11</v>
      </c>
      <c r="M137" t="inlineStr">
        <is>
          <t>FFFF0000</t>
        </is>
      </c>
      <c r="N137" t="inlineStr">
        <is>
          <t>00000000</t>
        </is>
      </c>
      <c r="O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Debt schedule</t>
        </is>
      </c>
      <c r="B138" t="inlineStr">
        <is>
          <t>N13</t>
        </is>
      </c>
      <c r="C138" t="n">
        <v>13</v>
      </c>
      <c r="D138" t="n">
        <v>14</v>
      </c>
      <c r="E138" t="inlineStr">
        <is>
          <t>Input</t>
        </is>
      </c>
      <c r="F138" t="n">
        <v/>
      </c>
      <c r="G138" t="n">
        <v>0.06</v>
      </c>
      <c r="H138" t="inlineStr"/>
      <c r="I138" t="inlineStr">
        <is>
          <t>0.0%</t>
        </is>
      </c>
      <c r="J138" t="b">
        <v>0</v>
      </c>
      <c r="K138" t="b">
        <v>0</v>
      </c>
      <c r="L138" t="n">
        <v>11</v>
      </c>
      <c r="M138" t="inlineStr">
        <is>
          <t>FFFF0000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Debt schedule</t>
        </is>
      </c>
      <c r="B139" t="inlineStr">
        <is>
          <t>O13</t>
        </is>
      </c>
      <c r="C139" t="n">
        <v>13</v>
      </c>
      <c r="D139" t="n">
        <v>15</v>
      </c>
      <c r="E139" t="inlineStr">
        <is>
          <t>Input</t>
        </is>
      </c>
      <c r="F139" t="n">
        <v/>
      </c>
      <c r="G139" t="n">
        <v>0.06</v>
      </c>
      <c r="H139" t="inlineStr"/>
      <c r="I139" t="inlineStr">
        <is>
          <t>0.0%</t>
        </is>
      </c>
      <c r="J139" t="b">
        <v>0</v>
      </c>
      <c r="K139" t="b">
        <v>0</v>
      </c>
      <c r="L139" t="n">
        <v>11</v>
      </c>
      <c r="M139" t="inlineStr">
        <is>
          <t>FFFF0000</t>
        </is>
      </c>
      <c r="N139" t="inlineStr">
        <is>
          <t>00000000</t>
        </is>
      </c>
      <c r="O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Incentive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Incentive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Incentive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Incentive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Incentive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Incentive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Incentive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Incentive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Incentive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Incentive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Incentive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Incentive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Incentive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Incentive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Incentive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Incentive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Incentive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Incentive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Incentive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Incentive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Incentive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Incentive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Incentive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Incentive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Incentive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Incentive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Incentive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Incentive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G000246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Incentive!E5:O5</t>
        </is>
      </c>
      <c r="X29">
        <f>EOMONTH(R[0]C[-1],12)</f>
        <v/>
      </c>
    </row>
    <row r="30">
      <c r="A30" t="inlineStr">
        <is>
          <t>Incentive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G000246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Incentive!E5:O5</t>
        </is>
      </c>
      <c r="X30">
        <f>EOMONTH(R[0]C[-1],12)</f>
        <v/>
      </c>
    </row>
    <row r="31">
      <c r="A31" t="inlineStr">
        <is>
          <t>Incentive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G000246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Incentive!E5:O5</t>
        </is>
      </c>
      <c r="X31">
        <f>EOMONTH(R[0]C[-1],12)</f>
        <v/>
      </c>
    </row>
    <row r="32">
      <c r="A32" t="inlineStr">
        <is>
          <t>Incentive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G000246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Incentive!E5:O5</t>
        </is>
      </c>
      <c r="X32">
        <f>EOMONTH(R[0]C[-1],12)</f>
        <v/>
      </c>
    </row>
    <row r="33">
      <c r="A33" t="inlineStr">
        <is>
          <t>Incentive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G000246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Incentive!E5:O5</t>
        </is>
      </c>
      <c r="X33">
        <f>EOMONTH(R[0]C[-1],12)</f>
        <v/>
      </c>
    </row>
    <row r="34">
      <c r="A34" t="inlineStr">
        <is>
          <t>Incentive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G000246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Incentive!E5:O5</t>
        </is>
      </c>
      <c r="X34">
        <f>EOMONTH(R[0]C[-1],12)</f>
        <v/>
      </c>
    </row>
    <row r="35">
      <c r="A35" t="inlineStr">
        <is>
          <t>Incentive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G000246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Incentive!E5:O5</t>
        </is>
      </c>
      <c r="X35">
        <f>EOMONTH(R[0]C[-1],12)</f>
        <v/>
      </c>
    </row>
    <row r="36">
      <c r="A36" t="inlineStr">
        <is>
          <t>Incentive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G000246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Incentive!E5:O5</t>
        </is>
      </c>
      <c r="X36">
        <f>EOMONTH(R[0]C[-1],12)</f>
        <v/>
      </c>
    </row>
    <row r="37">
      <c r="A37" t="inlineStr">
        <is>
          <t>Incentive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G000246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Incentive!E5:O5</t>
        </is>
      </c>
      <c r="X37">
        <f>EOMONTH(R[0]C[-1],12)</f>
        <v/>
      </c>
    </row>
    <row r="38">
      <c r="A38" t="inlineStr">
        <is>
          <t>Incentive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G000246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Incentive!E5:O5</t>
        </is>
      </c>
      <c r="X38">
        <f>EOMONTH(R[0]C[-1],12)</f>
        <v/>
      </c>
    </row>
    <row r="39">
      <c r="A39" t="inlineStr">
        <is>
          <t>Incentive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G000246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Incentive!E5:O5</t>
        </is>
      </c>
      <c r="X39">
        <f>EOMONTH(R[0]C[-1],12)</f>
        <v/>
      </c>
    </row>
    <row r="40">
      <c r="A40" t="inlineStr">
        <is>
          <t>Incentive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Incentive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Incentive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G000247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Incentive!D6:O6</t>
        </is>
      </c>
      <c r="X42">
        <f>YEAR(R[-1]C[0])</f>
        <v/>
      </c>
    </row>
    <row r="43">
      <c r="A43" t="inlineStr">
        <is>
          <t>Incentive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G000247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Incentive!D6:O6</t>
        </is>
      </c>
      <c r="X43">
        <f>YEAR(R[-1]C[0])</f>
        <v/>
      </c>
    </row>
    <row r="44">
      <c r="A44" t="inlineStr">
        <is>
          <t>Incentive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G000247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Incentive!D6:O6</t>
        </is>
      </c>
      <c r="X44">
        <f>YEAR(R[-1]C[0])</f>
        <v/>
      </c>
    </row>
    <row r="45">
      <c r="A45" t="inlineStr">
        <is>
          <t>Incentive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G000247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Incentive!D6:O6</t>
        </is>
      </c>
      <c r="X45">
        <f>YEAR(R[-1]C[0])</f>
        <v/>
      </c>
    </row>
    <row r="46">
      <c r="A46" t="inlineStr">
        <is>
          <t>Incentive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G000247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Incentive!D6:O6</t>
        </is>
      </c>
      <c r="X46">
        <f>YEAR(R[-1]C[0])</f>
        <v/>
      </c>
    </row>
    <row r="47">
      <c r="A47" t="inlineStr">
        <is>
          <t>Incentive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G000247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Incentive!D6:O6</t>
        </is>
      </c>
      <c r="X47">
        <f>YEAR(R[-1]C[0])</f>
        <v/>
      </c>
    </row>
    <row r="48">
      <c r="A48" t="inlineStr">
        <is>
          <t>Incentive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G000247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Incentive!D6:O6</t>
        </is>
      </c>
      <c r="X48">
        <f>YEAR(R[-1]C[0])</f>
        <v/>
      </c>
    </row>
    <row r="49">
      <c r="A49" t="inlineStr">
        <is>
          <t>Incentive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G000247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Incentive!D6:O6</t>
        </is>
      </c>
      <c r="X49">
        <f>YEAR(R[-1]C[0])</f>
        <v/>
      </c>
    </row>
    <row r="50">
      <c r="A50" t="inlineStr">
        <is>
          <t>Incentive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G000247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Incentive!D6:O6</t>
        </is>
      </c>
      <c r="X50">
        <f>YEAR(R[-1]C[0])</f>
        <v/>
      </c>
    </row>
    <row r="51">
      <c r="A51" t="inlineStr">
        <is>
          <t>Incentive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G000247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Incentive!D6:O6</t>
        </is>
      </c>
      <c r="X51">
        <f>YEAR(R[-1]C[0])</f>
        <v/>
      </c>
    </row>
    <row r="52">
      <c r="A52" t="inlineStr">
        <is>
          <t>Incentive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G000247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Incentive!D6:O6</t>
        </is>
      </c>
      <c r="X52">
        <f>YEAR(R[-1]C[0])</f>
        <v/>
      </c>
    </row>
    <row r="53">
      <c r="A53" t="inlineStr">
        <is>
          <t>Incentive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G000247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Incentive!D6:O6</t>
        </is>
      </c>
      <c r="X53">
        <f>YEAR(R[-1]C[0])</f>
        <v/>
      </c>
    </row>
    <row r="54">
      <c r="A54" t="inlineStr">
        <is>
          <t>Incentive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Long-term deferred incentives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Incentive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Incentive</t>
        </is>
      </c>
      <c r="B56" t="inlineStr">
        <is>
          <t>D7</t>
        </is>
      </c>
      <c r="C56" t="n">
        <v>7</v>
      </c>
      <c r="D56" t="n">
        <v>4</v>
      </c>
      <c r="E56" t="inlineStr">
        <is>
          <t>Input</t>
        </is>
      </c>
      <c r="F56" t="n">
        <v/>
      </c>
      <c r="G56" t="n">
        <v>4678.16</v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FF0B0280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Incentive</t>
        </is>
      </c>
      <c r="B57" t="inlineStr">
        <is>
          <t>E7</t>
        </is>
      </c>
      <c r="C57" t="n">
        <v>7</v>
      </c>
      <c r="D57" t="n">
        <v>5</v>
      </c>
      <c r="E57" t="inlineStr">
        <is>
          <t>Input</t>
        </is>
      </c>
      <c r="F57" t="n">
        <v/>
      </c>
      <c r="G57" t="n">
        <v>8748.389999999999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FF0B0280</t>
        </is>
      </c>
      <c r="N57" t="inlineStr">
        <is>
          <t>00000000</t>
        </is>
      </c>
      <c r="O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Incentive</t>
        </is>
      </c>
      <c r="B58" t="inlineStr">
        <is>
          <t>F7</t>
        </is>
      </c>
      <c r="C58" t="n">
        <v>7</v>
      </c>
      <c r="D58" t="n">
        <v>6</v>
      </c>
      <c r="E58" t="inlineStr">
        <is>
          <t>Input</t>
        </is>
      </c>
      <c r="F58" t="n">
        <v/>
      </c>
      <c r="G58" t="n">
        <v>11677.54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FF0B0280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Incentive</t>
        </is>
      </c>
      <c r="B59" t="inlineStr">
        <is>
          <t>G7</t>
        </is>
      </c>
      <c r="C59" t="n">
        <v>7</v>
      </c>
      <c r="D59" t="n">
        <v>7</v>
      </c>
      <c r="E59" t="inlineStr">
        <is>
          <t>Input</t>
        </is>
      </c>
      <c r="F59" t="n">
        <v/>
      </c>
      <c r="G59" t="n">
        <v>13654.32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FF0B0280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Incentive</t>
        </is>
      </c>
      <c r="B60" t="inlineStr">
        <is>
          <t>H7</t>
        </is>
      </c>
      <c r="C60" t="n">
        <v>7</v>
      </c>
      <c r="D60" t="n">
        <v>8</v>
      </c>
      <c r="E60" t="inlineStr">
        <is>
          <t>Input</t>
        </is>
      </c>
      <c r="F60" t="n">
        <v/>
      </c>
      <c r="G60" t="n">
        <v>13317.44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Incentive</t>
        </is>
      </c>
      <c r="B61" t="inlineStr">
        <is>
          <t>I7</t>
        </is>
      </c>
      <c r="C61" t="n">
        <v>7</v>
      </c>
      <c r="D61" t="n">
        <v>9</v>
      </c>
      <c r="E61" t="inlineStr">
        <is>
          <t>Input</t>
        </is>
      </c>
      <c r="F61" t="n">
        <v/>
      </c>
      <c r="G61" t="n">
        <v>11778.16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Incentive</t>
        </is>
      </c>
      <c r="B62" t="inlineStr">
        <is>
          <t>J7</t>
        </is>
      </c>
      <c r="C62" t="n">
        <v>7</v>
      </c>
      <c r="D62" t="n">
        <v>10</v>
      </c>
      <c r="E62" t="inlineStr">
        <is>
          <t>Input</t>
        </is>
      </c>
      <c r="F62" t="n">
        <v/>
      </c>
      <c r="G62" t="n">
        <v>16899.9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FF0B0280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Incentive</t>
        </is>
      </c>
      <c r="B63" t="inlineStr">
        <is>
          <t>K7</t>
        </is>
      </c>
      <c r="C63" t="n">
        <v>7</v>
      </c>
      <c r="D63" t="n">
        <v>11</v>
      </c>
      <c r="E63" t="inlineStr">
        <is>
          <t>Calculation</t>
        </is>
      </c>
      <c r="F63" t="inlineStr">
        <is>
          <t>'=J7+K12-K8</t>
        </is>
      </c>
      <c r="G63" t="n">
        <v>22271.942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1</v>
      </c>
      <c r="S63" t="inlineStr">
        <is>
          <t>G000248</t>
        </is>
      </c>
      <c r="T63" t="inlineStr">
        <is>
          <t>Horizontal</t>
        </is>
      </c>
      <c r="U63" t="n">
        <v>5</v>
      </c>
      <c r="V63" t="b">
        <v>1</v>
      </c>
      <c r="W63" t="inlineStr">
        <is>
          <t>Incentive!K7:O7</t>
        </is>
      </c>
      <c r="X63">
        <f>R[0]C[-1]+R[5]C[0]-R[1]C[0]</f>
        <v/>
      </c>
    </row>
    <row r="64">
      <c r="A64" t="inlineStr">
        <is>
          <t>Incentive</t>
        </is>
      </c>
      <c r="B64" t="inlineStr">
        <is>
          <t>L7</t>
        </is>
      </c>
      <c r="C64" t="n">
        <v>7</v>
      </c>
      <c r="D64" t="n">
        <v>12</v>
      </c>
      <c r="E64" t="inlineStr">
        <is>
          <t>Calculation</t>
        </is>
      </c>
      <c r="F64" t="inlineStr">
        <is>
          <t>'=K7+L12-L8</t>
        </is>
      </c>
      <c r="G64" t="n">
        <v>17591.19070782608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1</v>
      </c>
      <c r="S64" t="inlineStr">
        <is>
          <t>G000248</t>
        </is>
      </c>
      <c r="T64" t="inlineStr">
        <is>
          <t>Horizontal</t>
        </is>
      </c>
      <c r="U64" t="n">
        <v>5</v>
      </c>
      <c r="V64" t="b">
        <v>1</v>
      </c>
      <c r="W64" t="inlineStr">
        <is>
          <t>Incentive!K7:O7</t>
        </is>
      </c>
      <c r="X64">
        <f>R[0]C[-1]+R[5]C[0]-R[1]C[0]</f>
        <v/>
      </c>
    </row>
    <row r="65">
      <c r="A65" t="inlineStr">
        <is>
          <t>Incentive</t>
        </is>
      </c>
      <c r="B65" t="inlineStr">
        <is>
          <t>M7</t>
        </is>
      </c>
      <c r="C65" t="n">
        <v>7</v>
      </c>
      <c r="D65" t="n">
        <v>13</v>
      </c>
      <c r="E65" t="inlineStr">
        <is>
          <t>Calculation</t>
        </is>
      </c>
      <c r="F65" t="inlineStr">
        <is>
          <t>'=L7+M12-M8</t>
        </is>
      </c>
      <c r="G65" t="n">
        <v>24897.58348010433</v>
      </c>
      <c r="H65" t="inlineStr"/>
      <c r="I65" t="inlineStr">
        <is>
          <t>0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1</v>
      </c>
      <c r="S65" t="inlineStr">
        <is>
          <t>G000248</t>
        </is>
      </c>
      <c r="T65" t="inlineStr">
        <is>
          <t>Horizontal</t>
        </is>
      </c>
      <c r="U65" t="n">
        <v>5</v>
      </c>
      <c r="V65" t="b">
        <v>1</v>
      </c>
      <c r="W65" t="inlineStr">
        <is>
          <t>Incentive!K7:O7</t>
        </is>
      </c>
      <c r="X65">
        <f>R[0]C[-1]+R[5]C[0]-R[1]C[0]</f>
        <v/>
      </c>
    </row>
    <row r="66">
      <c r="A66" t="inlineStr">
        <is>
          <t>Incentive</t>
        </is>
      </c>
      <c r="B66" t="inlineStr">
        <is>
          <t>N7</t>
        </is>
      </c>
      <c r="C66" t="n">
        <v>7</v>
      </c>
      <c r="D66" t="n">
        <v>14</v>
      </c>
      <c r="E66" t="inlineStr">
        <is>
          <t>Calculation</t>
        </is>
      </c>
      <c r="F66" t="inlineStr">
        <is>
          <t>'=M7+N12-N8</t>
        </is>
      </c>
      <c r="G66" t="n">
        <v>32074.22986193877</v>
      </c>
      <c r="H66" t="inlineStr"/>
      <c r="I66" t="inlineStr">
        <is>
          <t>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G000248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Incentive!K7:O7</t>
        </is>
      </c>
      <c r="X66">
        <f>R[0]C[-1]+R[5]C[0]-R[1]C[0]</f>
        <v/>
      </c>
    </row>
    <row r="67">
      <c r="A67" t="inlineStr">
        <is>
          <t>Incentive</t>
        </is>
      </c>
      <c r="B67" t="inlineStr">
        <is>
          <t>O7</t>
        </is>
      </c>
      <c r="C67" t="n">
        <v>7</v>
      </c>
      <c r="D67" t="n">
        <v>15</v>
      </c>
      <c r="E67" t="inlineStr">
        <is>
          <t>Calculation</t>
        </is>
      </c>
      <c r="F67" t="inlineStr">
        <is>
          <t>'=N7+O12-O8</t>
        </is>
      </c>
      <c r="G67" t="n">
        <v>39763.41105209841</v>
      </c>
      <c r="H67" t="inlineStr"/>
      <c r="I67" t="inlineStr">
        <is>
          <t>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G000248</t>
        </is>
      </c>
      <c r="T67" t="inlineStr">
        <is>
          <t>Horizontal</t>
        </is>
      </c>
      <c r="U67" t="n">
        <v>5</v>
      </c>
      <c r="V67" t="b">
        <v>1</v>
      </c>
      <c r="W67" t="inlineStr">
        <is>
          <t>Incentive!K7:O7</t>
        </is>
      </c>
      <c r="X67">
        <f>R[0]C[-1]+R[5]C[0]-R[1]C[0]</f>
        <v/>
      </c>
    </row>
    <row r="68">
      <c r="A68" t="inlineStr">
        <is>
          <t>Incentive</t>
        </is>
      </c>
      <c r="B68" t="inlineStr">
        <is>
          <t>A8</t>
        </is>
      </c>
      <c r="C68" t="n">
        <v>8</v>
      </c>
      <c r="D68" t="n">
        <v>1</v>
      </c>
      <c r="E68" t="inlineStr">
        <is>
          <t>Input</t>
        </is>
      </c>
      <c r="F68" t="n">
        <v/>
      </c>
      <c r="G68" t="inlineStr">
        <is>
          <t>Short-term deferred incentives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Incentive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2220.83</v>
      </c>
      <c r="H69" t="inlineStr"/>
      <c r="I69" t="inlineStr">
        <is>
          <t>0</t>
        </is>
      </c>
      <c r="J69" t="b">
        <v>0</v>
      </c>
      <c r="K69" t="b">
        <v>0</v>
      </c>
      <c r="L69" t="n">
        <v>11</v>
      </c>
      <c r="M69" t="inlineStr">
        <is>
          <t>FF0B0280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Incentive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Input</t>
        </is>
      </c>
      <c r="F70" t="n">
        <v/>
      </c>
      <c r="G70" t="n">
        <v>3055.37</v>
      </c>
      <c r="H70" t="inlineStr"/>
      <c r="I70" t="inlineStr">
        <is>
          <t>0</t>
        </is>
      </c>
      <c r="J70" t="b">
        <v>0</v>
      </c>
      <c r="K70" t="b">
        <v>0</v>
      </c>
      <c r="L70" t="n">
        <v>11</v>
      </c>
      <c r="M70" t="inlineStr">
        <is>
          <t>FF0B0280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Incentive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Input</t>
        </is>
      </c>
      <c r="F71" t="n">
        <v/>
      </c>
      <c r="G71" t="n">
        <v>3626.58</v>
      </c>
      <c r="H71" t="inlineStr"/>
      <c r="I71" t="inlineStr">
        <is>
          <t>0</t>
        </is>
      </c>
      <c r="J71" t="b">
        <v>0</v>
      </c>
      <c r="K71" t="b">
        <v>0</v>
      </c>
      <c r="L71" t="n">
        <v>11</v>
      </c>
      <c r="M71" t="inlineStr">
        <is>
          <t>FF0B0280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Incentive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Input</t>
        </is>
      </c>
      <c r="F72" t="n">
        <v/>
      </c>
      <c r="G72" t="n">
        <v>3878.42</v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inlineStr">
        <is>
          <t>FF0B0280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Incentive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Input</t>
        </is>
      </c>
      <c r="F73" t="n">
        <v/>
      </c>
      <c r="G73" t="n">
        <v>4199.02</v>
      </c>
      <c r="H73" t="inlineStr"/>
      <c r="I73" t="inlineStr">
        <is>
          <t>0</t>
        </is>
      </c>
      <c r="J73" t="b">
        <v>0</v>
      </c>
      <c r="K73" t="b">
        <v>0</v>
      </c>
      <c r="L73" t="n">
        <v>11</v>
      </c>
      <c r="M73" t="inlineStr">
        <is>
          <t>FF0B0280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Incentive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Input</t>
        </is>
      </c>
      <c r="F74" t="n">
        <v/>
      </c>
      <c r="G74" t="n">
        <v>4054.07</v>
      </c>
      <c r="H74" t="inlineStr"/>
      <c r="I74" t="inlineStr">
        <is>
          <t>0</t>
        </is>
      </c>
      <c r="J74" t="b">
        <v>0</v>
      </c>
      <c r="K74" t="b">
        <v>0</v>
      </c>
      <c r="L74" t="n">
        <v>11</v>
      </c>
      <c r="M74" t="inlineStr">
        <is>
          <t>FF0B0280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Incentive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n">
        <v>4937.83</v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FF0B0280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Incentive</t>
        </is>
      </c>
      <c r="B76" t="inlineStr">
        <is>
          <t>K8</t>
        </is>
      </c>
      <c r="C76" t="n">
        <v>8</v>
      </c>
      <c r="D76" t="n">
        <v>11</v>
      </c>
      <c r="E76" t="inlineStr">
        <is>
          <t>Calculation</t>
        </is>
      </c>
      <c r="F76" t="inlineStr">
        <is>
          <t>'=J7*K16</t>
        </is>
      </c>
      <c r="G76" t="n">
        <v>7097.958000000001</v>
      </c>
      <c r="H76" t="inlineStr"/>
      <c r="I76" t="inlineStr">
        <is>
          <t>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1</v>
      </c>
      <c r="S76" t="inlineStr">
        <is>
          <t>G000249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Incentive!K8:O8</t>
        </is>
      </c>
      <c r="X76">
        <f>R[-1]C[-1]*R[8]C[0]</f>
        <v/>
      </c>
    </row>
    <row r="77">
      <c r="A77" t="inlineStr">
        <is>
          <t>Incentive</t>
        </is>
      </c>
      <c r="B77" t="inlineStr">
        <is>
          <t>L8</t>
        </is>
      </c>
      <c r="C77" t="n">
        <v>8</v>
      </c>
      <c r="D77" t="n">
        <v>12</v>
      </c>
      <c r="E77" t="inlineStr">
        <is>
          <t>Calculation</t>
        </is>
      </c>
      <c r="F77" t="inlineStr">
        <is>
          <t>'=K7*L16</t>
        </is>
      </c>
      <c r="G77" t="n">
        <v>9354.21564</v>
      </c>
      <c r="H77" t="inlineStr"/>
      <c r="I77" t="inlineStr">
        <is>
          <t>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1</v>
      </c>
      <c r="S77" t="inlineStr">
        <is>
          <t>G000249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Incentive!K8:O8</t>
        </is>
      </c>
      <c r="X77">
        <f>R[-1]C[-1]*R[8]C[0]</f>
        <v/>
      </c>
    </row>
    <row r="78">
      <c r="A78" t="inlineStr">
        <is>
          <t>Incentive</t>
        </is>
      </c>
      <c r="B78" t="inlineStr">
        <is>
          <t>M8</t>
        </is>
      </c>
      <c r="C78" t="n">
        <v>8</v>
      </c>
      <c r="D78" t="n">
        <v>13</v>
      </c>
      <c r="E78" t="inlineStr">
        <is>
          <t>Calculation</t>
        </is>
      </c>
      <c r="F78" t="inlineStr">
        <is>
          <t>'=L7*M16</t>
        </is>
      </c>
      <c r="G78" t="n">
        <v>7388.300097286952</v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1</v>
      </c>
      <c r="S78" t="inlineStr">
        <is>
          <t>G000249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Incentive!K8:O8</t>
        </is>
      </c>
      <c r="X78">
        <f>R[-1]C[-1]*R[8]C[0]</f>
        <v/>
      </c>
    </row>
    <row r="79">
      <c r="A79" t="inlineStr">
        <is>
          <t>Incentive</t>
        </is>
      </c>
      <c r="B79" t="inlineStr">
        <is>
          <t>N8</t>
        </is>
      </c>
      <c r="C79" t="n">
        <v>8</v>
      </c>
      <c r="D79" t="n">
        <v>14</v>
      </c>
      <c r="E79" t="inlineStr">
        <is>
          <t>Calculation</t>
        </is>
      </c>
      <c r="F79" t="inlineStr">
        <is>
          <t>'=M7*N16</t>
        </is>
      </c>
      <c r="G79" t="n">
        <v>10456.98506164382</v>
      </c>
      <c r="H79" t="inlineStr"/>
      <c r="I79" t="inlineStr">
        <is>
          <t>0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inlineStr">
        <is>
          <t>G000249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Incentive!K8:O8</t>
        </is>
      </c>
      <c r="X79">
        <f>R[-1]C[-1]*R[8]C[0]</f>
        <v/>
      </c>
    </row>
    <row r="80">
      <c r="A80" t="inlineStr">
        <is>
          <t>Incentive</t>
        </is>
      </c>
      <c r="B80" t="inlineStr">
        <is>
          <t>O8</t>
        </is>
      </c>
      <c r="C80" t="n">
        <v>8</v>
      </c>
      <c r="D80" t="n">
        <v>15</v>
      </c>
      <c r="E80" t="inlineStr">
        <is>
          <t>Calculation</t>
        </is>
      </c>
      <c r="F80" t="inlineStr">
        <is>
          <t>'=N7*O16</t>
        </is>
      </c>
      <c r="G80" t="n">
        <v>13471.17654201428</v>
      </c>
      <c r="H80" t="inlineStr"/>
      <c r="I80" t="inlineStr">
        <is>
          <t>0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1</v>
      </c>
      <c r="S80" t="inlineStr">
        <is>
          <t>G000249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Incentive!K8:O8</t>
        </is>
      </c>
      <c r="X80">
        <f>R[-1]C[-1]*R[8]C[0]</f>
        <v/>
      </c>
    </row>
    <row r="81">
      <c r="A81" t="inlineStr">
        <is>
          <t>Incentive</t>
        </is>
      </c>
      <c r="B81" t="inlineStr">
        <is>
          <t>A10</t>
        </is>
      </c>
      <c r="C81" t="n">
        <v>10</v>
      </c>
      <c r="D81" t="n">
        <v>1</v>
      </c>
      <c r="E81" t="inlineStr">
        <is>
          <t>Input</t>
        </is>
      </c>
      <c r="F81" t="n">
        <v/>
      </c>
      <c r="G81" t="inlineStr">
        <is>
          <t>Additional Aircraft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Incentive</t>
        </is>
      </c>
      <c r="B82" t="inlineStr">
        <is>
          <t>E10</t>
        </is>
      </c>
      <c r="C82" t="n">
        <v>10</v>
      </c>
      <c r="D82" t="n">
        <v>5</v>
      </c>
      <c r="E82" t="inlineStr">
        <is>
          <t>Calculation</t>
        </is>
      </c>
      <c r="F82" t="inlineStr">
        <is>
          <t>'='Revenue Matrix'!E14-'Revenue Matrix'!D14</t>
        </is>
      </c>
      <c r="G82" t="n">
        <v>16</v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1</v>
      </c>
      <c r="S82" t="inlineStr">
        <is>
          <t>G000250</t>
        </is>
      </c>
      <c r="T82" t="inlineStr">
        <is>
          <t>Horizontal</t>
        </is>
      </c>
      <c r="U82" t="n">
        <v>11</v>
      </c>
      <c r="V82" t="b">
        <v>1</v>
      </c>
      <c r="W82" t="inlineStr">
        <is>
          <t>Incentive!E10:O10</t>
        </is>
      </c>
      <c r="X82">
        <f>'Revenue Matrix'!R[4]C[0]-'Revenue Matrix'!R[4]C[-1]</f>
        <v/>
      </c>
    </row>
    <row r="83">
      <c r="A83" t="inlineStr">
        <is>
          <t>Incentive</t>
        </is>
      </c>
      <c r="B83" t="inlineStr">
        <is>
          <t>F10</t>
        </is>
      </c>
      <c r="C83" t="n">
        <v>10</v>
      </c>
      <c r="D83" t="n">
        <v>6</v>
      </c>
      <c r="E83" t="inlineStr">
        <is>
          <t>Calculation</t>
        </is>
      </c>
      <c r="F83" t="inlineStr">
        <is>
          <t>'='Revenue Matrix'!F14-'Revenue Matrix'!E14</t>
        </is>
      </c>
      <c r="G83" t="n">
        <v>11</v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1</v>
      </c>
      <c r="S83" t="inlineStr">
        <is>
          <t>G000250</t>
        </is>
      </c>
      <c r="T83" t="inlineStr">
        <is>
          <t>Horizontal</t>
        </is>
      </c>
      <c r="U83" t="n">
        <v>11</v>
      </c>
      <c r="V83" t="b">
        <v>1</v>
      </c>
      <c r="W83" t="inlineStr">
        <is>
          <t>Incentive!E10:O10</t>
        </is>
      </c>
      <c r="X83">
        <f>'Revenue Matrix'!R[4]C[0]-'Revenue Matrix'!R[4]C[-1]</f>
        <v/>
      </c>
    </row>
    <row r="84">
      <c r="A84" t="inlineStr">
        <is>
          <t>Incentive</t>
        </is>
      </c>
      <c r="B84" t="inlineStr">
        <is>
          <t>G10</t>
        </is>
      </c>
      <c r="C84" t="n">
        <v>10</v>
      </c>
      <c r="D84" t="n">
        <v>7</v>
      </c>
      <c r="E84" t="inlineStr">
        <is>
          <t>Calculation</t>
        </is>
      </c>
      <c r="F84" t="inlineStr">
        <is>
          <t>'='Revenue Matrix'!G14-'Revenue Matrix'!F14</t>
        </is>
      </c>
      <c r="G84" t="n">
        <v>11</v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1</v>
      </c>
      <c r="S84" t="inlineStr">
        <is>
          <t>G000250</t>
        </is>
      </c>
      <c r="T84" t="inlineStr">
        <is>
          <t>Horizontal</t>
        </is>
      </c>
      <c r="U84" t="n">
        <v>11</v>
      </c>
      <c r="V84" t="b">
        <v>1</v>
      </c>
      <c r="W84" t="inlineStr">
        <is>
          <t>Incentive!E10:O10</t>
        </is>
      </c>
      <c r="X84">
        <f>'Revenue Matrix'!R[4]C[0]-'Revenue Matrix'!R[4]C[-1]</f>
        <v/>
      </c>
    </row>
    <row r="85">
      <c r="A85" t="inlineStr">
        <is>
          <t>Incentive</t>
        </is>
      </c>
      <c r="B85" t="inlineStr">
        <is>
          <t>H10</t>
        </is>
      </c>
      <c r="C85" t="n">
        <v>10</v>
      </c>
      <c r="D85" t="n">
        <v>8</v>
      </c>
      <c r="E85" t="inlineStr">
        <is>
          <t>Calculation</t>
        </is>
      </c>
      <c r="F85" t="inlineStr">
        <is>
          <t>'='Revenue Matrix'!H14-'Revenue Matrix'!G14</t>
        </is>
      </c>
      <c r="G85" t="n">
        <v>17</v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1</v>
      </c>
      <c r="S85" t="inlineStr">
        <is>
          <t>G000250</t>
        </is>
      </c>
      <c r="T85" t="inlineStr">
        <is>
          <t>Horizontal</t>
        </is>
      </c>
      <c r="U85" t="n">
        <v>11</v>
      </c>
      <c r="V85" t="b">
        <v>1</v>
      </c>
      <c r="W85" t="inlineStr">
        <is>
          <t>Incentive!E10:O10</t>
        </is>
      </c>
      <c r="X85">
        <f>'Revenue Matrix'!R[4]C[0]-'Revenue Matrix'!R[4]C[-1]</f>
        <v/>
      </c>
    </row>
    <row r="86">
      <c r="A86" t="inlineStr">
        <is>
          <t>Incentive</t>
        </is>
      </c>
      <c r="B86" t="inlineStr">
        <is>
          <t>I10</t>
        </is>
      </c>
      <c r="C86" t="n">
        <v>10</v>
      </c>
      <c r="D86" t="n">
        <v>9</v>
      </c>
      <c r="E86" t="inlineStr">
        <is>
          <t>Calculation</t>
        </is>
      </c>
      <c r="F86" t="inlineStr">
        <is>
          <t>'='Revenue Matrix'!I14-'Revenue Matrix'!H14</t>
        </is>
      </c>
      <c r="G86" t="n">
        <v>13</v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1</v>
      </c>
      <c r="S86" t="inlineStr">
        <is>
          <t>G000250</t>
        </is>
      </c>
      <c r="T86" t="inlineStr">
        <is>
          <t>Horizontal</t>
        </is>
      </c>
      <c r="U86" t="n">
        <v>11</v>
      </c>
      <c r="V86" t="b">
        <v>1</v>
      </c>
      <c r="W86" t="inlineStr">
        <is>
          <t>Incentive!E10:O10</t>
        </is>
      </c>
      <c r="X86">
        <f>'Revenue Matrix'!R[4]C[0]-'Revenue Matrix'!R[4]C[-1]</f>
        <v/>
      </c>
    </row>
    <row r="87">
      <c r="A87" t="inlineStr">
        <is>
          <t>Incentive</t>
        </is>
      </c>
      <c r="B87" t="inlineStr">
        <is>
          <t>J10</t>
        </is>
      </c>
      <c r="C87" t="n">
        <v>10</v>
      </c>
      <c r="D87" t="n">
        <v>10</v>
      </c>
      <c r="E87" t="inlineStr">
        <is>
          <t>Calculation</t>
        </is>
      </c>
      <c r="F87" t="inlineStr">
        <is>
          <t>'='Revenue Matrix'!J14-'Revenue Matrix'!I14</t>
        </is>
      </c>
      <c r="G87" t="n">
        <v>24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G000250</t>
        </is>
      </c>
      <c r="T87" t="inlineStr">
        <is>
          <t>Horizontal</t>
        </is>
      </c>
      <c r="U87" t="n">
        <v>11</v>
      </c>
      <c r="V87" t="b">
        <v>1</v>
      </c>
      <c r="W87" t="inlineStr">
        <is>
          <t>Incentive!E10:O10</t>
        </is>
      </c>
      <c r="X87">
        <f>'Revenue Matrix'!R[4]C[0]-'Revenue Matrix'!R[4]C[-1]</f>
        <v/>
      </c>
    </row>
    <row r="88">
      <c r="A88" t="inlineStr">
        <is>
          <t>Incentive</t>
        </is>
      </c>
      <c r="B88" t="inlineStr">
        <is>
          <t>K10</t>
        </is>
      </c>
      <c r="C88" t="n">
        <v>10</v>
      </c>
      <c r="D88" t="n">
        <v>11</v>
      </c>
      <c r="E88" t="inlineStr">
        <is>
          <t>Calculation</t>
        </is>
      </c>
      <c r="F88" t="inlineStr">
        <is>
          <t>'='Revenue Matrix'!K14-'Revenue Matrix'!J14</t>
        </is>
      </c>
      <c r="G88" t="n">
        <v>29</v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G000250</t>
        </is>
      </c>
      <c r="T88" t="inlineStr">
        <is>
          <t>Horizontal</t>
        </is>
      </c>
      <c r="U88" t="n">
        <v>11</v>
      </c>
      <c r="V88" t="b">
        <v>1</v>
      </c>
      <c r="W88" t="inlineStr">
        <is>
          <t>Incentive!E10:O10</t>
        </is>
      </c>
      <c r="X88">
        <f>'Revenue Matrix'!R[4]C[0]-'Revenue Matrix'!R[4]C[-1]</f>
        <v/>
      </c>
    </row>
    <row r="89">
      <c r="A89" t="inlineStr">
        <is>
          <t>Incentive</t>
        </is>
      </c>
      <c r="B89" t="inlineStr">
        <is>
          <t>L10</t>
        </is>
      </c>
      <c r="C89" t="n">
        <v>10</v>
      </c>
      <c r="D89" t="n">
        <v>12</v>
      </c>
      <c r="E89" t="inlineStr">
        <is>
          <t>Calculation</t>
        </is>
      </c>
      <c r="F89" t="inlineStr">
        <is>
          <t>'='Revenue Matrix'!L14-'Revenue Matrix'!K14</t>
        </is>
      </c>
      <c r="G89" t="n">
        <v>10.86852173913041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G000250</t>
        </is>
      </c>
      <c r="T89" t="inlineStr">
        <is>
          <t>Horizontal</t>
        </is>
      </c>
      <c r="U89" t="n">
        <v>11</v>
      </c>
      <c r="V89" t="b">
        <v>1</v>
      </c>
      <c r="W89" t="inlineStr">
        <is>
          <t>Incentive!E10:O10</t>
        </is>
      </c>
      <c r="X89">
        <f>'Revenue Matrix'!R[4]C[0]-'Revenue Matrix'!R[4]C[-1]</f>
        <v/>
      </c>
    </row>
    <row r="90">
      <c r="A90" t="inlineStr">
        <is>
          <t>Incentive</t>
        </is>
      </c>
      <c r="B90" t="inlineStr">
        <is>
          <t>M10</t>
        </is>
      </c>
      <c r="C90" t="n">
        <v>10</v>
      </c>
      <c r="D90" t="n">
        <v>13</v>
      </c>
      <c r="E90" t="inlineStr">
        <is>
          <t>Calculation</t>
        </is>
      </c>
      <c r="F90" t="inlineStr">
        <is>
          <t>'='Revenue Matrix'!M14-'Revenue Matrix'!L14</t>
        </is>
      </c>
      <c r="G90" t="n">
        <v>34.17370434782606</v>
      </c>
      <c r="H90" t="inlineStr"/>
      <c r="I90" t="inlineStr">
        <is>
          <t>0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G000250</t>
        </is>
      </c>
      <c r="T90" t="inlineStr">
        <is>
          <t>Horizontal</t>
        </is>
      </c>
      <c r="U90" t="n">
        <v>11</v>
      </c>
      <c r="V90" t="b">
        <v>1</v>
      </c>
      <c r="W90" t="inlineStr">
        <is>
          <t>Incentive!E10:O10</t>
        </is>
      </c>
      <c r="X90">
        <f>'Revenue Matrix'!R[4]C[0]-'Revenue Matrix'!R[4]C[-1]</f>
        <v/>
      </c>
    </row>
    <row r="91">
      <c r="A91" t="inlineStr">
        <is>
          <t>Incentive</t>
        </is>
      </c>
      <c r="B91" t="inlineStr">
        <is>
          <t>N10</t>
        </is>
      </c>
      <c r="C91" t="n">
        <v>10</v>
      </c>
      <c r="D91" t="n">
        <v>14</v>
      </c>
      <c r="E91" t="inlineStr">
        <is>
          <t>Calculation</t>
        </is>
      </c>
      <c r="F91" t="inlineStr">
        <is>
          <t>'='Revenue Matrix'!N14-'Revenue Matrix'!M14</t>
        </is>
      </c>
      <c r="G91" t="n">
        <v>41.00844521739131</v>
      </c>
      <c r="H91" t="inlineStr"/>
      <c r="I91" t="inlineStr">
        <is>
          <t>0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inlineStr">
        <is>
          <t>G000250</t>
        </is>
      </c>
      <c r="T91" t="inlineStr">
        <is>
          <t>Horizontal</t>
        </is>
      </c>
      <c r="U91" t="n">
        <v>11</v>
      </c>
      <c r="V91" t="b">
        <v>1</v>
      </c>
      <c r="W91" t="inlineStr">
        <is>
          <t>Incentive!E10:O10</t>
        </is>
      </c>
      <c r="X91">
        <f>'Revenue Matrix'!R[4]C[0]-'Revenue Matrix'!R[4]C[-1]</f>
        <v/>
      </c>
    </row>
    <row r="92">
      <c r="A92" t="inlineStr">
        <is>
          <t>Incentive</t>
        </is>
      </c>
      <c r="B92" t="inlineStr">
        <is>
          <t>O10</t>
        </is>
      </c>
      <c r="C92" t="n">
        <v>10</v>
      </c>
      <c r="D92" t="n">
        <v>15</v>
      </c>
      <c r="E92" t="inlineStr">
        <is>
          <t>Calculation</t>
        </is>
      </c>
      <c r="F92" t="inlineStr">
        <is>
          <t>'='Revenue Matrix'!O14-'Revenue Matrix'!N14</t>
        </is>
      </c>
      <c r="G92" t="n">
        <v>49.21013426086958</v>
      </c>
      <c r="H92" t="inlineStr"/>
      <c r="I92" t="inlineStr">
        <is>
          <t>0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inlineStr">
        <is>
          <t>G000250</t>
        </is>
      </c>
      <c r="T92" t="inlineStr">
        <is>
          <t>Horizontal</t>
        </is>
      </c>
      <c r="U92" t="n">
        <v>11</v>
      </c>
      <c r="V92" t="b">
        <v>1</v>
      </c>
      <c r="W92" t="inlineStr">
        <is>
          <t>Incentive!E10:O10</t>
        </is>
      </c>
      <c r="X92">
        <f>'Revenue Matrix'!R[4]C[0]-'Revenue Matrix'!R[4]C[-1]</f>
        <v/>
      </c>
    </row>
    <row r="93">
      <c r="A93" t="inlineStr">
        <is>
          <t>Incentive</t>
        </is>
      </c>
      <c r="B93" t="inlineStr">
        <is>
          <t>A12</t>
        </is>
      </c>
      <c r="C93" t="n">
        <v>12</v>
      </c>
      <c r="D93" t="n">
        <v>1</v>
      </c>
      <c r="E93" t="inlineStr">
        <is>
          <t>Input</t>
        </is>
      </c>
      <c r="F93" t="n">
        <v/>
      </c>
      <c r="G93" t="inlineStr">
        <is>
          <t>Additional incentive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Incentive</t>
        </is>
      </c>
      <c r="B94" t="inlineStr">
        <is>
          <t>E12</t>
        </is>
      </c>
      <c r="C94" t="n">
        <v>12</v>
      </c>
      <c r="D94" t="n">
        <v>5</v>
      </c>
      <c r="E94" t="inlineStr">
        <is>
          <t>Calculation</t>
        </is>
      </c>
      <c r="F94" t="inlineStr">
        <is>
          <t>'=E7-D7+E8</t>
        </is>
      </c>
      <c r="G94" t="n">
        <v>7125.599999999999</v>
      </c>
      <c r="H94" t="inlineStr"/>
      <c r="I94" t="inlineStr">
        <is>
          <t>#,##0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1</v>
      </c>
      <c r="S94" t="inlineStr">
        <is>
          <t>G000251</t>
        </is>
      </c>
      <c r="T94" t="inlineStr">
        <is>
          <t>Horizontal</t>
        </is>
      </c>
      <c r="U94" t="n">
        <v>6</v>
      </c>
      <c r="V94" t="b">
        <v>1</v>
      </c>
      <c r="W94" t="inlineStr">
        <is>
          <t>Incentive!E12:J12</t>
        </is>
      </c>
      <c r="X94">
        <f>R[-5]C[0]-R[-5]C[-1]+R[-4]C[0]</f>
        <v/>
      </c>
    </row>
    <row r="95">
      <c r="A95" t="inlineStr">
        <is>
          <t>Incentive</t>
        </is>
      </c>
      <c r="B95" t="inlineStr">
        <is>
          <t>F12</t>
        </is>
      </c>
      <c r="C95" t="n">
        <v>12</v>
      </c>
      <c r="D95" t="n">
        <v>6</v>
      </c>
      <c r="E95" t="inlineStr">
        <is>
          <t>Calculation</t>
        </is>
      </c>
      <c r="F95" t="inlineStr">
        <is>
          <t>'=F7-E7+F8</t>
        </is>
      </c>
      <c r="G95" t="n">
        <v>6555.730000000001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1</v>
      </c>
      <c r="S95" t="inlineStr">
        <is>
          <t>G000251</t>
        </is>
      </c>
      <c r="T95" t="inlineStr">
        <is>
          <t>Horizontal</t>
        </is>
      </c>
      <c r="U95" t="n">
        <v>6</v>
      </c>
      <c r="V95" t="b">
        <v>1</v>
      </c>
      <c r="W95" t="inlineStr">
        <is>
          <t>Incentive!E12:J12</t>
        </is>
      </c>
      <c r="X95">
        <f>R[-5]C[0]-R[-5]C[-1]+R[-4]C[0]</f>
        <v/>
      </c>
    </row>
    <row r="96">
      <c r="A96" t="inlineStr">
        <is>
          <t>Incentive</t>
        </is>
      </c>
      <c r="B96" t="inlineStr">
        <is>
          <t>G12</t>
        </is>
      </c>
      <c r="C96" t="n">
        <v>12</v>
      </c>
      <c r="D96" t="n">
        <v>7</v>
      </c>
      <c r="E96" t="inlineStr">
        <is>
          <t>Calculation</t>
        </is>
      </c>
      <c r="F96" t="inlineStr">
        <is>
          <t>'=G7-F7+G8</t>
        </is>
      </c>
      <c r="G96" t="n">
        <v>5855.199999999999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1</v>
      </c>
      <c r="S96" t="inlineStr">
        <is>
          <t>G000251</t>
        </is>
      </c>
      <c r="T96" t="inlineStr">
        <is>
          <t>Horizontal</t>
        </is>
      </c>
      <c r="U96" t="n">
        <v>6</v>
      </c>
      <c r="V96" t="b">
        <v>1</v>
      </c>
      <c r="W96" t="inlineStr">
        <is>
          <t>Incentive!E12:J12</t>
        </is>
      </c>
      <c r="X96">
        <f>R[-5]C[0]-R[-5]C[-1]+R[-4]C[0]</f>
        <v/>
      </c>
    </row>
    <row r="97">
      <c r="A97" t="inlineStr">
        <is>
          <t>Incentive</t>
        </is>
      </c>
      <c r="B97" t="inlineStr">
        <is>
          <t>H12</t>
        </is>
      </c>
      <c r="C97" t="n">
        <v>12</v>
      </c>
      <c r="D97" t="n">
        <v>8</v>
      </c>
      <c r="E97" t="inlineStr">
        <is>
          <t>Calculation</t>
        </is>
      </c>
      <c r="F97" t="inlineStr">
        <is>
          <t>'=H7-G7+H8</t>
        </is>
      </c>
      <c r="G97" t="n">
        <v>3862.140000000001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n">
        <v/>
      </c>
      <c r="R97" t="b">
        <v>1</v>
      </c>
      <c r="S97" t="inlineStr">
        <is>
          <t>G000251</t>
        </is>
      </c>
      <c r="T97" t="inlineStr">
        <is>
          <t>Horizontal</t>
        </is>
      </c>
      <c r="U97" t="n">
        <v>6</v>
      </c>
      <c r="V97" t="b">
        <v>1</v>
      </c>
      <c r="W97" t="inlineStr">
        <is>
          <t>Incentive!E12:J12</t>
        </is>
      </c>
      <c r="X97">
        <f>R[-5]C[0]-R[-5]C[-1]+R[-4]C[0]</f>
        <v/>
      </c>
    </row>
    <row r="98">
      <c r="A98" t="inlineStr">
        <is>
          <t>Incentive</t>
        </is>
      </c>
      <c r="B98" t="inlineStr">
        <is>
          <t>I12</t>
        </is>
      </c>
      <c r="C98" t="n">
        <v>12</v>
      </c>
      <c r="D98" t="n">
        <v>9</v>
      </c>
      <c r="E98" t="inlineStr">
        <is>
          <t>Calculation</t>
        </is>
      </c>
      <c r="F98" t="inlineStr">
        <is>
          <t>'=I7-H7+I8</t>
        </is>
      </c>
      <c r="G98" t="n">
        <v>2514.79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1</v>
      </c>
      <c r="S98" t="inlineStr">
        <is>
          <t>G000251</t>
        </is>
      </c>
      <c r="T98" t="inlineStr">
        <is>
          <t>Horizontal</t>
        </is>
      </c>
      <c r="U98" t="n">
        <v>6</v>
      </c>
      <c r="V98" t="b">
        <v>1</v>
      </c>
      <c r="W98" t="inlineStr">
        <is>
          <t>Incentive!E12:J12</t>
        </is>
      </c>
      <c r="X98">
        <f>R[-5]C[0]-R[-5]C[-1]+R[-4]C[0]</f>
        <v/>
      </c>
    </row>
    <row r="99">
      <c r="A99" t="inlineStr">
        <is>
          <t>Incentive</t>
        </is>
      </c>
      <c r="B99" t="inlineStr">
        <is>
          <t>J12</t>
        </is>
      </c>
      <c r="C99" t="n">
        <v>12</v>
      </c>
      <c r="D99" t="n">
        <v>10</v>
      </c>
      <c r="E99" t="inlineStr">
        <is>
          <t>Calculation</t>
        </is>
      </c>
      <c r="F99" t="inlineStr">
        <is>
          <t>'=J7-I7+J8</t>
        </is>
      </c>
      <c r="G99" t="n">
        <v>10059.57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G000251</t>
        </is>
      </c>
      <c r="T99" t="inlineStr">
        <is>
          <t>Horizontal</t>
        </is>
      </c>
      <c r="U99" t="n">
        <v>6</v>
      </c>
      <c r="V99" t="b">
        <v>1</v>
      </c>
      <c r="W99" t="inlineStr">
        <is>
          <t>Incentive!E12:J12</t>
        </is>
      </c>
      <c r="X99">
        <f>R[-5]C[0]-R[-5]C[-1]+R[-4]C[0]</f>
        <v/>
      </c>
    </row>
    <row r="100">
      <c r="A100" t="inlineStr">
        <is>
          <t>Incentive</t>
        </is>
      </c>
      <c r="B100" t="inlineStr">
        <is>
          <t>K12</t>
        </is>
      </c>
      <c r="C100" t="n">
        <v>12</v>
      </c>
      <c r="D100" t="n">
        <v>11</v>
      </c>
      <c r="E100" t="inlineStr">
        <is>
          <t>Calculation</t>
        </is>
      </c>
      <c r="F100" t="inlineStr">
        <is>
          <t>'=K10*K14</t>
        </is>
      </c>
      <c r="G100" t="n">
        <v>12470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G000252</t>
        </is>
      </c>
      <c r="T100" t="inlineStr">
        <is>
          <t>Horizontal</t>
        </is>
      </c>
      <c r="U100" t="n">
        <v>5</v>
      </c>
      <c r="V100" t="b">
        <v>1</v>
      </c>
      <c r="W100" t="inlineStr">
        <is>
          <t>Incentive!K12:O12</t>
        </is>
      </c>
      <c r="X100">
        <f>R[-2]C[0]*R[2]C[0]</f>
        <v/>
      </c>
    </row>
    <row r="101">
      <c r="A101" t="inlineStr">
        <is>
          <t>Incentive</t>
        </is>
      </c>
      <c r="B101" t="inlineStr">
        <is>
          <t>L12</t>
        </is>
      </c>
      <c r="C101" t="n">
        <v>12</v>
      </c>
      <c r="D101" t="n">
        <v>12</v>
      </c>
      <c r="E101" t="inlineStr">
        <is>
          <t>Calculation</t>
        </is>
      </c>
      <c r="F101" t="inlineStr">
        <is>
          <t>'=L10*L14</t>
        </is>
      </c>
      <c r="G101" t="n">
        <v>4673.464347826079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1</v>
      </c>
      <c r="S101" t="inlineStr">
        <is>
          <t>G000252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Incentive!K12:O12</t>
        </is>
      </c>
      <c r="X101">
        <f>R[-2]C[0]*R[2]C[0]</f>
        <v/>
      </c>
    </row>
    <row r="102">
      <c r="A102" t="inlineStr">
        <is>
          <t>Incentive</t>
        </is>
      </c>
      <c r="B102" t="inlineStr">
        <is>
          <t>M12</t>
        </is>
      </c>
      <c r="C102" t="n">
        <v>12</v>
      </c>
      <c r="D102" t="n">
        <v>13</v>
      </c>
      <c r="E102" t="inlineStr">
        <is>
          <t>Calculation</t>
        </is>
      </c>
      <c r="F102" t="inlineStr">
        <is>
          <t>'=M10*M14</t>
        </is>
      </c>
      <c r="G102" t="n">
        <v>14694.69286956521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G000252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Incentive!K12:O12</t>
        </is>
      </c>
      <c r="X102">
        <f>R[-2]C[0]*R[2]C[0]</f>
        <v/>
      </c>
    </row>
    <row r="103">
      <c r="A103" t="inlineStr">
        <is>
          <t>Incentive</t>
        </is>
      </c>
      <c r="B103" t="inlineStr">
        <is>
          <t>N12</t>
        </is>
      </c>
      <c r="C103" t="n">
        <v>12</v>
      </c>
      <c r="D103" t="n">
        <v>14</v>
      </c>
      <c r="E103" t="inlineStr">
        <is>
          <t>Calculation</t>
        </is>
      </c>
      <c r="F103" t="inlineStr">
        <is>
          <t>'=N10*N14</t>
        </is>
      </c>
      <c r="G103" t="n">
        <v>17633.63144347827</v>
      </c>
      <c r="H103" t="inlineStr"/>
      <c r="I103" t="inlineStr">
        <is>
          <t>#,##0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G000252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Incentive!K12:O12</t>
        </is>
      </c>
      <c r="X103">
        <f>R[-2]C[0]*R[2]C[0]</f>
        <v/>
      </c>
    </row>
    <row r="104">
      <c r="A104" t="inlineStr">
        <is>
          <t>Incentive</t>
        </is>
      </c>
      <c r="B104" t="inlineStr">
        <is>
          <t>O12</t>
        </is>
      </c>
      <c r="C104" t="n">
        <v>12</v>
      </c>
      <c r="D104" t="n">
        <v>15</v>
      </c>
      <c r="E104" t="inlineStr">
        <is>
          <t>Calculation</t>
        </is>
      </c>
      <c r="F104" t="inlineStr">
        <is>
          <t>'=O10*O14</t>
        </is>
      </c>
      <c r="G104" t="n">
        <v>21160.35773217392</v>
      </c>
      <c r="H104" t="inlineStr"/>
      <c r="I104" t="inlineStr">
        <is>
          <t>#,##0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G000252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Incentive!K12:O12</t>
        </is>
      </c>
      <c r="X104">
        <f>R[-2]C[0]*R[2]C[0]</f>
        <v/>
      </c>
    </row>
    <row r="105">
      <c r="A105" t="inlineStr">
        <is>
          <t>Incentive</t>
        </is>
      </c>
      <c r="B105" t="inlineStr">
        <is>
          <t>A14</t>
        </is>
      </c>
      <c r="C105" t="n">
        <v>14</v>
      </c>
      <c r="D105" t="n">
        <v>1</v>
      </c>
      <c r="E105" t="inlineStr">
        <is>
          <t>Input</t>
        </is>
      </c>
      <c r="F105" t="n">
        <v/>
      </c>
      <c r="G105" t="inlineStr">
        <is>
          <t>Incentive per aircraft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Incentive</t>
        </is>
      </c>
      <c r="B106" t="inlineStr">
        <is>
          <t>E14</t>
        </is>
      </c>
      <c r="C106" t="n">
        <v>14</v>
      </c>
      <c r="D106" t="n">
        <v>5</v>
      </c>
      <c r="E106" t="inlineStr">
        <is>
          <t>Output</t>
        </is>
      </c>
      <c r="F106" t="inlineStr">
        <is>
          <t>'=E12/E10</t>
        </is>
      </c>
      <c r="G106" t="n">
        <v>445.35</v>
      </c>
      <c r="H106" t="inlineStr"/>
      <c r="I106" t="inlineStr">
        <is>
          <t>0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G000253</t>
        </is>
      </c>
      <c r="T106" t="inlineStr">
        <is>
          <t>Horizontal</t>
        </is>
      </c>
      <c r="U106" t="n">
        <v>6</v>
      </c>
      <c r="V106" t="b">
        <v>1</v>
      </c>
      <c r="W106" t="inlineStr">
        <is>
          <t>Incentive!E14:J14</t>
        </is>
      </c>
      <c r="X106">
        <f>R[-2]C[0]/R[-4]C[0]</f>
        <v/>
      </c>
    </row>
    <row r="107">
      <c r="A107" t="inlineStr">
        <is>
          <t>Incentive</t>
        </is>
      </c>
      <c r="B107" t="inlineStr">
        <is>
          <t>F14</t>
        </is>
      </c>
      <c r="C107" t="n">
        <v>14</v>
      </c>
      <c r="D107" t="n">
        <v>6</v>
      </c>
      <c r="E107" t="inlineStr">
        <is>
          <t>Output</t>
        </is>
      </c>
      <c r="F107" t="inlineStr">
        <is>
          <t>'=F12/F10</t>
        </is>
      </c>
      <c r="G107" t="n">
        <v>595.9754545454547</v>
      </c>
      <c r="H107" t="inlineStr"/>
      <c r="I107" t="inlineStr">
        <is>
          <t>0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1</v>
      </c>
      <c r="S107" t="inlineStr">
        <is>
          <t>G000253</t>
        </is>
      </c>
      <c r="T107" t="inlineStr">
        <is>
          <t>Horizontal</t>
        </is>
      </c>
      <c r="U107" t="n">
        <v>6</v>
      </c>
      <c r="V107" t="b">
        <v>1</v>
      </c>
      <c r="W107" t="inlineStr">
        <is>
          <t>Incentive!E14:J14</t>
        </is>
      </c>
      <c r="X107">
        <f>R[-2]C[0]/R[-4]C[0]</f>
        <v/>
      </c>
    </row>
    <row r="108">
      <c r="A108" t="inlineStr">
        <is>
          <t>Incentive</t>
        </is>
      </c>
      <c r="B108" t="inlineStr">
        <is>
          <t>G14</t>
        </is>
      </c>
      <c r="C108" t="n">
        <v>14</v>
      </c>
      <c r="D108" t="n">
        <v>7</v>
      </c>
      <c r="E108" t="inlineStr">
        <is>
          <t>Output</t>
        </is>
      </c>
      <c r="F108" t="inlineStr">
        <is>
          <t>'=G12/G10</t>
        </is>
      </c>
      <c r="G108" t="n">
        <v>532.2909090909089</v>
      </c>
      <c r="H108" t="inlineStr"/>
      <c r="I108" t="inlineStr">
        <is>
          <t>0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G000253</t>
        </is>
      </c>
      <c r="T108" t="inlineStr">
        <is>
          <t>Horizontal</t>
        </is>
      </c>
      <c r="U108" t="n">
        <v>6</v>
      </c>
      <c r="V108" t="b">
        <v>1</v>
      </c>
      <c r="W108" t="inlineStr">
        <is>
          <t>Incentive!E14:J14</t>
        </is>
      </c>
      <c r="X108">
        <f>R[-2]C[0]/R[-4]C[0]</f>
        <v/>
      </c>
    </row>
    <row r="109">
      <c r="A109" t="inlineStr">
        <is>
          <t>Incentive</t>
        </is>
      </c>
      <c r="B109" t="inlineStr">
        <is>
          <t>H14</t>
        </is>
      </c>
      <c r="C109" t="n">
        <v>14</v>
      </c>
      <c r="D109" t="n">
        <v>8</v>
      </c>
      <c r="E109" t="inlineStr">
        <is>
          <t>Output</t>
        </is>
      </c>
      <c r="F109" t="inlineStr">
        <is>
          <t>'=H12/H10</t>
        </is>
      </c>
      <c r="G109" t="n">
        <v>227.184705882353</v>
      </c>
      <c r="H109" t="inlineStr"/>
      <c r="I109" t="inlineStr">
        <is>
          <t>0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1</v>
      </c>
      <c r="S109" t="inlineStr">
        <is>
          <t>G000253</t>
        </is>
      </c>
      <c r="T109" t="inlineStr">
        <is>
          <t>Horizontal</t>
        </is>
      </c>
      <c r="U109" t="n">
        <v>6</v>
      </c>
      <c r="V109" t="b">
        <v>1</v>
      </c>
      <c r="W109" t="inlineStr">
        <is>
          <t>Incentive!E14:J14</t>
        </is>
      </c>
      <c r="X109">
        <f>R[-2]C[0]/R[-4]C[0]</f>
        <v/>
      </c>
    </row>
    <row r="110">
      <c r="A110" t="inlineStr">
        <is>
          <t>Incentive</t>
        </is>
      </c>
      <c r="B110" t="inlineStr">
        <is>
          <t>I14</t>
        </is>
      </c>
      <c r="C110" t="n">
        <v>14</v>
      </c>
      <c r="D110" t="n">
        <v>9</v>
      </c>
      <c r="E110" t="inlineStr">
        <is>
          <t>Output</t>
        </is>
      </c>
      <c r="F110" t="inlineStr">
        <is>
          <t>'=I12/I10</t>
        </is>
      </c>
      <c r="G110" t="n">
        <v>193.4453846153846</v>
      </c>
      <c r="H110" t="inlineStr"/>
      <c r="I110" t="inlineStr">
        <is>
          <t>0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G000253</t>
        </is>
      </c>
      <c r="T110" t="inlineStr">
        <is>
          <t>Horizontal</t>
        </is>
      </c>
      <c r="U110" t="n">
        <v>6</v>
      </c>
      <c r="V110" t="b">
        <v>1</v>
      </c>
      <c r="W110" t="inlineStr">
        <is>
          <t>Incentive!E14:J14</t>
        </is>
      </c>
      <c r="X110">
        <f>R[-2]C[0]/R[-4]C[0]</f>
        <v/>
      </c>
    </row>
    <row r="111">
      <c r="A111" t="inlineStr">
        <is>
          <t>Incentive</t>
        </is>
      </c>
      <c r="B111" t="inlineStr">
        <is>
          <t>J14</t>
        </is>
      </c>
      <c r="C111" t="n">
        <v>14</v>
      </c>
      <c r="D111" t="n">
        <v>10</v>
      </c>
      <c r="E111" t="inlineStr">
        <is>
          <t>Output</t>
        </is>
      </c>
      <c r="F111" t="inlineStr">
        <is>
          <t>'=J12/J10</t>
        </is>
      </c>
      <c r="G111" t="n">
        <v>419.1487500000001</v>
      </c>
      <c r="H111" t="inlineStr"/>
      <c r="I111" t="inlineStr">
        <is>
          <t>0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R111" t="b">
        <v>1</v>
      </c>
      <c r="S111" t="inlineStr">
        <is>
          <t>G000253</t>
        </is>
      </c>
      <c r="T111" t="inlineStr">
        <is>
          <t>Horizontal</t>
        </is>
      </c>
      <c r="U111" t="n">
        <v>6</v>
      </c>
      <c r="V111" t="b">
        <v>1</v>
      </c>
      <c r="W111" t="inlineStr">
        <is>
          <t>Incentive!E14:J14</t>
        </is>
      </c>
      <c r="X111">
        <f>R[-2]C[0]/R[-4]C[0]</f>
        <v/>
      </c>
    </row>
    <row r="112">
      <c r="A112" t="inlineStr">
        <is>
          <t>Incentive</t>
        </is>
      </c>
      <c r="B112" t="inlineStr">
        <is>
          <t>K14</t>
        </is>
      </c>
      <c r="C112" t="n">
        <v>14</v>
      </c>
      <c r="D112" t="n">
        <v>11</v>
      </c>
      <c r="E112" t="inlineStr">
        <is>
          <t>Input</t>
        </is>
      </c>
      <c r="F112" t="n">
        <v/>
      </c>
      <c r="G112" t="n">
        <v>430</v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Incentive</t>
        </is>
      </c>
      <c r="B113" t="inlineStr">
        <is>
          <t>L14</t>
        </is>
      </c>
      <c r="C113" t="n">
        <v>14</v>
      </c>
      <c r="D113" t="n">
        <v>12</v>
      </c>
      <c r="E113" t="inlineStr">
        <is>
          <t>Input</t>
        </is>
      </c>
      <c r="F113" t="n">
        <v/>
      </c>
      <c r="G113" t="n">
        <v>430</v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FFFF0000</t>
        </is>
      </c>
      <c r="N113" t="inlineStr">
        <is>
          <t>00000000</t>
        </is>
      </c>
      <c r="O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Incentive</t>
        </is>
      </c>
      <c r="B114" t="inlineStr">
        <is>
          <t>M14</t>
        </is>
      </c>
      <c r="C114" t="n">
        <v>14</v>
      </c>
      <c r="D114" t="n">
        <v>13</v>
      </c>
      <c r="E114" t="inlineStr">
        <is>
          <t>Input</t>
        </is>
      </c>
      <c r="F114" t="n">
        <v/>
      </c>
      <c r="G114" t="n">
        <v>430</v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FFFF0000</t>
        </is>
      </c>
      <c r="N114" t="inlineStr">
        <is>
          <t>00000000</t>
        </is>
      </c>
      <c r="O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Incentive</t>
        </is>
      </c>
      <c r="B115" t="inlineStr">
        <is>
          <t>N14</t>
        </is>
      </c>
      <c r="C115" t="n">
        <v>14</v>
      </c>
      <c r="D115" t="n">
        <v>14</v>
      </c>
      <c r="E115" t="inlineStr">
        <is>
          <t>Input</t>
        </is>
      </c>
      <c r="F115" t="n">
        <v/>
      </c>
      <c r="G115" t="n">
        <v>430</v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FFFF0000</t>
        </is>
      </c>
      <c r="N115" t="inlineStr">
        <is>
          <t>00000000</t>
        </is>
      </c>
      <c r="O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Incentive</t>
        </is>
      </c>
      <c r="B116" t="inlineStr">
        <is>
          <t>O14</t>
        </is>
      </c>
      <c r="C116" t="n">
        <v>14</v>
      </c>
      <c r="D116" t="n">
        <v>15</v>
      </c>
      <c r="E116" t="inlineStr">
        <is>
          <t>Input</t>
        </is>
      </c>
      <c r="F116" t="n">
        <v/>
      </c>
      <c r="G116" t="n">
        <v>430</v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FFFF0000</t>
        </is>
      </c>
      <c r="N116" t="inlineStr">
        <is>
          <t>00000000</t>
        </is>
      </c>
      <c r="O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Incentive</t>
        </is>
      </c>
      <c r="B117" t="inlineStr">
        <is>
          <t>A16</t>
        </is>
      </c>
      <c r="C117" t="n">
        <v>16</v>
      </c>
      <c r="D117" t="n">
        <v>1</v>
      </c>
      <c r="E117" t="inlineStr">
        <is>
          <t>Input</t>
        </is>
      </c>
      <c r="F117" t="n">
        <v/>
      </c>
      <c r="G117" t="inlineStr">
        <is>
          <t>Short -term as a % of Long term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Incentive</t>
        </is>
      </c>
      <c r="B118" t="inlineStr">
        <is>
          <t>E16</t>
        </is>
      </c>
      <c r="C118" t="n">
        <v>16</v>
      </c>
      <c r="D118" t="n">
        <v>5</v>
      </c>
      <c r="E118" t="inlineStr">
        <is>
          <t>Output</t>
        </is>
      </c>
      <c r="F118" t="inlineStr">
        <is>
          <t>'=E8/D7</t>
        </is>
      </c>
      <c r="G118" t="n">
        <v>0.6531136173196299</v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G000254</t>
        </is>
      </c>
      <c r="T118" t="inlineStr">
        <is>
          <t>Horizontal</t>
        </is>
      </c>
      <c r="U118" t="n">
        <v>6</v>
      </c>
      <c r="V118" t="b">
        <v>1</v>
      </c>
      <c r="W118" t="inlineStr">
        <is>
          <t>Incentive!E16:J16</t>
        </is>
      </c>
      <c r="X118">
        <f>R[-8]C[0]/R[-9]C[-1]</f>
        <v/>
      </c>
    </row>
    <row r="119">
      <c r="A119" t="inlineStr">
        <is>
          <t>Incentive</t>
        </is>
      </c>
      <c r="B119" t="inlineStr">
        <is>
          <t>F16</t>
        </is>
      </c>
      <c r="C119" t="n">
        <v>16</v>
      </c>
      <c r="D119" t="n">
        <v>6</v>
      </c>
      <c r="E119" t="inlineStr">
        <is>
          <t>Output</t>
        </is>
      </c>
      <c r="F119" t="inlineStr">
        <is>
          <t>'=F8/E7</t>
        </is>
      </c>
      <c r="G119" t="n">
        <v>0.4145425615456101</v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1</v>
      </c>
      <c r="S119" t="inlineStr">
        <is>
          <t>G000254</t>
        </is>
      </c>
      <c r="T119" t="inlineStr">
        <is>
          <t>Horizontal</t>
        </is>
      </c>
      <c r="U119" t="n">
        <v>6</v>
      </c>
      <c r="V119" t="b">
        <v>1</v>
      </c>
      <c r="W119" t="inlineStr">
        <is>
          <t>Incentive!E16:J16</t>
        </is>
      </c>
      <c r="X119">
        <f>R[-8]C[0]/R[-9]C[-1]</f>
        <v/>
      </c>
    </row>
    <row r="120">
      <c r="A120" t="inlineStr">
        <is>
          <t>Incentive</t>
        </is>
      </c>
      <c r="B120" t="inlineStr">
        <is>
          <t>G16</t>
        </is>
      </c>
      <c r="C120" t="n">
        <v>16</v>
      </c>
      <c r="D120" t="n">
        <v>7</v>
      </c>
      <c r="E120" t="inlineStr">
        <is>
          <t>Output</t>
        </is>
      </c>
      <c r="F120" t="inlineStr">
        <is>
          <t>'=G8/F7</t>
        </is>
      </c>
      <c r="G120" t="n">
        <v>0.3321264581410125</v>
      </c>
      <c r="H120" t="inlineStr"/>
      <c r="I120" t="inlineStr">
        <is>
          <t>0%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G000254</t>
        </is>
      </c>
      <c r="T120" t="inlineStr">
        <is>
          <t>Horizontal</t>
        </is>
      </c>
      <c r="U120" t="n">
        <v>6</v>
      </c>
      <c r="V120" t="b">
        <v>1</v>
      </c>
      <c r="W120" t="inlineStr">
        <is>
          <t>Incentive!E16:J16</t>
        </is>
      </c>
      <c r="X120">
        <f>R[-8]C[0]/R[-9]C[-1]</f>
        <v/>
      </c>
    </row>
    <row r="121">
      <c r="A121" t="inlineStr">
        <is>
          <t>Incentive</t>
        </is>
      </c>
      <c r="B121" t="inlineStr">
        <is>
          <t>H16</t>
        </is>
      </c>
      <c r="C121" t="n">
        <v>16</v>
      </c>
      <c r="D121" t="n">
        <v>8</v>
      </c>
      <c r="E121" t="inlineStr">
        <is>
          <t>Output</t>
        </is>
      </c>
      <c r="F121" t="inlineStr">
        <is>
          <t>'=H8/G7</t>
        </is>
      </c>
      <c r="G121" t="n">
        <v>0.3075231868009539</v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G000254</t>
        </is>
      </c>
      <c r="T121" t="inlineStr">
        <is>
          <t>Horizontal</t>
        </is>
      </c>
      <c r="U121" t="n">
        <v>6</v>
      </c>
      <c r="V121" t="b">
        <v>1</v>
      </c>
      <c r="W121" t="inlineStr">
        <is>
          <t>Incentive!E16:J16</t>
        </is>
      </c>
      <c r="X121">
        <f>R[-8]C[0]/R[-9]C[-1]</f>
        <v/>
      </c>
    </row>
    <row r="122">
      <c r="A122" t="inlineStr">
        <is>
          <t>Incentive</t>
        </is>
      </c>
      <c r="B122" t="inlineStr">
        <is>
          <t>I16</t>
        </is>
      </c>
      <c r="C122" t="n">
        <v>16</v>
      </c>
      <c r="D122" t="n">
        <v>9</v>
      </c>
      <c r="E122" t="inlineStr">
        <is>
          <t>Output</t>
        </is>
      </c>
      <c r="F122" t="inlineStr">
        <is>
          <t>'=I8/H7</t>
        </is>
      </c>
      <c r="G122" t="n">
        <v>0.3044181163947425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G000254</t>
        </is>
      </c>
      <c r="T122" t="inlineStr">
        <is>
          <t>Horizontal</t>
        </is>
      </c>
      <c r="U122" t="n">
        <v>6</v>
      </c>
      <c r="V122" t="b">
        <v>1</v>
      </c>
      <c r="W122" t="inlineStr">
        <is>
          <t>Incentive!E16:J16</t>
        </is>
      </c>
      <c r="X122">
        <f>R[-8]C[0]/R[-9]C[-1]</f>
        <v/>
      </c>
    </row>
    <row r="123">
      <c r="A123" t="inlineStr">
        <is>
          <t>Incentive</t>
        </is>
      </c>
      <c r="B123" t="inlineStr">
        <is>
          <t>J16</t>
        </is>
      </c>
      <c r="C123" t="n">
        <v>16</v>
      </c>
      <c r="D123" t="n">
        <v>10</v>
      </c>
      <c r="E123" t="inlineStr">
        <is>
          <t>Output</t>
        </is>
      </c>
      <c r="F123" t="inlineStr">
        <is>
          <t>'=J8/I7</t>
        </is>
      </c>
      <c r="G123" t="n">
        <v>0.4192361115827939</v>
      </c>
      <c r="H123" t="inlineStr"/>
      <c r="I123" t="inlineStr">
        <is>
          <t>0%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1</v>
      </c>
      <c r="S123" t="inlineStr">
        <is>
          <t>G000254</t>
        </is>
      </c>
      <c r="T123" t="inlineStr">
        <is>
          <t>Horizontal</t>
        </is>
      </c>
      <c r="U123" t="n">
        <v>6</v>
      </c>
      <c r="V123" t="b">
        <v>1</v>
      </c>
      <c r="W123" t="inlineStr">
        <is>
          <t>Incentive!E16:J16</t>
        </is>
      </c>
      <c r="X123">
        <f>R[-8]C[0]/R[-9]C[-1]</f>
        <v/>
      </c>
    </row>
    <row r="124">
      <c r="A124" t="inlineStr">
        <is>
          <t>Incentive</t>
        </is>
      </c>
      <c r="B124" t="inlineStr">
        <is>
          <t>K16</t>
        </is>
      </c>
      <c r="C124" t="n">
        <v>16</v>
      </c>
      <c r="D124" t="n">
        <v>11</v>
      </c>
      <c r="E124" t="inlineStr">
        <is>
          <t>Input</t>
        </is>
      </c>
      <c r="F124" t="n">
        <v/>
      </c>
      <c r="G124" t="n">
        <v>0.42</v>
      </c>
      <c r="H124" t="inlineStr"/>
      <c r="I124" t="inlineStr">
        <is>
          <t>0%</t>
        </is>
      </c>
      <c r="J124" t="b">
        <v>0</v>
      </c>
      <c r="K124" t="b">
        <v>0</v>
      </c>
      <c r="L124" t="n">
        <v>11</v>
      </c>
      <c r="M124" t="inlineStr">
        <is>
          <t>FFFF0000</t>
        </is>
      </c>
      <c r="N124" t="inlineStr">
        <is>
          <t>00000000</t>
        </is>
      </c>
      <c r="O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Incentive</t>
        </is>
      </c>
      <c r="B125" t="inlineStr">
        <is>
          <t>L16</t>
        </is>
      </c>
      <c r="C125" t="n">
        <v>16</v>
      </c>
      <c r="D125" t="n">
        <v>12</v>
      </c>
      <c r="E125" t="inlineStr">
        <is>
          <t>Input</t>
        </is>
      </c>
      <c r="F125" t="n">
        <v/>
      </c>
      <c r="G125" t="n">
        <v>0.42</v>
      </c>
      <c r="H125" t="inlineStr"/>
      <c r="I125" t="inlineStr">
        <is>
          <t>0%</t>
        </is>
      </c>
      <c r="J125" t="b">
        <v>0</v>
      </c>
      <c r="K125" t="b">
        <v>0</v>
      </c>
      <c r="L125" t="n">
        <v>11</v>
      </c>
      <c r="M125" t="inlineStr">
        <is>
          <t>FFFF0000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Incentive</t>
        </is>
      </c>
      <c r="B126" t="inlineStr">
        <is>
          <t>M16</t>
        </is>
      </c>
      <c r="C126" t="n">
        <v>16</v>
      </c>
      <c r="D126" t="n">
        <v>13</v>
      </c>
      <c r="E126" t="inlineStr">
        <is>
          <t>Input</t>
        </is>
      </c>
      <c r="F126" t="n">
        <v/>
      </c>
      <c r="G126" t="n">
        <v>0.42</v>
      </c>
      <c r="H126" t="inlineStr"/>
      <c r="I126" t="inlineStr">
        <is>
          <t>0%</t>
        </is>
      </c>
      <c r="J126" t="b">
        <v>0</v>
      </c>
      <c r="K126" t="b">
        <v>0</v>
      </c>
      <c r="L126" t="n">
        <v>11</v>
      </c>
      <c r="M126" t="inlineStr">
        <is>
          <t>FFFF0000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Incentive</t>
        </is>
      </c>
      <c r="B127" t="inlineStr">
        <is>
          <t>N16</t>
        </is>
      </c>
      <c r="C127" t="n">
        <v>16</v>
      </c>
      <c r="D127" t="n">
        <v>14</v>
      </c>
      <c r="E127" t="inlineStr">
        <is>
          <t>Input</t>
        </is>
      </c>
      <c r="F127" t="n">
        <v/>
      </c>
      <c r="G127" t="n">
        <v>0.42</v>
      </c>
      <c r="H127" t="inlineStr"/>
      <c r="I127" t="inlineStr">
        <is>
          <t>0%</t>
        </is>
      </c>
      <c r="J127" t="b">
        <v>0</v>
      </c>
      <c r="K127" t="b">
        <v>0</v>
      </c>
      <c r="L127" t="n">
        <v>11</v>
      </c>
      <c r="M127" t="inlineStr">
        <is>
          <t>FFFF0000</t>
        </is>
      </c>
      <c r="N127" t="inlineStr">
        <is>
          <t>00000000</t>
        </is>
      </c>
      <c r="O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Incentive</t>
        </is>
      </c>
      <c r="B128" t="inlineStr">
        <is>
          <t>O16</t>
        </is>
      </c>
      <c r="C128" t="n">
        <v>16</v>
      </c>
      <c r="D128" t="n">
        <v>15</v>
      </c>
      <c r="E128" t="inlineStr">
        <is>
          <t>Input</t>
        </is>
      </c>
      <c r="F128" t="n">
        <v/>
      </c>
      <c r="G128" t="n">
        <v>0.42</v>
      </c>
      <c r="H128" t="inlineStr"/>
      <c r="I128" t="inlineStr">
        <is>
          <t>0%</t>
        </is>
      </c>
      <c r="J128" t="b">
        <v>0</v>
      </c>
      <c r="K128" t="b">
        <v>0</v>
      </c>
      <c r="L128" t="n">
        <v>11</v>
      </c>
      <c r="M128" t="inlineStr">
        <is>
          <t>FFFF0000</t>
        </is>
      </c>
      <c r="N128" t="inlineStr">
        <is>
          <t>00000000</t>
        </is>
      </c>
      <c r="O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CashFlow Statement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CashFlow Statement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CashFlow Statement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CashFlow Statement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CashFlow Statement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CashFlow Statement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CashFlow Statement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CashFlow Statement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CashFlow Statement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CashFlow Statement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CashFlow Statement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CashFlow Statement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CashFlow Statement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CashFlow Statement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G15" t="inlineStr">
        <is>
          <t>Template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CashFlow Statement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All Data in Millions INR, except per share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CashFlow Statement</t>
        </is>
      </c>
      <c r="B17" t="inlineStr">
        <is>
          <t>A4</t>
        </is>
      </c>
      <c r="C17" t="n">
        <v>4</v>
      </c>
      <c r="D17" t="n">
        <v>1</v>
      </c>
      <c r="E17" t="inlineStr">
        <is>
          <t>Input</t>
        </is>
      </c>
      <c r="F17" t="n">
        <v/>
      </c>
      <c r="G17" t="inlineStr">
        <is>
          <t>(Red=Assumption, Blue=Actual, Black=Calculation)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CashFlow Statement</t>
        </is>
      </c>
      <c r="B18" t="inlineStr">
        <is>
          <t>B4</t>
        </is>
      </c>
      <c r="C18" t="n">
        <v>4</v>
      </c>
      <c r="D18" t="n">
        <v>2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CashFlow Statement</t>
        </is>
      </c>
      <c r="B19" t="inlineStr">
        <is>
          <t>E4</t>
        </is>
      </c>
      <c r="C19" t="n">
        <v>4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CashFlow Statement</t>
        </is>
      </c>
      <c r="B20" t="inlineStr">
        <is>
          <t>F4</t>
        </is>
      </c>
      <c r="C20" t="n">
        <v>4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CashFlow Statement</t>
        </is>
      </c>
      <c r="B21" t="inlineStr">
        <is>
          <t>G4</t>
        </is>
      </c>
      <c r="C21" t="n">
        <v>4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CashFlow Statement</t>
        </is>
      </c>
      <c r="B22" t="inlineStr">
        <is>
          <t>K4</t>
        </is>
      </c>
      <c r="C22" t="n">
        <v>4</v>
      </c>
      <c r="D22" t="n">
        <v>11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CashFlow Statement</t>
        </is>
      </c>
      <c r="B23" t="inlineStr">
        <is>
          <t>L4</t>
        </is>
      </c>
      <c r="C23" t="n">
        <v>4</v>
      </c>
      <c r="D23" t="n">
        <v>12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CashFlow Statement</t>
        </is>
      </c>
      <c r="B24" t="inlineStr">
        <is>
          <t>M4</t>
        </is>
      </c>
      <c r="C24" t="n">
        <v>4</v>
      </c>
      <c r="D24" t="n">
        <v>13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CashFlow Statement</t>
        </is>
      </c>
      <c r="B25" t="inlineStr">
        <is>
          <t>N4</t>
        </is>
      </c>
      <c r="C25" t="n">
        <v>4</v>
      </c>
      <c r="D25" t="n">
        <v>14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CashFlow Statement</t>
        </is>
      </c>
      <c r="B26" t="inlineStr">
        <is>
          <t>A5</t>
        </is>
      </c>
      <c r="C26" t="n">
        <v>5</v>
      </c>
      <c r="D26" t="n">
        <v>1</v>
      </c>
      <c r="E26" t="inlineStr">
        <is>
          <t>Input</t>
        </is>
      </c>
      <c r="F26" t="n">
        <v/>
      </c>
      <c r="G26" t="inlineStr">
        <is>
          <t>Date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CashFlow Statement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00000000</t>
        </is>
      </c>
      <c r="O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CashFlow Statement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s="1" t="n">
        <v>40633</v>
      </c>
      <c r="H28" t="inlineStr"/>
      <c r="I28" t="inlineStr">
        <is>
          <t>[$-409]mmm/yy;@</t>
        </is>
      </c>
      <c r="J28" t="b">
        <v>0</v>
      </c>
      <c r="K28" t="b">
        <v>0</v>
      </c>
      <c r="L28" t="n">
        <v>11</v>
      </c>
      <c r="M28" t="inlineStr">
        <is>
          <t>FF0B0280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CashFlow Statement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Calculation</t>
        </is>
      </c>
      <c r="F29" t="inlineStr">
        <is>
          <t>'=EOMONTH(D5,12)</t>
        </is>
      </c>
      <c r="G29" s="1" t="n">
        <v>40999</v>
      </c>
      <c r="H29" t="inlineStr"/>
      <c r="I29" t="inlineStr">
        <is>
          <t>[$-409]mmm/yy;@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1</v>
      </c>
      <c r="S29" t="inlineStr">
        <is>
          <t>G000255</t>
        </is>
      </c>
      <c r="T29" t="inlineStr">
        <is>
          <t>Horizontal</t>
        </is>
      </c>
      <c r="U29" t="n">
        <v>11</v>
      </c>
      <c r="V29" t="b">
        <v>1</v>
      </c>
      <c r="W29" t="inlineStr">
        <is>
          <t>CashFlow Statement!E5:O5</t>
        </is>
      </c>
      <c r="X29">
        <f>EOMONTH(R[0]C[-1],12)</f>
        <v/>
      </c>
    </row>
    <row r="30">
      <c r="A30" t="inlineStr">
        <is>
          <t>CashFlow Statement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Calculation</t>
        </is>
      </c>
      <c r="F30" t="inlineStr">
        <is>
          <t>'=EOMONTH(E5,12)</t>
        </is>
      </c>
      <c r="G30" s="1" t="n">
        <v>41364</v>
      </c>
      <c r="H30" t="inlineStr"/>
      <c r="I30" t="inlineStr">
        <is>
          <t>[$-409]mmm/yy;@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1</v>
      </c>
      <c r="S30" t="inlineStr">
        <is>
          <t>G000255</t>
        </is>
      </c>
      <c r="T30" t="inlineStr">
        <is>
          <t>Horizontal</t>
        </is>
      </c>
      <c r="U30" t="n">
        <v>11</v>
      </c>
      <c r="V30" t="b">
        <v>1</v>
      </c>
      <c r="W30" t="inlineStr">
        <is>
          <t>CashFlow Statement!E5:O5</t>
        </is>
      </c>
      <c r="X30">
        <f>EOMONTH(R[0]C[-1],12)</f>
        <v/>
      </c>
    </row>
    <row r="31">
      <c r="A31" t="inlineStr">
        <is>
          <t>CashFlow Statement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Calculation</t>
        </is>
      </c>
      <c r="F31" t="inlineStr">
        <is>
          <t>'=EOMONTH(F5,12)</t>
        </is>
      </c>
      <c r="G31" s="1" t="n">
        <v>41729</v>
      </c>
      <c r="H31" t="inlineStr"/>
      <c r="I31" t="inlineStr">
        <is>
          <t>[$-409]mmm/yy;@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1</v>
      </c>
      <c r="S31" t="inlineStr">
        <is>
          <t>G000255</t>
        </is>
      </c>
      <c r="T31" t="inlineStr">
        <is>
          <t>Horizontal</t>
        </is>
      </c>
      <c r="U31" t="n">
        <v>11</v>
      </c>
      <c r="V31" t="b">
        <v>1</v>
      </c>
      <c r="W31" t="inlineStr">
        <is>
          <t>CashFlow Statement!E5:O5</t>
        </is>
      </c>
      <c r="X31">
        <f>EOMONTH(R[0]C[-1],12)</f>
        <v/>
      </c>
    </row>
    <row r="32">
      <c r="A32" t="inlineStr">
        <is>
          <t>CashFlow Statement</t>
        </is>
      </c>
      <c r="B32" t="inlineStr">
        <is>
          <t>H5</t>
        </is>
      </c>
      <c r="C32" t="n">
        <v>5</v>
      </c>
      <c r="D32" t="n">
        <v>8</v>
      </c>
      <c r="E32" t="inlineStr">
        <is>
          <t>Calculation</t>
        </is>
      </c>
      <c r="F32" t="inlineStr">
        <is>
          <t>'=EOMONTH(G5,12)</t>
        </is>
      </c>
      <c r="G32" s="1" t="n">
        <v>42094</v>
      </c>
      <c r="H32" t="inlineStr"/>
      <c r="I32" t="inlineStr">
        <is>
          <t>[$-409]mmm/yy;@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1</v>
      </c>
      <c r="S32" t="inlineStr">
        <is>
          <t>G000255</t>
        </is>
      </c>
      <c r="T32" t="inlineStr">
        <is>
          <t>Horizontal</t>
        </is>
      </c>
      <c r="U32" t="n">
        <v>11</v>
      </c>
      <c r="V32" t="b">
        <v>1</v>
      </c>
      <c r="W32" t="inlineStr">
        <is>
          <t>CashFlow Statement!E5:O5</t>
        </is>
      </c>
      <c r="X32">
        <f>EOMONTH(R[0]C[-1],12)</f>
        <v/>
      </c>
    </row>
    <row r="33">
      <c r="A33" t="inlineStr">
        <is>
          <t>CashFlow Statement</t>
        </is>
      </c>
      <c r="B33" t="inlineStr">
        <is>
          <t>I5</t>
        </is>
      </c>
      <c r="C33" t="n">
        <v>5</v>
      </c>
      <c r="D33" t="n">
        <v>9</v>
      </c>
      <c r="E33" t="inlineStr">
        <is>
          <t>Calculation</t>
        </is>
      </c>
      <c r="F33" t="inlineStr">
        <is>
          <t>'=EOMONTH(H5,12)</t>
        </is>
      </c>
      <c r="G33" s="1" t="n">
        <v>42460</v>
      </c>
      <c r="H33" t="inlineStr"/>
      <c r="I33" t="inlineStr">
        <is>
          <t>[$-409]mmm/yy;@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R33" t="b">
        <v>1</v>
      </c>
      <c r="S33" t="inlineStr">
        <is>
          <t>G000255</t>
        </is>
      </c>
      <c r="T33" t="inlineStr">
        <is>
          <t>Horizontal</t>
        </is>
      </c>
      <c r="U33" t="n">
        <v>11</v>
      </c>
      <c r="V33" t="b">
        <v>1</v>
      </c>
      <c r="W33" t="inlineStr">
        <is>
          <t>CashFlow Statement!E5:O5</t>
        </is>
      </c>
      <c r="X33">
        <f>EOMONTH(R[0]C[-1],12)</f>
        <v/>
      </c>
    </row>
    <row r="34">
      <c r="A34" t="inlineStr">
        <is>
          <t>CashFlow Statement</t>
        </is>
      </c>
      <c r="B34" t="inlineStr">
        <is>
          <t>J5</t>
        </is>
      </c>
      <c r="C34" t="n">
        <v>5</v>
      </c>
      <c r="D34" t="n">
        <v>10</v>
      </c>
      <c r="E34" t="inlineStr">
        <is>
          <t>Calculation</t>
        </is>
      </c>
      <c r="F34" t="inlineStr">
        <is>
          <t>'=EOMONTH(I5,12)</t>
        </is>
      </c>
      <c r="G34" s="1" t="n">
        <v>42825</v>
      </c>
      <c r="H34" t="inlineStr"/>
      <c r="I34" t="inlineStr">
        <is>
          <t>[$-409]mmm/yy;@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R34" t="b">
        <v>1</v>
      </c>
      <c r="S34" t="inlineStr">
        <is>
          <t>G000255</t>
        </is>
      </c>
      <c r="T34" t="inlineStr">
        <is>
          <t>Horizontal</t>
        </is>
      </c>
      <c r="U34" t="n">
        <v>11</v>
      </c>
      <c r="V34" t="b">
        <v>1</v>
      </c>
      <c r="W34" t="inlineStr">
        <is>
          <t>CashFlow Statement!E5:O5</t>
        </is>
      </c>
      <c r="X34">
        <f>EOMONTH(R[0]C[-1],12)</f>
        <v/>
      </c>
    </row>
    <row r="35">
      <c r="A35" t="inlineStr">
        <is>
          <t>CashFlow Statement</t>
        </is>
      </c>
      <c r="B35" t="inlineStr">
        <is>
          <t>K5</t>
        </is>
      </c>
      <c r="C35" t="n">
        <v>5</v>
      </c>
      <c r="D35" t="n">
        <v>11</v>
      </c>
      <c r="E35" t="inlineStr">
        <is>
          <t>Calculation</t>
        </is>
      </c>
      <c r="F35" t="inlineStr">
        <is>
          <t>'=EOMONTH(J5,12)</t>
        </is>
      </c>
      <c r="G35" s="1" t="n">
        <v>43190</v>
      </c>
      <c r="H35" t="inlineStr"/>
      <c r="I35" t="inlineStr">
        <is>
          <t>[$-409]mmm/yy;@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1</v>
      </c>
      <c r="S35" t="inlineStr">
        <is>
          <t>G000255</t>
        </is>
      </c>
      <c r="T35" t="inlineStr">
        <is>
          <t>Horizontal</t>
        </is>
      </c>
      <c r="U35" t="n">
        <v>11</v>
      </c>
      <c r="V35" t="b">
        <v>1</v>
      </c>
      <c r="W35" t="inlineStr">
        <is>
          <t>CashFlow Statement!E5:O5</t>
        </is>
      </c>
      <c r="X35">
        <f>EOMONTH(R[0]C[-1],12)</f>
        <v/>
      </c>
    </row>
    <row r="36">
      <c r="A36" t="inlineStr">
        <is>
          <t>CashFlow Statement</t>
        </is>
      </c>
      <c r="B36" t="inlineStr">
        <is>
          <t>L5</t>
        </is>
      </c>
      <c r="C36" t="n">
        <v>5</v>
      </c>
      <c r="D36" t="n">
        <v>12</v>
      </c>
      <c r="E36" t="inlineStr">
        <is>
          <t>Calculation</t>
        </is>
      </c>
      <c r="F36" t="inlineStr">
        <is>
          <t>'=EOMONTH(K5,12)</t>
        </is>
      </c>
      <c r="G36" s="1" t="n">
        <v>43555</v>
      </c>
      <c r="H36" t="inlineStr"/>
      <c r="I36" t="inlineStr">
        <is>
          <t>[$-409]mmm/yy;@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1</v>
      </c>
      <c r="S36" t="inlineStr">
        <is>
          <t>G000255</t>
        </is>
      </c>
      <c r="T36" t="inlineStr">
        <is>
          <t>Horizontal</t>
        </is>
      </c>
      <c r="U36" t="n">
        <v>11</v>
      </c>
      <c r="V36" t="b">
        <v>1</v>
      </c>
      <c r="W36" t="inlineStr">
        <is>
          <t>CashFlow Statement!E5:O5</t>
        </is>
      </c>
      <c r="X36">
        <f>EOMONTH(R[0]C[-1],12)</f>
        <v/>
      </c>
    </row>
    <row r="37">
      <c r="A37" t="inlineStr">
        <is>
          <t>CashFlow Statement</t>
        </is>
      </c>
      <c r="B37" t="inlineStr">
        <is>
          <t>M5</t>
        </is>
      </c>
      <c r="C37" t="n">
        <v>5</v>
      </c>
      <c r="D37" t="n">
        <v>13</v>
      </c>
      <c r="E37" t="inlineStr">
        <is>
          <t>Calculation</t>
        </is>
      </c>
      <c r="F37" t="inlineStr">
        <is>
          <t>'=EOMONTH(L5,12)</t>
        </is>
      </c>
      <c r="G37" s="1" t="n">
        <v>43921</v>
      </c>
      <c r="H37" t="inlineStr"/>
      <c r="I37" t="inlineStr">
        <is>
          <t>[$-409]mmm/yy;@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1</v>
      </c>
      <c r="S37" t="inlineStr">
        <is>
          <t>G000255</t>
        </is>
      </c>
      <c r="T37" t="inlineStr">
        <is>
          <t>Horizontal</t>
        </is>
      </c>
      <c r="U37" t="n">
        <v>11</v>
      </c>
      <c r="V37" t="b">
        <v>1</v>
      </c>
      <c r="W37" t="inlineStr">
        <is>
          <t>CashFlow Statement!E5:O5</t>
        </is>
      </c>
      <c r="X37">
        <f>EOMONTH(R[0]C[-1],12)</f>
        <v/>
      </c>
    </row>
    <row r="38">
      <c r="A38" t="inlineStr">
        <is>
          <t>CashFlow Statement</t>
        </is>
      </c>
      <c r="B38" t="inlineStr">
        <is>
          <t>N5</t>
        </is>
      </c>
      <c r="C38" t="n">
        <v>5</v>
      </c>
      <c r="D38" t="n">
        <v>14</v>
      </c>
      <c r="E38" t="inlineStr">
        <is>
          <t>Calculation</t>
        </is>
      </c>
      <c r="F38" t="inlineStr">
        <is>
          <t>'=EOMONTH(M5,12)</t>
        </is>
      </c>
      <c r="G38" s="1" t="n">
        <v>44286</v>
      </c>
      <c r="H38" t="inlineStr"/>
      <c r="I38" t="inlineStr">
        <is>
          <t>[$-409]mmm/yy;@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1</v>
      </c>
      <c r="S38" t="inlineStr">
        <is>
          <t>G000255</t>
        </is>
      </c>
      <c r="T38" t="inlineStr">
        <is>
          <t>Horizontal</t>
        </is>
      </c>
      <c r="U38" t="n">
        <v>11</v>
      </c>
      <c r="V38" t="b">
        <v>1</v>
      </c>
      <c r="W38" t="inlineStr">
        <is>
          <t>CashFlow Statement!E5:O5</t>
        </is>
      </c>
      <c r="X38">
        <f>EOMONTH(R[0]C[-1],12)</f>
        <v/>
      </c>
    </row>
    <row r="39">
      <c r="A39" t="inlineStr">
        <is>
          <t>CashFlow Statement</t>
        </is>
      </c>
      <c r="B39" t="inlineStr">
        <is>
          <t>O5</t>
        </is>
      </c>
      <c r="C39" t="n">
        <v>5</v>
      </c>
      <c r="D39" t="n">
        <v>15</v>
      </c>
      <c r="E39" t="inlineStr">
        <is>
          <t>Calculation</t>
        </is>
      </c>
      <c r="F39" t="inlineStr">
        <is>
          <t>'=EOMONTH(N5,12)</t>
        </is>
      </c>
      <c r="G39" s="1" t="n">
        <v>44651</v>
      </c>
      <c r="H39" t="inlineStr"/>
      <c r="I39" t="inlineStr">
        <is>
          <t>[$-409]mmm/yy;@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1</v>
      </c>
      <c r="S39" t="inlineStr">
        <is>
          <t>G000255</t>
        </is>
      </c>
      <c r="T39" t="inlineStr">
        <is>
          <t>Horizontal</t>
        </is>
      </c>
      <c r="U39" t="n">
        <v>11</v>
      </c>
      <c r="V39" t="b">
        <v>1</v>
      </c>
      <c r="W39" t="inlineStr">
        <is>
          <t>CashFlow Statement!E5:O5</t>
        </is>
      </c>
      <c r="X39">
        <f>EOMONTH(R[0]C[-1],12)</f>
        <v/>
      </c>
    </row>
    <row r="40">
      <c r="A40" t="inlineStr">
        <is>
          <t>CashFlow Statement</t>
        </is>
      </c>
      <c r="B40" t="inlineStr">
        <is>
          <t>A6</t>
        </is>
      </c>
      <c r="C40" t="n">
        <v>6</v>
      </c>
      <c r="D40" t="n">
        <v>1</v>
      </c>
      <c r="E40" t="inlineStr">
        <is>
          <t>Input</t>
        </is>
      </c>
      <c r="F40" t="n">
        <v/>
      </c>
      <c r="G40" t="inlineStr">
        <is>
          <t>Year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CashFlow Statement</t>
        </is>
      </c>
      <c r="B41" t="inlineStr">
        <is>
          <t>B6</t>
        </is>
      </c>
      <c r="C41" t="n">
        <v>6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CashFlow Statement</t>
        </is>
      </c>
      <c r="B42" t="inlineStr">
        <is>
          <t>D6</t>
        </is>
      </c>
      <c r="C42" t="n">
        <v>6</v>
      </c>
      <c r="D42" t="n">
        <v>4</v>
      </c>
      <c r="E42" t="inlineStr">
        <is>
          <t>Output</t>
        </is>
      </c>
      <c r="F42" t="inlineStr">
        <is>
          <t>'=YEAR(D5)</t>
        </is>
      </c>
      <c r="G42" t="n">
        <v>2011</v>
      </c>
      <c r="H42" t="inlineStr"/>
      <c r="I42" t="inlineStr">
        <is>
          <t>0\-\A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G000256</t>
        </is>
      </c>
      <c r="T42" t="inlineStr">
        <is>
          <t>Horizontal</t>
        </is>
      </c>
      <c r="U42" t="n">
        <v>12</v>
      </c>
      <c r="V42" t="b">
        <v>1</v>
      </c>
      <c r="W42" t="inlineStr">
        <is>
          <t>CashFlow Statement!D6:O6</t>
        </is>
      </c>
      <c r="X42">
        <f>YEAR(R[-1]C[0])</f>
        <v/>
      </c>
    </row>
    <row r="43">
      <c r="A43" t="inlineStr">
        <is>
          <t>CashFlow Statement</t>
        </is>
      </c>
      <c r="B43" t="inlineStr">
        <is>
          <t>E6</t>
        </is>
      </c>
      <c r="C43" t="n">
        <v>6</v>
      </c>
      <c r="D43" t="n">
        <v>5</v>
      </c>
      <c r="E43" t="inlineStr">
        <is>
          <t>Output</t>
        </is>
      </c>
      <c r="F43" t="inlineStr">
        <is>
          <t>'=YEAR(E5)</t>
        </is>
      </c>
      <c r="G43" t="n">
        <v>2012</v>
      </c>
      <c r="H43" t="inlineStr"/>
      <c r="I43" t="inlineStr">
        <is>
          <t>0\-\A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G000256</t>
        </is>
      </c>
      <c r="T43" t="inlineStr">
        <is>
          <t>Horizontal</t>
        </is>
      </c>
      <c r="U43" t="n">
        <v>12</v>
      </c>
      <c r="V43" t="b">
        <v>1</v>
      </c>
      <c r="W43" t="inlineStr">
        <is>
          <t>CashFlow Statement!D6:O6</t>
        </is>
      </c>
      <c r="X43">
        <f>YEAR(R[-1]C[0])</f>
        <v/>
      </c>
    </row>
    <row r="44">
      <c r="A44" t="inlineStr">
        <is>
          <t>CashFlow Statement</t>
        </is>
      </c>
      <c r="B44" t="inlineStr">
        <is>
          <t>F6</t>
        </is>
      </c>
      <c r="C44" t="n">
        <v>6</v>
      </c>
      <c r="D44" t="n">
        <v>6</v>
      </c>
      <c r="E44" t="inlineStr">
        <is>
          <t>Output</t>
        </is>
      </c>
      <c r="F44" t="inlineStr">
        <is>
          <t>'=YEAR(F5)</t>
        </is>
      </c>
      <c r="G44" t="n">
        <v>2013</v>
      </c>
      <c r="H44" t="inlineStr"/>
      <c r="I44" t="inlineStr">
        <is>
          <t>0\-\A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1</v>
      </c>
      <c r="S44" t="inlineStr">
        <is>
          <t>G000256</t>
        </is>
      </c>
      <c r="T44" t="inlineStr">
        <is>
          <t>Horizontal</t>
        </is>
      </c>
      <c r="U44" t="n">
        <v>12</v>
      </c>
      <c r="V44" t="b">
        <v>1</v>
      </c>
      <c r="W44" t="inlineStr">
        <is>
          <t>CashFlow Statement!D6:O6</t>
        </is>
      </c>
      <c r="X44">
        <f>YEAR(R[-1]C[0])</f>
        <v/>
      </c>
    </row>
    <row r="45">
      <c r="A45" t="inlineStr">
        <is>
          <t>CashFlow Statement</t>
        </is>
      </c>
      <c r="B45" t="inlineStr">
        <is>
          <t>G6</t>
        </is>
      </c>
      <c r="C45" t="n">
        <v>6</v>
      </c>
      <c r="D45" t="n">
        <v>7</v>
      </c>
      <c r="E45" t="inlineStr">
        <is>
          <t>Output</t>
        </is>
      </c>
      <c r="F45" t="inlineStr">
        <is>
          <t>'=YEAR(G5)</t>
        </is>
      </c>
      <c r="G45" t="n">
        <v>2014</v>
      </c>
      <c r="H45" t="inlineStr"/>
      <c r="I45" t="inlineStr">
        <is>
          <t>0\-\A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1</v>
      </c>
      <c r="S45" t="inlineStr">
        <is>
          <t>G000256</t>
        </is>
      </c>
      <c r="T45" t="inlineStr">
        <is>
          <t>Horizontal</t>
        </is>
      </c>
      <c r="U45" t="n">
        <v>12</v>
      </c>
      <c r="V45" t="b">
        <v>1</v>
      </c>
      <c r="W45" t="inlineStr">
        <is>
          <t>CashFlow Statement!D6:O6</t>
        </is>
      </c>
      <c r="X45">
        <f>YEAR(R[-1]C[0])</f>
        <v/>
      </c>
    </row>
    <row r="46">
      <c r="A46" t="inlineStr">
        <is>
          <t>CashFlow Statement</t>
        </is>
      </c>
      <c r="B46" t="inlineStr">
        <is>
          <t>H6</t>
        </is>
      </c>
      <c r="C46" t="n">
        <v>6</v>
      </c>
      <c r="D46" t="n">
        <v>8</v>
      </c>
      <c r="E46" t="inlineStr">
        <is>
          <t>Output</t>
        </is>
      </c>
      <c r="F46" t="inlineStr">
        <is>
          <t>'=YEAR(H5)</t>
        </is>
      </c>
      <c r="G46" t="n">
        <v>2015</v>
      </c>
      <c r="H46" t="inlineStr"/>
      <c r="I46" t="inlineStr">
        <is>
          <t>0\-\A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1</v>
      </c>
      <c r="S46" t="inlineStr">
        <is>
          <t>G000256</t>
        </is>
      </c>
      <c r="T46" t="inlineStr">
        <is>
          <t>Horizontal</t>
        </is>
      </c>
      <c r="U46" t="n">
        <v>12</v>
      </c>
      <c r="V46" t="b">
        <v>1</v>
      </c>
      <c r="W46" t="inlineStr">
        <is>
          <t>CashFlow Statement!D6:O6</t>
        </is>
      </c>
      <c r="X46">
        <f>YEAR(R[-1]C[0])</f>
        <v/>
      </c>
    </row>
    <row r="47">
      <c r="A47" t="inlineStr">
        <is>
          <t>CashFlow Statement</t>
        </is>
      </c>
      <c r="B47" t="inlineStr">
        <is>
          <t>I6</t>
        </is>
      </c>
      <c r="C47" t="n">
        <v>6</v>
      </c>
      <c r="D47" t="n">
        <v>9</v>
      </c>
      <c r="E47" t="inlineStr">
        <is>
          <t>Output</t>
        </is>
      </c>
      <c r="F47" t="inlineStr">
        <is>
          <t>'=YEAR(I5)</t>
        </is>
      </c>
      <c r="G47" t="n">
        <v>2016</v>
      </c>
      <c r="H47" t="inlineStr"/>
      <c r="I47" t="inlineStr">
        <is>
          <t>0\-\A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1</v>
      </c>
      <c r="S47" t="inlineStr">
        <is>
          <t>G000256</t>
        </is>
      </c>
      <c r="T47" t="inlineStr">
        <is>
          <t>Horizontal</t>
        </is>
      </c>
      <c r="U47" t="n">
        <v>12</v>
      </c>
      <c r="V47" t="b">
        <v>1</v>
      </c>
      <c r="W47" t="inlineStr">
        <is>
          <t>CashFlow Statement!D6:O6</t>
        </is>
      </c>
      <c r="X47">
        <f>YEAR(R[-1]C[0])</f>
        <v/>
      </c>
    </row>
    <row r="48">
      <c r="A48" t="inlineStr">
        <is>
          <t>CashFlow Statement</t>
        </is>
      </c>
      <c r="B48" t="inlineStr">
        <is>
          <t>J6</t>
        </is>
      </c>
      <c r="C48" t="n">
        <v>6</v>
      </c>
      <c r="D48" t="n">
        <v>10</v>
      </c>
      <c r="E48" t="inlineStr">
        <is>
          <t>Output</t>
        </is>
      </c>
      <c r="F48" t="inlineStr">
        <is>
          <t>'=YEAR(J5)</t>
        </is>
      </c>
      <c r="G48" t="n">
        <v>2017</v>
      </c>
      <c r="H48" t="inlineStr"/>
      <c r="I48" t="inlineStr">
        <is>
          <t>0\-\A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1</v>
      </c>
      <c r="S48" t="inlineStr">
        <is>
          <t>G000256</t>
        </is>
      </c>
      <c r="T48" t="inlineStr">
        <is>
          <t>Horizontal</t>
        </is>
      </c>
      <c r="U48" t="n">
        <v>12</v>
      </c>
      <c r="V48" t="b">
        <v>1</v>
      </c>
      <c r="W48" t="inlineStr">
        <is>
          <t>CashFlow Statement!D6:O6</t>
        </is>
      </c>
      <c r="X48">
        <f>YEAR(R[-1]C[0])</f>
        <v/>
      </c>
    </row>
    <row r="49">
      <c r="A49" t="inlineStr">
        <is>
          <t>CashFlow Statement</t>
        </is>
      </c>
      <c r="B49" t="inlineStr">
        <is>
          <t>K6</t>
        </is>
      </c>
      <c r="C49" t="n">
        <v>6</v>
      </c>
      <c r="D49" t="n">
        <v>11</v>
      </c>
      <c r="E49" t="inlineStr">
        <is>
          <t>Output</t>
        </is>
      </c>
      <c r="F49" t="inlineStr">
        <is>
          <t>'=YEAR(K5)</t>
        </is>
      </c>
      <c r="G49" t="n">
        <v>2018</v>
      </c>
      <c r="H49" t="inlineStr"/>
      <c r="I49" t="inlineStr">
        <is>
          <t>0\-\E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1</v>
      </c>
      <c r="S49" t="inlineStr">
        <is>
          <t>G000256</t>
        </is>
      </c>
      <c r="T49" t="inlineStr">
        <is>
          <t>Horizontal</t>
        </is>
      </c>
      <c r="U49" t="n">
        <v>12</v>
      </c>
      <c r="V49" t="b">
        <v>1</v>
      </c>
      <c r="W49" t="inlineStr">
        <is>
          <t>CashFlow Statement!D6:O6</t>
        </is>
      </c>
      <c r="X49">
        <f>YEAR(R[-1]C[0])</f>
        <v/>
      </c>
    </row>
    <row r="50">
      <c r="A50" t="inlineStr">
        <is>
          <t>CashFlow Statement</t>
        </is>
      </c>
      <c r="B50" t="inlineStr">
        <is>
          <t>L6</t>
        </is>
      </c>
      <c r="C50" t="n">
        <v>6</v>
      </c>
      <c r="D50" t="n">
        <v>12</v>
      </c>
      <c r="E50" t="inlineStr">
        <is>
          <t>Output</t>
        </is>
      </c>
      <c r="F50" t="inlineStr">
        <is>
          <t>'=YEAR(L5)</t>
        </is>
      </c>
      <c r="G50" t="n">
        <v>2019</v>
      </c>
      <c r="H50" t="inlineStr"/>
      <c r="I50" t="inlineStr">
        <is>
          <t>0\-\E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1</v>
      </c>
      <c r="S50" t="inlineStr">
        <is>
          <t>G000256</t>
        </is>
      </c>
      <c r="T50" t="inlineStr">
        <is>
          <t>Horizontal</t>
        </is>
      </c>
      <c r="U50" t="n">
        <v>12</v>
      </c>
      <c r="V50" t="b">
        <v>1</v>
      </c>
      <c r="W50" t="inlineStr">
        <is>
          <t>CashFlow Statement!D6:O6</t>
        </is>
      </c>
      <c r="X50">
        <f>YEAR(R[-1]C[0])</f>
        <v/>
      </c>
    </row>
    <row r="51">
      <c r="A51" t="inlineStr">
        <is>
          <t>CashFlow Statement</t>
        </is>
      </c>
      <c r="B51" t="inlineStr">
        <is>
          <t>M6</t>
        </is>
      </c>
      <c r="C51" t="n">
        <v>6</v>
      </c>
      <c r="D51" t="n">
        <v>13</v>
      </c>
      <c r="E51" t="inlineStr">
        <is>
          <t>Output</t>
        </is>
      </c>
      <c r="F51" t="inlineStr">
        <is>
          <t>'=YEAR(M5)</t>
        </is>
      </c>
      <c r="G51" t="n">
        <v>2020</v>
      </c>
      <c r="H51" t="inlineStr"/>
      <c r="I51" t="inlineStr">
        <is>
          <t>0\-\E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1</v>
      </c>
      <c r="S51" t="inlineStr">
        <is>
          <t>G000256</t>
        </is>
      </c>
      <c r="T51" t="inlineStr">
        <is>
          <t>Horizontal</t>
        </is>
      </c>
      <c r="U51" t="n">
        <v>12</v>
      </c>
      <c r="V51" t="b">
        <v>1</v>
      </c>
      <c r="W51" t="inlineStr">
        <is>
          <t>CashFlow Statement!D6:O6</t>
        </is>
      </c>
      <c r="X51">
        <f>YEAR(R[-1]C[0])</f>
        <v/>
      </c>
    </row>
    <row r="52">
      <c r="A52" t="inlineStr">
        <is>
          <t>CashFlow Statement</t>
        </is>
      </c>
      <c r="B52" t="inlineStr">
        <is>
          <t>N6</t>
        </is>
      </c>
      <c r="C52" t="n">
        <v>6</v>
      </c>
      <c r="D52" t="n">
        <v>14</v>
      </c>
      <c r="E52" t="inlineStr">
        <is>
          <t>Output</t>
        </is>
      </c>
      <c r="F52" t="inlineStr">
        <is>
          <t>'=YEAR(N5)</t>
        </is>
      </c>
      <c r="G52" t="n">
        <v>2021</v>
      </c>
      <c r="H52" t="inlineStr"/>
      <c r="I52" t="inlineStr">
        <is>
          <t>0\-\E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1</v>
      </c>
      <c r="S52" t="inlineStr">
        <is>
          <t>G000256</t>
        </is>
      </c>
      <c r="T52" t="inlineStr">
        <is>
          <t>Horizontal</t>
        </is>
      </c>
      <c r="U52" t="n">
        <v>12</v>
      </c>
      <c r="V52" t="b">
        <v>1</v>
      </c>
      <c r="W52" t="inlineStr">
        <is>
          <t>CashFlow Statement!D6:O6</t>
        </is>
      </c>
      <c r="X52">
        <f>YEAR(R[-1]C[0])</f>
        <v/>
      </c>
    </row>
    <row r="53">
      <c r="A53" t="inlineStr">
        <is>
          <t>CashFlow Statement</t>
        </is>
      </c>
      <c r="B53" t="inlineStr">
        <is>
          <t>O6</t>
        </is>
      </c>
      <c r="C53" t="n">
        <v>6</v>
      </c>
      <c r="D53" t="n">
        <v>15</v>
      </c>
      <c r="E53" t="inlineStr">
        <is>
          <t>Output</t>
        </is>
      </c>
      <c r="F53" t="inlineStr">
        <is>
          <t>'=YEAR(O5)</t>
        </is>
      </c>
      <c r="G53" t="n">
        <v>2022</v>
      </c>
      <c r="H53" t="inlineStr"/>
      <c r="I53" t="inlineStr">
        <is>
          <t>0\-\E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1</v>
      </c>
      <c r="S53" t="inlineStr">
        <is>
          <t>G000256</t>
        </is>
      </c>
      <c r="T53" t="inlineStr">
        <is>
          <t>Horizontal</t>
        </is>
      </c>
      <c r="U53" t="n">
        <v>12</v>
      </c>
      <c r="V53" t="b">
        <v>1</v>
      </c>
      <c r="W53" t="inlineStr">
        <is>
          <t>CashFlow Statement!D6:O6</t>
        </is>
      </c>
      <c r="X53">
        <f>YEAR(R[-1]C[0])</f>
        <v/>
      </c>
    </row>
    <row r="54">
      <c r="A54" t="inlineStr">
        <is>
          <t>CashFlow Statement</t>
        </is>
      </c>
      <c r="B54" t="inlineStr">
        <is>
          <t>A7</t>
        </is>
      </c>
      <c r="C54" t="n">
        <v>7</v>
      </c>
      <c r="D54" t="n">
        <v>1</v>
      </c>
      <c r="E54" t="inlineStr">
        <is>
          <t>Input</t>
        </is>
      </c>
      <c r="F54" t="n">
        <v/>
      </c>
      <c r="G54" t="inlineStr">
        <is>
          <t>Cash flows from operating activities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CashFlow Statement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CashFlow Statement</t>
        </is>
      </c>
      <c r="B56" t="inlineStr">
        <is>
          <t>H7</t>
        </is>
      </c>
      <c r="C56" t="n">
        <v>7</v>
      </c>
      <c r="D56" t="n">
        <v>8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CashFlow Statement</t>
        </is>
      </c>
      <c r="B57" t="inlineStr">
        <is>
          <t>K7</t>
        </is>
      </c>
      <c r="C57" t="n">
        <v>7</v>
      </c>
      <c r="D57" t="n">
        <v>11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CashFlow Statement</t>
        </is>
      </c>
      <c r="B58" t="inlineStr">
        <is>
          <t>A8</t>
        </is>
      </c>
      <c r="C58" t="n">
        <v>8</v>
      </c>
      <c r="D58" t="n">
        <v>1</v>
      </c>
      <c r="E58" t="inlineStr">
        <is>
          <t>Input</t>
        </is>
      </c>
      <c r="F58" t="n">
        <v/>
      </c>
      <c r="G58" t="inlineStr">
        <is>
          <t>Net profit before tax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CashFlow Statement</t>
        </is>
      </c>
      <c r="B59" t="inlineStr">
        <is>
          <t>D8</t>
        </is>
      </c>
      <c r="C59" t="n">
        <v>8</v>
      </c>
      <c r="D59" t="n">
        <v>4</v>
      </c>
      <c r="E59" t="inlineStr">
        <is>
          <t>Input</t>
        </is>
      </c>
      <c r="F59" t="n">
        <v/>
      </c>
      <c r="G59" t="n">
        <v>7147.5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FF0B0280</t>
        </is>
      </c>
      <c r="N59" t="inlineStr">
        <is>
          <t>00000000</t>
        </is>
      </c>
      <c r="O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CashFlow Statement</t>
        </is>
      </c>
      <c r="B60" t="inlineStr">
        <is>
          <t>E8</t>
        </is>
      </c>
      <c r="C60" t="n">
        <v>8</v>
      </c>
      <c r="D60" t="n">
        <v>5</v>
      </c>
      <c r="E60" t="inlineStr">
        <is>
          <t>Input</t>
        </is>
      </c>
      <c r="F60" t="n">
        <v/>
      </c>
      <c r="G60" t="n">
        <v>749.04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FF0B0280</t>
        </is>
      </c>
      <c r="N60" t="inlineStr">
        <is>
          <t>00000000</t>
        </is>
      </c>
      <c r="O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CashFlow Statement</t>
        </is>
      </c>
      <c r="B61" t="inlineStr">
        <is>
          <t>F8</t>
        </is>
      </c>
      <c r="C61" t="n">
        <v>8</v>
      </c>
      <c r="D61" t="n">
        <v>6</v>
      </c>
      <c r="E61" t="inlineStr">
        <is>
          <t>Input</t>
        </is>
      </c>
      <c r="F61" t="n">
        <v/>
      </c>
      <c r="G61" t="n">
        <v>9873.18</v>
      </c>
      <c r="H61" t="inlineStr"/>
      <c r="I61" t="inlineStr">
        <is>
          <t>#,##0</t>
        </is>
      </c>
      <c r="J61" t="b">
        <v>0</v>
      </c>
      <c r="K61" t="b">
        <v>0</v>
      </c>
      <c r="L61" t="n">
        <v>11</v>
      </c>
      <c r="M61" t="inlineStr">
        <is>
          <t>FF0B0280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CashFlow Statement</t>
        </is>
      </c>
      <c r="B62" t="inlineStr">
        <is>
          <t>G8</t>
        </is>
      </c>
      <c r="C62" t="n">
        <v>8</v>
      </c>
      <c r="D62" t="n">
        <v>7</v>
      </c>
      <c r="E62" t="inlineStr">
        <is>
          <t>Input</t>
        </is>
      </c>
      <c r="F62" t="n">
        <v/>
      </c>
      <c r="G62" t="n">
        <v>4718.97</v>
      </c>
      <c r="H62" t="inlineStr"/>
      <c r="I62" t="inlineStr">
        <is>
          <t>#,##0</t>
        </is>
      </c>
      <c r="J62" t="b">
        <v>0</v>
      </c>
      <c r="K62" t="b">
        <v>0</v>
      </c>
      <c r="L62" t="n">
        <v>11</v>
      </c>
      <c r="M62" t="inlineStr">
        <is>
          <t>FF0B0280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CashFlow Statement</t>
        </is>
      </c>
      <c r="B63" t="inlineStr">
        <is>
          <t>H8</t>
        </is>
      </c>
      <c r="C63" t="n">
        <v>8</v>
      </c>
      <c r="D63" t="n">
        <v>8</v>
      </c>
      <c r="E63" t="inlineStr">
        <is>
          <t>Input</t>
        </is>
      </c>
      <c r="F63" t="n">
        <v/>
      </c>
      <c r="G63" t="n">
        <v>18465.23</v>
      </c>
      <c r="H63" t="inlineStr"/>
      <c r="I63" t="inlineStr">
        <is>
          <t>#,##0</t>
        </is>
      </c>
      <c r="J63" t="b">
        <v>0</v>
      </c>
      <c r="K63" t="b">
        <v>0</v>
      </c>
      <c r="L63" t="n">
        <v>11</v>
      </c>
      <c r="M63" t="inlineStr">
        <is>
          <t>FF0B0280</t>
        </is>
      </c>
      <c r="N63" t="inlineStr">
        <is>
          <t>00000000</t>
        </is>
      </c>
      <c r="O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CashFlow Statement</t>
        </is>
      </c>
      <c r="B64" t="inlineStr">
        <is>
          <t>I8</t>
        </is>
      </c>
      <c r="C64" t="n">
        <v>8</v>
      </c>
      <c r="D64" t="n">
        <v>9</v>
      </c>
      <c r="E64" t="inlineStr">
        <is>
          <t>Input</t>
        </is>
      </c>
      <c r="F64" t="n">
        <v/>
      </c>
      <c r="G64" t="n">
        <v>28289.5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FF0B0280</t>
        </is>
      </c>
      <c r="N64" t="inlineStr">
        <is>
          <t>00000000</t>
        </is>
      </c>
      <c r="O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CashFlow Statement</t>
        </is>
      </c>
      <c r="B65" t="inlineStr">
        <is>
          <t>J8</t>
        </is>
      </c>
      <c r="C65" t="n">
        <v>8</v>
      </c>
      <c r="D65" t="n">
        <v>10</v>
      </c>
      <c r="E65" t="inlineStr">
        <is>
          <t>Input</t>
        </is>
      </c>
      <c r="F65" t="n">
        <v/>
      </c>
      <c r="G65" t="n">
        <v>21442.99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FF0B0280</t>
        </is>
      </c>
      <c r="N65" t="inlineStr">
        <is>
          <t>00000000</t>
        </is>
      </c>
      <c r="O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CashFlow Statement</t>
        </is>
      </c>
      <c r="B66" t="inlineStr">
        <is>
          <t>K8</t>
        </is>
      </c>
      <c r="C66" t="n">
        <v>8</v>
      </c>
      <c r="D66" t="n">
        <v>11</v>
      </c>
      <c r="E66" t="inlineStr">
        <is>
          <t>Calculation</t>
        </is>
      </c>
      <c r="F66" t="inlineStr">
        <is>
          <t>'='Income statement'!K25</t>
        </is>
      </c>
      <c r="G66" t="n">
        <v>49311.33633391167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1</v>
      </c>
      <c r="S66" t="inlineStr">
        <is>
          <t>G000257</t>
        </is>
      </c>
      <c r="T66" t="inlineStr">
        <is>
          <t>Horizontal</t>
        </is>
      </c>
      <c r="U66" t="n">
        <v>5</v>
      </c>
      <c r="V66" t="b">
        <v>1</v>
      </c>
      <c r="W66" t="inlineStr">
        <is>
          <t>CashFlow Statement!K8:O8</t>
        </is>
      </c>
      <c r="X66">
        <f>'Income statement'!R[17]C[0]</f>
        <v/>
      </c>
    </row>
    <row r="67">
      <c r="A67" t="inlineStr">
        <is>
          <t>CashFlow Statement</t>
        </is>
      </c>
      <c r="B67" t="inlineStr">
        <is>
          <t>L8</t>
        </is>
      </c>
      <c r="C67" t="n">
        <v>8</v>
      </c>
      <c r="D67" t="n">
        <v>12</v>
      </c>
      <c r="E67" t="inlineStr">
        <is>
          <t>Calculation</t>
        </is>
      </c>
      <c r="F67" t="inlineStr">
        <is>
          <t>'='Income statement'!L25</t>
        </is>
      </c>
      <c r="G67" t="n">
        <v>55189.79875489133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1</v>
      </c>
      <c r="S67" t="inlineStr">
        <is>
          <t>G000257</t>
        </is>
      </c>
      <c r="T67" t="inlineStr">
        <is>
          <t>Horizontal</t>
        </is>
      </c>
      <c r="U67" t="n">
        <v>5</v>
      </c>
      <c r="V67" t="b">
        <v>1</v>
      </c>
      <c r="W67" t="inlineStr">
        <is>
          <t>CashFlow Statement!K8:O8</t>
        </is>
      </c>
      <c r="X67">
        <f>'Income statement'!R[17]C[0]</f>
        <v/>
      </c>
    </row>
    <row r="68">
      <c r="A68" t="inlineStr">
        <is>
          <t>CashFlow Statement</t>
        </is>
      </c>
      <c r="B68" t="inlineStr">
        <is>
          <t>M8</t>
        </is>
      </c>
      <c r="C68" t="n">
        <v>8</v>
      </c>
      <c r="D68" t="n">
        <v>13</v>
      </c>
      <c r="E68" t="inlineStr">
        <is>
          <t>Calculation</t>
        </is>
      </c>
      <c r="F68" t="inlineStr">
        <is>
          <t>'='Income statement'!M25</t>
        </is>
      </c>
      <c r="G68" t="n">
        <v>67886.16607714596</v>
      </c>
      <c r="H68" t="inlineStr"/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1</v>
      </c>
      <c r="S68" t="inlineStr">
        <is>
          <t>G000257</t>
        </is>
      </c>
      <c r="T68" t="inlineStr">
        <is>
          <t>Horizontal</t>
        </is>
      </c>
      <c r="U68" t="n">
        <v>5</v>
      </c>
      <c r="V68" t="b">
        <v>1</v>
      </c>
      <c r="W68" t="inlineStr">
        <is>
          <t>CashFlow Statement!K8:O8</t>
        </is>
      </c>
      <c r="X68">
        <f>'Income statement'!R[17]C[0]</f>
        <v/>
      </c>
    </row>
    <row r="69">
      <c r="A69" t="inlineStr">
        <is>
          <t>CashFlow Statement</t>
        </is>
      </c>
      <c r="B69" t="inlineStr">
        <is>
          <t>N8</t>
        </is>
      </c>
      <c r="C69" t="n">
        <v>8</v>
      </c>
      <c r="D69" t="n">
        <v>14</v>
      </c>
      <c r="E69" t="inlineStr">
        <is>
          <t>Calculation</t>
        </is>
      </c>
      <c r="F69" t="inlineStr">
        <is>
          <t>'='Income statement'!N25</t>
        </is>
      </c>
      <c r="G69" t="n">
        <v>81069.82960969915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1</v>
      </c>
      <c r="S69" t="inlineStr">
        <is>
          <t>G000257</t>
        </is>
      </c>
      <c r="T69" t="inlineStr">
        <is>
          <t>Horizontal</t>
        </is>
      </c>
      <c r="U69" t="n">
        <v>5</v>
      </c>
      <c r="V69" t="b">
        <v>1</v>
      </c>
      <c r="W69" t="inlineStr">
        <is>
          <t>CashFlow Statement!K8:O8</t>
        </is>
      </c>
      <c r="X69">
        <f>'Income statement'!R[17]C[0]</f>
        <v/>
      </c>
    </row>
    <row r="70">
      <c r="A70" t="inlineStr">
        <is>
          <t>CashFlow Statement</t>
        </is>
      </c>
      <c r="B70" t="inlineStr">
        <is>
          <t>O8</t>
        </is>
      </c>
      <c r="C70" t="n">
        <v>8</v>
      </c>
      <c r="D70" t="n">
        <v>15</v>
      </c>
      <c r="E70" t="inlineStr">
        <is>
          <t>Calculation</t>
        </is>
      </c>
      <c r="F70" t="inlineStr">
        <is>
          <t>'='Income statement'!O25</t>
        </is>
      </c>
      <c r="G70" t="n">
        <v>97575.94634338061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1</v>
      </c>
      <c r="S70" t="inlineStr">
        <is>
          <t>G000257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CashFlow Statement!K8:O8</t>
        </is>
      </c>
      <c r="X70">
        <f>'Income statement'!R[17]C[0]</f>
        <v/>
      </c>
    </row>
    <row r="71">
      <c r="A71" t="inlineStr">
        <is>
          <t>CashFlow Statement</t>
        </is>
      </c>
      <c r="B71" t="inlineStr">
        <is>
          <t>A9</t>
        </is>
      </c>
      <c r="C71" t="n">
        <v>9</v>
      </c>
      <c r="D71" t="n">
        <v>1</v>
      </c>
      <c r="E71" t="inlineStr">
        <is>
          <t>Input</t>
        </is>
      </c>
      <c r="F71" t="n">
        <v/>
      </c>
      <c r="G71" t="inlineStr">
        <is>
          <t>Adjustments for: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CashFlow Statement</t>
        </is>
      </c>
      <c r="B72" t="inlineStr">
        <is>
          <t>D9</t>
        </is>
      </c>
      <c r="C72" t="n">
        <v>9</v>
      </c>
      <c r="D72" t="n">
        <v>4</v>
      </c>
      <c r="E72" t="inlineStr">
        <is>
          <t>Input</t>
        </is>
      </c>
      <c r="F72" t="n">
        <v/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CashFlow Statement</t>
        </is>
      </c>
      <c r="B73" t="inlineStr">
        <is>
          <t>E9</t>
        </is>
      </c>
      <c r="C73" t="n">
        <v>9</v>
      </c>
      <c r="D73" t="n">
        <v>5</v>
      </c>
      <c r="E73" t="inlineStr">
        <is>
          <t>Input</t>
        </is>
      </c>
      <c r="F73" t="n">
        <v/>
      </c>
      <c r="H73" t="inlineStr"/>
      <c r="I73" t="inlineStr">
        <is>
          <t>#,##0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CashFlow Statement</t>
        </is>
      </c>
      <c r="B74" t="inlineStr">
        <is>
          <t>F9</t>
        </is>
      </c>
      <c r="C74" t="n">
        <v>9</v>
      </c>
      <c r="D74" t="n">
        <v>6</v>
      </c>
      <c r="E74" t="inlineStr">
        <is>
          <t>Input</t>
        </is>
      </c>
      <c r="F74" t="n">
        <v/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CashFlow Statement</t>
        </is>
      </c>
      <c r="B75" t="inlineStr">
        <is>
          <t>G9</t>
        </is>
      </c>
      <c r="C75" t="n">
        <v>9</v>
      </c>
      <c r="D75" t="n">
        <v>7</v>
      </c>
      <c r="E75" t="inlineStr">
        <is>
          <t>Input</t>
        </is>
      </c>
      <c r="F75" t="n">
        <v/>
      </c>
      <c r="H75" t="inlineStr"/>
      <c r="I75" t="inlineStr">
        <is>
          <t>#,##0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CashFlow Statement</t>
        </is>
      </c>
      <c r="B76" t="inlineStr">
        <is>
          <t>H9</t>
        </is>
      </c>
      <c r="C76" t="n">
        <v>9</v>
      </c>
      <c r="D76" t="n">
        <v>8</v>
      </c>
      <c r="E76" t="inlineStr">
        <is>
          <t>Input</t>
        </is>
      </c>
      <c r="F76" t="n">
        <v/>
      </c>
      <c r="H76" t="inlineStr"/>
      <c r="I76" t="inlineStr">
        <is>
          <t>#,##0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CashFlow Statement</t>
        </is>
      </c>
      <c r="B77" t="inlineStr">
        <is>
          <t>I9</t>
        </is>
      </c>
      <c r="C77" t="n">
        <v>9</v>
      </c>
      <c r="D77" t="n">
        <v>9</v>
      </c>
      <c r="E77" t="inlineStr">
        <is>
          <t>Input</t>
        </is>
      </c>
      <c r="F77" t="n">
        <v/>
      </c>
      <c r="H77" t="inlineStr"/>
      <c r="I77" t="inlineStr">
        <is>
          <t>#,##0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CashFlow Statement</t>
        </is>
      </c>
      <c r="B78" t="inlineStr">
        <is>
          <t>J9</t>
        </is>
      </c>
      <c r="C78" t="n">
        <v>9</v>
      </c>
      <c r="D78" t="n">
        <v>10</v>
      </c>
      <c r="E78" t="inlineStr">
        <is>
          <t>Input</t>
        </is>
      </c>
      <c r="F78" t="n">
        <v/>
      </c>
      <c r="H78" t="inlineStr"/>
      <c r="I78" t="inlineStr">
        <is>
          <t>#,##0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CashFlow Statement</t>
        </is>
      </c>
      <c r="B79" t="inlineStr">
        <is>
          <t>A10</t>
        </is>
      </c>
      <c r="C79" t="n">
        <v>10</v>
      </c>
      <c r="D79" t="n">
        <v>1</v>
      </c>
      <c r="E79" t="inlineStr">
        <is>
          <t>Input</t>
        </is>
      </c>
      <c r="F79" t="n">
        <v/>
      </c>
      <c r="G79" t="inlineStr">
        <is>
          <t>Depreciation and amortisation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CashFlow Statement</t>
        </is>
      </c>
      <c r="B80" t="inlineStr">
        <is>
          <t>D10</t>
        </is>
      </c>
      <c r="C80" t="n">
        <v>10</v>
      </c>
      <c r="D80" t="n">
        <v>4</v>
      </c>
      <c r="E80" t="inlineStr">
        <is>
          <t>Input</t>
        </is>
      </c>
      <c r="F80" t="n">
        <v/>
      </c>
      <c r="G80" t="n">
        <v>628.7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FF0B0280</t>
        </is>
      </c>
      <c r="N80" t="inlineStr">
        <is>
          <t>00000000</t>
        </is>
      </c>
      <c r="O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CashFlow Statement</t>
        </is>
      </c>
      <c r="B81" t="inlineStr">
        <is>
          <t>E10</t>
        </is>
      </c>
      <c r="C81" t="n">
        <v>10</v>
      </c>
      <c r="D81" t="n">
        <v>5</v>
      </c>
      <c r="E81" t="inlineStr">
        <is>
          <t>Input</t>
        </is>
      </c>
      <c r="F81" t="n">
        <v/>
      </c>
      <c r="G81" t="n">
        <v>665.23</v>
      </c>
      <c r="H81" t="inlineStr"/>
      <c r="I81" t="inlineStr">
        <is>
          <t>#,##0</t>
        </is>
      </c>
      <c r="J81" t="b">
        <v>0</v>
      </c>
      <c r="K81" t="b">
        <v>0</v>
      </c>
      <c r="L81" t="n">
        <v>11</v>
      </c>
      <c r="M81" t="inlineStr">
        <is>
          <t>FF0B0280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CashFlow Statement</t>
        </is>
      </c>
      <c r="B82" t="inlineStr">
        <is>
          <t>F10</t>
        </is>
      </c>
      <c r="C82" t="n">
        <v>10</v>
      </c>
      <c r="D82" t="n">
        <v>6</v>
      </c>
      <c r="E82" t="inlineStr">
        <is>
          <t>Input</t>
        </is>
      </c>
      <c r="F82" t="n">
        <v/>
      </c>
      <c r="G82" t="n">
        <v>856.2</v>
      </c>
      <c r="H82" t="inlineStr"/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FF0B0280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CashFlow Statement</t>
        </is>
      </c>
      <c r="B83" t="inlineStr">
        <is>
          <t>G10</t>
        </is>
      </c>
      <c r="C83" t="n">
        <v>10</v>
      </c>
      <c r="D83" t="n">
        <v>7</v>
      </c>
      <c r="E83" t="inlineStr">
        <is>
          <t>Input</t>
        </is>
      </c>
      <c r="F83" t="n">
        <v/>
      </c>
      <c r="G83" t="n">
        <v>2260.08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FF0B0280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CashFlow Statement</t>
        </is>
      </c>
      <c r="B84" t="inlineStr">
        <is>
          <t>H10</t>
        </is>
      </c>
      <c r="C84" t="n">
        <v>10</v>
      </c>
      <c r="D84" t="n">
        <v>8</v>
      </c>
      <c r="E84" t="inlineStr">
        <is>
          <t>Input</t>
        </is>
      </c>
      <c r="F84" t="n">
        <v/>
      </c>
      <c r="G84" t="n">
        <v>3022.14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FF0B0280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CashFlow Statement</t>
        </is>
      </c>
      <c r="B85" t="inlineStr">
        <is>
          <t>I10</t>
        </is>
      </c>
      <c r="C85" t="n">
        <v>10</v>
      </c>
      <c r="D85" t="n">
        <v>9</v>
      </c>
      <c r="E85" t="inlineStr">
        <is>
          <t>Input</t>
        </is>
      </c>
      <c r="F85" t="n">
        <v/>
      </c>
      <c r="G85" t="n">
        <v>5030.79</v>
      </c>
      <c r="H85" t="inlineStr"/>
      <c r="I85" t="inlineStr">
        <is>
          <t>#,##0</t>
        </is>
      </c>
      <c r="J85" t="b">
        <v>0</v>
      </c>
      <c r="K85" t="b">
        <v>0</v>
      </c>
      <c r="L85" t="n">
        <v>11</v>
      </c>
      <c r="M85" t="inlineStr">
        <is>
          <t>FF0B0280</t>
        </is>
      </c>
      <c r="N85" t="inlineStr">
        <is>
          <t>00000000</t>
        </is>
      </c>
      <c r="O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CashFlow Statement</t>
        </is>
      </c>
      <c r="B86" t="inlineStr">
        <is>
          <t>J10</t>
        </is>
      </c>
      <c r="C86" t="n">
        <v>10</v>
      </c>
      <c r="D86" t="n">
        <v>10</v>
      </c>
      <c r="E86" t="inlineStr">
        <is>
          <t>Input</t>
        </is>
      </c>
      <c r="F86" t="n">
        <v/>
      </c>
      <c r="G86" t="n">
        <v>4572.53</v>
      </c>
      <c r="H86" t="inlineStr"/>
      <c r="I86" t="inlineStr">
        <is>
          <t>#,##0</t>
        </is>
      </c>
      <c r="J86" t="b">
        <v>0</v>
      </c>
      <c r="K86" t="b">
        <v>0</v>
      </c>
      <c r="L86" t="n">
        <v>11</v>
      </c>
      <c r="M86" t="inlineStr">
        <is>
          <t>FF0B0280</t>
        </is>
      </c>
      <c r="N86" t="inlineStr">
        <is>
          <t>00000000</t>
        </is>
      </c>
      <c r="O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CashFlow Statement</t>
        </is>
      </c>
      <c r="B87" t="inlineStr">
        <is>
          <t>K10</t>
        </is>
      </c>
      <c r="C87" t="n">
        <v>10</v>
      </c>
      <c r="D87" t="n">
        <v>11</v>
      </c>
      <c r="E87" t="inlineStr">
        <is>
          <t>Calculation</t>
        </is>
      </c>
      <c r="F87" t="inlineStr">
        <is>
          <t>'='Income statement'!K22</t>
        </is>
      </c>
      <c r="G87" t="n">
        <v>4186.49204</v>
      </c>
      <c r="H87" t="inlineStr"/>
      <c r="I87" t="inlineStr">
        <is>
          <t>0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1</v>
      </c>
      <c r="S87" t="inlineStr">
        <is>
          <t>G000258</t>
        </is>
      </c>
      <c r="T87" t="inlineStr">
        <is>
          <t>Horizontal</t>
        </is>
      </c>
      <c r="U87" t="n">
        <v>5</v>
      </c>
      <c r="V87" t="b">
        <v>1</v>
      </c>
      <c r="W87" t="inlineStr">
        <is>
          <t>CashFlow Statement!K10:O10</t>
        </is>
      </c>
      <c r="X87">
        <f>'Income statement'!R[12]C[0]</f>
        <v/>
      </c>
    </row>
    <row r="88">
      <c r="A88" t="inlineStr">
        <is>
          <t>CashFlow Statement</t>
        </is>
      </c>
      <c r="B88" t="inlineStr">
        <is>
          <t>L10</t>
        </is>
      </c>
      <c r="C88" t="n">
        <v>10</v>
      </c>
      <c r="D88" t="n">
        <v>12</v>
      </c>
      <c r="E88" t="inlineStr">
        <is>
          <t>Calculation</t>
        </is>
      </c>
      <c r="F88" t="inlineStr">
        <is>
          <t>'='Income statement'!L22</t>
        </is>
      </c>
      <c r="G88" t="n">
        <v>4809.77539792</v>
      </c>
      <c r="H88" t="inlineStr"/>
      <c r="I88" t="inlineStr">
        <is>
          <t>0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1</v>
      </c>
      <c r="S88" t="inlineStr">
        <is>
          <t>G000258</t>
        </is>
      </c>
      <c r="T88" t="inlineStr">
        <is>
          <t>Horizontal</t>
        </is>
      </c>
      <c r="U88" t="n">
        <v>5</v>
      </c>
      <c r="V88" t="b">
        <v>1</v>
      </c>
      <c r="W88" t="inlineStr">
        <is>
          <t>CashFlow Statement!K10:O10</t>
        </is>
      </c>
      <c r="X88">
        <f>'Income statement'!R[12]C[0]</f>
        <v/>
      </c>
    </row>
    <row r="89">
      <c r="A89" t="inlineStr">
        <is>
          <t>CashFlow Statement</t>
        </is>
      </c>
      <c r="B89" t="inlineStr">
        <is>
          <t>M10</t>
        </is>
      </c>
      <c r="C89" t="n">
        <v>10</v>
      </c>
      <c r="D89" t="n">
        <v>13</v>
      </c>
      <c r="E89" t="inlineStr">
        <is>
          <t>Calculation</t>
        </is>
      </c>
      <c r="F89" t="inlineStr">
        <is>
          <t>'='Income statement'!M22</t>
        </is>
      </c>
      <c r="G89" t="n">
        <v>5383.58170415936</v>
      </c>
      <c r="H89" t="inlineStr"/>
      <c r="I89" t="inlineStr">
        <is>
          <t>0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1</v>
      </c>
      <c r="S89" t="inlineStr">
        <is>
          <t>G000258</t>
        </is>
      </c>
      <c r="T89" t="inlineStr">
        <is>
          <t>Horizontal</t>
        </is>
      </c>
      <c r="U89" t="n">
        <v>5</v>
      </c>
      <c r="V89" t="b">
        <v>1</v>
      </c>
      <c r="W89" t="inlineStr">
        <is>
          <t>CashFlow Statement!K10:O10</t>
        </is>
      </c>
      <c r="X89">
        <f>'Income statement'!R[12]C[0]</f>
        <v/>
      </c>
    </row>
    <row r="90">
      <c r="A90" t="inlineStr">
        <is>
          <t>CashFlow Statement</t>
        </is>
      </c>
      <c r="B90" t="inlineStr">
        <is>
          <t>N10</t>
        </is>
      </c>
      <c r="C90" t="n">
        <v>10</v>
      </c>
      <c r="D90" t="n">
        <v>14</v>
      </c>
      <c r="E90" t="inlineStr">
        <is>
          <t>Calculation</t>
        </is>
      </c>
      <c r="F90" t="inlineStr">
        <is>
          <t>'='Income statement'!N22</t>
        </is>
      </c>
      <c r="G90" t="n">
        <v>5921.215220228539</v>
      </c>
      <c r="H90" t="inlineStr"/>
      <c r="I90" t="inlineStr">
        <is>
          <t>0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R90" t="b">
        <v>1</v>
      </c>
      <c r="S90" t="inlineStr">
        <is>
          <t>G000258</t>
        </is>
      </c>
      <c r="T90" t="inlineStr">
        <is>
          <t>Horizontal</t>
        </is>
      </c>
      <c r="U90" t="n">
        <v>5</v>
      </c>
      <c r="V90" t="b">
        <v>1</v>
      </c>
      <c r="W90" t="inlineStr">
        <is>
          <t>CashFlow Statement!K10:O10</t>
        </is>
      </c>
      <c r="X90">
        <f>'Income statement'!R[12]C[0]</f>
        <v/>
      </c>
    </row>
    <row r="91">
      <c r="A91" t="inlineStr">
        <is>
          <t>CashFlow Statement</t>
        </is>
      </c>
      <c r="B91" t="inlineStr">
        <is>
          <t>O10</t>
        </is>
      </c>
      <c r="C91" t="n">
        <v>10</v>
      </c>
      <c r="D91" t="n">
        <v>15</v>
      </c>
      <c r="E91" t="inlineStr">
        <is>
          <t>Calculation</t>
        </is>
      </c>
      <c r="F91" t="inlineStr">
        <is>
          <t>'='Income statement'!O22</t>
        </is>
      </c>
      <c r="G91" t="n">
        <v>6431.080219021581</v>
      </c>
      <c r="H91" t="inlineStr"/>
      <c r="I91" t="inlineStr">
        <is>
          <t>0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1</v>
      </c>
      <c r="S91" t="inlineStr">
        <is>
          <t>G000258</t>
        </is>
      </c>
      <c r="T91" t="inlineStr">
        <is>
          <t>Horizontal</t>
        </is>
      </c>
      <c r="U91" t="n">
        <v>5</v>
      </c>
      <c r="V91" t="b">
        <v>1</v>
      </c>
      <c r="W91" t="inlineStr">
        <is>
          <t>CashFlow Statement!K10:O10</t>
        </is>
      </c>
      <c r="X91">
        <f>'Income statement'!R[12]C[0]</f>
        <v/>
      </c>
    </row>
    <row r="92">
      <c r="A92" t="inlineStr">
        <is>
          <t>CashFlow Statement</t>
        </is>
      </c>
      <c r="B92" t="inlineStr">
        <is>
          <t>A11</t>
        </is>
      </c>
      <c r="C92" t="n">
        <v>11</v>
      </c>
      <c r="D92" t="n">
        <v>1</v>
      </c>
      <c r="E92" t="inlineStr">
        <is>
          <t>Input</t>
        </is>
      </c>
      <c r="F92" t="n">
        <v/>
      </c>
      <c r="G92" t="inlineStr">
        <is>
          <t>Provisions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CashFlow Statement</t>
        </is>
      </c>
      <c r="B93" t="inlineStr">
        <is>
          <t>D11</t>
        </is>
      </c>
      <c r="C93" t="n">
        <v>11</v>
      </c>
      <c r="D93" t="n">
        <v>4</v>
      </c>
      <c r="E93" t="inlineStr">
        <is>
          <t>Calculation</t>
        </is>
      </c>
      <c r="F93" t="inlineStr">
        <is>
          <t>'=30.5+37.38</t>
        </is>
      </c>
      <c r="G93" t="n">
        <v>67.88</v>
      </c>
      <c r="H93" t="inlineStr"/>
      <c r="I93" t="inlineStr">
        <is>
          <t>#,##0</t>
        </is>
      </c>
      <c r="J93" t="b">
        <v>0</v>
      </c>
      <c r="K93" t="b">
        <v>0</v>
      </c>
      <c r="L93" t="n">
        <v>11</v>
      </c>
      <c r="M93" t="inlineStr">
        <is>
          <t>FF0B0280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>
        <f>30.5+37.38</f>
        <v/>
      </c>
    </row>
    <row r="94">
      <c r="A94" t="inlineStr">
        <is>
          <t>CashFlow Statement</t>
        </is>
      </c>
      <c r="B94" t="inlineStr">
        <is>
          <t>E11</t>
        </is>
      </c>
      <c r="C94" t="n">
        <v>11</v>
      </c>
      <c r="D94" t="n">
        <v>5</v>
      </c>
      <c r="E94" t="inlineStr">
        <is>
          <t>Calculation</t>
        </is>
      </c>
      <c r="F94" t="inlineStr">
        <is>
          <t>'=42.34+1.17+11.61</t>
        </is>
      </c>
      <c r="G94" t="n">
        <v>55.12</v>
      </c>
      <c r="H94" t="inlineStr"/>
      <c r="I94" t="inlineStr">
        <is>
          <t>#,##0</t>
        </is>
      </c>
      <c r="J94" t="b">
        <v>0</v>
      </c>
      <c r="K94" t="b">
        <v>0</v>
      </c>
      <c r="L94" t="n">
        <v>11</v>
      </c>
      <c r="M94" t="inlineStr">
        <is>
          <t>FF0B0280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>
        <f>42.34+1.17+11.61</f>
        <v/>
      </c>
    </row>
    <row r="95">
      <c r="A95" t="inlineStr">
        <is>
          <t>CashFlow Statement</t>
        </is>
      </c>
      <c r="B95" t="inlineStr">
        <is>
          <t>F11</t>
        </is>
      </c>
      <c r="C95" t="n">
        <v>11</v>
      </c>
      <c r="D95" t="n">
        <v>6</v>
      </c>
      <c r="E95" t="inlineStr">
        <is>
          <t>Calculation</t>
        </is>
      </c>
      <c r="F95" t="inlineStr">
        <is>
          <t>'=58.93-0.42+70.68</t>
        </is>
      </c>
      <c r="G95" t="n">
        <v>129.19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FF0B0280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>
        <f>58.93-0.42+70.68</f>
        <v/>
      </c>
    </row>
    <row r="96">
      <c r="A96" t="inlineStr">
        <is>
          <t>CashFlow Statement</t>
        </is>
      </c>
      <c r="B96" t="inlineStr">
        <is>
          <t>G11</t>
        </is>
      </c>
      <c r="C96" t="n">
        <v>11</v>
      </c>
      <c r="D96" t="n">
        <v>7</v>
      </c>
      <c r="E96" t="inlineStr">
        <is>
          <t>Calculation</t>
        </is>
      </c>
      <c r="F96" t="inlineStr">
        <is>
          <t>'=62.73+0.24+23.71</t>
        </is>
      </c>
      <c r="G96" t="n">
        <v>86.68000000000001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FF0B0280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>
        <f>62.73+0.24+23.71</f>
        <v/>
      </c>
    </row>
    <row r="97">
      <c r="A97" t="inlineStr">
        <is>
          <t>CashFlow Statement</t>
        </is>
      </c>
      <c r="B97" t="inlineStr">
        <is>
          <t>H11</t>
        </is>
      </c>
      <c r="C97" t="n">
        <v>11</v>
      </c>
      <c r="D97" t="n">
        <v>8</v>
      </c>
      <c r="E97" t="inlineStr">
        <is>
          <t>Calculation</t>
        </is>
      </c>
      <c r="F97" t="inlineStr">
        <is>
          <t>'=63.37+71.45+21.34</t>
        </is>
      </c>
      <c r="G97" t="n">
        <v>156.16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FF0B0280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>
        <f>63.37+71.45+21.34</f>
        <v/>
      </c>
    </row>
    <row r="98">
      <c r="A98" t="inlineStr">
        <is>
          <t>CashFlow Statement</t>
        </is>
      </c>
      <c r="B98" t="inlineStr">
        <is>
          <t>I11</t>
        </is>
      </c>
      <c r="C98" t="n">
        <v>11</v>
      </c>
      <c r="D98" t="n">
        <v>9</v>
      </c>
      <c r="E98" t="inlineStr">
        <is>
          <t>Calculation</t>
        </is>
      </c>
      <c r="F98" t="inlineStr">
        <is>
          <t>'=82.48+31.62</t>
        </is>
      </c>
      <c r="G98" t="n">
        <v>114.1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FF0B0280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>
        <f>82.48+31.62</f>
        <v/>
      </c>
    </row>
    <row r="99">
      <c r="A99" t="inlineStr">
        <is>
          <t>CashFlow Statement</t>
        </is>
      </c>
      <c r="B99" t="inlineStr">
        <is>
          <t>J11</t>
        </is>
      </c>
      <c r="C99" t="n">
        <v>11</v>
      </c>
      <c r="D99" t="n">
        <v>10</v>
      </c>
      <c r="E99" t="inlineStr">
        <is>
          <t>Calculation</t>
        </is>
      </c>
      <c r="F99" t="inlineStr">
        <is>
          <t>'=286.55+1670.58</t>
        </is>
      </c>
      <c r="G99" t="n">
        <v>1957.13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FF0B0280</t>
        </is>
      </c>
      <c r="N99" t="inlineStr">
        <is>
          <t>00000000</t>
        </is>
      </c>
      <c r="O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>
        <f>286.55+1670.58</f>
        <v/>
      </c>
    </row>
    <row r="100">
      <c r="A100" t="inlineStr">
        <is>
          <t>CashFlow Statement</t>
        </is>
      </c>
      <c r="B100" t="inlineStr">
        <is>
          <t>K11</t>
        </is>
      </c>
      <c r="C100" t="n">
        <v>11</v>
      </c>
      <c r="D100" t="n">
        <v>11</v>
      </c>
      <c r="E100" t="inlineStr">
        <is>
          <t>Input</t>
        </is>
      </c>
      <c r="F100" t="n">
        <v/>
      </c>
      <c r="G100" t="inlineStr">
        <is>
          <t>-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inlineStr">
        <is>
          <t>center</t>
        </is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CashFlow Statement</t>
        </is>
      </c>
      <c r="B101" t="inlineStr">
        <is>
          <t>L11</t>
        </is>
      </c>
      <c r="C101" t="n">
        <v>11</v>
      </c>
      <c r="D101" t="n">
        <v>12</v>
      </c>
      <c r="E101" t="inlineStr">
        <is>
          <t>Input</t>
        </is>
      </c>
      <c r="F101" t="n">
        <v/>
      </c>
      <c r="G101" t="inlineStr">
        <is>
          <t>-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inlineStr">
        <is>
          <t>center</t>
        </is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CashFlow Statement</t>
        </is>
      </c>
      <c r="B102" t="inlineStr">
        <is>
          <t>M11</t>
        </is>
      </c>
      <c r="C102" t="n">
        <v>11</v>
      </c>
      <c r="D102" t="n">
        <v>13</v>
      </c>
      <c r="E102" t="inlineStr">
        <is>
          <t>Input</t>
        </is>
      </c>
      <c r="F102" t="n">
        <v/>
      </c>
      <c r="G102" t="inlineStr">
        <is>
          <t>-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inlineStr">
        <is>
          <t>center</t>
        </is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CashFlow Statement</t>
        </is>
      </c>
      <c r="B103" t="inlineStr">
        <is>
          <t>N11</t>
        </is>
      </c>
      <c r="C103" t="n">
        <v>11</v>
      </c>
      <c r="D103" t="n">
        <v>14</v>
      </c>
      <c r="E103" t="inlineStr">
        <is>
          <t>Input</t>
        </is>
      </c>
      <c r="F103" t="n">
        <v/>
      </c>
      <c r="G103" t="inlineStr">
        <is>
          <t>-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inlineStr">
        <is>
          <t>center</t>
        </is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CashFlow Statement</t>
        </is>
      </c>
      <c r="B104" t="inlineStr">
        <is>
          <t>O11</t>
        </is>
      </c>
      <c r="C104" t="n">
        <v>11</v>
      </c>
      <c r="D104" t="n">
        <v>15</v>
      </c>
      <c r="E104" t="inlineStr">
        <is>
          <t>Input</t>
        </is>
      </c>
      <c r="F104" t="n">
        <v/>
      </c>
      <c r="G104" t="inlineStr">
        <is>
          <t>-</t>
        </is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CashFlow Statement</t>
        </is>
      </c>
      <c r="B105" t="inlineStr">
        <is>
          <t>A12</t>
        </is>
      </c>
      <c r="C105" t="n">
        <v>12</v>
      </c>
      <c r="D105" t="n">
        <v>1</v>
      </c>
      <c r="E105" t="inlineStr">
        <is>
          <t>Input</t>
        </is>
      </c>
      <c r="F105" t="n">
        <v/>
      </c>
      <c r="G105" t="inlineStr">
        <is>
          <t>Loss / (profit) on sale of fixed asset (net)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CashFlow Statement</t>
        </is>
      </c>
      <c r="B106" t="inlineStr">
        <is>
          <t>D12</t>
        </is>
      </c>
      <c r="C106" t="n">
        <v>12</v>
      </c>
      <c r="D106" t="n">
        <v>4</v>
      </c>
      <c r="E106" t="inlineStr">
        <is>
          <t>Input</t>
        </is>
      </c>
      <c r="F106" t="n">
        <v/>
      </c>
      <c r="G106" t="n">
        <v>-222.48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FF0B0280</t>
        </is>
      </c>
      <c r="N106" t="inlineStr">
        <is>
          <t>00000000</t>
        </is>
      </c>
      <c r="O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CashFlow Statement</t>
        </is>
      </c>
      <c r="B107" t="inlineStr">
        <is>
          <t>E12</t>
        </is>
      </c>
      <c r="C107" t="n">
        <v>12</v>
      </c>
      <c r="D107" t="n">
        <v>5</v>
      </c>
      <c r="E107" t="inlineStr">
        <is>
          <t>Input</t>
        </is>
      </c>
      <c r="F107" t="n">
        <v/>
      </c>
      <c r="G107" t="n">
        <v>1.07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FF0B0280</t>
        </is>
      </c>
      <c r="N107" t="inlineStr">
        <is>
          <t>00000000</t>
        </is>
      </c>
      <c r="O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CashFlow Statement</t>
        </is>
      </c>
      <c r="B108" t="inlineStr">
        <is>
          <t>F12</t>
        </is>
      </c>
      <c r="C108" t="n">
        <v>12</v>
      </c>
      <c r="D108" t="n">
        <v>6</v>
      </c>
      <c r="E108" t="inlineStr">
        <is>
          <t>Input</t>
        </is>
      </c>
      <c r="F108" t="n">
        <v/>
      </c>
      <c r="G108" t="n">
        <v>0.6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FF0B0280</t>
        </is>
      </c>
      <c r="N108" t="inlineStr">
        <is>
          <t>00000000</t>
        </is>
      </c>
      <c r="O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CashFlow Statement</t>
        </is>
      </c>
      <c r="B109" t="inlineStr">
        <is>
          <t>G12</t>
        </is>
      </c>
      <c r="C109" t="n">
        <v>12</v>
      </c>
      <c r="D109" t="n">
        <v>7</v>
      </c>
      <c r="E109" t="inlineStr">
        <is>
          <t>Input</t>
        </is>
      </c>
      <c r="F109" t="n">
        <v/>
      </c>
      <c r="G109" t="n">
        <v>-0.66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FF0B0280</t>
        </is>
      </c>
      <c r="N109" t="inlineStr">
        <is>
          <t>00000000</t>
        </is>
      </c>
      <c r="O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CashFlow Statement</t>
        </is>
      </c>
      <c r="B110" t="inlineStr">
        <is>
          <t>H12</t>
        </is>
      </c>
      <c r="C110" t="n">
        <v>12</v>
      </c>
      <c r="D110" t="n">
        <v>8</v>
      </c>
      <c r="E110" t="inlineStr">
        <is>
          <t>Input</t>
        </is>
      </c>
      <c r="F110" t="n">
        <v/>
      </c>
      <c r="G110" t="n">
        <v>0.13</v>
      </c>
      <c r="H110" t="inlineStr"/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FF0B0280</t>
        </is>
      </c>
      <c r="N110" t="inlineStr">
        <is>
          <t>00000000</t>
        </is>
      </c>
      <c r="O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CashFlow Statement</t>
        </is>
      </c>
      <c r="B111" t="inlineStr">
        <is>
          <t>I12</t>
        </is>
      </c>
      <c r="C111" t="n">
        <v>12</v>
      </c>
      <c r="D111" t="n">
        <v>9</v>
      </c>
      <c r="E111" t="inlineStr">
        <is>
          <t>Input</t>
        </is>
      </c>
      <c r="F111" t="n">
        <v/>
      </c>
      <c r="G111" t="n">
        <v>-0.4</v>
      </c>
      <c r="H111" t="inlineStr"/>
      <c r="I111" t="inlineStr">
        <is>
          <t>#,##0</t>
        </is>
      </c>
      <c r="J111" t="b">
        <v>0</v>
      </c>
      <c r="K111" t="b">
        <v>0</v>
      </c>
      <c r="L111" t="n">
        <v>11</v>
      </c>
      <c r="M111" t="inlineStr">
        <is>
          <t>FF0B0280</t>
        </is>
      </c>
      <c r="N111" t="inlineStr">
        <is>
          <t>00000000</t>
        </is>
      </c>
      <c r="O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CashFlow Statement</t>
        </is>
      </c>
      <c r="B112" t="inlineStr">
        <is>
          <t>J12</t>
        </is>
      </c>
      <c r="C112" t="n">
        <v>12</v>
      </c>
      <c r="D112" t="n">
        <v>10</v>
      </c>
      <c r="E112" t="inlineStr">
        <is>
          <t>Input</t>
        </is>
      </c>
      <c r="F112" t="n">
        <v/>
      </c>
      <c r="G112" t="n">
        <v>-24.58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FF0B0280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CashFlow Statement</t>
        </is>
      </c>
      <c r="B113" t="inlineStr">
        <is>
          <t>K12</t>
        </is>
      </c>
      <c r="C113" t="n">
        <v>12</v>
      </c>
      <c r="D113" t="n">
        <v>11</v>
      </c>
      <c r="E113" t="inlineStr">
        <is>
          <t>Input</t>
        </is>
      </c>
      <c r="F113" t="n">
        <v/>
      </c>
      <c r="G113" t="inlineStr">
        <is>
          <t>-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inlineStr">
        <is>
          <t>center</t>
        </is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CashFlow Statement</t>
        </is>
      </c>
      <c r="B114" t="inlineStr">
        <is>
          <t>L12</t>
        </is>
      </c>
      <c r="C114" t="n">
        <v>12</v>
      </c>
      <c r="D114" t="n">
        <v>12</v>
      </c>
      <c r="E114" t="inlineStr">
        <is>
          <t>Input</t>
        </is>
      </c>
      <c r="F114" t="n">
        <v/>
      </c>
      <c r="G114" t="inlineStr">
        <is>
          <t>-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inlineStr">
        <is>
          <t>center</t>
        </is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CashFlow Statement</t>
        </is>
      </c>
      <c r="B115" t="inlineStr">
        <is>
          <t>M12</t>
        </is>
      </c>
      <c r="C115" t="n">
        <v>12</v>
      </c>
      <c r="D115" t="n">
        <v>13</v>
      </c>
      <c r="E115" t="inlineStr">
        <is>
          <t>Input</t>
        </is>
      </c>
      <c r="F115" t="n">
        <v/>
      </c>
      <c r="G115" t="inlineStr">
        <is>
          <t>-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inlineStr">
        <is>
          <t>center</t>
        </is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CashFlow Statement</t>
        </is>
      </c>
      <c r="B116" t="inlineStr">
        <is>
          <t>N12</t>
        </is>
      </c>
      <c r="C116" t="n">
        <v>12</v>
      </c>
      <c r="D116" t="n">
        <v>14</v>
      </c>
      <c r="E116" t="inlineStr">
        <is>
          <t>Input</t>
        </is>
      </c>
      <c r="F116" t="n">
        <v/>
      </c>
      <c r="G116" t="inlineStr">
        <is>
          <t>-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inlineStr">
        <is>
          <t>center</t>
        </is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CashFlow Statement</t>
        </is>
      </c>
      <c r="B117" t="inlineStr">
        <is>
          <t>O12</t>
        </is>
      </c>
      <c r="C117" t="n">
        <v>12</v>
      </c>
      <c r="D117" t="n">
        <v>15</v>
      </c>
      <c r="E117" t="inlineStr">
        <is>
          <t>Input</t>
        </is>
      </c>
      <c r="F117" t="n">
        <v/>
      </c>
      <c r="G117" t="inlineStr">
        <is>
          <t>-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inlineStr">
        <is>
          <t>center</t>
        </is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CashFlow Statement</t>
        </is>
      </c>
      <c r="B118" t="inlineStr">
        <is>
          <t>A13</t>
        </is>
      </c>
      <c r="C118" t="n">
        <v>13</v>
      </c>
      <c r="D118" t="n">
        <v>1</v>
      </c>
      <c r="E118" t="inlineStr">
        <is>
          <t>Input</t>
        </is>
      </c>
      <c r="F118" t="n">
        <v/>
      </c>
      <c r="G118" t="inlineStr">
        <is>
          <t>Interest expense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CashFlow Statement</t>
        </is>
      </c>
      <c r="B119" t="inlineStr">
        <is>
          <t>D13</t>
        </is>
      </c>
      <c r="C119" t="n">
        <v>13</v>
      </c>
      <c r="D119" t="n">
        <v>4</v>
      </c>
      <c r="E119" t="inlineStr">
        <is>
          <t>Input</t>
        </is>
      </c>
      <c r="F119" t="n">
        <v/>
      </c>
      <c r="G119" t="n">
        <v>143.47</v>
      </c>
      <c r="H119" t="inlineStr"/>
      <c r="I119" t="inlineStr">
        <is>
          <t>#,##0</t>
        </is>
      </c>
      <c r="J119" t="b">
        <v>0</v>
      </c>
      <c r="K119" t="b">
        <v>0</v>
      </c>
      <c r="L119" t="n">
        <v>11</v>
      </c>
      <c r="M119" t="inlineStr">
        <is>
          <t>FF0B0280</t>
        </is>
      </c>
      <c r="N119" t="inlineStr">
        <is>
          <t>00000000</t>
        </is>
      </c>
      <c r="O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CashFlow Statement</t>
        </is>
      </c>
      <c r="B120" t="inlineStr">
        <is>
          <t>E13</t>
        </is>
      </c>
      <c r="C120" t="n">
        <v>13</v>
      </c>
      <c r="D120" t="n">
        <v>5</v>
      </c>
      <c r="E120" t="inlineStr">
        <is>
          <t>Input</t>
        </is>
      </c>
      <c r="F120" t="n">
        <v/>
      </c>
      <c r="G120" t="n">
        <v>143.98</v>
      </c>
      <c r="H120" t="inlineStr"/>
      <c r="I120" t="inlineStr">
        <is>
          <t>#,##0</t>
        </is>
      </c>
      <c r="J120" t="b">
        <v>0</v>
      </c>
      <c r="K120" t="b">
        <v>0</v>
      </c>
      <c r="L120" t="n">
        <v>11</v>
      </c>
      <c r="M120" t="inlineStr">
        <is>
          <t>FF0B0280</t>
        </is>
      </c>
      <c r="N120" t="inlineStr">
        <is>
          <t>00000000</t>
        </is>
      </c>
      <c r="O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CashFlow Statement</t>
        </is>
      </c>
      <c r="B121" t="inlineStr">
        <is>
          <t>F13</t>
        </is>
      </c>
      <c r="C121" t="n">
        <v>13</v>
      </c>
      <c r="D121" t="n">
        <v>6</v>
      </c>
      <c r="E121" t="inlineStr">
        <is>
          <t>Input</t>
        </is>
      </c>
      <c r="F121" t="n">
        <v/>
      </c>
      <c r="G121" t="n">
        <v>178.92</v>
      </c>
      <c r="H121" t="inlineStr"/>
      <c r="I121" t="inlineStr">
        <is>
          <t>#,##0</t>
        </is>
      </c>
      <c r="J121" t="b">
        <v>0</v>
      </c>
      <c r="K121" t="b">
        <v>0</v>
      </c>
      <c r="L121" t="n">
        <v>11</v>
      </c>
      <c r="M121" t="inlineStr">
        <is>
          <t>FF0B0280</t>
        </is>
      </c>
      <c r="N121" t="inlineStr">
        <is>
          <t>00000000</t>
        </is>
      </c>
      <c r="O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CashFlow Statement</t>
        </is>
      </c>
      <c r="B122" t="inlineStr">
        <is>
          <t>G13</t>
        </is>
      </c>
      <c r="C122" t="n">
        <v>13</v>
      </c>
      <c r="D122" t="n">
        <v>7</v>
      </c>
      <c r="E122" t="inlineStr">
        <is>
          <t>Input</t>
        </is>
      </c>
      <c r="F122" t="n">
        <v/>
      </c>
      <c r="G122" t="n">
        <v>192.87</v>
      </c>
      <c r="H122" t="inlineStr"/>
      <c r="I122" t="inlineStr">
        <is>
          <t>#,##0</t>
        </is>
      </c>
      <c r="J122" t="b">
        <v>0</v>
      </c>
      <c r="K122" t="b">
        <v>0</v>
      </c>
      <c r="L122" t="n">
        <v>11</v>
      </c>
      <c r="M122" t="inlineStr">
        <is>
          <t>FF0B0280</t>
        </is>
      </c>
      <c r="N122" t="inlineStr">
        <is>
          <t>00000000</t>
        </is>
      </c>
      <c r="O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CashFlow Statement</t>
        </is>
      </c>
      <c r="B123" t="inlineStr">
        <is>
          <t>H13</t>
        </is>
      </c>
      <c r="C123" t="n">
        <v>13</v>
      </c>
      <c r="D123" t="n">
        <v>8</v>
      </c>
      <c r="E123" t="inlineStr">
        <is>
          <t>Input</t>
        </is>
      </c>
      <c r="F123" t="n">
        <v/>
      </c>
      <c r="G123" t="n">
        <v>107.29</v>
      </c>
      <c r="H123" t="inlineStr"/>
      <c r="I123" t="inlineStr">
        <is>
          <t>#,##0</t>
        </is>
      </c>
      <c r="J123" t="b">
        <v>0</v>
      </c>
      <c r="K123" t="b">
        <v>0</v>
      </c>
      <c r="L123" t="n">
        <v>11</v>
      </c>
      <c r="M123" t="inlineStr">
        <is>
          <t>FF0B0280</t>
        </is>
      </c>
      <c r="N123" t="inlineStr">
        <is>
          <t>00000000</t>
        </is>
      </c>
      <c r="O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CashFlow Statement</t>
        </is>
      </c>
      <c r="B124" t="inlineStr">
        <is>
          <t>I13</t>
        </is>
      </c>
      <c r="C124" t="n">
        <v>13</v>
      </c>
      <c r="D124" t="n">
        <v>9</v>
      </c>
      <c r="E124" t="inlineStr">
        <is>
          <t>Input</t>
        </is>
      </c>
      <c r="F124" t="n">
        <v/>
      </c>
      <c r="G124" t="n">
        <v>137.99</v>
      </c>
      <c r="H124" t="inlineStr"/>
      <c r="I124" t="inlineStr">
        <is>
          <t>#,##0</t>
        </is>
      </c>
      <c r="J124" t="b">
        <v>0</v>
      </c>
      <c r="K124" t="b">
        <v>0</v>
      </c>
      <c r="L124" t="n">
        <v>11</v>
      </c>
      <c r="M124" t="inlineStr">
        <is>
          <t>FF0B0280</t>
        </is>
      </c>
      <c r="N124" t="inlineStr">
        <is>
          <t>00000000</t>
        </is>
      </c>
      <c r="O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CashFlow Statement</t>
        </is>
      </c>
      <c r="B125" t="inlineStr">
        <is>
          <t>J13</t>
        </is>
      </c>
      <c r="C125" t="n">
        <v>13</v>
      </c>
      <c r="D125" t="n">
        <v>10</v>
      </c>
      <c r="E125" t="inlineStr">
        <is>
          <t>Input</t>
        </is>
      </c>
      <c r="F125" t="n">
        <v/>
      </c>
      <c r="G125" t="n">
        <v>179.98</v>
      </c>
      <c r="H125" t="inlineStr"/>
      <c r="I125" t="inlineStr">
        <is>
          <t>#,##0</t>
        </is>
      </c>
      <c r="J125" t="b">
        <v>0</v>
      </c>
      <c r="K125" t="b">
        <v>0</v>
      </c>
      <c r="L125" t="n">
        <v>11</v>
      </c>
      <c r="M125" t="inlineStr">
        <is>
          <t>FF0B0280</t>
        </is>
      </c>
      <c r="N125" t="inlineStr">
        <is>
          <t>00000000</t>
        </is>
      </c>
      <c r="O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CashFlow Statement</t>
        </is>
      </c>
      <c r="B126" t="inlineStr">
        <is>
          <t>K13</t>
        </is>
      </c>
      <c r="C126" t="n">
        <v>13</v>
      </c>
      <c r="D126" t="n">
        <v>11</v>
      </c>
      <c r="E126" t="inlineStr">
        <is>
          <t>Calculation</t>
        </is>
      </c>
      <c r="F126" t="inlineStr">
        <is>
          <t>'='Income statement'!K24</t>
        </is>
      </c>
      <c r="G126" t="n">
        <v>1527.28125</v>
      </c>
      <c r="H126" t="inlineStr"/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1</v>
      </c>
      <c r="S126" t="inlineStr">
        <is>
          <t>G000259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CashFlow Statement!K13:O13</t>
        </is>
      </c>
      <c r="X126">
        <f>'Income statement'!R[11]C[0]</f>
        <v/>
      </c>
    </row>
    <row r="127">
      <c r="A127" t="inlineStr">
        <is>
          <t>CashFlow Statement</t>
        </is>
      </c>
      <c r="B127" t="inlineStr">
        <is>
          <t>L13</t>
        </is>
      </c>
      <c r="C127" t="n">
        <v>13</v>
      </c>
      <c r="D127" t="n">
        <v>12</v>
      </c>
      <c r="E127" t="inlineStr">
        <is>
          <t>Calculation</t>
        </is>
      </c>
      <c r="F127" t="inlineStr">
        <is>
          <t>'='Income statement'!L24</t>
        </is>
      </c>
      <c r="G127" t="n">
        <v>2111.610075</v>
      </c>
      <c r="H127" t="inlineStr"/>
      <c r="I127" t="inlineStr">
        <is>
          <t>0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G000259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CashFlow Statement!K13:O13</t>
        </is>
      </c>
      <c r="X127">
        <f>'Income statement'!R[11]C[0]</f>
        <v/>
      </c>
    </row>
    <row r="128">
      <c r="A128" t="inlineStr">
        <is>
          <t>CashFlow Statement</t>
        </is>
      </c>
      <c r="B128" t="inlineStr">
        <is>
          <t>M13</t>
        </is>
      </c>
      <c r="C128" t="n">
        <v>13</v>
      </c>
      <c r="D128" t="n">
        <v>13</v>
      </c>
      <c r="E128" t="inlineStr">
        <is>
          <t>Calculation</t>
        </is>
      </c>
      <c r="F128" t="inlineStr">
        <is>
          <t>'='Income statement'!M24</t>
        </is>
      </c>
      <c r="G128" t="n">
        <v>2541.039824999999</v>
      </c>
      <c r="H128" t="inlineStr"/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G000259</t>
        </is>
      </c>
      <c r="T128" t="inlineStr">
        <is>
          <t>Horizontal</t>
        </is>
      </c>
      <c r="U128" t="n">
        <v>5</v>
      </c>
      <c r="V128" t="b">
        <v>1</v>
      </c>
      <c r="W128" t="inlineStr">
        <is>
          <t>CashFlow Statement!K13:O13</t>
        </is>
      </c>
      <c r="X128">
        <f>'Income statement'!R[11]C[0]</f>
        <v/>
      </c>
    </row>
    <row r="129">
      <c r="A129" t="inlineStr">
        <is>
          <t>CashFlow Statement</t>
        </is>
      </c>
      <c r="B129" t="inlineStr">
        <is>
          <t>N13</t>
        </is>
      </c>
      <c r="C129" t="n">
        <v>13</v>
      </c>
      <c r="D129" t="n">
        <v>14</v>
      </c>
      <c r="E129" t="inlineStr">
        <is>
          <t>Calculation</t>
        </is>
      </c>
      <c r="F129" t="inlineStr">
        <is>
          <t>'='Income statement'!N24</t>
        </is>
      </c>
      <c r="G129" t="n">
        <v>2962.189575</v>
      </c>
      <c r="H129" t="inlineStr"/>
      <c r="I129" t="inlineStr">
        <is>
          <t>0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G000259</t>
        </is>
      </c>
      <c r="T129" t="inlineStr">
        <is>
          <t>Horizontal</t>
        </is>
      </c>
      <c r="U129" t="n">
        <v>5</v>
      </c>
      <c r="V129" t="b">
        <v>1</v>
      </c>
      <c r="W129" t="inlineStr">
        <is>
          <t>CashFlow Statement!K13:O13</t>
        </is>
      </c>
      <c r="X129">
        <f>'Income statement'!R[11]C[0]</f>
        <v/>
      </c>
    </row>
    <row r="130">
      <c r="A130" t="inlineStr">
        <is>
          <t>CashFlow Statement</t>
        </is>
      </c>
      <c r="B130" t="inlineStr">
        <is>
          <t>O13</t>
        </is>
      </c>
      <c r="C130" t="n">
        <v>13</v>
      </c>
      <c r="D130" t="n">
        <v>15</v>
      </c>
      <c r="E130" t="inlineStr">
        <is>
          <t>Calculation</t>
        </is>
      </c>
      <c r="F130" t="inlineStr">
        <is>
          <t>'='Income statement'!O24</t>
        </is>
      </c>
      <c r="G130" t="n">
        <v>3375.059324999999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G000259</t>
        </is>
      </c>
      <c r="T130" t="inlineStr">
        <is>
          <t>Horizontal</t>
        </is>
      </c>
      <c r="U130" t="n">
        <v>5</v>
      </c>
      <c r="V130" t="b">
        <v>1</v>
      </c>
      <c r="W130" t="inlineStr">
        <is>
          <t>CashFlow Statement!K13:O13</t>
        </is>
      </c>
      <c r="X130">
        <f>'Income statement'!R[11]C[0]</f>
        <v/>
      </c>
    </row>
    <row r="131">
      <c r="A131" t="inlineStr">
        <is>
          <t>CashFlow Statement</t>
        </is>
      </c>
      <c r="B131" t="inlineStr">
        <is>
          <t>A14</t>
        </is>
      </c>
      <c r="C131" t="n">
        <v>14</v>
      </c>
      <c r="D131" t="n">
        <v>1</v>
      </c>
      <c r="E131" t="inlineStr">
        <is>
          <t>Input</t>
        </is>
      </c>
      <c r="F131" t="n">
        <v/>
      </c>
      <c r="G131" t="inlineStr">
        <is>
          <t>Finance lease charges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CashFlow Statement</t>
        </is>
      </c>
      <c r="B132" t="inlineStr">
        <is>
          <t>D14</t>
        </is>
      </c>
      <c r="C132" t="n">
        <v>14</v>
      </c>
      <c r="D132" t="n">
        <v>4</v>
      </c>
      <c r="E132" t="inlineStr">
        <is>
          <t>Input</t>
        </is>
      </c>
      <c r="F132" t="n">
        <v/>
      </c>
      <c r="G132" t="n">
        <v>300.35</v>
      </c>
      <c r="H132" t="inlineStr"/>
      <c r="I132" t="inlineStr">
        <is>
          <t>#,##0</t>
        </is>
      </c>
      <c r="J132" t="b">
        <v>0</v>
      </c>
      <c r="K132" t="b">
        <v>0</v>
      </c>
      <c r="L132" t="n">
        <v>11</v>
      </c>
      <c r="M132" t="inlineStr">
        <is>
          <t>FF0B0280</t>
        </is>
      </c>
      <c r="N132" t="inlineStr">
        <is>
          <t>00000000</t>
        </is>
      </c>
      <c r="O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CashFlow Statement</t>
        </is>
      </c>
      <c r="B133" t="inlineStr">
        <is>
          <t>E14</t>
        </is>
      </c>
      <c r="C133" t="n">
        <v>14</v>
      </c>
      <c r="D133" t="n">
        <v>5</v>
      </c>
      <c r="E133" t="inlineStr">
        <is>
          <t>Input</t>
        </is>
      </c>
      <c r="F133" t="n">
        <v/>
      </c>
      <c r="G133" t="n">
        <v>313.18</v>
      </c>
      <c r="H133" t="inlineStr"/>
      <c r="I133" t="inlineStr">
        <is>
          <t>#,##0</t>
        </is>
      </c>
      <c r="J133" t="b">
        <v>0</v>
      </c>
      <c r="K133" t="b">
        <v>0</v>
      </c>
      <c r="L133" t="n">
        <v>11</v>
      </c>
      <c r="M133" t="inlineStr">
        <is>
          <t>FF0B0280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CashFlow Statement</t>
        </is>
      </c>
      <c r="B134" t="inlineStr">
        <is>
          <t>F14</t>
        </is>
      </c>
      <c r="C134" t="n">
        <v>14</v>
      </c>
      <c r="D134" t="n">
        <v>6</v>
      </c>
      <c r="E134" t="inlineStr">
        <is>
          <t>Input</t>
        </is>
      </c>
      <c r="F134" t="n">
        <v/>
      </c>
      <c r="G134" t="n">
        <v>364.29</v>
      </c>
      <c r="H134" t="inlineStr"/>
      <c r="I134" t="inlineStr">
        <is>
          <t>#,##0</t>
        </is>
      </c>
      <c r="J134" t="b">
        <v>0</v>
      </c>
      <c r="K134" t="b">
        <v>0</v>
      </c>
      <c r="L134" t="n">
        <v>11</v>
      </c>
      <c r="M134" t="inlineStr">
        <is>
          <t>FF0B0280</t>
        </is>
      </c>
      <c r="N134" t="inlineStr">
        <is>
          <t>00000000</t>
        </is>
      </c>
      <c r="O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CashFlow Statement</t>
        </is>
      </c>
      <c r="B135" t="inlineStr">
        <is>
          <t>G14</t>
        </is>
      </c>
      <c r="C135" t="n">
        <v>14</v>
      </c>
      <c r="D135" t="n">
        <v>7</v>
      </c>
      <c r="E135" t="inlineStr">
        <is>
          <t>Input</t>
        </is>
      </c>
      <c r="F135" t="n">
        <v/>
      </c>
      <c r="G135" t="n">
        <v>826.5700000000001</v>
      </c>
      <c r="H135" t="inlineStr"/>
      <c r="I135" t="inlineStr">
        <is>
          <t>#,##0</t>
        </is>
      </c>
      <c r="J135" t="b">
        <v>0</v>
      </c>
      <c r="K135" t="b">
        <v>0</v>
      </c>
      <c r="L135" t="n">
        <v>11</v>
      </c>
      <c r="M135" t="inlineStr">
        <is>
          <t>FF0B0280</t>
        </is>
      </c>
      <c r="N135" t="inlineStr">
        <is>
          <t>00000000</t>
        </is>
      </c>
      <c r="O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CashFlow Statement</t>
        </is>
      </c>
      <c r="B136" t="inlineStr">
        <is>
          <t>H14</t>
        </is>
      </c>
      <c r="C136" t="n">
        <v>14</v>
      </c>
      <c r="D136" t="n">
        <v>8</v>
      </c>
      <c r="E136" t="inlineStr">
        <is>
          <t>Input</t>
        </is>
      </c>
      <c r="F136" t="n">
        <v/>
      </c>
      <c r="G136" t="n">
        <v>929.36</v>
      </c>
      <c r="H136" t="inlineStr"/>
      <c r="I136" t="inlineStr">
        <is>
          <t>#,##0</t>
        </is>
      </c>
      <c r="J136" t="b">
        <v>0</v>
      </c>
      <c r="K136" t="b">
        <v>0</v>
      </c>
      <c r="L136" t="n">
        <v>11</v>
      </c>
      <c r="M136" t="inlineStr">
        <is>
          <t>FF0B0280</t>
        </is>
      </c>
      <c r="N136" t="inlineStr">
        <is>
          <t>00000000</t>
        </is>
      </c>
      <c r="O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CashFlow Statement</t>
        </is>
      </c>
      <c r="B137" t="inlineStr">
        <is>
          <t>I14</t>
        </is>
      </c>
      <c r="C137" t="n">
        <v>14</v>
      </c>
      <c r="D137" t="n">
        <v>9</v>
      </c>
      <c r="E137" t="inlineStr">
        <is>
          <t>Input</t>
        </is>
      </c>
      <c r="F137" t="n">
        <v/>
      </c>
      <c r="G137" t="n">
        <v>1019.02</v>
      </c>
      <c r="H137" t="inlineStr"/>
      <c r="I137" t="inlineStr">
        <is>
          <t>#,##0</t>
        </is>
      </c>
      <c r="J137" t="b">
        <v>0</v>
      </c>
      <c r="K137" t="b">
        <v>0</v>
      </c>
      <c r="L137" t="n">
        <v>11</v>
      </c>
      <c r="M137" t="inlineStr">
        <is>
          <t>FF0B0280</t>
        </is>
      </c>
      <c r="N137" t="inlineStr">
        <is>
          <t>00000000</t>
        </is>
      </c>
      <c r="O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CashFlow Statement</t>
        </is>
      </c>
      <c r="B138" t="inlineStr">
        <is>
          <t>J14</t>
        </is>
      </c>
      <c r="C138" t="n">
        <v>14</v>
      </c>
      <c r="D138" t="n">
        <v>10</v>
      </c>
      <c r="E138" t="inlineStr">
        <is>
          <t>Input</t>
        </is>
      </c>
      <c r="F138" t="n">
        <v/>
      </c>
      <c r="G138" t="n">
        <v>1298.99</v>
      </c>
      <c r="H138" t="inlineStr"/>
      <c r="I138" t="inlineStr">
        <is>
          <t>#,##0</t>
        </is>
      </c>
      <c r="J138" t="b">
        <v>0</v>
      </c>
      <c r="K138" t="b">
        <v>0</v>
      </c>
      <c r="L138" t="n">
        <v>11</v>
      </c>
      <c r="M138" t="inlineStr">
        <is>
          <t>FF0B0280</t>
        </is>
      </c>
      <c r="N138" t="inlineStr">
        <is>
          <t>00000000</t>
        </is>
      </c>
      <c r="O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CashFlow Statement</t>
        </is>
      </c>
      <c r="B139" t="inlineStr">
        <is>
          <t>K14</t>
        </is>
      </c>
      <c r="C139" t="n">
        <v>14</v>
      </c>
      <c r="D139" t="n">
        <v>11</v>
      </c>
      <c r="E139" t="inlineStr">
        <is>
          <t>Input</t>
        </is>
      </c>
      <c r="F139" t="n">
        <v/>
      </c>
      <c r="G139" t="inlineStr">
        <is>
          <t>-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CashFlow Statement</t>
        </is>
      </c>
      <c r="B140" t="inlineStr">
        <is>
          <t>L14</t>
        </is>
      </c>
      <c r="C140" t="n">
        <v>14</v>
      </c>
      <c r="D140" t="n">
        <v>12</v>
      </c>
      <c r="E140" t="inlineStr">
        <is>
          <t>Input</t>
        </is>
      </c>
      <c r="F140" t="n">
        <v/>
      </c>
      <c r="G140" t="inlineStr">
        <is>
          <t>-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inlineStr">
        <is>
          <t>center</t>
        </is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CashFlow Statement</t>
        </is>
      </c>
      <c r="B141" t="inlineStr">
        <is>
          <t>M14</t>
        </is>
      </c>
      <c r="C141" t="n">
        <v>14</v>
      </c>
      <c r="D141" t="n">
        <v>13</v>
      </c>
      <c r="E141" t="inlineStr">
        <is>
          <t>Input</t>
        </is>
      </c>
      <c r="F141" t="n">
        <v/>
      </c>
      <c r="G141" t="inlineStr">
        <is>
          <t>-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inlineStr">
        <is>
          <t>center</t>
        </is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CashFlow Statement</t>
        </is>
      </c>
      <c r="B142" t="inlineStr">
        <is>
          <t>N14</t>
        </is>
      </c>
      <c r="C142" t="n">
        <v>14</v>
      </c>
      <c r="D142" t="n">
        <v>14</v>
      </c>
      <c r="E142" t="inlineStr">
        <is>
          <t>Input</t>
        </is>
      </c>
      <c r="F142" t="n">
        <v/>
      </c>
      <c r="G142" t="inlineStr">
        <is>
          <t>-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inlineStr">
        <is>
          <t>center</t>
        </is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CashFlow Statement</t>
        </is>
      </c>
      <c r="B143" t="inlineStr">
        <is>
          <t>O14</t>
        </is>
      </c>
      <c r="C143" t="n">
        <v>14</v>
      </c>
      <c r="D143" t="n">
        <v>15</v>
      </c>
      <c r="E143" t="inlineStr">
        <is>
          <t>Input</t>
        </is>
      </c>
      <c r="F143" t="n">
        <v/>
      </c>
      <c r="G143" t="inlineStr">
        <is>
          <t>-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inlineStr">
        <is>
          <t>center</t>
        </is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CashFlow Statement</t>
        </is>
      </c>
      <c r="B144" t="inlineStr">
        <is>
          <t>A15</t>
        </is>
      </c>
      <c r="C144" t="n">
        <v>15</v>
      </c>
      <c r="D144" t="n">
        <v>1</v>
      </c>
      <c r="E144" t="inlineStr">
        <is>
          <t>Input</t>
        </is>
      </c>
      <c r="F144" t="n">
        <v/>
      </c>
      <c r="G144" t="inlineStr">
        <is>
          <t>Interest income on fixed deposits</t>
        </is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CashFlow Statement</t>
        </is>
      </c>
      <c r="B145" t="inlineStr">
        <is>
          <t>D15</t>
        </is>
      </c>
      <c r="C145" t="n">
        <v>15</v>
      </c>
      <c r="D145" t="n">
        <v>4</v>
      </c>
      <c r="E145" t="inlineStr">
        <is>
          <t>Input</t>
        </is>
      </c>
      <c r="F145" t="n">
        <v/>
      </c>
      <c r="G145" t="n">
        <v>-333.38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FF0B0280</t>
        </is>
      </c>
      <c r="N145" t="inlineStr">
        <is>
          <t>00000000</t>
        </is>
      </c>
      <c r="O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CashFlow Statement</t>
        </is>
      </c>
      <c r="B146" t="inlineStr">
        <is>
          <t>E15</t>
        </is>
      </c>
      <c r="C146" t="n">
        <v>15</v>
      </c>
      <c r="D146" t="n">
        <v>5</v>
      </c>
      <c r="E146" t="inlineStr">
        <is>
          <t>Input</t>
        </is>
      </c>
      <c r="F146" t="n">
        <v/>
      </c>
      <c r="G146" t="n">
        <v>-804.4400000000001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FF0B0280</t>
        </is>
      </c>
      <c r="N146" t="inlineStr">
        <is>
          <t>00000000</t>
        </is>
      </c>
      <c r="O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CashFlow Statement</t>
        </is>
      </c>
      <c r="B147" t="inlineStr">
        <is>
          <t>F15</t>
        </is>
      </c>
      <c r="C147" t="n">
        <v>15</v>
      </c>
      <c r="D147" t="n">
        <v>6</v>
      </c>
      <c r="E147" t="inlineStr">
        <is>
          <t>Input</t>
        </is>
      </c>
      <c r="F147" t="n">
        <v/>
      </c>
      <c r="G147" t="n">
        <v>-1419.6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FF0B0280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CashFlow Statement</t>
        </is>
      </c>
      <c r="B148" t="inlineStr">
        <is>
          <t>G15</t>
        </is>
      </c>
      <c r="C148" t="n">
        <v>15</v>
      </c>
      <c r="D148" t="n">
        <v>7</v>
      </c>
      <c r="E148" t="inlineStr">
        <is>
          <t>Input</t>
        </is>
      </c>
      <c r="F148" t="n">
        <v/>
      </c>
      <c r="G148" t="n">
        <v>-1868.62</v>
      </c>
      <c r="H148" t="inlineStr"/>
      <c r="I148" t="inlineStr">
        <is>
          <t>#,##0</t>
        </is>
      </c>
      <c r="J148" t="b">
        <v>0</v>
      </c>
      <c r="K148" t="b">
        <v>0</v>
      </c>
      <c r="L148" t="n">
        <v>11</v>
      </c>
      <c r="M148" t="inlineStr">
        <is>
          <t>FF0B0280</t>
        </is>
      </c>
      <c r="N148" t="inlineStr">
        <is>
          <t>00000000</t>
        </is>
      </c>
      <c r="O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CashFlow Statement</t>
        </is>
      </c>
      <c r="B149" t="inlineStr">
        <is>
          <t>H15</t>
        </is>
      </c>
      <c r="C149" t="n">
        <v>15</v>
      </c>
      <c r="D149" t="n">
        <v>8</v>
      </c>
      <c r="E149" t="inlineStr">
        <is>
          <t>Input</t>
        </is>
      </c>
      <c r="F149" t="n">
        <v/>
      </c>
      <c r="G149" t="n">
        <v>-2703.77</v>
      </c>
      <c r="H149" t="inlineStr"/>
      <c r="I149" t="inlineStr">
        <is>
          <t>#,##0</t>
        </is>
      </c>
      <c r="J149" t="b">
        <v>0</v>
      </c>
      <c r="K149" t="b">
        <v>0</v>
      </c>
      <c r="L149" t="n">
        <v>11</v>
      </c>
      <c r="M149" t="inlineStr">
        <is>
          <t>FF0B0280</t>
        </is>
      </c>
      <c r="N149" t="inlineStr">
        <is>
          <t>00000000</t>
        </is>
      </c>
      <c r="O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CashFlow Statement</t>
        </is>
      </c>
      <c r="B150" t="inlineStr">
        <is>
          <t>I15</t>
        </is>
      </c>
      <c r="C150" t="n">
        <v>15</v>
      </c>
      <c r="D150" t="n">
        <v>9</v>
      </c>
      <c r="E150" t="inlineStr">
        <is>
          <t>Input</t>
        </is>
      </c>
      <c r="F150" t="n">
        <v/>
      </c>
      <c r="G150" t="n">
        <v>-3687.41</v>
      </c>
      <c r="H150" t="inlineStr"/>
      <c r="I150" t="inlineStr">
        <is>
          <t>#,##0</t>
        </is>
      </c>
      <c r="J150" t="b">
        <v>0</v>
      </c>
      <c r="K150" t="b">
        <v>0</v>
      </c>
      <c r="L150" t="n">
        <v>11</v>
      </c>
      <c r="M150" t="inlineStr">
        <is>
          <t>FF0B0280</t>
        </is>
      </c>
      <c r="N150" t="inlineStr">
        <is>
          <t>00000000</t>
        </is>
      </c>
      <c r="O150" t="n">
        <v/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CashFlow Statement</t>
        </is>
      </c>
      <c r="B151" t="inlineStr">
        <is>
          <t>J15</t>
        </is>
      </c>
      <c r="C151" t="n">
        <v>15</v>
      </c>
      <c r="D151" t="n">
        <v>10</v>
      </c>
      <c r="E151" t="inlineStr">
        <is>
          <t>Calculation</t>
        </is>
      </c>
      <c r="F151" t="inlineStr">
        <is>
          <t>'=-3913.27-488.02</t>
        </is>
      </c>
      <c r="G151" t="n">
        <v>-4401.29</v>
      </c>
      <c r="H151" t="inlineStr"/>
      <c r="I151" t="inlineStr">
        <is>
          <t>#,##0</t>
        </is>
      </c>
      <c r="J151" t="b">
        <v>0</v>
      </c>
      <c r="K151" t="b">
        <v>0</v>
      </c>
      <c r="L151" t="n">
        <v>11</v>
      </c>
      <c r="M151" t="inlineStr">
        <is>
          <t>FF0B0280</t>
        </is>
      </c>
      <c r="N151" t="inlineStr">
        <is>
          <t>00000000</t>
        </is>
      </c>
      <c r="O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>
        <f>-3913.27-488.02</f>
        <v/>
      </c>
    </row>
    <row r="152">
      <c r="A152" t="inlineStr">
        <is>
          <t>CashFlow Statement</t>
        </is>
      </c>
      <c r="B152" t="inlineStr">
        <is>
          <t>K15</t>
        </is>
      </c>
      <c r="C152" t="n">
        <v>15</v>
      </c>
      <c r="D152" t="n">
        <v>11</v>
      </c>
      <c r="E152" t="inlineStr">
        <is>
          <t>Input</t>
        </is>
      </c>
      <c r="F152" t="n">
        <v/>
      </c>
      <c r="G152" t="inlineStr">
        <is>
          <t>-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inlineStr">
        <is>
          <t>center</t>
        </is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CashFlow Statement</t>
        </is>
      </c>
      <c r="B153" t="inlineStr">
        <is>
          <t>L15</t>
        </is>
      </c>
      <c r="C153" t="n">
        <v>15</v>
      </c>
      <c r="D153" t="n">
        <v>12</v>
      </c>
      <c r="E153" t="inlineStr">
        <is>
          <t>Input</t>
        </is>
      </c>
      <c r="F153" t="n">
        <v/>
      </c>
      <c r="G153" t="inlineStr">
        <is>
          <t>-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CashFlow Statement</t>
        </is>
      </c>
      <c r="B154" t="inlineStr">
        <is>
          <t>M15</t>
        </is>
      </c>
      <c r="C154" t="n">
        <v>15</v>
      </c>
      <c r="D154" t="n">
        <v>13</v>
      </c>
      <c r="E154" t="inlineStr">
        <is>
          <t>Input</t>
        </is>
      </c>
      <c r="F154" t="n">
        <v/>
      </c>
      <c r="G154" t="inlineStr">
        <is>
          <t>-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inlineStr">
        <is>
          <t>center</t>
        </is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CashFlow Statement</t>
        </is>
      </c>
      <c r="B155" t="inlineStr">
        <is>
          <t>N15</t>
        </is>
      </c>
      <c r="C155" t="n">
        <v>15</v>
      </c>
      <c r="D155" t="n">
        <v>14</v>
      </c>
      <c r="E155" t="inlineStr">
        <is>
          <t>Input</t>
        </is>
      </c>
      <c r="F155" t="n">
        <v/>
      </c>
      <c r="G155" t="inlineStr">
        <is>
          <t>-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inlineStr">
        <is>
          <t>center</t>
        </is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CashFlow Statement</t>
        </is>
      </c>
      <c r="B156" t="inlineStr">
        <is>
          <t>O15</t>
        </is>
      </c>
      <c r="C156" t="n">
        <v>15</v>
      </c>
      <c r="D156" t="n">
        <v>15</v>
      </c>
      <c r="E156" t="inlineStr">
        <is>
          <t>Input</t>
        </is>
      </c>
      <c r="F156" t="n">
        <v/>
      </c>
      <c r="G156" t="inlineStr">
        <is>
          <t>-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inlineStr">
        <is>
          <t>center</t>
        </is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CashFlow Statement</t>
        </is>
      </c>
      <c r="B157" t="inlineStr">
        <is>
          <t>A16</t>
        </is>
      </c>
      <c r="C157" t="n">
        <v>16</v>
      </c>
      <c r="D157" t="n">
        <v>1</v>
      </c>
      <c r="E157" t="inlineStr">
        <is>
          <t>Input</t>
        </is>
      </c>
      <c r="F157" t="n">
        <v/>
      </c>
      <c r="G157" t="inlineStr">
        <is>
          <t>Net gain on sale of current investments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CashFlow Statement</t>
        </is>
      </c>
      <c r="B158" t="inlineStr">
        <is>
          <t>D16</t>
        </is>
      </c>
      <c r="C158" t="n">
        <v>16</v>
      </c>
      <c r="D158" t="n">
        <v>4</v>
      </c>
      <c r="E158" t="inlineStr">
        <is>
          <t>Input</t>
        </is>
      </c>
      <c r="F158" t="n">
        <v/>
      </c>
      <c r="G158" t="n">
        <v>-11.12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FF0B0280</t>
        </is>
      </c>
      <c r="N158" t="inlineStr">
        <is>
          <t>00000000</t>
        </is>
      </c>
      <c r="O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CashFlow Statement</t>
        </is>
      </c>
      <c r="B159" t="inlineStr">
        <is>
          <t>E16</t>
        </is>
      </c>
      <c r="C159" t="n">
        <v>16</v>
      </c>
      <c r="D159" t="n">
        <v>5</v>
      </c>
      <c r="E159" t="inlineStr">
        <is>
          <t>Input</t>
        </is>
      </c>
      <c r="F159" t="n">
        <v/>
      </c>
      <c r="G159" t="n">
        <v>-18.31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FF0B0280</t>
        </is>
      </c>
      <c r="N159" t="inlineStr">
        <is>
          <t>00000000</t>
        </is>
      </c>
      <c r="O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CashFlow Statement</t>
        </is>
      </c>
      <c r="B160" t="inlineStr">
        <is>
          <t>F16</t>
        </is>
      </c>
      <c r="C160" t="n">
        <v>16</v>
      </c>
      <c r="D160" t="n">
        <v>6</v>
      </c>
      <c r="E160" t="inlineStr">
        <is>
          <t>Input</t>
        </is>
      </c>
      <c r="F160" t="n">
        <v/>
      </c>
      <c r="G160" t="n">
        <v>-257.96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FF0B0280</t>
        </is>
      </c>
      <c r="N160" t="inlineStr">
        <is>
          <t>00000000</t>
        </is>
      </c>
      <c r="O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CashFlow Statement</t>
        </is>
      </c>
      <c r="B161" t="inlineStr">
        <is>
          <t>G16</t>
        </is>
      </c>
      <c r="C161" t="n">
        <v>16</v>
      </c>
      <c r="D161" t="n">
        <v>7</v>
      </c>
      <c r="E161" t="inlineStr">
        <is>
          <t>Input</t>
        </is>
      </c>
      <c r="F161" t="n">
        <v/>
      </c>
      <c r="G161" t="n">
        <v>-639.28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FF0B0280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CashFlow Statement</t>
        </is>
      </c>
      <c r="B162" t="inlineStr">
        <is>
          <t>H16</t>
        </is>
      </c>
      <c r="C162" t="n">
        <v>16</v>
      </c>
      <c r="D162" t="n">
        <v>8</v>
      </c>
      <c r="E162" t="inlineStr">
        <is>
          <t>Input</t>
        </is>
      </c>
      <c r="F162" t="n">
        <v/>
      </c>
      <c r="G162" t="n">
        <v>-1035.88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FF0B0280</t>
        </is>
      </c>
      <c r="N162" t="inlineStr">
        <is>
          <t>00000000</t>
        </is>
      </c>
      <c r="O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CashFlow Statement</t>
        </is>
      </c>
      <c r="B163" t="inlineStr">
        <is>
          <t>I16</t>
        </is>
      </c>
      <c r="C163" t="n">
        <v>16</v>
      </c>
      <c r="D163" t="n">
        <v>9</v>
      </c>
      <c r="E163" t="inlineStr">
        <is>
          <t>Input</t>
        </is>
      </c>
      <c r="F163" t="n">
        <v/>
      </c>
      <c r="G163" t="n">
        <v>-372.31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FF0B0280</t>
        </is>
      </c>
      <c r="N163" t="inlineStr">
        <is>
          <t>00000000</t>
        </is>
      </c>
      <c r="O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CashFlow Statement</t>
        </is>
      </c>
      <c r="B164" t="inlineStr">
        <is>
          <t>J16</t>
        </is>
      </c>
      <c r="C164" t="n">
        <v>16</v>
      </c>
      <c r="D164" t="n">
        <v>10</v>
      </c>
      <c r="E164" t="inlineStr">
        <is>
          <t>Input</t>
        </is>
      </c>
      <c r="F164" t="n">
        <v/>
      </c>
      <c r="G164" t="n">
        <v>-1221.27</v>
      </c>
      <c r="H164" t="inlineStr"/>
      <c r="I164" t="inlineStr">
        <is>
          <t>0</t>
        </is>
      </c>
      <c r="J164" t="b">
        <v>0</v>
      </c>
      <c r="K164" t="b">
        <v>0</v>
      </c>
      <c r="L164" t="n">
        <v>11</v>
      </c>
      <c r="M164" t="inlineStr">
        <is>
          <t>FF0B0280</t>
        </is>
      </c>
      <c r="N164" t="inlineStr">
        <is>
          <t>00000000</t>
        </is>
      </c>
      <c r="O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CashFlow Statement</t>
        </is>
      </c>
      <c r="B165" t="inlineStr">
        <is>
          <t>K16</t>
        </is>
      </c>
      <c r="C165" t="n">
        <v>16</v>
      </c>
      <c r="D165" t="n">
        <v>11</v>
      </c>
      <c r="E165" t="inlineStr">
        <is>
          <t>Input</t>
        </is>
      </c>
      <c r="F165" t="n">
        <v/>
      </c>
      <c r="G165" t="inlineStr">
        <is>
          <t>-</t>
        </is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inlineStr">
        <is>
          <t>center</t>
        </is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CashFlow Statement</t>
        </is>
      </c>
      <c r="B166" t="inlineStr">
        <is>
          <t>L16</t>
        </is>
      </c>
      <c r="C166" t="n">
        <v>16</v>
      </c>
      <c r="D166" t="n">
        <v>12</v>
      </c>
      <c r="E166" t="inlineStr">
        <is>
          <t>Input</t>
        </is>
      </c>
      <c r="F166" t="n">
        <v/>
      </c>
      <c r="G166" t="inlineStr">
        <is>
          <t>-</t>
        </is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inlineStr">
        <is>
          <t>center</t>
        </is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CashFlow Statement</t>
        </is>
      </c>
      <c r="B167" t="inlineStr">
        <is>
          <t>M16</t>
        </is>
      </c>
      <c r="C167" t="n">
        <v>16</v>
      </c>
      <c r="D167" t="n">
        <v>13</v>
      </c>
      <c r="E167" t="inlineStr">
        <is>
          <t>Input</t>
        </is>
      </c>
      <c r="F167" t="n">
        <v/>
      </c>
      <c r="G167" t="inlineStr">
        <is>
          <t>-</t>
        </is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inlineStr">
        <is>
          <t>center</t>
        </is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CashFlow Statement</t>
        </is>
      </c>
      <c r="B168" t="inlineStr">
        <is>
          <t>N16</t>
        </is>
      </c>
      <c r="C168" t="n">
        <v>16</v>
      </c>
      <c r="D168" t="n">
        <v>14</v>
      </c>
      <c r="E168" t="inlineStr">
        <is>
          <t>Input</t>
        </is>
      </c>
      <c r="F168" t="n">
        <v/>
      </c>
      <c r="G168" t="inlineStr">
        <is>
          <t>-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inlineStr">
        <is>
          <t>center</t>
        </is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CashFlow Statement</t>
        </is>
      </c>
      <c r="B169" t="inlineStr">
        <is>
          <t>O16</t>
        </is>
      </c>
      <c r="C169" t="n">
        <v>16</v>
      </c>
      <c r="D169" t="n">
        <v>15</v>
      </c>
      <c r="E169" t="inlineStr">
        <is>
          <t>Input</t>
        </is>
      </c>
      <c r="F169" t="n">
        <v/>
      </c>
      <c r="G169" t="inlineStr">
        <is>
          <t>-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00000000</t>
        </is>
      </c>
      <c r="O169" t="inlineStr">
        <is>
          <t>center</t>
        </is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CashFlow Statement</t>
        </is>
      </c>
      <c r="B170" t="inlineStr">
        <is>
          <t>A17</t>
        </is>
      </c>
      <c r="C170" t="n">
        <v>17</v>
      </c>
      <c r="D170" t="n">
        <v>1</v>
      </c>
      <c r="E170" t="inlineStr">
        <is>
          <t>Input</t>
        </is>
      </c>
      <c r="F170" t="n">
        <v/>
      </c>
      <c r="G170" t="inlineStr">
        <is>
          <t>Dividend from current investments</t>
        </is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CashFlow Statement</t>
        </is>
      </c>
      <c r="B171" t="inlineStr">
        <is>
          <t>D17</t>
        </is>
      </c>
      <c r="C171" t="n">
        <v>17</v>
      </c>
      <c r="D171" t="n">
        <v>4</v>
      </c>
      <c r="E171" t="inlineStr">
        <is>
          <t>Input</t>
        </is>
      </c>
      <c r="F171" t="n">
        <v/>
      </c>
      <c r="G171" t="n">
        <v>-382.56</v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FF0B0280</t>
        </is>
      </c>
      <c r="N171" t="inlineStr">
        <is>
          <t>00000000</t>
        </is>
      </c>
      <c r="O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CashFlow Statement</t>
        </is>
      </c>
      <c r="B172" t="inlineStr">
        <is>
          <t>E17</t>
        </is>
      </c>
      <c r="C172" t="n">
        <v>17</v>
      </c>
      <c r="D172" t="n">
        <v>5</v>
      </c>
      <c r="E172" t="inlineStr">
        <is>
          <t>Input</t>
        </is>
      </c>
      <c r="F172" t="n">
        <v/>
      </c>
      <c r="G172" t="n">
        <v>-384.25</v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FF0B0280</t>
        </is>
      </c>
      <c r="N172" t="inlineStr">
        <is>
          <t>00000000</t>
        </is>
      </c>
      <c r="O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CashFlow Statement</t>
        </is>
      </c>
      <c r="B173" t="inlineStr">
        <is>
          <t>F17</t>
        </is>
      </c>
      <c r="C173" t="n">
        <v>17</v>
      </c>
      <c r="D173" t="n">
        <v>6</v>
      </c>
      <c r="E173" t="inlineStr">
        <is>
          <t>Input</t>
        </is>
      </c>
      <c r="F173" t="n">
        <v/>
      </c>
      <c r="G173" t="n">
        <v>-328.81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FF0B0280</t>
        </is>
      </c>
      <c r="N173" t="inlineStr">
        <is>
          <t>00000000</t>
        </is>
      </c>
      <c r="O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CashFlow Statement</t>
        </is>
      </c>
      <c r="B174" t="inlineStr">
        <is>
          <t>G17</t>
        </is>
      </c>
      <c r="C174" t="n">
        <v>17</v>
      </c>
      <c r="D174" t="n">
        <v>7</v>
      </c>
      <c r="E174" t="inlineStr">
        <is>
          <t>Input</t>
        </is>
      </c>
      <c r="F174" t="n">
        <v/>
      </c>
      <c r="G174" t="n">
        <v>-355.65</v>
      </c>
      <c r="H174" t="inlineStr"/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FF0B0280</t>
        </is>
      </c>
      <c r="N174" t="inlineStr">
        <is>
          <t>00000000</t>
        </is>
      </c>
      <c r="O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CashFlow Statement</t>
        </is>
      </c>
      <c r="B175" t="inlineStr">
        <is>
          <t>H17</t>
        </is>
      </c>
      <c r="C175" t="n">
        <v>17</v>
      </c>
      <c r="D175" t="n">
        <v>8</v>
      </c>
      <c r="E175" t="inlineStr">
        <is>
          <t>Input</t>
        </is>
      </c>
      <c r="F175" t="n">
        <v/>
      </c>
      <c r="G175" t="n">
        <v>0</v>
      </c>
      <c r="H175" t="inlineStr"/>
      <c r="I175" t="inlineStr">
        <is>
          <t>0</t>
        </is>
      </c>
      <c r="J175" t="b">
        <v>0</v>
      </c>
      <c r="K175" t="b">
        <v>0</v>
      </c>
      <c r="L175" t="n">
        <v>11</v>
      </c>
      <c r="M175" t="inlineStr">
        <is>
          <t>FF0B0280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CashFlow Statement</t>
        </is>
      </c>
      <c r="B176" t="inlineStr">
        <is>
          <t>I17</t>
        </is>
      </c>
      <c r="C176" t="n">
        <v>17</v>
      </c>
      <c r="D176" t="n">
        <v>9</v>
      </c>
      <c r="E176" t="inlineStr">
        <is>
          <t>Input</t>
        </is>
      </c>
      <c r="F176" t="n">
        <v/>
      </c>
      <c r="G176" t="n">
        <v>0</v>
      </c>
      <c r="H176" t="inlineStr"/>
      <c r="I176" t="inlineStr">
        <is>
          <t>0</t>
        </is>
      </c>
      <c r="J176" t="b">
        <v>0</v>
      </c>
      <c r="K176" t="b">
        <v>0</v>
      </c>
      <c r="L176" t="n">
        <v>11</v>
      </c>
      <c r="M176" t="inlineStr">
        <is>
          <t>FF0B0280</t>
        </is>
      </c>
      <c r="N176" t="inlineStr">
        <is>
          <t>00000000</t>
        </is>
      </c>
      <c r="O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CashFlow Statement</t>
        </is>
      </c>
      <c r="B177" t="inlineStr">
        <is>
          <t>J17</t>
        </is>
      </c>
      <c r="C177" t="n">
        <v>17</v>
      </c>
      <c r="D177" t="n">
        <v>10</v>
      </c>
      <c r="E177" t="inlineStr">
        <is>
          <t>Input</t>
        </is>
      </c>
      <c r="F177" t="n">
        <v/>
      </c>
      <c r="G177" t="n">
        <v>-546.42</v>
      </c>
      <c r="H177" t="inlineStr"/>
      <c r="I177" t="inlineStr">
        <is>
          <t>0</t>
        </is>
      </c>
      <c r="J177" t="b">
        <v>0</v>
      </c>
      <c r="K177" t="b">
        <v>0</v>
      </c>
      <c r="L177" t="n">
        <v>11</v>
      </c>
      <c r="M177" t="inlineStr">
        <is>
          <t>FF0B0280</t>
        </is>
      </c>
      <c r="N177" t="inlineStr">
        <is>
          <t>00000000</t>
        </is>
      </c>
      <c r="O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CashFlow Statement</t>
        </is>
      </c>
      <c r="B178" t="inlineStr">
        <is>
          <t>K17</t>
        </is>
      </c>
      <c r="C178" t="n">
        <v>17</v>
      </c>
      <c r="D178" t="n">
        <v>11</v>
      </c>
      <c r="E178" t="inlineStr">
        <is>
          <t>Input</t>
        </is>
      </c>
      <c r="F178" t="n">
        <v/>
      </c>
      <c r="G178" t="inlineStr">
        <is>
          <t>-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00000000</t>
        </is>
      </c>
      <c r="O178" t="inlineStr">
        <is>
          <t>center</t>
        </is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CashFlow Statement</t>
        </is>
      </c>
      <c r="B179" t="inlineStr">
        <is>
          <t>L17</t>
        </is>
      </c>
      <c r="C179" t="n">
        <v>17</v>
      </c>
      <c r="D179" t="n">
        <v>12</v>
      </c>
      <c r="E179" t="inlineStr">
        <is>
          <t>Input</t>
        </is>
      </c>
      <c r="F179" t="n">
        <v/>
      </c>
      <c r="G179" t="inlineStr">
        <is>
          <t>-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00000000</t>
        </is>
      </c>
      <c r="O179" t="inlineStr">
        <is>
          <t>center</t>
        </is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CashFlow Statement</t>
        </is>
      </c>
      <c r="B180" t="inlineStr">
        <is>
          <t>M17</t>
        </is>
      </c>
      <c r="C180" t="n">
        <v>17</v>
      </c>
      <c r="D180" t="n">
        <v>13</v>
      </c>
      <c r="E180" t="inlineStr">
        <is>
          <t>Input</t>
        </is>
      </c>
      <c r="F180" t="n">
        <v/>
      </c>
      <c r="G180" t="inlineStr">
        <is>
          <t>-</t>
        </is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inlineStr">
        <is>
          <t>center</t>
        </is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CashFlow Statement</t>
        </is>
      </c>
      <c r="B181" t="inlineStr">
        <is>
          <t>N17</t>
        </is>
      </c>
      <c r="C181" t="n">
        <v>17</v>
      </c>
      <c r="D181" t="n">
        <v>14</v>
      </c>
      <c r="E181" t="inlineStr">
        <is>
          <t>Input</t>
        </is>
      </c>
      <c r="F181" t="n">
        <v/>
      </c>
      <c r="G181" t="inlineStr">
        <is>
          <t>-</t>
        </is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inlineStr">
        <is>
          <t>center</t>
        </is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CashFlow Statement</t>
        </is>
      </c>
      <c r="B182" t="inlineStr">
        <is>
          <t>O17</t>
        </is>
      </c>
      <c r="C182" t="n">
        <v>17</v>
      </c>
      <c r="D182" t="n">
        <v>15</v>
      </c>
      <c r="E182" t="inlineStr">
        <is>
          <t>Input</t>
        </is>
      </c>
      <c r="F182" t="n">
        <v/>
      </c>
      <c r="G182" t="inlineStr">
        <is>
          <t>-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inlineStr">
        <is>
          <t>center</t>
        </is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CashFlow Statement</t>
        </is>
      </c>
      <c r="B183" t="inlineStr">
        <is>
          <t>A18</t>
        </is>
      </c>
      <c r="C183" t="n">
        <v>18</v>
      </c>
      <c r="D183" t="n">
        <v>1</v>
      </c>
      <c r="E183" t="inlineStr">
        <is>
          <t>Input</t>
        </is>
      </c>
      <c r="F183" t="n">
        <v/>
      </c>
      <c r="G183" t="inlineStr">
        <is>
          <t>Others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CashFlow Statement</t>
        </is>
      </c>
      <c r="B184" t="inlineStr">
        <is>
          <t>D18</t>
        </is>
      </c>
      <c r="C184" t="n">
        <v>18</v>
      </c>
      <c r="D184" t="n">
        <v>4</v>
      </c>
      <c r="E184" t="inlineStr">
        <is>
          <t>Calculation</t>
        </is>
      </c>
      <c r="F184" t="inlineStr">
        <is>
          <t>'=45.22+0.62+63.48-5.75</t>
        </is>
      </c>
      <c r="G184" t="n">
        <v>103.57</v>
      </c>
      <c r="H184" t="inlineStr"/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>
        <f>45.22+0.62+63.48-5.75</f>
        <v/>
      </c>
    </row>
    <row r="185">
      <c r="A185" t="inlineStr">
        <is>
          <t>CashFlow Statement</t>
        </is>
      </c>
      <c r="B185" t="inlineStr">
        <is>
          <t>E18</t>
        </is>
      </c>
      <c r="C185" t="n">
        <v>18</v>
      </c>
      <c r="D185" t="n">
        <v>5</v>
      </c>
      <c r="E185" t="inlineStr">
        <is>
          <t>Calculation</t>
        </is>
      </c>
      <c r="F185" t="inlineStr">
        <is>
          <t>'=50.58+17.11+7.88-4.87+1.47</t>
        </is>
      </c>
      <c r="G185" t="n">
        <v>72.16999999999999</v>
      </c>
      <c r="H185" t="inlineStr"/>
      <c r="I185" t="inlineStr">
        <is>
          <t>0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>
        <f>50.58+17.11+7.88-4.87+1.47</f>
        <v/>
      </c>
    </row>
    <row r="186">
      <c r="A186" t="inlineStr">
        <is>
          <t>CashFlow Statement</t>
        </is>
      </c>
      <c r="B186" t="inlineStr">
        <is>
          <t>F18</t>
        </is>
      </c>
      <c r="C186" t="n">
        <v>18</v>
      </c>
      <c r="D186" t="n">
        <v>6</v>
      </c>
      <c r="E186" t="inlineStr">
        <is>
          <t>Calculation</t>
        </is>
      </c>
      <c r="F186" t="inlineStr">
        <is>
          <t>'=44.5+126-1.03+3</t>
        </is>
      </c>
      <c r="G186" t="n">
        <v>172.47</v>
      </c>
      <c r="H186" t="inlineStr"/>
      <c r="I186" t="inlineStr">
        <is>
          <t>0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>
        <f>44.5+126-1.03+3</f>
        <v/>
      </c>
    </row>
    <row r="187">
      <c r="A187" t="inlineStr">
        <is>
          <t>CashFlow Statement</t>
        </is>
      </c>
      <c r="B187" t="inlineStr">
        <is>
          <t>G18</t>
        </is>
      </c>
      <c r="C187" t="n">
        <v>18</v>
      </c>
      <c r="D187" t="n">
        <v>7</v>
      </c>
      <c r="E187" t="inlineStr">
        <is>
          <t>Calculation</t>
        </is>
      </c>
      <c r="F187" t="inlineStr">
        <is>
          <t>'=26.37+1+563+0.17</t>
        </is>
      </c>
      <c r="G187" t="n">
        <v>590.54</v>
      </c>
      <c r="H187" t="inlineStr"/>
      <c r="I187" t="inlineStr">
        <is>
          <t>0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>
        <f>26.37+1+563+0.17</f>
        <v/>
      </c>
    </row>
    <row r="188">
      <c r="A188" t="inlineStr">
        <is>
          <t>CashFlow Statement</t>
        </is>
      </c>
      <c r="B188" t="inlineStr">
        <is>
          <t>H18</t>
        </is>
      </c>
      <c r="C188" t="n">
        <v>18</v>
      </c>
      <c r="D188" t="n">
        <v>8</v>
      </c>
      <c r="E188" t="inlineStr">
        <is>
          <t>Calculation</t>
        </is>
      </c>
      <c r="F188" t="inlineStr">
        <is>
          <t>'=-107.78-1.12+0.9+0.18+1192.08</t>
        </is>
      </c>
      <c r="G188" t="n">
        <v>1084.26</v>
      </c>
      <c r="H188" t="inlineStr"/>
      <c r="I188" t="inlineStr">
        <is>
          <t>0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>
        <f>-107.78-1.12+0.9+0.18+1192.08</f>
        <v/>
      </c>
    </row>
    <row r="189">
      <c r="A189" t="inlineStr">
        <is>
          <t>CashFlow Statement</t>
        </is>
      </c>
      <c r="B189" t="inlineStr">
        <is>
          <t>I18</t>
        </is>
      </c>
      <c r="C189" t="n">
        <v>18</v>
      </c>
      <c r="D189" t="n">
        <v>9</v>
      </c>
      <c r="E189" t="inlineStr">
        <is>
          <t>Calculation</t>
        </is>
      </c>
      <c r="F189" t="inlineStr">
        <is>
          <t>'=-69.34+51.72+2.1+4.26+2057.93+677.07</t>
        </is>
      </c>
      <c r="G189" t="n">
        <v>2723.74</v>
      </c>
      <c r="H189" t="inlineStr"/>
      <c r="I189" t="inlineStr">
        <is>
          <t>0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>
        <f>-69.34+51.72+2.1+4.26+2057.93+677.07</f>
        <v/>
      </c>
    </row>
    <row r="190">
      <c r="A190" t="inlineStr">
        <is>
          <t>CashFlow Statement</t>
        </is>
      </c>
      <c r="B190" t="inlineStr">
        <is>
          <t>J18</t>
        </is>
      </c>
      <c r="C190" t="n">
        <v>18</v>
      </c>
      <c r="D190" t="n">
        <v>10</v>
      </c>
      <c r="E190" t="inlineStr">
        <is>
          <t>Calculation</t>
        </is>
      </c>
      <c r="F190" t="inlineStr">
        <is>
          <t>'=-414.93-2152.27+535.97+47.46+9.09-861.8+504.89</t>
        </is>
      </c>
      <c r="G190" t="n">
        <v>-2331.59</v>
      </c>
      <c r="H190" t="inlineStr"/>
      <c r="I190" t="inlineStr">
        <is>
          <t>0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>
        <f>-414.93-2152.27+535.97+47.46+9.09-861.8+504.89</f>
        <v/>
      </c>
    </row>
    <row r="191">
      <c r="A191" t="inlineStr">
        <is>
          <t>CashFlow Statement</t>
        </is>
      </c>
      <c r="B191" t="inlineStr">
        <is>
          <t>K18</t>
        </is>
      </c>
      <c r="C191" t="n">
        <v>18</v>
      </c>
      <c r="D191" t="n">
        <v>11</v>
      </c>
      <c r="E191" t="inlineStr">
        <is>
          <t>Calculation</t>
        </is>
      </c>
      <c r="F191" t="inlineStr">
        <is>
          <t>'='Balance sheet'!K16-'Balance sheet'!J16</t>
        </is>
      </c>
      <c r="G191" t="n">
        <v>5372.042000000001</v>
      </c>
      <c r="H191" t="inlineStr"/>
      <c r="I191" t="inlineStr">
        <is>
          <t>0</t>
        </is>
      </c>
      <c r="J191" t="b">
        <v>0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00000000</t>
        </is>
      </c>
      <c r="O191" t="n">
        <v/>
      </c>
      <c r="R191" t="b">
        <v>1</v>
      </c>
      <c r="S191" t="inlineStr">
        <is>
          <t>G000260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CashFlow Statement!K18:O18</t>
        </is>
      </c>
      <c r="X191">
        <f>'Balance sheet'!R[-2]C[0]-'Balance sheet'!R[-2]C[-1]</f>
        <v/>
      </c>
    </row>
    <row r="192">
      <c r="A192" t="inlineStr">
        <is>
          <t>CashFlow Statement</t>
        </is>
      </c>
      <c r="B192" t="inlineStr">
        <is>
          <t>L18</t>
        </is>
      </c>
      <c r="C192" t="n">
        <v>18</v>
      </c>
      <c r="D192" t="n">
        <v>12</v>
      </c>
      <c r="E192" t="inlineStr">
        <is>
          <t>Calculation</t>
        </is>
      </c>
      <c r="F192" t="inlineStr">
        <is>
          <t>'='Balance sheet'!L16-'Balance sheet'!K16</t>
        </is>
      </c>
      <c r="G192" t="n">
        <v>-4680.751292173925</v>
      </c>
      <c r="H192" t="inlineStr"/>
      <c r="I192" t="inlineStr">
        <is>
          <t>0</t>
        </is>
      </c>
      <c r="J192" t="b">
        <v>0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00000000</t>
        </is>
      </c>
      <c r="O192" t="n">
        <v/>
      </c>
      <c r="R192" t="b">
        <v>1</v>
      </c>
      <c r="S192" t="inlineStr">
        <is>
          <t>G000260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CashFlow Statement!K18:O18</t>
        </is>
      </c>
      <c r="X192">
        <f>'Balance sheet'!R[-2]C[0]-'Balance sheet'!R[-2]C[-1]</f>
        <v/>
      </c>
    </row>
    <row r="193">
      <c r="A193" t="inlineStr">
        <is>
          <t>CashFlow Statement</t>
        </is>
      </c>
      <c r="B193" t="inlineStr">
        <is>
          <t>M18</t>
        </is>
      </c>
      <c r="C193" t="n">
        <v>18</v>
      </c>
      <c r="D193" t="n">
        <v>13</v>
      </c>
      <c r="E193" t="inlineStr">
        <is>
          <t>Calculation</t>
        </is>
      </c>
      <c r="F193" t="inlineStr">
        <is>
          <t>'='Balance sheet'!M16-'Balance sheet'!L16</t>
        </is>
      </c>
      <c r="G193" t="n">
        <v>7306.392772278254</v>
      </c>
      <c r="H193" t="inlineStr"/>
      <c r="I193" t="inlineStr">
        <is>
          <t>0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n">
        <v/>
      </c>
      <c r="R193" t="b">
        <v>1</v>
      </c>
      <c r="S193" t="inlineStr">
        <is>
          <t>G000260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CashFlow Statement!K18:O18</t>
        </is>
      </c>
      <c r="X193">
        <f>'Balance sheet'!R[-2]C[0]-'Balance sheet'!R[-2]C[-1]</f>
        <v/>
      </c>
    </row>
    <row r="194">
      <c r="A194" t="inlineStr">
        <is>
          <t>CashFlow Statement</t>
        </is>
      </c>
      <c r="B194" t="inlineStr">
        <is>
          <t>N18</t>
        </is>
      </c>
      <c r="C194" t="n">
        <v>18</v>
      </c>
      <c r="D194" t="n">
        <v>14</v>
      </c>
      <c r="E194" t="inlineStr">
        <is>
          <t>Calculation</t>
        </is>
      </c>
      <c r="F194" t="inlineStr">
        <is>
          <t>'='Balance sheet'!N16-'Balance sheet'!M16</t>
        </is>
      </c>
      <c r="G194" t="n">
        <v>7176.646381834442</v>
      </c>
      <c r="H194" t="inlineStr"/>
      <c r="I194" t="inlineStr">
        <is>
          <t>0</t>
        </is>
      </c>
      <c r="J194" t="b">
        <v>0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00000000</t>
        </is>
      </c>
      <c r="O194" t="n">
        <v/>
      </c>
      <c r="R194" t="b">
        <v>1</v>
      </c>
      <c r="S194" t="inlineStr">
        <is>
          <t>G000260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CashFlow Statement!K18:O18</t>
        </is>
      </c>
      <c r="X194">
        <f>'Balance sheet'!R[-2]C[0]-'Balance sheet'!R[-2]C[-1]</f>
        <v/>
      </c>
    </row>
    <row r="195">
      <c r="A195" t="inlineStr">
        <is>
          <t>CashFlow Statement</t>
        </is>
      </c>
      <c r="B195" t="inlineStr">
        <is>
          <t>O18</t>
        </is>
      </c>
      <c r="C195" t="n">
        <v>18</v>
      </c>
      <c r="D195" t="n">
        <v>15</v>
      </c>
      <c r="E195" t="inlineStr">
        <is>
          <t>Calculation</t>
        </is>
      </c>
      <c r="F195" t="inlineStr">
        <is>
          <t>'='Balance sheet'!O16-'Balance sheet'!N16</t>
        </is>
      </c>
      <c r="G195" t="n">
        <v>7689.181190159637</v>
      </c>
      <c r="H195" t="inlineStr"/>
      <c r="I195" t="inlineStr">
        <is>
          <t>0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R195" t="b">
        <v>1</v>
      </c>
      <c r="S195" t="inlineStr">
        <is>
          <t>G000260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CashFlow Statement!K18:O18</t>
        </is>
      </c>
      <c r="X195">
        <f>'Balance sheet'!R[-2]C[0]-'Balance sheet'!R[-2]C[-1]</f>
        <v/>
      </c>
    </row>
    <row r="196">
      <c r="A196" t="inlineStr">
        <is>
          <t>CashFlow Statement</t>
        </is>
      </c>
      <c r="B196" t="inlineStr">
        <is>
          <t>A19</t>
        </is>
      </c>
      <c r="C196" t="n">
        <v>19</v>
      </c>
      <c r="D196" t="n">
        <v>1</v>
      </c>
      <c r="E196" t="inlineStr">
        <is>
          <t>Input</t>
        </is>
      </c>
      <c r="F196" t="n">
        <v/>
      </c>
      <c r="G196" t="inlineStr">
        <is>
          <t>Operating profit before working capital changes</t>
        </is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CashFlow Statement</t>
        </is>
      </c>
      <c r="B197" t="inlineStr">
        <is>
          <t>D19</t>
        </is>
      </c>
      <c r="C197" t="n">
        <v>19</v>
      </c>
      <c r="D197" t="n">
        <v>4</v>
      </c>
      <c r="E197" t="inlineStr">
        <is>
          <t>Calculation</t>
        </is>
      </c>
      <c r="F197" t="inlineStr">
        <is>
          <t>'=SUM(D8:D18)</t>
        </is>
      </c>
      <c r="G197" t="n">
        <v>7441.93</v>
      </c>
      <c r="H197" t="inlineStr"/>
      <c r="I197" t="inlineStr">
        <is>
          <t>0</t>
        </is>
      </c>
      <c r="J197" t="b">
        <v>1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R197" t="b">
        <v>1</v>
      </c>
      <c r="S197" t="inlineStr">
        <is>
          <t>G000261</t>
        </is>
      </c>
      <c r="T197" t="inlineStr">
        <is>
          <t>Horizontal</t>
        </is>
      </c>
      <c r="U197" t="n">
        <v>12</v>
      </c>
      <c r="V197" t="b">
        <v>1</v>
      </c>
      <c r="W197" t="inlineStr">
        <is>
          <t>CashFlow Statement!D19:O19</t>
        </is>
      </c>
      <c r="X197">
        <f>SUM(R[-11]C[0]:R[-1]C[0])</f>
        <v/>
      </c>
    </row>
    <row r="198">
      <c r="A198" t="inlineStr">
        <is>
          <t>CashFlow Statement</t>
        </is>
      </c>
      <c r="B198" t="inlineStr">
        <is>
          <t>E19</t>
        </is>
      </c>
      <c r="C198" t="n">
        <v>19</v>
      </c>
      <c r="D198" t="n">
        <v>5</v>
      </c>
      <c r="E198" t="inlineStr">
        <is>
          <t>Calculation</t>
        </is>
      </c>
      <c r="F198" t="inlineStr">
        <is>
          <t>'=SUM(E8:E18)</t>
        </is>
      </c>
      <c r="G198" t="n">
        <v>792.7899999999998</v>
      </c>
      <c r="H198" t="inlineStr"/>
      <c r="I198" t="inlineStr">
        <is>
          <t>0</t>
        </is>
      </c>
      <c r="J198" t="b">
        <v>1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R198" t="b">
        <v>1</v>
      </c>
      <c r="S198" t="inlineStr">
        <is>
          <t>G000261</t>
        </is>
      </c>
      <c r="T198" t="inlineStr">
        <is>
          <t>Horizontal</t>
        </is>
      </c>
      <c r="U198" t="n">
        <v>12</v>
      </c>
      <c r="V198" t="b">
        <v>1</v>
      </c>
      <c r="W198" t="inlineStr">
        <is>
          <t>CashFlow Statement!D19:O19</t>
        </is>
      </c>
      <c r="X198">
        <f>SUM(R[-11]C[0]:R[-1]C[0])</f>
        <v/>
      </c>
    </row>
    <row r="199">
      <c r="A199" t="inlineStr">
        <is>
          <t>CashFlow Statement</t>
        </is>
      </c>
      <c r="B199" t="inlineStr">
        <is>
          <t>F19</t>
        </is>
      </c>
      <c r="C199" t="n">
        <v>19</v>
      </c>
      <c r="D199" t="n">
        <v>6</v>
      </c>
      <c r="E199" t="inlineStr">
        <is>
          <t>Calculation</t>
        </is>
      </c>
      <c r="F199" t="inlineStr">
        <is>
          <t>'=SUM(F8:F18)</t>
        </is>
      </c>
      <c r="G199" t="n">
        <v>9568.480000000003</v>
      </c>
      <c r="H199" t="inlineStr"/>
      <c r="I199" t="inlineStr">
        <is>
          <t>0</t>
        </is>
      </c>
      <c r="J199" t="b">
        <v>1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R199" t="b">
        <v>1</v>
      </c>
      <c r="S199" t="inlineStr">
        <is>
          <t>G000261</t>
        </is>
      </c>
      <c r="T199" t="inlineStr">
        <is>
          <t>Horizontal</t>
        </is>
      </c>
      <c r="U199" t="n">
        <v>12</v>
      </c>
      <c r="V199" t="b">
        <v>1</v>
      </c>
      <c r="W199" t="inlineStr">
        <is>
          <t>CashFlow Statement!D19:O19</t>
        </is>
      </c>
      <c r="X199">
        <f>SUM(R[-11]C[0]:R[-1]C[0])</f>
        <v/>
      </c>
    </row>
    <row r="200">
      <c r="A200" t="inlineStr">
        <is>
          <t>CashFlow Statement</t>
        </is>
      </c>
      <c r="B200" t="inlineStr">
        <is>
          <t>G19</t>
        </is>
      </c>
      <c r="C200" t="n">
        <v>19</v>
      </c>
      <c r="D200" t="n">
        <v>7</v>
      </c>
      <c r="E200" t="inlineStr">
        <is>
          <t>Calculation</t>
        </is>
      </c>
      <c r="F200" t="inlineStr">
        <is>
          <t>'=SUM(G8:G18)</t>
        </is>
      </c>
      <c r="G200" t="n">
        <v>5811.500000000001</v>
      </c>
      <c r="H200" t="inlineStr"/>
      <c r="I200" t="inlineStr">
        <is>
          <t>0</t>
        </is>
      </c>
      <c r="J200" t="b">
        <v>1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R200" t="b">
        <v>1</v>
      </c>
      <c r="S200" t="inlineStr">
        <is>
          <t>G000261</t>
        </is>
      </c>
      <c r="T200" t="inlineStr">
        <is>
          <t>Horizontal</t>
        </is>
      </c>
      <c r="U200" t="n">
        <v>12</v>
      </c>
      <c r="V200" t="b">
        <v>1</v>
      </c>
      <c r="W200" t="inlineStr">
        <is>
          <t>CashFlow Statement!D19:O19</t>
        </is>
      </c>
      <c r="X200">
        <f>SUM(R[-11]C[0]:R[-1]C[0])</f>
        <v/>
      </c>
    </row>
    <row r="201">
      <c r="A201" t="inlineStr">
        <is>
          <t>CashFlow Statement</t>
        </is>
      </c>
      <c r="B201" t="inlineStr">
        <is>
          <t>H19</t>
        </is>
      </c>
      <c r="C201" t="n">
        <v>19</v>
      </c>
      <c r="D201" t="n">
        <v>8</v>
      </c>
      <c r="E201" t="inlineStr">
        <is>
          <t>Calculation</t>
        </is>
      </c>
      <c r="F201" t="inlineStr">
        <is>
          <t>'=SUM(H8:H18)</t>
        </is>
      </c>
      <c r="G201" t="n">
        <v>20024.92</v>
      </c>
      <c r="H201" t="inlineStr"/>
      <c r="I201" t="inlineStr">
        <is>
          <t>0</t>
        </is>
      </c>
      <c r="J201" t="b">
        <v>1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R201" t="b">
        <v>1</v>
      </c>
      <c r="S201" t="inlineStr">
        <is>
          <t>G000261</t>
        </is>
      </c>
      <c r="T201" t="inlineStr">
        <is>
          <t>Horizontal</t>
        </is>
      </c>
      <c r="U201" t="n">
        <v>12</v>
      </c>
      <c r="V201" t="b">
        <v>1</v>
      </c>
      <c r="W201" t="inlineStr">
        <is>
          <t>CashFlow Statement!D19:O19</t>
        </is>
      </c>
      <c r="X201">
        <f>SUM(R[-11]C[0]:R[-1]C[0])</f>
        <v/>
      </c>
    </row>
    <row r="202">
      <c r="A202" t="inlineStr">
        <is>
          <t>CashFlow Statement</t>
        </is>
      </c>
      <c r="B202" t="inlineStr">
        <is>
          <t>I19</t>
        </is>
      </c>
      <c r="C202" t="n">
        <v>19</v>
      </c>
      <c r="D202" t="n">
        <v>9</v>
      </c>
      <c r="E202" t="inlineStr">
        <is>
          <t>Calculation</t>
        </is>
      </c>
      <c r="F202" t="inlineStr">
        <is>
          <t>'=SUM(I8:I18)</t>
        </is>
      </c>
      <c r="G202" t="n">
        <v>33255.01999999999</v>
      </c>
      <c r="H202" t="inlineStr"/>
      <c r="I202" t="inlineStr">
        <is>
          <t>0</t>
        </is>
      </c>
      <c r="J202" t="b">
        <v>1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00000000</t>
        </is>
      </c>
      <c r="O202" t="n">
        <v/>
      </c>
      <c r="R202" t="b">
        <v>1</v>
      </c>
      <c r="S202" t="inlineStr">
        <is>
          <t>G000261</t>
        </is>
      </c>
      <c r="T202" t="inlineStr">
        <is>
          <t>Horizontal</t>
        </is>
      </c>
      <c r="U202" t="n">
        <v>12</v>
      </c>
      <c r="V202" t="b">
        <v>1</v>
      </c>
      <c r="W202" t="inlineStr">
        <is>
          <t>CashFlow Statement!D19:O19</t>
        </is>
      </c>
      <c r="X202">
        <f>SUM(R[-11]C[0]:R[-1]C[0])</f>
        <v/>
      </c>
    </row>
    <row r="203">
      <c r="A203" t="inlineStr">
        <is>
          <t>CashFlow Statement</t>
        </is>
      </c>
      <c r="B203" t="inlineStr">
        <is>
          <t>J19</t>
        </is>
      </c>
      <c r="C203" t="n">
        <v>19</v>
      </c>
      <c r="D203" t="n">
        <v>10</v>
      </c>
      <c r="E203" t="inlineStr">
        <is>
          <t>Calculation</t>
        </is>
      </c>
      <c r="F203" t="inlineStr">
        <is>
          <t>'=SUM(J8:J18)</t>
        </is>
      </c>
      <c r="G203" t="n">
        <v>20926.47</v>
      </c>
      <c r="H203" t="inlineStr"/>
      <c r="I203" t="inlineStr">
        <is>
          <t>0</t>
        </is>
      </c>
      <c r="J203" t="b">
        <v>1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n">
        <v/>
      </c>
      <c r="R203" t="b">
        <v>1</v>
      </c>
      <c r="S203" t="inlineStr">
        <is>
          <t>G000261</t>
        </is>
      </c>
      <c r="T203" t="inlineStr">
        <is>
          <t>Horizontal</t>
        </is>
      </c>
      <c r="U203" t="n">
        <v>12</v>
      </c>
      <c r="V203" t="b">
        <v>1</v>
      </c>
      <c r="W203" t="inlineStr">
        <is>
          <t>CashFlow Statement!D19:O19</t>
        </is>
      </c>
      <c r="X203">
        <f>SUM(R[-11]C[0]:R[-1]C[0])</f>
        <v/>
      </c>
    </row>
    <row r="204">
      <c r="A204" t="inlineStr">
        <is>
          <t>CashFlow Statement</t>
        </is>
      </c>
      <c r="B204" t="inlineStr">
        <is>
          <t>K19</t>
        </is>
      </c>
      <c r="C204" t="n">
        <v>19</v>
      </c>
      <c r="D204" t="n">
        <v>11</v>
      </c>
      <c r="E204" t="inlineStr">
        <is>
          <t>Calculation</t>
        </is>
      </c>
      <c r="F204" t="inlineStr">
        <is>
          <t>'=SUM(K8:K18)</t>
        </is>
      </c>
      <c r="G204" t="n">
        <v>60397.15162391167</v>
      </c>
      <c r="H204" t="inlineStr"/>
      <c r="I204" t="inlineStr">
        <is>
          <t>0</t>
        </is>
      </c>
      <c r="J204" t="b">
        <v>1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R204" t="b">
        <v>1</v>
      </c>
      <c r="S204" t="inlineStr">
        <is>
          <t>G000261</t>
        </is>
      </c>
      <c r="T204" t="inlineStr">
        <is>
          <t>Horizontal</t>
        </is>
      </c>
      <c r="U204" t="n">
        <v>12</v>
      </c>
      <c r="V204" t="b">
        <v>1</v>
      </c>
      <c r="W204" t="inlineStr">
        <is>
          <t>CashFlow Statement!D19:O19</t>
        </is>
      </c>
      <c r="X204">
        <f>SUM(R[-11]C[0]:R[-1]C[0])</f>
        <v/>
      </c>
    </row>
    <row r="205">
      <c r="A205" t="inlineStr">
        <is>
          <t>CashFlow Statement</t>
        </is>
      </c>
      <c r="B205" t="inlineStr">
        <is>
          <t>L19</t>
        </is>
      </c>
      <c r="C205" t="n">
        <v>19</v>
      </c>
      <c r="D205" t="n">
        <v>12</v>
      </c>
      <c r="E205" t="inlineStr">
        <is>
          <t>Calculation</t>
        </is>
      </c>
      <c r="F205" t="inlineStr">
        <is>
          <t>'=SUM(L8:L18)</t>
        </is>
      </c>
      <c r="G205" t="n">
        <v>57430.4329356374</v>
      </c>
      <c r="H205" t="inlineStr"/>
      <c r="I205" t="inlineStr">
        <is>
          <t>0</t>
        </is>
      </c>
      <c r="J205" t="b">
        <v>1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00000000</t>
        </is>
      </c>
      <c r="O205" t="n">
        <v/>
      </c>
      <c r="R205" t="b">
        <v>1</v>
      </c>
      <c r="S205" t="inlineStr">
        <is>
          <t>G000261</t>
        </is>
      </c>
      <c r="T205" t="inlineStr">
        <is>
          <t>Horizontal</t>
        </is>
      </c>
      <c r="U205" t="n">
        <v>12</v>
      </c>
      <c r="V205" t="b">
        <v>1</v>
      </c>
      <c r="W205" t="inlineStr">
        <is>
          <t>CashFlow Statement!D19:O19</t>
        </is>
      </c>
      <c r="X205">
        <f>SUM(R[-11]C[0]:R[-1]C[0])</f>
        <v/>
      </c>
    </row>
    <row r="206">
      <c r="A206" t="inlineStr">
        <is>
          <t>CashFlow Statement</t>
        </is>
      </c>
      <c r="B206" t="inlineStr">
        <is>
          <t>M19</t>
        </is>
      </c>
      <c r="C206" t="n">
        <v>19</v>
      </c>
      <c r="D206" t="n">
        <v>13</v>
      </c>
      <c r="E206" t="inlineStr">
        <is>
          <t>Calculation</t>
        </is>
      </c>
      <c r="F206" t="inlineStr">
        <is>
          <t>'=SUM(M8:M18)</t>
        </is>
      </c>
      <c r="G206" t="n">
        <v>83117.18037858357</v>
      </c>
      <c r="H206" t="inlineStr"/>
      <c r="I206" t="inlineStr">
        <is>
          <t>0</t>
        </is>
      </c>
      <c r="J206" t="b">
        <v>1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00000000</t>
        </is>
      </c>
      <c r="O206" t="n">
        <v/>
      </c>
      <c r="R206" t="b">
        <v>1</v>
      </c>
      <c r="S206" t="inlineStr">
        <is>
          <t>G000261</t>
        </is>
      </c>
      <c r="T206" t="inlineStr">
        <is>
          <t>Horizontal</t>
        </is>
      </c>
      <c r="U206" t="n">
        <v>12</v>
      </c>
      <c r="V206" t="b">
        <v>1</v>
      </c>
      <c r="W206" t="inlineStr">
        <is>
          <t>CashFlow Statement!D19:O19</t>
        </is>
      </c>
      <c r="X206">
        <f>SUM(R[-11]C[0]:R[-1]C[0])</f>
        <v/>
      </c>
    </row>
    <row r="207">
      <c r="A207" t="inlineStr">
        <is>
          <t>CashFlow Statement</t>
        </is>
      </c>
      <c r="B207" t="inlineStr">
        <is>
          <t>N19</t>
        </is>
      </c>
      <c r="C207" t="n">
        <v>19</v>
      </c>
      <c r="D207" t="n">
        <v>14</v>
      </c>
      <c r="E207" t="inlineStr">
        <is>
          <t>Calculation</t>
        </is>
      </c>
      <c r="F207" t="inlineStr">
        <is>
          <t>'=SUM(N8:N18)</t>
        </is>
      </c>
      <c r="G207" t="n">
        <v>97129.88078676214</v>
      </c>
      <c r="H207" t="inlineStr"/>
      <c r="I207" t="inlineStr">
        <is>
          <t>0</t>
        </is>
      </c>
      <c r="J207" t="b">
        <v>1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00000000</t>
        </is>
      </c>
      <c r="O207" t="n">
        <v/>
      </c>
      <c r="R207" t="b">
        <v>1</v>
      </c>
      <c r="S207" t="inlineStr">
        <is>
          <t>G000261</t>
        </is>
      </c>
      <c r="T207" t="inlineStr">
        <is>
          <t>Horizontal</t>
        </is>
      </c>
      <c r="U207" t="n">
        <v>12</v>
      </c>
      <c r="V207" t="b">
        <v>1</v>
      </c>
      <c r="W207" t="inlineStr">
        <is>
          <t>CashFlow Statement!D19:O19</t>
        </is>
      </c>
      <c r="X207">
        <f>SUM(R[-11]C[0]:R[-1]C[0])</f>
        <v/>
      </c>
    </row>
    <row r="208">
      <c r="A208" t="inlineStr">
        <is>
          <t>CashFlow Statement</t>
        </is>
      </c>
      <c r="B208" t="inlineStr">
        <is>
          <t>O19</t>
        </is>
      </c>
      <c r="C208" t="n">
        <v>19</v>
      </c>
      <c r="D208" t="n">
        <v>15</v>
      </c>
      <c r="E208" t="inlineStr">
        <is>
          <t>Calculation</t>
        </is>
      </c>
      <c r="F208" t="inlineStr">
        <is>
          <t>'=SUM(O8:O18)</t>
        </is>
      </c>
      <c r="G208" t="n">
        <v>115071.2670775618</v>
      </c>
      <c r="H208" t="inlineStr"/>
      <c r="I208" t="inlineStr">
        <is>
          <t>0</t>
        </is>
      </c>
      <c r="J208" t="b">
        <v>1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00000000</t>
        </is>
      </c>
      <c r="O208" t="n">
        <v/>
      </c>
      <c r="R208" t="b">
        <v>1</v>
      </c>
      <c r="S208" t="inlineStr">
        <is>
          <t>G000261</t>
        </is>
      </c>
      <c r="T208" t="inlineStr">
        <is>
          <t>Horizontal</t>
        </is>
      </c>
      <c r="U208" t="n">
        <v>12</v>
      </c>
      <c r="V208" t="b">
        <v>1</v>
      </c>
      <c r="W208" t="inlineStr">
        <is>
          <t>CashFlow Statement!D19:O19</t>
        </is>
      </c>
      <c r="X208">
        <f>SUM(R[-11]C[0]:R[-1]C[0])</f>
        <v/>
      </c>
    </row>
    <row r="209">
      <c r="A209" t="inlineStr">
        <is>
          <t>CashFlow Statement</t>
        </is>
      </c>
      <c r="B209" t="inlineStr">
        <is>
          <t>A20</t>
        </is>
      </c>
      <c r="C209" t="n">
        <v>20</v>
      </c>
      <c r="D209" t="n">
        <v>1</v>
      </c>
      <c r="E209" t="inlineStr">
        <is>
          <t>Input</t>
        </is>
      </c>
      <c r="F209" t="n">
        <v/>
      </c>
      <c r="G209" t="inlineStr">
        <is>
          <t>Adjustment for:</t>
        </is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00000000</t>
        </is>
      </c>
      <c r="O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CashFlow Statement</t>
        </is>
      </c>
      <c r="B210" t="inlineStr">
        <is>
          <t>D20</t>
        </is>
      </c>
      <c r="C210" t="n">
        <v>20</v>
      </c>
      <c r="D210" t="n">
        <v>4</v>
      </c>
      <c r="E210" t="inlineStr">
        <is>
          <t>Input</t>
        </is>
      </c>
      <c r="F210" t="n">
        <v/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CashFlow Statement</t>
        </is>
      </c>
      <c r="B211" t="inlineStr">
        <is>
          <t>E20</t>
        </is>
      </c>
      <c r="C211" t="n">
        <v>20</v>
      </c>
      <c r="D211" t="n">
        <v>5</v>
      </c>
      <c r="E211" t="inlineStr">
        <is>
          <t>Input</t>
        </is>
      </c>
      <c r="F211" t="n">
        <v/>
      </c>
      <c r="H211" t="inlineStr"/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00000000</t>
        </is>
      </c>
      <c r="O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CashFlow Statement</t>
        </is>
      </c>
      <c r="B212" t="inlineStr">
        <is>
          <t>F20</t>
        </is>
      </c>
      <c r="C212" t="n">
        <v>20</v>
      </c>
      <c r="D212" t="n">
        <v>6</v>
      </c>
      <c r="E212" t="inlineStr">
        <is>
          <t>Input</t>
        </is>
      </c>
      <c r="F212" t="n">
        <v/>
      </c>
      <c r="H212" t="inlineStr"/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CashFlow Statement</t>
        </is>
      </c>
      <c r="B213" t="inlineStr">
        <is>
          <t>G20</t>
        </is>
      </c>
      <c r="C213" t="n">
        <v>20</v>
      </c>
      <c r="D213" t="n">
        <v>7</v>
      </c>
      <c r="E213" t="inlineStr">
        <is>
          <t>Input</t>
        </is>
      </c>
      <c r="F213" t="n">
        <v/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00000000</t>
        </is>
      </c>
      <c r="O213" t="n">
        <v/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CashFlow Statement</t>
        </is>
      </c>
      <c r="B214" t="inlineStr">
        <is>
          <t>H20</t>
        </is>
      </c>
      <c r="C214" t="n">
        <v>20</v>
      </c>
      <c r="D214" t="n">
        <v>8</v>
      </c>
      <c r="E214" t="inlineStr">
        <is>
          <t>Input</t>
        </is>
      </c>
      <c r="F214" t="n">
        <v/>
      </c>
      <c r="H214" t="inlineStr"/>
      <c r="I214" t="inlineStr">
        <is>
          <t>0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CashFlow Statement</t>
        </is>
      </c>
      <c r="B215" t="inlineStr">
        <is>
          <t>I20</t>
        </is>
      </c>
      <c r="C215" t="n">
        <v>20</v>
      </c>
      <c r="D215" t="n">
        <v>9</v>
      </c>
      <c r="E215" t="inlineStr">
        <is>
          <t>Input</t>
        </is>
      </c>
      <c r="F215" t="n">
        <v/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CashFlow Statement</t>
        </is>
      </c>
      <c r="B216" t="inlineStr">
        <is>
          <t>J20</t>
        </is>
      </c>
      <c r="C216" t="n">
        <v>20</v>
      </c>
      <c r="D216" t="n">
        <v>10</v>
      </c>
      <c r="E216" t="inlineStr">
        <is>
          <t>Input</t>
        </is>
      </c>
      <c r="F216" t="n">
        <v/>
      </c>
      <c r="H216" t="inlineStr"/>
      <c r="I216" t="inlineStr">
        <is>
          <t>0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CashFlow Statement</t>
        </is>
      </c>
      <c r="B217" t="inlineStr">
        <is>
          <t>K20</t>
        </is>
      </c>
      <c r="C217" t="n">
        <v>20</v>
      </c>
      <c r="D217" t="n">
        <v>11</v>
      </c>
      <c r="E217" t="inlineStr">
        <is>
          <t>Input</t>
        </is>
      </c>
      <c r="F217" t="n">
        <v/>
      </c>
      <c r="H217" t="inlineStr"/>
      <c r="I217" t="inlineStr">
        <is>
          <t>0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CashFlow Statement</t>
        </is>
      </c>
      <c r="B218" t="inlineStr">
        <is>
          <t>L20</t>
        </is>
      </c>
      <c r="C218" t="n">
        <v>20</v>
      </c>
      <c r="D218" t="n">
        <v>12</v>
      </c>
      <c r="E218" t="inlineStr">
        <is>
          <t>Input</t>
        </is>
      </c>
      <c r="F218" t="n">
        <v/>
      </c>
      <c r="H218" t="inlineStr"/>
      <c r="I218" t="inlineStr">
        <is>
          <t>0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CashFlow Statement</t>
        </is>
      </c>
      <c r="B219" t="inlineStr">
        <is>
          <t>M20</t>
        </is>
      </c>
      <c r="C219" t="n">
        <v>20</v>
      </c>
      <c r="D219" t="n">
        <v>13</v>
      </c>
      <c r="E219" t="inlineStr">
        <is>
          <t>Input</t>
        </is>
      </c>
      <c r="F219" t="n">
        <v/>
      </c>
      <c r="H219" t="inlineStr"/>
      <c r="I219" t="inlineStr">
        <is>
          <t>0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CashFlow Statement</t>
        </is>
      </c>
      <c r="B220" t="inlineStr">
        <is>
          <t>N20</t>
        </is>
      </c>
      <c r="C220" t="n">
        <v>20</v>
      </c>
      <c r="D220" t="n">
        <v>14</v>
      </c>
      <c r="E220" t="inlineStr">
        <is>
          <t>Input</t>
        </is>
      </c>
      <c r="F220" t="n">
        <v/>
      </c>
      <c r="H220" t="inlineStr"/>
      <c r="I220" t="inlineStr">
        <is>
          <t>0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CashFlow Statement</t>
        </is>
      </c>
      <c r="B221" t="inlineStr">
        <is>
          <t>O20</t>
        </is>
      </c>
      <c r="C221" t="n">
        <v>20</v>
      </c>
      <c r="D221" t="n">
        <v>15</v>
      </c>
      <c r="E221" t="inlineStr">
        <is>
          <t>Input</t>
        </is>
      </c>
      <c r="F221" t="n">
        <v/>
      </c>
      <c r="H221" t="inlineStr"/>
      <c r="I221" t="inlineStr">
        <is>
          <t>0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CashFlow Statement</t>
        </is>
      </c>
      <c r="B222" t="inlineStr">
        <is>
          <t>A21</t>
        </is>
      </c>
      <c r="C222" t="n">
        <v>21</v>
      </c>
      <c r="D222" t="n">
        <v>1</v>
      </c>
      <c r="E222" t="inlineStr">
        <is>
          <t>Input</t>
        </is>
      </c>
      <c r="F222" t="n">
        <v/>
      </c>
      <c r="G222" t="inlineStr">
        <is>
          <t>(Increase)/decrease in trade receivables</t>
        </is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00000000</t>
        </is>
      </c>
      <c r="O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CashFlow Statement</t>
        </is>
      </c>
      <c r="B223" t="inlineStr">
        <is>
          <t>D21</t>
        </is>
      </c>
      <c r="C223" t="n">
        <v>21</v>
      </c>
      <c r="D223" t="n">
        <v>4</v>
      </c>
      <c r="E223" t="inlineStr">
        <is>
          <t>Input</t>
        </is>
      </c>
      <c r="F223" t="n">
        <v/>
      </c>
      <c r="G223" t="n">
        <v>13.94</v>
      </c>
      <c r="H223" t="inlineStr"/>
      <c r="I223" t="inlineStr">
        <is>
          <t>0</t>
        </is>
      </c>
      <c r="J223" t="b">
        <v>0</v>
      </c>
      <c r="K223" t="b">
        <v>0</v>
      </c>
      <c r="L223" t="n">
        <v>11</v>
      </c>
      <c r="M223" t="inlineStr">
        <is>
          <t>FF0B0280</t>
        </is>
      </c>
      <c r="N223" t="inlineStr">
        <is>
          <t>00000000</t>
        </is>
      </c>
      <c r="O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CashFlow Statement</t>
        </is>
      </c>
      <c r="B224" t="inlineStr">
        <is>
          <t>E21</t>
        </is>
      </c>
      <c r="C224" t="n">
        <v>21</v>
      </c>
      <c r="D224" t="n">
        <v>5</v>
      </c>
      <c r="E224" t="inlineStr">
        <is>
          <t>Input</t>
        </is>
      </c>
      <c r="F224" t="n">
        <v/>
      </c>
      <c r="G224" t="n">
        <v>-220.89</v>
      </c>
      <c r="H224" t="inlineStr"/>
      <c r="I224" t="inlineStr">
        <is>
          <t>0</t>
        </is>
      </c>
      <c r="J224" t="b">
        <v>0</v>
      </c>
      <c r="K224" t="b">
        <v>0</v>
      </c>
      <c r="L224" t="n">
        <v>11</v>
      </c>
      <c r="M224" t="inlineStr">
        <is>
          <t>FF0B0280</t>
        </is>
      </c>
      <c r="N224" t="inlineStr">
        <is>
          <t>00000000</t>
        </is>
      </c>
      <c r="O224" t="n">
        <v/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CashFlow Statement</t>
        </is>
      </c>
      <c r="B225" t="inlineStr">
        <is>
          <t>F21</t>
        </is>
      </c>
      <c r="C225" t="n">
        <v>21</v>
      </c>
      <c r="D225" t="n">
        <v>6</v>
      </c>
      <c r="E225" t="inlineStr">
        <is>
          <t>Input</t>
        </is>
      </c>
      <c r="F225" t="n">
        <v/>
      </c>
      <c r="G225" t="n">
        <v>-296.16</v>
      </c>
      <c r="H225" t="inlineStr"/>
      <c r="I225" t="inlineStr">
        <is>
          <t>0</t>
        </is>
      </c>
      <c r="J225" t="b">
        <v>0</v>
      </c>
      <c r="K225" t="b">
        <v>0</v>
      </c>
      <c r="L225" t="n">
        <v>11</v>
      </c>
      <c r="M225" t="inlineStr">
        <is>
          <t>FF0B0280</t>
        </is>
      </c>
      <c r="N225" t="inlineStr">
        <is>
          <t>00000000</t>
        </is>
      </c>
      <c r="O225" t="n">
        <v/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CashFlow Statement</t>
        </is>
      </c>
      <c r="B226" t="inlineStr">
        <is>
          <t>G21</t>
        </is>
      </c>
      <c r="C226" t="n">
        <v>21</v>
      </c>
      <c r="D226" t="n">
        <v>7</v>
      </c>
      <c r="E226" t="inlineStr">
        <is>
          <t>Input</t>
        </is>
      </c>
      <c r="F226" t="n">
        <v/>
      </c>
      <c r="G226" t="n">
        <v>-210.46</v>
      </c>
      <c r="H226" t="inlineStr"/>
      <c r="I226" t="inlineStr">
        <is>
          <t>0</t>
        </is>
      </c>
      <c r="J226" t="b">
        <v>0</v>
      </c>
      <c r="K226" t="b">
        <v>0</v>
      </c>
      <c r="L226" t="n">
        <v>11</v>
      </c>
      <c r="M226" t="inlineStr">
        <is>
          <t>FF0B0280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CashFlow Statement</t>
        </is>
      </c>
      <c r="B227" t="inlineStr">
        <is>
          <t>H21</t>
        </is>
      </c>
      <c r="C227" t="n">
        <v>21</v>
      </c>
      <c r="D227" t="n">
        <v>8</v>
      </c>
      <c r="E227" t="inlineStr">
        <is>
          <t>Input</t>
        </is>
      </c>
      <c r="F227" t="n">
        <v/>
      </c>
      <c r="G227" t="n">
        <v>-224.56</v>
      </c>
      <c r="H227" t="inlineStr"/>
      <c r="I227" t="inlineStr">
        <is>
          <t>0</t>
        </is>
      </c>
      <c r="J227" t="b">
        <v>0</v>
      </c>
      <c r="K227" t="b">
        <v>0</v>
      </c>
      <c r="L227" t="n">
        <v>11</v>
      </c>
      <c r="M227" t="inlineStr">
        <is>
          <t>FF0B0280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CashFlow Statement</t>
        </is>
      </c>
      <c r="B228" t="inlineStr">
        <is>
          <t>I21</t>
        </is>
      </c>
      <c r="C228" t="n">
        <v>21</v>
      </c>
      <c r="D228" t="n">
        <v>9</v>
      </c>
      <c r="E228" t="inlineStr">
        <is>
          <t>Input</t>
        </is>
      </c>
      <c r="F228" t="n">
        <v/>
      </c>
      <c r="G228" t="n">
        <v>-530.72</v>
      </c>
      <c r="H228" t="inlineStr"/>
      <c r="I228" t="inlineStr">
        <is>
          <t>0</t>
        </is>
      </c>
      <c r="J228" t="b">
        <v>0</v>
      </c>
      <c r="K228" t="b">
        <v>0</v>
      </c>
      <c r="L228" t="n">
        <v>11</v>
      </c>
      <c r="M228" t="inlineStr">
        <is>
          <t>FF0B0280</t>
        </is>
      </c>
      <c r="N228" t="inlineStr">
        <is>
          <t>00000000</t>
        </is>
      </c>
      <c r="O228" t="n">
        <v/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CashFlow Statement</t>
        </is>
      </c>
      <c r="B229" t="inlineStr">
        <is>
          <t>J21</t>
        </is>
      </c>
      <c r="C229" t="n">
        <v>21</v>
      </c>
      <c r="D229" t="n">
        <v>10</v>
      </c>
      <c r="E229" t="inlineStr">
        <is>
          <t>Input</t>
        </is>
      </c>
      <c r="F229" t="n">
        <v/>
      </c>
      <c r="G229" t="n">
        <v>-21.45</v>
      </c>
      <c r="H229" t="inlineStr"/>
      <c r="I229" t="inlineStr">
        <is>
          <t>0</t>
        </is>
      </c>
      <c r="J229" t="b">
        <v>0</v>
      </c>
      <c r="K229" t="b">
        <v>0</v>
      </c>
      <c r="L229" t="n">
        <v>11</v>
      </c>
      <c r="M229" t="inlineStr">
        <is>
          <t>FF0B0280</t>
        </is>
      </c>
      <c r="N229" t="inlineStr">
        <is>
          <t>00000000</t>
        </is>
      </c>
      <c r="O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CashFlow Statement</t>
        </is>
      </c>
      <c r="B230" t="inlineStr">
        <is>
          <t>K21</t>
        </is>
      </c>
      <c r="C230" t="n">
        <v>21</v>
      </c>
      <c r="D230" t="n">
        <v>11</v>
      </c>
      <c r="E230" t="inlineStr">
        <is>
          <t>Calculation</t>
        </is>
      </c>
      <c r="F230" t="inlineStr">
        <is>
          <t>'='Balance sheet'!J42-'Balance sheet'!K42</t>
        </is>
      </c>
      <c r="G230" t="n">
        <v>-277.063324816256</v>
      </c>
      <c r="H230" t="inlineStr"/>
      <c r="I230" t="inlineStr">
        <is>
          <t>0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00000000</t>
        </is>
      </c>
      <c r="O230" t="n">
        <v/>
      </c>
      <c r="R230" t="b">
        <v>1</v>
      </c>
      <c r="S230" t="inlineStr">
        <is>
          <t>G000262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CashFlow Statement!K21:O21</t>
        </is>
      </c>
      <c r="X230">
        <f>'Balance sheet'!R[21]C[-1]-'Balance sheet'!R[21]C[0]</f>
        <v/>
      </c>
    </row>
    <row r="231">
      <c r="A231" t="inlineStr">
        <is>
          <t>CashFlow Statement</t>
        </is>
      </c>
      <c r="B231" t="inlineStr">
        <is>
          <t>L21</t>
        </is>
      </c>
      <c r="C231" t="n">
        <v>21</v>
      </c>
      <c r="D231" t="n">
        <v>12</v>
      </c>
      <c r="E231" t="inlineStr">
        <is>
          <t>Calculation</t>
        </is>
      </c>
      <c r="F231" t="inlineStr">
        <is>
          <t>'='Balance sheet'!K42-'Balance sheet'!L42</t>
        </is>
      </c>
      <c r="G231" t="n">
        <v>-373.9910910349693</v>
      </c>
      <c r="H231" t="inlineStr"/>
      <c r="I231" t="inlineStr">
        <is>
          <t>0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00000000</t>
        </is>
      </c>
      <c r="O231" t="n">
        <v/>
      </c>
      <c r="R231" t="b">
        <v>1</v>
      </c>
      <c r="S231" t="inlineStr">
        <is>
          <t>G000262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CashFlow Statement!K21:O21</t>
        </is>
      </c>
      <c r="X231">
        <f>'Balance sheet'!R[21]C[-1]-'Balance sheet'!R[21]C[0]</f>
        <v/>
      </c>
    </row>
    <row r="232">
      <c r="A232" t="inlineStr">
        <is>
          <t>CashFlow Statement</t>
        </is>
      </c>
      <c r="B232" t="inlineStr">
        <is>
          <t>M21</t>
        </is>
      </c>
      <c r="C232" t="n">
        <v>21</v>
      </c>
      <c r="D232" t="n">
        <v>13</v>
      </c>
      <c r="E232" t="inlineStr">
        <is>
          <t>Calculation</t>
        </is>
      </c>
      <c r="F232" t="inlineStr">
        <is>
          <t>'='Balance sheet'!L42-'Balance sheet'!M42</t>
        </is>
      </c>
      <c r="G232" t="n">
        <v>-437.2799337391275</v>
      </c>
      <c r="H232" t="inlineStr"/>
      <c r="I232" t="inlineStr">
        <is>
          <t>0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00000000</t>
        </is>
      </c>
      <c r="O232" t="n">
        <v/>
      </c>
      <c r="R232" t="b">
        <v>1</v>
      </c>
      <c r="S232" t="inlineStr">
        <is>
          <t>G000262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CashFlow Statement!K21:O21</t>
        </is>
      </c>
      <c r="X232">
        <f>'Balance sheet'!R[21]C[-1]-'Balance sheet'!R[21]C[0]</f>
        <v/>
      </c>
    </row>
    <row r="233">
      <c r="A233" t="inlineStr">
        <is>
          <t>CashFlow Statement</t>
        </is>
      </c>
      <c r="B233" t="inlineStr">
        <is>
          <t>N21</t>
        </is>
      </c>
      <c r="C233" t="n">
        <v>21</v>
      </c>
      <c r="D233" t="n">
        <v>14</v>
      </c>
      <c r="E233" t="inlineStr">
        <is>
          <t>Calculation</t>
        </is>
      </c>
      <c r="F233" t="inlineStr">
        <is>
          <t>'='Balance sheet'!M42-'Balance sheet'!N42</t>
        </is>
      </c>
      <c r="G233" t="n">
        <v>-522.6689306007306</v>
      </c>
      <c r="H233" t="inlineStr"/>
      <c r="I233" t="inlineStr">
        <is>
          <t>0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00000000</t>
        </is>
      </c>
      <c r="O233" t="n">
        <v/>
      </c>
      <c r="R233" t="b">
        <v>1</v>
      </c>
      <c r="S233" t="inlineStr">
        <is>
          <t>G000262</t>
        </is>
      </c>
      <c r="T233" t="inlineStr">
        <is>
          <t>Horizontal</t>
        </is>
      </c>
      <c r="U233" t="n">
        <v>5</v>
      </c>
      <c r="V233" t="b">
        <v>1</v>
      </c>
      <c r="W233" t="inlineStr">
        <is>
          <t>CashFlow Statement!K21:O21</t>
        </is>
      </c>
      <c r="X233">
        <f>'Balance sheet'!R[21]C[-1]-'Balance sheet'!R[21]C[0]</f>
        <v/>
      </c>
    </row>
    <row r="234">
      <c r="A234" t="inlineStr">
        <is>
          <t>CashFlow Statement</t>
        </is>
      </c>
      <c r="B234" t="inlineStr">
        <is>
          <t>O21</t>
        </is>
      </c>
      <c r="C234" t="n">
        <v>21</v>
      </c>
      <c r="D234" t="n">
        <v>15</v>
      </c>
      <c r="E234" t="inlineStr">
        <is>
          <t>Calculation</t>
        </is>
      </c>
      <c r="F234" t="inlineStr">
        <is>
          <t>'='Balance sheet'!N42-'Balance sheet'!O42</t>
        </is>
      </c>
      <c r="G234" t="n">
        <v>-641.6340642901455</v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00000000</t>
        </is>
      </c>
      <c r="O234" t="n">
        <v/>
      </c>
      <c r="R234" t="b">
        <v>1</v>
      </c>
      <c r="S234" t="inlineStr">
        <is>
          <t>G000262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CashFlow Statement!K21:O21</t>
        </is>
      </c>
      <c r="X234">
        <f>'Balance sheet'!R[21]C[-1]-'Balance sheet'!R[21]C[0]</f>
        <v/>
      </c>
    </row>
    <row r="235">
      <c r="A235" t="inlineStr">
        <is>
          <t>CashFlow Statement</t>
        </is>
      </c>
      <c r="B235" t="inlineStr">
        <is>
          <t>P21</t>
        </is>
      </c>
      <c r="C235" t="n">
        <v>21</v>
      </c>
      <c r="D235" t="n">
        <v>16</v>
      </c>
      <c r="E235" t="inlineStr">
        <is>
          <t>Input</t>
        </is>
      </c>
      <c r="F235" t="n">
        <v/>
      </c>
      <c r="H235" t="inlineStr"/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00000000</t>
        </is>
      </c>
      <c r="O235" t="n">
        <v/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CashFlow Statement</t>
        </is>
      </c>
      <c r="B236" t="inlineStr">
        <is>
          <t>A22</t>
        </is>
      </c>
      <c r="C236" t="n">
        <v>22</v>
      </c>
      <c r="D236" t="n">
        <v>1</v>
      </c>
      <c r="E236" t="inlineStr">
        <is>
          <t>Input</t>
        </is>
      </c>
      <c r="F236" t="n">
        <v/>
      </c>
      <c r="G236" t="inlineStr">
        <is>
          <t>(Increase)/decrease in inventories</t>
        </is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n">
        <v/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CashFlow Statement</t>
        </is>
      </c>
      <c r="B237" t="inlineStr">
        <is>
          <t>D22</t>
        </is>
      </c>
      <c r="C237" t="n">
        <v>22</v>
      </c>
      <c r="D237" t="n">
        <v>4</v>
      </c>
      <c r="E237" t="inlineStr">
        <is>
          <t>Input</t>
        </is>
      </c>
      <c r="F237" t="n">
        <v/>
      </c>
      <c r="G237" t="n">
        <v>-143.95</v>
      </c>
      <c r="H237" t="inlineStr"/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FF0B0280</t>
        </is>
      </c>
      <c r="N237" t="inlineStr">
        <is>
          <t>00000000</t>
        </is>
      </c>
      <c r="O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CashFlow Statement</t>
        </is>
      </c>
      <c r="B238" t="inlineStr">
        <is>
          <t>E22</t>
        </is>
      </c>
      <c r="C238" t="n">
        <v>22</v>
      </c>
      <c r="D238" t="n">
        <v>5</v>
      </c>
      <c r="E238" t="inlineStr">
        <is>
          <t>Input</t>
        </is>
      </c>
      <c r="F238" t="n">
        <v/>
      </c>
      <c r="G238" t="n">
        <v>61.26</v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FF0B0280</t>
        </is>
      </c>
      <c r="N238" t="inlineStr">
        <is>
          <t>00000000</t>
        </is>
      </c>
      <c r="O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CashFlow Statement</t>
        </is>
      </c>
      <c r="B239" t="inlineStr">
        <is>
          <t>F22</t>
        </is>
      </c>
      <c r="C239" t="n">
        <v>22</v>
      </c>
      <c r="D239" t="n">
        <v>6</v>
      </c>
      <c r="E239" t="inlineStr">
        <is>
          <t>Input</t>
        </is>
      </c>
      <c r="F239" t="n">
        <v/>
      </c>
      <c r="G239" t="n">
        <v>-219.55</v>
      </c>
      <c r="H239" t="inlineStr"/>
      <c r="I239" t="inlineStr">
        <is>
          <t>0</t>
        </is>
      </c>
      <c r="J239" t="b">
        <v>0</v>
      </c>
      <c r="K239" t="b">
        <v>0</v>
      </c>
      <c r="L239" t="n">
        <v>11</v>
      </c>
      <c r="M239" t="inlineStr">
        <is>
          <t>FF0B0280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CashFlow Statement</t>
        </is>
      </c>
      <c r="B240" t="inlineStr">
        <is>
          <t>G22</t>
        </is>
      </c>
      <c r="C240" t="n">
        <v>22</v>
      </c>
      <c r="D240" t="n">
        <v>7</v>
      </c>
      <c r="E240" t="inlineStr">
        <is>
          <t>Input</t>
        </is>
      </c>
      <c r="F240" t="n">
        <v/>
      </c>
      <c r="G240" t="n">
        <v>-173.82</v>
      </c>
      <c r="H240" t="inlineStr"/>
      <c r="I240" t="inlineStr">
        <is>
          <t>0</t>
        </is>
      </c>
      <c r="J240" t="b">
        <v>0</v>
      </c>
      <c r="K240" t="b">
        <v>0</v>
      </c>
      <c r="L240" t="n">
        <v>11</v>
      </c>
      <c r="M240" t="inlineStr">
        <is>
          <t>FF0B0280</t>
        </is>
      </c>
      <c r="N240" t="inlineStr">
        <is>
          <t>00000000</t>
        </is>
      </c>
      <c r="O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CashFlow Statement</t>
        </is>
      </c>
      <c r="B241" t="inlineStr">
        <is>
          <t>H22</t>
        </is>
      </c>
      <c r="C241" t="n">
        <v>22</v>
      </c>
      <c r="D241" t="n">
        <v>8</v>
      </c>
      <c r="E241" t="inlineStr">
        <is>
          <t>Input</t>
        </is>
      </c>
      <c r="F241" t="n">
        <v/>
      </c>
      <c r="G241" t="n">
        <v>-654.02</v>
      </c>
      <c r="H241" t="inlineStr"/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FF0B0280</t>
        </is>
      </c>
      <c r="N241" t="inlineStr">
        <is>
          <t>00000000</t>
        </is>
      </c>
      <c r="O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CashFlow Statement</t>
        </is>
      </c>
      <c r="B242" t="inlineStr">
        <is>
          <t>I22</t>
        </is>
      </c>
      <c r="C242" t="n">
        <v>22</v>
      </c>
      <c r="D242" t="n">
        <v>9</v>
      </c>
      <c r="E242" t="inlineStr">
        <is>
          <t>Input</t>
        </is>
      </c>
      <c r="F242" t="n">
        <v/>
      </c>
      <c r="G242" t="n">
        <v>6.72</v>
      </c>
      <c r="H242" t="inlineStr"/>
      <c r="I242" t="inlineStr">
        <is>
          <t>0</t>
        </is>
      </c>
      <c r="J242" t="b">
        <v>0</v>
      </c>
      <c r="K242" t="b">
        <v>0</v>
      </c>
      <c r="L242" t="n">
        <v>11</v>
      </c>
      <c r="M242" t="inlineStr">
        <is>
          <t>FF0B0280</t>
        </is>
      </c>
      <c r="N242" t="inlineStr">
        <is>
          <t>00000000</t>
        </is>
      </c>
      <c r="O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CashFlow Statement</t>
        </is>
      </c>
      <c r="B243" t="inlineStr">
        <is>
          <t>J22</t>
        </is>
      </c>
      <c r="C243" t="n">
        <v>22</v>
      </c>
      <c r="D243" t="n">
        <v>10</v>
      </c>
      <c r="E243" t="inlineStr">
        <is>
          <t>Input</t>
        </is>
      </c>
      <c r="F243" t="n">
        <v/>
      </c>
      <c r="G243" t="n">
        <v>-868.6799999999999</v>
      </c>
      <c r="H243" t="inlineStr"/>
      <c r="I243" t="inlineStr">
        <is>
          <t>0</t>
        </is>
      </c>
      <c r="J243" t="b">
        <v>0</v>
      </c>
      <c r="K243" t="b">
        <v>0</v>
      </c>
      <c r="L243" t="n">
        <v>11</v>
      </c>
      <c r="M243" t="inlineStr">
        <is>
          <t>FF0B0280</t>
        </is>
      </c>
      <c r="N243" t="inlineStr">
        <is>
          <t>00000000</t>
        </is>
      </c>
      <c r="O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CashFlow Statement</t>
        </is>
      </c>
      <c r="B244" t="inlineStr">
        <is>
          <t>K22</t>
        </is>
      </c>
      <c r="C244" t="n">
        <v>22</v>
      </c>
      <c r="D244" t="n">
        <v>11</v>
      </c>
      <c r="E244" t="inlineStr">
        <is>
          <t>Calculation</t>
        </is>
      </c>
      <c r="F244" t="inlineStr">
        <is>
          <t>'='Balance sheet'!J41-'Balance sheet'!K41</t>
        </is>
      </c>
      <c r="G244" t="n">
        <v>-174.8110677271097</v>
      </c>
      <c r="H244" t="inlineStr"/>
      <c r="I244" t="inlineStr">
        <is>
          <t>0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n">
        <v/>
      </c>
      <c r="R244" t="b">
        <v>1</v>
      </c>
      <c r="S244" t="inlineStr">
        <is>
          <t>G000263</t>
        </is>
      </c>
      <c r="T244" t="inlineStr">
        <is>
          <t>Horizontal</t>
        </is>
      </c>
      <c r="U244" t="n">
        <v>5</v>
      </c>
      <c r="V244" t="b">
        <v>1</v>
      </c>
      <c r="W244" t="inlineStr">
        <is>
          <t>CashFlow Statement!K22:O22</t>
        </is>
      </c>
      <c r="X244">
        <f>'Balance sheet'!R[19]C[-1]-'Balance sheet'!R[19]C[0]</f>
        <v/>
      </c>
    </row>
    <row r="245">
      <c r="A245" t="inlineStr">
        <is>
          <t>CashFlow Statement</t>
        </is>
      </c>
      <c r="B245" t="inlineStr">
        <is>
          <t>L22</t>
        </is>
      </c>
      <c r="C245" t="n">
        <v>22</v>
      </c>
      <c r="D245" t="n">
        <v>12</v>
      </c>
      <c r="E245" t="inlineStr">
        <is>
          <t>Calculation</t>
        </is>
      </c>
      <c r="F245" t="inlineStr">
        <is>
          <t>'='Balance sheet'!K41-'Balance sheet'!L41</t>
        </is>
      </c>
      <c r="G245" t="n">
        <v>-415.5368569085463</v>
      </c>
      <c r="H245" t="inlineStr"/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00000000</t>
        </is>
      </c>
      <c r="O245" t="n">
        <v/>
      </c>
      <c r="R245" t="b">
        <v>1</v>
      </c>
      <c r="S245" t="inlineStr">
        <is>
          <t>G000263</t>
        </is>
      </c>
      <c r="T245" t="inlineStr">
        <is>
          <t>Horizontal</t>
        </is>
      </c>
      <c r="U245" t="n">
        <v>5</v>
      </c>
      <c r="V245" t="b">
        <v>1</v>
      </c>
      <c r="W245" t="inlineStr">
        <is>
          <t>CashFlow Statement!K22:O22</t>
        </is>
      </c>
      <c r="X245">
        <f>'Balance sheet'!R[19]C[-1]-'Balance sheet'!R[19]C[0]</f>
        <v/>
      </c>
    </row>
    <row r="246">
      <c r="A246" t="inlineStr">
        <is>
          <t>CashFlow Statement</t>
        </is>
      </c>
      <c r="B246" t="inlineStr">
        <is>
          <t>M22</t>
        </is>
      </c>
      <c r="C246" t="n">
        <v>22</v>
      </c>
      <c r="D246" t="n">
        <v>13</v>
      </c>
      <c r="E246" t="inlineStr">
        <is>
          <t>Calculation</t>
        </is>
      </c>
      <c r="F246" t="inlineStr">
        <is>
          <t>'='Balance sheet'!L41-'Balance sheet'!M41</t>
        </is>
      </c>
      <c r="G246" t="n">
        <v>-377.425044110747</v>
      </c>
      <c r="H246" t="inlineStr"/>
      <c r="I246" t="inlineStr">
        <is>
          <t>0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00000000</t>
        </is>
      </c>
      <c r="O246" t="n">
        <v/>
      </c>
      <c r="R246" t="b">
        <v>1</v>
      </c>
      <c r="S246" t="inlineStr">
        <is>
          <t>G000263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CashFlow Statement!K22:O22</t>
        </is>
      </c>
      <c r="X246">
        <f>'Balance sheet'!R[19]C[-1]-'Balance sheet'!R[19]C[0]</f>
        <v/>
      </c>
    </row>
    <row r="247">
      <c r="A247" t="inlineStr">
        <is>
          <t>CashFlow Statement</t>
        </is>
      </c>
      <c r="B247" t="inlineStr">
        <is>
          <t>N22</t>
        </is>
      </c>
      <c r="C247" t="n">
        <v>22</v>
      </c>
      <c r="D247" t="n">
        <v>14</v>
      </c>
      <c r="E247" t="inlineStr">
        <is>
          <t>Calculation</t>
        </is>
      </c>
      <c r="F247" t="inlineStr">
        <is>
          <t>'='Balance sheet'!M41-'Balance sheet'!N41</t>
        </is>
      </c>
      <c r="G247" t="n">
        <v>-536.1994621092922</v>
      </c>
      <c r="H247" t="inlineStr"/>
      <c r="I247" t="inlineStr">
        <is>
          <t>0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n">
        <v/>
      </c>
      <c r="R247" t="b">
        <v>1</v>
      </c>
      <c r="S247" t="inlineStr">
        <is>
          <t>G000263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CashFlow Statement!K22:O22</t>
        </is>
      </c>
      <c r="X247">
        <f>'Balance sheet'!R[19]C[-1]-'Balance sheet'!R[19]C[0]</f>
        <v/>
      </c>
    </row>
    <row r="248">
      <c r="A248" t="inlineStr">
        <is>
          <t>CashFlow Statement</t>
        </is>
      </c>
      <c r="B248" t="inlineStr">
        <is>
          <t>O22</t>
        </is>
      </c>
      <c r="C248" t="n">
        <v>22</v>
      </c>
      <c r="D248" t="n">
        <v>15</v>
      </c>
      <c r="E248" t="inlineStr">
        <is>
          <t>Calculation</t>
        </is>
      </c>
      <c r="F248" t="inlineStr">
        <is>
          <t>'='Balance sheet'!N41-'Balance sheet'!O41</t>
        </is>
      </c>
      <c r="G248" t="n">
        <v>-650.3132542687204</v>
      </c>
      <c r="H248" t="inlineStr"/>
      <c r="I248" t="inlineStr">
        <is>
          <t>0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G000263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CashFlow Statement!K22:O22</t>
        </is>
      </c>
      <c r="X248">
        <f>'Balance sheet'!R[19]C[-1]-'Balance sheet'!R[19]C[0]</f>
        <v/>
      </c>
    </row>
    <row r="249">
      <c r="A249" t="inlineStr">
        <is>
          <t>CashFlow Statement</t>
        </is>
      </c>
      <c r="B249" t="inlineStr">
        <is>
          <t>A23</t>
        </is>
      </c>
      <c r="C249" t="n">
        <v>23</v>
      </c>
      <c r="D249" t="n">
        <v>1</v>
      </c>
      <c r="E249" t="inlineStr">
        <is>
          <t>Input</t>
        </is>
      </c>
      <c r="F249" t="n">
        <v/>
      </c>
      <c r="G249" t="inlineStr">
        <is>
          <t>(Increase)/decrease in loans and advances and other assets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CashFlow Statement</t>
        </is>
      </c>
      <c r="B250" t="inlineStr">
        <is>
          <t>D23</t>
        </is>
      </c>
      <c r="C250" t="n">
        <v>23</v>
      </c>
      <c r="D250" t="n">
        <v>4</v>
      </c>
      <c r="E250" t="inlineStr">
        <is>
          <t>Input</t>
        </is>
      </c>
      <c r="F250" t="n">
        <v/>
      </c>
      <c r="G250" t="n">
        <v>-496.23</v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FF0B0280</t>
        </is>
      </c>
      <c r="N250" t="inlineStr">
        <is>
          <t>00000000</t>
        </is>
      </c>
      <c r="O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CashFlow Statement</t>
        </is>
      </c>
      <c r="B251" t="inlineStr">
        <is>
          <t>E23</t>
        </is>
      </c>
      <c r="C251" t="n">
        <v>23</v>
      </c>
      <c r="D251" t="n">
        <v>5</v>
      </c>
      <c r="E251" t="inlineStr">
        <is>
          <t>Input</t>
        </is>
      </c>
      <c r="F251" t="n">
        <v/>
      </c>
      <c r="G251" t="n">
        <v>-1743.87</v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FF0B0280</t>
        </is>
      </c>
      <c r="N251" t="inlineStr">
        <is>
          <t>00000000</t>
        </is>
      </c>
      <c r="O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CashFlow Statement</t>
        </is>
      </c>
      <c r="B252" t="inlineStr">
        <is>
          <t>F23</t>
        </is>
      </c>
      <c r="C252" t="n">
        <v>23</v>
      </c>
      <c r="D252" t="n">
        <v>6</v>
      </c>
      <c r="E252" t="inlineStr">
        <is>
          <t>Input</t>
        </is>
      </c>
      <c r="F252" t="n">
        <v/>
      </c>
      <c r="G252" t="n">
        <v>-1314.42</v>
      </c>
      <c r="H252" t="inlineStr"/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FF0B0280</t>
        </is>
      </c>
      <c r="N252" t="inlineStr">
        <is>
          <t>00000000</t>
        </is>
      </c>
      <c r="O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CashFlow Statement</t>
        </is>
      </c>
      <c r="B253" t="inlineStr">
        <is>
          <t>G23</t>
        </is>
      </c>
      <c r="C253" t="n">
        <v>23</v>
      </c>
      <c r="D253" t="n">
        <v>7</v>
      </c>
      <c r="E253" t="inlineStr">
        <is>
          <t>Input</t>
        </is>
      </c>
      <c r="F253" t="n">
        <v/>
      </c>
      <c r="G253" t="n">
        <v>390.88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FF0B0280</t>
        </is>
      </c>
      <c r="N253" t="inlineStr">
        <is>
          <t>00000000</t>
        </is>
      </c>
      <c r="O253" t="n">
        <v/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CashFlow Statement</t>
        </is>
      </c>
      <c r="B254" t="inlineStr">
        <is>
          <t>H23</t>
        </is>
      </c>
      <c r="C254" t="n">
        <v>23</v>
      </c>
      <c r="D254" t="n">
        <v>8</v>
      </c>
      <c r="E254" t="inlineStr">
        <is>
          <t>Input</t>
        </is>
      </c>
      <c r="F254" t="n">
        <v/>
      </c>
      <c r="G254" t="n">
        <v>2.01</v>
      </c>
      <c r="H254" t="inlineStr"/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FF0B0280</t>
        </is>
      </c>
      <c r="N254" t="inlineStr">
        <is>
          <t>00000000</t>
        </is>
      </c>
      <c r="O254" t="n">
        <v/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CashFlow Statement</t>
        </is>
      </c>
      <c r="B255" t="inlineStr">
        <is>
          <t>I23</t>
        </is>
      </c>
      <c r="C255" t="n">
        <v>23</v>
      </c>
      <c r="D255" t="n">
        <v>9</v>
      </c>
      <c r="E255" t="inlineStr">
        <is>
          <t>Input</t>
        </is>
      </c>
      <c r="F255" t="n">
        <v/>
      </c>
      <c r="G255" t="n">
        <v>-3013.81</v>
      </c>
      <c r="H255" t="inlineStr"/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FF0B0280</t>
        </is>
      </c>
      <c r="N255" t="inlineStr">
        <is>
          <t>00000000</t>
        </is>
      </c>
      <c r="O255" t="n">
        <v/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CashFlow Statement</t>
        </is>
      </c>
      <c r="B256" t="inlineStr">
        <is>
          <t>J23</t>
        </is>
      </c>
      <c r="C256" t="n">
        <v>23</v>
      </c>
      <c r="D256" t="n">
        <v>10</v>
      </c>
      <c r="E256" t="inlineStr">
        <is>
          <t>Input</t>
        </is>
      </c>
      <c r="F256" t="n">
        <v/>
      </c>
      <c r="G256" t="n">
        <v>-2432.46</v>
      </c>
      <c r="H256" t="inlineStr"/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FF0B0280</t>
        </is>
      </c>
      <c r="N256" t="inlineStr">
        <is>
          <t>00000000</t>
        </is>
      </c>
      <c r="O256" t="n">
        <v/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CashFlow Statement</t>
        </is>
      </c>
      <c r="B257" t="inlineStr">
        <is>
          <t>K23</t>
        </is>
      </c>
      <c r="C257" t="n">
        <v>23</v>
      </c>
      <c r="D257" t="n">
        <v>11</v>
      </c>
      <c r="E257" t="inlineStr">
        <is>
          <t>Calculation</t>
        </is>
      </c>
      <c r="F257" t="inlineStr">
        <is>
          <t>'=('Balance sheet'!J44-'Balance sheet'!K44)+('Balance sheet'!J45-'Balance sheet'!K45)</t>
        </is>
      </c>
      <c r="G257" t="n">
        <v>2685.476116027322</v>
      </c>
      <c r="H257" t="inlineStr"/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00000000</t>
        </is>
      </c>
      <c r="O257" t="n">
        <v/>
      </c>
      <c r="R257" t="b">
        <v>1</v>
      </c>
      <c r="S257" t="inlineStr">
        <is>
          <t>G000264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CashFlow Statement!K23:O23</t>
        </is>
      </c>
      <c r="X257">
        <f>('Balance sheet'!R[21]C[-1]-'Balance sheet'!R[21]C[0])+('Balance sheet'!R[22]C[-1]-'Balance sheet'!R[22]C[0])</f>
        <v/>
      </c>
    </row>
    <row r="258">
      <c r="A258" t="inlineStr">
        <is>
          <t>CashFlow Statement</t>
        </is>
      </c>
      <c r="B258" t="inlineStr">
        <is>
          <t>L23</t>
        </is>
      </c>
      <c r="C258" t="n">
        <v>23</v>
      </c>
      <c r="D258" t="n">
        <v>12</v>
      </c>
      <c r="E258" t="inlineStr">
        <is>
          <t>Calculation</t>
        </is>
      </c>
      <c r="F258" t="inlineStr">
        <is>
          <t>'=('Balance sheet'!K44-'Balance sheet'!L44)+('Balance sheet'!K45-'Balance sheet'!L45)</t>
        </is>
      </c>
      <c r="G258" t="n">
        <v>-1023.288158935292</v>
      </c>
      <c r="H258" t="inlineStr"/>
      <c r="I258" t="inlineStr">
        <is>
          <t>0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n">
        <v/>
      </c>
      <c r="R258" t="b">
        <v>1</v>
      </c>
      <c r="S258" t="inlineStr">
        <is>
          <t>G000264</t>
        </is>
      </c>
      <c r="T258" t="inlineStr">
        <is>
          <t>Horizontal</t>
        </is>
      </c>
      <c r="U258" t="n">
        <v>5</v>
      </c>
      <c r="V258" t="b">
        <v>1</v>
      </c>
      <c r="W258" t="inlineStr">
        <is>
          <t>CashFlow Statement!K23:O23</t>
        </is>
      </c>
      <c r="X258">
        <f>('Balance sheet'!R[21]C[-1]-'Balance sheet'!R[21]C[0])+('Balance sheet'!R[22]C[-1]-'Balance sheet'!R[22]C[0])</f>
        <v/>
      </c>
    </row>
    <row r="259">
      <c r="A259" t="inlineStr">
        <is>
          <t>CashFlow Statement</t>
        </is>
      </c>
      <c r="B259" t="inlineStr">
        <is>
          <t>M23</t>
        </is>
      </c>
      <c r="C259" t="n">
        <v>23</v>
      </c>
      <c r="D259" t="n">
        <v>13</v>
      </c>
      <c r="E259" t="inlineStr">
        <is>
          <t>Calculation</t>
        </is>
      </c>
      <c r="F259" t="inlineStr">
        <is>
          <t>'=('Balance sheet'!L44-'Balance sheet'!M44)+('Balance sheet'!L45-'Balance sheet'!M45)</t>
        </is>
      </c>
      <c r="G259" t="n">
        <v>-1196.454645742936</v>
      </c>
      <c r="H259" t="inlineStr"/>
      <c r="I259" t="inlineStr">
        <is>
          <t>0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R259" t="b">
        <v>1</v>
      </c>
      <c r="S259" t="inlineStr">
        <is>
          <t>G000264</t>
        </is>
      </c>
      <c r="T259" t="inlineStr">
        <is>
          <t>Horizontal</t>
        </is>
      </c>
      <c r="U259" t="n">
        <v>5</v>
      </c>
      <c r="V259" t="b">
        <v>1</v>
      </c>
      <c r="W259" t="inlineStr">
        <is>
          <t>CashFlow Statement!K23:O23</t>
        </is>
      </c>
      <c r="X259">
        <f>('Balance sheet'!R[21]C[-1]-'Balance sheet'!R[21]C[0])+('Balance sheet'!R[22]C[-1]-'Balance sheet'!R[22]C[0])</f>
        <v/>
      </c>
    </row>
    <row r="260">
      <c r="A260" t="inlineStr">
        <is>
          <t>CashFlow Statement</t>
        </is>
      </c>
      <c r="B260" t="inlineStr">
        <is>
          <t>N23</t>
        </is>
      </c>
      <c r="C260" t="n">
        <v>23</v>
      </c>
      <c r="D260" t="n">
        <v>14</v>
      </c>
      <c r="E260" t="inlineStr">
        <is>
          <t>Calculation</t>
        </is>
      </c>
      <c r="F260" t="inlineStr">
        <is>
          <t>'=('Balance sheet'!M44-'Balance sheet'!N44)+('Balance sheet'!M45-'Balance sheet'!N45)</t>
        </is>
      </c>
      <c r="G260" t="n">
        <v>-1430.090022323795</v>
      </c>
      <c r="H260" t="inlineStr"/>
      <c r="I260" t="inlineStr">
        <is>
          <t>0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R260" t="b">
        <v>1</v>
      </c>
      <c r="S260" t="inlineStr">
        <is>
          <t>G000264</t>
        </is>
      </c>
      <c r="T260" t="inlineStr">
        <is>
          <t>Horizontal</t>
        </is>
      </c>
      <c r="U260" t="n">
        <v>5</v>
      </c>
      <c r="V260" t="b">
        <v>1</v>
      </c>
      <c r="W260" t="inlineStr">
        <is>
          <t>CashFlow Statement!K23:O23</t>
        </is>
      </c>
      <c r="X260">
        <f>('Balance sheet'!R[21]C[-1]-'Balance sheet'!R[21]C[0])+('Balance sheet'!R[22]C[-1]-'Balance sheet'!R[22]C[0])</f>
        <v/>
      </c>
    </row>
    <row r="261">
      <c r="A261" t="inlineStr">
        <is>
          <t>CashFlow Statement</t>
        </is>
      </c>
      <c r="B261" t="inlineStr">
        <is>
          <t>O23</t>
        </is>
      </c>
      <c r="C261" t="n">
        <v>23</v>
      </c>
      <c r="D261" t="n">
        <v>15</v>
      </c>
      <c r="E261" t="inlineStr">
        <is>
          <t>Calculation</t>
        </is>
      </c>
      <c r="F261" t="inlineStr">
        <is>
          <t>'=('Balance sheet'!N44-'Balance sheet'!O44)+('Balance sheet'!N45-'Balance sheet'!O45)</t>
        </is>
      </c>
      <c r="G261" t="n">
        <v>-1755.594066534168</v>
      </c>
      <c r="H261" t="inlineStr"/>
      <c r="I261" t="inlineStr">
        <is>
          <t>0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R261" t="b">
        <v>1</v>
      </c>
      <c r="S261" t="inlineStr">
        <is>
          <t>G000264</t>
        </is>
      </c>
      <c r="T261" t="inlineStr">
        <is>
          <t>Horizontal</t>
        </is>
      </c>
      <c r="U261" t="n">
        <v>5</v>
      </c>
      <c r="V261" t="b">
        <v>1</v>
      </c>
      <c r="W261" t="inlineStr">
        <is>
          <t>CashFlow Statement!K23:O23</t>
        </is>
      </c>
      <c r="X261">
        <f>('Balance sheet'!R[21]C[-1]-'Balance sheet'!R[21]C[0])+('Balance sheet'!R[22]C[-1]-'Balance sheet'!R[22]C[0])</f>
        <v/>
      </c>
    </row>
    <row r="262">
      <c r="A262" t="inlineStr">
        <is>
          <t>CashFlow Statement</t>
        </is>
      </c>
      <c r="B262" t="inlineStr">
        <is>
          <t>A24</t>
        </is>
      </c>
      <c r="C262" t="n">
        <v>24</v>
      </c>
      <c r="D262" t="n">
        <v>1</v>
      </c>
      <c r="E262" t="inlineStr">
        <is>
          <t>Input</t>
        </is>
      </c>
      <c r="F262" t="n">
        <v/>
      </c>
      <c r="G262" t="inlineStr">
        <is>
          <t>Increase/(decrease) in trade payables, other liabilities and provisions</t>
        </is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CashFlow Statement</t>
        </is>
      </c>
      <c r="B263" t="inlineStr">
        <is>
          <t>D24</t>
        </is>
      </c>
      <c r="C263" t="n">
        <v>24</v>
      </c>
      <c r="D263" t="n">
        <v>4</v>
      </c>
      <c r="E263" t="inlineStr">
        <is>
          <t>Input</t>
        </is>
      </c>
      <c r="F263" t="n">
        <v/>
      </c>
      <c r="G263" t="n">
        <v>2107.84</v>
      </c>
      <c r="H263" t="inlineStr"/>
      <c r="I263" t="inlineStr">
        <is>
          <t>0</t>
        </is>
      </c>
      <c r="J263" t="b">
        <v>0</v>
      </c>
      <c r="K263" t="b">
        <v>0</v>
      </c>
      <c r="L263" t="n">
        <v>11</v>
      </c>
      <c r="M263" t="inlineStr">
        <is>
          <t>FF0B0280</t>
        </is>
      </c>
      <c r="N263" t="inlineStr">
        <is>
          <t>00000000</t>
        </is>
      </c>
      <c r="O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CashFlow Statement</t>
        </is>
      </c>
      <c r="B264" t="inlineStr">
        <is>
          <t>E24</t>
        </is>
      </c>
      <c r="C264" t="n">
        <v>24</v>
      </c>
      <c r="D264" t="n">
        <v>5</v>
      </c>
      <c r="E264" t="inlineStr">
        <is>
          <t>Input</t>
        </is>
      </c>
      <c r="F264" t="n">
        <v/>
      </c>
      <c r="G264" t="n">
        <v>5596.75</v>
      </c>
      <c r="H264" t="inlineStr"/>
      <c r="I264" t="inlineStr">
        <is>
          <t>0</t>
        </is>
      </c>
      <c r="J264" t="b">
        <v>0</v>
      </c>
      <c r="K264" t="b">
        <v>0</v>
      </c>
      <c r="L264" t="n">
        <v>11</v>
      </c>
      <c r="M264" t="inlineStr">
        <is>
          <t>FF0B0280</t>
        </is>
      </c>
      <c r="N264" t="inlineStr">
        <is>
          <t>00000000</t>
        </is>
      </c>
      <c r="O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CashFlow Statement</t>
        </is>
      </c>
      <c r="B265" t="inlineStr">
        <is>
          <t>F24</t>
        </is>
      </c>
      <c r="C265" t="n">
        <v>24</v>
      </c>
      <c r="D265" t="n">
        <v>6</v>
      </c>
      <c r="E265" t="inlineStr">
        <is>
          <t>Input</t>
        </is>
      </c>
      <c r="F265" t="n">
        <v/>
      </c>
      <c r="G265" t="n">
        <v>8157.12</v>
      </c>
      <c r="H265" t="inlineStr"/>
      <c r="I265" t="inlineStr">
        <is>
          <t>0</t>
        </is>
      </c>
      <c r="J265" t="b">
        <v>0</v>
      </c>
      <c r="K265" t="b">
        <v>0</v>
      </c>
      <c r="L265" t="n">
        <v>11</v>
      </c>
      <c r="M265" t="inlineStr">
        <is>
          <t>FF0B0280</t>
        </is>
      </c>
      <c r="N265" t="inlineStr">
        <is>
          <t>00000000</t>
        </is>
      </c>
      <c r="O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CashFlow Statement</t>
        </is>
      </c>
      <c r="B266" t="inlineStr">
        <is>
          <t>G24</t>
        </is>
      </c>
      <c r="C266" t="n">
        <v>24</v>
      </c>
      <c r="D266" t="n">
        <v>7</v>
      </c>
      <c r="E266" t="inlineStr">
        <is>
          <t>Input</t>
        </is>
      </c>
      <c r="F266" t="n">
        <v/>
      </c>
      <c r="G266" t="n">
        <v>9004.110000000001</v>
      </c>
      <c r="H266" t="inlineStr"/>
      <c r="I266" t="inlineStr">
        <is>
          <t>0</t>
        </is>
      </c>
      <c r="J266" t="b">
        <v>0</v>
      </c>
      <c r="K266" t="b">
        <v>0</v>
      </c>
      <c r="L266" t="n">
        <v>11</v>
      </c>
      <c r="M266" t="inlineStr">
        <is>
          <t>FF0B0280</t>
        </is>
      </c>
      <c r="N266" t="inlineStr">
        <is>
          <t>00000000</t>
        </is>
      </c>
      <c r="O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CashFlow Statement</t>
        </is>
      </c>
      <c r="B267" t="inlineStr">
        <is>
          <t>H24</t>
        </is>
      </c>
      <c r="C267" t="n">
        <v>24</v>
      </c>
      <c r="D267" t="n">
        <v>8</v>
      </c>
      <c r="E267" t="inlineStr">
        <is>
          <t>Input</t>
        </is>
      </c>
      <c r="F267" t="n">
        <v/>
      </c>
      <c r="G267" t="n">
        <v>8607.219999999999</v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FF0B0280</t>
        </is>
      </c>
      <c r="N267" t="inlineStr">
        <is>
          <t>00000000</t>
        </is>
      </c>
      <c r="O267" t="n">
        <v/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CashFlow Statement</t>
        </is>
      </c>
      <c r="B268" t="inlineStr">
        <is>
          <t>I24</t>
        </is>
      </c>
      <c r="C268" t="n">
        <v>24</v>
      </c>
      <c r="D268" t="n">
        <v>9</v>
      </c>
      <c r="E268" t="inlineStr">
        <is>
          <t>Input</t>
        </is>
      </c>
      <c r="F268" t="n">
        <v/>
      </c>
      <c r="G268" t="n">
        <v>8842.66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FF0B0280</t>
        </is>
      </c>
      <c r="N268" t="inlineStr">
        <is>
          <t>00000000</t>
        </is>
      </c>
      <c r="O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CashFlow Statement</t>
        </is>
      </c>
      <c r="B269" t="inlineStr">
        <is>
          <t>J24</t>
        </is>
      </c>
      <c r="C269" t="n">
        <v>24</v>
      </c>
      <c r="D269" t="n">
        <v>10</v>
      </c>
      <c r="E269" t="inlineStr">
        <is>
          <t>Input</t>
        </is>
      </c>
      <c r="F269" t="n">
        <v/>
      </c>
      <c r="G269" t="n">
        <v>17338.75</v>
      </c>
      <c r="H269" t="inlineStr"/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FF0B0280</t>
        </is>
      </c>
      <c r="N269" t="inlineStr">
        <is>
          <t>00000000</t>
        </is>
      </c>
      <c r="O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CashFlow Statement</t>
        </is>
      </c>
      <c r="B270" t="inlineStr">
        <is>
          <t>K24</t>
        </is>
      </c>
      <c r="C270" t="n">
        <v>24</v>
      </c>
      <c r="D270" t="n">
        <v>11</v>
      </c>
      <c r="E270" t="inlineStr">
        <is>
          <t>Calculation</t>
        </is>
      </c>
      <c r="F270" t="inlineStr">
        <is>
          <t>'=('Balance sheet'!K21-'Balance sheet'!J21)+('Balance sheet'!K22-'Balance sheet'!J22)+('Balance sheet'!K23-'Balance sheet'!J23)</t>
        </is>
      </c>
      <c r="G270" t="n">
        <v>803.1446608060908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R270" t="b">
        <v>1</v>
      </c>
      <c r="S270" t="inlineStr">
        <is>
          <t>G000265</t>
        </is>
      </c>
      <c r="T270" t="inlineStr">
        <is>
          <t>Horizontal</t>
        </is>
      </c>
      <c r="U270" t="n">
        <v>5</v>
      </c>
      <c r="V270" t="b">
        <v>1</v>
      </c>
      <c r="W270" t="inlineStr">
        <is>
          <t>CashFlow Statement!K24:O24</t>
        </is>
      </c>
      <c r="X270">
        <f>('Balance sheet'!R[-3]C[0]-'Balance sheet'!R[-3]C[-1])+('Balance sheet'!R[-2]C[0]-'Balance sheet'!R[-2]C[-1])+('Balance sheet'!R[-1]C[0]-'Balance sheet'!R[-1]C[-1])</f>
        <v/>
      </c>
    </row>
    <row r="271">
      <c r="A271" t="inlineStr">
        <is>
          <t>CashFlow Statement</t>
        </is>
      </c>
      <c r="B271" t="inlineStr">
        <is>
          <t>L24</t>
        </is>
      </c>
      <c r="C271" t="n">
        <v>24</v>
      </c>
      <c r="D271" t="n">
        <v>12</v>
      </c>
      <c r="E271" t="inlineStr">
        <is>
          <t>Calculation</t>
        </is>
      </c>
      <c r="F271" t="inlineStr">
        <is>
          <t>'=('Balance sheet'!L21-'Balance sheet'!K21)+('Balance sheet'!L22-'Balance sheet'!K22)+('Balance sheet'!L23-'Balance sheet'!K23)</t>
        </is>
      </c>
      <c r="G271" t="n">
        <v>9688.527928298503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n">
        <v/>
      </c>
      <c r="R271" t="b">
        <v>1</v>
      </c>
      <c r="S271" t="inlineStr">
        <is>
          <t>G000265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CashFlow Statement!K24:O24</t>
        </is>
      </c>
      <c r="X271">
        <f>('Balance sheet'!R[-3]C[0]-'Balance sheet'!R[-3]C[-1])+('Balance sheet'!R[-2]C[0]-'Balance sheet'!R[-2]C[-1])+('Balance sheet'!R[-1]C[0]-'Balance sheet'!R[-1]C[-1])</f>
        <v/>
      </c>
    </row>
    <row r="272">
      <c r="A272" t="inlineStr">
        <is>
          <t>CashFlow Statement</t>
        </is>
      </c>
      <c r="B272" t="inlineStr">
        <is>
          <t>M24</t>
        </is>
      </c>
      <c r="C272" t="n">
        <v>24</v>
      </c>
      <c r="D272" t="n">
        <v>13</v>
      </c>
      <c r="E272" t="inlineStr">
        <is>
          <t>Calculation</t>
        </is>
      </c>
      <c r="F272" t="inlineStr">
        <is>
          <t>'=('Balance sheet'!M21-'Balance sheet'!L21)+('Balance sheet'!M22-'Balance sheet'!L22)+('Balance sheet'!M23-'Balance sheet'!L23)</t>
        </is>
      </c>
      <c r="G272" t="n">
        <v>10866.10037323938</v>
      </c>
      <c r="H272" t="inlineStr"/>
      <c r="I272" t="inlineStr">
        <is>
          <t>0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n">
        <v/>
      </c>
      <c r="R272" t="b">
        <v>1</v>
      </c>
      <c r="S272" t="inlineStr">
        <is>
          <t>G000265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CashFlow Statement!K24:O24</t>
        </is>
      </c>
      <c r="X272">
        <f>('Balance sheet'!R[-3]C[0]-'Balance sheet'!R[-3]C[-1])+('Balance sheet'!R[-2]C[0]-'Balance sheet'!R[-2]C[-1])+('Balance sheet'!R[-1]C[0]-'Balance sheet'!R[-1]C[-1])</f>
        <v/>
      </c>
    </row>
    <row r="273">
      <c r="A273" t="inlineStr">
        <is>
          <t>CashFlow Statement</t>
        </is>
      </c>
      <c r="B273" t="inlineStr">
        <is>
          <t>N24</t>
        </is>
      </c>
      <c r="C273" t="n">
        <v>24</v>
      </c>
      <c r="D273" t="n">
        <v>14</v>
      </c>
      <c r="E273" t="inlineStr">
        <is>
          <t>Calculation</t>
        </is>
      </c>
      <c r="F273" t="inlineStr">
        <is>
          <t>'=('Balance sheet'!N21-'Balance sheet'!M21)+('Balance sheet'!N22-'Balance sheet'!M22)+('Balance sheet'!N23-'Balance sheet'!M23)</t>
        </is>
      </c>
      <c r="G273" t="n">
        <v>13544.95069908283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R273" t="b">
        <v>1</v>
      </c>
      <c r="S273" t="inlineStr">
        <is>
          <t>G000265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CashFlow Statement!K24:O24</t>
        </is>
      </c>
      <c r="X273">
        <f>('Balance sheet'!R[-3]C[0]-'Balance sheet'!R[-3]C[-1])+('Balance sheet'!R[-2]C[0]-'Balance sheet'!R[-2]C[-1])+('Balance sheet'!R[-1]C[0]-'Balance sheet'!R[-1]C[-1])</f>
        <v/>
      </c>
    </row>
    <row r="274">
      <c r="A274" t="inlineStr">
        <is>
          <t>CashFlow Statement</t>
        </is>
      </c>
      <c r="B274" t="inlineStr">
        <is>
          <t>O24</t>
        </is>
      </c>
      <c r="C274" t="n">
        <v>24</v>
      </c>
      <c r="D274" t="n">
        <v>15</v>
      </c>
      <c r="E274" t="inlineStr">
        <is>
          <t>Calculation</t>
        </is>
      </c>
      <c r="F274" t="inlineStr">
        <is>
          <t>'=('Balance sheet'!O21-'Balance sheet'!N21)+('Balance sheet'!O22-'Balance sheet'!N22)+('Balance sheet'!O23-'Balance sheet'!N23)</t>
        </is>
      </c>
      <c r="G274" t="n">
        <v>16676.72161187399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n">
        <v/>
      </c>
      <c r="R274" t="b">
        <v>1</v>
      </c>
      <c r="S274" t="inlineStr">
        <is>
          <t>G000265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CashFlow Statement!K24:O24</t>
        </is>
      </c>
      <c r="X274">
        <f>('Balance sheet'!R[-3]C[0]-'Balance sheet'!R[-3]C[-1])+('Balance sheet'!R[-2]C[0]-'Balance sheet'!R[-2]C[-1])+('Balance sheet'!R[-1]C[0]-'Balance sheet'!R[-1]C[-1])</f>
        <v/>
      </c>
    </row>
    <row r="275">
      <c r="A275" t="inlineStr">
        <is>
          <t>CashFlow Statement</t>
        </is>
      </c>
      <c r="B275" t="inlineStr">
        <is>
          <t>A25</t>
        </is>
      </c>
      <c r="C275" t="n">
        <v>25</v>
      </c>
      <c r="D275" t="n">
        <v>1</v>
      </c>
      <c r="E275" t="inlineStr">
        <is>
          <t>Input</t>
        </is>
      </c>
      <c r="F275" t="n">
        <v/>
      </c>
      <c r="G275" t="inlineStr">
        <is>
          <t>Increase/(decrease) in deferred incentives</t>
        </is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00000000</t>
        </is>
      </c>
      <c r="O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CashFlow Statement</t>
        </is>
      </c>
      <c r="B276" t="inlineStr">
        <is>
          <t>D25</t>
        </is>
      </c>
      <c r="C276" t="n">
        <v>25</v>
      </c>
      <c r="D276" t="n">
        <v>4</v>
      </c>
      <c r="E276" t="inlineStr">
        <is>
          <t>Input</t>
        </is>
      </c>
      <c r="F276" t="n">
        <v/>
      </c>
      <c r="G276" t="n">
        <v>1118.54</v>
      </c>
      <c r="H276" t="inlineStr"/>
      <c r="I276" t="inlineStr">
        <is>
          <t>0</t>
        </is>
      </c>
      <c r="J276" t="b">
        <v>0</v>
      </c>
      <c r="K276" t="b">
        <v>0</v>
      </c>
      <c r="L276" t="n">
        <v>11</v>
      </c>
      <c r="M276" t="inlineStr">
        <is>
          <t>FF0B0280</t>
        </is>
      </c>
      <c r="N276" t="inlineStr">
        <is>
          <t>00000000</t>
        </is>
      </c>
      <c r="O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CashFlow Statement</t>
        </is>
      </c>
      <c r="B277" t="inlineStr">
        <is>
          <t>E25</t>
        </is>
      </c>
      <c r="C277" t="n">
        <v>25</v>
      </c>
      <c r="D277" t="n">
        <v>5</v>
      </c>
      <c r="E277" t="inlineStr">
        <is>
          <t>Input</t>
        </is>
      </c>
      <c r="F277" t="n">
        <v/>
      </c>
      <c r="G277" t="n">
        <v>4841.78</v>
      </c>
      <c r="H277" t="inlineStr"/>
      <c r="I277" t="inlineStr">
        <is>
          <t>0</t>
        </is>
      </c>
      <c r="J277" t="b">
        <v>0</v>
      </c>
      <c r="K277" t="b">
        <v>0</v>
      </c>
      <c r="L277" t="n">
        <v>11</v>
      </c>
      <c r="M277" t="inlineStr">
        <is>
          <t>FF0B0280</t>
        </is>
      </c>
      <c r="N277" t="inlineStr">
        <is>
          <t>00000000</t>
        </is>
      </c>
      <c r="O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CashFlow Statement</t>
        </is>
      </c>
      <c r="B278" t="inlineStr">
        <is>
          <t>F25</t>
        </is>
      </c>
      <c r="C278" t="n">
        <v>25</v>
      </c>
      <c r="D278" t="n">
        <v>6</v>
      </c>
      <c r="E278" t="inlineStr">
        <is>
          <t>Input</t>
        </is>
      </c>
      <c r="F278" t="n">
        <v/>
      </c>
      <c r="G278" t="n">
        <v>3369.28</v>
      </c>
      <c r="H278" t="inlineStr"/>
      <c r="I278" t="inlineStr">
        <is>
          <t>0</t>
        </is>
      </c>
      <c r="J278" t="b">
        <v>0</v>
      </c>
      <c r="K278" t="b">
        <v>0</v>
      </c>
      <c r="L278" t="n">
        <v>11</v>
      </c>
      <c r="M278" t="inlineStr">
        <is>
          <t>FF0B0280</t>
        </is>
      </c>
      <c r="N278" t="inlineStr">
        <is>
          <t>00000000</t>
        </is>
      </c>
      <c r="O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CashFlow Statement</t>
        </is>
      </c>
      <c r="B279" t="inlineStr">
        <is>
          <t>G25</t>
        </is>
      </c>
      <c r="C279" t="n">
        <v>25</v>
      </c>
      <c r="D279" t="n">
        <v>7</v>
      </c>
      <c r="E279" t="inlineStr">
        <is>
          <t>Input</t>
        </is>
      </c>
      <c r="F279" t="n">
        <v/>
      </c>
      <c r="G279" t="n">
        <v>2208.21</v>
      </c>
      <c r="H279" t="inlineStr"/>
      <c r="I279" t="inlineStr">
        <is>
          <t>0</t>
        </is>
      </c>
      <c r="J279" t="b">
        <v>0</v>
      </c>
      <c r="K279" t="b">
        <v>0</v>
      </c>
      <c r="L279" t="n">
        <v>11</v>
      </c>
      <c r="M279" t="inlineStr">
        <is>
          <t>FF0B0280</t>
        </is>
      </c>
      <c r="N279" t="inlineStr">
        <is>
          <t>00000000</t>
        </is>
      </c>
      <c r="O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CashFlow Statement</t>
        </is>
      </c>
      <c r="B280" t="inlineStr">
        <is>
          <t>H25</t>
        </is>
      </c>
      <c r="C280" t="n">
        <v>25</v>
      </c>
      <c r="D280" t="n">
        <v>8</v>
      </c>
      <c r="E280" t="inlineStr">
        <is>
          <t>Input</t>
        </is>
      </c>
      <c r="F280" t="n">
        <v/>
      </c>
      <c r="G280" t="n">
        <v>34.51</v>
      </c>
      <c r="H280" t="inlineStr"/>
      <c r="I280" t="inlineStr">
        <is>
          <t>0</t>
        </is>
      </c>
      <c r="J280" t="b">
        <v>0</v>
      </c>
      <c r="K280" t="b">
        <v>0</v>
      </c>
      <c r="L280" t="n">
        <v>11</v>
      </c>
      <c r="M280" t="inlineStr">
        <is>
          <t>FF0B0280</t>
        </is>
      </c>
      <c r="N280" t="inlineStr">
        <is>
          <t>00000000</t>
        </is>
      </c>
      <c r="O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CashFlow Statement</t>
        </is>
      </c>
      <c r="B281" t="inlineStr">
        <is>
          <t>I25</t>
        </is>
      </c>
      <c r="C281" t="n">
        <v>25</v>
      </c>
      <c r="D281" t="n">
        <v>9</v>
      </c>
      <c r="E281" t="inlineStr">
        <is>
          <t>Input</t>
        </is>
      </c>
      <c r="F281" t="n">
        <v/>
      </c>
      <c r="G281" t="n">
        <v>-1807.96</v>
      </c>
      <c r="H281" t="inlineStr"/>
      <c r="I281" t="inlineStr">
        <is>
          <t>0</t>
        </is>
      </c>
      <c r="J281" t="b">
        <v>0</v>
      </c>
      <c r="K281" t="b">
        <v>0</v>
      </c>
      <c r="L281" t="n">
        <v>11</v>
      </c>
      <c r="M281" t="inlineStr">
        <is>
          <t>FF0B0280</t>
        </is>
      </c>
      <c r="N281" t="inlineStr">
        <is>
          <t>00000000</t>
        </is>
      </c>
      <c r="O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CashFlow Statement</t>
        </is>
      </c>
      <c r="B282" t="inlineStr">
        <is>
          <t>J25</t>
        </is>
      </c>
      <c r="C282" t="n">
        <v>25</v>
      </c>
      <c r="D282" t="n">
        <v>10</v>
      </c>
      <c r="E282" t="inlineStr">
        <is>
          <t>Input</t>
        </is>
      </c>
      <c r="F282" t="n">
        <v/>
      </c>
      <c r="G282" t="n">
        <v>7119.03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FF0B0280</t>
        </is>
      </c>
      <c r="N282" t="inlineStr">
        <is>
          <t>00000000</t>
        </is>
      </c>
      <c r="O282" t="n">
        <v/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CashFlow Statement</t>
        </is>
      </c>
      <c r="B283" t="inlineStr">
        <is>
          <t>K25</t>
        </is>
      </c>
      <c r="C283" t="n">
        <v>25</v>
      </c>
      <c r="D283" t="n">
        <v>11</v>
      </c>
      <c r="E283" t="inlineStr">
        <is>
          <t>Calculation</t>
        </is>
      </c>
      <c r="F283" t="inlineStr">
        <is>
          <t>'='Balance sheet'!K24-'Balance sheet'!J24</t>
        </is>
      </c>
      <c r="G283" t="n">
        <v>2160.128000000001</v>
      </c>
      <c r="H283" t="inlineStr"/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00000000</t>
        </is>
      </c>
      <c r="O283" t="n">
        <v/>
      </c>
      <c r="R283" t="b">
        <v>1</v>
      </c>
      <c r="S283" t="inlineStr">
        <is>
          <t>G000266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CashFlow Statement!K25:O25</t>
        </is>
      </c>
      <c r="X283">
        <f>'Balance sheet'!R[-1]C[0]-'Balance sheet'!R[-1]C[-1]</f>
        <v/>
      </c>
    </row>
    <row r="284">
      <c r="A284" t="inlineStr">
        <is>
          <t>CashFlow Statement</t>
        </is>
      </c>
      <c r="B284" t="inlineStr">
        <is>
          <t>L25</t>
        </is>
      </c>
      <c r="C284" t="n">
        <v>25</v>
      </c>
      <c r="D284" t="n">
        <v>12</v>
      </c>
      <c r="E284" t="inlineStr">
        <is>
          <t>Calculation</t>
        </is>
      </c>
      <c r="F284" t="inlineStr">
        <is>
          <t>'='Balance sheet'!L24-'Balance sheet'!K24</t>
        </is>
      </c>
      <c r="G284" t="n">
        <v>2256.25764</v>
      </c>
      <c r="H284" t="inlineStr"/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00000000</t>
        </is>
      </c>
      <c r="O284" t="n">
        <v/>
      </c>
      <c r="R284" t="b">
        <v>1</v>
      </c>
      <c r="S284" t="inlineStr">
        <is>
          <t>G000266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CashFlow Statement!K25:O25</t>
        </is>
      </c>
      <c r="X284">
        <f>'Balance sheet'!R[-1]C[0]-'Balance sheet'!R[-1]C[-1]</f>
        <v/>
      </c>
    </row>
    <row r="285">
      <c r="A285" t="inlineStr">
        <is>
          <t>CashFlow Statement</t>
        </is>
      </c>
      <c r="B285" t="inlineStr">
        <is>
          <t>M25</t>
        </is>
      </c>
      <c r="C285" t="n">
        <v>25</v>
      </c>
      <c r="D285" t="n">
        <v>13</v>
      </c>
      <c r="E285" t="inlineStr">
        <is>
          <t>Calculation</t>
        </is>
      </c>
      <c r="F285" t="inlineStr">
        <is>
          <t>'='Balance sheet'!M24-'Balance sheet'!L24</t>
        </is>
      </c>
      <c r="G285" t="n">
        <v>-1965.915542713048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n">
        <v/>
      </c>
      <c r="R285" t="b">
        <v>1</v>
      </c>
      <c r="S285" t="inlineStr">
        <is>
          <t>G000266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CashFlow Statement!K25:O25</t>
        </is>
      </c>
      <c r="X285">
        <f>'Balance sheet'!R[-1]C[0]-'Balance sheet'!R[-1]C[-1]</f>
        <v/>
      </c>
    </row>
    <row r="286">
      <c r="A286" t="inlineStr">
        <is>
          <t>CashFlow Statement</t>
        </is>
      </c>
      <c r="B286" t="inlineStr">
        <is>
          <t>N25</t>
        </is>
      </c>
      <c r="C286" t="n">
        <v>25</v>
      </c>
      <c r="D286" t="n">
        <v>14</v>
      </c>
      <c r="E286" t="inlineStr">
        <is>
          <t>Calculation</t>
        </is>
      </c>
      <c r="F286" t="inlineStr">
        <is>
          <t>'='Balance sheet'!N24-'Balance sheet'!M24</t>
        </is>
      </c>
      <c r="G286" t="n">
        <v>3068.684964356866</v>
      </c>
      <c r="H286" t="inlineStr"/>
      <c r="I286" t="inlineStr">
        <is>
          <t>0</t>
        </is>
      </c>
      <c r="J286" t="b">
        <v>0</v>
      </c>
      <c r="K286" t="b">
        <v>0</v>
      </c>
      <c r="L286" t="n">
        <v>11</v>
      </c>
      <c r="M286" t="inlineStr">
        <is>
          <t>Values must be of type &lt;class 'str'&gt;</t>
        </is>
      </c>
      <c r="N286" t="inlineStr">
        <is>
          <t>00000000</t>
        </is>
      </c>
      <c r="O286" t="n">
        <v/>
      </c>
      <c r="R286" t="b">
        <v>1</v>
      </c>
      <c r="S286" t="inlineStr">
        <is>
          <t>G000266</t>
        </is>
      </c>
      <c r="T286" t="inlineStr">
        <is>
          <t>Horizontal</t>
        </is>
      </c>
      <c r="U286" t="n">
        <v>5</v>
      </c>
      <c r="V286" t="b">
        <v>1</v>
      </c>
      <c r="W286" t="inlineStr">
        <is>
          <t>CashFlow Statement!K25:O25</t>
        </is>
      </c>
      <c r="X286">
        <f>'Balance sheet'!R[-1]C[0]-'Balance sheet'!R[-1]C[-1]</f>
        <v/>
      </c>
    </row>
    <row r="287">
      <c r="A287" t="inlineStr">
        <is>
          <t>CashFlow Statement</t>
        </is>
      </c>
      <c r="B287" t="inlineStr">
        <is>
          <t>O25</t>
        </is>
      </c>
      <c r="C287" t="n">
        <v>25</v>
      </c>
      <c r="D287" t="n">
        <v>15</v>
      </c>
      <c r="E287" t="inlineStr">
        <is>
          <t>Calculation</t>
        </is>
      </c>
      <c r="F287" t="inlineStr">
        <is>
          <t>'='Balance sheet'!O24-'Balance sheet'!N24</t>
        </is>
      </c>
      <c r="G287" t="n">
        <v>3014.191480370466</v>
      </c>
      <c r="H287" t="inlineStr"/>
      <c r="I287" t="inlineStr">
        <is>
          <t>0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n">
        <v/>
      </c>
      <c r="R287" t="b">
        <v>1</v>
      </c>
      <c r="S287" t="inlineStr">
        <is>
          <t>G000266</t>
        </is>
      </c>
      <c r="T287" t="inlineStr">
        <is>
          <t>Horizontal</t>
        </is>
      </c>
      <c r="U287" t="n">
        <v>5</v>
      </c>
      <c r="V287" t="b">
        <v>1</v>
      </c>
      <c r="W287" t="inlineStr">
        <is>
          <t>CashFlow Statement!K25:O25</t>
        </is>
      </c>
      <c r="X287">
        <f>'Balance sheet'!R[-1]C[0]-'Balance sheet'!R[-1]C[-1]</f>
        <v/>
      </c>
    </row>
    <row r="288">
      <c r="A288" t="inlineStr">
        <is>
          <t>CashFlow Statement</t>
        </is>
      </c>
      <c r="B288" t="inlineStr">
        <is>
          <t>A26</t>
        </is>
      </c>
      <c r="C288" t="n">
        <v>26</v>
      </c>
      <c r="D288" t="n">
        <v>1</v>
      </c>
      <c r="E288" t="inlineStr">
        <is>
          <t>Input</t>
        </is>
      </c>
      <c r="F288" t="n">
        <v/>
      </c>
      <c r="G288" t="inlineStr">
        <is>
          <t>Cash generated from operating activities</t>
        </is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CashFlow Statement</t>
        </is>
      </c>
      <c r="B289" t="inlineStr">
        <is>
          <t>D26</t>
        </is>
      </c>
      <c r="C289" t="n">
        <v>26</v>
      </c>
      <c r="D289" t="n">
        <v>4</v>
      </c>
      <c r="E289" t="inlineStr">
        <is>
          <t>Calculation</t>
        </is>
      </c>
      <c r="F289" t="inlineStr">
        <is>
          <t>'=SUM(D21:D25)+D19</t>
        </is>
      </c>
      <c r="G289" t="n">
        <v>10042.07</v>
      </c>
      <c r="H289" t="inlineStr"/>
      <c r="I289" t="inlineStr">
        <is>
          <t>0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n">
        <v/>
      </c>
      <c r="R289" t="b">
        <v>1</v>
      </c>
      <c r="S289" t="inlineStr">
        <is>
          <t>G000267</t>
        </is>
      </c>
      <c r="T289" t="inlineStr">
        <is>
          <t>Horizontal</t>
        </is>
      </c>
      <c r="U289" t="n">
        <v>12</v>
      </c>
      <c r="V289" t="b">
        <v>1</v>
      </c>
      <c r="W289" t="inlineStr">
        <is>
          <t>CashFlow Statement!D26:O26</t>
        </is>
      </c>
      <c r="X289">
        <f>SUM(R[-5]C[0]:R[-1]C[0])+R[-7]C[0]</f>
        <v/>
      </c>
    </row>
    <row r="290">
      <c r="A290" t="inlineStr">
        <is>
          <t>CashFlow Statement</t>
        </is>
      </c>
      <c r="B290" t="inlineStr">
        <is>
          <t>E26</t>
        </is>
      </c>
      <c r="C290" t="n">
        <v>26</v>
      </c>
      <c r="D290" t="n">
        <v>5</v>
      </c>
      <c r="E290" t="inlineStr">
        <is>
          <t>Calculation</t>
        </is>
      </c>
      <c r="F290" t="inlineStr">
        <is>
          <t>'=SUM(E21:E25)+E19</t>
        </is>
      </c>
      <c r="G290" t="n">
        <v>9327.819999999998</v>
      </c>
      <c r="H290" t="inlineStr"/>
      <c r="I290" t="inlineStr">
        <is>
          <t>0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n">
        <v/>
      </c>
      <c r="R290" t="b">
        <v>1</v>
      </c>
      <c r="S290" t="inlineStr">
        <is>
          <t>G000267</t>
        </is>
      </c>
      <c r="T290" t="inlineStr">
        <is>
          <t>Horizontal</t>
        </is>
      </c>
      <c r="U290" t="n">
        <v>12</v>
      </c>
      <c r="V290" t="b">
        <v>1</v>
      </c>
      <c r="W290" t="inlineStr">
        <is>
          <t>CashFlow Statement!D26:O26</t>
        </is>
      </c>
      <c r="X290">
        <f>SUM(R[-5]C[0]:R[-1]C[0])+R[-7]C[0]</f>
        <v/>
      </c>
    </row>
    <row r="291">
      <c r="A291" t="inlineStr">
        <is>
          <t>CashFlow Statement</t>
        </is>
      </c>
      <c r="B291" t="inlineStr">
        <is>
          <t>F26</t>
        </is>
      </c>
      <c r="C291" t="n">
        <v>26</v>
      </c>
      <c r="D291" t="n">
        <v>6</v>
      </c>
      <c r="E291" t="inlineStr">
        <is>
          <t>Calculation</t>
        </is>
      </c>
      <c r="F291" t="inlineStr">
        <is>
          <t>'=SUM(F21:F25)+F19</t>
        </is>
      </c>
      <c r="G291" t="n">
        <v>19264.75</v>
      </c>
      <c r="H291" t="inlineStr"/>
      <c r="I291" t="inlineStr">
        <is>
          <t>0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n">
        <v/>
      </c>
      <c r="R291" t="b">
        <v>1</v>
      </c>
      <c r="S291" t="inlineStr">
        <is>
          <t>G000267</t>
        </is>
      </c>
      <c r="T291" t="inlineStr">
        <is>
          <t>Horizontal</t>
        </is>
      </c>
      <c r="U291" t="n">
        <v>12</v>
      </c>
      <c r="V291" t="b">
        <v>1</v>
      </c>
      <c r="W291" t="inlineStr">
        <is>
          <t>CashFlow Statement!D26:O26</t>
        </is>
      </c>
      <c r="X291">
        <f>SUM(R[-5]C[0]:R[-1]C[0])+R[-7]C[0]</f>
        <v/>
      </c>
    </row>
    <row r="292">
      <c r="A292" t="inlineStr">
        <is>
          <t>CashFlow Statement</t>
        </is>
      </c>
      <c r="B292" t="inlineStr">
        <is>
          <t>G26</t>
        </is>
      </c>
      <c r="C292" t="n">
        <v>26</v>
      </c>
      <c r="D292" t="n">
        <v>7</v>
      </c>
      <c r="E292" t="inlineStr">
        <is>
          <t>Calculation</t>
        </is>
      </c>
      <c r="F292" t="inlineStr">
        <is>
          <t>'=SUM(G21:G25)+G19</t>
        </is>
      </c>
      <c r="G292" t="n">
        <v>17030.42</v>
      </c>
      <c r="H292" t="inlineStr"/>
      <c r="I292" t="inlineStr">
        <is>
          <t>0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n">
        <v/>
      </c>
      <c r="R292" t="b">
        <v>1</v>
      </c>
      <c r="S292" t="inlineStr">
        <is>
          <t>G000267</t>
        </is>
      </c>
      <c r="T292" t="inlineStr">
        <is>
          <t>Horizontal</t>
        </is>
      </c>
      <c r="U292" t="n">
        <v>12</v>
      </c>
      <c r="V292" t="b">
        <v>1</v>
      </c>
      <c r="W292" t="inlineStr">
        <is>
          <t>CashFlow Statement!D26:O26</t>
        </is>
      </c>
      <c r="X292">
        <f>SUM(R[-5]C[0]:R[-1]C[0])+R[-7]C[0]</f>
        <v/>
      </c>
    </row>
    <row r="293">
      <c r="A293" t="inlineStr">
        <is>
          <t>CashFlow Statement</t>
        </is>
      </c>
      <c r="B293" t="inlineStr">
        <is>
          <t>H26</t>
        </is>
      </c>
      <c r="C293" t="n">
        <v>26</v>
      </c>
      <c r="D293" t="n">
        <v>8</v>
      </c>
      <c r="E293" t="inlineStr">
        <is>
          <t>Calculation</t>
        </is>
      </c>
      <c r="F293" t="inlineStr">
        <is>
          <t>'=SUM(H21:H25)+H19</t>
        </is>
      </c>
      <c r="G293" t="n">
        <v>27790.08</v>
      </c>
      <c r="H293" t="inlineStr"/>
      <c r="I293" t="inlineStr">
        <is>
          <t>0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n">
        <v/>
      </c>
      <c r="R293" t="b">
        <v>1</v>
      </c>
      <c r="S293" t="inlineStr">
        <is>
          <t>G000267</t>
        </is>
      </c>
      <c r="T293" t="inlineStr">
        <is>
          <t>Horizontal</t>
        </is>
      </c>
      <c r="U293" t="n">
        <v>12</v>
      </c>
      <c r="V293" t="b">
        <v>1</v>
      </c>
      <c r="W293" t="inlineStr">
        <is>
          <t>CashFlow Statement!D26:O26</t>
        </is>
      </c>
      <c r="X293">
        <f>SUM(R[-5]C[0]:R[-1]C[0])+R[-7]C[0]</f>
        <v/>
      </c>
    </row>
    <row r="294">
      <c r="A294" t="inlineStr">
        <is>
          <t>CashFlow Statement</t>
        </is>
      </c>
      <c r="B294" t="inlineStr">
        <is>
          <t>I26</t>
        </is>
      </c>
      <c r="C294" t="n">
        <v>26</v>
      </c>
      <c r="D294" t="n">
        <v>9</v>
      </c>
      <c r="E294" t="inlineStr">
        <is>
          <t>Calculation</t>
        </is>
      </c>
      <c r="F294" t="inlineStr">
        <is>
          <t>'=SUM(I21:I25)+I19</t>
        </is>
      </c>
      <c r="G294" t="n">
        <v>36751.90999999999</v>
      </c>
      <c r="H294" t="inlineStr"/>
      <c r="I294" t="inlineStr">
        <is>
          <t>0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n">
        <v/>
      </c>
      <c r="R294" t="b">
        <v>1</v>
      </c>
      <c r="S294" t="inlineStr">
        <is>
          <t>G000267</t>
        </is>
      </c>
      <c r="T294" t="inlineStr">
        <is>
          <t>Horizontal</t>
        </is>
      </c>
      <c r="U294" t="n">
        <v>12</v>
      </c>
      <c r="V294" t="b">
        <v>1</v>
      </c>
      <c r="W294" t="inlineStr">
        <is>
          <t>CashFlow Statement!D26:O26</t>
        </is>
      </c>
      <c r="X294">
        <f>SUM(R[-5]C[0]:R[-1]C[0])+R[-7]C[0]</f>
        <v/>
      </c>
    </row>
    <row r="295">
      <c r="A295" t="inlineStr">
        <is>
          <t>CashFlow Statement</t>
        </is>
      </c>
      <c r="B295" t="inlineStr">
        <is>
          <t>J26</t>
        </is>
      </c>
      <c r="C295" t="n">
        <v>26</v>
      </c>
      <c r="D295" t="n">
        <v>10</v>
      </c>
      <c r="E295" t="inlineStr">
        <is>
          <t>Calculation</t>
        </is>
      </c>
      <c r="F295" t="inlineStr">
        <is>
          <t>'=SUM(J21:J25)+J19</t>
        </is>
      </c>
      <c r="G295" t="n">
        <v>42061.66</v>
      </c>
      <c r="H295" t="inlineStr"/>
      <c r="I295" t="inlineStr">
        <is>
          <t>0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n">
        <v/>
      </c>
      <c r="R295" t="b">
        <v>1</v>
      </c>
      <c r="S295" t="inlineStr">
        <is>
          <t>G000267</t>
        </is>
      </c>
      <c r="T295" t="inlineStr">
        <is>
          <t>Horizontal</t>
        </is>
      </c>
      <c r="U295" t="n">
        <v>12</v>
      </c>
      <c r="V295" t="b">
        <v>1</v>
      </c>
      <c r="W295" t="inlineStr">
        <is>
          <t>CashFlow Statement!D26:O26</t>
        </is>
      </c>
      <c r="X295">
        <f>SUM(R[-5]C[0]:R[-1]C[0])+R[-7]C[0]</f>
        <v/>
      </c>
    </row>
    <row r="296">
      <c r="A296" t="inlineStr">
        <is>
          <t>CashFlow Statement</t>
        </is>
      </c>
      <c r="B296" t="inlineStr">
        <is>
          <t>K26</t>
        </is>
      </c>
      <c r="C296" t="n">
        <v>26</v>
      </c>
      <c r="D296" t="n">
        <v>11</v>
      </c>
      <c r="E296" t="inlineStr">
        <is>
          <t>Calculation</t>
        </is>
      </c>
      <c r="F296" t="inlineStr">
        <is>
          <t>'=SUM(K21:K25)+K19</t>
        </is>
      </c>
      <c r="G296" t="n">
        <v>65594.02600820172</v>
      </c>
      <c r="H296" t="inlineStr"/>
      <c r="I296" t="inlineStr">
        <is>
          <t>0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00000000</t>
        </is>
      </c>
      <c r="O296" t="n">
        <v/>
      </c>
      <c r="R296" t="b">
        <v>1</v>
      </c>
      <c r="S296" t="inlineStr">
        <is>
          <t>G000267</t>
        </is>
      </c>
      <c r="T296" t="inlineStr">
        <is>
          <t>Horizontal</t>
        </is>
      </c>
      <c r="U296" t="n">
        <v>12</v>
      </c>
      <c r="V296" t="b">
        <v>1</v>
      </c>
      <c r="W296" t="inlineStr">
        <is>
          <t>CashFlow Statement!D26:O26</t>
        </is>
      </c>
      <c r="X296">
        <f>SUM(R[-5]C[0]:R[-1]C[0])+R[-7]C[0]</f>
        <v/>
      </c>
    </row>
    <row r="297">
      <c r="A297" t="inlineStr">
        <is>
          <t>CashFlow Statement</t>
        </is>
      </c>
      <c r="B297" t="inlineStr">
        <is>
          <t>L26</t>
        </is>
      </c>
      <c r="C297" t="n">
        <v>26</v>
      </c>
      <c r="D297" t="n">
        <v>12</v>
      </c>
      <c r="E297" t="inlineStr">
        <is>
          <t>Calculation</t>
        </is>
      </c>
      <c r="F297" t="inlineStr">
        <is>
          <t>'=SUM(L21:L25)+L19</t>
        </is>
      </c>
      <c r="G297" t="n">
        <v>67562.4023970571</v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00000000</t>
        </is>
      </c>
      <c r="O297" t="n">
        <v/>
      </c>
      <c r="R297" t="b">
        <v>1</v>
      </c>
      <c r="S297" t="inlineStr">
        <is>
          <t>G000267</t>
        </is>
      </c>
      <c r="T297" t="inlineStr">
        <is>
          <t>Horizontal</t>
        </is>
      </c>
      <c r="U297" t="n">
        <v>12</v>
      </c>
      <c r="V297" t="b">
        <v>1</v>
      </c>
      <c r="W297" t="inlineStr">
        <is>
          <t>CashFlow Statement!D26:O26</t>
        </is>
      </c>
      <c r="X297">
        <f>SUM(R[-5]C[0]:R[-1]C[0])+R[-7]C[0]</f>
        <v/>
      </c>
    </row>
    <row r="298">
      <c r="A298" t="inlineStr">
        <is>
          <t>CashFlow Statement</t>
        </is>
      </c>
      <c r="B298" t="inlineStr">
        <is>
          <t>M26</t>
        </is>
      </c>
      <c r="C298" t="n">
        <v>26</v>
      </c>
      <c r="D298" t="n">
        <v>13</v>
      </c>
      <c r="E298" t="inlineStr">
        <is>
          <t>Calculation</t>
        </is>
      </c>
      <c r="F298" t="inlineStr">
        <is>
          <t>'=SUM(M21:M25)+M19</t>
        </is>
      </c>
      <c r="G298" t="n">
        <v>90006.20558551709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00000000</t>
        </is>
      </c>
      <c r="O298" t="n">
        <v/>
      </c>
      <c r="R298" t="b">
        <v>1</v>
      </c>
      <c r="S298" t="inlineStr">
        <is>
          <t>G000267</t>
        </is>
      </c>
      <c r="T298" t="inlineStr">
        <is>
          <t>Horizontal</t>
        </is>
      </c>
      <c r="U298" t="n">
        <v>12</v>
      </c>
      <c r="V298" t="b">
        <v>1</v>
      </c>
      <c r="W298" t="inlineStr">
        <is>
          <t>CashFlow Statement!D26:O26</t>
        </is>
      </c>
      <c r="X298">
        <f>SUM(R[-5]C[0]:R[-1]C[0])+R[-7]C[0]</f>
        <v/>
      </c>
    </row>
    <row r="299">
      <c r="A299" t="inlineStr">
        <is>
          <t>CashFlow Statement</t>
        </is>
      </c>
      <c r="B299" t="inlineStr">
        <is>
          <t>N26</t>
        </is>
      </c>
      <c r="C299" t="n">
        <v>26</v>
      </c>
      <c r="D299" t="n">
        <v>14</v>
      </c>
      <c r="E299" t="inlineStr">
        <is>
          <t>Calculation</t>
        </is>
      </c>
      <c r="F299" t="inlineStr">
        <is>
          <t>'=SUM(N21:N25)+N19</t>
        </is>
      </c>
      <c r="G299" t="n">
        <v>111254.558035168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Values must be of type &lt;class 'str'&gt;</t>
        </is>
      </c>
      <c r="N299" t="inlineStr">
        <is>
          <t>00000000</t>
        </is>
      </c>
      <c r="O299" t="n">
        <v/>
      </c>
      <c r="R299" t="b">
        <v>1</v>
      </c>
      <c r="S299" t="inlineStr">
        <is>
          <t>G000267</t>
        </is>
      </c>
      <c r="T299" t="inlineStr">
        <is>
          <t>Horizontal</t>
        </is>
      </c>
      <c r="U299" t="n">
        <v>12</v>
      </c>
      <c r="V299" t="b">
        <v>1</v>
      </c>
      <c r="W299" t="inlineStr">
        <is>
          <t>CashFlow Statement!D26:O26</t>
        </is>
      </c>
      <c r="X299">
        <f>SUM(R[-5]C[0]:R[-1]C[0])+R[-7]C[0]</f>
        <v/>
      </c>
    </row>
    <row r="300">
      <c r="A300" t="inlineStr">
        <is>
          <t>CashFlow Statement</t>
        </is>
      </c>
      <c r="B300" t="inlineStr">
        <is>
          <t>O26</t>
        </is>
      </c>
      <c r="C300" t="n">
        <v>26</v>
      </c>
      <c r="D300" t="n">
        <v>15</v>
      </c>
      <c r="E300" t="inlineStr">
        <is>
          <t>Calculation</t>
        </is>
      </c>
      <c r="F300" t="inlineStr">
        <is>
          <t>'=SUM(O21:O25)+O19</t>
        </is>
      </c>
      <c r="G300" t="n">
        <v>131714.6387847132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Values must be of type &lt;class 'str'&gt;</t>
        </is>
      </c>
      <c r="N300" t="inlineStr">
        <is>
          <t>00000000</t>
        </is>
      </c>
      <c r="O300" t="n">
        <v/>
      </c>
      <c r="R300" t="b">
        <v>1</v>
      </c>
      <c r="S300" t="inlineStr">
        <is>
          <t>G000267</t>
        </is>
      </c>
      <c r="T300" t="inlineStr">
        <is>
          <t>Horizontal</t>
        </is>
      </c>
      <c r="U300" t="n">
        <v>12</v>
      </c>
      <c r="V300" t="b">
        <v>1</v>
      </c>
      <c r="W300" t="inlineStr">
        <is>
          <t>CashFlow Statement!D26:O26</t>
        </is>
      </c>
      <c r="X300">
        <f>SUM(R[-5]C[0]:R[-1]C[0])+R[-7]C[0]</f>
        <v/>
      </c>
    </row>
    <row r="301">
      <c r="A301" t="inlineStr">
        <is>
          <t>CashFlow Statement</t>
        </is>
      </c>
      <c r="B301" t="inlineStr">
        <is>
          <t>A27</t>
        </is>
      </c>
      <c r="C301" t="n">
        <v>27</v>
      </c>
      <c r="D301" t="n">
        <v>1</v>
      </c>
      <c r="E301" t="inlineStr">
        <is>
          <t>Input</t>
        </is>
      </c>
      <c r="F301" t="n">
        <v/>
      </c>
      <c r="G301" t="inlineStr">
        <is>
          <t>Taxes paid</t>
        </is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00000000</t>
        </is>
      </c>
      <c r="O301" t="n">
        <v/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CashFlow Statement</t>
        </is>
      </c>
      <c r="B302" t="inlineStr">
        <is>
          <t>D27</t>
        </is>
      </c>
      <c r="C302" t="n">
        <v>27</v>
      </c>
      <c r="D302" t="n">
        <v>4</v>
      </c>
      <c r="E302" t="inlineStr">
        <is>
          <t>Input</t>
        </is>
      </c>
      <c r="F302" t="n">
        <v/>
      </c>
      <c r="G302" t="n">
        <v>-1322.23</v>
      </c>
      <c r="H302" t="inlineStr"/>
      <c r="I302" t="inlineStr">
        <is>
          <t>0</t>
        </is>
      </c>
      <c r="J302" t="b">
        <v>0</v>
      </c>
      <c r="K302" t="b">
        <v>0</v>
      </c>
      <c r="L302" t="n">
        <v>11</v>
      </c>
      <c r="M302" t="inlineStr">
        <is>
          <t>FF0B0280</t>
        </is>
      </c>
      <c r="N302" t="inlineStr">
        <is>
          <t>00000000</t>
        </is>
      </c>
      <c r="O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CashFlow Statement</t>
        </is>
      </c>
      <c r="B303" t="inlineStr">
        <is>
          <t>E27</t>
        </is>
      </c>
      <c r="C303" t="n">
        <v>27</v>
      </c>
      <c r="D303" t="n">
        <v>5</v>
      </c>
      <c r="E303" t="inlineStr">
        <is>
          <t>Input</t>
        </is>
      </c>
      <c r="F303" t="n">
        <v/>
      </c>
      <c r="G303" t="n">
        <v>-371.13</v>
      </c>
      <c r="H303" t="inlineStr"/>
      <c r="I303" t="inlineStr">
        <is>
          <t>0</t>
        </is>
      </c>
      <c r="J303" t="b">
        <v>0</v>
      </c>
      <c r="K303" t="b">
        <v>0</v>
      </c>
      <c r="L303" t="n">
        <v>11</v>
      </c>
      <c r="M303" t="inlineStr">
        <is>
          <t>FF0B0280</t>
        </is>
      </c>
      <c r="N303" t="inlineStr">
        <is>
          <t>00000000</t>
        </is>
      </c>
      <c r="O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CashFlow Statement</t>
        </is>
      </c>
      <c r="B304" t="inlineStr">
        <is>
          <t>F27</t>
        </is>
      </c>
      <c r="C304" t="n">
        <v>27</v>
      </c>
      <c r="D304" t="n">
        <v>6</v>
      </c>
      <c r="E304" t="inlineStr">
        <is>
          <t>Input</t>
        </is>
      </c>
      <c r="F304" t="n">
        <v/>
      </c>
      <c r="G304" t="n">
        <v>-1851.53</v>
      </c>
      <c r="H304" t="inlineStr"/>
      <c r="I304" t="inlineStr">
        <is>
          <t>0</t>
        </is>
      </c>
      <c r="J304" t="b">
        <v>0</v>
      </c>
      <c r="K304" t="b">
        <v>0</v>
      </c>
      <c r="L304" t="n">
        <v>11</v>
      </c>
      <c r="M304" t="inlineStr">
        <is>
          <t>FF0B0280</t>
        </is>
      </c>
      <c r="N304" t="inlineStr">
        <is>
          <t>00000000</t>
        </is>
      </c>
      <c r="O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CashFlow Statement</t>
        </is>
      </c>
      <c r="B305" t="inlineStr">
        <is>
          <t>G27</t>
        </is>
      </c>
      <c r="C305" t="n">
        <v>27</v>
      </c>
      <c r="D305" t="n">
        <v>7</v>
      </c>
      <c r="E305" t="inlineStr">
        <is>
          <t>Input</t>
        </is>
      </c>
      <c r="F305" t="n">
        <v/>
      </c>
      <c r="G305" t="n">
        <v>-1075.42</v>
      </c>
      <c r="H305" t="inlineStr"/>
      <c r="I305" t="inlineStr">
        <is>
          <t>0</t>
        </is>
      </c>
      <c r="J305" t="b">
        <v>0</v>
      </c>
      <c r="K305" t="b">
        <v>0</v>
      </c>
      <c r="L305" t="n">
        <v>11</v>
      </c>
      <c r="M305" t="inlineStr">
        <is>
          <t>FF0B0280</t>
        </is>
      </c>
      <c r="N305" t="inlineStr">
        <is>
          <t>00000000</t>
        </is>
      </c>
      <c r="O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</row>
    <row r="306">
      <c r="A306" t="inlineStr">
        <is>
          <t>CashFlow Statement</t>
        </is>
      </c>
      <c r="B306" t="inlineStr">
        <is>
          <t>H27</t>
        </is>
      </c>
      <c r="C306" t="n">
        <v>27</v>
      </c>
      <c r="D306" t="n">
        <v>8</v>
      </c>
      <c r="E306" t="inlineStr">
        <is>
          <t>Input</t>
        </is>
      </c>
      <c r="F306" t="n">
        <v/>
      </c>
      <c r="G306" t="n">
        <v>-3951.24</v>
      </c>
      <c r="H306" t="inlineStr"/>
      <c r="I306" t="inlineStr">
        <is>
          <t>0</t>
        </is>
      </c>
      <c r="J306" t="b">
        <v>0</v>
      </c>
      <c r="K306" t="b">
        <v>0</v>
      </c>
      <c r="L306" t="n">
        <v>11</v>
      </c>
      <c r="M306" t="inlineStr">
        <is>
          <t>FF0B0280</t>
        </is>
      </c>
      <c r="N306" t="inlineStr">
        <is>
          <t>00000000</t>
        </is>
      </c>
      <c r="O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CashFlow Statement</t>
        </is>
      </c>
      <c r="B307" t="inlineStr">
        <is>
          <t>I27</t>
        </is>
      </c>
      <c r="C307" t="n">
        <v>27</v>
      </c>
      <c r="D307" t="n">
        <v>9</v>
      </c>
      <c r="E307" t="inlineStr">
        <is>
          <t>Input</t>
        </is>
      </c>
      <c r="F307" t="n">
        <v/>
      </c>
      <c r="G307" t="n">
        <v>-5761.16</v>
      </c>
      <c r="H307" t="inlineStr"/>
      <c r="I307" t="inlineStr">
        <is>
          <t>0</t>
        </is>
      </c>
      <c r="J307" t="b">
        <v>0</v>
      </c>
      <c r="K307" t="b">
        <v>0</v>
      </c>
      <c r="L307" t="n">
        <v>11</v>
      </c>
      <c r="M307" t="inlineStr">
        <is>
          <t>FF0B0280</t>
        </is>
      </c>
      <c r="N307" t="inlineStr">
        <is>
          <t>00000000</t>
        </is>
      </c>
      <c r="O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CashFlow Statement</t>
        </is>
      </c>
      <c r="B308" t="inlineStr">
        <is>
          <t>J27</t>
        </is>
      </c>
      <c r="C308" t="n">
        <v>27</v>
      </c>
      <c r="D308" t="n">
        <v>10</v>
      </c>
      <c r="E308" t="inlineStr">
        <is>
          <t>Input</t>
        </is>
      </c>
      <c r="F308" t="n">
        <v/>
      </c>
      <c r="G308" t="n">
        <v>-4240.96</v>
      </c>
      <c r="H308" t="inlineStr"/>
      <c r="I308" t="inlineStr">
        <is>
          <t>0</t>
        </is>
      </c>
      <c r="J308" t="b">
        <v>0</v>
      </c>
      <c r="K308" t="b">
        <v>0</v>
      </c>
      <c r="L308" t="n">
        <v>11</v>
      </c>
      <c r="M308" t="inlineStr">
        <is>
          <t>FF0B0280</t>
        </is>
      </c>
      <c r="N308" t="inlineStr">
        <is>
          <t>00000000</t>
        </is>
      </c>
      <c r="O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CashFlow Statement</t>
        </is>
      </c>
      <c r="B309" t="inlineStr">
        <is>
          <t>K27</t>
        </is>
      </c>
      <c r="C309" t="n">
        <v>27</v>
      </c>
      <c r="D309" t="n">
        <v>11</v>
      </c>
      <c r="E309" t="inlineStr">
        <is>
          <t>Calculation</t>
        </is>
      </c>
      <c r="F309" t="inlineStr">
        <is>
          <t>'='Income statement'!K26</t>
        </is>
      </c>
      <c r="G309" t="n">
        <v>-10601.93731179101</v>
      </c>
      <c r="H309" t="inlineStr"/>
      <c r="I309" t="inlineStr">
        <is>
          <t>0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00000000</t>
        </is>
      </c>
      <c r="O309" t="n">
        <v/>
      </c>
      <c r="R309" t="b">
        <v>1</v>
      </c>
      <c r="S309" t="inlineStr">
        <is>
          <t>G000268</t>
        </is>
      </c>
      <c r="T309" t="inlineStr">
        <is>
          <t>Horizontal</t>
        </is>
      </c>
      <c r="U309" t="n">
        <v>5</v>
      </c>
      <c r="V309" t="b">
        <v>1</v>
      </c>
      <c r="W309" t="inlineStr">
        <is>
          <t>CashFlow Statement!K27:O27</t>
        </is>
      </c>
      <c r="X309">
        <f>'Income statement'!R[-1]C[0]</f>
        <v/>
      </c>
    </row>
    <row r="310">
      <c r="A310" t="inlineStr">
        <is>
          <t>CashFlow Statement</t>
        </is>
      </c>
      <c r="B310" t="inlineStr">
        <is>
          <t>L27</t>
        </is>
      </c>
      <c r="C310" t="n">
        <v>27</v>
      </c>
      <c r="D310" t="n">
        <v>12</v>
      </c>
      <c r="E310" t="inlineStr">
        <is>
          <t>Calculation</t>
        </is>
      </c>
      <c r="F310" t="inlineStr">
        <is>
          <t>'='Income statement'!L26</t>
        </is>
      </c>
      <c r="G310" t="n">
        <v>-11865.80673230163</v>
      </c>
      <c r="H310" t="inlineStr"/>
      <c r="I310" t="inlineStr">
        <is>
          <t>0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00000000</t>
        </is>
      </c>
      <c r="O310" t="n">
        <v/>
      </c>
      <c r="R310" t="b">
        <v>1</v>
      </c>
      <c r="S310" t="inlineStr">
        <is>
          <t>G000268</t>
        </is>
      </c>
      <c r="T310" t="inlineStr">
        <is>
          <t>Horizontal</t>
        </is>
      </c>
      <c r="U310" t="n">
        <v>5</v>
      </c>
      <c r="V310" t="b">
        <v>1</v>
      </c>
      <c r="W310" t="inlineStr">
        <is>
          <t>CashFlow Statement!K27:O27</t>
        </is>
      </c>
      <c r="X310">
        <f>'Income statement'!R[-1]C[0]</f>
        <v/>
      </c>
    </row>
    <row r="311">
      <c r="A311" t="inlineStr">
        <is>
          <t>CashFlow Statement</t>
        </is>
      </c>
      <c r="B311" t="inlineStr">
        <is>
          <t>M27</t>
        </is>
      </c>
      <c r="C311" t="n">
        <v>27</v>
      </c>
      <c r="D311" t="n">
        <v>13</v>
      </c>
      <c r="E311" t="inlineStr">
        <is>
          <t>Calculation</t>
        </is>
      </c>
      <c r="F311" t="inlineStr">
        <is>
          <t>'='Income statement'!M26</t>
        </is>
      </c>
      <c r="G311" t="n">
        <v>-14595.52570658638</v>
      </c>
      <c r="H311" t="inlineStr"/>
      <c r="I311" t="inlineStr">
        <is>
          <t>0</t>
        </is>
      </c>
      <c r="J311" t="b">
        <v>0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00000000</t>
        </is>
      </c>
      <c r="O311" t="n">
        <v/>
      </c>
      <c r="R311" t="b">
        <v>1</v>
      </c>
      <c r="S311" t="inlineStr">
        <is>
          <t>G000268</t>
        </is>
      </c>
      <c r="T311" t="inlineStr">
        <is>
          <t>Horizontal</t>
        </is>
      </c>
      <c r="U311" t="n">
        <v>5</v>
      </c>
      <c r="V311" t="b">
        <v>1</v>
      </c>
      <c r="W311" t="inlineStr">
        <is>
          <t>CashFlow Statement!K27:O27</t>
        </is>
      </c>
      <c r="X311">
        <f>'Income statement'!R[-1]C[0]</f>
        <v/>
      </c>
    </row>
    <row r="312">
      <c r="A312" t="inlineStr">
        <is>
          <t>CashFlow Statement</t>
        </is>
      </c>
      <c r="B312" t="inlineStr">
        <is>
          <t>N27</t>
        </is>
      </c>
      <c r="C312" t="n">
        <v>27</v>
      </c>
      <c r="D312" t="n">
        <v>14</v>
      </c>
      <c r="E312" t="inlineStr">
        <is>
          <t>Calculation</t>
        </is>
      </c>
      <c r="F312" t="inlineStr">
        <is>
          <t>'='Income statement'!N26</t>
        </is>
      </c>
      <c r="G312" t="n">
        <v>-17430.01336608532</v>
      </c>
      <c r="H312" t="inlineStr"/>
      <c r="I312" t="inlineStr">
        <is>
          <t>0</t>
        </is>
      </c>
      <c r="J312" t="b">
        <v>0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00000000</t>
        </is>
      </c>
      <c r="O312" t="n">
        <v/>
      </c>
      <c r="R312" t="b">
        <v>1</v>
      </c>
      <c r="S312" t="inlineStr">
        <is>
          <t>G000268</t>
        </is>
      </c>
      <c r="T312" t="inlineStr">
        <is>
          <t>Horizontal</t>
        </is>
      </c>
      <c r="U312" t="n">
        <v>5</v>
      </c>
      <c r="V312" t="b">
        <v>1</v>
      </c>
      <c r="W312" t="inlineStr">
        <is>
          <t>CashFlow Statement!K27:O27</t>
        </is>
      </c>
      <c r="X312">
        <f>'Income statement'!R[-1]C[0]</f>
        <v/>
      </c>
    </row>
    <row r="313">
      <c r="A313" t="inlineStr">
        <is>
          <t>CashFlow Statement</t>
        </is>
      </c>
      <c r="B313" t="inlineStr">
        <is>
          <t>O27</t>
        </is>
      </c>
      <c r="C313" t="n">
        <v>27</v>
      </c>
      <c r="D313" t="n">
        <v>15</v>
      </c>
      <c r="E313" t="inlineStr">
        <is>
          <t>Calculation</t>
        </is>
      </c>
      <c r="F313" t="inlineStr">
        <is>
          <t>'='Income statement'!O26</t>
        </is>
      </c>
      <c r="G313" t="n">
        <v>-20978.82846382683</v>
      </c>
      <c r="H313" t="inlineStr"/>
      <c r="I313" t="inlineStr">
        <is>
          <t>0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n">
        <v/>
      </c>
      <c r="R313" t="b">
        <v>1</v>
      </c>
      <c r="S313" t="inlineStr">
        <is>
          <t>G000268</t>
        </is>
      </c>
      <c r="T313" t="inlineStr">
        <is>
          <t>Horizontal</t>
        </is>
      </c>
      <c r="U313" t="n">
        <v>5</v>
      </c>
      <c r="V313" t="b">
        <v>1</v>
      </c>
      <c r="W313" t="inlineStr">
        <is>
          <t>CashFlow Statement!K27:O27</t>
        </is>
      </c>
      <c r="X313">
        <f>'Income statement'!R[-1]C[0]</f>
        <v/>
      </c>
    </row>
    <row r="314">
      <c r="A314" t="inlineStr">
        <is>
          <t>CashFlow Statement</t>
        </is>
      </c>
      <c r="B314" t="inlineStr">
        <is>
          <t>A28</t>
        </is>
      </c>
      <c r="C314" t="n">
        <v>28</v>
      </c>
      <c r="D314" t="n">
        <v>1</v>
      </c>
      <c r="E314" t="inlineStr">
        <is>
          <t>Input</t>
        </is>
      </c>
      <c r="F314" t="n">
        <v/>
      </c>
      <c r="G314" t="inlineStr">
        <is>
          <t>Net cash generated from operating activities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00000000</t>
        </is>
      </c>
      <c r="O314" t="n">
        <v/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CashFlow Statement</t>
        </is>
      </c>
      <c r="B315" t="inlineStr">
        <is>
          <t>D28</t>
        </is>
      </c>
      <c r="C315" t="n">
        <v>28</v>
      </c>
      <c r="D315" t="n">
        <v>4</v>
      </c>
      <c r="E315" t="inlineStr">
        <is>
          <t>Calculation</t>
        </is>
      </c>
      <c r="F315" t="inlineStr">
        <is>
          <t>'=D26+D27</t>
        </is>
      </c>
      <c r="G315" t="n">
        <v>8719.84</v>
      </c>
      <c r="H315" t="inlineStr"/>
      <c r="I315" t="inlineStr">
        <is>
          <t>0</t>
        </is>
      </c>
      <c r="J315" t="b">
        <v>1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R315" t="b">
        <v>1</v>
      </c>
      <c r="S315" t="inlineStr">
        <is>
          <t>G000269</t>
        </is>
      </c>
      <c r="T315" t="inlineStr">
        <is>
          <t>Horizontal</t>
        </is>
      </c>
      <c r="U315" t="n">
        <v>12</v>
      </c>
      <c r="V315" t="b">
        <v>1</v>
      </c>
      <c r="W315" t="inlineStr">
        <is>
          <t>CashFlow Statement!D28:O28</t>
        </is>
      </c>
      <c r="X315">
        <f>R[-2]C[0]+R[-1]C[0]</f>
        <v/>
      </c>
    </row>
    <row r="316">
      <c r="A316" t="inlineStr">
        <is>
          <t>CashFlow Statement</t>
        </is>
      </c>
      <c r="B316" t="inlineStr">
        <is>
          <t>E28</t>
        </is>
      </c>
      <c r="C316" t="n">
        <v>28</v>
      </c>
      <c r="D316" t="n">
        <v>5</v>
      </c>
      <c r="E316" t="inlineStr">
        <is>
          <t>Calculation</t>
        </is>
      </c>
      <c r="F316" t="inlineStr">
        <is>
          <t>'=E26+E27</t>
        </is>
      </c>
      <c r="G316" t="n">
        <v>8956.689999999999</v>
      </c>
      <c r="H316" t="inlineStr"/>
      <c r="I316" t="inlineStr">
        <is>
          <t>0</t>
        </is>
      </c>
      <c r="J316" t="b">
        <v>1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R316" t="b">
        <v>1</v>
      </c>
      <c r="S316" t="inlineStr">
        <is>
          <t>G000269</t>
        </is>
      </c>
      <c r="T316" t="inlineStr">
        <is>
          <t>Horizontal</t>
        </is>
      </c>
      <c r="U316" t="n">
        <v>12</v>
      </c>
      <c r="V316" t="b">
        <v>1</v>
      </c>
      <c r="W316" t="inlineStr">
        <is>
          <t>CashFlow Statement!D28:O28</t>
        </is>
      </c>
      <c r="X316">
        <f>R[-2]C[0]+R[-1]C[0]</f>
        <v/>
      </c>
    </row>
    <row r="317">
      <c r="A317" t="inlineStr">
        <is>
          <t>CashFlow Statement</t>
        </is>
      </c>
      <c r="B317" t="inlineStr">
        <is>
          <t>F28</t>
        </is>
      </c>
      <c r="C317" t="n">
        <v>28</v>
      </c>
      <c r="D317" t="n">
        <v>6</v>
      </c>
      <c r="E317" t="inlineStr">
        <is>
          <t>Calculation</t>
        </is>
      </c>
      <c r="F317" t="inlineStr">
        <is>
          <t>'=F26+F27</t>
        </is>
      </c>
      <c r="G317" t="n">
        <v>17413.22</v>
      </c>
      <c r="H317" t="inlineStr"/>
      <c r="I317" t="inlineStr">
        <is>
          <t>0</t>
        </is>
      </c>
      <c r="J317" t="b">
        <v>1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R317" t="b">
        <v>1</v>
      </c>
      <c r="S317" t="inlineStr">
        <is>
          <t>G000269</t>
        </is>
      </c>
      <c r="T317" t="inlineStr">
        <is>
          <t>Horizontal</t>
        </is>
      </c>
      <c r="U317" t="n">
        <v>12</v>
      </c>
      <c r="V317" t="b">
        <v>1</v>
      </c>
      <c r="W317" t="inlineStr">
        <is>
          <t>CashFlow Statement!D28:O28</t>
        </is>
      </c>
      <c r="X317">
        <f>R[-2]C[0]+R[-1]C[0]</f>
        <v/>
      </c>
    </row>
    <row r="318">
      <c r="A318" t="inlineStr">
        <is>
          <t>CashFlow Statement</t>
        </is>
      </c>
      <c r="B318" t="inlineStr">
        <is>
          <t>G28</t>
        </is>
      </c>
      <c r="C318" t="n">
        <v>28</v>
      </c>
      <c r="D318" t="n">
        <v>7</v>
      </c>
      <c r="E318" t="inlineStr">
        <is>
          <t>Calculation</t>
        </is>
      </c>
      <c r="F318" t="inlineStr">
        <is>
          <t>'=G26+G27</t>
        </is>
      </c>
      <c r="G318" t="n">
        <v>15955</v>
      </c>
      <c r="H318" t="inlineStr"/>
      <c r="I318" t="inlineStr">
        <is>
          <t>0</t>
        </is>
      </c>
      <c r="J318" t="b">
        <v>1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R318" t="b">
        <v>1</v>
      </c>
      <c r="S318" t="inlineStr">
        <is>
          <t>G000269</t>
        </is>
      </c>
      <c r="T318" t="inlineStr">
        <is>
          <t>Horizontal</t>
        </is>
      </c>
      <c r="U318" t="n">
        <v>12</v>
      </c>
      <c r="V318" t="b">
        <v>1</v>
      </c>
      <c r="W318" t="inlineStr">
        <is>
          <t>CashFlow Statement!D28:O28</t>
        </is>
      </c>
      <c r="X318">
        <f>R[-2]C[0]+R[-1]C[0]</f>
        <v/>
      </c>
    </row>
    <row r="319">
      <c r="A319" t="inlineStr">
        <is>
          <t>CashFlow Statement</t>
        </is>
      </c>
      <c r="B319" t="inlineStr">
        <is>
          <t>H28</t>
        </is>
      </c>
      <c r="C319" t="n">
        <v>28</v>
      </c>
      <c r="D319" t="n">
        <v>8</v>
      </c>
      <c r="E319" t="inlineStr">
        <is>
          <t>Calculation</t>
        </is>
      </c>
      <c r="F319" t="inlineStr">
        <is>
          <t>'=H26+H27</t>
        </is>
      </c>
      <c r="G319" t="n">
        <v>23838.84</v>
      </c>
      <c r="H319" t="inlineStr"/>
      <c r="I319" t="inlineStr">
        <is>
          <t>0</t>
        </is>
      </c>
      <c r="J319" t="b">
        <v>1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00000000</t>
        </is>
      </c>
      <c r="O319" t="n">
        <v/>
      </c>
      <c r="R319" t="b">
        <v>1</v>
      </c>
      <c r="S319" t="inlineStr">
        <is>
          <t>G000269</t>
        </is>
      </c>
      <c r="T319" t="inlineStr">
        <is>
          <t>Horizontal</t>
        </is>
      </c>
      <c r="U319" t="n">
        <v>12</v>
      </c>
      <c r="V319" t="b">
        <v>1</v>
      </c>
      <c r="W319" t="inlineStr">
        <is>
          <t>CashFlow Statement!D28:O28</t>
        </is>
      </c>
      <c r="X319">
        <f>R[-2]C[0]+R[-1]C[0]</f>
        <v/>
      </c>
    </row>
    <row r="320">
      <c r="A320" t="inlineStr">
        <is>
          <t>CashFlow Statement</t>
        </is>
      </c>
      <c r="B320" t="inlineStr">
        <is>
          <t>I28</t>
        </is>
      </c>
      <c r="C320" t="n">
        <v>28</v>
      </c>
      <c r="D320" t="n">
        <v>9</v>
      </c>
      <c r="E320" t="inlineStr">
        <is>
          <t>Calculation</t>
        </is>
      </c>
      <c r="F320" t="inlineStr">
        <is>
          <t>'=I26+I27</t>
        </is>
      </c>
      <c r="G320" t="n">
        <v>30990.74999999999</v>
      </c>
      <c r="H320" t="inlineStr"/>
      <c r="I320" t="inlineStr">
        <is>
          <t>0</t>
        </is>
      </c>
      <c r="J320" t="b">
        <v>1</v>
      </c>
      <c r="K320" t="b">
        <v>0</v>
      </c>
      <c r="L320" t="n">
        <v>11</v>
      </c>
      <c r="M320" t="inlineStr">
        <is>
          <t>Values must be of type &lt;class 'str'&gt;</t>
        </is>
      </c>
      <c r="N320" t="inlineStr">
        <is>
          <t>00000000</t>
        </is>
      </c>
      <c r="O320" t="n">
        <v/>
      </c>
      <c r="R320" t="b">
        <v>1</v>
      </c>
      <c r="S320" t="inlineStr">
        <is>
          <t>G000269</t>
        </is>
      </c>
      <c r="T320" t="inlineStr">
        <is>
          <t>Horizontal</t>
        </is>
      </c>
      <c r="U320" t="n">
        <v>12</v>
      </c>
      <c r="V320" t="b">
        <v>1</v>
      </c>
      <c r="W320" t="inlineStr">
        <is>
          <t>CashFlow Statement!D28:O28</t>
        </is>
      </c>
      <c r="X320">
        <f>R[-2]C[0]+R[-1]C[0]</f>
        <v/>
      </c>
    </row>
    <row r="321">
      <c r="A321" t="inlineStr">
        <is>
          <t>CashFlow Statement</t>
        </is>
      </c>
      <c r="B321" t="inlineStr">
        <is>
          <t>J28</t>
        </is>
      </c>
      <c r="C321" t="n">
        <v>28</v>
      </c>
      <c r="D321" t="n">
        <v>10</v>
      </c>
      <c r="E321" t="inlineStr">
        <is>
          <t>Calculation</t>
        </is>
      </c>
      <c r="F321" t="inlineStr">
        <is>
          <t>'=J26+J27</t>
        </is>
      </c>
      <c r="G321" t="n">
        <v>37820.7</v>
      </c>
      <c r="H321" t="inlineStr"/>
      <c r="I321" t="inlineStr">
        <is>
          <t>0</t>
        </is>
      </c>
      <c r="J321" t="b">
        <v>1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00000000</t>
        </is>
      </c>
      <c r="O321" t="n">
        <v/>
      </c>
      <c r="R321" t="b">
        <v>1</v>
      </c>
      <c r="S321" t="inlineStr">
        <is>
          <t>G000269</t>
        </is>
      </c>
      <c r="T321" t="inlineStr">
        <is>
          <t>Horizontal</t>
        </is>
      </c>
      <c r="U321" t="n">
        <v>12</v>
      </c>
      <c r="V321" t="b">
        <v>1</v>
      </c>
      <c r="W321" t="inlineStr">
        <is>
          <t>CashFlow Statement!D28:O28</t>
        </is>
      </c>
      <c r="X321">
        <f>R[-2]C[0]+R[-1]C[0]</f>
        <v/>
      </c>
    </row>
    <row r="322">
      <c r="A322" t="inlineStr">
        <is>
          <t>CashFlow Statement</t>
        </is>
      </c>
      <c r="B322" t="inlineStr">
        <is>
          <t>K28</t>
        </is>
      </c>
      <c r="C322" t="n">
        <v>28</v>
      </c>
      <c r="D322" t="n">
        <v>11</v>
      </c>
      <c r="E322" t="inlineStr">
        <is>
          <t>Calculation</t>
        </is>
      </c>
      <c r="F322" t="inlineStr">
        <is>
          <t>'=K26+K27</t>
        </is>
      </c>
      <c r="G322" t="n">
        <v>54992.08869641071</v>
      </c>
      <c r="H322" t="inlineStr"/>
      <c r="I322" t="inlineStr">
        <is>
          <t>0</t>
        </is>
      </c>
      <c r="J322" t="b">
        <v>1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00000000</t>
        </is>
      </c>
      <c r="O322" t="n">
        <v/>
      </c>
      <c r="R322" t="b">
        <v>1</v>
      </c>
      <c r="S322" t="inlineStr">
        <is>
          <t>G000269</t>
        </is>
      </c>
      <c r="T322" t="inlineStr">
        <is>
          <t>Horizontal</t>
        </is>
      </c>
      <c r="U322" t="n">
        <v>12</v>
      </c>
      <c r="V322" t="b">
        <v>1</v>
      </c>
      <c r="W322" t="inlineStr">
        <is>
          <t>CashFlow Statement!D28:O28</t>
        </is>
      </c>
      <c r="X322">
        <f>R[-2]C[0]+R[-1]C[0]</f>
        <v/>
      </c>
    </row>
    <row r="323">
      <c r="A323" t="inlineStr">
        <is>
          <t>CashFlow Statement</t>
        </is>
      </c>
      <c r="B323" t="inlineStr">
        <is>
          <t>L28</t>
        </is>
      </c>
      <c r="C323" t="n">
        <v>28</v>
      </c>
      <c r="D323" t="n">
        <v>12</v>
      </c>
      <c r="E323" t="inlineStr">
        <is>
          <t>Calculation</t>
        </is>
      </c>
      <c r="F323" t="inlineStr">
        <is>
          <t>'=L26+L27</t>
        </is>
      </c>
      <c r="G323" t="n">
        <v>55696.59566475546</v>
      </c>
      <c r="H323" t="inlineStr"/>
      <c r="I323" t="inlineStr">
        <is>
          <t>0</t>
        </is>
      </c>
      <c r="J323" t="b">
        <v>1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00000000</t>
        </is>
      </c>
      <c r="O323" t="n">
        <v/>
      </c>
      <c r="R323" t="b">
        <v>1</v>
      </c>
      <c r="S323" t="inlineStr">
        <is>
          <t>G000269</t>
        </is>
      </c>
      <c r="T323" t="inlineStr">
        <is>
          <t>Horizontal</t>
        </is>
      </c>
      <c r="U323" t="n">
        <v>12</v>
      </c>
      <c r="V323" t="b">
        <v>1</v>
      </c>
      <c r="W323" t="inlineStr">
        <is>
          <t>CashFlow Statement!D28:O28</t>
        </is>
      </c>
      <c r="X323">
        <f>R[-2]C[0]+R[-1]C[0]</f>
        <v/>
      </c>
    </row>
    <row r="324">
      <c r="A324" t="inlineStr">
        <is>
          <t>CashFlow Statement</t>
        </is>
      </c>
      <c r="B324" t="inlineStr">
        <is>
          <t>M28</t>
        </is>
      </c>
      <c r="C324" t="n">
        <v>28</v>
      </c>
      <c r="D324" t="n">
        <v>13</v>
      </c>
      <c r="E324" t="inlineStr">
        <is>
          <t>Calculation</t>
        </is>
      </c>
      <c r="F324" t="inlineStr">
        <is>
          <t>'=M26+M27</t>
        </is>
      </c>
      <c r="G324" t="n">
        <v>75410.67987893071</v>
      </c>
      <c r="H324" t="inlineStr"/>
      <c r="I324" t="inlineStr">
        <is>
          <t>0</t>
        </is>
      </c>
      <c r="J324" t="b">
        <v>1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n">
        <v/>
      </c>
      <c r="R324" t="b">
        <v>1</v>
      </c>
      <c r="S324" t="inlineStr">
        <is>
          <t>G000269</t>
        </is>
      </c>
      <c r="T324" t="inlineStr">
        <is>
          <t>Horizontal</t>
        </is>
      </c>
      <c r="U324" t="n">
        <v>12</v>
      </c>
      <c r="V324" t="b">
        <v>1</v>
      </c>
      <c r="W324" t="inlineStr">
        <is>
          <t>CashFlow Statement!D28:O28</t>
        </is>
      </c>
      <c r="X324">
        <f>R[-2]C[0]+R[-1]C[0]</f>
        <v/>
      </c>
    </row>
    <row r="325">
      <c r="A325" t="inlineStr">
        <is>
          <t>CashFlow Statement</t>
        </is>
      </c>
      <c r="B325" t="inlineStr">
        <is>
          <t>N28</t>
        </is>
      </c>
      <c r="C325" t="n">
        <v>28</v>
      </c>
      <c r="D325" t="n">
        <v>14</v>
      </c>
      <c r="E325" t="inlineStr">
        <is>
          <t>Calculation</t>
        </is>
      </c>
      <c r="F325" t="inlineStr">
        <is>
          <t>'=N26+N27</t>
        </is>
      </c>
      <c r="G325" t="n">
        <v>93824.54466908269</v>
      </c>
      <c r="H325" t="inlineStr"/>
      <c r="I325" t="inlineStr">
        <is>
          <t>0</t>
        </is>
      </c>
      <c r="J325" t="b">
        <v>1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n">
        <v/>
      </c>
      <c r="R325" t="b">
        <v>1</v>
      </c>
      <c r="S325" t="inlineStr">
        <is>
          <t>G000269</t>
        </is>
      </c>
      <c r="T325" t="inlineStr">
        <is>
          <t>Horizontal</t>
        </is>
      </c>
      <c r="U325" t="n">
        <v>12</v>
      </c>
      <c r="V325" t="b">
        <v>1</v>
      </c>
      <c r="W325" t="inlineStr">
        <is>
          <t>CashFlow Statement!D28:O28</t>
        </is>
      </c>
      <c r="X325">
        <f>R[-2]C[0]+R[-1]C[0]</f>
        <v/>
      </c>
    </row>
    <row r="326">
      <c r="A326" t="inlineStr">
        <is>
          <t>CashFlow Statement</t>
        </is>
      </c>
      <c r="B326" t="inlineStr">
        <is>
          <t>O28</t>
        </is>
      </c>
      <c r="C326" t="n">
        <v>28</v>
      </c>
      <c r="D326" t="n">
        <v>15</v>
      </c>
      <c r="E326" t="inlineStr">
        <is>
          <t>Calculation</t>
        </is>
      </c>
      <c r="F326" t="inlineStr">
        <is>
          <t>'=O26+O27</t>
        </is>
      </c>
      <c r="G326" t="n">
        <v>110735.8103208864</v>
      </c>
      <c r="H326" t="inlineStr"/>
      <c r="I326" t="inlineStr">
        <is>
          <t>0</t>
        </is>
      </c>
      <c r="J326" t="b">
        <v>1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00000000</t>
        </is>
      </c>
      <c r="O326" t="n">
        <v/>
      </c>
      <c r="R326" t="b">
        <v>1</v>
      </c>
      <c r="S326" t="inlineStr">
        <is>
          <t>G000269</t>
        </is>
      </c>
      <c r="T326" t="inlineStr">
        <is>
          <t>Horizontal</t>
        </is>
      </c>
      <c r="U326" t="n">
        <v>12</v>
      </c>
      <c r="V326" t="b">
        <v>1</v>
      </c>
      <c r="W326" t="inlineStr">
        <is>
          <t>CashFlow Statement!D28:O28</t>
        </is>
      </c>
      <c r="X326">
        <f>R[-2]C[0]+R[-1]C[0]</f>
        <v/>
      </c>
    </row>
    <row r="327">
      <c r="A327" t="inlineStr">
        <is>
          <t>CashFlow Statement</t>
        </is>
      </c>
      <c r="B327" t="inlineStr">
        <is>
          <t>A29</t>
        </is>
      </c>
      <c r="C327" t="n">
        <v>29</v>
      </c>
      <c r="D327" t="n">
        <v>1</v>
      </c>
      <c r="E327" t="inlineStr">
        <is>
          <t>Input</t>
        </is>
      </c>
      <c r="F327" t="n">
        <v/>
      </c>
      <c r="G327" t="inlineStr">
        <is>
          <t>Change in Working Capital</t>
        </is>
      </c>
      <c r="H327" t="inlineStr"/>
      <c r="I327" t="inlineStr">
        <is>
          <t>General</t>
        </is>
      </c>
      <c r="J327" t="b">
        <v>1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CashFlow Statement</t>
        </is>
      </c>
      <c r="B328" t="inlineStr">
        <is>
          <t>B29</t>
        </is>
      </c>
      <c r="C328" t="n">
        <v>29</v>
      </c>
      <c r="D328" t="n">
        <v>2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1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CashFlow Statement</t>
        </is>
      </c>
      <c r="B329" t="inlineStr">
        <is>
          <t>C29</t>
        </is>
      </c>
      <c r="C329" t="n">
        <v>29</v>
      </c>
      <c r="D329" t="n">
        <v>3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1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CashFlow Statement</t>
        </is>
      </c>
      <c r="B330" t="inlineStr">
        <is>
          <t>D29</t>
        </is>
      </c>
      <c r="C330" t="n">
        <v>29</v>
      </c>
      <c r="D330" t="n">
        <v>4</v>
      </c>
      <c r="E330" t="inlineStr">
        <is>
          <t>Calculation</t>
        </is>
      </c>
      <c r="F330" t="inlineStr">
        <is>
          <t>'=SUM(D21:D25)</t>
        </is>
      </c>
      <c r="G330" t="n">
        <v>2600.14</v>
      </c>
      <c r="H330" t="inlineStr"/>
      <c r="I330" t="inlineStr">
        <is>
          <t>0</t>
        </is>
      </c>
      <c r="J330" t="b">
        <v>1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n">
        <v/>
      </c>
      <c r="R330" t="b">
        <v>1</v>
      </c>
      <c r="S330" t="inlineStr">
        <is>
          <t>G000270</t>
        </is>
      </c>
      <c r="T330" t="inlineStr">
        <is>
          <t>Horizontal</t>
        </is>
      </c>
      <c r="U330" t="n">
        <v>12</v>
      </c>
      <c r="V330" t="b">
        <v>1</v>
      </c>
      <c r="W330" t="inlineStr">
        <is>
          <t>CashFlow Statement!D29:O29</t>
        </is>
      </c>
      <c r="X330">
        <f>SUM(R[-8]C[0]:R[-4]C[0])</f>
        <v/>
      </c>
    </row>
    <row r="331">
      <c r="A331" t="inlineStr">
        <is>
          <t>CashFlow Statement</t>
        </is>
      </c>
      <c r="B331" t="inlineStr">
        <is>
          <t>E29</t>
        </is>
      </c>
      <c r="C331" t="n">
        <v>29</v>
      </c>
      <c r="D331" t="n">
        <v>5</v>
      </c>
      <c r="E331" t="inlineStr">
        <is>
          <t>Calculation</t>
        </is>
      </c>
      <c r="F331" t="inlineStr">
        <is>
          <t>'=SUM(E21:E25)</t>
        </is>
      </c>
      <c r="G331" t="n">
        <v>8535.029999999999</v>
      </c>
      <c r="H331" t="inlineStr"/>
      <c r="I331" t="inlineStr">
        <is>
          <t>0</t>
        </is>
      </c>
      <c r="J331" t="b">
        <v>1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00000000</t>
        </is>
      </c>
      <c r="O331" t="n">
        <v/>
      </c>
      <c r="R331" t="b">
        <v>1</v>
      </c>
      <c r="S331" t="inlineStr">
        <is>
          <t>G000270</t>
        </is>
      </c>
      <c r="T331" t="inlineStr">
        <is>
          <t>Horizontal</t>
        </is>
      </c>
      <c r="U331" t="n">
        <v>12</v>
      </c>
      <c r="V331" t="b">
        <v>1</v>
      </c>
      <c r="W331" t="inlineStr">
        <is>
          <t>CashFlow Statement!D29:O29</t>
        </is>
      </c>
      <c r="X331">
        <f>SUM(R[-8]C[0]:R[-4]C[0])</f>
        <v/>
      </c>
    </row>
    <row r="332">
      <c r="A332" t="inlineStr">
        <is>
          <t>CashFlow Statement</t>
        </is>
      </c>
      <c r="B332" t="inlineStr">
        <is>
          <t>F29</t>
        </is>
      </c>
      <c r="C332" t="n">
        <v>29</v>
      </c>
      <c r="D332" t="n">
        <v>6</v>
      </c>
      <c r="E332" t="inlineStr">
        <is>
          <t>Calculation</t>
        </is>
      </c>
      <c r="F332" t="inlineStr">
        <is>
          <t>'=SUM(F21:F25)</t>
        </is>
      </c>
      <c r="G332" t="n">
        <v>9696.27</v>
      </c>
      <c r="H332" t="inlineStr"/>
      <c r="I332" t="inlineStr">
        <is>
          <t>0</t>
        </is>
      </c>
      <c r="J332" t="b">
        <v>1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n">
        <v/>
      </c>
      <c r="R332" t="b">
        <v>1</v>
      </c>
      <c r="S332" t="inlineStr">
        <is>
          <t>G000270</t>
        </is>
      </c>
      <c r="T332" t="inlineStr">
        <is>
          <t>Horizontal</t>
        </is>
      </c>
      <c r="U332" t="n">
        <v>12</v>
      </c>
      <c r="V332" t="b">
        <v>1</v>
      </c>
      <c r="W332" t="inlineStr">
        <is>
          <t>CashFlow Statement!D29:O29</t>
        </is>
      </c>
      <c r="X332">
        <f>SUM(R[-8]C[0]:R[-4]C[0])</f>
        <v/>
      </c>
    </row>
    <row r="333">
      <c r="A333" t="inlineStr">
        <is>
          <t>CashFlow Statement</t>
        </is>
      </c>
      <c r="B333" t="inlineStr">
        <is>
          <t>G29</t>
        </is>
      </c>
      <c r="C333" t="n">
        <v>29</v>
      </c>
      <c r="D333" t="n">
        <v>7</v>
      </c>
      <c r="E333" t="inlineStr">
        <is>
          <t>Calculation</t>
        </is>
      </c>
      <c r="F333" t="inlineStr">
        <is>
          <t>'=SUM(G21:G25)</t>
        </is>
      </c>
      <c r="G333" t="n">
        <v>11218.92</v>
      </c>
      <c r="H333" t="inlineStr"/>
      <c r="I333" t="inlineStr">
        <is>
          <t>0</t>
        </is>
      </c>
      <c r="J333" t="b">
        <v>1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00000000</t>
        </is>
      </c>
      <c r="O333" t="n">
        <v/>
      </c>
      <c r="R333" t="b">
        <v>1</v>
      </c>
      <c r="S333" t="inlineStr">
        <is>
          <t>G000270</t>
        </is>
      </c>
      <c r="T333" t="inlineStr">
        <is>
          <t>Horizontal</t>
        </is>
      </c>
      <c r="U333" t="n">
        <v>12</v>
      </c>
      <c r="V333" t="b">
        <v>1</v>
      </c>
      <c r="W333" t="inlineStr">
        <is>
          <t>CashFlow Statement!D29:O29</t>
        </is>
      </c>
      <c r="X333">
        <f>SUM(R[-8]C[0]:R[-4]C[0])</f>
        <v/>
      </c>
    </row>
    <row r="334">
      <c r="A334" t="inlineStr">
        <is>
          <t>CashFlow Statement</t>
        </is>
      </c>
      <c r="B334" t="inlineStr">
        <is>
          <t>H29</t>
        </is>
      </c>
      <c r="C334" t="n">
        <v>29</v>
      </c>
      <c r="D334" t="n">
        <v>8</v>
      </c>
      <c r="E334" t="inlineStr">
        <is>
          <t>Calculation</t>
        </is>
      </c>
      <c r="F334" t="inlineStr">
        <is>
          <t>'=SUM(H21:H25)</t>
        </is>
      </c>
      <c r="G334" t="n">
        <v>7765.16</v>
      </c>
      <c r="H334" t="inlineStr"/>
      <c r="I334" t="inlineStr">
        <is>
          <t>0</t>
        </is>
      </c>
      <c r="J334" t="b">
        <v>1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00000000</t>
        </is>
      </c>
      <c r="O334" t="n">
        <v/>
      </c>
      <c r="R334" t="b">
        <v>1</v>
      </c>
      <c r="S334" t="inlineStr">
        <is>
          <t>G000270</t>
        </is>
      </c>
      <c r="T334" t="inlineStr">
        <is>
          <t>Horizontal</t>
        </is>
      </c>
      <c r="U334" t="n">
        <v>12</v>
      </c>
      <c r="V334" t="b">
        <v>1</v>
      </c>
      <c r="W334" t="inlineStr">
        <is>
          <t>CashFlow Statement!D29:O29</t>
        </is>
      </c>
      <c r="X334">
        <f>SUM(R[-8]C[0]:R[-4]C[0])</f>
        <v/>
      </c>
    </row>
    <row r="335">
      <c r="A335" t="inlineStr">
        <is>
          <t>CashFlow Statement</t>
        </is>
      </c>
      <c r="B335" t="inlineStr">
        <is>
          <t>I29</t>
        </is>
      </c>
      <c r="C335" t="n">
        <v>29</v>
      </c>
      <c r="D335" t="n">
        <v>9</v>
      </c>
      <c r="E335" t="inlineStr">
        <is>
          <t>Calculation</t>
        </is>
      </c>
      <c r="F335" t="inlineStr">
        <is>
          <t>'=SUM(I21:I25)</t>
        </is>
      </c>
      <c r="G335" t="n">
        <v>3496.89</v>
      </c>
      <c r="H335" t="inlineStr"/>
      <c r="I335" t="inlineStr">
        <is>
          <t>0</t>
        </is>
      </c>
      <c r="J335" t="b">
        <v>1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n">
        <v/>
      </c>
      <c r="R335" t="b">
        <v>1</v>
      </c>
      <c r="S335" t="inlineStr">
        <is>
          <t>G000270</t>
        </is>
      </c>
      <c r="T335" t="inlineStr">
        <is>
          <t>Horizontal</t>
        </is>
      </c>
      <c r="U335" t="n">
        <v>12</v>
      </c>
      <c r="V335" t="b">
        <v>1</v>
      </c>
      <c r="W335" t="inlineStr">
        <is>
          <t>CashFlow Statement!D29:O29</t>
        </is>
      </c>
      <c r="X335">
        <f>SUM(R[-8]C[0]:R[-4]C[0])</f>
        <v/>
      </c>
    </row>
    <row r="336">
      <c r="A336" t="inlineStr">
        <is>
          <t>CashFlow Statement</t>
        </is>
      </c>
      <c r="B336" t="inlineStr">
        <is>
          <t>J29</t>
        </is>
      </c>
      <c r="C336" t="n">
        <v>29</v>
      </c>
      <c r="D336" t="n">
        <v>10</v>
      </c>
      <c r="E336" t="inlineStr">
        <is>
          <t>Calculation</t>
        </is>
      </c>
      <c r="F336" t="inlineStr">
        <is>
          <t>'=SUM(J21:J25)</t>
        </is>
      </c>
      <c r="G336" t="n">
        <v>21135.19</v>
      </c>
      <c r="H336" t="inlineStr"/>
      <c r="I336" t="inlineStr">
        <is>
          <t>0</t>
        </is>
      </c>
      <c r="J336" t="b">
        <v>1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n">
        <v/>
      </c>
      <c r="R336" t="b">
        <v>1</v>
      </c>
      <c r="S336" t="inlineStr">
        <is>
          <t>G000270</t>
        </is>
      </c>
      <c r="T336" t="inlineStr">
        <is>
          <t>Horizontal</t>
        </is>
      </c>
      <c r="U336" t="n">
        <v>12</v>
      </c>
      <c r="V336" t="b">
        <v>1</v>
      </c>
      <c r="W336" t="inlineStr">
        <is>
          <t>CashFlow Statement!D29:O29</t>
        </is>
      </c>
      <c r="X336">
        <f>SUM(R[-8]C[0]:R[-4]C[0])</f>
        <v/>
      </c>
    </row>
    <row r="337">
      <c r="A337" t="inlineStr">
        <is>
          <t>CashFlow Statement</t>
        </is>
      </c>
      <c r="B337" t="inlineStr">
        <is>
          <t>K29</t>
        </is>
      </c>
      <c r="C337" t="n">
        <v>29</v>
      </c>
      <c r="D337" t="n">
        <v>11</v>
      </c>
      <c r="E337" t="inlineStr">
        <is>
          <t>Calculation</t>
        </is>
      </c>
      <c r="F337" t="inlineStr">
        <is>
          <t>'=SUM(K21:K25)</t>
        </is>
      </c>
      <c r="G337" t="n">
        <v>5196.874384290048</v>
      </c>
      <c r="H337" t="inlineStr"/>
      <c r="I337" t="inlineStr">
        <is>
          <t>0</t>
        </is>
      </c>
      <c r="J337" t="b">
        <v>1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00000000</t>
        </is>
      </c>
      <c r="O337" t="n">
        <v/>
      </c>
      <c r="R337" t="b">
        <v>1</v>
      </c>
      <c r="S337" t="inlineStr">
        <is>
          <t>G000270</t>
        </is>
      </c>
      <c r="T337" t="inlineStr">
        <is>
          <t>Horizontal</t>
        </is>
      </c>
      <c r="U337" t="n">
        <v>12</v>
      </c>
      <c r="V337" t="b">
        <v>1</v>
      </c>
      <c r="W337" t="inlineStr">
        <is>
          <t>CashFlow Statement!D29:O29</t>
        </is>
      </c>
      <c r="X337">
        <f>SUM(R[-8]C[0]:R[-4]C[0])</f>
        <v/>
      </c>
    </row>
    <row r="338">
      <c r="A338" t="inlineStr">
        <is>
          <t>CashFlow Statement</t>
        </is>
      </c>
      <c r="B338" t="inlineStr">
        <is>
          <t>L29</t>
        </is>
      </c>
      <c r="C338" t="n">
        <v>29</v>
      </c>
      <c r="D338" t="n">
        <v>12</v>
      </c>
      <c r="E338" t="inlineStr">
        <is>
          <t>Calculation</t>
        </is>
      </c>
      <c r="F338" t="inlineStr">
        <is>
          <t>'=SUM(L21:L25)</t>
        </is>
      </c>
      <c r="G338" t="n">
        <v>10131.9694614197</v>
      </c>
      <c r="H338" t="inlineStr"/>
      <c r="I338" t="inlineStr">
        <is>
          <t>0</t>
        </is>
      </c>
      <c r="J338" t="b">
        <v>1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00000000</t>
        </is>
      </c>
      <c r="O338" t="n">
        <v/>
      </c>
      <c r="R338" t="b">
        <v>1</v>
      </c>
      <c r="S338" t="inlineStr">
        <is>
          <t>G000270</t>
        </is>
      </c>
      <c r="T338" t="inlineStr">
        <is>
          <t>Horizontal</t>
        </is>
      </c>
      <c r="U338" t="n">
        <v>12</v>
      </c>
      <c r="V338" t="b">
        <v>1</v>
      </c>
      <c r="W338" t="inlineStr">
        <is>
          <t>CashFlow Statement!D29:O29</t>
        </is>
      </c>
      <c r="X338">
        <f>SUM(R[-8]C[0]:R[-4]C[0])</f>
        <v/>
      </c>
    </row>
    <row r="339">
      <c r="A339" t="inlineStr">
        <is>
          <t>CashFlow Statement</t>
        </is>
      </c>
      <c r="B339" t="inlineStr">
        <is>
          <t>M29</t>
        </is>
      </c>
      <c r="C339" t="n">
        <v>29</v>
      </c>
      <c r="D339" t="n">
        <v>13</v>
      </c>
      <c r="E339" t="inlineStr">
        <is>
          <t>Calculation</t>
        </is>
      </c>
      <c r="F339" t="inlineStr">
        <is>
          <t>'=SUM(M21:M25)</t>
        </is>
      </c>
      <c r="G339" t="n">
        <v>6889.025206933526</v>
      </c>
      <c r="H339" t="inlineStr"/>
      <c r="I339" t="inlineStr">
        <is>
          <t>0</t>
        </is>
      </c>
      <c r="J339" t="b">
        <v>1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R339" t="b">
        <v>1</v>
      </c>
      <c r="S339" t="inlineStr">
        <is>
          <t>G000270</t>
        </is>
      </c>
      <c r="T339" t="inlineStr">
        <is>
          <t>Horizontal</t>
        </is>
      </c>
      <c r="U339" t="n">
        <v>12</v>
      </c>
      <c r="V339" t="b">
        <v>1</v>
      </c>
      <c r="W339" t="inlineStr">
        <is>
          <t>CashFlow Statement!D29:O29</t>
        </is>
      </c>
      <c r="X339">
        <f>SUM(R[-8]C[0]:R[-4]C[0])</f>
        <v/>
      </c>
    </row>
    <row r="340">
      <c r="A340" t="inlineStr">
        <is>
          <t>CashFlow Statement</t>
        </is>
      </c>
      <c r="B340" t="inlineStr">
        <is>
          <t>N29</t>
        </is>
      </c>
      <c r="C340" t="n">
        <v>29</v>
      </c>
      <c r="D340" t="n">
        <v>14</v>
      </c>
      <c r="E340" t="inlineStr">
        <is>
          <t>Calculation</t>
        </is>
      </c>
      <c r="F340" t="inlineStr">
        <is>
          <t>'=SUM(N21:N25)</t>
        </is>
      </c>
      <c r="G340" t="n">
        <v>14124.67724840588</v>
      </c>
      <c r="H340" t="inlineStr"/>
      <c r="I340" t="inlineStr">
        <is>
          <t>0</t>
        </is>
      </c>
      <c r="J340" t="b">
        <v>1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n">
        <v/>
      </c>
      <c r="R340" t="b">
        <v>1</v>
      </c>
      <c r="S340" t="inlineStr">
        <is>
          <t>G000270</t>
        </is>
      </c>
      <c r="T340" t="inlineStr">
        <is>
          <t>Horizontal</t>
        </is>
      </c>
      <c r="U340" t="n">
        <v>12</v>
      </c>
      <c r="V340" t="b">
        <v>1</v>
      </c>
      <c r="W340" t="inlineStr">
        <is>
          <t>CashFlow Statement!D29:O29</t>
        </is>
      </c>
      <c r="X340">
        <f>SUM(R[-8]C[0]:R[-4]C[0])</f>
        <v/>
      </c>
    </row>
    <row r="341">
      <c r="A341" t="inlineStr">
        <is>
          <t>CashFlow Statement</t>
        </is>
      </c>
      <c r="B341" t="inlineStr">
        <is>
          <t>O29</t>
        </is>
      </c>
      <c r="C341" t="n">
        <v>29</v>
      </c>
      <c r="D341" t="n">
        <v>15</v>
      </c>
      <c r="E341" t="inlineStr">
        <is>
          <t>Calculation</t>
        </is>
      </c>
      <c r="F341" t="inlineStr">
        <is>
          <t>'=SUM(O21:O25)</t>
        </is>
      </c>
      <c r="G341" t="n">
        <v>16643.37170715142</v>
      </c>
      <c r="H341" t="inlineStr"/>
      <c r="I341" t="inlineStr">
        <is>
          <t>0</t>
        </is>
      </c>
      <c r="J341" t="b">
        <v>1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n">
        <v/>
      </c>
      <c r="R341" t="b">
        <v>1</v>
      </c>
      <c r="S341" t="inlineStr">
        <is>
          <t>G000270</t>
        </is>
      </c>
      <c r="T341" t="inlineStr">
        <is>
          <t>Horizontal</t>
        </is>
      </c>
      <c r="U341" t="n">
        <v>12</v>
      </c>
      <c r="V341" t="b">
        <v>1</v>
      </c>
      <c r="W341" t="inlineStr">
        <is>
          <t>CashFlow Statement!D29:O29</t>
        </is>
      </c>
      <c r="X341">
        <f>SUM(R[-8]C[0]:R[-4]C[0])</f>
        <v/>
      </c>
    </row>
    <row r="342">
      <c r="A342" t="inlineStr">
        <is>
          <t>CashFlow Statement</t>
        </is>
      </c>
      <c r="B342" t="inlineStr">
        <is>
          <t>A30</t>
        </is>
      </c>
      <c r="C342" t="n">
        <v>30</v>
      </c>
      <c r="D342" t="n">
        <v>1</v>
      </c>
      <c r="E342" t="inlineStr">
        <is>
          <t>Input</t>
        </is>
      </c>
      <c r="F342" t="n">
        <v/>
      </c>
      <c r="G342" t="inlineStr">
        <is>
          <t>Cash flows from investing activities</t>
        </is>
      </c>
      <c r="H342" t="inlineStr"/>
      <c r="I342" t="inlineStr">
        <is>
          <t>General</t>
        </is>
      </c>
      <c r="J342" t="b">
        <v>1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n">
        <v/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CashFlow Statement</t>
        </is>
      </c>
      <c r="B343" t="inlineStr">
        <is>
          <t>D30</t>
        </is>
      </c>
      <c r="C343" t="n">
        <v>30</v>
      </c>
      <c r="D343" t="n">
        <v>4</v>
      </c>
      <c r="E343" t="inlineStr">
        <is>
          <t>Input</t>
        </is>
      </c>
      <c r="F343" t="n">
        <v/>
      </c>
      <c r="H343" t="inlineStr"/>
      <c r="I343" t="inlineStr">
        <is>
          <t>0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n">
        <v/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CashFlow Statement</t>
        </is>
      </c>
      <c r="B344" t="inlineStr">
        <is>
          <t>E30</t>
        </is>
      </c>
      <c r="C344" t="n">
        <v>30</v>
      </c>
      <c r="D344" t="n">
        <v>5</v>
      </c>
      <c r="E344" t="inlineStr">
        <is>
          <t>Input</t>
        </is>
      </c>
      <c r="F344" t="n">
        <v/>
      </c>
      <c r="H344" t="inlineStr"/>
      <c r="I344" t="inlineStr">
        <is>
          <t>0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n">
        <v/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CashFlow Statement</t>
        </is>
      </c>
      <c r="B345" t="inlineStr">
        <is>
          <t>F30</t>
        </is>
      </c>
      <c r="C345" t="n">
        <v>30</v>
      </c>
      <c r="D345" t="n">
        <v>6</v>
      </c>
      <c r="E345" t="inlineStr">
        <is>
          <t>Input</t>
        </is>
      </c>
      <c r="F345" t="n">
        <v/>
      </c>
      <c r="H345" t="inlineStr"/>
      <c r="I345" t="inlineStr">
        <is>
          <t>0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CashFlow Statement</t>
        </is>
      </c>
      <c r="B346" t="inlineStr">
        <is>
          <t>G30</t>
        </is>
      </c>
      <c r="C346" t="n">
        <v>30</v>
      </c>
      <c r="D346" t="n">
        <v>7</v>
      </c>
      <c r="E346" t="inlineStr">
        <is>
          <t>Input</t>
        </is>
      </c>
      <c r="F346" t="n">
        <v/>
      </c>
      <c r="H346" t="inlineStr"/>
      <c r="I346" t="inlineStr">
        <is>
          <t>0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n">
        <v/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CashFlow Statement</t>
        </is>
      </c>
      <c r="B347" t="inlineStr">
        <is>
          <t>H30</t>
        </is>
      </c>
      <c r="C347" t="n">
        <v>30</v>
      </c>
      <c r="D347" t="n">
        <v>8</v>
      </c>
      <c r="E347" t="inlineStr">
        <is>
          <t>Input</t>
        </is>
      </c>
      <c r="F347" t="n">
        <v/>
      </c>
      <c r="H347" t="inlineStr"/>
      <c r="I347" t="inlineStr">
        <is>
          <t>0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CashFlow Statement</t>
        </is>
      </c>
      <c r="B348" t="inlineStr">
        <is>
          <t>I30</t>
        </is>
      </c>
      <c r="C348" t="n">
        <v>30</v>
      </c>
      <c r="D348" t="n">
        <v>9</v>
      </c>
      <c r="E348" t="inlineStr">
        <is>
          <t>Input</t>
        </is>
      </c>
      <c r="F348" t="n">
        <v/>
      </c>
      <c r="H348" t="inlineStr"/>
      <c r="I348" t="inlineStr">
        <is>
          <t>0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n">
        <v/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CashFlow Statement</t>
        </is>
      </c>
      <c r="B349" t="inlineStr">
        <is>
          <t>J30</t>
        </is>
      </c>
      <c r="C349" t="n">
        <v>30</v>
      </c>
      <c r="D349" t="n">
        <v>10</v>
      </c>
      <c r="E349" t="inlineStr">
        <is>
          <t>Input</t>
        </is>
      </c>
      <c r="F349" t="n">
        <v/>
      </c>
      <c r="H349" t="inlineStr"/>
      <c r="I349" t="inlineStr">
        <is>
          <t>0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CashFlow Statement</t>
        </is>
      </c>
      <c r="B350" t="inlineStr">
        <is>
          <t>K30</t>
        </is>
      </c>
      <c r="C350" t="n">
        <v>30</v>
      </c>
      <c r="D350" t="n">
        <v>11</v>
      </c>
      <c r="E350" t="inlineStr">
        <is>
          <t>Input</t>
        </is>
      </c>
      <c r="F350" t="n">
        <v/>
      </c>
      <c r="H350" t="inlineStr"/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00000000</t>
        </is>
      </c>
      <c r="O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CashFlow Statement</t>
        </is>
      </c>
      <c r="B351" t="inlineStr">
        <is>
          <t>L30</t>
        </is>
      </c>
      <c r="C351" t="n">
        <v>30</v>
      </c>
      <c r="D351" t="n">
        <v>12</v>
      </c>
      <c r="E351" t="inlineStr">
        <is>
          <t>Input</t>
        </is>
      </c>
      <c r="F351" t="n">
        <v/>
      </c>
      <c r="H351" t="inlineStr"/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00000000</t>
        </is>
      </c>
      <c r="O351" t="n">
        <v/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CashFlow Statement</t>
        </is>
      </c>
      <c r="B352" t="inlineStr">
        <is>
          <t>M30</t>
        </is>
      </c>
      <c r="C352" t="n">
        <v>30</v>
      </c>
      <c r="D352" t="n">
        <v>13</v>
      </c>
      <c r="E352" t="inlineStr">
        <is>
          <t>Input</t>
        </is>
      </c>
      <c r="F352" t="n">
        <v/>
      </c>
      <c r="H352" t="inlineStr"/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00000000</t>
        </is>
      </c>
      <c r="O352" t="n">
        <v/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CashFlow Statement</t>
        </is>
      </c>
      <c r="B353" t="inlineStr">
        <is>
          <t>N30</t>
        </is>
      </c>
      <c r="C353" t="n">
        <v>30</v>
      </c>
      <c r="D353" t="n">
        <v>14</v>
      </c>
      <c r="E353" t="inlineStr">
        <is>
          <t>Input</t>
        </is>
      </c>
      <c r="F353" t="n">
        <v/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00000000</t>
        </is>
      </c>
      <c r="O353" t="n">
        <v/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CashFlow Statement</t>
        </is>
      </c>
      <c r="B354" t="inlineStr">
        <is>
          <t>O30</t>
        </is>
      </c>
      <c r="C354" t="n">
        <v>30</v>
      </c>
      <c r="D354" t="n">
        <v>15</v>
      </c>
      <c r="E354" t="inlineStr">
        <is>
          <t>Input</t>
        </is>
      </c>
      <c r="F354" t="n">
        <v/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00000000</t>
        </is>
      </c>
      <c r="O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CashFlow Statement</t>
        </is>
      </c>
      <c r="B355" t="inlineStr">
        <is>
          <t>A31</t>
        </is>
      </c>
      <c r="C355" t="n">
        <v>31</v>
      </c>
      <c r="D355" t="n">
        <v>1</v>
      </c>
      <c r="E355" t="inlineStr">
        <is>
          <t>Input</t>
        </is>
      </c>
      <c r="F355" t="n">
        <v/>
      </c>
      <c r="G355" t="inlineStr">
        <is>
          <t>Purchase of fixed assets (including capital advances), net of cash incentives</t>
        </is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00000000</t>
        </is>
      </c>
      <c r="O355" t="n">
        <v/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CashFlow Statement</t>
        </is>
      </c>
      <c r="B356" t="inlineStr">
        <is>
          <t>D31</t>
        </is>
      </c>
      <c r="C356" t="n">
        <v>31</v>
      </c>
      <c r="D356" t="n">
        <v>4</v>
      </c>
      <c r="E356" t="inlineStr">
        <is>
          <t>Input</t>
        </is>
      </c>
      <c r="F356" t="n">
        <v/>
      </c>
      <c r="G356" t="n">
        <v>-2133.12</v>
      </c>
      <c r="H356" t="inlineStr"/>
      <c r="I356" t="inlineStr">
        <is>
          <t>0</t>
        </is>
      </c>
      <c r="J356" t="b">
        <v>0</v>
      </c>
      <c r="K356" t="b">
        <v>0</v>
      </c>
      <c r="L356" t="n">
        <v>11</v>
      </c>
      <c r="M356" t="inlineStr">
        <is>
          <t>FF0B0280</t>
        </is>
      </c>
      <c r="N356" t="inlineStr">
        <is>
          <t>00000000</t>
        </is>
      </c>
      <c r="O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CashFlow Statement</t>
        </is>
      </c>
      <c r="B357" t="inlineStr">
        <is>
          <t>E31</t>
        </is>
      </c>
      <c r="C357" t="n">
        <v>31</v>
      </c>
      <c r="D357" t="n">
        <v>5</v>
      </c>
      <c r="E357" t="inlineStr">
        <is>
          <t>Input</t>
        </is>
      </c>
      <c r="F357" t="n">
        <v/>
      </c>
      <c r="G357" t="n">
        <v>-331.74</v>
      </c>
      <c r="H357" t="inlineStr"/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FF0B0280</t>
        </is>
      </c>
      <c r="N357" t="inlineStr">
        <is>
          <t>00000000</t>
        </is>
      </c>
      <c r="O357" t="n">
        <v/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CashFlow Statement</t>
        </is>
      </c>
      <c r="B358" t="inlineStr">
        <is>
          <t>F31</t>
        </is>
      </c>
      <c r="C358" t="n">
        <v>31</v>
      </c>
      <c r="D358" t="n">
        <v>6</v>
      </c>
      <c r="E358" t="inlineStr">
        <is>
          <t>Input</t>
        </is>
      </c>
      <c r="F358" t="n">
        <v/>
      </c>
      <c r="G358" t="n">
        <v>-9155.68</v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FF0B0280</t>
        </is>
      </c>
      <c r="N358" t="inlineStr">
        <is>
          <t>00000000</t>
        </is>
      </c>
      <c r="O358" t="n">
        <v/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CashFlow Statement</t>
        </is>
      </c>
      <c r="B359" t="inlineStr">
        <is>
          <t>G31</t>
        </is>
      </c>
      <c r="C359" t="n">
        <v>31</v>
      </c>
      <c r="D359" t="n">
        <v>7</v>
      </c>
      <c r="E359" t="inlineStr">
        <is>
          <t>Input</t>
        </is>
      </c>
      <c r="F359" t="n">
        <v/>
      </c>
      <c r="G359" t="n">
        <v>-23241.67</v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FF0B0280</t>
        </is>
      </c>
      <c r="N359" t="inlineStr">
        <is>
          <t>00000000</t>
        </is>
      </c>
      <c r="O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CashFlow Statement</t>
        </is>
      </c>
      <c r="B360" t="inlineStr">
        <is>
          <t>H31</t>
        </is>
      </c>
      <c r="C360" t="n">
        <v>31</v>
      </c>
      <c r="D360" t="n">
        <v>8</v>
      </c>
      <c r="E360" t="inlineStr">
        <is>
          <t>Input</t>
        </is>
      </c>
      <c r="F360" t="n">
        <v/>
      </c>
      <c r="G360" t="n">
        <v>-10171.15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FF0B0280</t>
        </is>
      </c>
      <c r="N360" t="inlineStr">
        <is>
          <t>00000000</t>
        </is>
      </c>
      <c r="O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CashFlow Statement</t>
        </is>
      </c>
      <c r="B361" t="inlineStr">
        <is>
          <t>I31</t>
        </is>
      </c>
      <c r="C361" t="n">
        <v>31</v>
      </c>
      <c r="D361" t="n">
        <v>9</v>
      </c>
      <c r="E361" t="inlineStr">
        <is>
          <t>Input</t>
        </is>
      </c>
      <c r="F361" t="n">
        <v/>
      </c>
      <c r="G361" t="n">
        <v>-2319.9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FF0B0280</t>
        </is>
      </c>
      <c r="N361" t="inlineStr">
        <is>
          <t>00000000</t>
        </is>
      </c>
      <c r="O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CashFlow Statement</t>
        </is>
      </c>
      <c r="B362" t="inlineStr">
        <is>
          <t>J31</t>
        </is>
      </c>
      <c r="C362" t="n">
        <v>31</v>
      </c>
      <c r="D362" t="n">
        <v>10</v>
      </c>
      <c r="E362" t="inlineStr">
        <is>
          <t>Input</t>
        </is>
      </c>
      <c r="F362" t="n">
        <v/>
      </c>
      <c r="G362" t="n">
        <v>-2372.38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FF0B0280</t>
        </is>
      </c>
      <c r="N362" t="inlineStr">
        <is>
          <t>00000000</t>
        </is>
      </c>
      <c r="O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CashFlow Statement</t>
        </is>
      </c>
      <c r="B363" t="inlineStr">
        <is>
          <t>K31</t>
        </is>
      </c>
      <c r="C363" t="n">
        <v>31</v>
      </c>
      <c r="D363" t="n">
        <v>11</v>
      </c>
      <c r="E363" t="inlineStr">
        <is>
          <t>Calculation</t>
        </is>
      </c>
      <c r="F363" t="inlineStr">
        <is>
          <t>'=-'Asset Schedule '!K9-'Asset Schedule '!K22</t>
        </is>
      </c>
      <c r="G363" t="n">
        <v>-10266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00000000</t>
        </is>
      </c>
      <c r="O363" t="n">
        <v/>
      </c>
      <c r="R363" t="b">
        <v>1</v>
      </c>
      <c r="S363" t="inlineStr">
        <is>
          <t>G000271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CashFlow Statement!K31:O31</t>
        </is>
      </c>
      <c r="X363">
        <f>-'Asset Schedule '!R[-22]C[0]-'Asset Schedule '!R[-9]C[0]</f>
        <v/>
      </c>
    </row>
    <row r="364">
      <c r="A364" t="inlineStr">
        <is>
          <t>CashFlow Statement</t>
        </is>
      </c>
      <c r="B364" t="inlineStr">
        <is>
          <t>L31</t>
        </is>
      </c>
      <c r="C364" t="n">
        <v>31</v>
      </c>
      <c r="D364" t="n">
        <v>12</v>
      </c>
      <c r="E364" t="inlineStr">
        <is>
          <t>Calculation</t>
        </is>
      </c>
      <c r="F364" t="inlineStr">
        <is>
          <t>'=-'Asset Schedule '!L9-'Asset Schedule '!L22</t>
        </is>
      </c>
      <c r="G364" t="n">
        <v>-10578</v>
      </c>
      <c r="H364" t="inlineStr"/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Values must be of type &lt;class 'str'&gt;</t>
        </is>
      </c>
      <c r="N364" t="inlineStr">
        <is>
          <t>00000000</t>
        </is>
      </c>
      <c r="O364" t="n">
        <v/>
      </c>
      <c r="R364" t="b">
        <v>1</v>
      </c>
      <c r="S364" t="inlineStr">
        <is>
          <t>G000271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CashFlow Statement!K31:O31</t>
        </is>
      </c>
      <c r="X364">
        <f>-'Asset Schedule '!R[-22]C[0]-'Asset Schedule '!R[-9]C[0]</f>
        <v/>
      </c>
    </row>
    <row r="365">
      <c r="A365" t="inlineStr">
        <is>
          <t>CashFlow Statement</t>
        </is>
      </c>
      <c r="B365" t="inlineStr">
        <is>
          <t>M31</t>
        </is>
      </c>
      <c r="C365" t="n">
        <v>31</v>
      </c>
      <c r="D365" t="n">
        <v>13</v>
      </c>
      <c r="E365" t="inlineStr">
        <is>
          <t>Calculation</t>
        </is>
      </c>
      <c r="F365" t="inlineStr">
        <is>
          <t>'=-'Asset Schedule '!M9-'Asset Schedule '!M22</t>
        </is>
      </c>
      <c r="G365" t="n">
        <v>-10890</v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Values must be of type &lt;class 'str'&gt;</t>
        </is>
      </c>
      <c r="N365" t="inlineStr">
        <is>
          <t>00000000</t>
        </is>
      </c>
      <c r="O365" t="n">
        <v/>
      </c>
      <c r="R365" t="b">
        <v>1</v>
      </c>
      <c r="S365" t="inlineStr">
        <is>
          <t>G000271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CashFlow Statement!K31:O31</t>
        </is>
      </c>
      <c r="X365">
        <f>-'Asset Schedule '!R[-22]C[0]-'Asset Schedule '!R[-9]C[0]</f>
        <v/>
      </c>
    </row>
    <row r="366">
      <c r="A366" t="inlineStr">
        <is>
          <t>CashFlow Statement</t>
        </is>
      </c>
      <c r="B366" t="inlineStr">
        <is>
          <t>N31</t>
        </is>
      </c>
      <c r="C366" t="n">
        <v>31</v>
      </c>
      <c r="D366" t="n">
        <v>14</v>
      </c>
      <c r="E366" t="inlineStr">
        <is>
          <t>Calculation</t>
        </is>
      </c>
      <c r="F366" t="inlineStr">
        <is>
          <t>'=-'Asset Schedule '!N9-'Asset Schedule '!N22</t>
        </is>
      </c>
      <c r="G366" t="n">
        <v>-11202</v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n">
        <v/>
      </c>
      <c r="R366" t="b">
        <v>1</v>
      </c>
      <c r="S366" t="inlineStr">
        <is>
          <t>G000271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CashFlow Statement!K31:O31</t>
        </is>
      </c>
      <c r="X366">
        <f>-'Asset Schedule '!R[-22]C[0]-'Asset Schedule '!R[-9]C[0]</f>
        <v/>
      </c>
    </row>
    <row r="367">
      <c r="A367" t="inlineStr">
        <is>
          <t>CashFlow Statement</t>
        </is>
      </c>
      <c r="B367" t="inlineStr">
        <is>
          <t>O31</t>
        </is>
      </c>
      <c r="C367" t="n">
        <v>31</v>
      </c>
      <c r="D367" t="n">
        <v>15</v>
      </c>
      <c r="E367" t="inlineStr">
        <is>
          <t>Calculation</t>
        </is>
      </c>
      <c r="F367" t="inlineStr">
        <is>
          <t>'=-'Asset Schedule '!O9-'Asset Schedule '!O22</t>
        </is>
      </c>
      <c r="G367" t="n">
        <v>-11514</v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n">
        <v/>
      </c>
      <c r="R367" t="b">
        <v>1</v>
      </c>
      <c r="S367" t="inlineStr">
        <is>
          <t>G000271</t>
        </is>
      </c>
      <c r="T367" t="inlineStr">
        <is>
          <t>Horizontal</t>
        </is>
      </c>
      <c r="U367" t="n">
        <v>5</v>
      </c>
      <c r="V367" t="b">
        <v>1</v>
      </c>
      <c r="W367" t="inlineStr">
        <is>
          <t>CashFlow Statement!K31:O31</t>
        </is>
      </c>
      <c r="X367">
        <f>-'Asset Schedule '!R[-22]C[0]-'Asset Schedule '!R[-9]C[0]</f>
        <v/>
      </c>
    </row>
    <row r="368">
      <c r="A368" t="inlineStr">
        <is>
          <t>CashFlow Statement</t>
        </is>
      </c>
      <c r="B368" t="inlineStr">
        <is>
          <t>A32</t>
        </is>
      </c>
      <c r="C368" t="n">
        <v>32</v>
      </c>
      <c r="D368" t="n">
        <v>1</v>
      </c>
      <c r="E368" t="inlineStr">
        <is>
          <t>Input</t>
        </is>
      </c>
      <c r="F368" t="n">
        <v/>
      </c>
      <c r="G368" t="inlineStr">
        <is>
          <t>Proceeds from sale of fixed assets</t>
        </is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CashFlow Statement</t>
        </is>
      </c>
      <c r="B369" t="inlineStr">
        <is>
          <t>D32</t>
        </is>
      </c>
      <c r="C369" t="n">
        <v>32</v>
      </c>
      <c r="D369" t="n">
        <v>4</v>
      </c>
      <c r="E369" t="inlineStr">
        <is>
          <t>Input</t>
        </is>
      </c>
      <c r="F369" t="n">
        <v/>
      </c>
      <c r="G369" t="n">
        <v>1657.02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FF0B0280</t>
        </is>
      </c>
      <c r="N369" t="inlineStr">
        <is>
          <t>00000000</t>
        </is>
      </c>
      <c r="O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CashFlow Statement</t>
        </is>
      </c>
      <c r="B370" t="inlineStr">
        <is>
          <t>E32</t>
        </is>
      </c>
      <c r="C370" t="n">
        <v>32</v>
      </c>
      <c r="D370" t="n">
        <v>5</v>
      </c>
      <c r="E370" t="inlineStr">
        <is>
          <t>Input</t>
        </is>
      </c>
      <c r="F370" t="n">
        <v/>
      </c>
      <c r="G370" t="n">
        <v>0.74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FF0B0280</t>
        </is>
      </c>
      <c r="N370" t="inlineStr">
        <is>
          <t>00000000</t>
        </is>
      </c>
      <c r="O370" t="n">
        <v/>
      </c>
      <c r="R370" t="b">
        <v>1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CashFlow Statement</t>
        </is>
      </c>
      <c r="B371" t="inlineStr">
        <is>
          <t>F32</t>
        </is>
      </c>
      <c r="C371" t="n">
        <v>32</v>
      </c>
      <c r="D371" t="n">
        <v>6</v>
      </c>
      <c r="E371" t="inlineStr">
        <is>
          <t>Input</t>
        </is>
      </c>
      <c r="F371" t="n">
        <v/>
      </c>
      <c r="G371" t="n">
        <v>2.56</v>
      </c>
      <c r="H371" t="inlineStr"/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FF0B0280</t>
        </is>
      </c>
      <c r="N371" t="inlineStr">
        <is>
          <t>00000000</t>
        </is>
      </c>
      <c r="O371" t="n">
        <v/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CashFlow Statement</t>
        </is>
      </c>
      <c r="B372" t="inlineStr">
        <is>
          <t>G32</t>
        </is>
      </c>
      <c r="C372" t="n">
        <v>32</v>
      </c>
      <c r="D372" t="n">
        <v>7</v>
      </c>
      <c r="E372" t="inlineStr">
        <is>
          <t>Input</t>
        </is>
      </c>
      <c r="F372" t="n">
        <v/>
      </c>
      <c r="G372" t="n">
        <v>4.56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FF0B0280</t>
        </is>
      </c>
      <c r="N372" t="inlineStr">
        <is>
          <t>00000000</t>
        </is>
      </c>
      <c r="O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CashFlow Statement</t>
        </is>
      </c>
      <c r="B373" t="inlineStr">
        <is>
          <t>H32</t>
        </is>
      </c>
      <c r="C373" t="n">
        <v>32</v>
      </c>
      <c r="D373" t="n">
        <v>8</v>
      </c>
      <c r="E373" t="inlineStr">
        <is>
          <t>Input</t>
        </is>
      </c>
      <c r="F373" t="n">
        <v/>
      </c>
      <c r="G373" t="n">
        <v>1.63</v>
      </c>
      <c r="H373" t="inlineStr"/>
      <c r="I373" t="inlineStr">
        <is>
          <t>0</t>
        </is>
      </c>
      <c r="J373" t="b">
        <v>0</v>
      </c>
      <c r="K373" t="b">
        <v>0</v>
      </c>
      <c r="L373" t="n">
        <v>11</v>
      </c>
      <c r="M373" t="inlineStr">
        <is>
          <t>FF0B0280</t>
        </is>
      </c>
      <c r="N373" t="inlineStr">
        <is>
          <t>00000000</t>
        </is>
      </c>
      <c r="O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CashFlow Statement</t>
        </is>
      </c>
      <c r="B374" t="inlineStr">
        <is>
          <t>I32</t>
        </is>
      </c>
      <c r="C374" t="n">
        <v>32</v>
      </c>
      <c r="D374" t="n">
        <v>9</v>
      </c>
      <c r="E374" t="inlineStr">
        <is>
          <t>Input</t>
        </is>
      </c>
      <c r="F374" t="n">
        <v/>
      </c>
      <c r="G374" t="n">
        <v>1.62</v>
      </c>
      <c r="H374" t="inlineStr"/>
      <c r="I374" t="inlineStr">
        <is>
          <t>0</t>
        </is>
      </c>
      <c r="J374" t="b">
        <v>0</v>
      </c>
      <c r="K374" t="b">
        <v>0</v>
      </c>
      <c r="L374" t="n">
        <v>11</v>
      </c>
      <c r="M374" t="inlineStr">
        <is>
          <t>FF0B0280</t>
        </is>
      </c>
      <c r="N374" t="inlineStr">
        <is>
          <t>00000000</t>
        </is>
      </c>
      <c r="O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CashFlow Statement</t>
        </is>
      </c>
      <c r="B375" t="inlineStr">
        <is>
          <t>J32</t>
        </is>
      </c>
      <c r="C375" t="n">
        <v>32</v>
      </c>
      <c r="D375" t="n">
        <v>10</v>
      </c>
      <c r="E375" t="inlineStr">
        <is>
          <t>Input</t>
        </is>
      </c>
      <c r="F375" t="n">
        <v/>
      </c>
      <c r="G375" t="n">
        <v>6132.3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FF0B0280</t>
        </is>
      </c>
      <c r="N375" t="inlineStr">
        <is>
          <t>00000000</t>
        </is>
      </c>
      <c r="O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CashFlow Statement</t>
        </is>
      </c>
      <c r="B376" t="inlineStr">
        <is>
          <t>K32</t>
        </is>
      </c>
      <c r="C376" t="n">
        <v>32</v>
      </c>
      <c r="D376" t="n">
        <v>11</v>
      </c>
      <c r="E376" t="inlineStr">
        <is>
          <t>Input</t>
        </is>
      </c>
      <c r="F376" t="n">
        <v/>
      </c>
      <c r="G376" t="inlineStr">
        <is>
          <t>-</t>
        </is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Values must be of type &lt;class 'str'&gt;</t>
        </is>
      </c>
      <c r="N376" t="inlineStr">
        <is>
          <t>00000000</t>
        </is>
      </c>
      <c r="O376" t="inlineStr">
        <is>
          <t>center</t>
        </is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CashFlow Statement</t>
        </is>
      </c>
      <c r="B377" t="inlineStr">
        <is>
          <t>L32</t>
        </is>
      </c>
      <c r="C377" t="n">
        <v>32</v>
      </c>
      <c r="D377" t="n">
        <v>12</v>
      </c>
      <c r="E377" t="inlineStr">
        <is>
          <t>Input</t>
        </is>
      </c>
      <c r="F377" t="n">
        <v/>
      </c>
      <c r="G377" t="inlineStr">
        <is>
          <t>-</t>
        </is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00000000</t>
        </is>
      </c>
      <c r="O377" t="inlineStr">
        <is>
          <t>center</t>
        </is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CashFlow Statement</t>
        </is>
      </c>
      <c r="B378" t="inlineStr">
        <is>
          <t>M32</t>
        </is>
      </c>
      <c r="C378" t="n">
        <v>32</v>
      </c>
      <c r="D378" t="n">
        <v>13</v>
      </c>
      <c r="E378" t="inlineStr">
        <is>
          <t>Input</t>
        </is>
      </c>
      <c r="F378" t="n">
        <v/>
      </c>
      <c r="G378" t="inlineStr">
        <is>
          <t>-</t>
        </is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00000000</t>
        </is>
      </c>
      <c r="O378" t="inlineStr">
        <is>
          <t>center</t>
        </is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CashFlow Statement</t>
        </is>
      </c>
      <c r="B379" t="inlineStr">
        <is>
          <t>N32</t>
        </is>
      </c>
      <c r="C379" t="n">
        <v>32</v>
      </c>
      <c r="D379" t="n">
        <v>14</v>
      </c>
      <c r="E379" t="inlineStr">
        <is>
          <t>Input</t>
        </is>
      </c>
      <c r="F379" t="n">
        <v/>
      </c>
      <c r="G379" t="inlineStr">
        <is>
          <t>-</t>
        </is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00000000</t>
        </is>
      </c>
      <c r="O379" t="inlineStr">
        <is>
          <t>center</t>
        </is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CashFlow Statement</t>
        </is>
      </c>
      <c r="B380" t="inlineStr">
        <is>
          <t>O32</t>
        </is>
      </c>
      <c r="C380" t="n">
        <v>32</v>
      </c>
      <c r="D380" t="n">
        <v>15</v>
      </c>
      <c r="E380" t="inlineStr">
        <is>
          <t>Input</t>
        </is>
      </c>
      <c r="F380" t="n">
        <v/>
      </c>
      <c r="G380" t="inlineStr">
        <is>
          <t>-</t>
        </is>
      </c>
      <c r="H380" t="inlineStr"/>
      <c r="I380" t="inlineStr">
        <is>
          <t>0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00000000</t>
        </is>
      </c>
      <c r="O380" t="inlineStr">
        <is>
          <t>center</t>
        </is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CashFlow Statement</t>
        </is>
      </c>
      <c r="B381" t="inlineStr">
        <is>
          <t>A33</t>
        </is>
      </c>
      <c r="C381" t="n">
        <v>33</v>
      </c>
      <c r="D381" t="n">
        <v>1</v>
      </c>
      <c r="E381" t="inlineStr">
        <is>
          <t>Input</t>
        </is>
      </c>
      <c r="F381" t="n">
        <v/>
      </c>
      <c r="G381" t="inlineStr">
        <is>
          <t>Purchase/Sale of investment</t>
        </is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00000000</t>
        </is>
      </c>
      <c r="O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CashFlow Statement</t>
        </is>
      </c>
      <c r="B382" t="inlineStr">
        <is>
          <t>D33</t>
        </is>
      </c>
      <c r="C382" t="n">
        <v>33</v>
      </c>
      <c r="D382" t="n">
        <v>4</v>
      </c>
      <c r="E382" t="inlineStr">
        <is>
          <t>Calculation</t>
        </is>
      </c>
      <c r="F382" t="inlineStr">
        <is>
          <t>'=-106291.94+104851.47-4835.26+85.32</t>
        </is>
      </c>
      <c r="G382" t="n">
        <v>-6190.410000000002</v>
      </c>
      <c r="H382" t="inlineStr"/>
      <c r="I382" t="inlineStr">
        <is>
          <t>0</t>
        </is>
      </c>
      <c r="J382" t="b">
        <v>0</v>
      </c>
      <c r="K382" t="b">
        <v>0</v>
      </c>
      <c r="L382" t="n">
        <v>11</v>
      </c>
      <c r="M382" t="inlineStr">
        <is>
          <t>FF0B0280</t>
        </is>
      </c>
      <c r="N382" t="inlineStr">
        <is>
          <t>00000000</t>
        </is>
      </c>
      <c r="O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>
        <f>-106291.94+104851.47-4835.26+85.32</f>
        <v/>
      </c>
    </row>
    <row r="383">
      <c r="A383" t="inlineStr">
        <is>
          <t>CashFlow Statement</t>
        </is>
      </c>
      <c r="B383" t="inlineStr">
        <is>
          <t>E33</t>
        </is>
      </c>
      <c r="C383" t="n">
        <v>33</v>
      </c>
      <c r="D383" t="n">
        <v>5</v>
      </c>
      <c r="E383" t="inlineStr">
        <is>
          <t>Calculation</t>
        </is>
      </c>
      <c r="F383" t="inlineStr">
        <is>
          <t>'=-3212.69-771-45218.79+48025.37</t>
        </is>
      </c>
      <c r="G383" t="n">
        <v>-1177.110000000001</v>
      </c>
      <c r="H383" t="inlineStr"/>
      <c r="I383" t="inlineStr">
        <is>
          <t>0</t>
        </is>
      </c>
      <c r="J383" t="b">
        <v>0</v>
      </c>
      <c r="K383" t="b">
        <v>0</v>
      </c>
      <c r="L383" t="n">
        <v>11</v>
      </c>
      <c r="M383" t="inlineStr">
        <is>
          <t>FF0B0280</t>
        </is>
      </c>
      <c r="N383" t="inlineStr">
        <is>
          <t>00000000</t>
        </is>
      </c>
      <c r="O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>
        <f>-3212.69-771-45218.79+48025.37</f>
        <v/>
      </c>
    </row>
    <row r="384">
      <c r="A384" t="inlineStr">
        <is>
          <t>CashFlow Statement</t>
        </is>
      </c>
      <c r="B384" t="inlineStr">
        <is>
          <t>F33</t>
        </is>
      </c>
      <c r="C384" t="n">
        <v>33</v>
      </c>
      <c r="D384" t="n">
        <v>6</v>
      </c>
      <c r="E384" t="inlineStr">
        <is>
          <t>Calculation</t>
        </is>
      </c>
      <c r="F384" t="inlineStr">
        <is>
          <t>'=-1446.78-3842.08-64831.09+58939.45</t>
        </is>
      </c>
      <c r="G384" t="n">
        <v>-11180.5</v>
      </c>
      <c r="H384" t="inlineStr"/>
      <c r="I384" t="inlineStr">
        <is>
          <t>0</t>
        </is>
      </c>
      <c r="J384" t="b">
        <v>0</v>
      </c>
      <c r="K384" t="b">
        <v>0</v>
      </c>
      <c r="L384" t="n">
        <v>11</v>
      </c>
      <c r="M384" t="inlineStr">
        <is>
          <t>FF0B0280</t>
        </is>
      </c>
      <c r="N384" t="inlineStr">
        <is>
          <t>00000000</t>
        </is>
      </c>
      <c r="O384" t="n">
        <v/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>
        <f>-1446.78-3842.08-64831.09+58939.45</f>
        <v/>
      </c>
    </row>
    <row r="385">
      <c r="A385" t="inlineStr">
        <is>
          <t>CashFlow Statement</t>
        </is>
      </c>
      <c r="B385" t="inlineStr">
        <is>
          <t>G33</t>
        </is>
      </c>
      <c r="C385" t="n">
        <v>33</v>
      </c>
      <c r="D385" t="n">
        <v>7</v>
      </c>
      <c r="E385" t="inlineStr">
        <is>
          <t>Calculation</t>
        </is>
      </c>
      <c r="F385" t="inlineStr">
        <is>
          <t>'=2051.49-8907.53-71175.76+70483.47</t>
        </is>
      </c>
      <c r="G385" t="n">
        <v>-7548.329999999987</v>
      </c>
      <c r="H385" t="inlineStr"/>
      <c r="I385" t="inlineStr">
        <is>
          <t>0</t>
        </is>
      </c>
      <c r="J385" t="b">
        <v>0</v>
      </c>
      <c r="K385" t="b">
        <v>0</v>
      </c>
      <c r="L385" t="n">
        <v>11</v>
      </c>
      <c r="M385" t="inlineStr">
        <is>
          <t>FF0B0280</t>
        </is>
      </c>
      <c r="N385" t="inlineStr">
        <is>
          <t>00000000</t>
        </is>
      </c>
      <c r="O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>
        <f>2051.49-8907.53-71175.76+70483.47</f>
        <v/>
      </c>
    </row>
    <row r="386">
      <c r="A386" t="inlineStr">
        <is>
          <t>CashFlow Statement</t>
        </is>
      </c>
      <c r="B386" t="inlineStr">
        <is>
          <t>H33</t>
        </is>
      </c>
      <c r="C386" t="n">
        <v>33</v>
      </c>
      <c r="D386" t="n">
        <v>8</v>
      </c>
      <c r="E386" t="inlineStr">
        <is>
          <t>Calculation</t>
        </is>
      </c>
      <c r="F386" t="inlineStr">
        <is>
          <t>'=-7617.43-1504.44-65074.52+73657.73</t>
        </is>
      </c>
      <c r="G386" t="n">
        <v>-538.6600000000035</v>
      </c>
      <c r="H386" t="inlineStr"/>
      <c r="I386" t="inlineStr">
        <is>
          <t>0</t>
        </is>
      </c>
      <c r="J386" t="b">
        <v>0</v>
      </c>
      <c r="K386" t="b">
        <v>0</v>
      </c>
      <c r="L386" t="n">
        <v>11</v>
      </c>
      <c r="M386" t="inlineStr">
        <is>
          <t>FF0B0280</t>
        </is>
      </c>
      <c r="N386" t="inlineStr">
        <is>
          <t>00000000</t>
        </is>
      </c>
      <c r="O386" t="n">
        <v/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>
        <f>-7617.43-1504.44-65074.52+73657.73</f>
        <v/>
      </c>
    </row>
    <row r="387">
      <c r="A387" t="inlineStr">
        <is>
          <t>CashFlow Statement</t>
        </is>
      </c>
      <c r="B387" t="inlineStr">
        <is>
          <t>I33</t>
        </is>
      </c>
      <c r="C387" t="n">
        <v>33</v>
      </c>
      <c r="D387" t="n">
        <v>9</v>
      </c>
      <c r="E387" t="inlineStr">
        <is>
          <t>Calculation</t>
        </is>
      </c>
      <c r="F387" t="inlineStr">
        <is>
          <t>'=-11606.71+1578.62-59387.98+55186.61</t>
        </is>
      </c>
      <c r="G387" t="n">
        <v>-14229.46000000001</v>
      </c>
      <c r="H387" t="inlineStr"/>
      <c r="I387" t="inlineStr">
        <is>
          <t>0</t>
        </is>
      </c>
      <c r="J387" t="b">
        <v>0</v>
      </c>
      <c r="K387" t="b">
        <v>0</v>
      </c>
      <c r="L387" t="n">
        <v>11</v>
      </c>
      <c r="M387" t="inlineStr">
        <is>
          <t>FF0B0280</t>
        </is>
      </c>
      <c r="N387" t="inlineStr">
        <is>
          <t>00000000</t>
        </is>
      </c>
      <c r="O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>
        <f>-11606.71+1578.62-59387.98+55186.61</f>
        <v/>
      </c>
    </row>
    <row r="388">
      <c r="A388" t="inlineStr">
        <is>
          <t>CashFlow Statement</t>
        </is>
      </c>
      <c r="B388" t="inlineStr">
        <is>
          <t>J33</t>
        </is>
      </c>
      <c r="C388" t="n">
        <v>33</v>
      </c>
      <c r="D388" t="n">
        <v>10</v>
      </c>
      <c r="E388" t="inlineStr">
        <is>
          <t>Calculation</t>
        </is>
      </c>
      <c r="F388" t="inlineStr">
        <is>
          <t>'=-15661.24+3567.53-126733.58+101228.56</t>
        </is>
      </c>
      <c r="G388" t="n">
        <v>-37598.73000000001</v>
      </c>
      <c r="H388" t="inlineStr"/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FF0B0280</t>
        </is>
      </c>
      <c r="N388" t="inlineStr">
        <is>
          <t>00000000</t>
        </is>
      </c>
      <c r="O388" t="n">
        <v/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>
        <f>-15661.24+3567.53-126733.58+101228.56</f>
        <v/>
      </c>
    </row>
    <row r="389">
      <c r="A389" t="inlineStr">
        <is>
          <t>CashFlow Statement</t>
        </is>
      </c>
      <c r="B389" t="inlineStr">
        <is>
          <t>K33</t>
        </is>
      </c>
      <c r="C389" t="n">
        <v>33</v>
      </c>
      <c r="D389" t="n">
        <v>11</v>
      </c>
      <c r="E389" t="inlineStr">
        <is>
          <t>Input</t>
        </is>
      </c>
      <c r="F389" t="n">
        <v/>
      </c>
      <c r="G389" t="inlineStr">
        <is>
          <t>-</t>
        </is>
      </c>
      <c r="H389" t="inlineStr"/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Values must be of type &lt;class 'str'&gt;</t>
        </is>
      </c>
      <c r="N389" t="inlineStr">
        <is>
          <t>00000000</t>
        </is>
      </c>
      <c r="O389" t="inlineStr">
        <is>
          <t>center</t>
        </is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CashFlow Statement</t>
        </is>
      </c>
      <c r="B390" t="inlineStr">
        <is>
          <t>L33</t>
        </is>
      </c>
      <c r="C390" t="n">
        <v>33</v>
      </c>
      <c r="D390" t="n">
        <v>12</v>
      </c>
      <c r="E390" t="inlineStr">
        <is>
          <t>Input</t>
        </is>
      </c>
      <c r="F390" t="n">
        <v/>
      </c>
      <c r="G390" t="inlineStr">
        <is>
          <t>-</t>
        </is>
      </c>
      <c r="H390" t="inlineStr"/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00000000</t>
        </is>
      </c>
      <c r="O390" t="inlineStr">
        <is>
          <t>center</t>
        </is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CashFlow Statement</t>
        </is>
      </c>
      <c r="B391" t="inlineStr">
        <is>
          <t>M33</t>
        </is>
      </c>
      <c r="C391" t="n">
        <v>33</v>
      </c>
      <c r="D391" t="n">
        <v>13</v>
      </c>
      <c r="E391" t="inlineStr">
        <is>
          <t>Input</t>
        </is>
      </c>
      <c r="F391" t="n">
        <v/>
      </c>
      <c r="G391" t="inlineStr">
        <is>
          <t>-</t>
        </is>
      </c>
      <c r="H391" t="inlineStr"/>
      <c r="I391" t="inlineStr">
        <is>
          <t>0</t>
        </is>
      </c>
      <c r="J391" t="b">
        <v>0</v>
      </c>
      <c r="K391" t="b">
        <v>0</v>
      </c>
      <c r="L391" t="n">
        <v>11</v>
      </c>
      <c r="M391" t="inlineStr">
        <is>
          <t>Values must be of type &lt;class 'str'&gt;</t>
        </is>
      </c>
      <c r="N391" t="inlineStr">
        <is>
          <t>00000000</t>
        </is>
      </c>
      <c r="O391" t="inlineStr">
        <is>
          <t>center</t>
        </is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CashFlow Statement</t>
        </is>
      </c>
      <c r="B392" t="inlineStr">
        <is>
          <t>N33</t>
        </is>
      </c>
      <c r="C392" t="n">
        <v>33</v>
      </c>
      <c r="D392" t="n">
        <v>14</v>
      </c>
      <c r="E392" t="inlineStr">
        <is>
          <t>Input</t>
        </is>
      </c>
      <c r="F392" t="n">
        <v/>
      </c>
      <c r="G392" t="inlineStr">
        <is>
          <t>-</t>
        </is>
      </c>
      <c r="H392" t="inlineStr"/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inlineStr">
        <is>
          <t>center</t>
        </is>
      </c>
      <c r="R392" t="b">
        <v>1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CashFlow Statement</t>
        </is>
      </c>
      <c r="B393" t="inlineStr">
        <is>
          <t>O33</t>
        </is>
      </c>
      <c r="C393" t="n">
        <v>33</v>
      </c>
      <c r="D393" t="n">
        <v>15</v>
      </c>
      <c r="E393" t="inlineStr">
        <is>
          <t>Input</t>
        </is>
      </c>
      <c r="F393" t="n">
        <v/>
      </c>
      <c r="G393" t="inlineStr">
        <is>
          <t>-</t>
        </is>
      </c>
      <c r="H393" t="inlineStr"/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inlineStr">
        <is>
          <t>center</t>
        </is>
      </c>
      <c r="R393" t="b">
        <v>1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CashFlow Statement</t>
        </is>
      </c>
      <c r="B394" t="inlineStr">
        <is>
          <t>A34</t>
        </is>
      </c>
      <c r="C394" t="n">
        <v>34</v>
      </c>
      <c r="D394" t="n">
        <v>1</v>
      </c>
      <c r="E394" t="inlineStr">
        <is>
          <t>Input</t>
        </is>
      </c>
      <c r="F394" t="n">
        <v/>
      </c>
      <c r="G394" t="inlineStr">
        <is>
          <t>Interest received</t>
        </is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n">
        <v/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CashFlow Statement</t>
        </is>
      </c>
      <c r="B395" t="inlineStr">
        <is>
          <t>D34</t>
        </is>
      </c>
      <c r="C395" t="n">
        <v>34</v>
      </c>
      <c r="D395" t="n">
        <v>4</v>
      </c>
      <c r="E395" t="inlineStr">
        <is>
          <t>Input</t>
        </is>
      </c>
      <c r="F395" t="n">
        <v/>
      </c>
      <c r="G395" t="n">
        <v>200.51</v>
      </c>
      <c r="H395" t="inlineStr"/>
      <c r="I395" t="inlineStr">
        <is>
          <t>0</t>
        </is>
      </c>
      <c r="J395" t="b">
        <v>0</v>
      </c>
      <c r="K395" t="b">
        <v>0</v>
      </c>
      <c r="L395" t="n">
        <v>11</v>
      </c>
      <c r="M395" t="inlineStr">
        <is>
          <t>FF0B0280</t>
        </is>
      </c>
      <c r="N395" t="inlineStr">
        <is>
          <t>00000000</t>
        </is>
      </c>
      <c r="O395" t="n">
        <v/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CashFlow Statement</t>
        </is>
      </c>
      <c r="B396" t="inlineStr">
        <is>
          <t>E34</t>
        </is>
      </c>
      <c r="C396" t="n">
        <v>34</v>
      </c>
      <c r="D396" t="n">
        <v>5</v>
      </c>
      <c r="E396" t="inlineStr">
        <is>
          <t>Input</t>
        </is>
      </c>
      <c r="F396" t="n">
        <v/>
      </c>
      <c r="G396" t="n">
        <v>657.27</v>
      </c>
      <c r="H396" t="inlineStr"/>
      <c r="I396" t="inlineStr">
        <is>
          <t>0</t>
        </is>
      </c>
      <c r="J396" t="b">
        <v>0</v>
      </c>
      <c r="K396" t="b">
        <v>0</v>
      </c>
      <c r="L396" t="n">
        <v>11</v>
      </c>
      <c r="M396" t="inlineStr">
        <is>
          <t>FF0B0280</t>
        </is>
      </c>
      <c r="N396" t="inlineStr">
        <is>
          <t>00000000</t>
        </is>
      </c>
      <c r="O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CashFlow Statement</t>
        </is>
      </c>
      <c r="B397" t="inlineStr">
        <is>
          <t>F34</t>
        </is>
      </c>
      <c r="C397" t="n">
        <v>34</v>
      </c>
      <c r="D397" t="n">
        <v>6</v>
      </c>
      <c r="E397" t="inlineStr">
        <is>
          <t>Input</t>
        </is>
      </c>
      <c r="F397" t="n">
        <v/>
      </c>
      <c r="G397" t="n">
        <v>1107.94</v>
      </c>
      <c r="H397" t="inlineStr"/>
      <c r="I397" t="inlineStr">
        <is>
          <t>0</t>
        </is>
      </c>
      <c r="J397" t="b">
        <v>0</v>
      </c>
      <c r="K397" t="b">
        <v>0</v>
      </c>
      <c r="L397" t="n">
        <v>11</v>
      </c>
      <c r="M397" t="inlineStr">
        <is>
          <t>FF0B0280</t>
        </is>
      </c>
      <c r="N397" t="inlineStr">
        <is>
          <t>00000000</t>
        </is>
      </c>
      <c r="O397" t="n">
        <v/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CashFlow Statement</t>
        </is>
      </c>
      <c r="B398" t="inlineStr">
        <is>
          <t>G34</t>
        </is>
      </c>
      <c r="C398" t="n">
        <v>34</v>
      </c>
      <c r="D398" t="n">
        <v>7</v>
      </c>
      <c r="E398" t="inlineStr">
        <is>
          <t>Input</t>
        </is>
      </c>
      <c r="F398" t="n">
        <v/>
      </c>
      <c r="G398" t="n">
        <v>1292</v>
      </c>
      <c r="H398" t="inlineStr"/>
      <c r="I398" t="inlineStr">
        <is>
          <t>0</t>
        </is>
      </c>
      <c r="J398" t="b">
        <v>0</v>
      </c>
      <c r="K398" t="b">
        <v>0</v>
      </c>
      <c r="L398" t="n">
        <v>11</v>
      </c>
      <c r="M398" t="inlineStr">
        <is>
          <t>FF0B0280</t>
        </is>
      </c>
      <c r="N398" t="inlineStr">
        <is>
          <t>00000000</t>
        </is>
      </c>
      <c r="O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CashFlow Statement</t>
        </is>
      </c>
      <c r="B399" t="inlineStr">
        <is>
          <t>H34</t>
        </is>
      </c>
      <c r="C399" t="n">
        <v>34</v>
      </c>
      <c r="D399" t="n">
        <v>8</v>
      </c>
      <c r="E399" t="inlineStr">
        <is>
          <t>Input</t>
        </is>
      </c>
      <c r="F399" t="n">
        <v/>
      </c>
      <c r="G399" t="n">
        <v>1303.12</v>
      </c>
      <c r="H399" t="inlineStr"/>
      <c r="I399" t="inlineStr">
        <is>
          <t>0</t>
        </is>
      </c>
      <c r="J399" t="b">
        <v>0</v>
      </c>
      <c r="K399" t="b">
        <v>0</v>
      </c>
      <c r="L399" t="n">
        <v>11</v>
      </c>
      <c r="M399" t="inlineStr">
        <is>
          <t>FF0B0280</t>
        </is>
      </c>
      <c r="N399" t="inlineStr">
        <is>
          <t>00000000</t>
        </is>
      </c>
      <c r="O399" t="n">
        <v/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CashFlow Statement</t>
        </is>
      </c>
      <c r="B400" t="inlineStr">
        <is>
          <t>I34</t>
        </is>
      </c>
      <c r="C400" t="n">
        <v>34</v>
      </c>
      <c r="D400" t="n">
        <v>9</v>
      </c>
      <c r="E400" t="inlineStr">
        <is>
          <t>Input</t>
        </is>
      </c>
      <c r="F400" t="n">
        <v/>
      </c>
      <c r="G400" t="n">
        <v>3285.8</v>
      </c>
      <c r="H400" t="inlineStr"/>
      <c r="I400" t="inlineStr">
        <is>
          <t>0</t>
        </is>
      </c>
      <c r="J400" t="b">
        <v>0</v>
      </c>
      <c r="K400" t="b">
        <v>0</v>
      </c>
      <c r="L400" t="n">
        <v>11</v>
      </c>
      <c r="M400" t="inlineStr">
        <is>
          <t>FF0B0280</t>
        </is>
      </c>
      <c r="N400" t="inlineStr">
        <is>
          <t>00000000</t>
        </is>
      </c>
      <c r="O400" t="n">
        <v/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CashFlow Statement</t>
        </is>
      </c>
      <c r="B401" t="inlineStr">
        <is>
          <t>J34</t>
        </is>
      </c>
      <c r="C401" t="n">
        <v>34</v>
      </c>
      <c r="D401" t="n">
        <v>10</v>
      </c>
      <c r="E401" t="inlineStr">
        <is>
          <t>Input</t>
        </is>
      </c>
      <c r="F401" t="n">
        <v/>
      </c>
      <c r="G401" t="n">
        <v>3460.24</v>
      </c>
      <c r="H401" t="inlineStr"/>
      <c r="I401" t="inlineStr">
        <is>
          <t>0</t>
        </is>
      </c>
      <c r="J401" t="b">
        <v>0</v>
      </c>
      <c r="K401" t="b">
        <v>0</v>
      </c>
      <c r="L401" t="n">
        <v>11</v>
      </c>
      <c r="M401" t="inlineStr">
        <is>
          <t>FF0B0280</t>
        </is>
      </c>
      <c r="N401" t="inlineStr">
        <is>
          <t>00000000</t>
        </is>
      </c>
      <c r="O401" t="n">
        <v/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</row>
    <row r="402">
      <c r="A402" t="inlineStr">
        <is>
          <t>CashFlow Statement</t>
        </is>
      </c>
      <c r="B402" t="inlineStr">
        <is>
          <t>K34</t>
        </is>
      </c>
      <c r="C402" t="n">
        <v>34</v>
      </c>
      <c r="D402" t="n">
        <v>11</v>
      </c>
      <c r="E402" t="inlineStr">
        <is>
          <t>Input</t>
        </is>
      </c>
      <c r="F402" t="n">
        <v/>
      </c>
      <c r="G402" t="inlineStr">
        <is>
          <t>-</t>
        </is>
      </c>
      <c r="H402" t="inlineStr"/>
      <c r="I402" t="inlineStr">
        <is>
          <t>0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inlineStr">
        <is>
          <t>center</t>
        </is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</row>
    <row r="403">
      <c r="A403" t="inlineStr">
        <is>
          <t>CashFlow Statement</t>
        </is>
      </c>
      <c r="B403" t="inlineStr">
        <is>
          <t>L34</t>
        </is>
      </c>
      <c r="C403" t="n">
        <v>34</v>
      </c>
      <c r="D403" t="n">
        <v>12</v>
      </c>
      <c r="E403" t="inlineStr">
        <is>
          <t>Input</t>
        </is>
      </c>
      <c r="F403" t="n">
        <v/>
      </c>
      <c r="G403" t="inlineStr">
        <is>
          <t>-</t>
        </is>
      </c>
      <c r="H403" t="inlineStr"/>
      <c r="I403" t="inlineStr">
        <is>
          <t>0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inlineStr">
        <is>
          <t>center</t>
        </is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</row>
    <row r="404">
      <c r="A404" t="inlineStr">
        <is>
          <t>CashFlow Statement</t>
        </is>
      </c>
      <c r="B404" t="inlineStr">
        <is>
          <t>M34</t>
        </is>
      </c>
      <c r="C404" t="n">
        <v>34</v>
      </c>
      <c r="D404" t="n">
        <v>13</v>
      </c>
      <c r="E404" t="inlineStr">
        <is>
          <t>Input</t>
        </is>
      </c>
      <c r="F404" t="n">
        <v/>
      </c>
      <c r="G404" t="inlineStr">
        <is>
          <t>-</t>
        </is>
      </c>
      <c r="H404" t="inlineStr"/>
      <c r="I404" t="inlineStr">
        <is>
          <t>0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inlineStr">
        <is>
          <t>center</t>
        </is>
      </c>
      <c r="R404" t="b">
        <v>1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</row>
    <row r="405">
      <c r="A405" t="inlineStr">
        <is>
          <t>CashFlow Statement</t>
        </is>
      </c>
      <c r="B405" t="inlineStr">
        <is>
          <t>N34</t>
        </is>
      </c>
      <c r="C405" t="n">
        <v>34</v>
      </c>
      <c r="D405" t="n">
        <v>14</v>
      </c>
      <c r="E405" t="inlineStr">
        <is>
          <t>Input</t>
        </is>
      </c>
      <c r="F405" t="n">
        <v/>
      </c>
      <c r="G405" t="inlineStr">
        <is>
          <t>-</t>
        </is>
      </c>
      <c r="H405" t="inlineStr"/>
      <c r="I405" t="inlineStr">
        <is>
          <t>0</t>
        </is>
      </c>
      <c r="J405" t="b">
        <v>0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inlineStr">
        <is>
          <t>center</t>
        </is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CashFlow Statement</t>
        </is>
      </c>
      <c r="B406" t="inlineStr">
        <is>
          <t>O34</t>
        </is>
      </c>
      <c r="C406" t="n">
        <v>34</v>
      </c>
      <c r="D406" t="n">
        <v>15</v>
      </c>
      <c r="E406" t="inlineStr">
        <is>
          <t>Input</t>
        </is>
      </c>
      <c r="F406" t="n">
        <v/>
      </c>
      <c r="G406" t="inlineStr">
        <is>
          <t>-</t>
        </is>
      </c>
      <c r="H406" t="inlineStr"/>
      <c r="I406" t="inlineStr">
        <is>
          <t>0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inlineStr">
        <is>
          <t>center</t>
        </is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CashFlow Statement</t>
        </is>
      </c>
      <c r="B407" t="inlineStr">
        <is>
          <t>A35</t>
        </is>
      </c>
      <c r="C407" t="n">
        <v>35</v>
      </c>
      <c r="D407" t="n">
        <v>1</v>
      </c>
      <c r="E407" t="inlineStr">
        <is>
          <t>Input</t>
        </is>
      </c>
      <c r="F407" t="n">
        <v/>
      </c>
      <c r="G407" t="inlineStr">
        <is>
          <t>Dividend received</t>
        </is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00000000</t>
        </is>
      </c>
      <c r="O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CashFlow Statement</t>
        </is>
      </c>
      <c r="B408" t="inlineStr">
        <is>
          <t>D35</t>
        </is>
      </c>
      <c r="C408" t="n">
        <v>35</v>
      </c>
      <c r="D408" t="n">
        <v>4</v>
      </c>
      <c r="E408" t="inlineStr">
        <is>
          <t>Input</t>
        </is>
      </c>
      <c r="F408" t="n">
        <v/>
      </c>
      <c r="G408" t="n">
        <v>382.56</v>
      </c>
      <c r="H408" t="inlineStr"/>
      <c r="I408" t="inlineStr">
        <is>
          <t>0</t>
        </is>
      </c>
      <c r="J408" t="b">
        <v>0</v>
      </c>
      <c r="K408" t="b">
        <v>0</v>
      </c>
      <c r="L408" t="n">
        <v>11</v>
      </c>
      <c r="M408" t="inlineStr">
        <is>
          <t>FF0B0280</t>
        </is>
      </c>
      <c r="N408" t="inlineStr">
        <is>
          <t>00000000</t>
        </is>
      </c>
      <c r="O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CashFlow Statement</t>
        </is>
      </c>
      <c r="B409" t="inlineStr">
        <is>
          <t>E35</t>
        </is>
      </c>
      <c r="C409" t="n">
        <v>35</v>
      </c>
      <c r="D409" t="n">
        <v>5</v>
      </c>
      <c r="E409" t="inlineStr">
        <is>
          <t>Input</t>
        </is>
      </c>
      <c r="F409" t="n">
        <v/>
      </c>
      <c r="G409" t="n">
        <v>384.25</v>
      </c>
      <c r="H409" t="inlineStr"/>
      <c r="I409" t="inlineStr">
        <is>
          <t>0</t>
        </is>
      </c>
      <c r="J409" t="b">
        <v>0</v>
      </c>
      <c r="K409" t="b">
        <v>0</v>
      </c>
      <c r="L409" t="n">
        <v>11</v>
      </c>
      <c r="M409" t="inlineStr">
        <is>
          <t>FF0B0280</t>
        </is>
      </c>
      <c r="N409" t="inlineStr">
        <is>
          <t>00000000</t>
        </is>
      </c>
      <c r="O409" t="n">
        <v/>
      </c>
      <c r="R409" t="b">
        <v>1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CashFlow Statement</t>
        </is>
      </c>
      <c r="B410" t="inlineStr">
        <is>
          <t>F35</t>
        </is>
      </c>
      <c r="C410" t="n">
        <v>35</v>
      </c>
      <c r="D410" t="n">
        <v>6</v>
      </c>
      <c r="E410" t="inlineStr">
        <is>
          <t>Input</t>
        </is>
      </c>
      <c r="F410" t="n">
        <v/>
      </c>
      <c r="G410" t="n">
        <v>328.81</v>
      </c>
      <c r="H410" t="inlineStr"/>
      <c r="I410" t="inlineStr">
        <is>
          <t>0</t>
        </is>
      </c>
      <c r="J410" t="b">
        <v>0</v>
      </c>
      <c r="K410" t="b">
        <v>0</v>
      </c>
      <c r="L410" t="n">
        <v>11</v>
      </c>
      <c r="M410" t="inlineStr">
        <is>
          <t>FF0B0280</t>
        </is>
      </c>
      <c r="N410" t="inlineStr">
        <is>
          <t>00000000</t>
        </is>
      </c>
      <c r="O410" t="n">
        <v/>
      </c>
      <c r="R410" t="b">
        <v>1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CashFlow Statement</t>
        </is>
      </c>
      <c r="B411" t="inlineStr">
        <is>
          <t>G35</t>
        </is>
      </c>
      <c r="C411" t="n">
        <v>35</v>
      </c>
      <c r="D411" t="n">
        <v>7</v>
      </c>
      <c r="E411" t="inlineStr">
        <is>
          <t>Input</t>
        </is>
      </c>
      <c r="F411" t="n">
        <v/>
      </c>
      <c r="G411" t="n">
        <v>355.65</v>
      </c>
      <c r="H411" t="inlineStr"/>
      <c r="I411" t="inlineStr">
        <is>
          <t>0</t>
        </is>
      </c>
      <c r="J411" t="b">
        <v>0</v>
      </c>
      <c r="K411" t="b">
        <v>0</v>
      </c>
      <c r="L411" t="n">
        <v>11</v>
      </c>
      <c r="M411" t="inlineStr">
        <is>
          <t>FF0B0280</t>
        </is>
      </c>
      <c r="N411" t="inlineStr">
        <is>
          <t>00000000</t>
        </is>
      </c>
      <c r="O411" t="n">
        <v/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CashFlow Statement</t>
        </is>
      </c>
      <c r="B412" t="inlineStr">
        <is>
          <t>H35</t>
        </is>
      </c>
      <c r="C412" t="n">
        <v>35</v>
      </c>
      <c r="D412" t="n">
        <v>8</v>
      </c>
      <c r="E412" t="inlineStr">
        <is>
          <t>Input</t>
        </is>
      </c>
      <c r="F412" t="n">
        <v/>
      </c>
      <c r="G412" t="n">
        <v>0</v>
      </c>
      <c r="H412" t="inlineStr"/>
      <c r="I412" t="inlineStr">
        <is>
          <t>0</t>
        </is>
      </c>
      <c r="J412" t="b">
        <v>0</v>
      </c>
      <c r="K412" t="b">
        <v>0</v>
      </c>
      <c r="L412" t="n">
        <v>11</v>
      </c>
      <c r="M412" t="inlineStr">
        <is>
          <t>FF0B0280</t>
        </is>
      </c>
      <c r="N412" t="inlineStr">
        <is>
          <t>00000000</t>
        </is>
      </c>
      <c r="O412" t="n">
        <v/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CashFlow Statement</t>
        </is>
      </c>
      <c r="B413" t="inlineStr">
        <is>
          <t>I35</t>
        </is>
      </c>
      <c r="C413" t="n">
        <v>35</v>
      </c>
      <c r="D413" t="n">
        <v>9</v>
      </c>
      <c r="E413" t="inlineStr">
        <is>
          <t>Input</t>
        </is>
      </c>
      <c r="F413" t="n">
        <v/>
      </c>
      <c r="G413" t="n">
        <v>0</v>
      </c>
      <c r="H413" t="inlineStr"/>
      <c r="I413" t="inlineStr">
        <is>
          <t>0</t>
        </is>
      </c>
      <c r="J413" t="b">
        <v>0</v>
      </c>
      <c r="K413" t="b">
        <v>0</v>
      </c>
      <c r="L413" t="n">
        <v>11</v>
      </c>
      <c r="M413" t="inlineStr">
        <is>
          <t>FF0B0280</t>
        </is>
      </c>
      <c r="N413" t="inlineStr">
        <is>
          <t>00000000</t>
        </is>
      </c>
      <c r="O413" t="n">
        <v/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CashFlow Statement</t>
        </is>
      </c>
      <c r="B414" t="inlineStr">
        <is>
          <t>J35</t>
        </is>
      </c>
      <c r="C414" t="n">
        <v>35</v>
      </c>
      <c r="D414" t="n">
        <v>10</v>
      </c>
      <c r="E414" t="inlineStr">
        <is>
          <t>Input</t>
        </is>
      </c>
      <c r="F414" t="n">
        <v/>
      </c>
      <c r="G414" t="n">
        <v>0</v>
      </c>
      <c r="H414" t="inlineStr"/>
      <c r="I414" t="inlineStr">
        <is>
          <t>0</t>
        </is>
      </c>
      <c r="J414" t="b">
        <v>0</v>
      </c>
      <c r="K414" t="b">
        <v>0</v>
      </c>
      <c r="L414" t="n">
        <v>11</v>
      </c>
      <c r="M414" t="inlineStr">
        <is>
          <t>FF0B0280</t>
        </is>
      </c>
      <c r="N414" t="inlineStr">
        <is>
          <t>00000000</t>
        </is>
      </c>
      <c r="O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CashFlow Statement</t>
        </is>
      </c>
      <c r="B415" t="inlineStr">
        <is>
          <t>K35</t>
        </is>
      </c>
      <c r="C415" t="n">
        <v>35</v>
      </c>
      <c r="D415" t="n">
        <v>11</v>
      </c>
      <c r="E415" t="inlineStr">
        <is>
          <t>Input</t>
        </is>
      </c>
      <c r="F415" t="n">
        <v/>
      </c>
      <c r="G415" t="inlineStr">
        <is>
          <t>-</t>
        </is>
      </c>
      <c r="H415" t="inlineStr"/>
      <c r="I415" t="inlineStr">
        <is>
          <t>0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00000000</t>
        </is>
      </c>
      <c r="O415" t="inlineStr">
        <is>
          <t>center</t>
        </is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CashFlow Statement</t>
        </is>
      </c>
      <c r="B416" t="inlineStr">
        <is>
          <t>L35</t>
        </is>
      </c>
      <c r="C416" t="n">
        <v>35</v>
      </c>
      <c r="D416" t="n">
        <v>12</v>
      </c>
      <c r="E416" t="inlineStr">
        <is>
          <t>Input</t>
        </is>
      </c>
      <c r="F416" t="n">
        <v/>
      </c>
      <c r="G416" t="inlineStr">
        <is>
          <t>-</t>
        </is>
      </c>
      <c r="H416" t="inlineStr"/>
      <c r="I416" t="inlineStr">
        <is>
          <t>0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00000000</t>
        </is>
      </c>
      <c r="O416" t="inlineStr">
        <is>
          <t>center</t>
        </is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CashFlow Statement</t>
        </is>
      </c>
      <c r="B417" t="inlineStr">
        <is>
          <t>M35</t>
        </is>
      </c>
      <c r="C417" t="n">
        <v>35</v>
      </c>
      <c r="D417" t="n">
        <v>13</v>
      </c>
      <c r="E417" t="inlineStr">
        <is>
          <t>Input</t>
        </is>
      </c>
      <c r="F417" t="n">
        <v/>
      </c>
      <c r="G417" t="inlineStr">
        <is>
          <t>-</t>
        </is>
      </c>
      <c r="H417" t="inlineStr"/>
      <c r="I417" t="inlineStr">
        <is>
          <t>0</t>
        </is>
      </c>
      <c r="J417" t="b">
        <v>0</v>
      </c>
      <c r="K417" t="b">
        <v>0</v>
      </c>
      <c r="L417" t="n">
        <v>11</v>
      </c>
      <c r="M417" t="inlineStr">
        <is>
          <t>Values must be of type &lt;class 'str'&gt;</t>
        </is>
      </c>
      <c r="N417" t="inlineStr">
        <is>
          <t>00000000</t>
        </is>
      </c>
      <c r="O417" t="inlineStr">
        <is>
          <t>center</t>
        </is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CashFlow Statement</t>
        </is>
      </c>
      <c r="B418" t="inlineStr">
        <is>
          <t>N35</t>
        </is>
      </c>
      <c r="C418" t="n">
        <v>35</v>
      </c>
      <c r="D418" t="n">
        <v>14</v>
      </c>
      <c r="E418" t="inlineStr">
        <is>
          <t>Input</t>
        </is>
      </c>
      <c r="F418" t="n">
        <v/>
      </c>
      <c r="G418" t="inlineStr">
        <is>
          <t>-</t>
        </is>
      </c>
      <c r="H418" t="inlineStr"/>
      <c r="I418" t="inlineStr">
        <is>
          <t>0</t>
        </is>
      </c>
      <c r="J418" t="b">
        <v>0</v>
      </c>
      <c r="K418" t="b">
        <v>0</v>
      </c>
      <c r="L418" t="n">
        <v>11</v>
      </c>
      <c r="M418" t="inlineStr">
        <is>
          <t>Values must be of type &lt;class 'str'&gt;</t>
        </is>
      </c>
      <c r="N418" t="inlineStr">
        <is>
          <t>00000000</t>
        </is>
      </c>
      <c r="O418" t="inlineStr">
        <is>
          <t>center</t>
        </is>
      </c>
      <c r="R418" t="b">
        <v>1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CashFlow Statement</t>
        </is>
      </c>
      <c r="B419" t="inlineStr">
        <is>
          <t>O35</t>
        </is>
      </c>
      <c r="C419" t="n">
        <v>35</v>
      </c>
      <c r="D419" t="n">
        <v>15</v>
      </c>
      <c r="E419" t="inlineStr">
        <is>
          <t>Input</t>
        </is>
      </c>
      <c r="F419" t="n">
        <v/>
      </c>
      <c r="G419" t="inlineStr">
        <is>
          <t>-</t>
        </is>
      </c>
      <c r="H419" t="inlineStr"/>
      <c r="I419" t="inlineStr">
        <is>
          <t>0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00000000</t>
        </is>
      </c>
      <c r="O419" t="inlineStr">
        <is>
          <t>center</t>
        </is>
      </c>
      <c r="R419" t="b">
        <v>1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CashFlow Statement</t>
        </is>
      </c>
      <c r="B420" t="inlineStr">
        <is>
          <t>A36</t>
        </is>
      </c>
      <c r="C420" t="n">
        <v>36</v>
      </c>
      <c r="D420" t="n">
        <v>1</v>
      </c>
      <c r="E420" t="inlineStr">
        <is>
          <t>Input</t>
        </is>
      </c>
      <c r="F420" t="n">
        <v/>
      </c>
      <c r="G420" t="inlineStr">
        <is>
          <t>Net cash (used) in investing activities</t>
        </is>
      </c>
      <c r="H420" t="inlineStr"/>
      <c r="I420" t="inlineStr">
        <is>
          <t>General</t>
        </is>
      </c>
      <c r="J420" t="b">
        <v>1</v>
      </c>
      <c r="K420" t="b">
        <v>0</v>
      </c>
      <c r="L420" t="n">
        <v>11</v>
      </c>
      <c r="M420" t="inlineStr">
        <is>
          <t>Values must be of type &lt;class 'str'&gt;</t>
        </is>
      </c>
      <c r="N420" t="inlineStr">
        <is>
          <t>00000000</t>
        </is>
      </c>
      <c r="O420" t="n">
        <v/>
      </c>
      <c r="R420" t="b">
        <v>1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CashFlow Statement</t>
        </is>
      </c>
      <c r="B421" t="inlineStr">
        <is>
          <t>D36</t>
        </is>
      </c>
      <c r="C421" t="n">
        <v>36</v>
      </c>
      <c r="D421" t="n">
        <v>4</v>
      </c>
      <c r="E421" t="inlineStr">
        <is>
          <t>Calculation</t>
        </is>
      </c>
      <c r="F421" t="inlineStr">
        <is>
          <t>'=SUM(D31:D35)</t>
        </is>
      </c>
      <c r="G421" t="n">
        <v>-6083.440000000001</v>
      </c>
      <c r="H421" t="inlineStr"/>
      <c r="I421" t="inlineStr">
        <is>
          <t>0</t>
        </is>
      </c>
      <c r="J421" t="b">
        <v>1</v>
      </c>
      <c r="K421" t="b">
        <v>0</v>
      </c>
      <c r="L421" t="n">
        <v>11</v>
      </c>
      <c r="M421" t="inlineStr">
        <is>
          <t>Values must be of type &lt;class 'str'&gt;</t>
        </is>
      </c>
      <c r="N421" t="inlineStr">
        <is>
          <t>00000000</t>
        </is>
      </c>
      <c r="O421" t="n">
        <v/>
      </c>
      <c r="R421" t="b">
        <v>1</v>
      </c>
      <c r="S421" t="inlineStr">
        <is>
          <t>G000272</t>
        </is>
      </c>
      <c r="T421" t="inlineStr">
        <is>
          <t>Horizontal</t>
        </is>
      </c>
      <c r="U421" t="n">
        <v>12</v>
      </c>
      <c r="V421" t="b">
        <v>1</v>
      </c>
      <c r="W421" t="inlineStr">
        <is>
          <t>CashFlow Statement!D36:O36</t>
        </is>
      </c>
      <c r="X421">
        <f>SUM(R[-5]C[0]:R[-1]C[0])</f>
        <v/>
      </c>
    </row>
    <row r="422">
      <c r="A422" t="inlineStr">
        <is>
          <t>CashFlow Statement</t>
        </is>
      </c>
      <c r="B422" t="inlineStr">
        <is>
          <t>E36</t>
        </is>
      </c>
      <c r="C422" t="n">
        <v>36</v>
      </c>
      <c r="D422" t="n">
        <v>5</v>
      </c>
      <c r="E422" t="inlineStr">
        <is>
          <t>Calculation</t>
        </is>
      </c>
      <c r="F422" t="inlineStr">
        <is>
          <t>'=SUM(E31:E35)</t>
        </is>
      </c>
      <c r="G422" t="n">
        <v>-466.5900000000006</v>
      </c>
      <c r="H422" t="inlineStr"/>
      <c r="I422" t="inlineStr">
        <is>
          <t>0</t>
        </is>
      </c>
      <c r="J422" t="b">
        <v>1</v>
      </c>
      <c r="K422" t="b">
        <v>0</v>
      </c>
      <c r="L422" t="n">
        <v>11</v>
      </c>
      <c r="M422" t="inlineStr">
        <is>
          <t>Values must be of type &lt;class 'str'&gt;</t>
        </is>
      </c>
      <c r="N422" t="inlineStr">
        <is>
          <t>00000000</t>
        </is>
      </c>
      <c r="O422" t="n">
        <v/>
      </c>
      <c r="R422" t="b">
        <v>1</v>
      </c>
      <c r="S422" t="inlineStr">
        <is>
          <t>G000272</t>
        </is>
      </c>
      <c r="T422" t="inlineStr">
        <is>
          <t>Horizontal</t>
        </is>
      </c>
      <c r="U422" t="n">
        <v>12</v>
      </c>
      <c r="V422" t="b">
        <v>1</v>
      </c>
      <c r="W422" t="inlineStr">
        <is>
          <t>CashFlow Statement!D36:O36</t>
        </is>
      </c>
      <c r="X422">
        <f>SUM(R[-5]C[0]:R[-1]C[0])</f>
        <v/>
      </c>
    </row>
    <row r="423">
      <c r="A423" t="inlineStr">
        <is>
          <t>CashFlow Statement</t>
        </is>
      </c>
      <c r="B423" t="inlineStr">
        <is>
          <t>F36</t>
        </is>
      </c>
      <c r="C423" t="n">
        <v>36</v>
      </c>
      <c r="D423" t="n">
        <v>6</v>
      </c>
      <c r="E423" t="inlineStr">
        <is>
          <t>Calculation</t>
        </is>
      </c>
      <c r="F423" t="inlineStr">
        <is>
          <t>'=SUM(F31:F35)</t>
        </is>
      </c>
      <c r="G423" t="n">
        <v>-18896.87</v>
      </c>
      <c r="H423" t="inlineStr"/>
      <c r="I423" t="inlineStr">
        <is>
          <t>0</t>
        </is>
      </c>
      <c r="J423" t="b">
        <v>1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n">
        <v/>
      </c>
      <c r="R423" t="b">
        <v>1</v>
      </c>
      <c r="S423" t="inlineStr">
        <is>
          <t>G000272</t>
        </is>
      </c>
      <c r="T423" t="inlineStr">
        <is>
          <t>Horizontal</t>
        </is>
      </c>
      <c r="U423" t="n">
        <v>12</v>
      </c>
      <c r="V423" t="b">
        <v>1</v>
      </c>
      <c r="W423" t="inlineStr">
        <is>
          <t>CashFlow Statement!D36:O36</t>
        </is>
      </c>
      <c r="X423">
        <f>SUM(R[-5]C[0]:R[-1]C[0])</f>
        <v/>
      </c>
    </row>
    <row r="424">
      <c r="A424" t="inlineStr">
        <is>
          <t>CashFlow Statement</t>
        </is>
      </c>
      <c r="B424" t="inlineStr">
        <is>
          <t>G36</t>
        </is>
      </c>
      <c r="C424" t="n">
        <v>36</v>
      </c>
      <c r="D424" t="n">
        <v>7</v>
      </c>
      <c r="E424" t="inlineStr">
        <is>
          <t>Calculation</t>
        </is>
      </c>
      <c r="F424" t="inlineStr">
        <is>
          <t>'=SUM(G31:G35)</t>
        </is>
      </c>
      <c r="G424" t="n">
        <v>-29137.78999999998</v>
      </c>
      <c r="H424" t="inlineStr"/>
      <c r="I424" t="inlineStr">
        <is>
          <t>0</t>
        </is>
      </c>
      <c r="J424" t="b">
        <v>1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n">
        <v/>
      </c>
      <c r="R424" t="b">
        <v>1</v>
      </c>
      <c r="S424" t="inlineStr">
        <is>
          <t>G000272</t>
        </is>
      </c>
      <c r="T424" t="inlineStr">
        <is>
          <t>Horizontal</t>
        </is>
      </c>
      <c r="U424" t="n">
        <v>12</v>
      </c>
      <c r="V424" t="b">
        <v>1</v>
      </c>
      <c r="W424" t="inlineStr">
        <is>
          <t>CashFlow Statement!D36:O36</t>
        </is>
      </c>
      <c r="X424">
        <f>SUM(R[-5]C[0]:R[-1]C[0])</f>
        <v/>
      </c>
    </row>
    <row r="425">
      <c r="A425" t="inlineStr">
        <is>
          <t>CashFlow Statement</t>
        </is>
      </c>
      <c r="B425" t="inlineStr">
        <is>
          <t>H36</t>
        </is>
      </c>
      <c r="C425" t="n">
        <v>36</v>
      </c>
      <c r="D425" t="n">
        <v>8</v>
      </c>
      <c r="E425" t="inlineStr">
        <is>
          <t>Calculation</t>
        </is>
      </c>
      <c r="F425" t="inlineStr">
        <is>
          <t>'=SUM(H31:H35)</t>
        </is>
      </c>
      <c r="G425" t="n">
        <v>-9405.060000000005</v>
      </c>
      <c r="H425" t="inlineStr"/>
      <c r="I425" t="inlineStr">
        <is>
          <t>0</t>
        </is>
      </c>
      <c r="J425" t="b">
        <v>1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00000000</t>
        </is>
      </c>
      <c r="O425" t="n">
        <v/>
      </c>
      <c r="R425" t="b">
        <v>1</v>
      </c>
      <c r="S425" t="inlineStr">
        <is>
          <t>G000272</t>
        </is>
      </c>
      <c r="T425" t="inlineStr">
        <is>
          <t>Horizontal</t>
        </is>
      </c>
      <c r="U425" t="n">
        <v>12</v>
      </c>
      <c r="V425" t="b">
        <v>1</v>
      </c>
      <c r="W425" t="inlineStr">
        <is>
          <t>CashFlow Statement!D36:O36</t>
        </is>
      </c>
      <c r="X425">
        <f>SUM(R[-5]C[0]:R[-1]C[0])</f>
        <v/>
      </c>
    </row>
    <row r="426">
      <c r="A426" t="inlineStr">
        <is>
          <t>CashFlow Statement</t>
        </is>
      </c>
      <c r="B426" t="inlineStr">
        <is>
          <t>I36</t>
        </is>
      </c>
      <c r="C426" t="n">
        <v>36</v>
      </c>
      <c r="D426" t="n">
        <v>9</v>
      </c>
      <c r="E426" t="inlineStr">
        <is>
          <t>Calculation</t>
        </is>
      </c>
      <c r="F426" t="inlineStr">
        <is>
          <t>'=SUM(I31:I35)</t>
        </is>
      </c>
      <c r="G426" t="n">
        <v>-13261.94000000001</v>
      </c>
      <c r="H426" t="inlineStr"/>
      <c r="I426" t="inlineStr">
        <is>
          <t>0</t>
        </is>
      </c>
      <c r="J426" t="b">
        <v>1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n">
        <v/>
      </c>
      <c r="R426" t="b">
        <v>1</v>
      </c>
      <c r="S426" t="inlineStr">
        <is>
          <t>G000272</t>
        </is>
      </c>
      <c r="T426" t="inlineStr">
        <is>
          <t>Horizontal</t>
        </is>
      </c>
      <c r="U426" t="n">
        <v>12</v>
      </c>
      <c r="V426" t="b">
        <v>1</v>
      </c>
      <c r="W426" t="inlineStr">
        <is>
          <t>CashFlow Statement!D36:O36</t>
        </is>
      </c>
      <c r="X426">
        <f>SUM(R[-5]C[0]:R[-1]C[0])</f>
        <v/>
      </c>
    </row>
    <row r="427">
      <c r="A427" t="inlineStr">
        <is>
          <t>CashFlow Statement</t>
        </is>
      </c>
      <c r="B427" t="inlineStr">
        <is>
          <t>J36</t>
        </is>
      </c>
      <c r="C427" t="n">
        <v>36</v>
      </c>
      <c r="D427" t="n">
        <v>10</v>
      </c>
      <c r="E427" t="inlineStr">
        <is>
          <t>Calculation</t>
        </is>
      </c>
      <c r="F427" t="inlineStr">
        <is>
          <t>'=SUM(J31:J35)</t>
        </is>
      </c>
      <c r="G427" t="n">
        <v>-30378.57000000001</v>
      </c>
      <c r="H427" t="inlineStr"/>
      <c r="I427" t="inlineStr">
        <is>
          <t>0</t>
        </is>
      </c>
      <c r="J427" t="b">
        <v>1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n">
        <v/>
      </c>
      <c r="R427" t="b">
        <v>1</v>
      </c>
      <c r="S427" t="inlineStr">
        <is>
          <t>G000272</t>
        </is>
      </c>
      <c r="T427" t="inlineStr">
        <is>
          <t>Horizontal</t>
        </is>
      </c>
      <c r="U427" t="n">
        <v>12</v>
      </c>
      <c r="V427" t="b">
        <v>1</v>
      </c>
      <c r="W427" t="inlineStr">
        <is>
          <t>CashFlow Statement!D36:O36</t>
        </is>
      </c>
      <c r="X427">
        <f>SUM(R[-5]C[0]:R[-1]C[0])</f>
        <v/>
      </c>
    </row>
    <row r="428">
      <c r="A428" t="inlineStr">
        <is>
          <t>CashFlow Statement</t>
        </is>
      </c>
      <c r="B428" t="inlineStr">
        <is>
          <t>K36</t>
        </is>
      </c>
      <c r="C428" t="n">
        <v>36</v>
      </c>
      <c r="D428" t="n">
        <v>11</v>
      </c>
      <c r="E428" t="inlineStr">
        <is>
          <t>Calculation</t>
        </is>
      </c>
      <c r="F428" t="inlineStr">
        <is>
          <t>'=SUM(K31:K35)</t>
        </is>
      </c>
      <c r="G428" t="n">
        <v>-10266</v>
      </c>
      <c r="H428" t="inlineStr"/>
      <c r="I428" t="inlineStr">
        <is>
          <t>0</t>
        </is>
      </c>
      <c r="J428" t="b">
        <v>1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n">
        <v/>
      </c>
      <c r="R428" t="b">
        <v>1</v>
      </c>
      <c r="S428" t="inlineStr">
        <is>
          <t>G000272</t>
        </is>
      </c>
      <c r="T428" t="inlineStr">
        <is>
          <t>Horizontal</t>
        </is>
      </c>
      <c r="U428" t="n">
        <v>12</v>
      </c>
      <c r="V428" t="b">
        <v>1</v>
      </c>
      <c r="W428" t="inlineStr">
        <is>
          <t>CashFlow Statement!D36:O36</t>
        </is>
      </c>
      <c r="X428">
        <f>SUM(R[-5]C[0]:R[-1]C[0])</f>
        <v/>
      </c>
    </row>
    <row r="429">
      <c r="A429" t="inlineStr">
        <is>
          <t>CashFlow Statement</t>
        </is>
      </c>
      <c r="B429" t="inlineStr">
        <is>
          <t>L36</t>
        </is>
      </c>
      <c r="C429" t="n">
        <v>36</v>
      </c>
      <c r="D429" t="n">
        <v>12</v>
      </c>
      <c r="E429" t="inlineStr">
        <is>
          <t>Calculation</t>
        </is>
      </c>
      <c r="F429" t="inlineStr">
        <is>
          <t>'=SUM(L31:L35)</t>
        </is>
      </c>
      <c r="G429" t="n">
        <v>-10578</v>
      </c>
      <c r="H429" t="inlineStr"/>
      <c r="I429" t="inlineStr">
        <is>
          <t>0</t>
        </is>
      </c>
      <c r="J429" t="b">
        <v>1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00000000</t>
        </is>
      </c>
      <c r="O429" t="n">
        <v/>
      </c>
      <c r="R429" t="b">
        <v>1</v>
      </c>
      <c r="S429" t="inlineStr">
        <is>
          <t>G000272</t>
        </is>
      </c>
      <c r="T429" t="inlineStr">
        <is>
          <t>Horizontal</t>
        </is>
      </c>
      <c r="U429" t="n">
        <v>12</v>
      </c>
      <c r="V429" t="b">
        <v>1</v>
      </c>
      <c r="W429" t="inlineStr">
        <is>
          <t>CashFlow Statement!D36:O36</t>
        </is>
      </c>
      <c r="X429">
        <f>SUM(R[-5]C[0]:R[-1]C[0])</f>
        <v/>
      </c>
    </row>
    <row r="430">
      <c r="A430" t="inlineStr">
        <is>
          <t>CashFlow Statement</t>
        </is>
      </c>
      <c r="B430" t="inlineStr">
        <is>
          <t>M36</t>
        </is>
      </c>
      <c r="C430" t="n">
        <v>36</v>
      </c>
      <c r="D430" t="n">
        <v>13</v>
      </c>
      <c r="E430" t="inlineStr">
        <is>
          <t>Calculation</t>
        </is>
      </c>
      <c r="F430" t="inlineStr">
        <is>
          <t>'=SUM(M31:M35)</t>
        </is>
      </c>
      <c r="G430" t="n">
        <v>-10890</v>
      </c>
      <c r="H430" t="inlineStr"/>
      <c r="I430" t="inlineStr">
        <is>
          <t>0</t>
        </is>
      </c>
      <c r="J430" t="b">
        <v>1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00000000</t>
        </is>
      </c>
      <c r="O430" t="n">
        <v/>
      </c>
      <c r="R430" t="b">
        <v>1</v>
      </c>
      <c r="S430" t="inlineStr">
        <is>
          <t>G000272</t>
        </is>
      </c>
      <c r="T430" t="inlineStr">
        <is>
          <t>Horizontal</t>
        </is>
      </c>
      <c r="U430" t="n">
        <v>12</v>
      </c>
      <c r="V430" t="b">
        <v>1</v>
      </c>
      <c r="W430" t="inlineStr">
        <is>
          <t>CashFlow Statement!D36:O36</t>
        </is>
      </c>
      <c r="X430">
        <f>SUM(R[-5]C[0]:R[-1]C[0])</f>
        <v/>
      </c>
    </row>
    <row r="431">
      <c r="A431" t="inlineStr">
        <is>
          <t>CashFlow Statement</t>
        </is>
      </c>
      <c r="B431" t="inlineStr">
        <is>
          <t>N36</t>
        </is>
      </c>
      <c r="C431" t="n">
        <v>36</v>
      </c>
      <c r="D431" t="n">
        <v>14</v>
      </c>
      <c r="E431" t="inlineStr">
        <is>
          <t>Calculation</t>
        </is>
      </c>
      <c r="F431" t="inlineStr">
        <is>
          <t>'=SUM(N31:N35)</t>
        </is>
      </c>
      <c r="G431" t="n">
        <v>-11202</v>
      </c>
      <c r="H431" t="inlineStr"/>
      <c r="I431" t="inlineStr">
        <is>
          <t>0</t>
        </is>
      </c>
      <c r="J431" t="b">
        <v>1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00000000</t>
        </is>
      </c>
      <c r="O431" t="n">
        <v/>
      </c>
      <c r="R431" t="b">
        <v>1</v>
      </c>
      <c r="S431" t="inlineStr">
        <is>
          <t>G000272</t>
        </is>
      </c>
      <c r="T431" t="inlineStr">
        <is>
          <t>Horizontal</t>
        </is>
      </c>
      <c r="U431" t="n">
        <v>12</v>
      </c>
      <c r="V431" t="b">
        <v>1</v>
      </c>
      <c r="W431" t="inlineStr">
        <is>
          <t>CashFlow Statement!D36:O36</t>
        </is>
      </c>
      <c r="X431">
        <f>SUM(R[-5]C[0]:R[-1]C[0])</f>
        <v/>
      </c>
    </row>
    <row r="432">
      <c r="A432" t="inlineStr">
        <is>
          <t>CashFlow Statement</t>
        </is>
      </c>
      <c r="B432" t="inlineStr">
        <is>
          <t>O36</t>
        </is>
      </c>
      <c r="C432" t="n">
        <v>36</v>
      </c>
      <c r="D432" t="n">
        <v>15</v>
      </c>
      <c r="E432" t="inlineStr">
        <is>
          <t>Calculation</t>
        </is>
      </c>
      <c r="F432" t="inlineStr">
        <is>
          <t>'=SUM(O31:O35)</t>
        </is>
      </c>
      <c r="G432" t="n">
        <v>-11514</v>
      </c>
      <c r="H432" t="inlineStr"/>
      <c r="I432" t="inlineStr">
        <is>
          <t>0</t>
        </is>
      </c>
      <c r="J432" t="b">
        <v>1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n">
        <v/>
      </c>
      <c r="R432" t="b">
        <v>1</v>
      </c>
      <c r="S432" t="inlineStr">
        <is>
          <t>G000272</t>
        </is>
      </c>
      <c r="T432" t="inlineStr">
        <is>
          <t>Horizontal</t>
        </is>
      </c>
      <c r="U432" t="n">
        <v>12</v>
      </c>
      <c r="V432" t="b">
        <v>1</v>
      </c>
      <c r="W432" t="inlineStr">
        <is>
          <t>CashFlow Statement!D36:O36</t>
        </is>
      </c>
      <c r="X432">
        <f>SUM(R[-5]C[0]:R[-1]C[0])</f>
        <v/>
      </c>
    </row>
    <row r="433">
      <c r="A433" t="inlineStr">
        <is>
          <t>CashFlow Statement</t>
        </is>
      </c>
      <c r="B433" t="inlineStr">
        <is>
          <t>D37</t>
        </is>
      </c>
      <c r="C433" t="n">
        <v>37</v>
      </c>
      <c r="D433" t="n">
        <v>4</v>
      </c>
      <c r="E433" t="inlineStr">
        <is>
          <t>Input</t>
        </is>
      </c>
      <c r="F433" t="n">
        <v/>
      </c>
      <c r="H433" t="inlineStr"/>
      <c r="I433" t="inlineStr">
        <is>
          <t>0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00000000</t>
        </is>
      </c>
      <c r="O433" t="n">
        <v/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CashFlow Statement</t>
        </is>
      </c>
      <c r="B434" t="inlineStr">
        <is>
          <t>E37</t>
        </is>
      </c>
      <c r="C434" t="n">
        <v>37</v>
      </c>
      <c r="D434" t="n">
        <v>5</v>
      </c>
      <c r="E434" t="inlineStr">
        <is>
          <t>Input</t>
        </is>
      </c>
      <c r="F434" t="n">
        <v/>
      </c>
      <c r="H434" t="inlineStr"/>
      <c r="I434" t="inlineStr">
        <is>
          <t>0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n">
        <v/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</row>
    <row r="435">
      <c r="A435" t="inlineStr">
        <is>
          <t>CashFlow Statement</t>
        </is>
      </c>
      <c r="B435" t="inlineStr">
        <is>
          <t>F37</t>
        </is>
      </c>
      <c r="C435" t="n">
        <v>37</v>
      </c>
      <c r="D435" t="n">
        <v>6</v>
      </c>
      <c r="E435" t="inlineStr">
        <is>
          <t>Input</t>
        </is>
      </c>
      <c r="F435" t="n">
        <v/>
      </c>
      <c r="H435" t="inlineStr"/>
      <c r="I435" t="inlineStr">
        <is>
          <t>0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n">
        <v/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</row>
    <row r="436">
      <c r="A436" t="inlineStr">
        <is>
          <t>CashFlow Statement</t>
        </is>
      </c>
      <c r="B436" t="inlineStr">
        <is>
          <t>G37</t>
        </is>
      </c>
      <c r="C436" t="n">
        <v>37</v>
      </c>
      <c r="D436" t="n">
        <v>7</v>
      </c>
      <c r="E436" t="inlineStr">
        <is>
          <t>Input</t>
        </is>
      </c>
      <c r="F436" t="n">
        <v/>
      </c>
      <c r="H436" t="inlineStr"/>
      <c r="I436" t="inlineStr">
        <is>
          <t>0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n">
        <v/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</row>
    <row r="437">
      <c r="A437" t="inlineStr">
        <is>
          <t>CashFlow Statement</t>
        </is>
      </c>
      <c r="B437" t="inlineStr">
        <is>
          <t>H37</t>
        </is>
      </c>
      <c r="C437" t="n">
        <v>37</v>
      </c>
      <c r="D437" t="n">
        <v>8</v>
      </c>
      <c r="E437" t="inlineStr">
        <is>
          <t>Input</t>
        </is>
      </c>
      <c r="F437" t="n">
        <v/>
      </c>
      <c r="H437" t="inlineStr"/>
      <c r="I437" t="inlineStr">
        <is>
          <t>0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n">
        <v/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</row>
    <row r="438">
      <c r="A438" t="inlineStr">
        <is>
          <t>CashFlow Statement</t>
        </is>
      </c>
      <c r="B438" t="inlineStr">
        <is>
          <t>I37</t>
        </is>
      </c>
      <c r="C438" t="n">
        <v>37</v>
      </c>
      <c r="D438" t="n">
        <v>9</v>
      </c>
      <c r="E438" t="inlineStr">
        <is>
          <t>Input</t>
        </is>
      </c>
      <c r="F438" t="n">
        <v/>
      </c>
      <c r="H438" t="inlineStr"/>
      <c r="I438" t="inlineStr">
        <is>
          <t>0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00000000</t>
        </is>
      </c>
      <c r="O438" t="n">
        <v/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CashFlow Statement</t>
        </is>
      </c>
      <c r="B439" t="inlineStr">
        <is>
          <t>J37</t>
        </is>
      </c>
      <c r="C439" t="n">
        <v>37</v>
      </c>
      <c r="D439" t="n">
        <v>10</v>
      </c>
      <c r="E439" t="inlineStr">
        <is>
          <t>Input</t>
        </is>
      </c>
      <c r="F439" t="n">
        <v/>
      </c>
      <c r="H439" t="inlineStr"/>
      <c r="I439" t="inlineStr">
        <is>
          <t>0</t>
        </is>
      </c>
      <c r="J439" t="b">
        <v>0</v>
      </c>
      <c r="K439" t="b">
        <v>0</v>
      </c>
      <c r="L439" t="n">
        <v>11</v>
      </c>
      <c r="M439" t="inlineStr">
        <is>
          <t>Values must be of type &lt;class 'str'&gt;</t>
        </is>
      </c>
      <c r="N439" t="inlineStr">
        <is>
          <t>00000000</t>
        </is>
      </c>
      <c r="O439" t="n">
        <v/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</row>
    <row r="440">
      <c r="A440" t="inlineStr">
        <is>
          <t>CashFlow Statement</t>
        </is>
      </c>
      <c r="B440" t="inlineStr">
        <is>
          <t>K37</t>
        </is>
      </c>
      <c r="C440" t="n">
        <v>37</v>
      </c>
      <c r="D440" t="n">
        <v>11</v>
      </c>
      <c r="E440" t="inlineStr">
        <is>
          <t>Input</t>
        </is>
      </c>
      <c r="F440" t="n">
        <v/>
      </c>
      <c r="H440" t="inlineStr"/>
      <c r="I440" t="inlineStr">
        <is>
          <t>0</t>
        </is>
      </c>
      <c r="J440" t="b">
        <v>0</v>
      </c>
      <c r="K440" t="b">
        <v>0</v>
      </c>
      <c r="L440" t="n">
        <v>11</v>
      </c>
      <c r="M440" t="inlineStr">
        <is>
          <t>Values must be of type &lt;class 'str'&gt;</t>
        </is>
      </c>
      <c r="N440" t="inlineStr">
        <is>
          <t>00000000</t>
        </is>
      </c>
      <c r="O440" t="n">
        <v/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CashFlow Statement</t>
        </is>
      </c>
      <c r="B441" t="inlineStr">
        <is>
          <t>L37</t>
        </is>
      </c>
      <c r="C441" t="n">
        <v>37</v>
      </c>
      <c r="D441" t="n">
        <v>12</v>
      </c>
      <c r="E441" t="inlineStr">
        <is>
          <t>Input</t>
        </is>
      </c>
      <c r="F441" t="n">
        <v/>
      </c>
      <c r="H441" t="inlineStr"/>
      <c r="I441" t="inlineStr">
        <is>
          <t>0</t>
        </is>
      </c>
      <c r="J441" t="b">
        <v>0</v>
      </c>
      <c r="K441" t="b">
        <v>0</v>
      </c>
      <c r="L441" t="n">
        <v>11</v>
      </c>
      <c r="M441" t="inlineStr">
        <is>
          <t>Values must be of type &lt;class 'str'&gt;</t>
        </is>
      </c>
      <c r="N441" t="inlineStr">
        <is>
          <t>00000000</t>
        </is>
      </c>
      <c r="O441" t="n">
        <v/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CashFlow Statement</t>
        </is>
      </c>
      <c r="B442" t="inlineStr">
        <is>
          <t>M37</t>
        </is>
      </c>
      <c r="C442" t="n">
        <v>37</v>
      </c>
      <c r="D442" t="n">
        <v>13</v>
      </c>
      <c r="E442" t="inlineStr">
        <is>
          <t>Input</t>
        </is>
      </c>
      <c r="F442" t="n">
        <v/>
      </c>
      <c r="H442" t="inlineStr"/>
      <c r="I442" t="inlineStr">
        <is>
          <t>0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00000000</t>
        </is>
      </c>
      <c r="O442" t="n">
        <v/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CashFlow Statement</t>
        </is>
      </c>
      <c r="B443" t="inlineStr">
        <is>
          <t>N37</t>
        </is>
      </c>
      <c r="C443" t="n">
        <v>37</v>
      </c>
      <c r="D443" t="n">
        <v>14</v>
      </c>
      <c r="E443" t="inlineStr">
        <is>
          <t>Input</t>
        </is>
      </c>
      <c r="F443" t="n">
        <v/>
      </c>
      <c r="H443" t="inlineStr"/>
      <c r="I443" t="inlineStr">
        <is>
          <t>0</t>
        </is>
      </c>
      <c r="J443" t="b">
        <v>0</v>
      </c>
      <c r="K443" t="b">
        <v>0</v>
      </c>
      <c r="L443" t="n">
        <v>11</v>
      </c>
      <c r="M443" t="inlineStr">
        <is>
          <t>Values must be of type &lt;class 'str'&gt;</t>
        </is>
      </c>
      <c r="N443" t="inlineStr">
        <is>
          <t>00000000</t>
        </is>
      </c>
      <c r="O443" t="n">
        <v/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</row>
    <row r="444">
      <c r="A444" t="inlineStr">
        <is>
          <t>CashFlow Statement</t>
        </is>
      </c>
      <c r="B444" t="inlineStr">
        <is>
          <t>O37</t>
        </is>
      </c>
      <c r="C444" t="n">
        <v>37</v>
      </c>
      <c r="D444" t="n">
        <v>15</v>
      </c>
      <c r="E444" t="inlineStr">
        <is>
          <t>Input</t>
        </is>
      </c>
      <c r="F444" t="n">
        <v/>
      </c>
      <c r="H444" t="inlineStr"/>
      <c r="I444" t="inlineStr">
        <is>
          <t>0</t>
        </is>
      </c>
      <c r="J444" t="b">
        <v>0</v>
      </c>
      <c r="K444" t="b">
        <v>0</v>
      </c>
      <c r="L444" t="n">
        <v>11</v>
      </c>
      <c r="M444" t="inlineStr">
        <is>
          <t>Values must be of type &lt;class 'str'&gt;</t>
        </is>
      </c>
      <c r="N444" t="inlineStr">
        <is>
          <t>00000000</t>
        </is>
      </c>
      <c r="O444" t="n">
        <v/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CashFlow Statement</t>
        </is>
      </c>
      <c r="B445" t="inlineStr">
        <is>
          <t>A38</t>
        </is>
      </c>
      <c r="C445" t="n">
        <v>38</v>
      </c>
      <c r="D445" t="n">
        <v>1</v>
      </c>
      <c r="E445" t="inlineStr">
        <is>
          <t>Input</t>
        </is>
      </c>
      <c r="F445" t="n">
        <v/>
      </c>
      <c r="G445" t="inlineStr">
        <is>
          <t>Cash flows from financing activities</t>
        </is>
      </c>
      <c r="H445" t="inlineStr"/>
      <c r="I445" t="inlineStr">
        <is>
          <t>General</t>
        </is>
      </c>
      <c r="J445" t="b">
        <v>1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n">
        <v/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</row>
    <row r="446">
      <c r="A446" t="inlineStr">
        <is>
          <t>CashFlow Statement</t>
        </is>
      </c>
      <c r="B446" t="inlineStr">
        <is>
          <t>D38</t>
        </is>
      </c>
      <c r="C446" t="n">
        <v>38</v>
      </c>
      <c r="D446" t="n">
        <v>4</v>
      </c>
      <c r="E446" t="inlineStr">
        <is>
          <t>Input</t>
        </is>
      </c>
      <c r="F446" t="n">
        <v/>
      </c>
      <c r="H446" t="inlineStr"/>
      <c r="I446" t="inlineStr">
        <is>
          <t>0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n">
        <v/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</row>
    <row r="447">
      <c r="A447" t="inlineStr">
        <is>
          <t>CashFlow Statement</t>
        </is>
      </c>
      <c r="B447" t="inlineStr">
        <is>
          <t>E38</t>
        </is>
      </c>
      <c r="C447" t="n">
        <v>38</v>
      </c>
      <c r="D447" t="n">
        <v>5</v>
      </c>
      <c r="E447" t="inlineStr">
        <is>
          <t>Input</t>
        </is>
      </c>
      <c r="F447" t="n">
        <v/>
      </c>
      <c r="H447" t="inlineStr"/>
      <c r="I447" t="inlineStr">
        <is>
          <t>0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n">
        <v/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</row>
    <row r="448">
      <c r="A448" t="inlineStr">
        <is>
          <t>CashFlow Statement</t>
        </is>
      </c>
      <c r="B448" t="inlineStr">
        <is>
          <t>F38</t>
        </is>
      </c>
      <c r="C448" t="n">
        <v>38</v>
      </c>
      <c r="D448" t="n">
        <v>6</v>
      </c>
      <c r="E448" t="inlineStr">
        <is>
          <t>Input</t>
        </is>
      </c>
      <c r="F448" t="n">
        <v/>
      </c>
      <c r="H448" t="inlineStr"/>
      <c r="I448" t="inlineStr">
        <is>
          <t>0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n">
        <v/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</row>
    <row r="449">
      <c r="A449" t="inlineStr">
        <is>
          <t>CashFlow Statement</t>
        </is>
      </c>
      <c r="B449" t="inlineStr">
        <is>
          <t>G38</t>
        </is>
      </c>
      <c r="C449" t="n">
        <v>38</v>
      </c>
      <c r="D449" t="n">
        <v>7</v>
      </c>
      <c r="E449" t="inlineStr">
        <is>
          <t>Input</t>
        </is>
      </c>
      <c r="F449" t="n">
        <v/>
      </c>
      <c r="H449" t="inlineStr"/>
      <c r="I449" t="inlineStr">
        <is>
          <t>0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n">
        <v/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CashFlow Statement</t>
        </is>
      </c>
      <c r="B450" t="inlineStr">
        <is>
          <t>H38</t>
        </is>
      </c>
      <c r="C450" t="n">
        <v>38</v>
      </c>
      <c r="D450" t="n">
        <v>8</v>
      </c>
      <c r="E450" t="inlineStr">
        <is>
          <t>Input</t>
        </is>
      </c>
      <c r="F450" t="n">
        <v/>
      </c>
      <c r="H450" t="inlineStr"/>
      <c r="I450" t="inlineStr">
        <is>
          <t>0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n">
        <v/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CashFlow Statement</t>
        </is>
      </c>
      <c r="B451" t="inlineStr">
        <is>
          <t>I38</t>
        </is>
      </c>
      <c r="C451" t="n">
        <v>38</v>
      </c>
      <c r="D451" t="n">
        <v>9</v>
      </c>
      <c r="E451" t="inlineStr">
        <is>
          <t>Input</t>
        </is>
      </c>
      <c r="F451" t="n">
        <v/>
      </c>
      <c r="H451" t="inlineStr"/>
      <c r="I451" t="inlineStr">
        <is>
          <t>0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00000000</t>
        </is>
      </c>
      <c r="O451" t="n">
        <v/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CashFlow Statement</t>
        </is>
      </c>
      <c r="B452" t="inlineStr">
        <is>
          <t>J38</t>
        </is>
      </c>
      <c r="C452" t="n">
        <v>38</v>
      </c>
      <c r="D452" t="n">
        <v>10</v>
      </c>
      <c r="E452" t="inlineStr">
        <is>
          <t>Input</t>
        </is>
      </c>
      <c r="F452" t="n">
        <v/>
      </c>
      <c r="H452" t="inlineStr"/>
      <c r="I452" t="inlineStr">
        <is>
          <t>0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00000000</t>
        </is>
      </c>
      <c r="O452" t="n">
        <v/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CashFlow Statement</t>
        </is>
      </c>
      <c r="B453" t="inlineStr">
        <is>
          <t>K38</t>
        </is>
      </c>
      <c r="C453" t="n">
        <v>38</v>
      </c>
      <c r="D453" t="n">
        <v>11</v>
      </c>
      <c r="E453" t="inlineStr">
        <is>
          <t>Input</t>
        </is>
      </c>
      <c r="F453" t="n">
        <v/>
      </c>
      <c r="H453" t="inlineStr"/>
      <c r="I453" t="inlineStr">
        <is>
          <t>0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n">
        <v/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CashFlow Statement</t>
        </is>
      </c>
      <c r="B454" t="inlineStr">
        <is>
          <t>L38</t>
        </is>
      </c>
      <c r="C454" t="n">
        <v>38</v>
      </c>
      <c r="D454" t="n">
        <v>12</v>
      </c>
      <c r="E454" t="inlineStr">
        <is>
          <t>Input</t>
        </is>
      </c>
      <c r="F454" t="n">
        <v/>
      </c>
      <c r="H454" t="inlineStr"/>
      <c r="I454" t="inlineStr">
        <is>
          <t>0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n">
        <v/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CashFlow Statement</t>
        </is>
      </c>
      <c r="B455" t="inlineStr">
        <is>
          <t>M38</t>
        </is>
      </c>
      <c r="C455" t="n">
        <v>38</v>
      </c>
      <c r="D455" t="n">
        <v>13</v>
      </c>
      <c r="E455" t="inlineStr">
        <is>
          <t>Input</t>
        </is>
      </c>
      <c r="F455" t="n">
        <v/>
      </c>
      <c r="H455" t="inlineStr"/>
      <c r="I455" t="inlineStr">
        <is>
          <t>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n">
        <v/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CashFlow Statement</t>
        </is>
      </c>
      <c r="B456" t="inlineStr">
        <is>
          <t>N38</t>
        </is>
      </c>
      <c r="C456" t="n">
        <v>38</v>
      </c>
      <c r="D456" t="n">
        <v>14</v>
      </c>
      <c r="E456" t="inlineStr">
        <is>
          <t>Input</t>
        </is>
      </c>
      <c r="F456" t="n">
        <v/>
      </c>
      <c r="H456" t="inlineStr"/>
      <c r="I456" t="inlineStr">
        <is>
          <t>0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n">
        <v/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CashFlow Statement</t>
        </is>
      </c>
      <c r="B457" t="inlineStr">
        <is>
          <t>O38</t>
        </is>
      </c>
      <c r="C457" t="n">
        <v>38</v>
      </c>
      <c r="D457" t="n">
        <v>15</v>
      </c>
      <c r="E457" t="inlineStr">
        <is>
          <t>Input</t>
        </is>
      </c>
      <c r="F457" t="n">
        <v/>
      </c>
      <c r="H457" t="inlineStr"/>
      <c r="I457" t="inlineStr">
        <is>
          <t>0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CashFlow Statement</t>
        </is>
      </c>
      <c r="B458" t="inlineStr">
        <is>
          <t>A39</t>
        </is>
      </c>
      <c r="C458" t="n">
        <v>39</v>
      </c>
      <c r="D458" t="n">
        <v>1</v>
      </c>
      <c r="E458" t="inlineStr">
        <is>
          <t>Input</t>
        </is>
      </c>
      <c r="F458" t="n">
        <v/>
      </c>
      <c r="G458" t="inlineStr">
        <is>
          <t>Proceeds/Repayment  from Loans</t>
        </is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R458" t="b">
        <v>1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</row>
    <row r="459">
      <c r="A459" t="inlineStr">
        <is>
          <t>CashFlow Statement</t>
        </is>
      </c>
      <c r="B459" t="inlineStr">
        <is>
          <t>D39</t>
        </is>
      </c>
      <c r="C459" t="n">
        <v>39</v>
      </c>
      <c r="D459" t="n">
        <v>4</v>
      </c>
      <c r="E459" t="inlineStr">
        <is>
          <t>Calculation</t>
        </is>
      </c>
      <c r="F459" t="inlineStr">
        <is>
          <t>'=3428.19-3690.62</t>
        </is>
      </c>
      <c r="G459" t="n">
        <v>-262.4299999999998</v>
      </c>
      <c r="H459" t="inlineStr"/>
      <c r="I459" t="inlineStr">
        <is>
          <t>0</t>
        </is>
      </c>
      <c r="J459" t="b">
        <v>0</v>
      </c>
      <c r="K459" t="b">
        <v>0</v>
      </c>
      <c r="L459" t="n">
        <v>11</v>
      </c>
      <c r="M459" t="inlineStr">
        <is>
          <t>FF0B0280</t>
        </is>
      </c>
      <c r="N459" t="inlineStr">
        <is>
          <t>00000000</t>
        </is>
      </c>
      <c r="O459" t="n">
        <v/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>
        <f>3428.19-3690.62</f>
        <v/>
      </c>
    </row>
    <row r="460">
      <c r="A460" t="inlineStr">
        <is>
          <t>CashFlow Statement</t>
        </is>
      </c>
      <c r="B460" t="inlineStr">
        <is>
          <t>E39</t>
        </is>
      </c>
      <c r="C460" t="n">
        <v>39</v>
      </c>
      <c r="D460" t="n">
        <v>5</v>
      </c>
      <c r="E460" t="inlineStr">
        <is>
          <t>Calculation</t>
        </is>
      </c>
      <c r="F460" t="inlineStr">
        <is>
          <t>'=2934.99-2475.73-678.6</t>
        </is>
      </c>
      <c r="G460" t="n">
        <v>-219.3400000000003</v>
      </c>
      <c r="H460" t="inlineStr"/>
      <c r="I460" t="inlineStr">
        <is>
          <t>0</t>
        </is>
      </c>
      <c r="J460" t="b">
        <v>0</v>
      </c>
      <c r="K460" t="b">
        <v>0</v>
      </c>
      <c r="L460" t="n">
        <v>11</v>
      </c>
      <c r="M460" t="inlineStr">
        <is>
          <t>FF0B0280</t>
        </is>
      </c>
      <c r="N460" t="inlineStr">
        <is>
          <t>00000000</t>
        </is>
      </c>
      <c r="O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>
        <f>2934.99-2475.73-678.6</f>
        <v/>
      </c>
    </row>
    <row r="461">
      <c r="A461" t="inlineStr">
        <is>
          <t>CashFlow Statement</t>
        </is>
      </c>
      <c r="B461" t="inlineStr">
        <is>
          <t>F39</t>
        </is>
      </c>
      <c r="C461" t="n">
        <v>39</v>
      </c>
      <c r="D461" t="n">
        <v>6</v>
      </c>
      <c r="E461" t="inlineStr">
        <is>
          <t>Calculation</t>
        </is>
      </c>
      <c r="F461" t="inlineStr">
        <is>
          <t>'=10301.45-3031.95</t>
        </is>
      </c>
      <c r="G461" t="n">
        <v>7269.500000000001</v>
      </c>
      <c r="H461" t="inlineStr"/>
      <c r="I461" t="inlineStr">
        <is>
          <t>0</t>
        </is>
      </c>
      <c r="J461" t="b">
        <v>0</v>
      </c>
      <c r="K461" t="b">
        <v>0</v>
      </c>
      <c r="L461" t="n">
        <v>11</v>
      </c>
      <c r="M461" t="inlineStr">
        <is>
          <t>FF0B0280</t>
        </is>
      </c>
      <c r="N461" t="inlineStr">
        <is>
          <t>00000000</t>
        </is>
      </c>
      <c r="O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>
        <f>10301.45-3031.95</f>
        <v/>
      </c>
    </row>
    <row r="462">
      <c r="A462" t="inlineStr">
        <is>
          <t>CashFlow Statement</t>
        </is>
      </c>
      <c r="B462" t="inlineStr">
        <is>
          <t>G39</t>
        </is>
      </c>
      <c r="C462" t="n">
        <v>39</v>
      </c>
      <c r="D462" t="n">
        <v>7</v>
      </c>
      <c r="E462" t="inlineStr">
        <is>
          <t>Calculation</t>
        </is>
      </c>
      <c r="F462" t="inlineStr">
        <is>
          <t>'=18153.29-4515.8</t>
        </is>
      </c>
      <c r="G462" t="n">
        <v>13637.49</v>
      </c>
      <c r="H462" t="inlineStr"/>
      <c r="I462" t="inlineStr">
        <is>
          <t>0</t>
        </is>
      </c>
      <c r="J462" t="b">
        <v>0</v>
      </c>
      <c r="K462" t="b">
        <v>0</v>
      </c>
      <c r="L462" t="n">
        <v>11</v>
      </c>
      <c r="M462" t="inlineStr">
        <is>
          <t>FF0B0280</t>
        </is>
      </c>
      <c r="N462" t="inlineStr">
        <is>
          <t>00000000</t>
        </is>
      </c>
      <c r="O462" t="n">
        <v/>
      </c>
      <c r="R462" t="b">
        <v>1</v>
      </c>
      <c r="S462" t="n">
        <v/>
      </c>
      <c r="T462" t="n">
        <v/>
      </c>
      <c r="U462" t="n">
        <v/>
      </c>
      <c r="V462" t="b">
        <v>0</v>
      </c>
      <c r="W462" t="inlineStr"/>
      <c r="X462">
        <f>18153.29-4515.8</f>
        <v/>
      </c>
    </row>
    <row r="463">
      <c r="A463" t="inlineStr">
        <is>
          <t>CashFlow Statement</t>
        </is>
      </c>
      <c r="B463" t="inlineStr">
        <is>
          <t>H39</t>
        </is>
      </c>
      <c r="C463" t="n">
        <v>39</v>
      </c>
      <c r="D463" t="n">
        <v>8</v>
      </c>
      <c r="E463" t="inlineStr">
        <is>
          <t>Calculation</t>
        </is>
      </c>
      <c r="F463" t="inlineStr">
        <is>
          <t>'=8137.45-4320.32</t>
        </is>
      </c>
      <c r="G463" t="n">
        <v>3817.13</v>
      </c>
      <c r="H463" t="inlineStr"/>
      <c r="I463" t="inlineStr">
        <is>
          <t>0</t>
        </is>
      </c>
      <c r="J463" t="b">
        <v>0</v>
      </c>
      <c r="K463" t="b">
        <v>0</v>
      </c>
      <c r="L463" t="n">
        <v>11</v>
      </c>
      <c r="M463" t="inlineStr">
        <is>
          <t>FF0B0280</t>
        </is>
      </c>
      <c r="N463" t="inlineStr">
        <is>
          <t>00000000</t>
        </is>
      </c>
      <c r="O463" t="n">
        <v/>
      </c>
      <c r="R463" t="b">
        <v>1</v>
      </c>
      <c r="S463" t="n">
        <v/>
      </c>
      <c r="T463" t="n">
        <v/>
      </c>
      <c r="U463" t="n">
        <v/>
      </c>
      <c r="V463" t="b">
        <v>0</v>
      </c>
      <c r="W463" t="inlineStr"/>
      <c r="X463">
        <f>8137.45-4320.32</f>
        <v/>
      </c>
    </row>
    <row r="464">
      <c r="A464" t="inlineStr">
        <is>
          <t>CashFlow Statement</t>
        </is>
      </c>
      <c r="B464" t="inlineStr">
        <is>
          <t>I39</t>
        </is>
      </c>
      <c r="C464" t="n">
        <v>39</v>
      </c>
      <c r="D464" t="n">
        <v>9</v>
      </c>
      <c r="E464" t="inlineStr">
        <is>
          <t>Calculation</t>
        </is>
      </c>
      <c r="F464" t="inlineStr">
        <is>
          <t>'=843.7-11084.9</t>
        </is>
      </c>
      <c r="G464" t="n">
        <v>-10241.2</v>
      </c>
      <c r="H464" t="inlineStr"/>
      <c r="I464" t="inlineStr">
        <is>
          <t>0</t>
        </is>
      </c>
      <c r="J464" t="b">
        <v>0</v>
      </c>
      <c r="K464" t="b">
        <v>0</v>
      </c>
      <c r="L464" t="n">
        <v>11</v>
      </c>
      <c r="M464" t="inlineStr">
        <is>
          <t>FF0B0280</t>
        </is>
      </c>
      <c r="N464" t="inlineStr">
        <is>
          <t>00000000</t>
        </is>
      </c>
      <c r="O464" t="n">
        <v/>
      </c>
      <c r="R464" t="b">
        <v>1</v>
      </c>
      <c r="S464" t="n">
        <v/>
      </c>
      <c r="T464" t="n">
        <v/>
      </c>
      <c r="U464" t="n">
        <v/>
      </c>
      <c r="V464" t="b">
        <v>0</v>
      </c>
      <c r="W464" t="inlineStr"/>
      <c r="X464">
        <f>843.7-11084.9</f>
        <v/>
      </c>
    </row>
    <row r="465">
      <c r="A465" t="inlineStr">
        <is>
          <t>CashFlow Statement</t>
        </is>
      </c>
      <c r="B465" t="inlineStr">
        <is>
          <t>J39</t>
        </is>
      </c>
      <c r="C465" t="n">
        <v>39</v>
      </c>
      <c r="D465" t="n">
        <v>10</v>
      </c>
      <c r="E465" t="inlineStr">
        <is>
          <t>Calculation</t>
        </is>
      </c>
      <c r="F465" t="inlineStr">
        <is>
          <t>'=676.61-7526.39</t>
        </is>
      </c>
      <c r="G465" t="n">
        <v>-6849.780000000001</v>
      </c>
      <c r="H465" t="inlineStr"/>
      <c r="I465" t="inlineStr">
        <is>
          <t>0</t>
        </is>
      </c>
      <c r="J465" t="b">
        <v>0</v>
      </c>
      <c r="K465" t="b">
        <v>0</v>
      </c>
      <c r="L465" t="n">
        <v>11</v>
      </c>
      <c r="M465" t="inlineStr">
        <is>
          <t>FF0B0280</t>
        </is>
      </c>
      <c r="N465" t="inlineStr">
        <is>
          <t>00000000</t>
        </is>
      </c>
      <c r="O465" t="n">
        <v/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>
        <f>676.61-7526.39</f>
        <v/>
      </c>
    </row>
    <row r="466">
      <c r="A466" t="inlineStr">
        <is>
          <t>CashFlow Statement</t>
        </is>
      </c>
      <c r="B466" t="inlineStr">
        <is>
          <t>K39</t>
        </is>
      </c>
      <c r="C466" t="n">
        <v>39</v>
      </c>
      <c r="D466" t="n">
        <v>11</v>
      </c>
      <c r="E466" t="inlineStr">
        <is>
          <t>Calculation</t>
        </is>
      </c>
      <c r="F466" t="inlineStr">
        <is>
          <t>'='Debt schedule'!K8+'Debt schedule'!K9</t>
        </is>
      </c>
      <c r="G466" t="n">
        <v>7623.34</v>
      </c>
      <c r="H466" t="inlineStr"/>
      <c r="I466" t="inlineStr">
        <is>
          <t>0</t>
        </is>
      </c>
      <c r="J466" t="b">
        <v>0</v>
      </c>
      <c r="K466" t="b">
        <v>0</v>
      </c>
      <c r="L466" t="n">
        <v>11</v>
      </c>
      <c r="M466" t="inlineStr">
        <is>
          <t>Values must be of type &lt;class 'str'&gt;</t>
        </is>
      </c>
      <c r="N466" t="inlineStr">
        <is>
          <t>00000000</t>
        </is>
      </c>
      <c r="O466" t="n">
        <v/>
      </c>
      <c r="R466" t="b">
        <v>1</v>
      </c>
      <c r="S466" t="inlineStr">
        <is>
          <t>G000273</t>
        </is>
      </c>
      <c r="T466" t="inlineStr">
        <is>
          <t>Horizontal</t>
        </is>
      </c>
      <c r="U466" t="n">
        <v>5</v>
      </c>
      <c r="V466" t="b">
        <v>1</v>
      </c>
      <c r="W466" t="inlineStr">
        <is>
          <t>CashFlow Statement!K39:O39</t>
        </is>
      </c>
      <c r="X466">
        <f>'Debt schedule'!R[-31]C[0]+'Debt schedule'!R[-30]C[0]</f>
        <v/>
      </c>
    </row>
    <row r="467">
      <c r="A467" t="inlineStr">
        <is>
          <t>CashFlow Statement</t>
        </is>
      </c>
      <c r="B467" t="inlineStr">
        <is>
          <t>L39</t>
        </is>
      </c>
      <c r="C467" t="n">
        <v>39</v>
      </c>
      <c r="D467" t="n">
        <v>12</v>
      </c>
      <c r="E467" t="inlineStr">
        <is>
          <t>Calculation</t>
        </is>
      </c>
      <c r="F467" t="inlineStr">
        <is>
          <t>'='Debt schedule'!L8+'Debt schedule'!L9</t>
        </is>
      </c>
      <c r="G467" t="n">
        <v>7226.1625</v>
      </c>
      <c r="H467" t="inlineStr"/>
      <c r="I467" t="inlineStr">
        <is>
          <t>0</t>
        </is>
      </c>
      <c r="J467" t="b">
        <v>0</v>
      </c>
      <c r="K467" t="b">
        <v>0</v>
      </c>
      <c r="L467" t="n">
        <v>11</v>
      </c>
      <c r="M467" t="inlineStr">
        <is>
          <t>Values must be of type &lt;class 'str'&gt;</t>
        </is>
      </c>
      <c r="N467" t="inlineStr">
        <is>
          <t>00000000</t>
        </is>
      </c>
      <c r="O467" t="n">
        <v/>
      </c>
      <c r="R467" t="b">
        <v>1</v>
      </c>
      <c r="S467" t="inlineStr">
        <is>
          <t>G000273</t>
        </is>
      </c>
      <c r="T467" t="inlineStr">
        <is>
          <t>Horizontal</t>
        </is>
      </c>
      <c r="U467" t="n">
        <v>5</v>
      </c>
      <c r="V467" t="b">
        <v>1</v>
      </c>
      <c r="W467" t="inlineStr">
        <is>
          <t>CashFlow Statement!K39:O39</t>
        </is>
      </c>
      <c r="X467">
        <f>'Debt schedule'!R[-31]C[0]+'Debt schedule'!R[-30]C[0]</f>
        <v/>
      </c>
    </row>
    <row r="468">
      <c r="A468" t="inlineStr">
        <is>
          <t>CashFlow Statement</t>
        </is>
      </c>
      <c r="B468" t="inlineStr">
        <is>
          <t>M39</t>
        </is>
      </c>
      <c r="C468" t="n">
        <v>39</v>
      </c>
      <c r="D468" t="n">
        <v>13</v>
      </c>
      <c r="E468" t="inlineStr">
        <is>
          <t>Calculation</t>
        </is>
      </c>
      <c r="F468" t="inlineStr">
        <is>
          <t>'='Debt schedule'!M8+'Debt schedule'!M9</t>
        </is>
      </c>
      <c r="G468" t="n">
        <v>7088.1625</v>
      </c>
      <c r="H468" t="inlineStr"/>
      <c r="I468" t="inlineStr">
        <is>
          <t>0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00000000</t>
        </is>
      </c>
      <c r="O468" t="n">
        <v/>
      </c>
      <c r="R468" t="b">
        <v>1</v>
      </c>
      <c r="S468" t="inlineStr">
        <is>
          <t>G000273</t>
        </is>
      </c>
      <c r="T468" t="inlineStr">
        <is>
          <t>Horizontal</t>
        </is>
      </c>
      <c r="U468" t="n">
        <v>5</v>
      </c>
      <c r="V468" t="b">
        <v>1</v>
      </c>
      <c r="W468" t="inlineStr">
        <is>
          <t>CashFlow Statement!K39:O39</t>
        </is>
      </c>
      <c r="X468">
        <f>'Debt schedule'!R[-31]C[0]+'Debt schedule'!R[-30]C[0]</f>
        <v/>
      </c>
    </row>
    <row r="469">
      <c r="A469" t="inlineStr">
        <is>
          <t>CashFlow Statement</t>
        </is>
      </c>
      <c r="B469" t="inlineStr">
        <is>
          <t>N39</t>
        </is>
      </c>
      <c r="C469" t="n">
        <v>39</v>
      </c>
      <c r="D469" t="n">
        <v>14</v>
      </c>
      <c r="E469" t="inlineStr">
        <is>
          <t>Calculation</t>
        </is>
      </c>
      <c r="F469" t="inlineStr">
        <is>
          <t>'='Debt schedule'!N8+'Debt schedule'!N9</t>
        </is>
      </c>
      <c r="G469" t="n">
        <v>6950.1625</v>
      </c>
      <c r="H469" t="inlineStr"/>
      <c r="I469" t="inlineStr">
        <is>
          <t>0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00000000</t>
        </is>
      </c>
      <c r="O469" t="n">
        <v/>
      </c>
      <c r="R469" t="b">
        <v>1</v>
      </c>
      <c r="S469" t="inlineStr">
        <is>
          <t>G000273</t>
        </is>
      </c>
      <c r="T469" t="inlineStr">
        <is>
          <t>Horizontal</t>
        </is>
      </c>
      <c r="U469" t="n">
        <v>5</v>
      </c>
      <c r="V469" t="b">
        <v>1</v>
      </c>
      <c r="W469" t="inlineStr">
        <is>
          <t>CashFlow Statement!K39:O39</t>
        </is>
      </c>
      <c r="X469">
        <f>'Debt schedule'!R[-31]C[0]+'Debt schedule'!R[-30]C[0]</f>
        <v/>
      </c>
    </row>
    <row r="470">
      <c r="A470" t="inlineStr">
        <is>
          <t>CashFlow Statement</t>
        </is>
      </c>
      <c r="B470" t="inlineStr">
        <is>
          <t>O39</t>
        </is>
      </c>
      <c r="C470" t="n">
        <v>39</v>
      </c>
      <c r="D470" t="n">
        <v>15</v>
      </c>
      <c r="E470" t="inlineStr">
        <is>
          <t>Calculation</t>
        </is>
      </c>
      <c r="F470" t="inlineStr">
        <is>
          <t>'='Debt schedule'!O8+'Debt schedule'!O9</t>
        </is>
      </c>
      <c r="G470" t="n">
        <v>6812.1625</v>
      </c>
      <c r="H470" t="inlineStr"/>
      <c r="I470" t="inlineStr">
        <is>
          <t>0</t>
        </is>
      </c>
      <c r="J470" t="b">
        <v>0</v>
      </c>
      <c r="K470" t="b">
        <v>0</v>
      </c>
      <c r="L470" t="n">
        <v>11</v>
      </c>
      <c r="M470" t="inlineStr">
        <is>
          <t>Values must be of type &lt;class 'str'&gt;</t>
        </is>
      </c>
      <c r="N470" t="inlineStr">
        <is>
          <t>00000000</t>
        </is>
      </c>
      <c r="O470" t="n">
        <v/>
      </c>
      <c r="R470" t="b">
        <v>1</v>
      </c>
      <c r="S470" t="inlineStr">
        <is>
          <t>G000273</t>
        </is>
      </c>
      <c r="T470" t="inlineStr">
        <is>
          <t>Horizontal</t>
        </is>
      </c>
      <c r="U470" t="n">
        <v>5</v>
      </c>
      <c r="V470" t="b">
        <v>1</v>
      </c>
      <c r="W470" t="inlineStr">
        <is>
          <t>CashFlow Statement!K39:O39</t>
        </is>
      </c>
      <c r="X470">
        <f>'Debt schedule'!R[-31]C[0]+'Debt schedule'!R[-30]C[0]</f>
        <v/>
      </c>
    </row>
    <row r="471">
      <c r="A471" t="inlineStr">
        <is>
          <t>CashFlow Statement</t>
        </is>
      </c>
      <c r="B471" t="inlineStr">
        <is>
          <t>A40</t>
        </is>
      </c>
      <c r="C471" t="n">
        <v>40</v>
      </c>
      <c r="D471" t="n">
        <v>1</v>
      </c>
      <c r="E471" t="inlineStr">
        <is>
          <t>Input</t>
        </is>
      </c>
      <c r="F471" t="n">
        <v/>
      </c>
      <c r="G471" t="inlineStr">
        <is>
          <t>Interest paid</t>
        </is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</row>
    <row r="472">
      <c r="A472" t="inlineStr">
        <is>
          <t>CashFlow Statement</t>
        </is>
      </c>
      <c r="B472" t="inlineStr">
        <is>
          <t>D40</t>
        </is>
      </c>
      <c r="C472" t="n">
        <v>40</v>
      </c>
      <c r="D472" t="n">
        <v>4</v>
      </c>
      <c r="E472" t="inlineStr">
        <is>
          <t>Input</t>
        </is>
      </c>
      <c r="F472" t="n">
        <v/>
      </c>
      <c r="G472" t="n">
        <v>-143.47</v>
      </c>
      <c r="H472" t="inlineStr"/>
      <c r="I472" t="inlineStr">
        <is>
          <t>0</t>
        </is>
      </c>
      <c r="J472" t="b">
        <v>0</v>
      </c>
      <c r="K472" t="b">
        <v>0</v>
      </c>
      <c r="L472" t="n">
        <v>11</v>
      </c>
      <c r="M472" t="inlineStr">
        <is>
          <t>FF0B0280</t>
        </is>
      </c>
      <c r="N472" t="inlineStr">
        <is>
          <t>00000000</t>
        </is>
      </c>
      <c r="O472" t="n">
        <v/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</row>
    <row r="473">
      <c r="A473" t="inlineStr">
        <is>
          <t>CashFlow Statement</t>
        </is>
      </c>
      <c r="B473" t="inlineStr">
        <is>
          <t>E40</t>
        </is>
      </c>
      <c r="C473" t="n">
        <v>40</v>
      </c>
      <c r="D473" t="n">
        <v>5</v>
      </c>
      <c r="E473" t="inlineStr">
        <is>
          <t>Input</t>
        </is>
      </c>
      <c r="F473" t="n">
        <v/>
      </c>
      <c r="G473" t="n">
        <v>-143.98</v>
      </c>
      <c r="H473" t="inlineStr"/>
      <c r="I473" t="inlineStr">
        <is>
          <t>0</t>
        </is>
      </c>
      <c r="J473" t="b">
        <v>0</v>
      </c>
      <c r="K473" t="b">
        <v>0</v>
      </c>
      <c r="L473" t="n">
        <v>11</v>
      </c>
      <c r="M473" t="inlineStr">
        <is>
          <t>FF0B0280</t>
        </is>
      </c>
      <c r="N473" t="inlineStr">
        <is>
          <t>00000000</t>
        </is>
      </c>
      <c r="O473" t="n">
        <v/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</row>
    <row r="474">
      <c r="A474" t="inlineStr">
        <is>
          <t>CashFlow Statement</t>
        </is>
      </c>
      <c r="B474" t="inlineStr">
        <is>
          <t>F40</t>
        </is>
      </c>
      <c r="C474" t="n">
        <v>40</v>
      </c>
      <c r="D474" t="n">
        <v>6</v>
      </c>
      <c r="E474" t="inlineStr">
        <is>
          <t>Input</t>
        </is>
      </c>
      <c r="F474" t="n">
        <v/>
      </c>
      <c r="G474" t="n">
        <v>-169.14</v>
      </c>
      <c r="H474" t="inlineStr"/>
      <c r="I474" t="inlineStr">
        <is>
          <t>0</t>
        </is>
      </c>
      <c r="J474" t="b">
        <v>0</v>
      </c>
      <c r="K474" t="b">
        <v>0</v>
      </c>
      <c r="L474" t="n">
        <v>11</v>
      </c>
      <c r="M474" t="inlineStr">
        <is>
          <t>FF0B0280</t>
        </is>
      </c>
      <c r="N474" t="inlineStr">
        <is>
          <t>00000000</t>
        </is>
      </c>
      <c r="O474" t="n">
        <v/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</row>
    <row r="475">
      <c r="A475" t="inlineStr">
        <is>
          <t>CashFlow Statement</t>
        </is>
      </c>
      <c r="B475" t="inlineStr">
        <is>
          <t>G40</t>
        </is>
      </c>
      <c r="C475" t="n">
        <v>40</v>
      </c>
      <c r="D475" t="n">
        <v>7</v>
      </c>
      <c r="E475" t="inlineStr">
        <is>
          <t>Input</t>
        </is>
      </c>
      <c r="F475" t="n">
        <v/>
      </c>
      <c r="G475" t="n">
        <v>-185.86</v>
      </c>
      <c r="H475" t="inlineStr"/>
      <c r="I475" t="inlineStr">
        <is>
          <t>0</t>
        </is>
      </c>
      <c r="J475" t="b">
        <v>0</v>
      </c>
      <c r="K475" t="b">
        <v>0</v>
      </c>
      <c r="L475" t="n">
        <v>11</v>
      </c>
      <c r="M475" t="inlineStr">
        <is>
          <t>FF0B0280</t>
        </is>
      </c>
      <c r="N475" t="inlineStr">
        <is>
          <t>00000000</t>
        </is>
      </c>
      <c r="O475" t="n">
        <v/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</row>
    <row r="476">
      <c r="A476" t="inlineStr">
        <is>
          <t>CashFlow Statement</t>
        </is>
      </c>
      <c r="B476" t="inlineStr">
        <is>
          <t>H40</t>
        </is>
      </c>
      <c r="C476" t="n">
        <v>40</v>
      </c>
      <c r="D476" t="n">
        <v>8</v>
      </c>
      <c r="E476" t="inlineStr">
        <is>
          <t>Input</t>
        </is>
      </c>
      <c r="F476" t="n">
        <v/>
      </c>
      <c r="G476" t="n">
        <v>-100.46</v>
      </c>
      <c r="H476" t="inlineStr"/>
      <c r="I476" t="inlineStr">
        <is>
          <t>0</t>
        </is>
      </c>
      <c r="J476" t="b">
        <v>0</v>
      </c>
      <c r="K476" t="b">
        <v>0</v>
      </c>
      <c r="L476" t="n">
        <v>11</v>
      </c>
      <c r="M476" t="inlineStr">
        <is>
          <t>FF0B0280</t>
        </is>
      </c>
      <c r="N476" t="inlineStr">
        <is>
          <t>00000000</t>
        </is>
      </c>
      <c r="O476" t="n">
        <v/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CashFlow Statement</t>
        </is>
      </c>
      <c r="B477" t="inlineStr">
        <is>
          <t>I40</t>
        </is>
      </c>
      <c r="C477" t="n">
        <v>40</v>
      </c>
      <c r="D477" t="n">
        <v>9</v>
      </c>
      <c r="E477" t="inlineStr">
        <is>
          <t>Input</t>
        </is>
      </c>
      <c r="F477" t="n">
        <v/>
      </c>
      <c r="G477" t="n">
        <v>-123.76</v>
      </c>
      <c r="H477" t="inlineStr"/>
      <c r="I477" t="inlineStr">
        <is>
          <t>0</t>
        </is>
      </c>
      <c r="J477" t="b">
        <v>0</v>
      </c>
      <c r="K477" t="b">
        <v>0</v>
      </c>
      <c r="L477" t="n">
        <v>11</v>
      </c>
      <c r="M477" t="inlineStr">
        <is>
          <t>FF0B0280</t>
        </is>
      </c>
      <c r="N477" t="inlineStr">
        <is>
          <t>00000000</t>
        </is>
      </c>
      <c r="O477" t="n">
        <v/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CashFlow Statement</t>
        </is>
      </c>
      <c r="B478" t="inlineStr">
        <is>
          <t>J40</t>
        </is>
      </c>
      <c r="C478" t="n">
        <v>40</v>
      </c>
      <c r="D478" t="n">
        <v>10</v>
      </c>
      <c r="E478" t="inlineStr">
        <is>
          <t>Input</t>
        </is>
      </c>
      <c r="F478" t="n">
        <v/>
      </c>
      <c r="G478" t="n">
        <v>-168.77</v>
      </c>
      <c r="H478" t="inlineStr"/>
      <c r="I478" t="inlineStr">
        <is>
          <t>0</t>
        </is>
      </c>
      <c r="J478" t="b">
        <v>0</v>
      </c>
      <c r="K478" t="b">
        <v>0</v>
      </c>
      <c r="L478" t="n">
        <v>11</v>
      </c>
      <c r="M478" t="inlineStr">
        <is>
          <t>FF0B0280</t>
        </is>
      </c>
      <c r="N478" t="inlineStr">
        <is>
          <t>00000000</t>
        </is>
      </c>
      <c r="O478" t="n">
        <v/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</row>
    <row r="479">
      <c r="A479" t="inlineStr">
        <is>
          <t>CashFlow Statement</t>
        </is>
      </c>
      <c r="B479" t="inlineStr">
        <is>
          <t>K40</t>
        </is>
      </c>
      <c r="C479" t="n">
        <v>40</v>
      </c>
      <c r="D479" t="n">
        <v>11</v>
      </c>
      <c r="E479" t="inlineStr">
        <is>
          <t>Calculation</t>
        </is>
      </c>
      <c r="F479" t="inlineStr">
        <is>
          <t>'=-K13</t>
        </is>
      </c>
      <c r="G479" t="n">
        <v>-1527.28125</v>
      </c>
      <c r="H479" t="inlineStr"/>
      <c r="I479" t="inlineStr">
        <is>
          <t>0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00000000</t>
        </is>
      </c>
      <c r="O479" t="n">
        <v/>
      </c>
      <c r="R479" t="b">
        <v>1</v>
      </c>
      <c r="S479" t="inlineStr">
        <is>
          <t>G000274</t>
        </is>
      </c>
      <c r="T479" t="inlineStr">
        <is>
          <t>Horizontal</t>
        </is>
      </c>
      <c r="U479" t="n">
        <v>5</v>
      </c>
      <c r="V479" t="b">
        <v>1</v>
      </c>
      <c r="W479" t="inlineStr">
        <is>
          <t>CashFlow Statement!K40:O40</t>
        </is>
      </c>
      <c r="X479">
        <f>-R[-27]C[0]</f>
        <v/>
      </c>
    </row>
    <row r="480">
      <c r="A480" t="inlineStr">
        <is>
          <t>CashFlow Statement</t>
        </is>
      </c>
      <c r="B480" t="inlineStr">
        <is>
          <t>L40</t>
        </is>
      </c>
      <c r="C480" t="n">
        <v>40</v>
      </c>
      <c r="D480" t="n">
        <v>12</v>
      </c>
      <c r="E480" t="inlineStr">
        <is>
          <t>Calculation</t>
        </is>
      </c>
      <c r="F480" t="inlineStr">
        <is>
          <t>'=-L13</t>
        </is>
      </c>
      <c r="G480" t="n">
        <v>-2111.610075</v>
      </c>
      <c r="H480" t="inlineStr"/>
      <c r="I480" t="inlineStr">
        <is>
          <t>0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n">
        <v/>
      </c>
      <c r="R480" t="b">
        <v>1</v>
      </c>
      <c r="S480" t="inlineStr">
        <is>
          <t>G000274</t>
        </is>
      </c>
      <c r="T480" t="inlineStr">
        <is>
          <t>Horizontal</t>
        </is>
      </c>
      <c r="U480" t="n">
        <v>5</v>
      </c>
      <c r="V480" t="b">
        <v>1</v>
      </c>
      <c r="W480" t="inlineStr">
        <is>
          <t>CashFlow Statement!K40:O40</t>
        </is>
      </c>
      <c r="X480">
        <f>-R[-27]C[0]</f>
        <v/>
      </c>
    </row>
    <row r="481">
      <c r="A481" t="inlineStr">
        <is>
          <t>CashFlow Statement</t>
        </is>
      </c>
      <c r="B481" t="inlineStr">
        <is>
          <t>M40</t>
        </is>
      </c>
      <c r="C481" t="n">
        <v>40</v>
      </c>
      <c r="D481" t="n">
        <v>13</v>
      </c>
      <c r="E481" t="inlineStr">
        <is>
          <t>Calculation</t>
        </is>
      </c>
      <c r="F481" t="inlineStr">
        <is>
          <t>'=-M13</t>
        </is>
      </c>
      <c r="G481" t="n">
        <v>-2541.039824999999</v>
      </c>
      <c r="H481" t="inlineStr"/>
      <c r="I481" t="inlineStr">
        <is>
          <t>0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00000000</t>
        </is>
      </c>
      <c r="O481" t="n">
        <v/>
      </c>
      <c r="R481" t="b">
        <v>1</v>
      </c>
      <c r="S481" t="inlineStr">
        <is>
          <t>G000274</t>
        </is>
      </c>
      <c r="T481" t="inlineStr">
        <is>
          <t>Horizontal</t>
        </is>
      </c>
      <c r="U481" t="n">
        <v>5</v>
      </c>
      <c r="V481" t="b">
        <v>1</v>
      </c>
      <c r="W481" t="inlineStr">
        <is>
          <t>CashFlow Statement!K40:O40</t>
        </is>
      </c>
      <c r="X481">
        <f>-R[-27]C[0]</f>
        <v/>
      </c>
    </row>
    <row r="482">
      <c r="A482" t="inlineStr">
        <is>
          <t>CashFlow Statement</t>
        </is>
      </c>
      <c r="B482" t="inlineStr">
        <is>
          <t>N40</t>
        </is>
      </c>
      <c r="C482" t="n">
        <v>40</v>
      </c>
      <c r="D482" t="n">
        <v>14</v>
      </c>
      <c r="E482" t="inlineStr">
        <is>
          <t>Calculation</t>
        </is>
      </c>
      <c r="F482" t="inlineStr">
        <is>
          <t>'=-N13</t>
        </is>
      </c>
      <c r="G482" t="n">
        <v>-2962.189575</v>
      </c>
      <c r="H482" t="inlineStr"/>
      <c r="I482" t="inlineStr">
        <is>
          <t>0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n">
        <v/>
      </c>
      <c r="R482" t="b">
        <v>1</v>
      </c>
      <c r="S482" t="inlineStr">
        <is>
          <t>G000274</t>
        </is>
      </c>
      <c r="T482" t="inlineStr">
        <is>
          <t>Horizontal</t>
        </is>
      </c>
      <c r="U482" t="n">
        <v>5</v>
      </c>
      <c r="V482" t="b">
        <v>1</v>
      </c>
      <c r="W482" t="inlineStr">
        <is>
          <t>CashFlow Statement!K40:O40</t>
        </is>
      </c>
      <c r="X482">
        <f>-R[-27]C[0]</f>
        <v/>
      </c>
    </row>
    <row r="483">
      <c r="A483" t="inlineStr">
        <is>
          <t>CashFlow Statement</t>
        </is>
      </c>
      <c r="B483" t="inlineStr">
        <is>
          <t>O40</t>
        </is>
      </c>
      <c r="C483" t="n">
        <v>40</v>
      </c>
      <c r="D483" t="n">
        <v>15</v>
      </c>
      <c r="E483" t="inlineStr">
        <is>
          <t>Calculation</t>
        </is>
      </c>
      <c r="F483" t="inlineStr">
        <is>
          <t>'=-O13</t>
        </is>
      </c>
      <c r="G483" t="n">
        <v>-3375.059324999999</v>
      </c>
      <c r="H483" t="inlineStr"/>
      <c r="I483" t="inlineStr">
        <is>
          <t>0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n">
        <v/>
      </c>
      <c r="R483" t="b">
        <v>1</v>
      </c>
      <c r="S483" t="inlineStr">
        <is>
          <t>G000274</t>
        </is>
      </c>
      <c r="T483" t="inlineStr">
        <is>
          <t>Horizontal</t>
        </is>
      </c>
      <c r="U483" t="n">
        <v>5</v>
      </c>
      <c r="V483" t="b">
        <v>1</v>
      </c>
      <c r="W483" t="inlineStr">
        <is>
          <t>CashFlow Statement!K40:O40</t>
        </is>
      </c>
      <c r="X483">
        <f>-R[-27]C[0]</f>
        <v/>
      </c>
    </row>
    <row r="484">
      <c r="A484" t="inlineStr">
        <is>
          <t>CashFlow Statement</t>
        </is>
      </c>
      <c r="B484" t="inlineStr">
        <is>
          <t>A41</t>
        </is>
      </c>
      <c r="C484" t="n">
        <v>41</v>
      </c>
      <c r="D484" t="n">
        <v>1</v>
      </c>
      <c r="E484" t="inlineStr">
        <is>
          <t>Input</t>
        </is>
      </c>
      <c r="F484" t="n">
        <v/>
      </c>
      <c r="G484" t="inlineStr">
        <is>
          <t>Change in other long term liabilities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00000000</t>
        </is>
      </c>
      <c r="O484" t="n">
        <v/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CashFlow Statement</t>
        </is>
      </c>
      <c r="B485" t="inlineStr">
        <is>
          <t>D41</t>
        </is>
      </c>
      <c r="C485" t="n">
        <v>41</v>
      </c>
      <c r="D485" t="n">
        <v>4</v>
      </c>
      <c r="E485" t="inlineStr">
        <is>
          <t>Input</t>
        </is>
      </c>
      <c r="F485" t="n">
        <v/>
      </c>
      <c r="H485" t="inlineStr"/>
      <c r="I485" t="inlineStr">
        <is>
          <t>0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00000000</t>
        </is>
      </c>
      <c r="O485" t="n">
        <v/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CashFlow Statement</t>
        </is>
      </c>
      <c r="B486" t="inlineStr">
        <is>
          <t>E41</t>
        </is>
      </c>
      <c r="C486" t="n">
        <v>41</v>
      </c>
      <c r="D486" t="n">
        <v>5</v>
      </c>
      <c r="E486" t="inlineStr">
        <is>
          <t>Input</t>
        </is>
      </c>
      <c r="F486" t="n">
        <v/>
      </c>
      <c r="H486" t="inlineStr"/>
      <c r="I486" t="inlineStr">
        <is>
          <t>0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00000000</t>
        </is>
      </c>
      <c r="O486" t="n">
        <v/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CashFlow Statement</t>
        </is>
      </c>
      <c r="B487" t="inlineStr">
        <is>
          <t>F41</t>
        </is>
      </c>
      <c r="C487" t="n">
        <v>41</v>
      </c>
      <c r="D487" t="n">
        <v>6</v>
      </c>
      <c r="E487" t="inlineStr">
        <is>
          <t>Input</t>
        </is>
      </c>
      <c r="F487" t="n">
        <v/>
      </c>
      <c r="H487" t="inlineStr"/>
      <c r="I487" t="inlineStr">
        <is>
          <t>0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00000000</t>
        </is>
      </c>
      <c r="O487" t="n">
        <v/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CashFlow Statement</t>
        </is>
      </c>
      <c r="B488" t="inlineStr">
        <is>
          <t>G41</t>
        </is>
      </c>
      <c r="C488" t="n">
        <v>41</v>
      </c>
      <c r="D488" t="n">
        <v>7</v>
      </c>
      <c r="E488" t="inlineStr">
        <is>
          <t>Input</t>
        </is>
      </c>
      <c r="F488" t="n">
        <v/>
      </c>
      <c r="H488" t="inlineStr"/>
      <c r="I488" t="inlineStr">
        <is>
          <t>0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00000000</t>
        </is>
      </c>
      <c r="O488" t="n">
        <v/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</row>
    <row r="489">
      <c r="A489" t="inlineStr">
        <is>
          <t>CashFlow Statement</t>
        </is>
      </c>
      <c r="B489" t="inlineStr">
        <is>
          <t>H41</t>
        </is>
      </c>
      <c r="C489" t="n">
        <v>41</v>
      </c>
      <c r="D489" t="n">
        <v>8</v>
      </c>
      <c r="E489" t="inlineStr">
        <is>
          <t>Input</t>
        </is>
      </c>
      <c r="F489" t="n">
        <v/>
      </c>
      <c r="H489" t="inlineStr"/>
      <c r="I489" t="inlineStr">
        <is>
          <t>0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00000000</t>
        </is>
      </c>
      <c r="O489" t="n">
        <v/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</row>
    <row r="490">
      <c r="A490" t="inlineStr">
        <is>
          <t>CashFlow Statement</t>
        </is>
      </c>
      <c r="B490" t="inlineStr">
        <is>
          <t>I41</t>
        </is>
      </c>
      <c r="C490" t="n">
        <v>41</v>
      </c>
      <c r="D490" t="n">
        <v>9</v>
      </c>
      <c r="E490" t="inlineStr">
        <is>
          <t>Input</t>
        </is>
      </c>
      <c r="F490" t="n">
        <v/>
      </c>
      <c r="H490" t="inlineStr"/>
      <c r="I490" t="inlineStr">
        <is>
          <t>0</t>
        </is>
      </c>
      <c r="J490" t="b">
        <v>0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00000000</t>
        </is>
      </c>
      <c r="O490" t="n">
        <v/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</row>
    <row r="491">
      <c r="A491" t="inlineStr">
        <is>
          <t>CashFlow Statement</t>
        </is>
      </c>
      <c r="B491" t="inlineStr">
        <is>
          <t>J41</t>
        </is>
      </c>
      <c r="C491" t="n">
        <v>41</v>
      </c>
      <c r="D491" t="n">
        <v>10</v>
      </c>
      <c r="E491" t="inlineStr">
        <is>
          <t>Input</t>
        </is>
      </c>
      <c r="F491" t="n">
        <v/>
      </c>
      <c r="H491" t="inlineStr"/>
      <c r="I491" t="inlineStr">
        <is>
          <t>0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00000000</t>
        </is>
      </c>
      <c r="O491" t="n">
        <v/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</row>
    <row r="492">
      <c r="A492" t="inlineStr">
        <is>
          <t>CashFlow Statement</t>
        </is>
      </c>
      <c r="B492" t="inlineStr">
        <is>
          <t>K41</t>
        </is>
      </c>
      <c r="C492" t="n">
        <v>41</v>
      </c>
      <c r="D492" t="n">
        <v>11</v>
      </c>
      <c r="E492" t="inlineStr">
        <is>
          <t>Calculation</t>
        </is>
      </c>
      <c r="F492" t="inlineStr">
        <is>
          <t>'='Balance sheet'!K14-'Balance sheet'!J14</t>
        </is>
      </c>
      <c r="G492" t="n">
        <v>8247.288726746887</v>
      </c>
      <c r="H492" t="inlineStr"/>
      <c r="I492" t="inlineStr">
        <is>
          <t>0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00000000</t>
        </is>
      </c>
      <c r="O492" t="n">
        <v/>
      </c>
      <c r="R492" t="b">
        <v>1</v>
      </c>
      <c r="S492" t="inlineStr">
        <is>
          <t>G000275</t>
        </is>
      </c>
      <c r="T492" t="inlineStr">
        <is>
          <t>Horizontal</t>
        </is>
      </c>
      <c r="U492" t="n">
        <v>5</v>
      </c>
      <c r="V492" t="b">
        <v>1</v>
      </c>
      <c r="W492" t="inlineStr">
        <is>
          <t>CashFlow Statement!K41:O41</t>
        </is>
      </c>
      <c r="X492">
        <f>'Balance sheet'!R[-27]C[0]-'Balance sheet'!R[-27]C[-1]</f>
        <v/>
      </c>
    </row>
    <row r="493">
      <c r="A493" t="inlineStr">
        <is>
          <t>CashFlow Statement</t>
        </is>
      </c>
      <c r="B493" t="inlineStr">
        <is>
          <t>L41</t>
        </is>
      </c>
      <c r="C493" t="n">
        <v>41</v>
      </c>
      <c r="D493" t="n">
        <v>12</v>
      </c>
      <c r="E493" t="inlineStr">
        <is>
          <t>Calculation</t>
        </is>
      </c>
      <c r="F493" t="inlineStr">
        <is>
          <t>'='Balance sheet'!L14-'Balance sheet'!K14</t>
        </is>
      </c>
      <c r="G493" t="n">
        <v>6169.281893486601</v>
      </c>
      <c r="H493" t="inlineStr"/>
      <c r="I493" t="inlineStr">
        <is>
          <t>0</t>
        </is>
      </c>
      <c r="J493" t="b">
        <v>0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00000000</t>
        </is>
      </c>
      <c r="O493" t="n">
        <v/>
      </c>
      <c r="R493" t="b">
        <v>1</v>
      </c>
      <c r="S493" t="inlineStr">
        <is>
          <t>G000275</t>
        </is>
      </c>
      <c r="T493" t="inlineStr">
        <is>
          <t>Horizontal</t>
        </is>
      </c>
      <c r="U493" t="n">
        <v>5</v>
      </c>
      <c r="V493" t="b">
        <v>1</v>
      </c>
      <c r="W493" t="inlineStr">
        <is>
          <t>CashFlow Statement!K41:O41</t>
        </is>
      </c>
      <c r="X493">
        <f>'Balance sheet'!R[-27]C[0]-'Balance sheet'!R[-27]C[-1]</f>
        <v/>
      </c>
    </row>
    <row r="494">
      <c r="A494" t="inlineStr">
        <is>
          <t>CashFlow Statement</t>
        </is>
      </c>
      <c r="B494" t="inlineStr">
        <is>
          <t>M41</t>
        </is>
      </c>
      <c r="C494" t="n">
        <v>41</v>
      </c>
      <c r="D494" t="n">
        <v>13</v>
      </c>
      <c r="E494" t="inlineStr">
        <is>
          <t>Calculation</t>
        </is>
      </c>
      <c r="F494" t="inlineStr">
        <is>
          <t>'='Balance sheet'!M14-'Balance sheet'!L14</t>
        </is>
      </c>
      <c r="G494" t="n">
        <v>7155.264100160181</v>
      </c>
      <c r="H494" t="inlineStr"/>
      <c r="I494" t="inlineStr">
        <is>
          <t>0</t>
        </is>
      </c>
      <c r="J494" t="b">
        <v>0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00000000</t>
        </is>
      </c>
      <c r="O494" t="n">
        <v/>
      </c>
      <c r="R494" t="b">
        <v>1</v>
      </c>
      <c r="S494" t="inlineStr">
        <is>
          <t>G000275</t>
        </is>
      </c>
      <c r="T494" t="inlineStr">
        <is>
          <t>Horizontal</t>
        </is>
      </c>
      <c r="U494" t="n">
        <v>5</v>
      </c>
      <c r="V494" t="b">
        <v>1</v>
      </c>
      <c r="W494" t="inlineStr">
        <is>
          <t>CashFlow Statement!K41:O41</t>
        </is>
      </c>
      <c r="X494">
        <f>'Balance sheet'!R[-27]C[0]-'Balance sheet'!R[-27]C[-1]</f>
        <v/>
      </c>
    </row>
    <row r="495">
      <c r="A495" t="inlineStr">
        <is>
          <t>CashFlow Statement</t>
        </is>
      </c>
      <c r="B495" t="inlineStr">
        <is>
          <t>N41</t>
        </is>
      </c>
      <c r="C495" t="n">
        <v>41</v>
      </c>
      <c r="D495" t="n">
        <v>14</v>
      </c>
      <c r="E495" t="inlineStr">
        <is>
          <t>Calculation</t>
        </is>
      </c>
      <c r="F495" t="inlineStr">
        <is>
          <t>'='Balance sheet'!N14-'Balance sheet'!M14</t>
        </is>
      </c>
      <c r="G495" t="n">
        <v>8471.473392467</v>
      </c>
      <c r="H495" t="inlineStr"/>
      <c r="I495" t="inlineStr">
        <is>
          <t>0</t>
        </is>
      </c>
      <c r="J495" t="b">
        <v>0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00000000</t>
        </is>
      </c>
      <c r="O495" t="n">
        <v/>
      </c>
      <c r="R495" t="b">
        <v>1</v>
      </c>
      <c r="S495" t="inlineStr">
        <is>
          <t>G000275</t>
        </is>
      </c>
      <c r="T495" t="inlineStr">
        <is>
          <t>Horizontal</t>
        </is>
      </c>
      <c r="U495" t="n">
        <v>5</v>
      </c>
      <c r="V495" t="b">
        <v>1</v>
      </c>
      <c r="W495" t="inlineStr">
        <is>
          <t>CashFlow Statement!K41:O41</t>
        </is>
      </c>
      <c r="X495">
        <f>'Balance sheet'!R[-27]C[0]-'Balance sheet'!R[-27]C[-1]</f>
        <v/>
      </c>
    </row>
    <row r="496">
      <c r="A496" t="inlineStr">
        <is>
          <t>CashFlow Statement</t>
        </is>
      </c>
      <c r="B496" t="inlineStr">
        <is>
          <t>O41</t>
        </is>
      </c>
      <c r="C496" t="n">
        <v>41</v>
      </c>
      <c r="D496" t="n">
        <v>15</v>
      </c>
      <c r="E496" t="inlineStr">
        <is>
          <t>Calculation</t>
        </is>
      </c>
      <c r="F496" t="inlineStr">
        <is>
          <t>'='Balance sheet'!O14-'Balance sheet'!N14</t>
        </is>
      </c>
      <c r="G496" t="n">
        <v>10289.84979904603</v>
      </c>
      <c r="H496" t="inlineStr"/>
      <c r="I496" t="inlineStr">
        <is>
          <t>0</t>
        </is>
      </c>
      <c r="J496" t="b">
        <v>0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00000000</t>
        </is>
      </c>
      <c r="O496" t="n">
        <v/>
      </c>
      <c r="R496" t="b">
        <v>1</v>
      </c>
      <c r="S496" t="inlineStr">
        <is>
          <t>G000275</t>
        </is>
      </c>
      <c r="T496" t="inlineStr">
        <is>
          <t>Horizontal</t>
        </is>
      </c>
      <c r="U496" t="n">
        <v>5</v>
      </c>
      <c r="V496" t="b">
        <v>1</v>
      </c>
      <c r="W496" t="inlineStr">
        <is>
          <t>CashFlow Statement!K41:O41</t>
        </is>
      </c>
      <c r="X496">
        <f>'Balance sheet'!R[-27]C[0]-'Balance sheet'!R[-27]C[-1]</f>
        <v/>
      </c>
    </row>
    <row r="497">
      <c r="A497" t="inlineStr">
        <is>
          <t>CashFlow Statement</t>
        </is>
      </c>
      <c r="B497" t="inlineStr">
        <is>
          <t>A42</t>
        </is>
      </c>
      <c r="C497" t="n">
        <v>42</v>
      </c>
      <c r="D497" t="n">
        <v>1</v>
      </c>
      <c r="E497" t="inlineStr">
        <is>
          <t>Input</t>
        </is>
      </c>
      <c r="F497" t="n">
        <v/>
      </c>
      <c r="G497" t="inlineStr">
        <is>
          <t>Finance lease charges paid</t>
        </is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00000000</t>
        </is>
      </c>
      <c r="O497" t="n">
        <v/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</row>
    <row r="498">
      <c r="A498" t="inlineStr">
        <is>
          <t>CashFlow Statement</t>
        </is>
      </c>
      <c r="B498" t="inlineStr">
        <is>
          <t>D42</t>
        </is>
      </c>
      <c r="C498" t="n">
        <v>42</v>
      </c>
      <c r="D498" t="n">
        <v>4</v>
      </c>
      <c r="E498" t="inlineStr">
        <is>
          <t>Input</t>
        </is>
      </c>
      <c r="F498" t="n">
        <v/>
      </c>
      <c r="G498" t="n">
        <v>-302.35</v>
      </c>
      <c r="H498" t="inlineStr"/>
      <c r="I498" t="inlineStr">
        <is>
          <t>0</t>
        </is>
      </c>
      <c r="J498" t="b">
        <v>0</v>
      </c>
      <c r="K498" t="b">
        <v>0</v>
      </c>
      <c r="L498" t="n">
        <v>11</v>
      </c>
      <c r="M498" t="inlineStr">
        <is>
          <t>FF0B0280</t>
        </is>
      </c>
      <c r="N498" t="inlineStr">
        <is>
          <t>00000000</t>
        </is>
      </c>
      <c r="O498" t="n">
        <v/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</row>
    <row r="499">
      <c r="A499" t="inlineStr">
        <is>
          <t>CashFlow Statement</t>
        </is>
      </c>
      <c r="B499" t="inlineStr">
        <is>
          <t>E42</t>
        </is>
      </c>
      <c r="C499" t="n">
        <v>42</v>
      </c>
      <c r="D499" t="n">
        <v>5</v>
      </c>
      <c r="E499" t="inlineStr">
        <is>
          <t>Input</t>
        </is>
      </c>
      <c r="F499" t="n">
        <v/>
      </c>
      <c r="G499" t="n">
        <v>-312.73</v>
      </c>
      <c r="H499" t="inlineStr"/>
      <c r="I499" t="inlineStr">
        <is>
          <t>0</t>
        </is>
      </c>
      <c r="J499" t="b">
        <v>0</v>
      </c>
      <c r="K499" t="b">
        <v>0</v>
      </c>
      <c r="L499" t="n">
        <v>11</v>
      </c>
      <c r="M499" t="inlineStr">
        <is>
          <t>FF0B0280</t>
        </is>
      </c>
      <c r="N499" t="inlineStr">
        <is>
          <t>00000000</t>
        </is>
      </c>
      <c r="O499" t="n">
        <v/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</row>
    <row r="500">
      <c r="A500" t="inlineStr">
        <is>
          <t>CashFlow Statement</t>
        </is>
      </c>
      <c r="B500" t="inlineStr">
        <is>
          <t>F42</t>
        </is>
      </c>
      <c r="C500" t="n">
        <v>42</v>
      </c>
      <c r="D500" t="n">
        <v>6</v>
      </c>
      <c r="E500" t="inlineStr">
        <is>
          <t>Input</t>
        </is>
      </c>
      <c r="F500" t="n">
        <v/>
      </c>
      <c r="G500" t="n">
        <v>-363.12</v>
      </c>
      <c r="H500" t="inlineStr"/>
      <c r="I500" t="inlineStr">
        <is>
          <t>0</t>
        </is>
      </c>
      <c r="J500" t="b">
        <v>0</v>
      </c>
      <c r="K500" t="b">
        <v>0</v>
      </c>
      <c r="L500" t="n">
        <v>11</v>
      </c>
      <c r="M500" t="inlineStr">
        <is>
          <t>FF0B0280</t>
        </is>
      </c>
      <c r="N500" t="inlineStr">
        <is>
          <t>00000000</t>
        </is>
      </c>
      <c r="O500" t="n">
        <v/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</row>
    <row r="501">
      <c r="A501" t="inlineStr">
        <is>
          <t>CashFlow Statement</t>
        </is>
      </c>
      <c r="B501" t="inlineStr">
        <is>
          <t>G42</t>
        </is>
      </c>
      <c r="C501" t="n">
        <v>42</v>
      </c>
      <c r="D501" t="n">
        <v>7</v>
      </c>
      <c r="E501" t="inlineStr">
        <is>
          <t>Input</t>
        </is>
      </c>
      <c r="F501" t="n">
        <v/>
      </c>
      <c r="G501" t="n">
        <v>-603.2</v>
      </c>
      <c r="H501" t="inlineStr"/>
      <c r="I501" t="inlineStr">
        <is>
          <t>0</t>
        </is>
      </c>
      <c r="J501" t="b">
        <v>0</v>
      </c>
      <c r="K501" t="b">
        <v>0</v>
      </c>
      <c r="L501" t="n">
        <v>11</v>
      </c>
      <c r="M501" t="inlineStr">
        <is>
          <t>FF0B0280</t>
        </is>
      </c>
      <c r="N501" t="inlineStr">
        <is>
          <t>00000000</t>
        </is>
      </c>
      <c r="O501" t="n">
        <v/>
      </c>
      <c r="R501" t="b">
        <v>1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</row>
    <row r="502">
      <c r="A502" t="inlineStr">
        <is>
          <t>CashFlow Statement</t>
        </is>
      </c>
      <c r="B502" t="inlineStr">
        <is>
          <t>H42</t>
        </is>
      </c>
      <c r="C502" t="n">
        <v>42</v>
      </c>
      <c r="D502" t="n">
        <v>8</v>
      </c>
      <c r="E502" t="inlineStr">
        <is>
          <t>Input</t>
        </is>
      </c>
      <c r="F502" t="n">
        <v/>
      </c>
      <c r="G502" t="n">
        <v>-669.67</v>
      </c>
      <c r="H502" t="inlineStr"/>
      <c r="I502" t="inlineStr">
        <is>
          <t>0</t>
        </is>
      </c>
      <c r="J502" t="b">
        <v>0</v>
      </c>
      <c r="K502" t="b">
        <v>0</v>
      </c>
      <c r="L502" t="n">
        <v>11</v>
      </c>
      <c r="M502" t="inlineStr">
        <is>
          <t>FF0B0280</t>
        </is>
      </c>
      <c r="N502" t="inlineStr">
        <is>
          <t>00000000</t>
        </is>
      </c>
      <c r="O502" t="n">
        <v/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</row>
    <row r="503">
      <c r="A503" t="inlineStr">
        <is>
          <t>CashFlow Statement</t>
        </is>
      </c>
      <c r="B503" t="inlineStr">
        <is>
          <t>I42</t>
        </is>
      </c>
      <c r="C503" t="n">
        <v>42</v>
      </c>
      <c r="D503" t="n">
        <v>9</v>
      </c>
      <c r="E503" t="inlineStr">
        <is>
          <t>Input</t>
        </is>
      </c>
      <c r="F503" t="n">
        <v/>
      </c>
      <c r="G503" t="n">
        <v>-701.5700000000001</v>
      </c>
      <c r="H503" t="inlineStr"/>
      <c r="I503" t="inlineStr">
        <is>
          <t>0</t>
        </is>
      </c>
      <c r="J503" t="b">
        <v>0</v>
      </c>
      <c r="K503" t="b">
        <v>0</v>
      </c>
      <c r="L503" t="n">
        <v>11</v>
      </c>
      <c r="M503" t="inlineStr">
        <is>
          <t>FF0B0280</t>
        </is>
      </c>
      <c r="N503" t="inlineStr">
        <is>
          <t>00000000</t>
        </is>
      </c>
      <c r="O503" t="n">
        <v/>
      </c>
      <c r="R503" t="b">
        <v>1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</row>
    <row r="504">
      <c r="A504" t="inlineStr">
        <is>
          <t>CashFlow Statement</t>
        </is>
      </c>
      <c r="B504" t="inlineStr">
        <is>
          <t>J42</t>
        </is>
      </c>
      <c r="C504" t="n">
        <v>42</v>
      </c>
      <c r="D504" t="n">
        <v>10</v>
      </c>
      <c r="E504" t="inlineStr">
        <is>
          <t>Input</t>
        </is>
      </c>
      <c r="F504" t="n">
        <v/>
      </c>
      <c r="G504" t="n">
        <v>-478.79</v>
      </c>
      <c r="H504" t="inlineStr"/>
      <c r="I504" t="inlineStr">
        <is>
          <t>0</t>
        </is>
      </c>
      <c r="J504" t="b">
        <v>0</v>
      </c>
      <c r="K504" t="b">
        <v>0</v>
      </c>
      <c r="L504" t="n">
        <v>11</v>
      </c>
      <c r="M504" t="inlineStr">
        <is>
          <t>FF0B0280</t>
        </is>
      </c>
      <c r="N504" t="inlineStr">
        <is>
          <t>00000000</t>
        </is>
      </c>
      <c r="O504" t="n">
        <v/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</row>
    <row r="505">
      <c r="A505" t="inlineStr">
        <is>
          <t>CashFlow Statement</t>
        </is>
      </c>
      <c r="B505" t="inlineStr">
        <is>
          <t>K42</t>
        </is>
      </c>
      <c r="C505" t="n">
        <v>42</v>
      </c>
      <c r="D505" t="n">
        <v>11</v>
      </c>
      <c r="E505" t="inlineStr">
        <is>
          <t>Input</t>
        </is>
      </c>
      <c r="F505" t="n">
        <v/>
      </c>
      <c r="G505" t="inlineStr">
        <is>
          <t>-</t>
        </is>
      </c>
      <c r="H505" t="inlineStr"/>
      <c r="I505" t="inlineStr">
        <is>
          <t>0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inlineStr">
        <is>
          <t>center</t>
        </is>
      </c>
      <c r="R505" t="b">
        <v>1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</row>
    <row r="506">
      <c r="A506" t="inlineStr">
        <is>
          <t>CashFlow Statement</t>
        </is>
      </c>
      <c r="B506" t="inlineStr">
        <is>
          <t>L42</t>
        </is>
      </c>
      <c r="C506" t="n">
        <v>42</v>
      </c>
      <c r="D506" t="n">
        <v>12</v>
      </c>
      <c r="E506" t="inlineStr">
        <is>
          <t>Input</t>
        </is>
      </c>
      <c r="F506" t="n">
        <v/>
      </c>
      <c r="G506" t="inlineStr">
        <is>
          <t>-</t>
        </is>
      </c>
      <c r="H506" t="inlineStr"/>
      <c r="I506" t="inlineStr">
        <is>
          <t>0</t>
        </is>
      </c>
      <c r="J506" t="b">
        <v>0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00000000</t>
        </is>
      </c>
      <c r="O506" t="inlineStr">
        <is>
          <t>center</t>
        </is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</row>
    <row r="507">
      <c r="A507" t="inlineStr">
        <is>
          <t>CashFlow Statement</t>
        </is>
      </c>
      <c r="B507" t="inlineStr">
        <is>
          <t>M42</t>
        </is>
      </c>
      <c r="C507" t="n">
        <v>42</v>
      </c>
      <c r="D507" t="n">
        <v>13</v>
      </c>
      <c r="E507" t="inlineStr">
        <is>
          <t>Input</t>
        </is>
      </c>
      <c r="F507" t="n">
        <v/>
      </c>
      <c r="G507" t="inlineStr">
        <is>
          <t>-</t>
        </is>
      </c>
      <c r="H507" t="inlineStr"/>
      <c r="I507" t="inlineStr">
        <is>
          <t>0</t>
        </is>
      </c>
      <c r="J507" t="b">
        <v>0</v>
      </c>
      <c r="K507" t="b">
        <v>0</v>
      </c>
      <c r="L507" t="n">
        <v>11</v>
      </c>
      <c r="M507" t="inlineStr">
        <is>
          <t>Values must be of type &lt;class 'str'&gt;</t>
        </is>
      </c>
      <c r="N507" t="inlineStr">
        <is>
          <t>00000000</t>
        </is>
      </c>
      <c r="O507" t="inlineStr">
        <is>
          <t>center</t>
        </is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</row>
    <row r="508">
      <c r="A508" t="inlineStr">
        <is>
          <t>CashFlow Statement</t>
        </is>
      </c>
      <c r="B508" t="inlineStr">
        <is>
          <t>N42</t>
        </is>
      </c>
      <c r="C508" t="n">
        <v>42</v>
      </c>
      <c r="D508" t="n">
        <v>14</v>
      </c>
      <c r="E508" t="inlineStr">
        <is>
          <t>Input</t>
        </is>
      </c>
      <c r="F508" t="n">
        <v/>
      </c>
      <c r="G508" t="inlineStr">
        <is>
          <t>-</t>
        </is>
      </c>
      <c r="H508" t="inlineStr"/>
      <c r="I508" t="inlineStr">
        <is>
          <t>0</t>
        </is>
      </c>
      <c r="J508" t="b">
        <v>0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inlineStr">
        <is>
          <t>center</t>
        </is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</row>
    <row r="509">
      <c r="A509" t="inlineStr">
        <is>
          <t>CashFlow Statement</t>
        </is>
      </c>
      <c r="B509" t="inlineStr">
        <is>
          <t>O42</t>
        </is>
      </c>
      <c r="C509" t="n">
        <v>42</v>
      </c>
      <c r="D509" t="n">
        <v>15</v>
      </c>
      <c r="E509" t="inlineStr">
        <is>
          <t>Input</t>
        </is>
      </c>
      <c r="F509" t="n">
        <v/>
      </c>
      <c r="G509" t="inlineStr">
        <is>
          <t>-</t>
        </is>
      </c>
      <c r="H509" t="inlineStr"/>
      <c r="I509" t="inlineStr">
        <is>
          <t>0</t>
        </is>
      </c>
      <c r="J509" t="b">
        <v>0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inlineStr">
        <is>
          <t>center</t>
        </is>
      </c>
      <c r="R509" t="b">
        <v>1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</row>
    <row r="510">
      <c r="A510" t="inlineStr">
        <is>
          <t>CashFlow Statement</t>
        </is>
      </c>
      <c r="B510" t="inlineStr">
        <is>
          <t>A43</t>
        </is>
      </c>
      <c r="C510" t="n">
        <v>43</v>
      </c>
      <c r="D510" t="n">
        <v>1</v>
      </c>
      <c r="E510" t="inlineStr">
        <is>
          <t>Input</t>
        </is>
      </c>
      <c r="F510" t="n">
        <v/>
      </c>
      <c r="G510" t="inlineStr">
        <is>
          <t>Proceed from Share issue</t>
        </is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n">
        <v/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CashFlow Statement</t>
        </is>
      </c>
      <c r="B511" t="inlineStr">
        <is>
          <t>D43</t>
        </is>
      </c>
      <c r="C511" t="n">
        <v>43</v>
      </c>
      <c r="D511" t="n">
        <v>4</v>
      </c>
      <c r="E511" t="inlineStr">
        <is>
          <t>Input</t>
        </is>
      </c>
      <c r="F511" t="n">
        <v/>
      </c>
      <c r="G511" t="n">
        <v>0</v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11</v>
      </c>
      <c r="M511" t="inlineStr">
        <is>
          <t>FF0B0280</t>
        </is>
      </c>
      <c r="N511" t="inlineStr">
        <is>
          <t>00000000</t>
        </is>
      </c>
      <c r="O511" t="n">
        <v/>
      </c>
      <c r="R511" t="b">
        <v>1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</row>
    <row r="512">
      <c r="A512" t="inlineStr">
        <is>
          <t>CashFlow Statement</t>
        </is>
      </c>
      <c r="B512" t="inlineStr">
        <is>
          <t>E43</t>
        </is>
      </c>
      <c r="C512" t="n">
        <v>43</v>
      </c>
      <c r="D512" t="n">
        <v>5</v>
      </c>
      <c r="E512" t="inlineStr">
        <is>
          <t>Input</t>
        </is>
      </c>
      <c r="F512" t="n">
        <v/>
      </c>
      <c r="G512" t="n">
        <v>0</v>
      </c>
      <c r="H512" t="inlineStr"/>
      <c r="I512" t="inlineStr">
        <is>
          <t>0</t>
        </is>
      </c>
      <c r="J512" t="b">
        <v>0</v>
      </c>
      <c r="K512" t="b">
        <v>0</v>
      </c>
      <c r="L512" t="n">
        <v>11</v>
      </c>
      <c r="M512" t="inlineStr">
        <is>
          <t>FF0B0280</t>
        </is>
      </c>
      <c r="N512" t="inlineStr">
        <is>
          <t>00000000</t>
        </is>
      </c>
      <c r="O512" t="n">
        <v/>
      </c>
      <c r="R512" t="b">
        <v>1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</row>
    <row r="513">
      <c r="A513" t="inlineStr">
        <is>
          <t>CashFlow Statement</t>
        </is>
      </c>
      <c r="B513" t="inlineStr">
        <is>
          <t>F43</t>
        </is>
      </c>
      <c r="C513" t="n">
        <v>43</v>
      </c>
      <c r="D513" t="n">
        <v>6</v>
      </c>
      <c r="E513" t="inlineStr">
        <is>
          <t>Input</t>
        </is>
      </c>
      <c r="F513" t="n">
        <v/>
      </c>
      <c r="G513" t="n">
        <v>0</v>
      </c>
      <c r="H513" t="inlineStr"/>
      <c r="I513" t="inlineStr">
        <is>
          <t>0</t>
        </is>
      </c>
      <c r="J513" t="b">
        <v>0</v>
      </c>
      <c r="K513" t="b">
        <v>0</v>
      </c>
      <c r="L513" t="n">
        <v>11</v>
      </c>
      <c r="M513" t="inlineStr">
        <is>
          <t>FF0B0280</t>
        </is>
      </c>
      <c r="N513" t="inlineStr">
        <is>
          <t>00000000</t>
        </is>
      </c>
      <c r="O513" t="n">
        <v/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</row>
    <row r="514">
      <c r="A514" t="inlineStr">
        <is>
          <t>CashFlow Statement</t>
        </is>
      </c>
      <c r="B514" t="inlineStr">
        <is>
          <t>G43</t>
        </is>
      </c>
      <c r="C514" t="n">
        <v>43</v>
      </c>
      <c r="D514" t="n">
        <v>7</v>
      </c>
      <c r="E514" t="inlineStr">
        <is>
          <t>Input</t>
        </is>
      </c>
      <c r="F514" t="n">
        <v/>
      </c>
      <c r="G514" t="n">
        <v>0</v>
      </c>
      <c r="H514" t="inlineStr"/>
      <c r="I514" t="inlineStr">
        <is>
          <t>0</t>
        </is>
      </c>
      <c r="J514" t="b">
        <v>0</v>
      </c>
      <c r="K514" t="b">
        <v>0</v>
      </c>
      <c r="L514" t="n">
        <v>11</v>
      </c>
      <c r="M514" t="inlineStr">
        <is>
          <t>FF0B0280</t>
        </is>
      </c>
      <c r="N514" t="inlineStr">
        <is>
          <t>00000000</t>
        </is>
      </c>
      <c r="O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</row>
    <row r="515">
      <c r="A515" t="inlineStr">
        <is>
          <t>CashFlow Statement</t>
        </is>
      </c>
      <c r="B515" t="inlineStr">
        <is>
          <t>H43</t>
        </is>
      </c>
      <c r="C515" t="n">
        <v>43</v>
      </c>
      <c r="D515" t="n">
        <v>8</v>
      </c>
      <c r="E515" t="inlineStr">
        <is>
          <t>Input</t>
        </is>
      </c>
      <c r="F515" t="n">
        <v/>
      </c>
      <c r="G515" t="n">
        <v>0</v>
      </c>
      <c r="H515" t="inlineStr"/>
      <c r="I515" t="inlineStr">
        <is>
          <t>0</t>
        </is>
      </c>
      <c r="J515" t="b">
        <v>0</v>
      </c>
      <c r="K515" t="b">
        <v>0</v>
      </c>
      <c r="L515" t="n">
        <v>11</v>
      </c>
      <c r="M515" t="inlineStr">
        <is>
          <t>FF0B0280</t>
        </is>
      </c>
      <c r="N515" t="inlineStr">
        <is>
          <t>00000000</t>
        </is>
      </c>
      <c r="O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</row>
    <row r="516">
      <c r="A516" t="inlineStr">
        <is>
          <t>CashFlow Statement</t>
        </is>
      </c>
      <c r="B516" t="inlineStr">
        <is>
          <t>I43</t>
        </is>
      </c>
      <c r="C516" t="n">
        <v>43</v>
      </c>
      <c r="D516" t="n">
        <v>9</v>
      </c>
      <c r="E516" t="inlineStr">
        <is>
          <t>Input</t>
        </is>
      </c>
      <c r="F516" t="n">
        <v/>
      </c>
      <c r="G516" t="n">
        <v>166.41</v>
      </c>
      <c r="H516" t="inlineStr"/>
      <c r="I516" t="inlineStr">
        <is>
          <t>0</t>
        </is>
      </c>
      <c r="J516" t="b">
        <v>0</v>
      </c>
      <c r="K516" t="b">
        <v>0</v>
      </c>
      <c r="L516" t="n">
        <v>11</v>
      </c>
      <c r="M516" t="inlineStr">
        <is>
          <t>FF0B0280</t>
        </is>
      </c>
      <c r="N516" t="inlineStr">
        <is>
          <t>00000000</t>
        </is>
      </c>
      <c r="O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</row>
    <row r="517">
      <c r="A517" t="inlineStr">
        <is>
          <t>CashFlow Statement</t>
        </is>
      </c>
      <c r="B517" t="inlineStr">
        <is>
          <t>J43</t>
        </is>
      </c>
      <c r="C517" t="n">
        <v>43</v>
      </c>
      <c r="D517" t="n">
        <v>10</v>
      </c>
      <c r="E517" t="inlineStr">
        <is>
          <t>Input</t>
        </is>
      </c>
      <c r="F517" t="n">
        <v/>
      </c>
      <c r="G517" t="n">
        <v>11.11</v>
      </c>
      <c r="H517" t="inlineStr"/>
      <c r="I517" t="inlineStr">
        <is>
          <t>0</t>
        </is>
      </c>
      <c r="J517" t="b">
        <v>0</v>
      </c>
      <c r="K517" t="b">
        <v>0</v>
      </c>
      <c r="L517" t="n">
        <v>11</v>
      </c>
      <c r="M517" t="inlineStr">
        <is>
          <t>FF0B0280</t>
        </is>
      </c>
      <c r="N517" t="inlineStr">
        <is>
          <t>00000000</t>
        </is>
      </c>
      <c r="O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</row>
    <row r="518">
      <c r="A518" t="inlineStr">
        <is>
          <t>CashFlow Statement</t>
        </is>
      </c>
      <c r="B518" t="inlineStr">
        <is>
          <t>K43</t>
        </is>
      </c>
      <c r="C518" t="n">
        <v>43</v>
      </c>
      <c r="D518" t="n">
        <v>11</v>
      </c>
      <c r="E518" t="inlineStr">
        <is>
          <t>Input</t>
        </is>
      </c>
      <c r="F518" t="n">
        <v/>
      </c>
      <c r="G518" t="inlineStr">
        <is>
          <t>-</t>
        </is>
      </c>
      <c r="H518" t="inlineStr"/>
      <c r="I518" t="inlineStr">
        <is>
          <t>0</t>
        </is>
      </c>
      <c r="J518" t="b">
        <v>0</v>
      </c>
      <c r="K518" t="b">
        <v>0</v>
      </c>
      <c r="L518" t="n">
        <v>11</v>
      </c>
      <c r="M518" t="inlineStr">
        <is>
          <t>Values must be of type &lt;class 'str'&gt;</t>
        </is>
      </c>
      <c r="N518" t="inlineStr">
        <is>
          <t>00000000</t>
        </is>
      </c>
      <c r="O518" t="inlineStr">
        <is>
          <t>center</t>
        </is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</row>
    <row r="519">
      <c r="A519" t="inlineStr">
        <is>
          <t>CashFlow Statement</t>
        </is>
      </c>
      <c r="B519" t="inlineStr">
        <is>
          <t>L43</t>
        </is>
      </c>
      <c r="C519" t="n">
        <v>43</v>
      </c>
      <c r="D519" t="n">
        <v>12</v>
      </c>
      <c r="E519" t="inlineStr">
        <is>
          <t>Input</t>
        </is>
      </c>
      <c r="F519" t="n">
        <v/>
      </c>
      <c r="G519" t="inlineStr">
        <is>
          <t>-</t>
        </is>
      </c>
      <c r="H519" t="inlineStr"/>
      <c r="I519" t="inlineStr">
        <is>
          <t>0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00000000</t>
        </is>
      </c>
      <c r="O519" t="inlineStr">
        <is>
          <t>center</t>
        </is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</row>
    <row r="520">
      <c r="A520" t="inlineStr">
        <is>
          <t>CashFlow Statement</t>
        </is>
      </c>
      <c r="B520" t="inlineStr">
        <is>
          <t>M43</t>
        </is>
      </c>
      <c r="C520" t="n">
        <v>43</v>
      </c>
      <c r="D520" t="n">
        <v>13</v>
      </c>
      <c r="E520" t="inlineStr">
        <is>
          <t>Input</t>
        </is>
      </c>
      <c r="F520" t="n">
        <v/>
      </c>
      <c r="G520" t="inlineStr">
        <is>
          <t>-</t>
        </is>
      </c>
      <c r="H520" t="inlineStr"/>
      <c r="I520" t="inlineStr">
        <is>
          <t>0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00000000</t>
        </is>
      </c>
      <c r="O520" t="inlineStr">
        <is>
          <t>center</t>
        </is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</row>
    <row r="521">
      <c r="A521" t="inlineStr">
        <is>
          <t>CashFlow Statement</t>
        </is>
      </c>
      <c r="B521" t="inlineStr">
        <is>
          <t>N43</t>
        </is>
      </c>
      <c r="C521" t="n">
        <v>43</v>
      </c>
      <c r="D521" t="n">
        <v>14</v>
      </c>
      <c r="E521" t="inlineStr">
        <is>
          <t>Input</t>
        </is>
      </c>
      <c r="F521" t="n">
        <v/>
      </c>
      <c r="G521" t="inlineStr">
        <is>
          <t>-</t>
        </is>
      </c>
      <c r="H521" t="inlineStr"/>
      <c r="I521" t="inlineStr">
        <is>
          <t>0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00000000</t>
        </is>
      </c>
      <c r="O521" t="inlineStr">
        <is>
          <t>center</t>
        </is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</row>
    <row r="522">
      <c r="A522" t="inlineStr">
        <is>
          <t>CashFlow Statement</t>
        </is>
      </c>
      <c r="B522" t="inlineStr">
        <is>
          <t>O43</t>
        </is>
      </c>
      <c r="C522" t="n">
        <v>43</v>
      </c>
      <c r="D522" t="n">
        <v>15</v>
      </c>
      <c r="E522" t="inlineStr">
        <is>
          <t>Input</t>
        </is>
      </c>
      <c r="F522" t="n">
        <v/>
      </c>
      <c r="G522" t="inlineStr">
        <is>
          <t>-</t>
        </is>
      </c>
      <c r="H522" t="inlineStr"/>
      <c r="I522" t="inlineStr">
        <is>
          <t>0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00000000</t>
        </is>
      </c>
      <c r="O522" t="inlineStr">
        <is>
          <t>center</t>
        </is>
      </c>
      <c r="R522" t="b">
        <v>1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</row>
    <row r="523">
      <c r="A523" t="inlineStr">
        <is>
          <t>CashFlow Statement</t>
        </is>
      </c>
      <c r="B523" t="inlineStr">
        <is>
          <t>A44</t>
        </is>
      </c>
      <c r="C523" t="n">
        <v>44</v>
      </c>
      <c r="D523" t="n">
        <v>1</v>
      </c>
      <c r="E523" t="inlineStr">
        <is>
          <t>Input</t>
        </is>
      </c>
      <c r="F523" t="n">
        <v/>
      </c>
      <c r="G523" t="inlineStr">
        <is>
          <t>Securities Premium</t>
        </is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00000000</t>
        </is>
      </c>
      <c r="O523" t="n">
        <v/>
      </c>
      <c r="R523" t="b">
        <v>1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</row>
    <row r="524">
      <c r="A524" t="inlineStr">
        <is>
          <t>CashFlow Statement</t>
        </is>
      </c>
      <c r="B524" t="inlineStr">
        <is>
          <t>D44</t>
        </is>
      </c>
      <c r="C524" t="n">
        <v>44</v>
      </c>
      <c r="D524" t="n">
        <v>4</v>
      </c>
      <c r="E524" t="inlineStr">
        <is>
          <t>Input</t>
        </is>
      </c>
      <c r="F524" t="n">
        <v/>
      </c>
      <c r="G524" t="n">
        <v>0</v>
      </c>
      <c r="H524" t="inlineStr"/>
      <c r="I524" t="inlineStr">
        <is>
          <t>0</t>
        </is>
      </c>
      <c r="J524" t="b">
        <v>0</v>
      </c>
      <c r="K524" t="b">
        <v>0</v>
      </c>
      <c r="L524" t="n">
        <v>11</v>
      </c>
      <c r="M524" t="inlineStr">
        <is>
          <t>FF0B0280</t>
        </is>
      </c>
      <c r="N524" t="inlineStr">
        <is>
          <t>00000000</t>
        </is>
      </c>
      <c r="O524" t="n">
        <v/>
      </c>
      <c r="R524" t="b">
        <v>1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</row>
    <row r="525">
      <c r="A525" t="inlineStr">
        <is>
          <t>CashFlow Statement</t>
        </is>
      </c>
      <c r="B525" t="inlineStr">
        <is>
          <t>E44</t>
        </is>
      </c>
      <c r="C525" t="n">
        <v>44</v>
      </c>
      <c r="D525" t="n">
        <v>5</v>
      </c>
      <c r="E525" t="inlineStr">
        <is>
          <t>Input</t>
        </is>
      </c>
      <c r="F525" t="n">
        <v/>
      </c>
      <c r="G525" t="n">
        <v>0</v>
      </c>
      <c r="H525" t="inlineStr"/>
      <c r="I525" t="inlineStr">
        <is>
          <t>0</t>
        </is>
      </c>
      <c r="J525" t="b">
        <v>0</v>
      </c>
      <c r="K525" t="b">
        <v>0</v>
      </c>
      <c r="L525" t="n">
        <v>11</v>
      </c>
      <c r="M525" t="inlineStr">
        <is>
          <t>FF0B0280</t>
        </is>
      </c>
      <c r="N525" t="inlineStr">
        <is>
          <t>00000000</t>
        </is>
      </c>
      <c r="O525" t="n">
        <v/>
      </c>
      <c r="R525" t="b">
        <v>1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</row>
    <row r="526">
      <c r="A526" t="inlineStr">
        <is>
          <t>CashFlow Statement</t>
        </is>
      </c>
      <c r="B526" t="inlineStr">
        <is>
          <t>F44</t>
        </is>
      </c>
      <c r="C526" t="n">
        <v>44</v>
      </c>
      <c r="D526" t="n">
        <v>6</v>
      </c>
      <c r="E526" t="inlineStr">
        <is>
          <t>Input</t>
        </is>
      </c>
      <c r="F526" t="n">
        <v/>
      </c>
      <c r="G526" t="n">
        <v>0</v>
      </c>
      <c r="H526" t="inlineStr"/>
      <c r="I526" t="inlineStr">
        <is>
          <t>0</t>
        </is>
      </c>
      <c r="J526" t="b">
        <v>0</v>
      </c>
      <c r="K526" t="b">
        <v>0</v>
      </c>
      <c r="L526" t="n">
        <v>11</v>
      </c>
      <c r="M526" t="inlineStr">
        <is>
          <t>FF0B0280</t>
        </is>
      </c>
      <c r="N526" t="inlineStr">
        <is>
          <t>00000000</t>
        </is>
      </c>
      <c r="O526" t="n">
        <v/>
      </c>
      <c r="R526" t="b">
        <v>1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</row>
    <row r="527">
      <c r="A527" t="inlineStr">
        <is>
          <t>CashFlow Statement</t>
        </is>
      </c>
      <c r="B527" t="inlineStr">
        <is>
          <t>G44</t>
        </is>
      </c>
      <c r="C527" t="n">
        <v>44</v>
      </c>
      <c r="D527" t="n">
        <v>7</v>
      </c>
      <c r="E527" t="inlineStr">
        <is>
          <t>Input</t>
        </is>
      </c>
      <c r="F527" t="n">
        <v/>
      </c>
      <c r="G527" t="n">
        <v>0</v>
      </c>
      <c r="H527" t="inlineStr"/>
      <c r="I527" t="inlineStr">
        <is>
          <t>0</t>
        </is>
      </c>
      <c r="J527" t="b">
        <v>0</v>
      </c>
      <c r="K527" t="b">
        <v>0</v>
      </c>
      <c r="L527" t="n">
        <v>11</v>
      </c>
      <c r="M527" t="inlineStr">
        <is>
          <t>FF0B0280</t>
        </is>
      </c>
      <c r="N527" t="inlineStr">
        <is>
          <t>00000000</t>
        </is>
      </c>
      <c r="O527" t="n">
        <v/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</row>
    <row r="528">
      <c r="A528" t="inlineStr">
        <is>
          <t>CashFlow Statement</t>
        </is>
      </c>
      <c r="B528" t="inlineStr">
        <is>
          <t>H44</t>
        </is>
      </c>
      <c r="C528" t="n">
        <v>44</v>
      </c>
      <c r="D528" t="n">
        <v>8</v>
      </c>
      <c r="E528" t="inlineStr">
        <is>
          <t>Input</t>
        </is>
      </c>
      <c r="F528" t="n">
        <v/>
      </c>
      <c r="G528" t="n">
        <v>0</v>
      </c>
      <c r="H528" t="inlineStr"/>
      <c r="I528" t="inlineStr">
        <is>
          <t>0</t>
        </is>
      </c>
      <c r="J528" t="b">
        <v>0</v>
      </c>
      <c r="K528" t="b">
        <v>0</v>
      </c>
      <c r="L528" t="n">
        <v>11</v>
      </c>
      <c r="M528" t="inlineStr">
        <is>
          <t>FF0B0280</t>
        </is>
      </c>
      <c r="N528" t="inlineStr">
        <is>
          <t>00000000</t>
        </is>
      </c>
      <c r="O528" t="n">
        <v/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</row>
    <row r="529">
      <c r="A529" t="inlineStr">
        <is>
          <t>CashFlow Statement</t>
        </is>
      </c>
      <c r="B529" t="inlineStr">
        <is>
          <t>I44</t>
        </is>
      </c>
      <c r="C529" t="n">
        <v>44</v>
      </c>
      <c r="D529" t="n">
        <v>9</v>
      </c>
      <c r="E529" t="inlineStr">
        <is>
          <t>Input</t>
        </is>
      </c>
      <c r="F529" t="n">
        <v/>
      </c>
      <c r="G529" t="n">
        <v>11971.74</v>
      </c>
      <c r="H529" t="inlineStr"/>
      <c r="I529" t="inlineStr">
        <is>
          <t>0</t>
        </is>
      </c>
      <c r="J529" t="b">
        <v>0</v>
      </c>
      <c r="K529" t="b">
        <v>0</v>
      </c>
      <c r="L529" t="n">
        <v>11</v>
      </c>
      <c r="M529" t="inlineStr">
        <is>
          <t>FF0B0280</t>
        </is>
      </c>
      <c r="N529" t="inlineStr">
        <is>
          <t>00000000</t>
        </is>
      </c>
      <c r="O529" t="n">
        <v/>
      </c>
      <c r="R529" t="b">
        <v>1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</row>
    <row r="530">
      <c r="A530" t="inlineStr">
        <is>
          <t>CashFlow Statement</t>
        </is>
      </c>
      <c r="B530" t="inlineStr">
        <is>
          <t>J44</t>
        </is>
      </c>
      <c r="C530" t="n">
        <v>44</v>
      </c>
      <c r="D530" t="n">
        <v>10</v>
      </c>
      <c r="E530" t="inlineStr">
        <is>
          <t>Input</t>
        </is>
      </c>
      <c r="F530" t="n">
        <v/>
      </c>
      <c r="G530" t="n">
        <v>0</v>
      </c>
      <c r="H530" t="inlineStr"/>
      <c r="I530" t="inlineStr">
        <is>
          <t>0</t>
        </is>
      </c>
      <c r="J530" t="b">
        <v>0</v>
      </c>
      <c r="K530" t="b">
        <v>0</v>
      </c>
      <c r="L530" t="n">
        <v>11</v>
      </c>
      <c r="M530" t="inlineStr">
        <is>
          <t>FF0B0280</t>
        </is>
      </c>
      <c r="N530" t="inlineStr">
        <is>
          <t>00000000</t>
        </is>
      </c>
      <c r="O530" t="n">
        <v/>
      </c>
      <c r="R530" t="b">
        <v>1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</row>
    <row r="531">
      <c r="A531" t="inlineStr">
        <is>
          <t>CashFlow Statement</t>
        </is>
      </c>
      <c r="B531" t="inlineStr">
        <is>
          <t>K44</t>
        </is>
      </c>
      <c r="C531" t="n">
        <v>44</v>
      </c>
      <c r="D531" t="n">
        <v>11</v>
      </c>
      <c r="E531" t="inlineStr">
        <is>
          <t>Input</t>
        </is>
      </c>
      <c r="F531" t="n">
        <v/>
      </c>
      <c r="G531" t="inlineStr">
        <is>
          <t>-</t>
        </is>
      </c>
      <c r="H531" t="inlineStr"/>
      <c r="I531" t="inlineStr">
        <is>
          <t>0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00000000</t>
        </is>
      </c>
      <c r="O531" t="inlineStr">
        <is>
          <t>center</t>
        </is>
      </c>
      <c r="R531" t="b">
        <v>1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</row>
    <row r="532">
      <c r="A532" t="inlineStr">
        <is>
          <t>CashFlow Statement</t>
        </is>
      </c>
      <c r="B532" t="inlineStr">
        <is>
          <t>L44</t>
        </is>
      </c>
      <c r="C532" t="n">
        <v>44</v>
      </c>
      <c r="D532" t="n">
        <v>12</v>
      </c>
      <c r="E532" t="inlineStr">
        <is>
          <t>Input</t>
        </is>
      </c>
      <c r="F532" t="n">
        <v/>
      </c>
      <c r="G532" t="inlineStr">
        <is>
          <t>-</t>
        </is>
      </c>
      <c r="H532" t="inlineStr"/>
      <c r="I532" t="inlineStr">
        <is>
          <t>0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00000000</t>
        </is>
      </c>
      <c r="O532" t="inlineStr">
        <is>
          <t>center</t>
        </is>
      </c>
      <c r="R532" t="b">
        <v>1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</row>
    <row r="533">
      <c r="A533" t="inlineStr">
        <is>
          <t>CashFlow Statement</t>
        </is>
      </c>
      <c r="B533" t="inlineStr">
        <is>
          <t>M44</t>
        </is>
      </c>
      <c r="C533" t="n">
        <v>44</v>
      </c>
      <c r="D533" t="n">
        <v>13</v>
      </c>
      <c r="E533" t="inlineStr">
        <is>
          <t>Input</t>
        </is>
      </c>
      <c r="F533" t="n">
        <v/>
      </c>
      <c r="G533" t="inlineStr">
        <is>
          <t>-</t>
        </is>
      </c>
      <c r="H533" t="inlineStr"/>
      <c r="I533" t="inlineStr">
        <is>
          <t>0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inlineStr">
        <is>
          <t>center</t>
        </is>
      </c>
      <c r="R533" t="b">
        <v>1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</row>
    <row r="534">
      <c r="A534" t="inlineStr">
        <is>
          <t>CashFlow Statement</t>
        </is>
      </c>
      <c r="B534" t="inlineStr">
        <is>
          <t>N44</t>
        </is>
      </c>
      <c r="C534" t="n">
        <v>44</v>
      </c>
      <c r="D534" t="n">
        <v>14</v>
      </c>
      <c r="E534" t="inlineStr">
        <is>
          <t>Input</t>
        </is>
      </c>
      <c r="F534" t="n">
        <v/>
      </c>
      <c r="G534" t="inlineStr">
        <is>
          <t>-</t>
        </is>
      </c>
      <c r="H534" t="inlineStr"/>
      <c r="I534" t="inlineStr">
        <is>
          <t>0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inlineStr">
        <is>
          <t>center</t>
        </is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</row>
    <row r="535">
      <c r="A535" t="inlineStr">
        <is>
          <t>CashFlow Statement</t>
        </is>
      </c>
      <c r="B535" t="inlineStr">
        <is>
          <t>O44</t>
        </is>
      </c>
      <c r="C535" t="n">
        <v>44</v>
      </c>
      <c r="D535" t="n">
        <v>15</v>
      </c>
      <c r="E535" t="inlineStr">
        <is>
          <t>Input</t>
        </is>
      </c>
      <c r="F535" t="n">
        <v/>
      </c>
      <c r="G535" t="inlineStr">
        <is>
          <t>-</t>
        </is>
      </c>
      <c r="H535" t="inlineStr"/>
      <c r="I535" t="inlineStr">
        <is>
          <t>0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00000000</t>
        </is>
      </c>
      <c r="O535" t="inlineStr">
        <is>
          <t>center</t>
        </is>
      </c>
      <c r="R535" t="b">
        <v>1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</row>
    <row r="536">
      <c r="A536" t="inlineStr">
        <is>
          <t>CashFlow Statement</t>
        </is>
      </c>
      <c r="B536" t="inlineStr">
        <is>
          <t>A45</t>
        </is>
      </c>
      <c r="C536" t="n">
        <v>45</v>
      </c>
      <c r="D536" t="n">
        <v>1</v>
      </c>
      <c r="E536" t="inlineStr">
        <is>
          <t>Input</t>
        </is>
      </c>
      <c r="F536" t="n">
        <v/>
      </c>
      <c r="G536" t="inlineStr">
        <is>
          <t>Repayment of share capital</t>
        </is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00000000</t>
        </is>
      </c>
      <c r="O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CashFlow Statement</t>
        </is>
      </c>
      <c r="B537" t="inlineStr">
        <is>
          <t>D45</t>
        </is>
      </c>
      <c r="C537" t="n">
        <v>45</v>
      </c>
      <c r="D537" t="n">
        <v>4</v>
      </c>
      <c r="E537" t="inlineStr">
        <is>
          <t>Input</t>
        </is>
      </c>
      <c r="F537" t="n">
        <v/>
      </c>
      <c r="G537" t="n">
        <v>-2012.43</v>
      </c>
      <c r="H537" t="inlineStr"/>
      <c r="I537" t="inlineStr">
        <is>
          <t>0</t>
        </is>
      </c>
      <c r="J537" t="b">
        <v>0</v>
      </c>
      <c r="K537" t="b">
        <v>0</v>
      </c>
      <c r="L537" t="n">
        <v>11</v>
      </c>
      <c r="M537" t="inlineStr">
        <is>
          <t>FF0B0280</t>
        </is>
      </c>
      <c r="N537" t="inlineStr">
        <is>
          <t>00000000</t>
        </is>
      </c>
      <c r="O537" t="n">
        <v/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</row>
    <row r="538">
      <c r="A538" t="inlineStr">
        <is>
          <t>CashFlow Statement</t>
        </is>
      </c>
      <c r="B538" t="inlineStr">
        <is>
          <t>E45</t>
        </is>
      </c>
      <c r="C538" t="n">
        <v>45</v>
      </c>
      <c r="D538" t="n">
        <v>5</v>
      </c>
      <c r="E538" t="inlineStr">
        <is>
          <t>Input</t>
        </is>
      </c>
      <c r="F538" t="n">
        <v/>
      </c>
      <c r="G538" t="n">
        <v>0</v>
      </c>
      <c r="H538" t="inlineStr"/>
      <c r="I538" t="inlineStr">
        <is>
          <t>0</t>
        </is>
      </c>
      <c r="J538" t="b">
        <v>0</v>
      </c>
      <c r="K538" t="b">
        <v>0</v>
      </c>
      <c r="L538" t="n">
        <v>11</v>
      </c>
      <c r="M538" t="inlineStr">
        <is>
          <t>FF0B0280</t>
        </is>
      </c>
      <c r="N538" t="inlineStr">
        <is>
          <t>00000000</t>
        </is>
      </c>
      <c r="O538" t="n">
        <v/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CashFlow Statement</t>
        </is>
      </c>
      <c r="B539" t="inlineStr">
        <is>
          <t>F45</t>
        </is>
      </c>
      <c r="C539" t="n">
        <v>45</v>
      </c>
      <c r="D539" t="n">
        <v>6</v>
      </c>
      <c r="E539" t="inlineStr">
        <is>
          <t>Input</t>
        </is>
      </c>
      <c r="F539" t="n">
        <v/>
      </c>
      <c r="G539" t="n">
        <v>0</v>
      </c>
      <c r="H539" t="inlineStr"/>
      <c r="I539" t="inlineStr">
        <is>
          <t>0</t>
        </is>
      </c>
      <c r="J539" t="b">
        <v>0</v>
      </c>
      <c r="K539" t="b">
        <v>0</v>
      </c>
      <c r="L539" t="n">
        <v>11</v>
      </c>
      <c r="M539" t="inlineStr">
        <is>
          <t>FF0B0280</t>
        </is>
      </c>
      <c r="N539" t="inlineStr">
        <is>
          <t>00000000</t>
        </is>
      </c>
      <c r="O539" t="n">
        <v/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CashFlow Statement</t>
        </is>
      </c>
      <c r="B540" t="inlineStr">
        <is>
          <t>G45</t>
        </is>
      </c>
      <c r="C540" t="n">
        <v>45</v>
      </c>
      <c r="D540" t="n">
        <v>7</v>
      </c>
      <c r="E540" t="inlineStr">
        <is>
          <t>Input</t>
        </is>
      </c>
      <c r="F540" t="n">
        <v/>
      </c>
      <c r="G540" t="n">
        <v>0</v>
      </c>
      <c r="H540" t="inlineStr"/>
      <c r="I540" t="inlineStr">
        <is>
          <t>0</t>
        </is>
      </c>
      <c r="J540" t="b">
        <v>0</v>
      </c>
      <c r="K540" t="b">
        <v>0</v>
      </c>
      <c r="L540" t="n">
        <v>11</v>
      </c>
      <c r="M540" t="inlineStr">
        <is>
          <t>FF0B0280</t>
        </is>
      </c>
      <c r="N540" t="inlineStr">
        <is>
          <t>00000000</t>
        </is>
      </c>
      <c r="O540" t="n">
        <v/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CashFlow Statement</t>
        </is>
      </c>
      <c r="B541" t="inlineStr">
        <is>
          <t>H45</t>
        </is>
      </c>
      <c r="C541" t="n">
        <v>45</v>
      </c>
      <c r="D541" t="n">
        <v>8</v>
      </c>
      <c r="E541" t="inlineStr">
        <is>
          <t>Input</t>
        </is>
      </c>
      <c r="F541" t="n">
        <v/>
      </c>
      <c r="G541" t="n">
        <v>0</v>
      </c>
      <c r="H541" t="inlineStr"/>
      <c r="I541" t="inlineStr">
        <is>
          <t>0</t>
        </is>
      </c>
      <c r="J541" t="b">
        <v>0</v>
      </c>
      <c r="K541" t="b">
        <v>0</v>
      </c>
      <c r="L541" t="n">
        <v>11</v>
      </c>
      <c r="M541" t="inlineStr">
        <is>
          <t>FF0B0280</t>
        </is>
      </c>
      <c r="N541" t="inlineStr">
        <is>
          <t>00000000</t>
        </is>
      </c>
      <c r="O541" t="n">
        <v/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CashFlow Statement</t>
        </is>
      </c>
      <c r="B542" t="inlineStr">
        <is>
          <t>I45</t>
        </is>
      </c>
      <c r="C542" t="n">
        <v>45</v>
      </c>
      <c r="D542" t="n">
        <v>9</v>
      </c>
      <c r="E542" t="inlineStr">
        <is>
          <t>Input</t>
        </is>
      </c>
      <c r="F542" t="n">
        <v/>
      </c>
      <c r="G542" t="n">
        <v>0</v>
      </c>
      <c r="H542" t="inlineStr"/>
      <c r="I542" t="inlineStr">
        <is>
          <t>0</t>
        </is>
      </c>
      <c r="J542" t="b">
        <v>0</v>
      </c>
      <c r="K542" t="b">
        <v>0</v>
      </c>
      <c r="L542" t="n">
        <v>11</v>
      </c>
      <c r="M542" t="inlineStr">
        <is>
          <t>FF0B0280</t>
        </is>
      </c>
      <c r="N542" t="inlineStr">
        <is>
          <t>00000000</t>
        </is>
      </c>
      <c r="O542" t="n">
        <v/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CashFlow Statement</t>
        </is>
      </c>
      <c r="B543" t="inlineStr">
        <is>
          <t>J45</t>
        </is>
      </c>
      <c r="C543" t="n">
        <v>45</v>
      </c>
      <c r="D543" t="n">
        <v>10</v>
      </c>
      <c r="E543" t="inlineStr">
        <is>
          <t>Input</t>
        </is>
      </c>
      <c r="F543" t="n">
        <v/>
      </c>
      <c r="G543" t="n">
        <v>0</v>
      </c>
      <c r="H543" t="inlineStr"/>
      <c r="I543" t="inlineStr">
        <is>
          <t>0</t>
        </is>
      </c>
      <c r="J543" t="b">
        <v>0</v>
      </c>
      <c r="K543" t="b">
        <v>0</v>
      </c>
      <c r="L543" t="n">
        <v>11</v>
      </c>
      <c r="M543" t="inlineStr">
        <is>
          <t>FF0B0280</t>
        </is>
      </c>
      <c r="N543" t="inlineStr">
        <is>
          <t>00000000</t>
        </is>
      </c>
      <c r="O543" t="n">
        <v/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</row>
    <row r="544">
      <c r="A544" t="inlineStr">
        <is>
          <t>CashFlow Statement</t>
        </is>
      </c>
      <c r="B544" t="inlineStr">
        <is>
          <t>K45</t>
        </is>
      </c>
      <c r="C544" t="n">
        <v>45</v>
      </c>
      <c r="D544" t="n">
        <v>11</v>
      </c>
      <c r="E544" t="inlineStr">
        <is>
          <t>Input</t>
        </is>
      </c>
      <c r="F544" t="n">
        <v/>
      </c>
      <c r="G544" t="inlineStr">
        <is>
          <t>-</t>
        </is>
      </c>
      <c r="H544" t="inlineStr"/>
      <c r="I544" t="inlineStr">
        <is>
          <t>0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inlineStr">
        <is>
          <t>center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</row>
    <row r="545">
      <c r="A545" t="inlineStr">
        <is>
          <t>CashFlow Statement</t>
        </is>
      </c>
      <c r="B545" t="inlineStr">
        <is>
          <t>L45</t>
        </is>
      </c>
      <c r="C545" t="n">
        <v>45</v>
      </c>
      <c r="D545" t="n">
        <v>12</v>
      </c>
      <c r="E545" t="inlineStr">
        <is>
          <t>Input</t>
        </is>
      </c>
      <c r="F545" t="n">
        <v/>
      </c>
      <c r="G545" t="inlineStr">
        <is>
          <t>-</t>
        </is>
      </c>
      <c r="H545" t="inlineStr"/>
      <c r="I545" t="inlineStr">
        <is>
          <t>0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00000000</t>
        </is>
      </c>
      <c r="O545" t="inlineStr">
        <is>
          <t>center</t>
        </is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</row>
    <row r="546">
      <c r="A546" t="inlineStr">
        <is>
          <t>CashFlow Statement</t>
        </is>
      </c>
      <c r="B546" t="inlineStr">
        <is>
          <t>M45</t>
        </is>
      </c>
      <c r="C546" t="n">
        <v>45</v>
      </c>
      <c r="D546" t="n">
        <v>13</v>
      </c>
      <c r="E546" t="inlineStr">
        <is>
          <t>Input</t>
        </is>
      </c>
      <c r="F546" t="n">
        <v/>
      </c>
      <c r="G546" t="inlineStr">
        <is>
          <t>-</t>
        </is>
      </c>
      <c r="H546" t="inlineStr"/>
      <c r="I546" t="inlineStr">
        <is>
          <t>0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00000000</t>
        </is>
      </c>
      <c r="O546" t="inlineStr">
        <is>
          <t>center</t>
        </is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</row>
    <row r="547">
      <c r="A547" t="inlineStr">
        <is>
          <t>CashFlow Statement</t>
        </is>
      </c>
      <c r="B547" t="inlineStr">
        <is>
          <t>N45</t>
        </is>
      </c>
      <c r="C547" t="n">
        <v>45</v>
      </c>
      <c r="D547" t="n">
        <v>14</v>
      </c>
      <c r="E547" t="inlineStr">
        <is>
          <t>Input</t>
        </is>
      </c>
      <c r="F547" t="n">
        <v/>
      </c>
      <c r="G547" t="inlineStr">
        <is>
          <t>-</t>
        </is>
      </c>
      <c r="H547" t="inlineStr"/>
      <c r="I547" t="inlineStr">
        <is>
          <t>0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inlineStr">
        <is>
          <t>center</t>
        </is>
      </c>
      <c r="R547" t="b">
        <v>1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</row>
    <row r="548">
      <c r="A548" t="inlineStr">
        <is>
          <t>CashFlow Statement</t>
        </is>
      </c>
      <c r="B548" t="inlineStr">
        <is>
          <t>O45</t>
        </is>
      </c>
      <c r="C548" t="n">
        <v>45</v>
      </c>
      <c r="D548" t="n">
        <v>15</v>
      </c>
      <c r="E548" t="inlineStr">
        <is>
          <t>Input</t>
        </is>
      </c>
      <c r="F548" t="n">
        <v/>
      </c>
      <c r="G548" t="inlineStr">
        <is>
          <t>-</t>
        </is>
      </c>
      <c r="H548" t="inlineStr"/>
      <c r="I548" t="inlineStr">
        <is>
          <t>0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inlineStr">
        <is>
          <t>center</t>
        </is>
      </c>
      <c r="R548" t="b">
        <v>1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</row>
    <row r="549">
      <c r="A549" t="inlineStr">
        <is>
          <t>CashFlow Statement</t>
        </is>
      </c>
      <c r="B549" t="inlineStr">
        <is>
          <t>A46</t>
        </is>
      </c>
      <c r="C549" t="n">
        <v>46</v>
      </c>
      <c r="D549" t="n">
        <v>1</v>
      </c>
      <c r="E549" t="inlineStr">
        <is>
          <t>Input</t>
        </is>
      </c>
      <c r="F549" t="n">
        <v/>
      </c>
      <c r="G549" t="inlineStr">
        <is>
          <t>Dividend paid</t>
        </is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00000000</t>
        </is>
      </c>
      <c r="O549" t="n">
        <v/>
      </c>
      <c r="R549" t="b">
        <v>1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CashFlow Statement</t>
        </is>
      </c>
      <c r="B550" t="inlineStr">
        <is>
          <t>D46</t>
        </is>
      </c>
      <c r="C550" t="n">
        <v>46</v>
      </c>
      <c r="D550" t="n">
        <v>4</v>
      </c>
      <c r="E550" t="inlineStr">
        <is>
          <t>Input</t>
        </is>
      </c>
      <c r="F550" t="n">
        <v/>
      </c>
      <c r="G550" t="n">
        <v>0</v>
      </c>
      <c r="H550" t="inlineStr"/>
      <c r="I550" t="inlineStr">
        <is>
          <t>0</t>
        </is>
      </c>
      <c r="J550" t="b">
        <v>0</v>
      </c>
      <c r="K550" t="b">
        <v>0</v>
      </c>
      <c r="L550" t="n">
        <v>11</v>
      </c>
      <c r="M550" t="inlineStr">
        <is>
          <t>FF0B0280</t>
        </is>
      </c>
      <c r="N550" t="inlineStr">
        <is>
          <t>00000000</t>
        </is>
      </c>
      <c r="O550" t="n">
        <v/>
      </c>
      <c r="R550" t="b">
        <v>1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CashFlow Statement</t>
        </is>
      </c>
      <c r="B551" t="inlineStr">
        <is>
          <t>E46</t>
        </is>
      </c>
      <c r="C551" t="n">
        <v>46</v>
      </c>
      <c r="D551" t="n">
        <v>5</v>
      </c>
      <c r="E551" t="inlineStr">
        <is>
          <t>Input</t>
        </is>
      </c>
      <c r="F551" t="n">
        <v/>
      </c>
      <c r="G551" t="n">
        <v>-4904.31</v>
      </c>
      <c r="H551" t="inlineStr"/>
      <c r="I551" t="inlineStr">
        <is>
          <t>0</t>
        </is>
      </c>
      <c r="J551" t="b">
        <v>0</v>
      </c>
      <c r="K551" t="b">
        <v>0</v>
      </c>
      <c r="L551" t="n">
        <v>11</v>
      </c>
      <c r="M551" t="inlineStr">
        <is>
          <t>FF0B0280</t>
        </is>
      </c>
      <c r="N551" t="inlineStr">
        <is>
          <t>00000000</t>
        </is>
      </c>
      <c r="O551" t="n">
        <v/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</row>
    <row r="552">
      <c r="A552" t="inlineStr">
        <is>
          <t>CashFlow Statement</t>
        </is>
      </c>
      <c r="B552" t="inlineStr">
        <is>
          <t>F46</t>
        </is>
      </c>
      <c r="C552" t="n">
        <v>46</v>
      </c>
      <c r="D552" t="n">
        <v>6</v>
      </c>
      <c r="E552" t="inlineStr">
        <is>
          <t>Input</t>
        </is>
      </c>
      <c r="F552" t="n">
        <v/>
      </c>
      <c r="G552" t="n">
        <v>-5486.38</v>
      </c>
      <c r="H552" t="inlineStr"/>
      <c r="I552" t="inlineStr">
        <is>
          <t>0</t>
        </is>
      </c>
      <c r="J552" t="b">
        <v>0</v>
      </c>
      <c r="K552" t="b">
        <v>0</v>
      </c>
      <c r="L552" t="n">
        <v>11</v>
      </c>
      <c r="M552" t="inlineStr">
        <is>
          <t>FF0B0280</t>
        </is>
      </c>
      <c r="N552" t="inlineStr">
        <is>
          <t>00000000</t>
        </is>
      </c>
      <c r="O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</row>
    <row r="553">
      <c r="A553" t="inlineStr">
        <is>
          <t>CashFlow Statement</t>
        </is>
      </c>
      <c r="B553" t="inlineStr">
        <is>
          <t>G46</t>
        </is>
      </c>
      <c r="C553" t="n">
        <v>46</v>
      </c>
      <c r="D553" t="n">
        <v>7</v>
      </c>
      <c r="E553" t="inlineStr">
        <is>
          <t>Input</t>
        </is>
      </c>
      <c r="F553" t="n">
        <v/>
      </c>
      <c r="G553" t="n">
        <v>0</v>
      </c>
      <c r="H553" t="inlineStr"/>
      <c r="I553" t="inlineStr">
        <is>
          <t>0</t>
        </is>
      </c>
      <c r="J553" t="b">
        <v>0</v>
      </c>
      <c r="K553" t="b">
        <v>0</v>
      </c>
      <c r="L553" t="n">
        <v>11</v>
      </c>
      <c r="M553" t="inlineStr">
        <is>
          <t>FF0B0280</t>
        </is>
      </c>
      <c r="N553" t="inlineStr">
        <is>
          <t>00000000</t>
        </is>
      </c>
      <c r="O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</row>
    <row r="554">
      <c r="A554" t="inlineStr">
        <is>
          <t>CashFlow Statement</t>
        </is>
      </c>
      <c r="B554" t="inlineStr">
        <is>
          <t>H46</t>
        </is>
      </c>
      <c r="C554" t="n">
        <v>46</v>
      </c>
      <c r="D554" t="n">
        <v>8</v>
      </c>
      <c r="E554" t="inlineStr">
        <is>
          <t>Input</t>
        </is>
      </c>
      <c r="F554" t="n">
        <v/>
      </c>
      <c r="G554" t="n">
        <v>-13575.3</v>
      </c>
      <c r="H554" t="inlineStr"/>
      <c r="I554" t="inlineStr">
        <is>
          <t>0</t>
        </is>
      </c>
      <c r="J554" t="b">
        <v>0</v>
      </c>
      <c r="K554" t="b">
        <v>0</v>
      </c>
      <c r="L554" t="n">
        <v>11</v>
      </c>
      <c r="M554" t="inlineStr">
        <is>
          <t>FF0B0280</t>
        </is>
      </c>
      <c r="N554" t="inlineStr">
        <is>
          <t>00000000</t>
        </is>
      </c>
      <c r="O554" t="n">
        <v/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</row>
    <row r="555">
      <c r="A555" t="inlineStr">
        <is>
          <t>CashFlow Statement</t>
        </is>
      </c>
      <c r="B555" t="inlineStr">
        <is>
          <t>I46</t>
        </is>
      </c>
      <c r="C555" t="n">
        <v>46</v>
      </c>
      <c r="D555" t="n">
        <v>9</v>
      </c>
      <c r="E555" t="inlineStr">
        <is>
          <t>Input</t>
        </is>
      </c>
      <c r="F555" t="n">
        <v/>
      </c>
      <c r="G555" t="n">
        <v>-11026.49</v>
      </c>
      <c r="H555" t="inlineStr"/>
      <c r="I555" t="inlineStr">
        <is>
          <t>0</t>
        </is>
      </c>
      <c r="J555" t="b">
        <v>0</v>
      </c>
      <c r="K555" t="b">
        <v>0</v>
      </c>
      <c r="L555" t="n">
        <v>11</v>
      </c>
      <c r="M555" t="inlineStr">
        <is>
          <t>FF0B0280</t>
        </is>
      </c>
      <c r="N555" t="inlineStr">
        <is>
          <t>00000000</t>
        </is>
      </c>
      <c r="O555" t="n">
        <v/>
      </c>
      <c r="R555" t="b">
        <v>1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</row>
    <row r="556">
      <c r="A556" t="inlineStr">
        <is>
          <t>CashFlow Statement</t>
        </is>
      </c>
      <c r="B556" t="inlineStr">
        <is>
          <t>J46</t>
        </is>
      </c>
      <c r="C556" t="n">
        <v>46</v>
      </c>
      <c r="D556" t="n">
        <v>10</v>
      </c>
      <c r="E556" t="inlineStr">
        <is>
          <t>Input</t>
        </is>
      </c>
      <c r="F556" t="n">
        <v/>
      </c>
      <c r="G556" t="n">
        <v>-5422.03</v>
      </c>
      <c r="H556" t="inlineStr"/>
      <c r="I556" t="inlineStr">
        <is>
          <t>0</t>
        </is>
      </c>
      <c r="J556" t="b">
        <v>0</v>
      </c>
      <c r="K556" t="b">
        <v>0</v>
      </c>
      <c r="L556" t="n">
        <v>11</v>
      </c>
      <c r="M556" t="inlineStr">
        <is>
          <t>FF0B0280</t>
        </is>
      </c>
      <c r="N556" t="inlineStr">
        <is>
          <t>00000000</t>
        </is>
      </c>
      <c r="O556" t="n">
        <v/>
      </c>
      <c r="R556" t="b">
        <v>1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</row>
    <row r="557">
      <c r="A557" t="inlineStr">
        <is>
          <t>CashFlow Statement</t>
        </is>
      </c>
      <c r="B557" t="inlineStr">
        <is>
          <t>K46</t>
        </is>
      </c>
      <c r="C557" t="n">
        <v>46</v>
      </c>
      <c r="D557" t="n">
        <v>11</v>
      </c>
      <c r="E557" t="inlineStr">
        <is>
          <t>Calculation</t>
        </is>
      </c>
      <c r="F557" t="inlineStr">
        <is>
          <t>'=-'Cost Matrix'!K46</t>
        </is>
      </c>
      <c r="G557" t="n">
        <v>-12650.08602492177</v>
      </c>
      <c r="H557" t="inlineStr"/>
      <c r="I557" t="inlineStr">
        <is>
          <t>0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inlineStr">
        <is>
          <t>center</t>
        </is>
      </c>
      <c r="R557" t="b">
        <v>1</v>
      </c>
      <c r="S557" t="inlineStr">
        <is>
          <t>G000276</t>
        </is>
      </c>
      <c r="T557" t="inlineStr">
        <is>
          <t>Horizontal</t>
        </is>
      </c>
      <c r="U557" t="n">
        <v>5</v>
      </c>
      <c r="V557" t="b">
        <v>1</v>
      </c>
      <c r="W557" t="inlineStr">
        <is>
          <t>CashFlow Statement!K46:O46</t>
        </is>
      </c>
      <c r="X557">
        <f>-'Cost Matrix'!R[0]C[0]</f>
        <v/>
      </c>
    </row>
    <row r="558">
      <c r="A558" t="inlineStr">
        <is>
          <t>CashFlow Statement</t>
        </is>
      </c>
      <c r="B558" t="inlineStr">
        <is>
          <t>L46</t>
        </is>
      </c>
      <c r="C558" t="n">
        <v>46</v>
      </c>
      <c r="D558" t="n">
        <v>12</v>
      </c>
      <c r="E558" t="inlineStr">
        <is>
          <t>Calculation</t>
        </is>
      </c>
      <c r="F558" t="inlineStr">
        <is>
          <t>'=-'Cost Matrix'!L46</t>
        </is>
      </c>
      <c r="G558" t="n">
        <v>-14158.11766324755</v>
      </c>
      <c r="H558" t="inlineStr"/>
      <c r="I558" t="inlineStr">
        <is>
          <t>0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00000000</t>
        </is>
      </c>
      <c r="O558" t="inlineStr">
        <is>
          <t>center</t>
        </is>
      </c>
      <c r="R558" t="b">
        <v>1</v>
      </c>
      <c r="S558" t="inlineStr">
        <is>
          <t>G000276</t>
        </is>
      </c>
      <c r="T558" t="inlineStr">
        <is>
          <t>Horizontal</t>
        </is>
      </c>
      <c r="U558" t="n">
        <v>5</v>
      </c>
      <c r="V558" t="b">
        <v>1</v>
      </c>
      <c r="W558" t="inlineStr">
        <is>
          <t>CashFlow Statement!K46:O46</t>
        </is>
      </c>
      <c r="X558">
        <f>-'Cost Matrix'!R[0]C[0]</f>
        <v/>
      </c>
    </row>
    <row r="559">
      <c r="A559" t="inlineStr">
        <is>
          <t>CashFlow Statement</t>
        </is>
      </c>
      <c r="B559" t="inlineStr">
        <is>
          <t>M46</t>
        </is>
      </c>
      <c r="C559" t="n">
        <v>46</v>
      </c>
      <c r="D559" t="n">
        <v>13</v>
      </c>
      <c r="E559" t="inlineStr">
        <is>
          <t>Calculation</t>
        </is>
      </c>
      <c r="F559" t="inlineStr">
        <is>
          <t>'=-'Cost Matrix'!M46</t>
        </is>
      </c>
      <c r="G559" t="n">
        <v>-17415.18086151407</v>
      </c>
      <c r="H559" t="inlineStr"/>
      <c r="I559" t="inlineStr">
        <is>
          <t>0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inlineStr">
        <is>
          <t>center</t>
        </is>
      </c>
      <c r="R559" t="b">
        <v>1</v>
      </c>
      <c r="S559" t="inlineStr">
        <is>
          <t>G000276</t>
        </is>
      </c>
      <c r="T559" t="inlineStr">
        <is>
          <t>Horizontal</t>
        </is>
      </c>
      <c r="U559" t="n">
        <v>5</v>
      </c>
      <c r="V559" t="b">
        <v>1</v>
      </c>
      <c r="W559" t="inlineStr">
        <is>
          <t>CashFlow Statement!K46:O46</t>
        </is>
      </c>
      <c r="X559">
        <f>-'Cost Matrix'!R[0]C[0]</f>
        <v/>
      </c>
    </row>
    <row r="560">
      <c r="A560" t="inlineStr">
        <is>
          <t>CashFlow Statement</t>
        </is>
      </c>
      <c r="B560" t="inlineStr">
        <is>
          <t>N46</t>
        </is>
      </c>
      <c r="C560" t="n">
        <v>46</v>
      </c>
      <c r="D560" t="n">
        <v>14</v>
      </c>
      <c r="E560" t="inlineStr">
        <is>
          <t>Calculation</t>
        </is>
      </c>
      <c r="F560" t="inlineStr">
        <is>
          <t>'=-'Cost Matrix'!N46</t>
        </is>
      </c>
      <c r="G560" t="n">
        <v>-20797.25261639633</v>
      </c>
      <c r="H560" t="inlineStr"/>
      <c r="I560" t="inlineStr">
        <is>
          <t>0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inlineStr">
        <is>
          <t>center</t>
        </is>
      </c>
      <c r="R560" t="b">
        <v>1</v>
      </c>
      <c r="S560" t="inlineStr">
        <is>
          <t>G000276</t>
        </is>
      </c>
      <c r="T560" t="inlineStr">
        <is>
          <t>Horizontal</t>
        </is>
      </c>
      <c r="U560" t="n">
        <v>5</v>
      </c>
      <c r="V560" t="b">
        <v>1</v>
      </c>
      <c r="W560" t="inlineStr">
        <is>
          <t>CashFlow Statement!K46:O46</t>
        </is>
      </c>
      <c r="X560">
        <f>-'Cost Matrix'!R[0]C[0]</f>
        <v/>
      </c>
    </row>
    <row r="561">
      <c r="A561" t="inlineStr">
        <is>
          <t>CashFlow Statement</t>
        </is>
      </c>
      <c r="B561" t="inlineStr">
        <is>
          <t>O46</t>
        </is>
      </c>
      <c r="C561" t="n">
        <v>46</v>
      </c>
      <c r="D561" t="n">
        <v>15</v>
      </c>
      <c r="E561" t="inlineStr">
        <is>
          <t>Calculation</t>
        </is>
      </c>
      <c r="F561" t="inlineStr">
        <is>
          <t>'=-'Cost Matrix'!O46</t>
        </is>
      </c>
      <c r="G561" t="n">
        <v>-25031.65006213896</v>
      </c>
      <c r="H561" t="inlineStr"/>
      <c r="I561" t="inlineStr">
        <is>
          <t>0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00000000</t>
        </is>
      </c>
      <c r="O561" t="inlineStr">
        <is>
          <t>center</t>
        </is>
      </c>
      <c r="R561" t="b">
        <v>1</v>
      </c>
      <c r="S561" t="inlineStr">
        <is>
          <t>G000276</t>
        </is>
      </c>
      <c r="T561" t="inlineStr">
        <is>
          <t>Horizontal</t>
        </is>
      </c>
      <c r="U561" t="n">
        <v>5</v>
      </c>
      <c r="V561" t="b">
        <v>1</v>
      </c>
      <c r="W561" t="inlineStr">
        <is>
          <t>CashFlow Statement!K46:O46</t>
        </is>
      </c>
      <c r="X561">
        <f>-'Cost Matrix'!R[0]C[0]</f>
        <v/>
      </c>
    </row>
    <row r="562">
      <c r="A562" t="inlineStr">
        <is>
          <t>CashFlow Statement</t>
        </is>
      </c>
      <c r="B562" t="inlineStr">
        <is>
          <t>A47</t>
        </is>
      </c>
      <c r="C562" t="n">
        <v>47</v>
      </c>
      <c r="D562" t="n">
        <v>1</v>
      </c>
      <c r="E562" t="inlineStr">
        <is>
          <t>Input</t>
        </is>
      </c>
      <c r="F562" t="n">
        <v/>
      </c>
      <c r="G562" t="inlineStr">
        <is>
          <t>Tax paid on dividends</t>
        </is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Values must be of type &lt;class 'str'&gt;</t>
        </is>
      </c>
      <c r="N562" t="inlineStr">
        <is>
          <t>00000000</t>
        </is>
      </c>
      <c r="O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CashFlow Statement</t>
        </is>
      </c>
      <c r="B563" t="inlineStr">
        <is>
          <t>D47</t>
        </is>
      </c>
      <c r="C563" t="n">
        <v>47</v>
      </c>
      <c r="D563" t="n">
        <v>4</v>
      </c>
      <c r="E563" t="inlineStr">
        <is>
          <t>Input</t>
        </is>
      </c>
      <c r="F563" t="n">
        <v/>
      </c>
      <c r="G563" t="n">
        <v>0</v>
      </c>
      <c r="H563" t="inlineStr"/>
      <c r="I563" t="inlineStr">
        <is>
          <t>0</t>
        </is>
      </c>
      <c r="J563" t="b">
        <v>0</v>
      </c>
      <c r="K563" t="b">
        <v>0</v>
      </c>
      <c r="L563" t="n">
        <v>11</v>
      </c>
      <c r="M563" t="inlineStr">
        <is>
          <t>FF0B0280</t>
        </is>
      </c>
      <c r="N563" t="inlineStr">
        <is>
          <t>00000000</t>
        </is>
      </c>
      <c r="O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CashFlow Statement</t>
        </is>
      </c>
      <c r="B564" t="inlineStr">
        <is>
          <t>E47</t>
        </is>
      </c>
      <c r="C564" t="n">
        <v>47</v>
      </c>
      <c r="D564" t="n">
        <v>5</v>
      </c>
      <c r="E564" t="inlineStr">
        <is>
          <t>Input</t>
        </is>
      </c>
      <c r="F564" t="n">
        <v/>
      </c>
      <c r="G564" t="n">
        <v>-795.59</v>
      </c>
      <c r="H564" t="inlineStr"/>
      <c r="I564" t="inlineStr">
        <is>
          <t>0</t>
        </is>
      </c>
      <c r="J564" t="b">
        <v>0</v>
      </c>
      <c r="K564" t="b">
        <v>0</v>
      </c>
      <c r="L564" t="n">
        <v>11</v>
      </c>
      <c r="M564" t="inlineStr">
        <is>
          <t>FF0B0280</t>
        </is>
      </c>
      <c r="N564" t="inlineStr">
        <is>
          <t>00000000</t>
        </is>
      </c>
      <c r="O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</row>
    <row r="565">
      <c r="A565" t="inlineStr">
        <is>
          <t>CashFlow Statement</t>
        </is>
      </c>
      <c r="B565" t="inlineStr">
        <is>
          <t>F47</t>
        </is>
      </c>
      <c r="C565" t="n">
        <v>47</v>
      </c>
      <c r="D565" t="n">
        <v>6</v>
      </c>
      <c r="E565" t="inlineStr">
        <is>
          <t>Input</t>
        </is>
      </c>
      <c r="F565" t="n">
        <v/>
      </c>
      <c r="G565" t="n">
        <v>-890.03</v>
      </c>
      <c r="H565" t="inlineStr"/>
      <c r="I565" t="inlineStr">
        <is>
          <t>0</t>
        </is>
      </c>
      <c r="J565" t="b">
        <v>0</v>
      </c>
      <c r="K565" t="b">
        <v>0</v>
      </c>
      <c r="L565" t="n">
        <v>11</v>
      </c>
      <c r="M565" t="inlineStr">
        <is>
          <t>FF0B0280</t>
        </is>
      </c>
      <c r="N565" t="inlineStr">
        <is>
          <t>00000000</t>
        </is>
      </c>
      <c r="O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CashFlow Statement</t>
        </is>
      </c>
      <c r="B566" t="inlineStr">
        <is>
          <t>G47</t>
        </is>
      </c>
      <c r="C566" t="n">
        <v>47</v>
      </c>
      <c r="D566" t="n">
        <v>7</v>
      </c>
      <c r="E566" t="inlineStr">
        <is>
          <t>Input</t>
        </is>
      </c>
      <c r="F566" t="n">
        <v/>
      </c>
      <c r="G566" t="n">
        <v>0</v>
      </c>
      <c r="H566" t="inlineStr"/>
      <c r="I566" t="inlineStr">
        <is>
          <t>0</t>
        </is>
      </c>
      <c r="J566" t="b">
        <v>0</v>
      </c>
      <c r="K566" t="b">
        <v>0</v>
      </c>
      <c r="L566" t="n">
        <v>11</v>
      </c>
      <c r="M566" t="inlineStr">
        <is>
          <t>FF0B0280</t>
        </is>
      </c>
      <c r="N566" t="inlineStr">
        <is>
          <t>00000000</t>
        </is>
      </c>
      <c r="O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</row>
    <row r="567">
      <c r="A567" t="inlineStr">
        <is>
          <t>CashFlow Statement</t>
        </is>
      </c>
      <c r="B567" t="inlineStr">
        <is>
          <t>H47</t>
        </is>
      </c>
      <c r="C567" t="n">
        <v>47</v>
      </c>
      <c r="D567" t="n">
        <v>8</v>
      </c>
      <c r="E567" t="inlineStr">
        <is>
          <t>Input</t>
        </is>
      </c>
      <c r="F567" t="n">
        <v/>
      </c>
      <c r="G567" t="n">
        <v>-2552.83</v>
      </c>
      <c r="H567" t="inlineStr"/>
      <c r="I567" t="inlineStr">
        <is>
          <t>0</t>
        </is>
      </c>
      <c r="J567" t="b">
        <v>0</v>
      </c>
      <c r="K567" t="b">
        <v>0</v>
      </c>
      <c r="L567" t="n">
        <v>11</v>
      </c>
      <c r="M567" t="inlineStr">
        <is>
          <t>FF0B0280</t>
        </is>
      </c>
      <c r="N567" t="inlineStr">
        <is>
          <t>00000000</t>
        </is>
      </c>
      <c r="O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CashFlow Statement</t>
        </is>
      </c>
      <c r="B568" t="inlineStr">
        <is>
          <t>I47</t>
        </is>
      </c>
      <c r="C568" t="n">
        <v>47</v>
      </c>
      <c r="D568" t="n">
        <v>9</v>
      </c>
      <c r="E568" t="inlineStr">
        <is>
          <t>Input</t>
        </is>
      </c>
      <c r="F568" t="n">
        <v/>
      </c>
      <c r="G568" t="n">
        <v>-2244.77</v>
      </c>
      <c r="H568" t="inlineStr"/>
      <c r="I568" t="inlineStr">
        <is>
          <t>0</t>
        </is>
      </c>
      <c r="J568" t="b">
        <v>0</v>
      </c>
      <c r="K568" t="b">
        <v>0</v>
      </c>
      <c r="L568" t="n">
        <v>11</v>
      </c>
      <c r="M568" t="inlineStr">
        <is>
          <t>FF0B0280</t>
        </is>
      </c>
      <c r="N568" t="inlineStr">
        <is>
          <t>00000000</t>
        </is>
      </c>
      <c r="O568" t="n">
        <v/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CashFlow Statement</t>
        </is>
      </c>
      <c r="B569" t="inlineStr">
        <is>
          <t>J47</t>
        </is>
      </c>
      <c r="C569" t="n">
        <v>47</v>
      </c>
      <c r="D569" t="n">
        <v>10</v>
      </c>
      <c r="E569" t="inlineStr">
        <is>
          <t>Input</t>
        </is>
      </c>
      <c r="F569" t="n">
        <v/>
      </c>
      <c r="G569" t="n">
        <v>-1103.8</v>
      </c>
      <c r="H569" t="inlineStr"/>
      <c r="I569" t="inlineStr">
        <is>
          <t>0</t>
        </is>
      </c>
      <c r="J569" t="b">
        <v>0</v>
      </c>
      <c r="K569" t="b">
        <v>0</v>
      </c>
      <c r="L569" t="n">
        <v>11</v>
      </c>
      <c r="M569" t="inlineStr">
        <is>
          <t>FF0B0280</t>
        </is>
      </c>
      <c r="N569" t="inlineStr">
        <is>
          <t>00000000</t>
        </is>
      </c>
      <c r="O569" t="n">
        <v/>
      </c>
      <c r="R569" t="b">
        <v>1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</row>
    <row r="570">
      <c r="A570" t="inlineStr">
        <is>
          <t>CashFlow Statement</t>
        </is>
      </c>
      <c r="B570" t="inlineStr">
        <is>
          <t>K47</t>
        </is>
      </c>
      <c r="C570" t="n">
        <v>47</v>
      </c>
      <c r="D570" t="n">
        <v>11</v>
      </c>
      <c r="E570" t="inlineStr">
        <is>
          <t>Calculation</t>
        </is>
      </c>
      <c r="F570" t="inlineStr">
        <is>
          <t>'=-'Cost Matrix'!K47</t>
        </is>
      </c>
      <c r="G570" t="n">
        <v>-2575.265159784923</v>
      </c>
      <c r="H570" t="inlineStr"/>
      <c r="I570" t="inlineStr">
        <is>
          <t>0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inlineStr">
        <is>
          <t>center</t>
        </is>
      </c>
      <c r="R570" t="b">
        <v>1</v>
      </c>
      <c r="S570" t="inlineStr">
        <is>
          <t>G000277</t>
        </is>
      </c>
      <c r="T570" t="inlineStr">
        <is>
          <t>Horizontal</t>
        </is>
      </c>
      <c r="U570" t="n">
        <v>5</v>
      </c>
      <c r="V570" t="b">
        <v>1</v>
      </c>
      <c r="W570" t="inlineStr">
        <is>
          <t>CashFlow Statement!K47:O47</t>
        </is>
      </c>
      <c r="X570">
        <f>-'Cost Matrix'!R[0]C[0]</f>
        <v/>
      </c>
    </row>
    <row r="571">
      <c r="A571" t="inlineStr">
        <is>
          <t>CashFlow Statement</t>
        </is>
      </c>
      <c r="B571" t="inlineStr">
        <is>
          <t>L47</t>
        </is>
      </c>
      <c r="C571" t="n">
        <v>47</v>
      </c>
      <c r="D571" t="n">
        <v>12</v>
      </c>
      <c r="E571" t="inlineStr">
        <is>
          <t>Calculation</t>
        </is>
      </c>
      <c r="F571" t="inlineStr">
        <is>
          <t>'=-'Cost Matrix'!L47</t>
        </is>
      </c>
      <c r="G571" t="n">
        <v>-2882.265549377751</v>
      </c>
      <c r="H571" t="inlineStr"/>
      <c r="I571" t="inlineStr">
        <is>
          <t>0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inlineStr">
        <is>
          <t>center</t>
        </is>
      </c>
      <c r="R571" t="b">
        <v>1</v>
      </c>
      <c r="S571" t="inlineStr">
        <is>
          <t>G000277</t>
        </is>
      </c>
      <c r="T571" t="inlineStr">
        <is>
          <t>Horizontal</t>
        </is>
      </c>
      <c r="U571" t="n">
        <v>5</v>
      </c>
      <c r="V571" t="b">
        <v>1</v>
      </c>
      <c r="W571" t="inlineStr">
        <is>
          <t>CashFlow Statement!K47:O47</t>
        </is>
      </c>
      <c r="X571">
        <f>-'Cost Matrix'!R[0]C[0]</f>
        <v/>
      </c>
    </row>
    <row r="572">
      <c r="A572" t="inlineStr">
        <is>
          <t>CashFlow Statement</t>
        </is>
      </c>
      <c r="B572" t="inlineStr">
        <is>
          <t>M47</t>
        </is>
      </c>
      <c r="C572" t="n">
        <v>47</v>
      </c>
      <c r="D572" t="n">
        <v>13</v>
      </c>
      <c r="E572" t="inlineStr">
        <is>
          <t>Calculation</t>
        </is>
      </c>
      <c r="F572" t="inlineStr">
        <is>
          <t>'=-'Cost Matrix'!M47</t>
        </is>
      </c>
      <c r="G572" t="n">
        <v>-3545.328342878817</v>
      </c>
      <c r="H572" t="inlineStr"/>
      <c r="I572" t="inlineStr">
        <is>
          <t>0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00000000</t>
        </is>
      </c>
      <c r="O572" t="inlineStr">
        <is>
          <t>center</t>
        </is>
      </c>
      <c r="R572" t="b">
        <v>1</v>
      </c>
      <c r="S572" t="inlineStr">
        <is>
          <t>G000277</t>
        </is>
      </c>
      <c r="T572" t="inlineStr">
        <is>
          <t>Horizontal</t>
        </is>
      </c>
      <c r="U572" t="n">
        <v>5</v>
      </c>
      <c r="V572" t="b">
        <v>1</v>
      </c>
      <c r="W572" t="inlineStr">
        <is>
          <t>CashFlow Statement!K47:O47</t>
        </is>
      </c>
      <c r="X572">
        <f>-'Cost Matrix'!R[0]C[0]</f>
        <v/>
      </c>
    </row>
    <row r="573">
      <c r="A573" t="inlineStr">
        <is>
          <t>CashFlow Statement</t>
        </is>
      </c>
      <c r="B573" t="inlineStr">
        <is>
          <t>N47</t>
        </is>
      </c>
      <c r="C573" t="n">
        <v>47</v>
      </c>
      <c r="D573" t="n">
        <v>14</v>
      </c>
      <c r="E573" t="inlineStr">
        <is>
          <t>Calculation</t>
        </is>
      </c>
      <c r="F573" t="inlineStr">
        <is>
          <t>'=-'Cost Matrix'!N47</t>
        </is>
      </c>
      <c r="G573" t="n">
        <v>-4233.839989446438</v>
      </c>
      <c r="H573" t="inlineStr"/>
      <c r="I573" t="inlineStr">
        <is>
          <t>0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00000000</t>
        </is>
      </c>
      <c r="O573" t="inlineStr">
        <is>
          <t>center</t>
        </is>
      </c>
      <c r="R573" t="b">
        <v>1</v>
      </c>
      <c r="S573" t="inlineStr">
        <is>
          <t>G000277</t>
        </is>
      </c>
      <c r="T573" t="inlineStr">
        <is>
          <t>Horizontal</t>
        </is>
      </c>
      <c r="U573" t="n">
        <v>5</v>
      </c>
      <c r="V573" t="b">
        <v>1</v>
      </c>
      <c r="W573" t="inlineStr">
        <is>
          <t>CashFlow Statement!K47:O47</t>
        </is>
      </c>
      <c r="X573">
        <f>-'Cost Matrix'!R[0]C[0]</f>
        <v/>
      </c>
    </row>
    <row r="574">
      <c r="A574" t="inlineStr">
        <is>
          <t>CashFlow Statement</t>
        </is>
      </c>
      <c r="B574" t="inlineStr">
        <is>
          <t>O47</t>
        </is>
      </c>
      <c r="C574" t="n">
        <v>47</v>
      </c>
      <c r="D574" t="n">
        <v>15</v>
      </c>
      <c r="E574" t="inlineStr">
        <is>
          <t>Calculation</t>
        </is>
      </c>
      <c r="F574" t="inlineStr">
        <is>
          <t>'=-'Cost Matrix'!O47</t>
        </is>
      </c>
      <c r="G574" t="n">
        <v>-5095.865448658341</v>
      </c>
      <c r="H574" t="inlineStr"/>
      <c r="I574" t="inlineStr">
        <is>
          <t>0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00000000</t>
        </is>
      </c>
      <c r="O574" t="inlineStr">
        <is>
          <t>center</t>
        </is>
      </c>
      <c r="R574" t="b">
        <v>1</v>
      </c>
      <c r="S574" t="inlineStr">
        <is>
          <t>G000277</t>
        </is>
      </c>
      <c r="T574" t="inlineStr">
        <is>
          <t>Horizontal</t>
        </is>
      </c>
      <c r="U574" t="n">
        <v>5</v>
      </c>
      <c r="V574" t="b">
        <v>1</v>
      </c>
      <c r="W574" t="inlineStr">
        <is>
          <t>CashFlow Statement!K47:O47</t>
        </is>
      </c>
      <c r="X574">
        <f>-'Cost Matrix'!R[0]C[0]</f>
        <v/>
      </c>
    </row>
    <row r="575">
      <c r="A575" t="inlineStr">
        <is>
          <t>CashFlow Statement</t>
        </is>
      </c>
      <c r="B575" t="inlineStr">
        <is>
          <t>A48</t>
        </is>
      </c>
      <c r="C575" t="n">
        <v>48</v>
      </c>
      <c r="D575" t="n">
        <v>1</v>
      </c>
      <c r="E575" t="inlineStr">
        <is>
          <t>Input</t>
        </is>
      </c>
      <c r="F575" t="n">
        <v/>
      </c>
      <c r="G575" t="inlineStr">
        <is>
          <t>Net cash generated from / (used in) financing activities</t>
        </is>
      </c>
      <c r="H575" t="inlineStr"/>
      <c r="I575" t="inlineStr">
        <is>
          <t>General</t>
        </is>
      </c>
      <c r="J575" t="b">
        <v>1</v>
      </c>
      <c r="K575" t="b">
        <v>0</v>
      </c>
      <c r="L575" t="n">
        <v>11</v>
      </c>
      <c r="M575" t="inlineStr">
        <is>
          <t>Values must be of type &lt;class 'str'&gt;</t>
        </is>
      </c>
      <c r="N575" t="inlineStr">
        <is>
          <t>00000000</t>
        </is>
      </c>
      <c r="O575" t="n">
        <v/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</row>
    <row r="576">
      <c r="A576" t="inlineStr">
        <is>
          <t>CashFlow Statement</t>
        </is>
      </c>
      <c r="B576" t="inlineStr">
        <is>
          <t>D48</t>
        </is>
      </c>
      <c r="C576" t="n">
        <v>48</v>
      </c>
      <c r="D576" t="n">
        <v>4</v>
      </c>
      <c r="E576" t="inlineStr">
        <is>
          <t>Calculation</t>
        </is>
      </c>
      <c r="F576" t="inlineStr">
        <is>
          <t>'=SUM(D39:D47)</t>
        </is>
      </c>
      <c r="G576" t="n">
        <v>-2720.68</v>
      </c>
      <c r="H576" t="inlineStr"/>
      <c r="I576" t="inlineStr">
        <is>
          <t>0</t>
        </is>
      </c>
      <c r="J576" t="b">
        <v>1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00000000</t>
        </is>
      </c>
      <c r="O576" t="n">
        <v/>
      </c>
      <c r="R576" t="b">
        <v>1</v>
      </c>
      <c r="S576" t="inlineStr">
        <is>
          <t>G000278</t>
        </is>
      </c>
      <c r="T576" t="inlineStr">
        <is>
          <t>Horizontal</t>
        </is>
      </c>
      <c r="U576" t="n">
        <v>12</v>
      </c>
      <c r="V576" t="b">
        <v>1</v>
      </c>
      <c r="W576" t="inlineStr">
        <is>
          <t>CashFlow Statement!D48:O48</t>
        </is>
      </c>
      <c r="X576">
        <f>SUM(R[-9]C[0]:R[-1]C[0])</f>
        <v/>
      </c>
    </row>
    <row r="577">
      <c r="A577" t="inlineStr">
        <is>
          <t>CashFlow Statement</t>
        </is>
      </c>
      <c r="B577" t="inlineStr">
        <is>
          <t>E48</t>
        </is>
      </c>
      <c r="C577" t="n">
        <v>48</v>
      </c>
      <c r="D577" t="n">
        <v>5</v>
      </c>
      <c r="E577" t="inlineStr">
        <is>
          <t>Calculation</t>
        </is>
      </c>
      <c r="F577" t="inlineStr">
        <is>
          <t>'=SUM(E39:E47)</t>
        </is>
      </c>
      <c r="G577" t="n">
        <v>-6375.950000000001</v>
      </c>
      <c r="H577" t="inlineStr"/>
      <c r="I577" t="inlineStr">
        <is>
          <t>0</t>
        </is>
      </c>
      <c r="J577" t="b">
        <v>1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n">
        <v/>
      </c>
      <c r="R577" t="b">
        <v>1</v>
      </c>
      <c r="S577" t="inlineStr">
        <is>
          <t>G000278</t>
        </is>
      </c>
      <c r="T577" t="inlineStr">
        <is>
          <t>Horizontal</t>
        </is>
      </c>
      <c r="U577" t="n">
        <v>12</v>
      </c>
      <c r="V577" t="b">
        <v>1</v>
      </c>
      <c r="W577" t="inlineStr">
        <is>
          <t>CashFlow Statement!D48:O48</t>
        </is>
      </c>
      <c r="X577">
        <f>SUM(R[-9]C[0]:R[-1]C[0])</f>
        <v/>
      </c>
    </row>
    <row r="578">
      <c r="A578" t="inlineStr">
        <is>
          <t>CashFlow Statement</t>
        </is>
      </c>
      <c r="B578" t="inlineStr">
        <is>
          <t>F48</t>
        </is>
      </c>
      <c r="C578" t="n">
        <v>48</v>
      </c>
      <c r="D578" t="n">
        <v>6</v>
      </c>
      <c r="E578" t="inlineStr">
        <is>
          <t>Calculation</t>
        </is>
      </c>
      <c r="F578" t="inlineStr">
        <is>
          <t>'=SUM(F39:F47)</t>
        </is>
      </c>
      <c r="G578" t="n">
        <v>360.8300000000006</v>
      </c>
      <c r="H578" t="inlineStr"/>
      <c r="I578" t="inlineStr">
        <is>
          <t>0</t>
        </is>
      </c>
      <c r="J578" t="b">
        <v>1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00000000</t>
        </is>
      </c>
      <c r="O578" t="n">
        <v/>
      </c>
      <c r="R578" t="b">
        <v>1</v>
      </c>
      <c r="S578" t="inlineStr">
        <is>
          <t>G000278</t>
        </is>
      </c>
      <c r="T578" t="inlineStr">
        <is>
          <t>Horizontal</t>
        </is>
      </c>
      <c r="U578" t="n">
        <v>12</v>
      </c>
      <c r="V578" t="b">
        <v>1</v>
      </c>
      <c r="W578" t="inlineStr">
        <is>
          <t>CashFlow Statement!D48:O48</t>
        </is>
      </c>
      <c r="X578">
        <f>SUM(R[-9]C[0]:R[-1]C[0])</f>
        <v/>
      </c>
    </row>
    <row r="579">
      <c r="A579" t="inlineStr">
        <is>
          <t>CashFlow Statement</t>
        </is>
      </c>
      <c r="B579" t="inlineStr">
        <is>
          <t>G48</t>
        </is>
      </c>
      <c r="C579" t="n">
        <v>48</v>
      </c>
      <c r="D579" t="n">
        <v>7</v>
      </c>
      <c r="E579" t="inlineStr">
        <is>
          <t>Calculation</t>
        </is>
      </c>
      <c r="F579" t="inlineStr">
        <is>
          <t>'=SUM(G39:G47)</t>
        </is>
      </c>
      <c r="G579" t="n">
        <v>12848.43</v>
      </c>
      <c r="H579" t="inlineStr"/>
      <c r="I579" t="inlineStr">
        <is>
          <t>0</t>
        </is>
      </c>
      <c r="J579" t="b">
        <v>1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00000000</t>
        </is>
      </c>
      <c r="O579" t="n">
        <v/>
      </c>
      <c r="R579" t="b">
        <v>1</v>
      </c>
      <c r="S579" t="inlineStr">
        <is>
          <t>G000278</t>
        </is>
      </c>
      <c r="T579" t="inlineStr">
        <is>
          <t>Horizontal</t>
        </is>
      </c>
      <c r="U579" t="n">
        <v>12</v>
      </c>
      <c r="V579" t="b">
        <v>1</v>
      </c>
      <c r="W579" t="inlineStr">
        <is>
          <t>CashFlow Statement!D48:O48</t>
        </is>
      </c>
      <c r="X579">
        <f>SUM(R[-9]C[0]:R[-1]C[0])</f>
        <v/>
      </c>
    </row>
    <row r="580">
      <c r="A580" t="inlineStr">
        <is>
          <t>CashFlow Statement</t>
        </is>
      </c>
      <c r="B580" t="inlineStr">
        <is>
          <t>H48</t>
        </is>
      </c>
      <c r="C580" t="n">
        <v>48</v>
      </c>
      <c r="D580" t="n">
        <v>8</v>
      </c>
      <c r="E580" t="inlineStr">
        <is>
          <t>Calculation</t>
        </is>
      </c>
      <c r="F580" t="inlineStr">
        <is>
          <t>'=SUM(H39:H47)</t>
        </is>
      </c>
      <c r="G580" t="n">
        <v>-13081.13</v>
      </c>
      <c r="H580" t="inlineStr"/>
      <c r="I580" t="inlineStr">
        <is>
          <t>0</t>
        </is>
      </c>
      <c r="J580" t="b">
        <v>1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n">
        <v/>
      </c>
      <c r="R580" t="b">
        <v>1</v>
      </c>
      <c r="S580" t="inlineStr">
        <is>
          <t>G000278</t>
        </is>
      </c>
      <c r="T580" t="inlineStr">
        <is>
          <t>Horizontal</t>
        </is>
      </c>
      <c r="U580" t="n">
        <v>12</v>
      </c>
      <c r="V580" t="b">
        <v>1</v>
      </c>
      <c r="W580" t="inlineStr">
        <is>
          <t>CashFlow Statement!D48:O48</t>
        </is>
      </c>
      <c r="X580">
        <f>SUM(R[-9]C[0]:R[-1]C[0])</f>
        <v/>
      </c>
    </row>
    <row r="581">
      <c r="A581" t="inlineStr">
        <is>
          <t>CashFlow Statement</t>
        </is>
      </c>
      <c r="B581" t="inlineStr">
        <is>
          <t>I48</t>
        </is>
      </c>
      <c r="C581" t="n">
        <v>48</v>
      </c>
      <c r="D581" t="n">
        <v>9</v>
      </c>
      <c r="E581" t="inlineStr">
        <is>
          <t>Calculation</t>
        </is>
      </c>
      <c r="F581" t="inlineStr">
        <is>
          <t>'=SUM(I39:I47)</t>
        </is>
      </c>
      <c r="G581" t="n">
        <v>-12199.64</v>
      </c>
      <c r="H581" t="inlineStr"/>
      <c r="I581" t="inlineStr">
        <is>
          <t>0</t>
        </is>
      </c>
      <c r="J581" t="b">
        <v>1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n">
        <v/>
      </c>
      <c r="R581" t="b">
        <v>1</v>
      </c>
      <c r="S581" t="inlineStr">
        <is>
          <t>G000278</t>
        </is>
      </c>
      <c r="T581" t="inlineStr">
        <is>
          <t>Horizontal</t>
        </is>
      </c>
      <c r="U581" t="n">
        <v>12</v>
      </c>
      <c r="V581" t="b">
        <v>1</v>
      </c>
      <c r="W581" t="inlineStr">
        <is>
          <t>CashFlow Statement!D48:O48</t>
        </is>
      </c>
      <c r="X581">
        <f>SUM(R[-9]C[0]:R[-1]C[0])</f>
        <v/>
      </c>
    </row>
    <row r="582">
      <c r="A582" t="inlineStr">
        <is>
          <t>CashFlow Statement</t>
        </is>
      </c>
      <c r="B582" t="inlineStr">
        <is>
          <t>J48</t>
        </is>
      </c>
      <c r="C582" t="n">
        <v>48</v>
      </c>
      <c r="D582" t="n">
        <v>10</v>
      </c>
      <c r="E582" t="inlineStr">
        <is>
          <t>Calculation</t>
        </is>
      </c>
      <c r="F582" t="inlineStr">
        <is>
          <t>'=SUM(J39:J47)</t>
        </is>
      </c>
      <c r="G582" t="n">
        <v>-14012.06</v>
      </c>
      <c r="H582" t="inlineStr"/>
      <c r="I582" t="inlineStr">
        <is>
          <t>0</t>
        </is>
      </c>
      <c r="J582" t="b">
        <v>1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n">
        <v/>
      </c>
      <c r="R582" t="b">
        <v>1</v>
      </c>
      <c r="S582" t="inlineStr">
        <is>
          <t>G000278</t>
        </is>
      </c>
      <c r="T582" t="inlineStr">
        <is>
          <t>Horizontal</t>
        </is>
      </c>
      <c r="U582" t="n">
        <v>12</v>
      </c>
      <c r="V582" t="b">
        <v>1</v>
      </c>
      <c r="W582" t="inlineStr">
        <is>
          <t>CashFlow Statement!D48:O48</t>
        </is>
      </c>
      <c r="X582">
        <f>SUM(R[-9]C[0]:R[-1]C[0])</f>
        <v/>
      </c>
    </row>
    <row r="583">
      <c r="A583" t="inlineStr">
        <is>
          <t>CashFlow Statement</t>
        </is>
      </c>
      <c r="B583" t="inlineStr">
        <is>
          <t>K48</t>
        </is>
      </c>
      <c r="C583" t="n">
        <v>48</v>
      </c>
      <c r="D583" t="n">
        <v>11</v>
      </c>
      <c r="E583" t="inlineStr">
        <is>
          <t>Calculation</t>
        </is>
      </c>
      <c r="F583" t="inlineStr">
        <is>
          <t>'=SUM(K39:K47)</t>
        </is>
      </c>
      <c r="G583" t="n">
        <v>-882.0037079598014</v>
      </c>
      <c r="H583" t="inlineStr"/>
      <c r="I583" t="inlineStr">
        <is>
          <t>0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00000000</t>
        </is>
      </c>
      <c r="O583" t="n">
        <v/>
      </c>
      <c r="R583" t="b">
        <v>1</v>
      </c>
      <c r="S583" t="inlineStr">
        <is>
          <t>G000278</t>
        </is>
      </c>
      <c r="T583" t="inlineStr">
        <is>
          <t>Horizontal</t>
        </is>
      </c>
      <c r="U583" t="n">
        <v>12</v>
      </c>
      <c r="V583" t="b">
        <v>1</v>
      </c>
      <c r="W583" t="inlineStr">
        <is>
          <t>CashFlow Statement!D48:O48</t>
        </is>
      </c>
      <c r="X583">
        <f>SUM(R[-9]C[0]:R[-1]C[0])</f>
        <v/>
      </c>
    </row>
    <row r="584">
      <c r="A584" t="inlineStr">
        <is>
          <t>CashFlow Statement</t>
        </is>
      </c>
      <c r="B584" t="inlineStr">
        <is>
          <t>L48</t>
        </is>
      </c>
      <c r="C584" t="n">
        <v>48</v>
      </c>
      <c r="D584" t="n">
        <v>12</v>
      </c>
      <c r="E584" t="inlineStr">
        <is>
          <t>Calculation</t>
        </is>
      </c>
      <c r="F584" t="inlineStr">
        <is>
          <t>'=SUM(L39:L47)</t>
        </is>
      </c>
      <c r="G584" t="n">
        <v>-5756.548894138699</v>
      </c>
      <c r="H584" t="inlineStr"/>
      <c r="I584" t="inlineStr">
        <is>
          <t>0</t>
        </is>
      </c>
      <c r="J584" t="b">
        <v>1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00000000</t>
        </is>
      </c>
      <c r="O584" t="n">
        <v/>
      </c>
      <c r="R584" t="b">
        <v>1</v>
      </c>
      <c r="S584" t="inlineStr">
        <is>
          <t>G000278</t>
        </is>
      </c>
      <c r="T584" t="inlineStr">
        <is>
          <t>Horizontal</t>
        </is>
      </c>
      <c r="U584" t="n">
        <v>12</v>
      </c>
      <c r="V584" t="b">
        <v>1</v>
      </c>
      <c r="W584" t="inlineStr">
        <is>
          <t>CashFlow Statement!D48:O48</t>
        </is>
      </c>
      <c r="X584">
        <f>SUM(R[-9]C[0]:R[-1]C[0])</f>
        <v/>
      </c>
    </row>
    <row r="585">
      <c r="A585" t="inlineStr">
        <is>
          <t>CashFlow Statement</t>
        </is>
      </c>
      <c r="B585" t="inlineStr">
        <is>
          <t>M48</t>
        </is>
      </c>
      <c r="C585" t="n">
        <v>48</v>
      </c>
      <c r="D585" t="n">
        <v>13</v>
      </c>
      <c r="E585" t="inlineStr">
        <is>
          <t>Calculation</t>
        </is>
      </c>
      <c r="F585" t="inlineStr">
        <is>
          <t>'=SUM(M39:M47)</t>
        </is>
      </c>
      <c r="G585" t="n">
        <v>-9258.12242923271</v>
      </c>
      <c r="H585" t="inlineStr"/>
      <c r="I585" t="inlineStr">
        <is>
          <t>0</t>
        </is>
      </c>
      <c r="J585" t="b">
        <v>1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00000000</t>
        </is>
      </c>
      <c r="O585" t="n">
        <v/>
      </c>
      <c r="R585" t="b">
        <v>1</v>
      </c>
      <c r="S585" t="inlineStr">
        <is>
          <t>G000278</t>
        </is>
      </c>
      <c r="T585" t="inlineStr">
        <is>
          <t>Horizontal</t>
        </is>
      </c>
      <c r="U585" t="n">
        <v>12</v>
      </c>
      <c r="V585" t="b">
        <v>1</v>
      </c>
      <c r="W585" t="inlineStr">
        <is>
          <t>CashFlow Statement!D48:O48</t>
        </is>
      </c>
      <c r="X585">
        <f>SUM(R[-9]C[0]:R[-1]C[0])</f>
        <v/>
      </c>
    </row>
    <row r="586">
      <c r="A586" t="inlineStr">
        <is>
          <t>CashFlow Statement</t>
        </is>
      </c>
      <c r="B586" t="inlineStr">
        <is>
          <t>N48</t>
        </is>
      </c>
      <c r="C586" t="n">
        <v>48</v>
      </c>
      <c r="D586" t="n">
        <v>14</v>
      </c>
      <c r="E586" t="inlineStr">
        <is>
          <t>Calculation</t>
        </is>
      </c>
      <c r="F586" t="inlineStr">
        <is>
          <t>'=SUM(N39:N47)</t>
        </is>
      </c>
      <c r="G586" t="n">
        <v>-12571.64628837577</v>
      </c>
      <c r="H586" t="inlineStr"/>
      <c r="I586" t="inlineStr">
        <is>
          <t>0</t>
        </is>
      </c>
      <c r="J586" t="b">
        <v>1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00000000</t>
        </is>
      </c>
      <c r="O586" t="n">
        <v/>
      </c>
      <c r="R586" t="b">
        <v>1</v>
      </c>
      <c r="S586" t="inlineStr">
        <is>
          <t>G000278</t>
        </is>
      </c>
      <c r="T586" t="inlineStr">
        <is>
          <t>Horizontal</t>
        </is>
      </c>
      <c r="U586" t="n">
        <v>12</v>
      </c>
      <c r="V586" t="b">
        <v>1</v>
      </c>
      <c r="W586" t="inlineStr">
        <is>
          <t>CashFlow Statement!D48:O48</t>
        </is>
      </c>
      <c r="X586">
        <f>SUM(R[-9]C[0]:R[-1]C[0])</f>
        <v/>
      </c>
    </row>
    <row r="587">
      <c r="A587" t="inlineStr">
        <is>
          <t>CashFlow Statement</t>
        </is>
      </c>
      <c r="B587" t="inlineStr">
        <is>
          <t>O48</t>
        </is>
      </c>
      <c r="C587" t="n">
        <v>48</v>
      </c>
      <c r="D587" t="n">
        <v>15</v>
      </c>
      <c r="E587" t="inlineStr">
        <is>
          <t>Calculation</t>
        </is>
      </c>
      <c r="F587" t="inlineStr">
        <is>
          <t>'=SUM(O39:O47)</t>
        </is>
      </c>
      <c r="G587" t="n">
        <v>-16400.56253675127</v>
      </c>
      <c r="H587" t="inlineStr"/>
      <c r="I587" t="inlineStr">
        <is>
          <t>0</t>
        </is>
      </c>
      <c r="J587" t="b">
        <v>1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00000000</t>
        </is>
      </c>
      <c r="O587" t="n">
        <v/>
      </c>
      <c r="R587" t="b">
        <v>1</v>
      </c>
      <c r="S587" t="inlineStr">
        <is>
          <t>G000278</t>
        </is>
      </c>
      <c r="T587" t="inlineStr">
        <is>
          <t>Horizontal</t>
        </is>
      </c>
      <c r="U587" t="n">
        <v>12</v>
      </c>
      <c r="V587" t="b">
        <v>1</v>
      </c>
      <c r="W587" t="inlineStr">
        <is>
          <t>CashFlow Statement!D48:O48</t>
        </is>
      </c>
      <c r="X587">
        <f>SUM(R[-9]C[0]:R[-1]C[0])</f>
        <v/>
      </c>
    </row>
    <row r="588">
      <c r="A588" t="inlineStr">
        <is>
          <t>CashFlow Statement</t>
        </is>
      </c>
      <c r="B588" t="inlineStr">
        <is>
          <t>D49</t>
        </is>
      </c>
      <c r="C588" t="n">
        <v>49</v>
      </c>
      <c r="D588" t="n">
        <v>4</v>
      </c>
      <c r="E588" t="inlineStr">
        <is>
          <t>Input</t>
        </is>
      </c>
      <c r="F588" t="n">
        <v/>
      </c>
      <c r="H588" t="inlineStr"/>
      <c r="I588" t="inlineStr">
        <is>
          <t>0</t>
        </is>
      </c>
      <c r="J588" t="b">
        <v>0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00000000</t>
        </is>
      </c>
      <c r="O588" t="n">
        <v/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</row>
    <row r="589">
      <c r="A589" t="inlineStr">
        <is>
          <t>CashFlow Statement</t>
        </is>
      </c>
      <c r="B589" t="inlineStr">
        <is>
          <t>E49</t>
        </is>
      </c>
      <c r="C589" t="n">
        <v>49</v>
      </c>
      <c r="D589" t="n">
        <v>5</v>
      </c>
      <c r="E589" t="inlineStr">
        <is>
          <t>Input</t>
        </is>
      </c>
      <c r="F589" t="n">
        <v/>
      </c>
      <c r="H589" t="inlineStr"/>
      <c r="I589" t="inlineStr">
        <is>
          <t>0</t>
        </is>
      </c>
      <c r="J589" t="b">
        <v>0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00000000</t>
        </is>
      </c>
      <c r="O589" t="n">
        <v/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</row>
    <row r="590">
      <c r="A590" t="inlineStr">
        <is>
          <t>CashFlow Statement</t>
        </is>
      </c>
      <c r="B590" t="inlineStr">
        <is>
          <t>F49</t>
        </is>
      </c>
      <c r="C590" t="n">
        <v>49</v>
      </c>
      <c r="D590" t="n">
        <v>6</v>
      </c>
      <c r="E590" t="inlineStr">
        <is>
          <t>Input</t>
        </is>
      </c>
      <c r="F590" t="n">
        <v/>
      </c>
      <c r="H590" t="inlineStr"/>
      <c r="I590" t="inlineStr">
        <is>
          <t>0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00000000</t>
        </is>
      </c>
      <c r="O590" t="n">
        <v/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</row>
    <row r="591">
      <c r="A591" t="inlineStr">
        <is>
          <t>CashFlow Statement</t>
        </is>
      </c>
      <c r="B591" t="inlineStr">
        <is>
          <t>G49</t>
        </is>
      </c>
      <c r="C591" t="n">
        <v>49</v>
      </c>
      <c r="D591" t="n">
        <v>7</v>
      </c>
      <c r="E591" t="inlineStr">
        <is>
          <t>Input</t>
        </is>
      </c>
      <c r="F591" t="n">
        <v/>
      </c>
      <c r="H591" t="inlineStr"/>
      <c r="I591" t="inlineStr">
        <is>
          <t>0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00000000</t>
        </is>
      </c>
      <c r="O591" t="n">
        <v/>
      </c>
      <c r="R591" t="b">
        <v>0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</row>
    <row r="592">
      <c r="A592" t="inlineStr">
        <is>
          <t>CashFlow Statement</t>
        </is>
      </c>
      <c r="B592" t="inlineStr">
        <is>
          <t>H49</t>
        </is>
      </c>
      <c r="C592" t="n">
        <v>49</v>
      </c>
      <c r="D592" t="n">
        <v>8</v>
      </c>
      <c r="E592" t="inlineStr">
        <is>
          <t>Input</t>
        </is>
      </c>
      <c r="F592" t="n">
        <v/>
      </c>
      <c r="H592" t="inlineStr"/>
      <c r="I592" t="inlineStr">
        <is>
          <t>0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00000000</t>
        </is>
      </c>
      <c r="O592" t="n">
        <v/>
      </c>
      <c r="R592" t="b">
        <v>0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</row>
    <row r="593">
      <c r="A593" t="inlineStr">
        <is>
          <t>CashFlow Statement</t>
        </is>
      </c>
      <c r="B593" t="inlineStr">
        <is>
          <t>I49</t>
        </is>
      </c>
      <c r="C593" t="n">
        <v>49</v>
      </c>
      <c r="D593" t="n">
        <v>9</v>
      </c>
      <c r="E593" t="inlineStr">
        <is>
          <t>Input</t>
        </is>
      </c>
      <c r="F593" t="n">
        <v/>
      </c>
      <c r="H593" t="inlineStr"/>
      <c r="I593" t="inlineStr">
        <is>
          <t>0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n">
        <v/>
      </c>
      <c r="R593" t="b">
        <v>0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</row>
    <row r="594">
      <c r="A594" t="inlineStr">
        <is>
          <t>CashFlow Statement</t>
        </is>
      </c>
      <c r="B594" t="inlineStr">
        <is>
          <t>J49</t>
        </is>
      </c>
      <c r="C594" t="n">
        <v>49</v>
      </c>
      <c r="D594" t="n">
        <v>10</v>
      </c>
      <c r="E594" t="inlineStr">
        <is>
          <t>Input</t>
        </is>
      </c>
      <c r="F594" t="n">
        <v/>
      </c>
      <c r="H594" t="inlineStr"/>
      <c r="I594" t="inlineStr">
        <is>
          <t>0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00000000</t>
        </is>
      </c>
      <c r="O594" t="n">
        <v/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</row>
    <row r="595">
      <c r="A595" t="inlineStr">
        <is>
          <t>CashFlow Statement</t>
        </is>
      </c>
      <c r="B595" t="inlineStr">
        <is>
          <t>K49</t>
        </is>
      </c>
      <c r="C595" t="n">
        <v>49</v>
      </c>
      <c r="D595" t="n">
        <v>11</v>
      </c>
      <c r="E595" t="inlineStr">
        <is>
          <t>Input</t>
        </is>
      </c>
      <c r="F595" t="n">
        <v/>
      </c>
      <c r="H595" t="inlineStr"/>
      <c r="I595" t="inlineStr">
        <is>
          <t>0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00000000</t>
        </is>
      </c>
      <c r="O595" t="n">
        <v/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</row>
    <row r="596">
      <c r="A596" t="inlineStr">
        <is>
          <t>CashFlow Statement</t>
        </is>
      </c>
      <c r="B596" t="inlineStr">
        <is>
          <t>L49</t>
        </is>
      </c>
      <c r="C596" t="n">
        <v>49</v>
      </c>
      <c r="D596" t="n">
        <v>12</v>
      </c>
      <c r="E596" t="inlineStr">
        <is>
          <t>Input</t>
        </is>
      </c>
      <c r="F596" t="n">
        <v/>
      </c>
      <c r="H596" t="inlineStr"/>
      <c r="I596" t="inlineStr">
        <is>
          <t>0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n">
        <v/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</row>
    <row r="597">
      <c r="A597" t="inlineStr">
        <is>
          <t>CashFlow Statement</t>
        </is>
      </c>
      <c r="B597" t="inlineStr">
        <is>
          <t>M49</t>
        </is>
      </c>
      <c r="C597" t="n">
        <v>49</v>
      </c>
      <c r="D597" t="n">
        <v>13</v>
      </c>
      <c r="E597" t="inlineStr">
        <is>
          <t>Input</t>
        </is>
      </c>
      <c r="F597" t="n">
        <v/>
      </c>
      <c r="H597" t="inlineStr"/>
      <c r="I597" t="inlineStr">
        <is>
          <t>0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n">
        <v/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</row>
    <row r="598">
      <c r="A598" t="inlineStr">
        <is>
          <t>CashFlow Statement</t>
        </is>
      </c>
      <c r="B598" t="inlineStr">
        <is>
          <t>N49</t>
        </is>
      </c>
      <c r="C598" t="n">
        <v>49</v>
      </c>
      <c r="D598" t="n">
        <v>14</v>
      </c>
      <c r="E598" t="inlineStr">
        <is>
          <t>Input</t>
        </is>
      </c>
      <c r="F598" t="n">
        <v/>
      </c>
      <c r="H598" t="inlineStr"/>
      <c r="I598" t="inlineStr">
        <is>
          <t>0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n">
        <v/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</row>
    <row r="599">
      <c r="A599" t="inlineStr">
        <is>
          <t>CashFlow Statement</t>
        </is>
      </c>
      <c r="B599" t="inlineStr">
        <is>
          <t>O49</t>
        </is>
      </c>
      <c r="C599" t="n">
        <v>49</v>
      </c>
      <c r="D599" t="n">
        <v>15</v>
      </c>
      <c r="E599" t="inlineStr">
        <is>
          <t>Input</t>
        </is>
      </c>
      <c r="F599" t="n">
        <v/>
      </c>
      <c r="H599" t="inlineStr"/>
      <c r="I599" t="inlineStr">
        <is>
          <t>0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n">
        <v/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</row>
    <row r="600">
      <c r="A600" t="inlineStr">
        <is>
          <t>CashFlow Statement</t>
        </is>
      </c>
      <c r="B600" t="inlineStr">
        <is>
          <t>A50</t>
        </is>
      </c>
      <c r="C600" t="n">
        <v>50</v>
      </c>
      <c r="D600" t="n">
        <v>1</v>
      </c>
      <c r="E600" t="inlineStr">
        <is>
          <t>Input</t>
        </is>
      </c>
      <c r="F600" t="n">
        <v/>
      </c>
      <c r="G600" t="inlineStr">
        <is>
          <t>Net increase / (decrease) in cash and cash equivalents during the year / period</t>
        </is>
      </c>
      <c r="H600" t="inlineStr"/>
      <c r="I600" t="inlineStr">
        <is>
          <t>General</t>
        </is>
      </c>
      <c r="J600" t="b">
        <v>1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R600" t="b">
        <v>1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</row>
    <row r="601">
      <c r="A601" t="inlineStr">
        <is>
          <t>CashFlow Statement</t>
        </is>
      </c>
      <c r="B601" t="inlineStr">
        <is>
          <t>D50</t>
        </is>
      </c>
      <c r="C601" t="n">
        <v>50</v>
      </c>
      <c r="D601" t="n">
        <v>4</v>
      </c>
      <c r="E601" t="inlineStr">
        <is>
          <t>Calculation</t>
        </is>
      </c>
      <c r="F601" t="inlineStr">
        <is>
          <t>'=D28+D36+D48</t>
        </is>
      </c>
      <c r="G601" t="n">
        <v>-84.28000000000111</v>
      </c>
      <c r="H601" t="inlineStr"/>
      <c r="I601" t="inlineStr">
        <is>
          <t>0</t>
        </is>
      </c>
      <c r="J601" t="b">
        <v>1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n">
        <v/>
      </c>
      <c r="R601" t="b">
        <v>1</v>
      </c>
      <c r="S601" t="inlineStr">
        <is>
          <t>G000279</t>
        </is>
      </c>
      <c r="T601" t="inlineStr">
        <is>
          <t>Horizontal</t>
        </is>
      </c>
      <c r="U601" t="n">
        <v>12</v>
      </c>
      <c r="V601" t="b">
        <v>1</v>
      </c>
      <c r="W601" t="inlineStr">
        <is>
          <t>CashFlow Statement!D50:O50</t>
        </is>
      </c>
      <c r="X601">
        <f>R[-22]C[0]+R[-14]C[0]+R[-2]C[0]</f>
        <v/>
      </c>
    </row>
    <row r="602">
      <c r="A602" t="inlineStr">
        <is>
          <t>CashFlow Statement</t>
        </is>
      </c>
      <c r="B602" t="inlineStr">
        <is>
          <t>E50</t>
        </is>
      </c>
      <c r="C602" t="n">
        <v>50</v>
      </c>
      <c r="D602" t="n">
        <v>5</v>
      </c>
      <c r="E602" t="inlineStr">
        <is>
          <t>Calculation</t>
        </is>
      </c>
      <c r="F602" t="inlineStr">
        <is>
          <t>'=E28+E36+E48</t>
        </is>
      </c>
      <c r="G602" t="n">
        <v>2114.149999999998</v>
      </c>
      <c r="H602" t="inlineStr"/>
      <c r="I602" t="inlineStr">
        <is>
          <t>0</t>
        </is>
      </c>
      <c r="J602" t="b">
        <v>1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n">
        <v/>
      </c>
      <c r="R602" t="b">
        <v>1</v>
      </c>
      <c r="S602" t="inlineStr">
        <is>
          <t>G000279</t>
        </is>
      </c>
      <c r="T602" t="inlineStr">
        <is>
          <t>Horizontal</t>
        </is>
      </c>
      <c r="U602" t="n">
        <v>12</v>
      </c>
      <c r="V602" t="b">
        <v>1</v>
      </c>
      <c r="W602" t="inlineStr">
        <is>
          <t>CashFlow Statement!D50:O50</t>
        </is>
      </c>
      <c r="X602">
        <f>R[-22]C[0]+R[-14]C[0]+R[-2]C[0]</f>
        <v/>
      </c>
    </row>
    <row r="603">
      <c r="A603" t="inlineStr">
        <is>
          <t>CashFlow Statement</t>
        </is>
      </c>
      <c r="B603" t="inlineStr">
        <is>
          <t>F50</t>
        </is>
      </c>
      <c r="C603" t="n">
        <v>50</v>
      </c>
      <c r="D603" t="n">
        <v>6</v>
      </c>
      <c r="E603" t="inlineStr">
        <is>
          <t>Calculation</t>
        </is>
      </c>
      <c r="F603" t="inlineStr">
        <is>
          <t>'=F28+F36+F48</t>
        </is>
      </c>
      <c r="G603" t="n">
        <v>-1122.819999999997</v>
      </c>
      <c r="H603" t="inlineStr"/>
      <c r="I603" t="inlineStr">
        <is>
          <t>0</t>
        </is>
      </c>
      <c r="J603" t="b">
        <v>1</v>
      </c>
      <c r="K603" t="b">
        <v>0</v>
      </c>
      <c r="L603" t="n">
        <v>11</v>
      </c>
      <c r="M603" t="inlineStr">
        <is>
          <t>Values must be of type &lt;class 'str'&gt;</t>
        </is>
      </c>
      <c r="N603" t="inlineStr">
        <is>
          <t>00000000</t>
        </is>
      </c>
      <c r="O603" t="n">
        <v/>
      </c>
      <c r="R603" t="b">
        <v>1</v>
      </c>
      <c r="S603" t="inlineStr">
        <is>
          <t>G000279</t>
        </is>
      </c>
      <c r="T603" t="inlineStr">
        <is>
          <t>Horizontal</t>
        </is>
      </c>
      <c r="U603" t="n">
        <v>12</v>
      </c>
      <c r="V603" t="b">
        <v>1</v>
      </c>
      <c r="W603" t="inlineStr">
        <is>
          <t>CashFlow Statement!D50:O50</t>
        </is>
      </c>
      <c r="X603">
        <f>R[-22]C[0]+R[-14]C[0]+R[-2]C[0]</f>
        <v/>
      </c>
    </row>
    <row r="604">
      <c r="A604" t="inlineStr">
        <is>
          <t>CashFlow Statement</t>
        </is>
      </c>
      <c r="B604" t="inlineStr">
        <is>
          <t>G50</t>
        </is>
      </c>
      <c r="C604" t="n">
        <v>50</v>
      </c>
      <c r="D604" t="n">
        <v>7</v>
      </c>
      <c r="E604" t="inlineStr">
        <is>
          <t>Calculation</t>
        </is>
      </c>
      <c r="F604" t="inlineStr">
        <is>
          <t>'=G28+G36+G48</t>
        </is>
      </c>
      <c r="G604" t="n">
        <v>-334.3599999999806</v>
      </c>
      <c r="H604" t="inlineStr"/>
      <c r="I604" t="inlineStr">
        <is>
          <t>0</t>
        </is>
      </c>
      <c r="J604" t="b">
        <v>1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00000000</t>
        </is>
      </c>
      <c r="O604" t="n">
        <v/>
      </c>
      <c r="R604" t="b">
        <v>1</v>
      </c>
      <c r="S604" t="inlineStr">
        <is>
          <t>G000279</t>
        </is>
      </c>
      <c r="T604" t="inlineStr">
        <is>
          <t>Horizontal</t>
        </is>
      </c>
      <c r="U604" t="n">
        <v>12</v>
      </c>
      <c r="V604" t="b">
        <v>1</v>
      </c>
      <c r="W604" t="inlineStr">
        <is>
          <t>CashFlow Statement!D50:O50</t>
        </is>
      </c>
      <c r="X604">
        <f>R[-22]C[0]+R[-14]C[0]+R[-2]C[0]</f>
        <v/>
      </c>
    </row>
    <row r="605">
      <c r="A605" t="inlineStr">
        <is>
          <t>CashFlow Statement</t>
        </is>
      </c>
      <c r="B605" t="inlineStr">
        <is>
          <t>H50</t>
        </is>
      </c>
      <c r="C605" t="n">
        <v>50</v>
      </c>
      <c r="D605" t="n">
        <v>8</v>
      </c>
      <c r="E605" t="inlineStr">
        <is>
          <t>Calculation</t>
        </is>
      </c>
      <c r="F605" t="inlineStr">
        <is>
          <t>'=H28+H36+H48</t>
        </is>
      </c>
      <c r="G605" t="n">
        <v>1352.649999999992</v>
      </c>
      <c r="H605" t="inlineStr"/>
      <c r="I605" t="inlineStr">
        <is>
          <t>0</t>
        </is>
      </c>
      <c r="J605" t="b">
        <v>1</v>
      </c>
      <c r="K605" t="b">
        <v>0</v>
      </c>
      <c r="L605" t="n">
        <v>11</v>
      </c>
      <c r="M605" t="inlineStr">
        <is>
          <t>Values must be of type &lt;class 'str'&gt;</t>
        </is>
      </c>
      <c r="N605" t="inlineStr">
        <is>
          <t>00000000</t>
        </is>
      </c>
      <c r="O605" t="n">
        <v/>
      </c>
      <c r="R605" t="b">
        <v>1</v>
      </c>
      <c r="S605" t="inlineStr">
        <is>
          <t>G000279</t>
        </is>
      </c>
      <c r="T605" t="inlineStr">
        <is>
          <t>Horizontal</t>
        </is>
      </c>
      <c r="U605" t="n">
        <v>12</v>
      </c>
      <c r="V605" t="b">
        <v>1</v>
      </c>
      <c r="W605" t="inlineStr">
        <is>
          <t>CashFlow Statement!D50:O50</t>
        </is>
      </c>
      <c r="X605">
        <f>R[-22]C[0]+R[-14]C[0]+R[-2]C[0]</f>
        <v/>
      </c>
    </row>
    <row r="606">
      <c r="A606" t="inlineStr">
        <is>
          <t>CashFlow Statement</t>
        </is>
      </c>
      <c r="B606" t="inlineStr">
        <is>
          <t>I50</t>
        </is>
      </c>
      <c r="C606" t="n">
        <v>50</v>
      </c>
      <c r="D606" t="n">
        <v>9</v>
      </c>
      <c r="E606" t="inlineStr">
        <is>
          <t>Calculation</t>
        </is>
      </c>
      <c r="F606" t="inlineStr">
        <is>
          <t>'=I28+I36+I48</t>
        </is>
      </c>
      <c r="G606" t="n">
        <v>5529.169999999984</v>
      </c>
      <c r="H606" t="inlineStr"/>
      <c r="I606" t="inlineStr">
        <is>
          <t>0</t>
        </is>
      </c>
      <c r="J606" t="b">
        <v>1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00000000</t>
        </is>
      </c>
      <c r="O606" t="n">
        <v/>
      </c>
      <c r="R606" t="b">
        <v>1</v>
      </c>
      <c r="S606" t="inlineStr">
        <is>
          <t>G000279</t>
        </is>
      </c>
      <c r="T606" t="inlineStr">
        <is>
          <t>Horizontal</t>
        </is>
      </c>
      <c r="U606" t="n">
        <v>12</v>
      </c>
      <c r="V606" t="b">
        <v>1</v>
      </c>
      <c r="W606" t="inlineStr">
        <is>
          <t>CashFlow Statement!D50:O50</t>
        </is>
      </c>
      <c r="X606">
        <f>R[-22]C[0]+R[-14]C[0]+R[-2]C[0]</f>
        <v/>
      </c>
    </row>
    <row r="607">
      <c r="A607" t="inlineStr">
        <is>
          <t>CashFlow Statement</t>
        </is>
      </c>
      <c r="B607" t="inlineStr">
        <is>
          <t>J50</t>
        </is>
      </c>
      <c r="C607" t="n">
        <v>50</v>
      </c>
      <c r="D607" t="n">
        <v>10</v>
      </c>
      <c r="E607" t="inlineStr">
        <is>
          <t>Calculation</t>
        </is>
      </c>
      <c r="F607" t="inlineStr">
        <is>
          <t>'=J28+J36+J48</t>
        </is>
      </c>
      <c r="G607" t="n">
        <v>-6569.930000000011</v>
      </c>
      <c r="H607" t="inlineStr"/>
      <c r="I607" t="inlineStr">
        <is>
          <t>0</t>
        </is>
      </c>
      <c r="J607" t="b">
        <v>1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00000000</t>
        </is>
      </c>
      <c r="O607" t="n">
        <v/>
      </c>
      <c r="R607" t="b">
        <v>1</v>
      </c>
      <c r="S607" t="inlineStr">
        <is>
          <t>G000279</t>
        </is>
      </c>
      <c r="T607" t="inlineStr">
        <is>
          <t>Horizontal</t>
        </is>
      </c>
      <c r="U607" t="n">
        <v>12</v>
      </c>
      <c r="V607" t="b">
        <v>1</v>
      </c>
      <c r="W607" t="inlineStr">
        <is>
          <t>CashFlow Statement!D50:O50</t>
        </is>
      </c>
      <c r="X607">
        <f>R[-22]C[0]+R[-14]C[0]+R[-2]C[0]</f>
        <v/>
      </c>
    </row>
    <row r="608">
      <c r="A608" t="inlineStr">
        <is>
          <t>CashFlow Statement</t>
        </is>
      </c>
      <c r="B608" t="inlineStr">
        <is>
          <t>K50</t>
        </is>
      </c>
      <c r="C608" t="n">
        <v>50</v>
      </c>
      <c r="D608" t="n">
        <v>11</v>
      </c>
      <c r="E608" t="inlineStr">
        <is>
          <t>Calculation</t>
        </is>
      </c>
      <c r="F608" t="inlineStr">
        <is>
          <t>'=K28+K36+K48</t>
        </is>
      </c>
      <c r="G608" t="n">
        <v>43844.08498845091</v>
      </c>
      <c r="H608" t="inlineStr"/>
      <c r="I608" t="inlineStr">
        <is>
          <t>0</t>
        </is>
      </c>
      <c r="J608" t="b">
        <v>1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00000000</t>
        </is>
      </c>
      <c r="O608" t="n">
        <v/>
      </c>
      <c r="R608" t="b">
        <v>1</v>
      </c>
      <c r="S608" t="inlineStr">
        <is>
          <t>G000279</t>
        </is>
      </c>
      <c r="T608" t="inlineStr">
        <is>
          <t>Horizontal</t>
        </is>
      </c>
      <c r="U608" t="n">
        <v>12</v>
      </c>
      <c r="V608" t="b">
        <v>1</v>
      </c>
      <c r="W608" t="inlineStr">
        <is>
          <t>CashFlow Statement!D50:O50</t>
        </is>
      </c>
      <c r="X608">
        <f>R[-22]C[0]+R[-14]C[0]+R[-2]C[0]</f>
        <v/>
      </c>
    </row>
    <row r="609">
      <c r="A609" t="inlineStr">
        <is>
          <t>CashFlow Statement</t>
        </is>
      </c>
      <c r="B609" t="inlineStr">
        <is>
          <t>L50</t>
        </is>
      </c>
      <c r="C609" t="n">
        <v>50</v>
      </c>
      <c r="D609" t="n">
        <v>12</v>
      </c>
      <c r="E609" t="inlineStr">
        <is>
          <t>Calculation</t>
        </is>
      </c>
      <c r="F609" t="inlineStr">
        <is>
          <t>'=L28+L36+L48</t>
        </is>
      </c>
      <c r="G609" t="n">
        <v>39362.04677061676</v>
      </c>
      <c r="H609" t="inlineStr"/>
      <c r="I609" t="inlineStr">
        <is>
          <t>0</t>
        </is>
      </c>
      <c r="J609" t="b">
        <v>1</v>
      </c>
      <c r="K609" t="b">
        <v>0</v>
      </c>
      <c r="L609" t="n">
        <v>11</v>
      </c>
      <c r="M609" t="inlineStr">
        <is>
          <t>Values must be of type &lt;class 'str'&gt;</t>
        </is>
      </c>
      <c r="N609" t="inlineStr">
        <is>
          <t>00000000</t>
        </is>
      </c>
      <c r="O609" t="n">
        <v/>
      </c>
      <c r="R609" t="b">
        <v>1</v>
      </c>
      <c r="S609" t="inlineStr">
        <is>
          <t>G000279</t>
        </is>
      </c>
      <c r="T609" t="inlineStr">
        <is>
          <t>Horizontal</t>
        </is>
      </c>
      <c r="U609" t="n">
        <v>12</v>
      </c>
      <c r="V609" t="b">
        <v>1</v>
      </c>
      <c r="W609" t="inlineStr">
        <is>
          <t>CashFlow Statement!D50:O50</t>
        </is>
      </c>
      <c r="X609">
        <f>R[-22]C[0]+R[-14]C[0]+R[-2]C[0]</f>
        <v/>
      </c>
    </row>
    <row r="610">
      <c r="A610" t="inlineStr">
        <is>
          <t>CashFlow Statement</t>
        </is>
      </c>
      <c r="B610" t="inlineStr">
        <is>
          <t>M50</t>
        </is>
      </c>
      <c r="C610" t="n">
        <v>50</v>
      </c>
      <c r="D610" t="n">
        <v>13</v>
      </c>
      <c r="E610" t="inlineStr">
        <is>
          <t>Calculation</t>
        </is>
      </c>
      <c r="F610" t="inlineStr">
        <is>
          <t>'=M28+M36+M48</t>
        </is>
      </c>
      <c r="G610" t="n">
        <v>55262.557449698</v>
      </c>
      <c r="H610" t="inlineStr"/>
      <c r="I610" t="inlineStr">
        <is>
          <t>0</t>
        </is>
      </c>
      <c r="J610" t="b">
        <v>1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n">
        <v/>
      </c>
      <c r="R610" t="b">
        <v>1</v>
      </c>
      <c r="S610" t="inlineStr">
        <is>
          <t>G000279</t>
        </is>
      </c>
      <c r="T610" t="inlineStr">
        <is>
          <t>Horizontal</t>
        </is>
      </c>
      <c r="U610" t="n">
        <v>12</v>
      </c>
      <c r="V610" t="b">
        <v>1</v>
      </c>
      <c r="W610" t="inlineStr">
        <is>
          <t>CashFlow Statement!D50:O50</t>
        </is>
      </c>
      <c r="X610">
        <f>R[-22]C[0]+R[-14]C[0]+R[-2]C[0]</f>
        <v/>
      </c>
    </row>
    <row r="611">
      <c r="A611" t="inlineStr">
        <is>
          <t>CashFlow Statement</t>
        </is>
      </c>
      <c r="B611" t="inlineStr">
        <is>
          <t>N50</t>
        </is>
      </c>
      <c r="C611" t="n">
        <v>50</v>
      </c>
      <c r="D611" t="n">
        <v>14</v>
      </c>
      <c r="E611" t="inlineStr">
        <is>
          <t>Calculation</t>
        </is>
      </c>
      <c r="F611" t="inlineStr">
        <is>
          <t>'=N28+N36+N48</t>
        </is>
      </c>
      <c r="G611" t="n">
        <v>70050.89838070692</v>
      </c>
      <c r="H611" t="inlineStr"/>
      <c r="I611" t="inlineStr">
        <is>
          <t>0</t>
        </is>
      </c>
      <c r="J611" t="b">
        <v>1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n">
        <v/>
      </c>
      <c r="R611" t="b">
        <v>1</v>
      </c>
      <c r="S611" t="inlineStr">
        <is>
          <t>G000279</t>
        </is>
      </c>
      <c r="T611" t="inlineStr">
        <is>
          <t>Horizontal</t>
        </is>
      </c>
      <c r="U611" t="n">
        <v>12</v>
      </c>
      <c r="V611" t="b">
        <v>1</v>
      </c>
      <c r="W611" t="inlineStr">
        <is>
          <t>CashFlow Statement!D50:O50</t>
        </is>
      </c>
      <c r="X611">
        <f>R[-22]C[0]+R[-14]C[0]+R[-2]C[0]</f>
        <v/>
      </c>
    </row>
    <row r="612">
      <c r="A612" t="inlineStr">
        <is>
          <t>CashFlow Statement</t>
        </is>
      </c>
      <c r="B612" t="inlineStr">
        <is>
          <t>O50</t>
        </is>
      </c>
      <c r="C612" t="n">
        <v>50</v>
      </c>
      <c r="D612" t="n">
        <v>15</v>
      </c>
      <c r="E612" t="inlineStr">
        <is>
          <t>Calculation</t>
        </is>
      </c>
      <c r="F612" t="inlineStr">
        <is>
          <t>'=O28+O36+O48</t>
        </is>
      </c>
      <c r="G612" t="n">
        <v>82821.24778413514</v>
      </c>
      <c r="H612" t="inlineStr"/>
      <c r="I612" t="inlineStr">
        <is>
          <t>0</t>
        </is>
      </c>
      <c r="J612" t="b">
        <v>1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n">
        <v/>
      </c>
      <c r="R612" t="b">
        <v>1</v>
      </c>
      <c r="S612" t="inlineStr">
        <is>
          <t>G000279</t>
        </is>
      </c>
      <c r="T612" t="inlineStr">
        <is>
          <t>Horizontal</t>
        </is>
      </c>
      <c r="U612" t="n">
        <v>12</v>
      </c>
      <c r="V612" t="b">
        <v>1</v>
      </c>
      <c r="W612" t="inlineStr">
        <is>
          <t>CashFlow Statement!D50:O50</t>
        </is>
      </c>
      <c r="X612">
        <f>R[-22]C[0]+R[-14]C[0]+R[-2]C[0]</f>
        <v/>
      </c>
    </row>
    <row r="613">
      <c r="A613" t="inlineStr">
        <is>
          <t>CashFlow Statement</t>
        </is>
      </c>
      <c r="B613" t="inlineStr">
        <is>
          <t>D51</t>
        </is>
      </c>
      <c r="C613" t="n">
        <v>51</v>
      </c>
      <c r="D613" t="n">
        <v>4</v>
      </c>
      <c r="E613" t="inlineStr">
        <is>
          <t>Input</t>
        </is>
      </c>
      <c r="F613" t="n">
        <v/>
      </c>
      <c r="H613" t="inlineStr"/>
      <c r="I613" t="inlineStr">
        <is>
          <t>0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n">
        <v/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</row>
    <row r="614">
      <c r="A614" t="inlineStr">
        <is>
          <t>CashFlow Statement</t>
        </is>
      </c>
      <c r="B614" t="inlineStr">
        <is>
          <t>E51</t>
        </is>
      </c>
      <c r="C614" t="n">
        <v>51</v>
      </c>
      <c r="D614" t="n">
        <v>5</v>
      </c>
      <c r="E614" t="inlineStr">
        <is>
          <t>Input</t>
        </is>
      </c>
      <c r="F614" t="n">
        <v/>
      </c>
      <c r="H614" t="inlineStr"/>
      <c r="I614" t="inlineStr">
        <is>
          <t>0</t>
        </is>
      </c>
      <c r="J614" t="b">
        <v>0</v>
      </c>
      <c r="K614" t="b">
        <v>0</v>
      </c>
      <c r="L614" t="n">
        <v>11</v>
      </c>
      <c r="M614" t="inlineStr">
        <is>
          <t>Values must be of type &lt;class 'str'&gt;</t>
        </is>
      </c>
      <c r="N614" t="inlineStr">
        <is>
          <t>00000000</t>
        </is>
      </c>
      <c r="O614" t="n">
        <v/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</row>
    <row r="615">
      <c r="A615" t="inlineStr">
        <is>
          <t>CashFlow Statement</t>
        </is>
      </c>
      <c r="B615" t="inlineStr">
        <is>
          <t>F51</t>
        </is>
      </c>
      <c r="C615" t="n">
        <v>51</v>
      </c>
      <c r="D615" t="n">
        <v>6</v>
      </c>
      <c r="E615" t="inlineStr">
        <is>
          <t>Input</t>
        </is>
      </c>
      <c r="F615" t="n">
        <v/>
      </c>
      <c r="H615" t="inlineStr"/>
      <c r="I615" t="inlineStr">
        <is>
          <t>0</t>
        </is>
      </c>
      <c r="J615" t="b">
        <v>0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n">
        <v/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</row>
    <row r="616">
      <c r="A616" t="inlineStr">
        <is>
          <t>CashFlow Statement</t>
        </is>
      </c>
      <c r="B616" t="inlineStr">
        <is>
          <t>G51</t>
        </is>
      </c>
      <c r="C616" t="n">
        <v>51</v>
      </c>
      <c r="D616" t="n">
        <v>7</v>
      </c>
      <c r="E616" t="inlineStr">
        <is>
          <t>Input</t>
        </is>
      </c>
      <c r="F616" t="n">
        <v/>
      </c>
      <c r="H616" t="inlineStr"/>
      <c r="I616" t="inlineStr">
        <is>
          <t>0</t>
        </is>
      </c>
      <c r="J616" t="b">
        <v>0</v>
      </c>
      <c r="K616" t="b">
        <v>0</v>
      </c>
      <c r="L616" t="n">
        <v>11</v>
      </c>
      <c r="M616" t="inlineStr">
        <is>
          <t>Values must be of type &lt;class 'str'&gt;</t>
        </is>
      </c>
      <c r="N616" t="inlineStr">
        <is>
          <t>00000000</t>
        </is>
      </c>
      <c r="O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</row>
    <row r="617">
      <c r="A617" t="inlineStr">
        <is>
          <t>CashFlow Statement</t>
        </is>
      </c>
      <c r="B617" t="inlineStr">
        <is>
          <t>H51</t>
        </is>
      </c>
      <c r="C617" t="n">
        <v>51</v>
      </c>
      <c r="D617" t="n">
        <v>8</v>
      </c>
      <c r="E617" t="inlineStr">
        <is>
          <t>Input</t>
        </is>
      </c>
      <c r="F617" t="n">
        <v/>
      </c>
      <c r="H617" t="inlineStr"/>
      <c r="I617" t="inlineStr">
        <is>
          <t>0</t>
        </is>
      </c>
      <c r="J617" t="b">
        <v>0</v>
      </c>
      <c r="K617" t="b">
        <v>0</v>
      </c>
      <c r="L617" t="n">
        <v>11</v>
      </c>
      <c r="M617" t="inlineStr">
        <is>
          <t>Values must be of type &lt;class 'str'&gt;</t>
        </is>
      </c>
      <c r="N617" t="inlineStr">
        <is>
          <t>00000000</t>
        </is>
      </c>
      <c r="O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</row>
    <row r="618">
      <c r="A618" t="inlineStr">
        <is>
          <t>CashFlow Statement</t>
        </is>
      </c>
      <c r="B618" t="inlineStr">
        <is>
          <t>I51</t>
        </is>
      </c>
      <c r="C618" t="n">
        <v>51</v>
      </c>
      <c r="D618" t="n">
        <v>9</v>
      </c>
      <c r="E618" t="inlineStr">
        <is>
          <t>Input</t>
        </is>
      </c>
      <c r="F618" t="n">
        <v/>
      </c>
      <c r="H618" t="inlineStr"/>
      <c r="I618" t="inlineStr">
        <is>
          <t>0</t>
        </is>
      </c>
      <c r="J618" t="b">
        <v>0</v>
      </c>
      <c r="K618" t="b">
        <v>0</v>
      </c>
      <c r="L618" t="n">
        <v>11</v>
      </c>
      <c r="M618" t="inlineStr">
        <is>
          <t>Values must be of type &lt;class 'str'&gt;</t>
        </is>
      </c>
      <c r="N618" t="inlineStr">
        <is>
          <t>00000000</t>
        </is>
      </c>
      <c r="O618" t="n">
        <v/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</row>
    <row r="619">
      <c r="A619" t="inlineStr">
        <is>
          <t>CashFlow Statement</t>
        </is>
      </c>
      <c r="B619" t="inlineStr">
        <is>
          <t>J51</t>
        </is>
      </c>
      <c r="C619" t="n">
        <v>51</v>
      </c>
      <c r="D619" t="n">
        <v>10</v>
      </c>
      <c r="E619" t="inlineStr">
        <is>
          <t>Input</t>
        </is>
      </c>
      <c r="F619" t="n">
        <v/>
      </c>
      <c r="H619" t="inlineStr"/>
      <c r="I619" t="inlineStr">
        <is>
          <t>0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n">
        <v/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</row>
    <row r="620">
      <c r="A620" t="inlineStr">
        <is>
          <t>CashFlow Statement</t>
        </is>
      </c>
      <c r="B620" t="inlineStr">
        <is>
          <t>K51</t>
        </is>
      </c>
      <c r="C620" t="n">
        <v>51</v>
      </c>
      <c r="D620" t="n">
        <v>11</v>
      </c>
      <c r="E620" t="inlineStr">
        <is>
          <t>Input</t>
        </is>
      </c>
      <c r="F620" t="n">
        <v/>
      </c>
      <c r="H620" t="inlineStr"/>
      <c r="I620" t="inlineStr">
        <is>
          <t>0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00000000</t>
        </is>
      </c>
      <c r="O620" t="n">
        <v/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</row>
    <row r="621">
      <c r="A621" t="inlineStr">
        <is>
          <t>CashFlow Statement</t>
        </is>
      </c>
      <c r="B621" t="inlineStr">
        <is>
          <t>L51</t>
        </is>
      </c>
      <c r="C621" t="n">
        <v>51</v>
      </c>
      <c r="D621" t="n">
        <v>12</v>
      </c>
      <c r="E621" t="inlineStr">
        <is>
          <t>Input</t>
        </is>
      </c>
      <c r="F621" t="n">
        <v/>
      </c>
      <c r="H621" t="inlineStr"/>
      <c r="I621" t="inlineStr">
        <is>
          <t>0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n">
        <v/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</row>
    <row r="622">
      <c r="A622" t="inlineStr">
        <is>
          <t>CashFlow Statement</t>
        </is>
      </c>
      <c r="B622" t="inlineStr">
        <is>
          <t>M51</t>
        </is>
      </c>
      <c r="C622" t="n">
        <v>51</v>
      </c>
      <c r="D622" t="n">
        <v>13</v>
      </c>
      <c r="E622" t="inlineStr">
        <is>
          <t>Input</t>
        </is>
      </c>
      <c r="F622" t="n">
        <v/>
      </c>
      <c r="H622" t="inlineStr"/>
      <c r="I622" t="inlineStr">
        <is>
          <t>0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n">
        <v/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</row>
    <row r="623">
      <c r="A623" t="inlineStr">
        <is>
          <t>CashFlow Statement</t>
        </is>
      </c>
      <c r="B623" t="inlineStr">
        <is>
          <t>N51</t>
        </is>
      </c>
      <c r="C623" t="n">
        <v>51</v>
      </c>
      <c r="D623" t="n">
        <v>14</v>
      </c>
      <c r="E623" t="inlineStr">
        <is>
          <t>Input</t>
        </is>
      </c>
      <c r="F623" t="n">
        <v/>
      </c>
      <c r="H623" t="inlineStr"/>
      <c r="I623" t="inlineStr">
        <is>
          <t>0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n">
        <v/>
      </c>
      <c r="R623" t="b">
        <v>0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</row>
    <row r="624">
      <c r="A624" t="inlineStr">
        <is>
          <t>CashFlow Statement</t>
        </is>
      </c>
      <c r="B624" t="inlineStr">
        <is>
          <t>O51</t>
        </is>
      </c>
      <c r="C624" t="n">
        <v>51</v>
      </c>
      <c r="D624" t="n">
        <v>15</v>
      </c>
      <c r="E624" t="inlineStr">
        <is>
          <t>Input</t>
        </is>
      </c>
      <c r="F624" t="n">
        <v/>
      </c>
      <c r="H624" t="inlineStr"/>
      <c r="I624" t="inlineStr">
        <is>
          <t>0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</row>
    <row r="625">
      <c r="A625" t="inlineStr">
        <is>
          <t>CashFlow Statement</t>
        </is>
      </c>
      <c r="B625" t="inlineStr">
        <is>
          <t>A52</t>
        </is>
      </c>
      <c r="C625" t="n">
        <v>52</v>
      </c>
      <c r="D625" t="n">
        <v>1</v>
      </c>
      <c r="E625" t="inlineStr">
        <is>
          <t>Input</t>
        </is>
      </c>
      <c r="F625" t="n">
        <v/>
      </c>
      <c r="G625" t="inlineStr">
        <is>
          <t>Effect of exchange rate difference on cash and cash equivalents held in foreign currency</t>
        </is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n">
        <v/>
      </c>
      <c r="R625" t="b">
        <v>1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</row>
    <row r="626">
      <c r="A626" t="inlineStr">
        <is>
          <t>CashFlow Statement</t>
        </is>
      </c>
      <c r="B626" t="inlineStr">
        <is>
          <t>D52</t>
        </is>
      </c>
      <c r="C626" t="n">
        <v>52</v>
      </c>
      <c r="D626" t="n">
        <v>4</v>
      </c>
      <c r="E626" t="inlineStr">
        <is>
          <t>Input</t>
        </is>
      </c>
      <c r="F626" t="n">
        <v/>
      </c>
      <c r="G626" t="n">
        <v>0</v>
      </c>
      <c r="H626" t="inlineStr"/>
      <c r="I626" t="inlineStr">
        <is>
          <t>0</t>
        </is>
      </c>
      <c r="J626" t="b">
        <v>0</v>
      </c>
      <c r="K626" t="b">
        <v>0</v>
      </c>
      <c r="L626" t="n">
        <v>11</v>
      </c>
      <c r="M626" t="inlineStr">
        <is>
          <t>FF0B0280</t>
        </is>
      </c>
      <c r="N626" t="inlineStr">
        <is>
          <t>00000000</t>
        </is>
      </c>
      <c r="O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</row>
    <row r="627">
      <c r="A627" t="inlineStr">
        <is>
          <t>CashFlow Statement</t>
        </is>
      </c>
      <c r="B627" t="inlineStr">
        <is>
          <t>E52</t>
        </is>
      </c>
      <c r="C627" t="n">
        <v>52</v>
      </c>
      <c r="D627" t="n">
        <v>5</v>
      </c>
      <c r="E627" t="inlineStr">
        <is>
          <t>Input</t>
        </is>
      </c>
      <c r="F627" t="n">
        <v/>
      </c>
      <c r="G627" t="n">
        <v>4.39</v>
      </c>
      <c r="H627" t="inlineStr"/>
      <c r="I627" t="inlineStr">
        <is>
          <t>0</t>
        </is>
      </c>
      <c r="J627" t="b">
        <v>0</v>
      </c>
      <c r="K627" t="b">
        <v>0</v>
      </c>
      <c r="L627" t="n">
        <v>11</v>
      </c>
      <c r="M627" t="inlineStr">
        <is>
          <t>FF0B0280</t>
        </is>
      </c>
      <c r="N627" t="inlineStr">
        <is>
          <t>00000000</t>
        </is>
      </c>
      <c r="O627" t="n">
        <v/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</row>
    <row r="628">
      <c r="A628" t="inlineStr">
        <is>
          <t>CashFlow Statement</t>
        </is>
      </c>
      <c r="B628" t="inlineStr">
        <is>
          <t>F52</t>
        </is>
      </c>
      <c r="C628" t="n">
        <v>52</v>
      </c>
      <c r="D628" t="n">
        <v>6</v>
      </c>
      <c r="E628" t="inlineStr">
        <is>
          <t>Input</t>
        </is>
      </c>
      <c r="F628" t="n">
        <v/>
      </c>
      <c r="G628" t="n">
        <v>-6.14</v>
      </c>
      <c r="H628" t="inlineStr"/>
      <c r="I628" t="inlineStr">
        <is>
          <t>0</t>
        </is>
      </c>
      <c r="J628" t="b">
        <v>0</v>
      </c>
      <c r="K628" t="b">
        <v>0</v>
      </c>
      <c r="L628" t="n">
        <v>11</v>
      </c>
      <c r="M628" t="inlineStr">
        <is>
          <t>FF0B0280</t>
        </is>
      </c>
      <c r="N628" t="inlineStr">
        <is>
          <t>00000000</t>
        </is>
      </c>
      <c r="O628" t="n">
        <v/>
      </c>
      <c r="R628" t="b">
        <v>1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</row>
    <row r="629">
      <c r="A629" t="inlineStr">
        <is>
          <t>CashFlow Statement</t>
        </is>
      </c>
      <c r="B629" t="inlineStr">
        <is>
          <t>G52</t>
        </is>
      </c>
      <c r="C629" t="n">
        <v>52</v>
      </c>
      <c r="D629" t="n">
        <v>7</v>
      </c>
      <c r="E629" t="inlineStr">
        <is>
          <t>Input</t>
        </is>
      </c>
      <c r="F629" t="n">
        <v/>
      </c>
      <c r="G629" t="n">
        <v>-4.72</v>
      </c>
      <c r="H629" t="inlineStr"/>
      <c r="I629" t="inlineStr">
        <is>
          <t>0</t>
        </is>
      </c>
      <c r="J629" t="b">
        <v>0</v>
      </c>
      <c r="K629" t="b">
        <v>0</v>
      </c>
      <c r="L629" t="n">
        <v>11</v>
      </c>
      <c r="M629" t="inlineStr">
        <is>
          <t>FF0B0280</t>
        </is>
      </c>
      <c r="N629" t="inlineStr">
        <is>
          <t>00000000</t>
        </is>
      </c>
      <c r="O629" t="n">
        <v/>
      </c>
      <c r="R629" t="b">
        <v>1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</row>
    <row r="630">
      <c r="A630" t="inlineStr">
        <is>
          <t>CashFlow Statement</t>
        </is>
      </c>
      <c r="B630" t="inlineStr">
        <is>
          <t>H52</t>
        </is>
      </c>
      <c r="C630" t="n">
        <v>52</v>
      </c>
      <c r="D630" t="n">
        <v>8</v>
      </c>
      <c r="E630" t="inlineStr">
        <is>
          <t>Input</t>
        </is>
      </c>
      <c r="F630" t="n">
        <v/>
      </c>
      <c r="G630" t="n">
        <v>8.4</v>
      </c>
      <c r="H630" t="inlineStr"/>
      <c r="I630" t="inlineStr">
        <is>
          <t>0</t>
        </is>
      </c>
      <c r="J630" t="b">
        <v>0</v>
      </c>
      <c r="K630" t="b">
        <v>0</v>
      </c>
      <c r="L630" t="n">
        <v>11</v>
      </c>
      <c r="M630" t="inlineStr">
        <is>
          <t>FF0B0280</t>
        </is>
      </c>
      <c r="N630" t="inlineStr">
        <is>
          <t>00000000</t>
        </is>
      </c>
      <c r="O630" t="n">
        <v/>
      </c>
      <c r="R630" t="b">
        <v>1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</row>
    <row r="631">
      <c r="A631" t="inlineStr">
        <is>
          <t>CashFlow Statement</t>
        </is>
      </c>
      <c r="B631" t="inlineStr">
        <is>
          <t>I52</t>
        </is>
      </c>
      <c r="C631" t="n">
        <v>52</v>
      </c>
      <c r="D631" t="n">
        <v>9</v>
      </c>
      <c r="E631" t="inlineStr">
        <is>
          <t>Input</t>
        </is>
      </c>
      <c r="F631" t="n">
        <v/>
      </c>
      <c r="G631" t="n">
        <v>57.02</v>
      </c>
      <c r="H631" t="inlineStr"/>
      <c r="I631" t="inlineStr">
        <is>
          <t>0</t>
        </is>
      </c>
      <c r="J631" t="b">
        <v>0</v>
      </c>
      <c r="K631" t="b">
        <v>0</v>
      </c>
      <c r="L631" t="n">
        <v>11</v>
      </c>
      <c r="M631" t="inlineStr">
        <is>
          <t>FF0B0280</t>
        </is>
      </c>
      <c r="N631" t="inlineStr">
        <is>
          <t>00000000</t>
        </is>
      </c>
      <c r="O631" t="n">
        <v/>
      </c>
      <c r="R631" t="b">
        <v>1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</row>
    <row r="632">
      <c r="A632" t="inlineStr">
        <is>
          <t>CashFlow Statement</t>
        </is>
      </c>
      <c r="B632" t="inlineStr">
        <is>
          <t>J52</t>
        </is>
      </c>
      <c r="C632" t="n">
        <v>52</v>
      </c>
      <c r="D632" t="n">
        <v>10</v>
      </c>
      <c r="E632" t="inlineStr">
        <is>
          <t>Input</t>
        </is>
      </c>
      <c r="F632" t="n">
        <v/>
      </c>
      <c r="G632" t="n">
        <v>47.44</v>
      </c>
      <c r="H632" t="inlineStr"/>
      <c r="I632" t="inlineStr">
        <is>
          <t>0</t>
        </is>
      </c>
      <c r="J632" t="b">
        <v>0</v>
      </c>
      <c r="K632" t="b">
        <v>0</v>
      </c>
      <c r="L632" t="n">
        <v>11</v>
      </c>
      <c r="M632" t="inlineStr">
        <is>
          <t>FF0B0280</t>
        </is>
      </c>
      <c r="N632" t="inlineStr">
        <is>
          <t>00000000</t>
        </is>
      </c>
      <c r="O632" t="n">
        <v/>
      </c>
      <c r="R632" t="b">
        <v>1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</row>
    <row r="633">
      <c r="A633" t="inlineStr">
        <is>
          <t>CashFlow Statement</t>
        </is>
      </c>
      <c r="B633" t="inlineStr">
        <is>
          <t>K52</t>
        </is>
      </c>
      <c r="C633" t="n">
        <v>52</v>
      </c>
      <c r="D633" t="n">
        <v>11</v>
      </c>
      <c r="E633" t="inlineStr">
        <is>
          <t>Input</t>
        </is>
      </c>
      <c r="F633" t="n">
        <v/>
      </c>
      <c r="H633" t="inlineStr"/>
      <c r="I633" t="inlineStr">
        <is>
          <t>0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00000000</t>
        </is>
      </c>
      <c r="O633" t="n">
        <v/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</row>
    <row r="634">
      <c r="A634" t="inlineStr">
        <is>
          <t>CashFlow Statement</t>
        </is>
      </c>
      <c r="B634" t="inlineStr">
        <is>
          <t>L52</t>
        </is>
      </c>
      <c r="C634" t="n">
        <v>52</v>
      </c>
      <c r="D634" t="n">
        <v>12</v>
      </c>
      <c r="E634" t="inlineStr">
        <is>
          <t>Input</t>
        </is>
      </c>
      <c r="F634" t="n">
        <v/>
      </c>
      <c r="H634" t="inlineStr"/>
      <c r="I634" t="inlineStr">
        <is>
          <t>0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n">
        <v/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</row>
    <row r="635">
      <c r="A635" t="inlineStr">
        <is>
          <t>CashFlow Statement</t>
        </is>
      </c>
      <c r="B635" t="inlineStr">
        <is>
          <t>M52</t>
        </is>
      </c>
      <c r="C635" t="n">
        <v>52</v>
      </c>
      <c r="D635" t="n">
        <v>13</v>
      </c>
      <c r="E635" t="inlineStr">
        <is>
          <t>Input</t>
        </is>
      </c>
      <c r="F635" t="n">
        <v/>
      </c>
      <c r="H635" t="inlineStr"/>
      <c r="I635" t="inlineStr">
        <is>
          <t>0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n">
        <v/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</row>
    <row r="636">
      <c r="A636" t="inlineStr">
        <is>
          <t>CashFlow Statement</t>
        </is>
      </c>
      <c r="B636" t="inlineStr">
        <is>
          <t>N52</t>
        </is>
      </c>
      <c r="C636" t="n">
        <v>52</v>
      </c>
      <c r="D636" t="n">
        <v>14</v>
      </c>
      <c r="E636" t="inlineStr">
        <is>
          <t>Input</t>
        </is>
      </c>
      <c r="F636" t="n">
        <v/>
      </c>
      <c r="H636" t="inlineStr"/>
      <c r="I636" t="inlineStr">
        <is>
          <t>0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n">
        <v/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</row>
    <row r="637">
      <c r="A637" t="inlineStr">
        <is>
          <t>CashFlow Statement</t>
        </is>
      </c>
      <c r="B637" t="inlineStr">
        <is>
          <t>O52</t>
        </is>
      </c>
      <c r="C637" t="n">
        <v>52</v>
      </c>
      <c r="D637" t="n">
        <v>15</v>
      </c>
      <c r="E637" t="inlineStr">
        <is>
          <t>Input</t>
        </is>
      </c>
      <c r="F637" t="n">
        <v/>
      </c>
      <c r="H637" t="inlineStr"/>
      <c r="I637" t="inlineStr">
        <is>
          <t>0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00000000</t>
        </is>
      </c>
      <c r="O637" t="n">
        <v/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</row>
    <row r="638">
      <c r="A638" t="inlineStr">
        <is>
          <t>CashFlow Statement</t>
        </is>
      </c>
      <c r="B638" t="inlineStr">
        <is>
          <t>D53</t>
        </is>
      </c>
      <c r="C638" t="n">
        <v>53</v>
      </c>
      <c r="D638" t="n">
        <v>4</v>
      </c>
      <c r="E638" t="inlineStr">
        <is>
          <t>Input</t>
        </is>
      </c>
      <c r="F638" t="n">
        <v/>
      </c>
      <c r="H638" t="inlineStr"/>
      <c r="I638" t="inlineStr">
        <is>
          <t>0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00000000</t>
        </is>
      </c>
      <c r="O638" t="n">
        <v/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</row>
    <row r="639">
      <c r="A639" t="inlineStr">
        <is>
          <t>CashFlow Statement</t>
        </is>
      </c>
      <c r="B639" t="inlineStr">
        <is>
          <t>E53</t>
        </is>
      </c>
      <c r="C639" t="n">
        <v>53</v>
      </c>
      <c r="D639" t="n">
        <v>5</v>
      </c>
      <c r="E639" t="inlineStr">
        <is>
          <t>Input</t>
        </is>
      </c>
      <c r="F639" t="n">
        <v/>
      </c>
      <c r="H639" t="inlineStr"/>
      <c r="I639" t="inlineStr">
        <is>
          <t>0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00000000</t>
        </is>
      </c>
      <c r="O639" t="n">
        <v/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</row>
    <row r="640">
      <c r="A640" t="inlineStr">
        <is>
          <t>CashFlow Statement</t>
        </is>
      </c>
      <c r="B640" t="inlineStr">
        <is>
          <t>F53</t>
        </is>
      </c>
      <c r="C640" t="n">
        <v>53</v>
      </c>
      <c r="D640" t="n">
        <v>6</v>
      </c>
      <c r="E640" t="inlineStr">
        <is>
          <t>Input</t>
        </is>
      </c>
      <c r="F640" t="n">
        <v/>
      </c>
      <c r="H640" t="inlineStr"/>
      <c r="I640" t="inlineStr">
        <is>
          <t>0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00000000</t>
        </is>
      </c>
      <c r="O640" t="n">
        <v/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</row>
    <row r="641">
      <c r="A641" t="inlineStr">
        <is>
          <t>CashFlow Statement</t>
        </is>
      </c>
      <c r="B641" t="inlineStr">
        <is>
          <t>G53</t>
        </is>
      </c>
      <c r="C641" t="n">
        <v>53</v>
      </c>
      <c r="D641" t="n">
        <v>7</v>
      </c>
      <c r="E641" t="inlineStr">
        <is>
          <t>Input</t>
        </is>
      </c>
      <c r="F641" t="n">
        <v/>
      </c>
      <c r="H641" t="inlineStr"/>
      <c r="I641" t="inlineStr">
        <is>
          <t>0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00000000</t>
        </is>
      </c>
      <c r="O641" t="n">
        <v/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</row>
    <row r="642">
      <c r="A642" t="inlineStr">
        <is>
          <t>CashFlow Statement</t>
        </is>
      </c>
      <c r="B642" t="inlineStr">
        <is>
          <t>H53</t>
        </is>
      </c>
      <c r="C642" t="n">
        <v>53</v>
      </c>
      <c r="D642" t="n">
        <v>8</v>
      </c>
      <c r="E642" t="inlineStr">
        <is>
          <t>Input</t>
        </is>
      </c>
      <c r="F642" t="n">
        <v/>
      </c>
      <c r="H642" t="inlineStr"/>
      <c r="I642" t="inlineStr">
        <is>
          <t>0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00000000</t>
        </is>
      </c>
      <c r="O642" t="n">
        <v/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</row>
    <row r="643">
      <c r="A643" t="inlineStr">
        <is>
          <t>CashFlow Statement</t>
        </is>
      </c>
      <c r="B643" t="inlineStr">
        <is>
          <t>I53</t>
        </is>
      </c>
      <c r="C643" t="n">
        <v>53</v>
      </c>
      <c r="D643" t="n">
        <v>9</v>
      </c>
      <c r="E643" t="inlineStr">
        <is>
          <t>Input</t>
        </is>
      </c>
      <c r="F643" t="n">
        <v/>
      </c>
      <c r="H643" t="inlineStr"/>
      <c r="I643" t="inlineStr">
        <is>
          <t>0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00000000</t>
        </is>
      </c>
      <c r="O643" t="n">
        <v/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</row>
    <row r="644">
      <c r="A644" t="inlineStr">
        <is>
          <t>CashFlow Statement</t>
        </is>
      </c>
      <c r="B644" t="inlineStr">
        <is>
          <t>J53</t>
        </is>
      </c>
      <c r="C644" t="n">
        <v>53</v>
      </c>
      <c r="D644" t="n">
        <v>10</v>
      </c>
      <c r="E644" t="inlineStr">
        <is>
          <t>Input</t>
        </is>
      </c>
      <c r="F644" t="n">
        <v/>
      </c>
      <c r="H644" t="inlineStr"/>
      <c r="I644" t="inlineStr">
        <is>
          <t>0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n">
        <v/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</row>
    <row r="645">
      <c r="A645" t="inlineStr">
        <is>
          <t>CashFlow Statement</t>
        </is>
      </c>
      <c r="B645" t="inlineStr">
        <is>
          <t>K53</t>
        </is>
      </c>
      <c r="C645" t="n">
        <v>53</v>
      </c>
      <c r="D645" t="n">
        <v>11</v>
      </c>
      <c r="E645" t="inlineStr">
        <is>
          <t>Input</t>
        </is>
      </c>
      <c r="F645" t="n">
        <v/>
      </c>
      <c r="H645" t="inlineStr"/>
      <c r="I645" t="inlineStr">
        <is>
          <t>0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n">
        <v/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</row>
    <row r="646">
      <c r="A646" t="inlineStr">
        <is>
          <t>CashFlow Statement</t>
        </is>
      </c>
      <c r="B646" t="inlineStr">
        <is>
          <t>L53</t>
        </is>
      </c>
      <c r="C646" t="n">
        <v>53</v>
      </c>
      <c r="D646" t="n">
        <v>12</v>
      </c>
      <c r="E646" t="inlineStr">
        <is>
          <t>Input</t>
        </is>
      </c>
      <c r="F646" t="n">
        <v/>
      </c>
      <c r="H646" t="inlineStr"/>
      <c r="I646" t="inlineStr">
        <is>
          <t>0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n">
        <v/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</row>
    <row r="647">
      <c r="A647" t="inlineStr">
        <is>
          <t>CashFlow Statement</t>
        </is>
      </c>
      <c r="B647" t="inlineStr">
        <is>
          <t>M53</t>
        </is>
      </c>
      <c r="C647" t="n">
        <v>53</v>
      </c>
      <c r="D647" t="n">
        <v>13</v>
      </c>
      <c r="E647" t="inlineStr">
        <is>
          <t>Input</t>
        </is>
      </c>
      <c r="F647" t="n">
        <v/>
      </c>
      <c r="H647" t="inlineStr"/>
      <c r="I647" t="inlineStr">
        <is>
          <t>0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n">
        <v/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</row>
    <row r="648">
      <c r="A648" t="inlineStr">
        <is>
          <t>CashFlow Statement</t>
        </is>
      </c>
      <c r="B648" t="inlineStr">
        <is>
          <t>N53</t>
        </is>
      </c>
      <c r="C648" t="n">
        <v>53</v>
      </c>
      <c r="D648" t="n">
        <v>14</v>
      </c>
      <c r="E648" t="inlineStr">
        <is>
          <t>Input</t>
        </is>
      </c>
      <c r="F648" t="n">
        <v/>
      </c>
      <c r="H648" t="inlineStr"/>
      <c r="I648" t="inlineStr">
        <is>
          <t>0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n">
        <v/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</row>
    <row r="649">
      <c r="A649" t="inlineStr">
        <is>
          <t>CashFlow Statement</t>
        </is>
      </c>
      <c r="B649" t="inlineStr">
        <is>
          <t>O53</t>
        </is>
      </c>
      <c r="C649" t="n">
        <v>53</v>
      </c>
      <c r="D649" t="n">
        <v>15</v>
      </c>
      <c r="E649" t="inlineStr">
        <is>
          <t>Input</t>
        </is>
      </c>
      <c r="F649" t="n">
        <v/>
      </c>
      <c r="H649" t="inlineStr"/>
      <c r="I649" t="inlineStr">
        <is>
          <t>0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00000000</t>
        </is>
      </c>
      <c r="O649" t="n">
        <v/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</row>
    <row r="650">
      <c r="A650" t="inlineStr">
        <is>
          <t>CashFlow Statement</t>
        </is>
      </c>
      <c r="B650" t="inlineStr">
        <is>
          <t>A54</t>
        </is>
      </c>
      <c r="C650" t="n">
        <v>54</v>
      </c>
      <c r="D650" t="n">
        <v>1</v>
      </c>
      <c r="E650" t="inlineStr">
        <is>
          <t>Input</t>
        </is>
      </c>
      <c r="F650" t="n">
        <v/>
      </c>
      <c r="G650" t="inlineStr">
        <is>
          <t>Opening Balance</t>
        </is>
      </c>
      <c r="H650" t="inlineStr"/>
      <c r="I650" t="inlineStr">
        <is>
          <t>General</t>
        </is>
      </c>
      <c r="J650" t="b">
        <v>1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00000000</t>
        </is>
      </c>
      <c r="O650" t="n">
        <v/>
      </c>
      <c r="R650" t="b">
        <v>1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</row>
    <row r="651">
      <c r="A651" t="inlineStr">
        <is>
          <t>CashFlow Statement</t>
        </is>
      </c>
      <c r="B651" t="inlineStr">
        <is>
          <t>D54</t>
        </is>
      </c>
      <c r="C651" t="n">
        <v>54</v>
      </c>
      <c r="D651" t="n">
        <v>4</v>
      </c>
      <c r="E651" t="inlineStr">
        <is>
          <t>Input</t>
        </is>
      </c>
      <c r="F651" t="n">
        <v/>
      </c>
      <c r="G651" t="n">
        <v>540.3099999999999</v>
      </c>
      <c r="H651" t="inlineStr"/>
      <c r="I651" t="inlineStr">
        <is>
          <t>0</t>
        </is>
      </c>
      <c r="J651" t="b">
        <v>0</v>
      </c>
      <c r="K651" t="b">
        <v>0</v>
      </c>
      <c r="L651" t="n">
        <v>11</v>
      </c>
      <c r="M651" t="inlineStr">
        <is>
          <t>FF0B0280</t>
        </is>
      </c>
      <c r="N651" t="inlineStr">
        <is>
          <t>00000000</t>
        </is>
      </c>
      <c r="O651" t="n">
        <v/>
      </c>
      <c r="R651" t="b">
        <v>1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</row>
    <row r="652">
      <c r="A652" t="inlineStr">
        <is>
          <t>CashFlow Statement</t>
        </is>
      </c>
      <c r="B652" t="inlineStr">
        <is>
          <t>E54</t>
        </is>
      </c>
      <c r="C652" t="n">
        <v>54</v>
      </c>
      <c r="D652" t="n">
        <v>5</v>
      </c>
      <c r="E652" t="inlineStr">
        <is>
          <t>Input</t>
        </is>
      </c>
      <c r="F652" t="n">
        <v/>
      </c>
      <c r="G652" t="n">
        <v>456.03</v>
      </c>
      <c r="H652" t="inlineStr"/>
      <c r="I652" t="inlineStr">
        <is>
          <t>0</t>
        </is>
      </c>
      <c r="J652" t="b">
        <v>0</v>
      </c>
      <c r="K652" t="b">
        <v>0</v>
      </c>
      <c r="L652" t="n">
        <v>11</v>
      </c>
      <c r="M652" t="inlineStr">
        <is>
          <t>FF0B0280</t>
        </is>
      </c>
      <c r="N652" t="inlineStr">
        <is>
          <t>00000000</t>
        </is>
      </c>
      <c r="O652" t="n">
        <v/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</row>
    <row r="653">
      <c r="A653" t="inlineStr">
        <is>
          <t>CashFlow Statement</t>
        </is>
      </c>
      <c r="B653" t="inlineStr">
        <is>
          <t>F54</t>
        </is>
      </c>
      <c r="C653" t="n">
        <v>54</v>
      </c>
      <c r="D653" t="n">
        <v>6</v>
      </c>
      <c r="E653" t="inlineStr">
        <is>
          <t>Input</t>
        </is>
      </c>
      <c r="F653" t="n">
        <v/>
      </c>
      <c r="G653" t="n">
        <v>2574.67</v>
      </c>
      <c r="H653" t="inlineStr"/>
      <c r="I653" t="inlineStr">
        <is>
          <t>0</t>
        </is>
      </c>
      <c r="J653" t="b">
        <v>0</v>
      </c>
      <c r="K653" t="b">
        <v>0</v>
      </c>
      <c r="L653" t="n">
        <v>11</v>
      </c>
      <c r="M653" t="inlineStr">
        <is>
          <t>FF0B0280</t>
        </is>
      </c>
      <c r="N653" t="inlineStr">
        <is>
          <t>00000000</t>
        </is>
      </c>
      <c r="O653" t="n">
        <v/>
      </c>
      <c r="R653" t="b">
        <v>1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</row>
    <row r="654">
      <c r="A654" t="inlineStr">
        <is>
          <t>CashFlow Statement</t>
        </is>
      </c>
      <c r="B654" t="inlineStr">
        <is>
          <t>G54</t>
        </is>
      </c>
      <c r="C654" t="n">
        <v>54</v>
      </c>
      <c r="D654" t="n">
        <v>7</v>
      </c>
      <c r="E654" t="inlineStr">
        <is>
          <t>Input</t>
        </is>
      </c>
      <c r="F654" t="n">
        <v/>
      </c>
      <c r="G654" t="n">
        <v>1445.5</v>
      </c>
      <c r="H654" t="inlineStr"/>
      <c r="I654" t="inlineStr">
        <is>
          <t>0</t>
        </is>
      </c>
      <c r="J654" t="b">
        <v>0</v>
      </c>
      <c r="K654" t="b">
        <v>0</v>
      </c>
      <c r="L654" t="n">
        <v>11</v>
      </c>
      <c r="M654" t="inlineStr">
        <is>
          <t>FF0B0280</t>
        </is>
      </c>
      <c r="N654" t="inlineStr">
        <is>
          <t>00000000</t>
        </is>
      </c>
      <c r="O654" t="n">
        <v/>
      </c>
      <c r="R654" t="b">
        <v>1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</row>
    <row r="655">
      <c r="A655" t="inlineStr">
        <is>
          <t>CashFlow Statement</t>
        </is>
      </c>
      <c r="B655" t="inlineStr">
        <is>
          <t>H54</t>
        </is>
      </c>
      <c r="C655" t="n">
        <v>54</v>
      </c>
      <c r="D655" t="n">
        <v>8</v>
      </c>
      <c r="E655" t="inlineStr">
        <is>
          <t>Input</t>
        </is>
      </c>
      <c r="F655" t="n">
        <v/>
      </c>
      <c r="G655" t="n">
        <v>1106.44</v>
      </c>
      <c r="H655" t="inlineStr"/>
      <c r="I655" t="inlineStr">
        <is>
          <t>0</t>
        </is>
      </c>
      <c r="J655" t="b">
        <v>0</v>
      </c>
      <c r="K655" t="b">
        <v>0</v>
      </c>
      <c r="L655" t="n">
        <v>11</v>
      </c>
      <c r="M655" t="inlineStr">
        <is>
          <t>FF0B0280</t>
        </is>
      </c>
      <c r="N655" t="inlineStr">
        <is>
          <t>00000000</t>
        </is>
      </c>
      <c r="O655" t="n">
        <v/>
      </c>
      <c r="R655" t="b">
        <v>1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</row>
    <row r="656">
      <c r="A656" t="inlineStr">
        <is>
          <t>CashFlow Statement</t>
        </is>
      </c>
      <c r="B656" t="inlineStr">
        <is>
          <t>I54</t>
        </is>
      </c>
      <c r="C656" t="n">
        <v>54</v>
      </c>
      <c r="D656" t="n">
        <v>9</v>
      </c>
      <c r="E656" t="inlineStr">
        <is>
          <t>Input</t>
        </is>
      </c>
      <c r="F656" t="n">
        <v/>
      </c>
      <c r="G656" t="n">
        <v>2467.49</v>
      </c>
      <c r="H656" t="inlineStr"/>
      <c r="I656" t="inlineStr">
        <is>
          <t>0</t>
        </is>
      </c>
      <c r="J656" t="b">
        <v>0</v>
      </c>
      <c r="K656" t="b">
        <v>0</v>
      </c>
      <c r="L656" t="n">
        <v>11</v>
      </c>
      <c r="M656" t="inlineStr">
        <is>
          <t>FF0B0280</t>
        </is>
      </c>
      <c r="N656" t="inlineStr">
        <is>
          <t>00000000</t>
        </is>
      </c>
      <c r="O656" t="n">
        <v/>
      </c>
      <c r="R656" t="b">
        <v>1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</row>
    <row r="657">
      <c r="A657" t="inlineStr">
        <is>
          <t>CashFlow Statement</t>
        </is>
      </c>
      <c r="B657" t="inlineStr">
        <is>
          <t>J54</t>
        </is>
      </c>
      <c r="C657" t="n">
        <v>54</v>
      </c>
      <c r="D657" t="n">
        <v>10</v>
      </c>
      <c r="E657" t="inlineStr">
        <is>
          <t>Input</t>
        </is>
      </c>
      <c r="F657" t="n">
        <v/>
      </c>
      <c r="G657" t="n">
        <v>8053.68</v>
      </c>
      <c r="H657" t="inlineStr"/>
      <c r="I657" t="inlineStr">
        <is>
          <t>0</t>
        </is>
      </c>
      <c r="J657" t="b">
        <v>0</v>
      </c>
      <c r="K657" t="b">
        <v>0</v>
      </c>
      <c r="L657" t="n">
        <v>11</v>
      </c>
      <c r="M657" t="inlineStr">
        <is>
          <t>FF0B0280</t>
        </is>
      </c>
      <c r="N657" t="inlineStr">
        <is>
          <t>00000000</t>
        </is>
      </c>
      <c r="O657" t="n">
        <v/>
      </c>
      <c r="R657" t="b">
        <v>1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</row>
    <row r="658">
      <c r="A658" t="inlineStr">
        <is>
          <t>CashFlow Statement</t>
        </is>
      </c>
      <c r="B658" t="inlineStr">
        <is>
          <t>K54</t>
        </is>
      </c>
      <c r="C658" t="n">
        <v>54</v>
      </c>
      <c r="D658" t="n">
        <v>11</v>
      </c>
      <c r="E658" t="inlineStr">
        <is>
          <t>Calculation</t>
        </is>
      </c>
      <c r="F658" t="inlineStr">
        <is>
          <t>'=J55</t>
        </is>
      </c>
      <c r="G658" t="n">
        <v>1531.189999999989</v>
      </c>
      <c r="H658" t="inlineStr"/>
      <c r="I658" t="inlineStr">
        <is>
          <t>0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00000000</t>
        </is>
      </c>
      <c r="O658" t="n">
        <v/>
      </c>
      <c r="R658" t="b">
        <v>1</v>
      </c>
      <c r="S658" t="inlineStr">
        <is>
          <t>G000280</t>
        </is>
      </c>
      <c r="T658" t="inlineStr">
        <is>
          <t>Horizontal</t>
        </is>
      </c>
      <c r="U658" t="n">
        <v>5</v>
      </c>
      <c r="V658" t="b">
        <v>1</v>
      </c>
      <c r="W658" t="inlineStr">
        <is>
          <t>CashFlow Statement!K54:O54</t>
        </is>
      </c>
      <c r="X658">
        <f>R[1]C[-1]</f>
        <v/>
      </c>
    </row>
    <row r="659">
      <c r="A659" t="inlineStr">
        <is>
          <t>CashFlow Statement</t>
        </is>
      </c>
      <c r="B659" t="inlineStr">
        <is>
          <t>L54</t>
        </is>
      </c>
      <c r="C659" t="n">
        <v>54</v>
      </c>
      <c r="D659" t="n">
        <v>12</v>
      </c>
      <c r="E659" t="inlineStr">
        <is>
          <t>Calculation</t>
        </is>
      </c>
      <c r="F659" t="inlineStr">
        <is>
          <t>'=K55</t>
        </is>
      </c>
      <c r="G659" t="n">
        <v>45375.2749884509</v>
      </c>
      <c r="H659" t="inlineStr"/>
      <c r="I659" t="inlineStr">
        <is>
          <t>0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00000000</t>
        </is>
      </c>
      <c r="O659" t="n">
        <v/>
      </c>
      <c r="R659" t="b">
        <v>1</v>
      </c>
      <c r="S659" t="inlineStr">
        <is>
          <t>G000280</t>
        </is>
      </c>
      <c r="T659" t="inlineStr">
        <is>
          <t>Horizontal</t>
        </is>
      </c>
      <c r="U659" t="n">
        <v>5</v>
      </c>
      <c r="V659" t="b">
        <v>1</v>
      </c>
      <c r="W659" t="inlineStr">
        <is>
          <t>CashFlow Statement!K54:O54</t>
        </is>
      </c>
      <c r="X659">
        <f>R[1]C[-1]</f>
        <v/>
      </c>
    </row>
    <row r="660">
      <c r="A660" t="inlineStr">
        <is>
          <t>CashFlow Statement</t>
        </is>
      </c>
      <c r="B660" t="inlineStr">
        <is>
          <t>M54</t>
        </is>
      </c>
      <c r="C660" t="n">
        <v>54</v>
      </c>
      <c r="D660" t="n">
        <v>13</v>
      </c>
      <c r="E660" t="inlineStr">
        <is>
          <t>Calculation</t>
        </is>
      </c>
      <c r="F660" t="inlineStr">
        <is>
          <t>'=L55</t>
        </is>
      </c>
      <c r="G660" t="n">
        <v>84737.32175906765</v>
      </c>
      <c r="H660" t="inlineStr"/>
      <c r="I660" t="inlineStr">
        <is>
          <t>0</t>
        </is>
      </c>
      <c r="J660" t="b">
        <v>0</v>
      </c>
      <c r="K660" t="b">
        <v>0</v>
      </c>
      <c r="L660" t="n">
        <v>11</v>
      </c>
      <c r="M660" t="inlineStr">
        <is>
          <t>Values must be of type &lt;class 'str'&gt;</t>
        </is>
      </c>
      <c r="N660" t="inlineStr">
        <is>
          <t>00000000</t>
        </is>
      </c>
      <c r="O660" t="n">
        <v/>
      </c>
      <c r="R660" t="b">
        <v>1</v>
      </c>
      <c r="S660" t="inlineStr">
        <is>
          <t>G000280</t>
        </is>
      </c>
      <c r="T660" t="inlineStr">
        <is>
          <t>Horizontal</t>
        </is>
      </c>
      <c r="U660" t="n">
        <v>5</v>
      </c>
      <c r="V660" t="b">
        <v>1</v>
      </c>
      <c r="W660" t="inlineStr">
        <is>
          <t>CashFlow Statement!K54:O54</t>
        </is>
      </c>
      <c r="X660">
        <f>R[1]C[-1]</f>
        <v/>
      </c>
    </row>
    <row r="661">
      <c r="A661" t="inlineStr">
        <is>
          <t>CashFlow Statement</t>
        </is>
      </c>
      <c r="B661" t="inlineStr">
        <is>
          <t>N54</t>
        </is>
      </c>
      <c r="C661" t="n">
        <v>54</v>
      </c>
      <c r="D661" t="n">
        <v>14</v>
      </c>
      <c r="E661" t="inlineStr">
        <is>
          <t>Calculation</t>
        </is>
      </c>
      <c r="F661" t="inlineStr">
        <is>
          <t>'=M55</t>
        </is>
      </c>
      <c r="G661" t="n">
        <v>139999.8792087656</v>
      </c>
      <c r="H661" t="inlineStr"/>
      <c r="I661" t="inlineStr">
        <is>
          <t>0</t>
        </is>
      </c>
      <c r="J661" t="b">
        <v>0</v>
      </c>
      <c r="K661" t="b">
        <v>0</v>
      </c>
      <c r="L661" t="n">
        <v>11</v>
      </c>
      <c r="M661" t="inlineStr">
        <is>
          <t>Values must be of type &lt;class 'str'&gt;</t>
        </is>
      </c>
      <c r="N661" t="inlineStr">
        <is>
          <t>00000000</t>
        </is>
      </c>
      <c r="O661" t="n">
        <v/>
      </c>
      <c r="R661" t="b">
        <v>1</v>
      </c>
      <c r="S661" t="inlineStr">
        <is>
          <t>G000280</t>
        </is>
      </c>
      <c r="T661" t="inlineStr">
        <is>
          <t>Horizontal</t>
        </is>
      </c>
      <c r="U661" t="n">
        <v>5</v>
      </c>
      <c r="V661" t="b">
        <v>1</v>
      </c>
      <c r="W661" t="inlineStr">
        <is>
          <t>CashFlow Statement!K54:O54</t>
        </is>
      </c>
      <c r="X661">
        <f>R[1]C[-1]</f>
        <v/>
      </c>
    </row>
    <row r="662">
      <c r="A662" t="inlineStr">
        <is>
          <t>CashFlow Statement</t>
        </is>
      </c>
      <c r="B662" t="inlineStr">
        <is>
          <t>O54</t>
        </is>
      </c>
      <c r="C662" t="n">
        <v>54</v>
      </c>
      <c r="D662" t="n">
        <v>15</v>
      </c>
      <c r="E662" t="inlineStr">
        <is>
          <t>Calculation</t>
        </is>
      </c>
      <c r="F662" t="inlineStr">
        <is>
          <t>'=N55</t>
        </is>
      </c>
      <c r="G662" t="n">
        <v>210050.7775894725</v>
      </c>
      <c r="H662" t="inlineStr"/>
      <c r="I662" t="inlineStr">
        <is>
          <t>0</t>
        </is>
      </c>
      <c r="J662" t="b">
        <v>0</v>
      </c>
      <c r="K662" t="b">
        <v>0</v>
      </c>
      <c r="L662" t="n">
        <v>11</v>
      </c>
      <c r="M662" t="inlineStr">
        <is>
          <t>Values must be of type &lt;class 'str'&gt;</t>
        </is>
      </c>
      <c r="N662" t="inlineStr">
        <is>
          <t>00000000</t>
        </is>
      </c>
      <c r="O662" t="n">
        <v/>
      </c>
      <c r="R662" t="b">
        <v>1</v>
      </c>
      <c r="S662" t="inlineStr">
        <is>
          <t>G000280</t>
        </is>
      </c>
      <c r="T662" t="inlineStr">
        <is>
          <t>Horizontal</t>
        </is>
      </c>
      <c r="U662" t="n">
        <v>5</v>
      </c>
      <c r="V662" t="b">
        <v>1</v>
      </c>
      <c r="W662" t="inlineStr">
        <is>
          <t>CashFlow Statement!K54:O54</t>
        </is>
      </c>
      <c r="X662">
        <f>R[1]C[-1]</f>
        <v/>
      </c>
    </row>
    <row r="663">
      <c r="A663" t="inlineStr">
        <is>
          <t>CashFlow Statement</t>
        </is>
      </c>
      <c r="B663" t="inlineStr">
        <is>
          <t>A55</t>
        </is>
      </c>
      <c r="C663" t="n">
        <v>55</v>
      </c>
      <c r="D663" t="n">
        <v>1</v>
      </c>
      <c r="E663" t="inlineStr">
        <is>
          <t>Input</t>
        </is>
      </c>
      <c r="F663" t="n">
        <v/>
      </c>
      <c r="G663" t="inlineStr">
        <is>
          <t>Closing Balance</t>
        </is>
      </c>
      <c r="H663" t="inlineStr"/>
      <c r="I663" t="inlineStr">
        <is>
          <t>General</t>
        </is>
      </c>
      <c r="J663" t="b">
        <v>1</v>
      </c>
      <c r="K663" t="b">
        <v>0</v>
      </c>
      <c r="L663" t="n">
        <v>11</v>
      </c>
      <c r="M663" t="inlineStr">
        <is>
          <t>Values must be of type &lt;class 'str'&gt;</t>
        </is>
      </c>
      <c r="N663" t="inlineStr">
        <is>
          <t>00000000</t>
        </is>
      </c>
      <c r="O663" t="n">
        <v/>
      </c>
      <c r="R663" t="b">
        <v>1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</row>
    <row r="664">
      <c r="A664" t="inlineStr">
        <is>
          <t>CashFlow Statement</t>
        </is>
      </c>
      <c r="B664" t="inlineStr">
        <is>
          <t>D55</t>
        </is>
      </c>
      <c r="C664" t="n">
        <v>55</v>
      </c>
      <c r="D664" t="n">
        <v>4</v>
      </c>
      <c r="E664" t="inlineStr">
        <is>
          <t>Output</t>
        </is>
      </c>
      <c r="F664" t="inlineStr">
        <is>
          <t>'=D54+D52+D50</t>
        </is>
      </c>
      <c r="G664" t="n">
        <v>456.0299999999988</v>
      </c>
      <c r="H664" t="inlineStr"/>
      <c r="I664" t="inlineStr">
        <is>
          <t>0</t>
        </is>
      </c>
      <c r="J664" t="b">
        <v>0</v>
      </c>
      <c r="K664" t="b">
        <v>0</v>
      </c>
      <c r="L664" t="n">
        <v>11</v>
      </c>
      <c r="M664" t="inlineStr">
        <is>
          <t>FF0B0280</t>
        </is>
      </c>
      <c r="N664" t="inlineStr">
        <is>
          <t>00000000</t>
        </is>
      </c>
      <c r="O664" t="n">
        <v/>
      </c>
      <c r="R664" t="b">
        <v>1</v>
      </c>
      <c r="S664" t="inlineStr">
        <is>
          <t>G000281</t>
        </is>
      </c>
      <c r="T664" t="inlineStr">
        <is>
          <t>Horizontal</t>
        </is>
      </c>
      <c r="U664" t="n">
        <v>7</v>
      </c>
      <c r="V664" t="b">
        <v>1</v>
      </c>
      <c r="W664" t="inlineStr">
        <is>
          <t>CashFlow Statement!D55:J55</t>
        </is>
      </c>
      <c r="X664">
        <f>R[-1]C[0]+R[-3]C[0]+R[-5]C[0]</f>
        <v/>
      </c>
    </row>
    <row r="665">
      <c r="A665" t="inlineStr">
        <is>
          <t>CashFlow Statement</t>
        </is>
      </c>
      <c r="B665" t="inlineStr">
        <is>
          <t>E55</t>
        </is>
      </c>
      <c r="C665" t="n">
        <v>55</v>
      </c>
      <c r="D665" t="n">
        <v>5</v>
      </c>
      <c r="E665" t="inlineStr">
        <is>
          <t>Output</t>
        </is>
      </c>
      <c r="F665" t="inlineStr">
        <is>
          <t>'=E54+E52+E50</t>
        </is>
      </c>
      <c r="G665" t="n">
        <v>2574.569999999998</v>
      </c>
      <c r="H665" t="inlineStr"/>
      <c r="I665" t="inlineStr">
        <is>
          <t>0</t>
        </is>
      </c>
      <c r="J665" t="b">
        <v>0</v>
      </c>
      <c r="K665" t="b">
        <v>0</v>
      </c>
      <c r="L665" t="n">
        <v>11</v>
      </c>
      <c r="M665" t="inlineStr">
        <is>
          <t>FF0B0280</t>
        </is>
      </c>
      <c r="N665" t="inlineStr">
        <is>
          <t>00000000</t>
        </is>
      </c>
      <c r="O665" t="n">
        <v/>
      </c>
      <c r="R665" t="b">
        <v>1</v>
      </c>
      <c r="S665" t="inlineStr">
        <is>
          <t>G000281</t>
        </is>
      </c>
      <c r="T665" t="inlineStr">
        <is>
          <t>Horizontal</t>
        </is>
      </c>
      <c r="U665" t="n">
        <v>7</v>
      </c>
      <c r="V665" t="b">
        <v>1</v>
      </c>
      <c r="W665" t="inlineStr">
        <is>
          <t>CashFlow Statement!D55:J55</t>
        </is>
      </c>
      <c r="X665">
        <f>R[-1]C[0]+R[-3]C[0]+R[-5]C[0]</f>
        <v/>
      </c>
    </row>
    <row r="666">
      <c r="A666" t="inlineStr">
        <is>
          <t>CashFlow Statement</t>
        </is>
      </c>
      <c r="B666" t="inlineStr">
        <is>
          <t>F55</t>
        </is>
      </c>
      <c r="C666" t="n">
        <v>55</v>
      </c>
      <c r="D666" t="n">
        <v>6</v>
      </c>
      <c r="E666" t="inlineStr">
        <is>
          <t>Output</t>
        </is>
      </c>
      <c r="F666" t="inlineStr">
        <is>
          <t>'=F54+F52+F50</t>
        </is>
      </c>
      <c r="G666" t="n">
        <v>1445.710000000003</v>
      </c>
      <c r="H666" t="inlineStr"/>
      <c r="I666" t="inlineStr">
        <is>
          <t>0</t>
        </is>
      </c>
      <c r="J666" t="b">
        <v>0</v>
      </c>
      <c r="K666" t="b">
        <v>0</v>
      </c>
      <c r="L666" t="n">
        <v>11</v>
      </c>
      <c r="M666" t="inlineStr">
        <is>
          <t>FF0B0280</t>
        </is>
      </c>
      <c r="N666" t="inlineStr">
        <is>
          <t>00000000</t>
        </is>
      </c>
      <c r="O666" t="n">
        <v/>
      </c>
      <c r="R666" t="b">
        <v>1</v>
      </c>
      <c r="S666" t="inlineStr">
        <is>
          <t>G000281</t>
        </is>
      </c>
      <c r="T666" t="inlineStr">
        <is>
          <t>Horizontal</t>
        </is>
      </c>
      <c r="U666" t="n">
        <v>7</v>
      </c>
      <c r="V666" t="b">
        <v>1</v>
      </c>
      <c r="W666" t="inlineStr">
        <is>
          <t>CashFlow Statement!D55:J55</t>
        </is>
      </c>
      <c r="X666">
        <f>R[-1]C[0]+R[-3]C[0]+R[-5]C[0]</f>
        <v/>
      </c>
    </row>
    <row r="667">
      <c r="A667" t="inlineStr">
        <is>
          <t>CashFlow Statement</t>
        </is>
      </c>
      <c r="B667" t="inlineStr">
        <is>
          <t>G55</t>
        </is>
      </c>
      <c r="C667" t="n">
        <v>55</v>
      </c>
      <c r="D667" t="n">
        <v>7</v>
      </c>
      <c r="E667" t="inlineStr">
        <is>
          <t>Output</t>
        </is>
      </c>
      <c r="F667" t="inlineStr">
        <is>
          <t>'=G54+G52+G50</t>
        </is>
      </c>
      <c r="G667" t="n">
        <v>1106.420000000019</v>
      </c>
      <c r="H667" t="inlineStr"/>
      <c r="I667" t="inlineStr">
        <is>
          <t>0</t>
        </is>
      </c>
      <c r="J667" t="b">
        <v>0</v>
      </c>
      <c r="K667" t="b">
        <v>0</v>
      </c>
      <c r="L667" t="n">
        <v>11</v>
      </c>
      <c r="M667" t="inlineStr">
        <is>
          <t>FF0B0280</t>
        </is>
      </c>
      <c r="N667" t="inlineStr">
        <is>
          <t>00000000</t>
        </is>
      </c>
      <c r="O667" t="n">
        <v/>
      </c>
      <c r="R667" t="b">
        <v>1</v>
      </c>
      <c r="S667" t="inlineStr">
        <is>
          <t>G000281</t>
        </is>
      </c>
      <c r="T667" t="inlineStr">
        <is>
          <t>Horizontal</t>
        </is>
      </c>
      <c r="U667" t="n">
        <v>7</v>
      </c>
      <c r="V667" t="b">
        <v>1</v>
      </c>
      <c r="W667" t="inlineStr">
        <is>
          <t>CashFlow Statement!D55:J55</t>
        </is>
      </c>
      <c r="X667">
        <f>R[-1]C[0]+R[-3]C[0]+R[-5]C[0]</f>
        <v/>
      </c>
    </row>
    <row r="668">
      <c r="A668" t="inlineStr">
        <is>
          <t>CashFlow Statement</t>
        </is>
      </c>
      <c r="B668" t="inlineStr">
        <is>
          <t>H55</t>
        </is>
      </c>
      <c r="C668" t="n">
        <v>55</v>
      </c>
      <c r="D668" t="n">
        <v>8</v>
      </c>
      <c r="E668" t="inlineStr">
        <is>
          <t>Output</t>
        </is>
      </c>
      <c r="F668" t="inlineStr">
        <is>
          <t>'=H54+H52+H50</t>
        </is>
      </c>
      <c r="G668" t="n">
        <v>2467.489999999993</v>
      </c>
      <c r="H668" t="inlineStr"/>
      <c r="I668" t="inlineStr">
        <is>
          <t>0</t>
        </is>
      </c>
      <c r="J668" t="b">
        <v>0</v>
      </c>
      <c r="K668" t="b">
        <v>0</v>
      </c>
      <c r="L668" t="n">
        <v>11</v>
      </c>
      <c r="M668" t="inlineStr">
        <is>
          <t>FF0B0280</t>
        </is>
      </c>
      <c r="N668" t="inlineStr">
        <is>
          <t>00000000</t>
        </is>
      </c>
      <c r="O668" t="n">
        <v/>
      </c>
      <c r="R668" t="b">
        <v>1</v>
      </c>
      <c r="S668" t="inlineStr">
        <is>
          <t>G000281</t>
        </is>
      </c>
      <c r="T668" t="inlineStr">
        <is>
          <t>Horizontal</t>
        </is>
      </c>
      <c r="U668" t="n">
        <v>7</v>
      </c>
      <c r="V668" t="b">
        <v>1</v>
      </c>
      <c r="W668" t="inlineStr">
        <is>
          <t>CashFlow Statement!D55:J55</t>
        </is>
      </c>
      <c r="X668">
        <f>R[-1]C[0]+R[-3]C[0]+R[-5]C[0]</f>
        <v/>
      </c>
    </row>
    <row r="669">
      <c r="A669" t="inlineStr">
        <is>
          <t>CashFlow Statement</t>
        </is>
      </c>
      <c r="B669" t="inlineStr">
        <is>
          <t>I55</t>
        </is>
      </c>
      <c r="C669" t="n">
        <v>55</v>
      </c>
      <c r="D669" t="n">
        <v>9</v>
      </c>
      <c r="E669" t="inlineStr">
        <is>
          <t>Output</t>
        </is>
      </c>
      <c r="F669" t="inlineStr">
        <is>
          <t>'=I54+I52+I50</t>
        </is>
      </c>
      <c r="G669" t="n">
        <v>8053.679999999984</v>
      </c>
      <c r="H669" t="inlineStr"/>
      <c r="I669" t="inlineStr">
        <is>
          <t>0</t>
        </is>
      </c>
      <c r="J669" t="b">
        <v>0</v>
      </c>
      <c r="K669" t="b">
        <v>0</v>
      </c>
      <c r="L669" t="n">
        <v>11</v>
      </c>
      <c r="M669" t="inlineStr">
        <is>
          <t>FF0B0280</t>
        </is>
      </c>
      <c r="N669" t="inlineStr">
        <is>
          <t>00000000</t>
        </is>
      </c>
      <c r="O669" t="n">
        <v/>
      </c>
      <c r="R669" t="b">
        <v>1</v>
      </c>
      <c r="S669" t="inlineStr">
        <is>
          <t>G000281</t>
        </is>
      </c>
      <c r="T669" t="inlineStr">
        <is>
          <t>Horizontal</t>
        </is>
      </c>
      <c r="U669" t="n">
        <v>7</v>
      </c>
      <c r="V669" t="b">
        <v>1</v>
      </c>
      <c r="W669" t="inlineStr">
        <is>
          <t>CashFlow Statement!D55:J55</t>
        </is>
      </c>
      <c r="X669">
        <f>R[-1]C[0]+R[-3]C[0]+R[-5]C[0]</f>
        <v/>
      </c>
    </row>
    <row r="670">
      <c r="A670" t="inlineStr">
        <is>
          <t>CashFlow Statement</t>
        </is>
      </c>
      <c r="B670" t="inlineStr">
        <is>
          <t>J55</t>
        </is>
      </c>
      <c r="C670" t="n">
        <v>55</v>
      </c>
      <c r="D670" t="n">
        <v>10</v>
      </c>
      <c r="E670" t="inlineStr">
        <is>
          <t>Calculation</t>
        </is>
      </c>
      <c r="F670" t="inlineStr">
        <is>
          <t>'=J54+J52+J50</t>
        </is>
      </c>
      <c r="G670" t="n">
        <v>1531.189999999989</v>
      </c>
      <c r="H670" t="inlineStr"/>
      <c r="I670" t="inlineStr">
        <is>
          <t>0</t>
        </is>
      </c>
      <c r="J670" t="b">
        <v>0</v>
      </c>
      <c r="K670" t="b">
        <v>0</v>
      </c>
      <c r="L670" t="n">
        <v>11</v>
      </c>
      <c r="M670" t="inlineStr">
        <is>
          <t>FF0B0280</t>
        </is>
      </c>
      <c r="N670" t="inlineStr">
        <is>
          <t>00000000</t>
        </is>
      </c>
      <c r="O670" t="n">
        <v/>
      </c>
      <c r="R670" t="b">
        <v>1</v>
      </c>
      <c r="S670" t="inlineStr">
        <is>
          <t>G000281</t>
        </is>
      </c>
      <c r="T670" t="inlineStr">
        <is>
          <t>Horizontal</t>
        </is>
      </c>
      <c r="U670" t="n">
        <v>7</v>
      </c>
      <c r="V670" t="b">
        <v>1</v>
      </c>
      <c r="W670" t="inlineStr">
        <is>
          <t>CashFlow Statement!D55:J55</t>
        </is>
      </c>
      <c r="X670">
        <f>R[-1]C[0]+R[-3]C[0]+R[-5]C[0]</f>
        <v/>
      </c>
    </row>
    <row r="671">
      <c r="A671" t="inlineStr">
        <is>
          <t>CashFlow Statement</t>
        </is>
      </c>
      <c r="B671" t="inlineStr">
        <is>
          <t>K55</t>
        </is>
      </c>
      <c r="C671" t="n">
        <v>55</v>
      </c>
      <c r="D671" t="n">
        <v>11</v>
      </c>
      <c r="E671" t="inlineStr">
        <is>
          <t>Calculation</t>
        </is>
      </c>
      <c r="F671" t="inlineStr">
        <is>
          <t>'=K54+K50</t>
        </is>
      </c>
      <c r="G671" t="n">
        <v>45375.2749884509</v>
      </c>
      <c r="H671" t="inlineStr"/>
      <c r="I671" t="inlineStr">
        <is>
          <t>0</t>
        </is>
      </c>
      <c r="J671" t="b">
        <v>0</v>
      </c>
      <c r="K671" t="b">
        <v>0</v>
      </c>
      <c r="L671" t="n">
        <v>11</v>
      </c>
      <c r="M671" t="inlineStr">
        <is>
          <t>Values must be of type &lt;class 'str'&gt;</t>
        </is>
      </c>
      <c r="N671" t="inlineStr">
        <is>
          <t>00000000</t>
        </is>
      </c>
      <c r="O671" t="n">
        <v/>
      </c>
      <c r="R671" t="b">
        <v>1</v>
      </c>
      <c r="S671" t="inlineStr">
        <is>
          <t>G000282</t>
        </is>
      </c>
      <c r="T671" t="inlineStr">
        <is>
          <t>Horizontal</t>
        </is>
      </c>
      <c r="U671" t="n">
        <v>5</v>
      </c>
      <c r="V671" t="b">
        <v>1</v>
      </c>
      <c r="W671" t="inlineStr">
        <is>
          <t>CashFlow Statement!K55:O55</t>
        </is>
      </c>
      <c r="X671">
        <f>R[-1]C[0]+R[-5]C[0]</f>
        <v/>
      </c>
    </row>
    <row r="672">
      <c r="A672" t="inlineStr">
        <is>
          <t>CashFlow Statement</t>
        </is>
      </c>
      <c r="B672" t="inlineStr">
        <is>
          <t>L55</t>
        </is>
      </c>
      <c r="C672" t="n">
        <v>55</v>
      </c>
      <c r="D672" t="n">
        <v>12</v>
      </c>
      <c r="E672" t="inlineStr">
        <is>
          <t>Calculation</t>
        </is>
      </c>
      <c r="F672" t="inlineStr">
        <is>
          <t>'=L54+L50</t>
        </is>
      </c>
      <c r="G672" t="n">
        <v>84737.32175906765</v>
      </c>
      <c r="H672" t="inlineStr"/>
      <c r="I672" t="inlineStr">
        <is>
          <t>0</t>
        </is>
      </c>
      <c r="J672" t="b">
        <v>0</v>
      </c>
      <c r="K672" t="b">
        <v>0</v>
      </c>
      <c r="L672" t="n">
        <v>11</v>
      </c>
      <c r="M672" t="inlineStr">
        <is>
          <t>Values must be of type &lt;class 'str'&gt;</t>
        </is>
      </c>
      <c r="N672" t="inlineStr">
        <is>
          <t>00000000</t>
        </is>
      </c>
      <c r="O672" t="n">
        <v/>
      </c>
      <c r="R672" t="b">
        <v>1</v>
      </c>
      <c r="S672" t="inlineStr">
        <is>
          <t>G000282</t>
        </is>
      </c>
      <c r="T672" t="inlineStr">
        <is>
          <t>Horizontal</t>
        </is>
      </c>
      <c r="U672" t="n">
        <v>5</v>
      </c>
      <c r="V672" t="b">
        <v>1</v>
      </c>
      <c r="W672" t="inlineStr">
        <is>
          <t>CashFlow Statement!K55:O55</t>
        </is>
      </c>
      <c r="X672">
        <f>R[-1]C[0]+R[-5]C[0]</f>
        <v/>
      </c>
    </row>
    <row r="673">
      <c r="A673" t="inlineStr">
        <is>
          <t>CashFlow Statement</t>
        </is>
      </c>
      <c r="B673" t="inlineStr">
        <is>
          <t>M55</t>
        </is>
      </c>
      <c r="C673" t="n">
        <v>55</v>
      </c>
      <c r="D673" t="n">
        <v>13</v>
      </c>
      <c r="E673" t="inlineStr">
        <is>
          <t>Calculation</t>
        </is>
      </c>
      <c r="F673" t="inlineStr">
        <is>
          <t>'=M54+M50</t>
        </is>
      </c>
      <c r="G673" t="n">
        <v>139999.8792087656</v>
      </c>
      <c r="H673" t="inlineStr"/>
      <c r="I673" t="inlineStr">
        <is>
          <t>0</t>
        </is>
      </c>
      <c r="J673" t="b">
        <v>0</v>
      </c>
      <c r="K673" t="b">
        <v>0</v>
      </c>
      <c r="L673" t="n">
        <v>11</v>
      </c>
      <c r="M673" t="inlineStr">
        <is>
          <t>Values must be of type &lt;class 'str'&gt;</t>
        </is>
      </c>
      <c r="N673" t="inlineStr">
        <is>
          <t>00000000</t>
        </is>
      </c>
      <c r="O673" t="n">
        <v/>
      </c>
      <c r="R673" t="b">
        <v>1</v>
      </c>
      <c r="S673" t="inlineStr">
        <is>
          <t>G000282</t>
        </is>
      </c>
      <c r="T673" t="inlineStr">
        <is>
          <t>Horizontal</t>
        </is>
      </c>
      <c r="U673" t="n">
        <v>5</v>
      </c>
      <c r="V673" t="b">
        <v>1</v>
      </c>
      <c r="W673" t="inlineStr">
        <is>
          <t>CashFlow Statement!K55:O55</t>
        </is>
      </c>
      <c r="X673">
        <f>R[-1]C[0]+R[-5]C[0]</f>
        <v/>
      </c>
    </row>
    <row r="674">
      <c r="A674" t="inlineStr">
        <is>
          <t>CashFlow Statement</t>
        </is>
      </c>
      <c r="B674" t="inlineStr">
        <is>
          <t>N55</t>
        </is>
      </c>
      <c r="C674" t="n">
        <v>55</v>
      </c>
      <c r="D674" t="n">
        <v>14</v>
      </c>
      <c r="E674" t="inlineStr">
        <is>
          <t>Calculation</t>
        </is>
      </c>
      <c r="F674" t="inlineStr">
        <is>
          <t>'=N54+N50</t>
        </is>
      </c>
      <c r="G674" t="n">
        <v>210050.7775894725</v>
      </c>
      <c r="H674" t="inlineStr"/>
      <c r="I674" t="inlineStr">
        <is>
          <t>0</t>
        </is>
      </c>
      <c r="J674" t="b">
        <v>0</v>
      </c>
      <c r="K674" t="b">
        <v>0</v>
      </c>
      <c r="L674" t="n">
        <v>11</v>
      </c>
      <c r="M674" t="inlineStr">
        <is>
          <t>Values must be of type &lt;class 'str'&gt;</t>
        </is>
      </c>
      <c r="N674" t="inlineStr">
        <is>
          <t>00000000</t>
        </is>
      </c>
      <c r="O674" t="n">
        <v/>
      </c>
      <c r="R674" t="b">
        <v>1</v>
      </c>
      <c r="S674" t="inlineStr">
        <is>
          <t>G000282</t>
        </is>
      </c>
      <c r="T674" t="inlineStr">
        <is>
          <t>Horizontal</t>
        </is>
      </c>
      <c r="U674" t="n">
        <v>5</v>
      </c>
      <c r="V674" t="b">
        <v>1</v>
      </c>
      <c r="W674" t="inlineStr">
        <is>
          <t>CashFlow Statement!K55:O55</t>
        </is>
      </c>
      <c r="X674">
        <f>R[-1]C[0]+R[-5]C[0]</f>
        <v/>
      </c>
    </row>
    <row r="675">
      <c r="A675" t="inlineStr">
        <is>
          <t>CashFlow Statement</t>
        </is>
      </c>
      <c r="B675" t="inlineStr">
        <is>
          <t>O55</t>
        </is>
      </c>
      <c r="C675" t="n">
        <v>55</v>
      </c>
      <c r="D675" t="n">
        <v>15</v>
      </c>
      <c r="E675" t="inlineStr">
        <is>
          <t>Calculation</t>
        </is>
      </c>
      <c r="F675" t="inlineStr">
        <is>
          <t>'=O54+O50</t>
        </is>
      </c>
      <c r="G675" t="n">
        <v>292872.0253736076</v>
      </c>
      <c r="H675" t="inlineStr"/>
      <c r="I675" t="inlineStr">
        <is>
          <t>0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00000000</t>
        </is>
      </c>
      <c r="O675" t="n">
        <v/>
      </c>
      <c r="R675" t="b">
        <v>1</v>
      </c>
      <c r="S675" t="inlineStr">
        <is>
          <t>G000282</t>
        </is>
      </c>
      <c r="T675" t="inlineStr">
        <is>
          <t>Horizontal</t>
        </is>
      </c>
      <c r="U675" t="n">
        <v>5</v>
      </c>
      <c r="V675" t="b">
        <v>1</v>
      </c>
      <c r="W675" t="inlineStr">
        <is>
          <t>CashFlow Statement!K55:O55</t>
        </is>
      </c>
      <c r="X675">
        <f>R[-1]C[0]+R[-5]C[0]</f>
        <v/>
      </c>
    </row>
    <row r="676">
      <c r="A676" t="inlineStr">
        <is>
          <t>CashFlow Statement</t>
        </is>
      </c>
      <c r="B676" t="inlineStr">
        <is>
          <t>D56</t>
        </is>
      </c>
      <c r="C676" t="n">
        <v>56</v>
      </c>
      <c r="D676" t="n">
        <v>4</v>
      </c>
      <c r="E676" t="inlineStr">
        <is>
          <t>Input</t>
        </is>
      </c>
      <c r="F676" t="n">
        <v/>
      </c>
      <c r="H676" t="inlineStr"/>
      <c r="I676" t="inlineStr">
        <is>
          <t>0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00000000</t>
        </is>
      </c>
      <c r="O676" t="n">
        <v/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</row>
    <row r="677">
      <c r="A677" t="inlineStr">
        <is>
          <t>CashFlow Statement</t>
        </is>
      </c>
      <c r="B677" t="inlineStr">
        <is>
          <t>E56</t>
        </is>
      </c>
      <c r="C677" t="n">
        <v>56</v>
      </c>
      <c r="D677" t="n">
        <v>5</v>
      </c>
      <c r="E677" t="inlineStr">
        <is>
          <t>Input</t>
        </is>
      </c>
      <c r="F677" t="n">
        <v/>
      </c>
      <c r="H677" t="inlineStr"/>
      <c r="I677" t="inlineStr">
        <is>
          <t>0</t>
        </is>
      </c>
      <c r="J677" t="b">
        <v>0</v>
      </c>
      <c r="K677" t="b">
        <v>0</v>
      </c>
      <c r="L677" t="n">
        <v>11</v>
      </c>
      <c r="M677" t="inlineStr">
        <is>
          <t>Values must be of type &lt;class 'str'&gt;</t>
        </is>
      </c>
      <c r="N677" t="inlineStr">
        <is>
          <t>00000000</t>
        </is>
      </c>
      <c r="O677" t="n">
        <v/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</row>
    <row r="678">
      <c r="A678" t="inlineStr">
        <is>
          <t>CashFlow Statement</t>
        </is>
      </c>
      <c r="B678" t="inlineStr">
        <is>
          <t>F56</t>
        </is>
      </c>
      <c r="C678" t="n">
        <v>56</v>
      </c>
      <c r="D678" t="n">
        <v>6</v>
      </c>
      <c r="E678" t="inlineStr">
        <is>
          <t>Input</t>
        </is>
      </c>
      <c r="F678" t="n">
        <v/>
      </c>
      <c r="H678" t="inlineStr"/>
      <c r="I678" t="inlineStr">
        <is>
          <t>0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00000000</t>
        </is>
      </c>
      <c r="O678" t="n">
        <v/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</row>
    <row r="679">
      <c r="A679" t="inlineStr">
        <is>
          <t>CashFlow Statement</t>
        </is>
      </c>
      <c r="B679" t="inlineStr">
        <is>
          <t>G56</t>
        </is>
      </c>
      <c r="C679" t="n">
        <v>56</v>
      </c>
      <c r="D679" t="n">
        <v>7</v>
      </c>
      <c r="E679" t="inlineStr">
        <is>
          <t>Input</t>
        </is>
      </c>
      <c r="F679" t="n">
        <v/>
      </c>
      <c r="H679" t="inlineStr"/>
      <c r="I679" t="inlineStr">
        <is>
          <t>0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00000000</t>
        </is>
      </c>
      <c r="O679" t="n">
        <v/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</row>
    <row r="680">
      <c r="A680" t="inlineStr">
        <is>
          <t>CashFlow Statement</t>
        </is>
      </c>
      <c r="B680" t="inlineStr">
        <is>
          <t>H56</t>
        </is>
      </c>
      <c r="C680" t="n">
        <v>56</v>
      </c>
      <c r="D680" t="n">
        <v>8</v>
      </c>
      <c r="E680" t="inlineStr">
        <is>
          <t>Input</t>
        </is>
      </c>
      <c r="F680" t="n">
        <v/>
      </c>
      <c r="H680" t="inlineStr"/>
      <c r="I680" t="inlineStr">
        <is>
          <t>0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00000000</t>
        </is>
      </c>
      <c r="O680" t="n">
        <v/>
      </c>
      <c r="R680" t="b">
        <v>0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</row>
    <row r="681">
      <c r="A681" t="inlineStr">
        <is>
          <t>CashFlow Statement</t>
        </is>
      </c>
      <c r="B681" t="inlineStr">
        <is>
          <t>I56</t>
        </is>
      </c>
      <c r="C681" t="n">
        <v>56</v>
      </c>
      <c r="D681" t="n">
        <v>9</v>
      </c>
      <c r="E681" t="inlineStr">
        <is>
          <t>Input</t>
        </is>
      </c>
      <c r="F681" t="n">
        <v/>
      </c>
      <c r="H681" t="inlineStr"/>
      <c r="I681" t="inlineStr">
        <is>
          <t>0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00000000</t>
        </is>
      </c>
      <c r="O681" t="n">
        <v/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</row>
    <row r="682">
      <c r="A682" t="inlineStr">
        <is>
          <t>CashFlow Statement</t>
        </is>
      </c>
      <c r="B682" t="inlineStr">
        <is>
          <t>J56</t>
        </is>
      </c>
      <c r="C682" t="n">
        <v>56</v>
      </c>
      <c r="D682" t="n">
        <v>10</v>
      </c>
      <c r="E682" t="inlineStr">
        <is>
          <t>Input</t>
        </is>
      </c>
      <c r="F682" t="n">
        <v/>
      </c>
      <c r="H682" t="inlineStr"/>
      <c r="I682" t="inlineStr">
        <is>
          <t>0</t>
        </is>
      </c>
      <c r="J682" t="b">
        <v>0</v>
      </c>
      <c r="K682" t="b">
        <v>0</v>
      </c>
      <c r="L682" t="n">
        <v>11</v>
      </c>
      <c r="M682" t="inlineStr">
        <is>
          <t>Values must be of type &lt;class 'str'&gt;</t>
        </is>
      </c>
      <c r="N682" t="inlineStr">
        <is>
          <t>00000000</t>
        </is>
      </c>
      <c r="O682" t="n">
        <v/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</row>
    <row r="683">
      <c r="A683" t="inlineStr">
        <is>
          <t>CashFlow Statement</t>
        </is>
      </c>
      <c r="B683" t="inlineStr">
        <is>
          <t>K56</t>
        </is>
      </c>
      <c r="C683" t="n">
        <v>56</v>
      </c>
      <c r="D683" t="n">
        <v>11</v>
      </c>
      <c r="E683" t="inlineStr">
        <is>
          <t>Input</t>
        </is>
      </c>
      <c r="F683" t="n">
        <v/>
      </c>
      <c r="H683" t="inlineStr"/>
      <c r="I683" t="inlineStr">
        <is>
          <t>0</t>
        </is>
      </c>
      <c r="J683" t="b">
        <v>0</v>
      </c>
      <c r="K683" t="b">
        <v>0</v>
      </c>
      <c r="L683" t="n">
        <v>11</v>
      </c>
      <c r="M683" t="inlineStr">
        <is>
          <t>Values must be of type &lt;class 'str'&gt;</t>
        </is>
      </c>
      <c r="N683" t="inlineStr">
        <is>
          <t>00000000</t>
        </is>
      </c>
      <c r="O683" t="n">
        <v/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</row>
    <row r="684">
      <c r="A684" t="inlineStr">
        <is>
          <t>CashFlow Statement</t>
        </is>
      </c>
      <c r="B684" t="inlineStr">
        <is>
          <t>L56</t>
        </is>
      </c>
      <c r="C684" t="n">
        <v>56</v>
      </c>
      <c r="D684" t="n">
        <v>12</v>
      </c>
      <c r="E684" t="inlineStr">
        <is>
          <t>Input</t>
        </is>
      </c>
      <c r="F684" t="n">
        <v/>
      </c>
      <c r="H684" t="inlineStr"/>
      <c r="I684" t="inlineStr">
        <is>
          <t>0</t>
        </is>
      </c>
      <c r="J684" t="b">
        <v>0</v>
      </c>
      <c r="K684" t="b">
        <v>0</v>
      </c>
      <c r="L684" t="n">
        <v>11</v>
      </c>
      <c r="M684" t="inlineStr">
        <is>
          <t>Values must be of type &lt;class 'str'&gt;</t>
        </is>
      </c>
      <c r="N684" t="inlineStr">
        <is>
          <t>00000000</t>
        </is>
      </c>
      <c r="O684" t="n">
        <v/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</row>
    <row r="685">
      <c r="A685" t="inlineStr">
        <is>
          <t>CashFlow Statement</t>
        </is>
      </c>
      <c r="B685" t="inlineStr">
        <is>
          <t>M56</t>
        </is>
      </c>
      <c r="C685" t="n">
        <v>56</v>
      </c>
      <c r="D685" t="n">
        <v>13</v>
      </c>
      <c r="E685" t="inlineStr">
        <is>
          <t>Input</t>
        </is>
      </c>
      <c r="F685" t="n">
        <v/>
      </c>
      <c r="H685" t="inlineStr"/>
      <c r="I685" t="inlineStr">
        <is>
          <t>0</t>
        </is>
      </c>
      <c r="J685" t="b">
        <v>0</v>
      </c>
      <c r="K685" t="b">
        <v>0</v>
      </c>
      <c r="L685" t="n">
        <v>11</v>
      </c>
      <c r="M685" t="inlineStr">
        <is>
          <t>Values must be of type &lt;class 'str'&gt;</t>
        </is>
      </c>
      <c r="N685" t="inlineStr">
        <is>
          <t>00000000</t>
        </is>
      </c>
      <c r="O685" t="n">
        <v/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</row>
    <row r="686">
      <c r="A686" t="inlineStr">
        <is>
          <t>CashFlow Statement</t>
        </is>
      </c>
      <c r="B686" t="inlineStr">
        <is>
          <t>N56</t>
        </is>
      </c>
      <c r="C686" t="n">
        <v>56</v>
      </c>
      <c r="D686" t="n">
        <v>14</v>
      </c>
      <c r="E686" t="inlineStr">
        <is>
          <t>Input</t>
        </is>
      </c>
      <c r="F686" t="n">
        <v/>
      </c>
      <c r="H686" t="inlineStr"/>
      <c r="I686" t="inlineStr">
        <is>
          <t>0</t>
        </is>
      </c>
      <c r="J686" t="b">
        <v>0</v>
      </c>
      <c r="K686" t="b">
        <v>0</v>
      </c>
      <c r="L686" t="n">
        <v>11</v>
      </c>
      <c r="M686" t="inlineStr">
        <is>
          <t>Values must be of type &lt;class 'str'&gt;</t>
        </is>
      </c>
      <c r="N686" t="inlineStr">
        <is>
          <t>00000000</t>
        </is>
      </c>
      <c r="O686" t="n">
        <v/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</row>
    <row r="687">
      <c r="A687" t="inlineStr">
        <is>
          <t>CashFlow Statement</t>
        </is>
      </c>
      <c r="B687" t="inlineStr">
        <is>
          <t>O56</t>
        </is>
      </c>
      <c r="C687" t="n">
        <v>56</v>
      </c>
      <c r="D687" t="n">
        <v>15</v>
      </c>
      <c r="E687" t="inlineStr">
        <is>
          <t>Input</t>
        </is>
      </c>
      <c r="F687" t="n">
        <v/>
      </c>
      <c r="H687" t="inlineStr"/>
      <c r="I687" t="inlineStr">
        <is>
          <t>0</t>
        </is>
      </c>
      <c r="J687" t="b">
        <v>0</v>
      </c>
      <c r="K687" t="b">
        <v>0</v>
      </c>
      <c r="L687" t="n">
        <v>11</v>
      </c>
      <c r="M687" t="inlineStr">
        <is>
          <t>Values must be of type &lt;class 'str'&gt;</t>
        </is>
      </c>
      <c r="N687" t="inlineStr">
        <is>
          <t>00000000</t>
        </is>
      </c>
      <c r="O687" t="n">
        <v/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</row>
    <row r="688">
      <c r="A688" t="inlineStr">
        <is>
          <t>CashFlow Statement</t>
        </is>
      </c>
      <c r="B688" t="inlineStr">
        <is>
          <t>A57</t>
        </is>
      </c>
      <c r="C688" t="n">
        <v>57</v>
      </c>
      <c r="D688" t="n">
        <v>1</v>
      </c>
      <c r="E688" t="inlineStr">
        <is>
          <t>Input</t>
        </is>
      </c>
      <c r="F688" t="n">
        <v/>
      </c>
      <c r="G688" t="inlineStr">
        <is>
          <t>Deposits</t>
        </is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11</v>
      </c>
      <c r="M688" t="inlineStr">
        <is>
          <t>Values must be of type &lt;class 'str'&gt;</t>
        </is>
      </c>
      <c r="N688" t="inlineStr">
        <is>
          <t>00000000</t>
        </is>
      </c>
      <c r="O688" t="n">
        <v/>
      </c>
      <c r="R688" t="b">
        <v>1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</row>
    <row r="689">
      <c r="A689" t="inlineStr">
        <is>
          <t>CashFlow Statement</t>
        </is>
      </c>
      <c r="B689" t="inlineStr">
        <is>
          <t>E57</t>
        </is>
      </c>
      <c r="C689" t="n">
        <v>57</v>
      </c>
      <c r="D689" t="n">
        <v>5</v>
      </c>
      <c r="E689" t="inlineStr">
        <is>
          <t>Input</t>
        </is>
      </c>
      <c r="F689" t="n">
        <v/>
      </c>
      <c r="H689" t="inlineStr"/>
      <c r="I689" t="inlineStr">
        <is>
          <t>0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00000000</t>
        </is>
      </c>
      <c r="O689" t="n">
        <v/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</row>
    <row r="690">
      <c r="A690" t="inlineStr">
        <is>
          <t>CashFlow Statement</t>
        </is>
      </c>
      <c r="B690" t="inlineStr">
        <is>
          <t>F57</t>
        </is>
      </c>
      <c r="C690" t="n">
        <v>57</v>
      </c>
      <c r="D690" t="n">
        <v>6</v>
      </c>
      <c r="E690" t="inlineStr">
        <is>
          <t>Input</t>
        </is>
      </c>
      <c r="F690" t="n">
        <v/>
      </c>
      <c r="H690" t="inlineStr"/>
      <c r="I690" t="inlineStr">
        <is>
          <t>0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00000000</t>
        </is>
      </c>
      <c r="O690" t="n">
        <v/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</row>
    <row r="691">
      <c r="A691" t="inlineStr">
        <is>
          <t>CashFlow Statement</t>
        </is>
      </c>
      <c r="B691" t="inlineStr">
        <is>
          <t>G57</t>
        </is>
      </c>
      <c r="C691" t="n">
        <v>57</v>
      </c>
      <c r="D691" t="n">
        <v>7</v>
      </c>
      <c r="E691" t="inlineStr">
        <is>
          <t>Input</t>
        </is>
      </c>
      <c r="F691" t="n">
        <v/>
      </c>
      <c r="H691" t="inlineStr"/>
      <c r="I691" t="inlineStr">
        <is>
          <t>0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00000000</t>
        </is>
      </c>
      <c r="O691" t="n">
        <v/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</row>
    <row r="692">
      <c r="A692" t="inlineStr">
        <is>
          <t>CashFlow Statement</t>
        </is>
      </c>
      <c r="B692" t="inlineStr">
        <is>
          <t>H57</t>
        </is>
      </c>
      <c r="C692" t="n">
        <v>57</v>
      </c>
      <c r="D692" t="n">
        <v>8</v>
      </c>
      <c r="E692" t="inlineStr">
        <is>
          <t>Input</t>
        </is>
      </c>
      <c r="F692" t="n">
        <v/>
      </c>
      <c r="H692" t="inlineStr"/>
      <c r="I692" t="inlineStr">
        <is>
          <t>0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00000000</t>
        </is>
      </c>
      <c r="O692" t="n">
        <v/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</row>
    <row r="693">
      <c r="A693" t="inlineStr">
        <is>
          <t>CashFlow Statement</t>
        </is>
      </c>
      <c r="B693" t="inlineStr">
        <is>
          <t>I57</t>
        </is>
      </c>
      <c r="C693" t="n">
        <v>57</v>
      </c>
      <c r="D693" t="n">
        <v>9</v>
      </c>
      <c r="E693" t="inlineStr">
        <is>
          <t>Input</t>
        </is>
      </c>
      <c r="F693" t="n">
        <v/>
      </c>
      <c r="H693" t="inlineStr"/>
      <c r="I693" t="inlineStr">
        <is>
          <t>0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00000000</t>
        </is>
      </c>
      <c r="O693" t="n">
        <v/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</row>
    <row r="694">
      <c r="A694" t="inlineStr">
        <is>
          <t>CashFlow Statement</t>
        </is>
      </c>
      <c r="B694" t="inlineStr">
        <is>
          <t>J57</t>
        </is>
      </c>
      <c r="C694" t="n">
        <v>57</v>
      </c>
      <c r="D694" t="n">
        <v>10</v>
      </c>
      <c r="E694" t="inlineStr">
        <is>
          <t>Calculation</t>
        </is>
      </c>
      <c r="F694" t="inlineStr">
        <is>
          <t>'='Balance sheet'!J43-'CashFlow Statement'!J55</t>
        </is>
      </c>
      <c r="G694" t="n">
        <v>44794.26000000002</v>
      </c>
      <c r="H694" t="inlineStr"/>
      <c r="I694" t="inlineStr">
        <is>
          <t>0</t>
        </is>
      </c>
      <c r="J694" t="b">
        <v>0</v>
      </c>
      <c r="K694" t="b">
        <v>0</v>
      </c>
      <c r="L694" t="n">
        <v>11</v>
      </c>
      <c r="M694" t="inlineStr">
        <is>
          <t>Values must be of type &lt;class 'str'&gt;</t>
        </is>
      </c>
      <c r="N694" t="inlineStr">
        <is>
          <t>00000000</t>
        </is>
      </c>
      <c r="O694" t="n">
        <v/>
      </c>
      <c r="R694" t="b">
        <v>1</v>
      </c>
      <c r="S694" t="n">
        <v/>
      </c>
      <c r="T694" t="n">
        <v/>
      </c>
      <c r="U694" t="n">
        <v/>
      </c>
      <c r="V694" t="b">
        <v>0</v>
      </c>
      <c r="W694" t="inlineStr"/>
      <c r="X694">
        <f>'Balance sheet'!R[-14]C[0]-R[-2]C[0]</f>
        <v/>
      </c>
    </row>
    <row r="695">
      <c r="A695" t="inlineStr">
        <is>
          <t>CashFlow Statement</t>
        </is>
      </c>
      <c r="B695" t="inlineStr">
        <is>
          <t>K57</t>
        </is>
      </c>
      <c r="C695" t="n">
        <v>57</v>
      </c>
      <c r="D695" t="n">
        <v>11</v>
      </c>
      <c r="E695" t="inlineStr">
        <is>
          <t>Calculation</t>
        </is>
      </c>
      <c r="F695" t="inlineStr">
        <is>
          <t>'=J57</t>
        </is>
      </c>
      <c r="G695" t="n">
        <v>44794.26000000002</v>
      </c>
      <c r="H695" t="inlineStr"/>
      <c r="I695" t="inlineStr">
        <is>
          <t>0</t>
        </is>
      </c>
      <c r="J695" t="b">
        <v>0</v>
      </c>
      <c r="K695" t="b">
        <v>0</v>
      </c>
      <c r="L695" t="n">
        <v>11</v>
      </c>
      <c r="M695" t="inlineStr">
        <is>
          <t>Values must be of type &lt;class 'str'&gt;</t>
        </is>
      </c>
      <c r="N695" t="inlineStr">
        <is>
          <t>00000000</t>
        </is>
      </c>
      <c r="O695" t="n">
        <v/>
      </c>
      <c r="R695" t="b">
        <v>1</v>
      </c>
      <c r="S695" t="inlineStr">
        <is>
          <t>G000283</t>
        </is>
      </c>
      <c r="T695" t="inlineStr">
        <is>
          <t>Horizontal</t>
        </is>
      </c>
      <c r="U695" t="n">
        <v>5</v>
      </c>
      <c r="V695" t="b">
        <v>1</v>
      </c>
      <c r="W695" t="inlineStr">
        <is>
          <t>CashFlow Statement!K57:O57</t>
        </is>
      </c>
      <c r="X695">
        <f>R[0]C[-1]</f>
        <v/>
      </c>
    </row>
    <row r="696">
      <c r="A696" t="inlineStr">
        <is>
          <t>CashFlow Statement</t>
        </is>
      </c>
      <c r="B696" t="inlineStr">
        <is>
          <t>L57</t>
        </is>
      </c>
      <c r="C696" t="n">
        <v>57</v>
      </c>
      <c r="D696" t="n">
        <v>12</v>
      </c>
      <c r="E696" t="inlineStr">
        <is>
          <t>Calculation</t>
        </is>
      </c>
      <c r="F696" t="inlineStr">
        <is>
          <t>'=K57</t>
        </is>
      </c>
      <c r="G696" t="n">
        <v>44794.26000000002</v>
      </c>
      <c r="H696" t="inlineStr"/>
      <c r="I696" t="inlineStr">
        <is>
          <t>0</t>
        </is>
      </c>
      <c r="J696" t="b">
        <v>0</v>
      </c>
      <c r="K696" t="b">
        <v>0</v>
      </c>
      <c r="L696" t="n">
        <v>11</v>
      </c>
      <c r="M696" t="inlineStr">
        <is>
          <t>Values must be of type &lt;class 'str'&gt;</t>
        </is>
      </c>
      <c r="N696" t="inlineStr">
        <is>
          <t>00000000</t>
        </is>
      </c>
      <c r="O696" t="n">
        <v/>
      </c>
      <c r="R696" t="b">
        <v>1</v>
      </c>
      <c r="S696" t="inlineStr">
        <is>
          <t>G000283</t>
        </is>
      </c>
      <c r="T696" t="inlineStr">
        <is>
          <t>Horizontal</t>
        </is>
      </c>
      <c r="U696" t="n">
        <v>5</v>
      </c>
      <c r="V696" t="b">
        <v>1</v>
      </c>
      <c r="W696" t="inlineStr">
        <is>
          <t>CashFlow Statement!K57:O57</t>
        </is>
      </c>
      <c r="X696">
        <f>R[0]C[-1]</f>
        <v/>
      </c>
    </row>
    <row r="697">
      <c r="A697" t="inlineStr">
        <is>
          <t>CashFlow Statement</t>
        </is>
      </c>
      <c r="B697" t="inlineStr">
        <is>
          <t>M57</t>
        </is>
      </c>
      <c r="C697" t="n">
        <v>57</v>
      </c>
      <c r="D697" t="n">
        <v>13</v>
      </c>
      <c r="E697" t="inlineStr">
        <is>
          <t>Calculation</t>
        </is>
      </c>
      <c r="F697" t="inlineStr">
        <is>
          <t>'=L57</t>
        </is>
      </c>
      <c r="G697" t="n">
        <v>44794.26000000002</v>
      </c>
      <c r="H697" t="inlineStr"/>
      <c r="I697" t="inlineStr">
        <is>
          <t>0</t>
        </is>
      </c>
      <c r="J697" t="b">
        <v>0</v>
      </c>
      <c r="K697" t="b">
        <v>0</v>
      </c>
      <c r="L697" t="n">
        <v>11</v>
      </c>
      <c r="M697" t="inlineStr">
        <is>
          <t>Values must be of type &lt;class 'str'&gt;</t>
        </is>
      </c>
      <c r="N697" t="inlineStr">
        <is>
          <t>00000000</t>
        </is>
      </c>
      <c r="O697" t="n">
        <v/>
      </c>
      <c r="R697" t="b">
        <v>1</v>
      </c>
      <c r="S697" t="inlineStr">
        <is>
          <t>G000283</t>
        </is>
      </c>
      <c r="T697" t="inlineStr">
        <is>
          <t>Horizontal</t>
        </is>
      </c>
      <c r="U697" t="n">
        <v>5</v>
      </c>
      <c r="V697" t="b">
        <v>1</v>
      </c>
      <c r="W697" t="inlineStr">
        <is>
          <t>CashFlow Statement!K57:O57</t>
        </is>
      </c>
      <c r="X697">
        <f>R[0]C[-1]</f>
        <v/>
      </c>
    </row>
    <row r="698">
      <c r="A698" t="inlineStr">
        <is>
          <t>CashFlow Statement</t>
        </is>
      </c>
      <c r="B698" t="inlineStr">
        <is>
          <t>N57</t>
        </is>
      </c>
      <c r="C698" t="n">
        <v>57</v>
      </c>
      <c r="D698" t="n">
        <v>14</v>
      </c>
      <c r="E698" t="inlineStr">
        <is>
          <t>Calculation</t>
        </is>
      </c>
      <c r="F698" t="inlineStr">
        <is>
          <t>'=M57</t>
        </is>
      </c>
      <c r="G698" t="n">
        <v>44794.26000000002</v>
      </c>
      <c r="H698" t="inlineStr"/>
      <c r="I698" t="inlineStr">
        <is>
          <t>0</t>
        </is>
      </c>
      <c r="J698" t="b">
        <v>0</v>
      </c>
      <c r="K698" t="b">
        <v>0</v>
      </c>
      <c r="L698" t="n">
        <v>11</v>
      </c>
      <c r="M698" t="inlineStr">
        <is>
          <t>Values must be of type &lt;class 'str'&gt;</t>
        </is>
      </c>
      <c r="N698" t="inlineStr">
        <is>
          <t>00000000</t>
        </is>
      </c>
      <c r="O698" t="n">
        <v/>
      </c>
      <c r="R698" t="b">
        <v>1</v>
      </c>
      <c r="S698" t="inlineStr">
        <is>
          <t>G000283</t>
        </is>
      </c>
      <c r="T698" t="inlineStr">
        <is>
          <t>Horizontal</t>
        </is>
      </c>
      <c r="U698" t="n">
        <v>5</v>
      </c>
      <c r="V698" t="b">
        <v>1</v>
      </c>
      <c r="W698" t="inlineStr">
        <is>
          <t>CashFlow Statement!K57:O57</t>
        </is>
      </c>
      <c r="X698">
        <f>R[0]C[-1]</f>
        <v/>
      </c>
    </row>
    <row r="699">
      <c r="A699" t="inlineStr">
        <is>
          <t>CashFlow Statement</t>
        </is>
      </c>
      <c r="B699" t="inlineStr">
        <is>
          <t>O57</t>
        </is>
      </c>
      <c r="C699" t="n">
        <v>57</v>
      </c>
      <c r="D699" t="n">
        <v>15</v>
      </c>
      <c r="E699" t="inlineStr">
        <is>
          <t>Calculation</t>
        </is>
      </c>
      <c r="F699" t="inlineStr">
        <is>
          <t>'=N57</t>
        </is>
      </c>
      <c r="G699" t="n">
        <v>44794.26000000002</v>
      </c>
      <c r="H699" t="inlineStr"/>
      <c r="I699" t="inlineStr">
        <is>
          <t>0</t>
        </is>
      </c>
      <c r="J699" t="b">
        <v>0</v>
      </c>
      <c r="K699" t="b">
        <v>0</v>
      </c>
      <c r="L699" t="n">
        <v>11</v>
      </c>
      <c r="M699" t="inlineStr">
        <is>
          <t>Values must be of type &lt;class 'str'&gt;</t>
        </is>
      </c>
      <c r="N699" t="inlineStr">
        <is>
          <t>00000000</t>
        </is>
      </c>
      <c r="O699" t="n">
        <v/>
      </c>
      <c r="R699" t="b">
        <v>1</v>
      </c>
      <c r="S699" t="inlineStr">
        <is>
          <t>G000283</t>
        </is>
      </c>
      <c r="T699" t="inlineStr">
        <is>
          <t>Horizontal</t>
        </is>
      </c>
      <c r="U699" t="n">
        <v>5</v>
      </c>
      <c r="V699" t="b">
        <v>1</v>
      </c>
      <c r="W699" t="inlineStr">
        <is>
          <t>CashFlow Statement!K57:O57</t>
        </is>
      </c>
      <c r="X699">
        <f>R[0]C[-1]</f>
        <v/>
      </c>
    </row>
    <row r="700">
      <c r="A700" t="inlineStr">
        <is>
          <t>CashFlow Statement</t>
        </is>
      </c>
      <c r="B700" t="inlineStr">
        <is>
          <t>D58</t>
        </is>
      </c>
      <c r="C700" t="n">
        <v>58</v>
      </c>
      <c r="D700" t="n">
        <v>4</v>
      </c>
      <c r="E700" t="inlineStr">
        <is>
          <t>Input</t>
        </is>
      </c>
      <c r="F700" t="n">
        <v/>
      </c>
      <c r="H700" t="inlineStr"/>
      <c r="I700" t="inlineStr">
        <is>
          <t>0</t>
        </is>
      </c>
      <c r="J700" t="b">
        <v>0</v>
      </c>
      <c r="K700" t="b">
        <v>0</v>
      </c>
      <c r="L700" t="n">
        <v>11</v>
      </c>
      <c r="M700" t="inlineStr">
        <is>
          <t>Values must be of type &lt;class 'str'&gt;</t>
        </is>
      </c>
      <c r="N700" t="inlineStr">
        <is>
          <t>00000000</t>
        </is>
      </c>
      <c r="O700" t="n">
        <v/>
      </c>
      <c r="R700" t="b">
        <v>0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</row>
    <row r="701">
      <c r="A701" t="inlineStr">
        <is>
          <t>CashFlow Statement</t>
        </is>
      </c>
      <c r="B701" t="inlineStr">
        <is>
          <t>E58</t>
        </is>
      </c>
      <c r="C701" t="n">
        <v>58</v>
      </c>
      <c r="D701" t="n">
        <v>5</v>
      </c>
      <c r="E701" t="inlineStr">
        <is>
          <t>Input</t>
        </is>
      </c>
      <c r="F701" t="n">
        <v/>
      </c>
      <c r="H701" t="inlineStr"/>
      <c r="I701" t="inlineStr">
        <is>
          <t>0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00000000</t>
        </is>
      </c>
      <c r="O701" t="n">
        <v/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</row>
    <row r="702">
      <c r="A702" t="inlineStr">
        <is>
          <t>CashFlow Statement</t>
        </is>
      </c>
      <c r="B702" t="inlineStr">
        <is>
          <t>F58</t>
        </is>
      </c>
      <c r="C702" t="n">
        <v>58</v>
      </c>
      <c r="D702" t="n">
        <v>6</v>
      </c>
      <c r="E702" t="inlineStr">
        <is>
          <t>Input</t>
        </is>
      </c>
      <c r="F702" t="n">
        <v/>
      </c>
      <c r="H702" t="inlineStr"/>
      <c r="I702" t="inlineStr">
        <is>
          <t>0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00000000</t>
        </is>
      </c>
      <c r="O702" t="n">
        <v/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</row>
    <row r="703">
      <c r="A703" t="inlineStr">
        <is>
          <t>CashFlow Statement</t>
        </is>
      </c>
      <c r="B703" t="inlineStr">
        <is>
          <t>G58</t>
        </is>
      </c>
      <c r="C703" t="n">
        <v>58</v>
      </c>
      <c r="D703" t="n">
        <v>7</v>
      </c>
      <c r="E703" t="inlineStr">
        <is>
          <t>Input</t>
        </is>
      </c>
      <c r="F703" t="n">
        <v/>
      </c>
      <c r="H703" t="inlineStr"/>
      <c r="I703" t="inlineStr">
        <is>
          <t>0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00000000</t>
        </is>
      </c>
      <c r="O703" t="n">
        <v/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</row>
    <row r="704">
      <c r="A704" t="inlineStr">
        <is>
          <t>CashFlow Statement</t>
        </is>
      </c>
      <c r="B704" t="inlineStr">
        <is>
          <t>H58</t>
        </is>
      </c>
      <c r="C704" t="n">
        <v>58</v>
      </c>
      <c r="D704" t="n">
        <v>8</v>
      </c>
      <c r="E704" t="inlineStr">
        <is>
          <t>Input</t>
        </is>
      </c>
      <c r="F704" t="n">
        <v/>
      </c>
      <c r="H704" t="inlineStr"/>
      <c r="I704" t="inlineStr">
        <is>
          <t>0</t>
        </is>
      </c>
      <c r="J704" t="b">
        <v>0</v>
      </c>
      <c r="K704" t="b">
        <v>0</v>
      </c>
      <c r="L704" t="n">
        <v>11</v>
      </c>
      <c r="M704" t="inlineStr">
        <is>
          <t>Values must be of type &lt;class 'str'&gt;</t>
        </is>
      </c>
      <c r="N704" t="inlineStr">
        <is>
          <t>00000000</t>
        </is>
      </c>
      <c r="O704" t="n">
        <v/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</row>
    <row r="705">
      <c r="A705" t="inlineStr">
        <is>
          <t>CashFlow Statement</t>
        </is>
      </c>
      <c r="B705" t="inlineStr">
        <is>
          <t>I58</t>
        </is>
      </c>
      <c r="C705" t="n">
        <v>58</v>
      </c>
      <c r="D705" t="n">
        <v>9</v>
      </c>
      <c r="E705" t="inlineStr">
        <is>
          <t>Input</t>
        </is>
      </c>
      <c r="F705" t="n">
        <v/>
      </c>
      <c r="H705" t="inlineStr"/>
      <c r="I705" t="inlineStr">
        <is>
          <t>0</t>
        </is>
      </c>
      <c r="J705" t="b">
        <v>0</v>
      </c>
      <c r="K705" t="b">
        <v>0</v>
      </c>
      <c r="L705" t="n">
        <v>11</v>
      </c>
      <c r="M705" t="inlineStr">
        <is>
          <t>Values must be of type &lt;class 'str'&gt;</t>
        </is>
      </c>
      <c r="N705" t="inlineStr">
        <is>
          <t>00000000</t>
        </is>
      </c>
      <c r="O705" t="n">
        <v/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</row>
    <row r="706">
      <c r="A706" t="inlineStr">
        <is>
          <t>CashFlow Statement</t>
        </is>
      </c>
      <c r="B706" t="inlineStr">
        <is>
          <t>J58</t>
        </is>
      </c>
      <c r="C706" t="n">
        <v>58</v>
      </c>
      <c r="D706" t="n">
        <v>10</v>
      </c>
      <c r="E706" t="inlineStr">
        <is>
          <t>Input</t>
        </is>
      </c>
      <c r="F706" t="n">
        <v/>
      </c>
      <c r="H706" t="inlineStr"/>
      <c r="I706" t="inlineStr">
        <is>
          <t>0</t>
        </is>
      </c>
      <c r="J706" t="b">
        <v>0</v>
      </c>
      <c r="K706" t="b">
        <v>0</v>
      </c>
      <c r="L706" t="n">
        <v>11</v>
      </c>
      <c r="M706" t="inlineStr">
        <is>
          <t>Values must be of type &lt;class 'str'&gt;</t>
        </is>
      </c>
      <c r="N706" t="inlineStr">
        <is>
          <t>00000000</t>
        </is>
      </c>
      <c r="O706" t="n">
        <v/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</row>
    <row r="707">
      <c r="A707" t="inlineStr">
        <is>
          <t>CashFlow Statement</t>
        </is>
      </c>
      <c r="B707" t="inlineStr">
        <is>
          <t>K58</t>
        </is>
      </c>
      <c r="C707" t="n">
        <v>58</v>
      </c>
      <c r="D707" t="n">
        <v>11</v>
      </c>
      <c r="E707" t="inlineStr">
        <is>
          <t>Input</t>
        </is>
      </c>
      <c r="F707" t="n">
        <v/>
      </c>
      <c r="H707" t="inlineStr"/>
      <c r="I707" t="inlineStr">
        <is>
          <t>0</t>
        </is>
      </c>
      <c r="J707" t="b">
        <v>0</v>
      </c>
      <c r="K707" t="b">
        <v>0</v>
      </c>
      <c r="L707" t="n">
        <v>11</v>
      </c>
      <c r="M707" t="inlineStr">
        <is>
          <t>Values must be of type &lt;class 'str'&gt;</t>
        </is>
      </c>
      <c r="N707" t="inlineStr">
        <is>
          <t>00000000</t>
        </is>
      </c>
      <c r="O707" t="n">
        <v/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</row>
    <row r="708">
      <c r="A708" t="inlineStr">
        <is>
          <t>CashFlow Statement</t>
        </is>
      </c>
      <c r="B708" t="inlineStr">
        <is>
          <t>L58</t>
        </is>
      </c>
      <c r="C708" t="n">
        <v>58</v>
      </c>
      <c r="D708" t="n">
        <v>12</v>
      </c>
      <c r="E708" t="inlineStr">
        <is>
          <t>Input</t>
        </is>
      </c>
      <c r="F708" t="n">
        <v/>
      </c>
      <c r="H708" t="inlineStr"/>
      <c r="I708" t="inlineStr">
        <is>
          <t>0</t>
        </is>
      </c>
      <c r="J708" t="b">
        <v>0</v>
      </c>
      <c r="K708" t="b">
        <v>0</v>
      </c>
      <c r="L708" t="n">
        <v>11</v>
      </c>
      <c r="M708" t="inlineStr">
        <is>
          <t>Values must be of type &lt;class 'str'&gt;</t>
        </is>
      </c>
      <c r="N708" t="inlineStr">
        <is>
          <t>00000000</t>
        </is>
      </c>
      <c r="O708" t="n">
        <v/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</row>
    <row r="709">
      <c r="A709" t="inlineStr">
        <is>
          <t>CashFlow Statement</t>
        </is>
      </c>
      <c r="B709" t="inlineStr">
        <is>
          <t>M58</t>
        </is>
      </c>
      <c r="C709" t="n">
        <v>58</v>
      </c>
      <c r="D709" t="n">
        <v>13</v>
      </c>
      <c r="E709" t="inlineStr">
        <is>
          <t>Input</t>
        </is>
      </c>
      <c r="F709" t="n">
        <v/>
      </c>
      <c r="H709" t="inlineStr"/>
      <c r="I709" t="inlineStr">
        <is>
          <t>0</t>
        </is>
      </c>
      <c r="J709" t="b">
        <v>0</v>
      </c>
      <c r="K709" t="b">
        <v>0</v>
      </c>
      <c r="L709" t="n">
        <v>11</v>
      </c>
      <c r="M709" t="inlineStr">
        <is>
          <t>Values must be of type &lt;class 'str'&gt;</t>
        </is>
      </c>
      <c r="N709" t="inlineStr">
        <is>
          <t>00000000</t>
        </is>
      </c>
      <c r="O709" t="n">
        <v/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</row>
    <row r="710">
      <c r="A710" t="inlineStr">
        <is>
          <t>CashFlow Statement</t>
        </is>
      </c>
      <c r="B710" t="inlineStr">
        <is>
          <t>N58</t>
        </is>
      </c>
      <c r="C710" t="n">
        <v>58</v>
      </c>
      <c r="D710" t="n">
        <v>14</v>
      </c>
      <c r="E710" t="inlineStr">
        <is>
          <t>Input</t>
        </is>
      </c>
      <c r="F710" t="n">
        <v/>
      </c>
      <c r="H710" t="inlineStr"/>
      <c r="I710" t="inlineStr">
        <is>
          <t>0</t>
        </is>
      </c>
      <c r="J710" t="b">
        <v>0</v>
      </c>
      <c r="K710" t="b">
        <v>0</v>
      </c>
      <c r="L710" t="n">
        <v>11</v>
      </c>
      <c r="M710" t="inlineStr">
        <is>
          <t>Values must be of type &lt;class 'str'&gt;</t>
        </is>
      </c>
      <c r="N710" t="inlineStr">
        <is>
          <t>00000000</t>
        </is>
      </c>
      <c r="O710" t="n">
        <v/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</row>
    <row r="711">
      <c r="A711" t="inlineStr">
        <is>
          <t>CashFlow Statement</t>
        </is>
      </c>
      <c r="B711" t="inlineStr">
        <is>
          <t>O58</t>
        </is>
      </c>
      <c r="C711" t="n">
        <v>58</v>
      </c>
      <c r="D711" t="n">
        <v>15</v>
      </c>
      <c r="E711" t="inlineStr">
        <is>
          <t>Input</t>
        </is>
      </c>
      <c r="F711" t="n">
        <v/>
      </c>
      <c r="H711" t="inlineStr"/>
      <c r="I711" t="inlineStr">
        <is>
          <t>0</t>
        </is>
      </c>
      <c r="J711" t="b">
        <v>0</v>
      </c>
      <c r="K711" t="b">
        <v>0</v>
      </c>
      <c r="L711" t="n">
        <v>11</v>
      </c>
      <c r="M711" t="inlineStr">
        <is>
          <t>Values must be of type &lt;class 'str'&gt;</t>
        </is>
      </c>
      <c r="N711" t="inlineStr">
        <is>
          <t>00000000</t>
        </is>
      </c>
      <c r="O711" t="n">
        <v/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</row>
    <row r="712">
      <c r="A712" t="inlineStr">
        <is>
          <t>CashFlow Statement</t>
        </is>
      </c>
      <c r="B712" t="inlineStr">
        <is>
          <t>D59</t>
        </is>
      </c>
      <c r="C712" t="n">
        <v>59</v>
      </c>
      <c r="D712" t="n">
        <v>4</v>
      </c>
      <c r="E712" t="inlineStr">
        <is>
          <t>Input</t>
        </is>
      </c>
      <c r="F712" t="n">
        <v/>
      </c>
      <c r="H712" t="inlineStr"/>
      <c r="I712" t="inlineStr">
        <is>
          <t>0</t>
        </is>
      </c>
      <c r="J712" t="b">
        <v>0</v>
      </c>
      <c r="K712" t="b">
        <v>0</v>
      </c>
      <c r="L712" t="n">
        <v>11</v>
      </c>
      <c r="M712" t="inlineStr">
        <is>
          <t>Values must be of type &lt;class 'str'&gt;</t>
        </is>
      </c>
      <c r="N712" t="inlineStr">
        <is>
          <t>00000000</t>
        </is>
      </c>
      <c r="O712" t="n">
        <v/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</row>
    <row r="713">
      <c r="A713" t="inlineStr">
        <is>
          <t>CashFlow Statement</t>
        </is>
      </c>
      <c r="B713" t="inlineStr">
        <is>
          <t>E59</t>
        </is>
      </c>
      <c r="C713" t="n">
        <v>59</v>
      </c>
      <c r="D713" t="n">
        <v>5</v>
      </c>
      <c r="E713" t="inlineStr">
        <is>
          <t>Input</t>
        </is>
      </c>
      <c r="F713" t="n">
        <v/>
      </c>
      <c r="H713" t="inlineStr"/>
      <c r="I713" t="inlineStr">
        <is>
          <t>0</t>
        </is>
      </c>
      <c r="J713" t="b">
        <v>0</v>
      </c>
      <c r="K713" t="b">
        <v>0</v>
      </c>
      <c r="L713" t="n">
        <v>11</v>
      </c>
      <c r="M713" t="inlineStr">
        <is>
          <t>Values must be of type &lt;class 'str'&gt;</t>
        </is>
      </c>
      <c r="N713" t="inlineStr">
        <is>
          <t>00000000</t>
        </is>
      </c>
      <c r="O713" t="n">
        <v/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</row>
    <row r="714">
      <c r="A714" t="inlineStr">
        <is>
          <t>CashFlow Statement</t>
        </is>
      </c>
      <c r="B714" t="inlineStr">
        <is>
          <t>F59</t>
        </is>
      </c>
      <c r="C714" t="n">
        <v>59</v>
      </c>
      <c r="D714" t="n">
        <v>6</v>
      </c>
      <c r="E714" t="inlineStr">
        <is>
          <t>Input</t>
        </is>
      </c>
      <c r="F714" t="n">
        <v/>
      </c>
      <c r="H714" t="inlineStr"/>
      <c r="I714" t="inlineStr">
        <is>
          <t>0</t>
        </is>
      </c>
      <c r="J714" t="b">
        <v>0</v>
      </c>
      <c r="K714" t="b">
        <v>0</v>
      </c>
      <c r="L714" t="n">
        <v>11</v>
      </c>
      <c r="M714" t="inlineStr">
        <is>
          <t>Values must be of type &lt;class 'str'&gt;</t>
        </is>
      </c>
      <c r="N714" t="inlineStr">
        <is>
          <t>00000000</t>
        </is>
      </c>
      <c r="O714" t="n">
        <v/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</row>
    <row r="715">
      <c r="A715" t="inlineStr">
        <is>
          <t>CashFlow Statement</t>
        </is>
      </c>
      <c r="B715" t="inlineStr">
        <is>
          <t>G59</t>
        </is>
      </c>
      <c r="C715" t="n">
        <v>59</v>
      </c>
      <c r="D715" t="n">
        <v>7</v>
      </c>
      <c r="E715" t="inlineStr">
        <is>
          <t>Input</t>
        </is>
      </c>
      <c r="F715" t="n">
        <v/>
      </c>
      <c r="H715" t="inlineStr"/>
      <c r="I715" t="inlineStr">
        <is>
          <t>0</t>
        </is>
      </c>
      <c r="J715" t="b">
        <v>0</v>
      </c>
      <c r="K715" t="b">
        <v>0</v>
      </c>
      <c r="L715" t="n">
        <v>11</v>
      </c>
      <c r="M715" t="inlineStr">
        <is>
          <t>Values must be of type &lt;class 'str'&gt;</t>
        </is>
      </c>
      <c r="N715" t="inlineStr">
        <is>
          <t>00000000</t>
        </is>
      </c>
      <c r="O715" t="n">
        <v/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</row>
    <row r="716">
      <c r="A716" t="inlineStr">
        <is>
          <t>CashFlow Statement</t>
        </is>
      </c>
      <c r="B716" t="inlineStr">
        <is>
          <t>H59</t>
        </is>
      </c>
      <c r="C716" t="n">
        <v>59</v>
      </c>
      <c r="D716" t="n">
        <v>8</v>
      </c>
      <c r="E716" t="inlineStr">
        <is>
          <t>Input</t>
        </is>
      </c>
      <c r="F716" t="n">
        <v/>
      </c>
      <c r="H716" t="inlineStr"/>
      <c r="I716" t="inlineStr">
        <is>
          <t>0</t>
        </is>
      </c>
      <c r="J716" t="b">
        <v>0</v>
      </c>
      <c r="K716" t="b">
        <v>0</v>
      </c>
      <c r="L716" t="n">
        <v>11</v>
      </c>
      <c r="M716" t="inlineStr">
        <is>
          <t>Values must be of type &lt;class 'str'&gt;</t>
        </is>
      </c>
      <c r="N716" t="inlineStr">
        <is>
          <t>00000000</t>
        </is>
      </c>
      <c r="O716" t="n">
        <v/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</row>
    <row r="717">
      <c r="A717" t="inlineStr">
        <is>
          <t>CashFlow Statement</t>
        </is>
      </c>
      <c r="B717" t="inlineStr">
        <is>
          <t>I59</t>
        </is>
      </c>
      <c r="C717" t="n">
        <v>59</v>
      </c>
      <c r="D717" t="n">
        <v>9</v>
      </c>
      <c r="E717" t="inlineStr">
        <is>
          <t>Input</t>
        </is>
      </c>
      <c r="F717" t="n">
        <v/>
      </c>
      <c r="H717" t="inlineStr"/>
      <c r="I717" t="inlineStr">
        <is>
          <t>0</t>
        </is>
      </c>
      <c r="J717" t="b">
        <v>0</v>
      </c>
      <c r="K717" t="b">
        <v>0</v>
      </c>
      <c r="L717" t="n">
        <v>11</v>
      </c>
      <c r="M717" t="inlineStr">
        <is>
          <t>Values must be of type &lt;class 'str'&gt;</t>
        </is>
      </c>
      <c r="N717" t="inlineStr">
        <is>
          <t>00000000</t>
        </is>
      </c>
      <c r="O717" t="n">
        <v/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</row>
    <row r="718">
      <c r="A718" t="inlineStr">
        <is>
          <t>CashFlow Statement</t>
        </is>
      </c>
      <c r="B718" t="inlineStr">
        <is>
          <t>J59</t>
        </is>
      </c>
      <c r="C718" t="n">
        <v>59</v>
      </c>
      <c r="D718" t="n">
        <v>10</v>
      </c>
      <c r="E718" t="inlineStr">
        <is>
          <t>Input</t>
        </is>
      </c>
      <c r="F718" t="n">
        <v/>
      </c>
      <c r="H718" t="inlineStr"/>
      <c r="I718" t="inlineStr">
        <is>
          <t>0</t>
        </is>
      </c>
      <c r="J718" t="b">
        <v>0</v>
      </c>
      <c r="K718" t="b">
        <v>0</v>
      </c>
      <c r="L718" t="n">
        <v>11</v>
      </c>
      <c r="M718" t="inlineStr">
        <is>
          <t>Values must be of type &lt;class 'str'&gt;</t>
        </is>
      </c>
      <c r="N718" t="inlineStr">
        <is>
          <t>00000000</t>
        </is>
      </c>
      <c r="O718" t="n">
        <v/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</row>
    <row r="719">
      <c r="A719" t="inlineStr">
        <is>
          <t>CashFlow Statement</t>
        </is>
      </c>
      <c r="B719" t="inlineStr">
        <is>
          <t>K59</t>
        </is>
      </c>
      <c r="C719" t="n">
        <v>59</v>
      </c>
      <c r="D719" t="n">
        <v>11</v>
      </c>
      <c r="E719" t="inlineStr">
        <is>
          <t>Input</t>
        </is>
      </c>
      <c r="F719" t="n">
        <v/>
      </c>
      <c r="H719" t="inlineStr"/>
      <c r="I719" t="inlineStr">
        <is>
          <t>0</t>
        </is>
      </c>
      <c r="J719" t="b">
        <v>0</v>
      </c>
      <c r="K719" t="b">
        <v>0</v>
      </c>
      <c r="L719" t="n">
        <v>11</v>
      </c>
      <c r="M719" t="inlineStr">
        <is>
          <t>Values must be of type &lt;class 'str'&gt;</t>
        </is>
      </c>
      <c r="N719" t="inlineStr">
        <is>
          <t>00000000</t>
        </is>
      </c>
      <c r="O719" t="n">
        <v/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</row>
    <row r="720">
      <c r="A720" t="inlineStr">
        <is>
          <t>CashFlow Statement</t>
        </is>
      </c>
      <c r="B720" t="inlineStr">
        <is>
          <t>L59</t>
        </is>
      </c>
      <c r="C720" t="n">
        <v>59</v>
      </c>
      <c r="D720" t="n">
        <v>12</v>
      </c>
      <c r="E720" t="inlineStr">
        <is>
          <t>Input</t>
        </is>
      </c>
      <c r="F720" t="n">
        <v/>
      </c>
      <c r="H720" t="inlineStr"/>
      <c r="I720" t="inlineStr">
        <is>
          <t>0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00000000</t>
        </is>
      </c>
      <c r="O720" t="n">
        <v/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</row>
    <row r="721">
      <c r="A721" t="inlineStr">
        <is>
          <t>CashFlow Statement</t>
        </is>
      </c>
      <c r="B721" t="inlineStr">
        <is>
          <t>M59</t>
        </is>
      </c>
      <c r="C721" t="n">
        <v>59</v>
      </c>
      <c r="D721" t="n">
        <v>13</v>
      </c>
      <c r="E721" t="inlineStr">
        <is>
          <t>Input</t>
        </is>
      </c>
      <c r="F721" t="n">
        <v/>
      </c>
      <c r="H721" t="inlineStr"/>
      <c r="I721" t="inlineStr">
        <is>
          <t>0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00000000</t>
        </is>
      </c>
      <c r="O721" t="n">
        <v/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</row>
    <row r="722">
      <c r="A722" t="inlineStr">
        <is>
          <t>CashFlow Statement</t>
        </is>
      </c>
      <c r="B722" t="inlineStr">
        <is>
          <t>N59</t>
        </is>
      </c>
      <c r="C722" t="n">
        <v>59</v>
      </c>
      <c r="D722" t="n">
        <v>14</v>
      </c>
      <c r="E722" t="inlineStr">
        <is>
          <t>Input</t>
        </is>
      </c>
      <c r="F722" t="n">
        <v/>
      </c>
      <c r="H722" t="inlineStr"/>
      <c r="I722" t="inlineStr">
        <is>
          <t>0</t>
        </is>
      </c>
      <c r="J722" t="b">
        <v>0</v>
      </c>
      <c r="K722" t="b">
        <v>0</v>
      </c>
      <c r="L722" t="n">
        <v>11</v>
      </c>
      <c r="M722" t="inlineStr">
        <is>
          <t>Values must be of type &lt;class 'str'&gt;</t>
        </is>
      </c>
      <c r="N722" t="inlineStr">
        <is>
          <t>00000000</t>
        </is>
      </c>
      <c r="O722" t="n">
        <v/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</row>
    <row r="723">
      <c r="A723" t="inlineStr">
        <is>
          <t>CashFlow Statement</t>
        </is>
      </c>
      <c r="B723" t="inlineStr">
        <is>
          <t>O59</t>
        </is>
      </c>
      <c r="C723" t="n">
        <v>59</v>
      </c>
      <c r="D723" t="n">
        <v>15</v>
      </c>
      <c r="E723" t="inlineStr">
        <is>
          <t>Input</t>
        </is>
      </c>
      <c r="F723" t="n">
        <v/>
      </c>
      <c r="H723" t="inlineStr"/>
      <c r="I723" t="inlineStr">
        <is>
          <t>0</t>
        </is>
      </c>
      <c r="J723" t="b">
        <v>0</v>
      </c>
      <c r="K723" t="b">
        <v>0</v>
      </c>
      <c r="L723" t="n">
        <v>11</v>
      </c>
      <c r="M723" t="inlineStr">
        <is>
          <t>Values must be of type &lt;class 'str'&gt;</t>
        </is>
      </c>
      <c r="N723" t="inlineStr">
        <is>
          <t>00000000</t>
        </is>
      </c>
      <c r="O723" t="n">
        <v/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</row>
    <row r="724">
      <c r="A724" t="inlineStr">
        <is>
          <t>CashFlow Statement</t>
        </is>
      </c>
      <c r="B724" t="inlineStr">
        <is>
          <t>D60</t>
        </is>
      </c>
      <c r="C724" t="n">
        <v>60</v>
      </c>
      <c r="D724" t="n">
        <v>4</v>
      </c>
      <c r="E724" t="inlineStr">
        <is>
          <t>Input</t>
        </is>
      </c>
      <c r="F724" t="n">
        <v/>
      </c>
      <c r="H724" t="inlineStr"/>
      <c r="I724" t="inlineStr">
        <is>
          <t>0</t>
        </is>
      </c>
      <c r="J724" t="b">
        <v>0</v>
      </c>
      <c r="K724" t="b">
        <v>0</v>
      </c>
      <c r="L724" t="n">
        <v>11</v>
      </c>
      <c r="M724" t="inlineStr">
        <is>
          <t>Values must be of type &lt;class 'str'&gt;</t>
        </is>
      </c>
      <c r="N724" t="inlineStr">
        <is>
          <t>00000000</t>
        </is>
      </c>
      <c r="O724" t="n">
        <v/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</row>
    <row r="725">
      <c r="A725" t="inlineStr">
        <is>
          <t>CashFlow Statement</t>
        </is>
      </c>
      <c r="B725" t="inlineStr">
        <is>
          <t>E60</t>
        </is>
      </c>
      <c r="C725" t="n">
        <v>60</v>
      </c>
      <c r="D725" t="n">
        <v>5</v>
      </c>
      <c r="E725" t="inlineStr">
        <is>
          <t>Input</t>
        </is>
      </c>
      <c r="F725" t="n">
        <v/>
      </c>
      <c r="H725" t="inlineStr"/>
      <c r="I725" t="inlineStr">
        <is>
          <t>0</t>
        </is>
      </c>
      <c r="J725" t="b">
        <v>0</v>
      </c>
      <c r="K725" t="b">
        <v>0</v>
      </c>
      <c r="L725" t="n">
        <v>11</v>
      </c>
      <c r="M725" t="inlineStr">
        <is>
          <t>Values must be of type &lt;class 'str'&gt;</t>
        </is>
      </c>
      <c r="N725" t="inlineStr">
        <is>
          <t>00000000</t>
        </is>
      </c>
      <c r="O725" t="n">
        <v/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</row>
    <row r="726">
      <c r="A726" t="inlineStr">
        <is>
          <t>CashFlow Statement</t>
        </is>
      </c>
      <c r="B726" t="inlineStr">
        <is>
          <t>F60</t>
        </is>
      </c>
      <c r="C726" t="n">
        <v>60</v>
      </c>
      <c r="D726" t="n">
        <v>6</v>
      </c>
      <c r="E726" t="inlineStr">
        <is>
          <t>Input</t>
        </is>
      </c>
      <c r="F726" t="n">
        <v/>
      </c>
      <c r="H726" t="inlineStr"/>
      <c r="I726" t="inlineStr">
        <is>
          <t>0</t>
        </is>
      </c>
      <c r="J726" t="b">
        <v>0</v>
      </c>
      <c r="K726" t="b">
        <v>0</v>
      </c>
      <c r="L726" t="n">
        <v>11</v>
      </c>
      <c r="M726" t="inlineStr">
        <is>
          <t>Values must be of type &lt;class 'str'&gt;</t>
        </is>
      </c>
      <c r="N726" t="inlineStr">
        <is>
          <t>00000000</t>
        </is>
      </c>
      <c r="O726" t="n">
        <v/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</row>
    <row r="727">
      <c r="A727" t="inlineStr">
        <is>
          <t>CashFlow Statement</t>
        </is>
      </c>
      <c r="B727" t="inlineStr">
        <is>
          <t>G60</t>
        </is>
      </c>
      <c r="C727" t="n">
        <v>60</v>
      </c>
      <c r="D727" t="n">
        <v>7</v>
      </c>
      <c r="E727" t="inlineStr">
        <is>
          <t>Input</t>
        </is>
      </c>
      <c r="F727" t="n">
        <v/>
      </c>
      <c r="H727" t="inlineStr"/>
      <c r="I727" t="inlineStr">
        <is>
          <t>0</t>
        </is>
      </c>
      <c r="J727" t="b">
        <v>0</v>
      </c>
      <c r="K727" t="b">
        <v>0</v>
      </c>
      <c r="L727" t="n">
        <v>11</v>
      </c>
      <c r="M727" t="inlineStr">
        <is>
          <t>Values must be of type &lt;class 'str'&gt;</t>
        </is>
      </c>
      <c r="N727" t="inlineStr">
        <is>
          <t>00000000</t>
        </is>
      </c>
      <c r="O727" t="n">
        <v/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</row>
    <row r="728">
      <c r="A728" t="inlineStr">
        <is>
          <t>CashFlow Statement</t>
        </is>
      </c>
      <c r="B728" t="inlineStr">
        <is>
          <t>H60</t>
        </is>
      </c>
      <c r="C728" t="n">
        <v>60</v>
      </c>
      <c r="D728" t="n">
        <v>8</v>
      </c>
      <c r="E728" t="inlineStr">
        <is>
          <t>Input</t>
        </is>
      </c>
      <c r="F728" t="n">
        <v/>
      </c>
      <c r="H728" t="inlineStr"/>
      <c r="I728" t="inlineStr">
        <is>
          <t>0</t>
        </is>
      </c>
      <c r="J728" t="b">
        <v>0</v>
      </c>
      <c r="K728" t="b">
        <v>0</v>
      </c>
      <c r="L728" t="n">
        <v>11</v>
      </c>
      <c r="M728" t="inlineStr">
        <is>
          <t>Values must be of type &lt;class 'str'&gt;</t>
        </is>
      </c>
      <c r="N728" t="inlineStr">
        <is>
          <t>00000000</t>
        </is>
      </c>
      <c r="O728" t="n">
        <v/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</row>
    <row r="729">
      <c r="A729" t="inlineStr">
        <is>
          <t>CashFlow Statement</t>
        </is>
      </c>
      <c r="B729" t="inlineStr">
        <is>
          <t>I60</t>
        </is>
      </c>
      <c r="C729" t="n">
        <v>60</v>
      </c>
      <c r="D729" t="n">
        <v>9</v>
      </c>
      <c r="E729" t="inlineStr">
        <is>
          <t>Input</t>
        </is>
      </c>
      <c r="F729" t="n">
        <v/>
      </c>
      <c r="H729" t="inlineStr"/>
      <c r="I729" t="inlineStr">
        <is>
          <t>0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00000000</t>
        </is>
      </c>
      <c r="O729" t="n">
        <v/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</row>
    <row r="730">
      <c r="A730" t="inlineStr">
        <is>
          <t>CashFlow Statement</t>
        </is>
      </c>
      <c r="B730" t="inlineStr">
        <is>
          <t>J60</t>
        </is>
      </c>
      <c r="C730" t="n">
        <v>60</v>
      </c>
      <c r="D730" t="n">
        <v>10</v>
      </c>
      <c r="E730" t="inlineStr">
        <is>
          <t>Input</t>
        </is>
      </c>
      <c r="F730" t="n">
        <v/>
      </c>
      <c r="H730" t="inlineStr"/>
      <c r="I730" t="inlineStr">
        <is>
          <t>0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00000000</t>
        </is>
      </c>
      <c r="O730" t="n">
        <v/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</row>
    <row r="731">
      <c r="A731" t="inlineStr">
        <is>
          <t>CashFlow Statement</t>
        </is>
      </c>
      <c r="B731" t="inlineStr">
        <is>
          <t>K60</t>
        </is>
      </c>
      <c r="C731" t="n">
        <v>60</v>
      </c>
      <c r="D731" t="n">
        <v>11</v>
      </c>
      <c r="E731" t="inlineStr">
        <is>
          <t>Input</t>
        </is>
      </c>
      <c r="F731" t="n">
        <v/>
      </c>
      <c r="H731" t="inlineStr"/>
      <c r="I731" t="inlineStr">
        <is>
          <t>0</t>
        </is>
      </c>
      <c r="J731" t="b">
        <v>0</v>
      </c>
      <c r="K731" t="b">
        <v>0</v>
      </c>
      <c r="L731" t="n">
        <v>11</v>
      </c>
      <c r="M731" t="inlineStr">
        <is>
          <t>Values must be of type &lt;class 'str'&gt;</t>
        </is>
      </c>
      <c r="N731" t="inlineStr">
        <is>
          <t>00000000</t>
        </is>
      </c>
      <c r="O731" t="n">
        <v/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</row>
    <row r="732">
      <c r="A732" t="inlineStr">
        <is>
          <t>CashFlow Statement</t>
        </is>
      </c>
      <c r="B732" t="inlineStr">
        <is>
          <t>L60</t>
        </is>
      </c>
      <c r="C732" t="n">
        <v>60</v>
      </c>
      <c r="D732" t="n">
        <v>12</v>
      </c>
      <c r="E732" t="inlineStr">
        <is>
          <t>Input</t>
        </is>
      </c>
      <c r="F732" t="n">
        <v/>
      </c>
      <c r="H732" t="inlineStr"/>
      <c r="I732" t="inlineStr">
        <is>
          <t>0</t>
        </is>
      </c>
      <c r="J732" t="b">
        <v>0</v>
      </c>
      <c r="K732" t="b">
        <v>0</v>
      </c>
      <c r="L732" t="n">
        <v>11</v>
      </c>
      <c r="M732" t="inlineStr">
        <is>
          <t>Values must be of type &lt;class 'str'&gt;</t>
        </is>
      </c>
      <c r="N732" t="inlineStr">
        <is>
          <t>00000000</t>
        </is>
      </c>
      <c r="O732" t="n">
        <v/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</row>
    <row r="733">
      <c r="A733" t="inlineStr">
        <is>
          <t>CashFlow Statement</t>
        </is>
      </c>
      <c r="B733" t="inlineStr">
        <is>
          <t>M60</t>
        </is>
      </c>
      <c r="C733" t="n">
        <v>60</v>
      </c>
      <c r="D733" t="n">
        <v>13</v>
      </c>
      <c r="E733" t="inlineStr">
        <is>
          <t>Input</t>
        </is>
      </c>
      <c r="F733" t="n">
        <v/>
      </c>
      <c r="H733" t="inlineStr"/>
      <c r="I733" t="inlineStr">
        <is>
          <t>0</t>
        </is>
      </c>
      <c r="J733" t="b">
        <v>0</v>
      </c>
      <c r="K733" t="b">
        <v>0</v>
      </c>
      <c r="L733" t="n">
        <v>11</v>
      </c>
      <c r="M733" t="inlineStr">
        <is>
          <t>Values must be of type &lt;class 'str'&gt;</t>
        </is>
      </c>
      <c r="N733" t="inlineStr">
        <is>
          <t>00000000</t>
        </is>
      </c>
      <c r="O733" t="n">
        <v/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</row>
    <row r="734">
      <c r="A734" t="inlineStr">
        <is>
          <t>CashFlow Statement</t>
        </is>
      </c>
      <c r="B734" t="inlineStr">
        <is>
          <t>N60</t>
        </is>
      </c>
      <c r="C734" t="n">
        <v>60</v>
      </c>
      <c r="D734" t="n">
        <v>14</v>
      </c>
      <c r="E734" t="inlineStr">
        <is>
          <t>Input</t>
        </is>
      </c>
      <c r="F734" t="n">
        <v/>
      </c>
      <c r="H734" t="inlineStr"/>
      <c r="I734" t="inlineStr">
        <is>
          <t>0</t>
        </is>
      </c>
      <c r="J734" t="b">
        <v>0</v>
      </c>
      <c r="K734" t="b">
        <v>0</v>
      </c>
      <c r="L734" t="n">
        <v>11</v>
      </c>
      <c r="M734" t="inlineStr">
        <is>
          <t>Values must be of type &lt;class 'str'&gt;</t>
        </is>
      </c>
      <c r="N734" t="inlineStr">
        <is>
          <t>00000000</t>
        </is>
      </c>
      <c r="O734" t="n">
        <v/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</row>
    <row r="735">
      <c r="A735" t="inlineStr">
        <is>
          <t>CashFlow Statement</t>
        </is>
      </c>
      <c r="B735" t="inlineStr">
        <is>
          <t>O60</t>
        </is>
      </c>
      <c r="C735" t="n">
        <v>60</v>
      </c>
      <c r="D735" t="n">
        <v>15</v>
      </c>
      <c r="E735" t="inlineStr">
        <is>
          <t>Input</t>
        </is>
      </c>
      <c r="F735" t="n">
        <v/>
      </c>
      <c r="H735" t="inlineStr"/>
      <c r="I735" t="inlineStr">
        <is>
          <t>0</t>
        </is>
      </c>
      <c r="J735" t="b">
        <v>0</v>
      </c>
      <c r="K735" t="b">
        <v>0</v>
      </c>
      <c r="L735" t="n">
        <v>11</v>
      </c>
      <c r="M735" t="inlineStr">
        <is>
          <t>Values must be of type &lt;class 'str'&gt;</t>
        </is>
      </c>
      <c r="N735" t="inlineStr">
        <is>
          <t>00000000</t>
        </is>
      </c>
      <c r="O735" t="n">
        <v/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</row>
    <row r="736">
      <c r="A736" t="inlineStr">
        <is>
          <t>CashFlow Statement</t>
        </is>
      </c>
      <c r="B736" t="inlineStr">
        <is>
          <t>D61</t>
        </is>
      </c>
      <c r="C736" t="n">
        <v>61</v>
      </c>
      <c r="D736" t="n">
        <v>4</v>
      </c>
      <c r="E736" t="inlineStr">
        <is>
          <t>Input</t>
        </is>
      </c>
      <c r="F736" t="n">
        <v/>
      </c>
      <c r="H736" t="inlineStr"/>
      <c r="I736" t="inlineStr">
        <is>
          <t>0</t>
        </is>
      </c>
      <c r="J736" t="b">
        <v>0</v>
      </c>
      <c r="K736" t="b">
        <v>0</v>
      </c>
      <c r="L736" t="n">
        <v>11</v>
      </c>
      <c r="M736" t="inlineStr">
        <is>
          <t>Values must be of type &lt;class 'str'&gt;</t>
        </is>
      </c>
      <c r="N736" t="inlineStr">
        <is>
          <t>00000000</t>
        </is>
      </c>
      <c r="O736" t="n">
        <v/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</row>
    <row r="737">
      <c r="A737" t="inlineStr">
        <is>
          <t>CashFlow Statement</t>
        </is>
      </c>
      <c r="B737" t="inlineStr">
        <is>
          <t>E61</t>
        </is>
      </c>
      <c r="C737" t="n">
        <v>61</v>
      </c>
      <c r="D737" t="n">
        <v>5</v>
      </c>
      <c r="E737" t="inlineStr">
        <is>
          <t>Input</t>
        </is>
      </c>
      <c r="F737" t="n">
        <v/>
      </c>
      <c r="H737" t="inlineStr"/>
      <c r="I737" t="inlineStr">
        <is>
          <t>0</t>
        </is>
      </c>
      <c r="J737" t="b">
        <v>0</v>
      </c>
      <c r="K737" t="b">
        <v>0</v>
      </c>
      <c r="L737" t="n">
        <v>11</v>
      </c>
      <c r="M737" t="inlineStr">
        <is>
          <t>Values must be of type &lt;class 'str'&gt;</t>
        </is>
      </c>
      <c r="N737" t="inlineStr">
        <is>
          <t>00000000</t>
        </is>
      </c>
      <c r="O737" t="n">
        <v/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</row>
    <row r="738">
      <c r="A738" t="inlineStr">
        <is>
          <t>CashFlow Statement</t>
        </is>
      </c>
      <c r="B738" t="inlineStr">
        <is>
          <t>F61</t>
        </is>
      </c>
      <c r="C738" t="n">
        <v>61</v>
      </c>
      <c r="D738" t="n">
        <v>6</v>
      </c>
      <c r="E738" t="inlineStr">
        <is>
          <t>Input</t>
        </is>
      </c>
      <c r="F738" t="n">
        <v/>
      </c>
      <c r="H738" t="inlineStr"/>
      <c r="I738" t="inlineStr">
        <is>
          <t>0</t>
        </is>
      </c>
      <c r="J738" t="b">
        <v>0</v>
      </c>
      <c r="K738" t="b">
        <v>0</v>
      </c>
      <c r="L738" t="n">
        <v>11</v>
      </c>
      <c r="M738" t="inlineStr">
        <is>
          <t>Values must be of type &lt;class 'str'&gt;</t>
        </is>
      </c>
      <c r="N738" t="inlineStr">
        <is>
          <t>00000000</t>
        </is>
      </c>
      <c r="O738" t="n">
        <v/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</row>
    <row r="739">
      <c r="A739" t="inlineStr">
        <is>
          <t>CashFlow Statement</t>
        </is>
      </c>
      <c r="B739" t="inlineStr">
        <is>
          <t>G61</t>
        </is>
      </c>
      <c r="C739" t="n">
        <v>61</v>
      </c>
      <c r="D739" t="n">
        <v>7</v>
      </c>
      <c r="E739" t="inlineStr">
        <is>
          <t>Input</t>
        </is>
      </c>
      <c r="F739" t="n">
        <v/>
      </c>
      <c r="H739" t="inlineStr"/>
      <c r="I739" t="inlineStr">
        <is>
          <t>0</t>
        </is>
      </c>
      <c r="J739" t="b">
        <v>0</v>
      </c>
      <c r="K739" t="b">
        <v>0</v>
      </c>
      <c r="L739" t="n">
        <v>11</v>
      </c>
      <c r="M739" t="inlineStr">
        <is>
          <t>Values must be of type &lt;class 'str'&gt;</t>
        </is>
      </c>
      <c r="N739" t="inlineStr">
        <is>
          <t>00000000</t>
        </is>
      </c>
      <c r="O739" t="n">
        <v/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</row>
    <row r="740">
      <c r="A740" t="inlineStr">
        <is>
          <t>CashFlow Statement</t>
        </is>
      </c>
      <c r="B740" t="inlineStr">
        <is>
          <t>H61</t>
        </is>
      </c>
      <c r="C740" t="n">
        <v>61</v>
      </c>
      <c r="D740" t="n">
        <v>8</v>
      </c>
      <c r="E740" t="inlineStr">
        <is>
          <t>Input</t>
        </is>
      </c>
      <c r="F740" t="n">
        <v/>
      </c>
      <c r="H740" t="inlineStr"/>
      <c r="I740" t="inlineStr">
        <is>
          <t>0</t>
        </is>
      </c>
      <c r="J740" t="b">
        <v>0</v>
      </c>
      <c r="K740" t="b">
        <v>0</v>
      </c>
      <c r="L740" t="n">
        <v>11</v>
      </c>
      <c r="M740" t="inlineStr">
        <is>
          <t>Values must be of type &lt;class 'str'&gt;</t>
        </is>
      </c>
      <c r="N740" t="inlineStr">
        <is>
          <t>00000000</t>
        </is>
      </c>
      <c r="O740" t="n">
        <v/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</row>
    <row r="741">
      <c r="A741" t="inlineStr">
        <is>
          <t>CashFlow Statement</t>
        </is>
      </c>
      <c r="B741" t="inlineStr">
        <is>
          <t>I61</t>
        </is>
      </c>
      <c r="C741" t="n">
        <v>61</v>
      </c>
      <c r="D741" t="n">
        <v>9</v>
      </c>
      <c r="E741" t="inlineStr">
        <is>
          <t>Input</t>
        </is>
      </c>
      <c r="F741" t="n">
        <v/>
      </c>
      <c r="H741" t="inlineStr"/>
      <c r="I741" t="inlineStr">
        <is>
          <t>0</t>
        </is>
      </c>
      <c r="J741" t="b">
        <v>0</v>
      </c>
      <c r="K741" t="b">
        <v>0</v>
      </c>
      <c r="L741" t="n">
        <v>11</v>
      </c>
      <c r="M741" t="inlineStr">
        <is>
          <t>Values must be of type &lt;class 'str'&gt;</t>
        </is>
      </c>
      <c r="N741" t="inlineStr">
        <is>
          <t>00000000</t>
        </is>
      </c>
      <c r="O741" t="n">
        <v/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</row>
    <row r="742">
      <c r="A742" t="inlineStr">
        <is>
          <t>CashFlow Statement</t>
        </is>
      </c>
      <c r="B742" t="inlineStr">
        <is>
          <t>J61</t>
        </is>
      </c>
      <c r="C742" t="n">
        <v>61</v>
      </c>
      <c r="D742" t="n">
        <v>10</v>
      </c>
      <c r="E742" t="inlineStr">
        <is>
          <t>Input</t>
        </is>
      </c>
      <c r="F742" t="n">
        <v/>
      </c>
      <c r="H742" t="inlineStr"/>
      <c r="I742" t="inlineStr">
        <is>
          <t>0</t>
        </is>
      </c>
      <c r="J742" t="b">
        <v>0</v>
      </c>
      <c r="K742" t="b">
        <v>0</v>
      </c>
      <c r="L742" t="n">
        <v>11</v>
      </c>
      <c r="M742" t="inlineStr">
        <is>
          <t>Values must be of type &lt;class 'str'&gt;</t>
        </is>
      </c>
      <c r="N742" t="inlineStr">
        <is>
          <t>00000000</t>
        </is>
      </c>
      <c r="O742" t="n">
        <v/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</row>
    <row r="743">
      <c r="A743" t="inlineStr">
        <is>
          <t>CashFlow Statement</t>
        </is>
      </c>
      <c r="B743" t="inlineStr">
        <is>
          <t>K61</t>
        </is>
      </c>
      <c r="C743" t="n">
        <v>61</v>
      </c>
      <c r="D743" t="n">
        <v>11</v>
      </c>
      <c r="E743" t="inlineStr">
        <is>
          <t>Input</t>
        </is>
      </c>
      <c r="F743" t="n">
        <v/>
      </c>
      <c r="H743" t="inlineStr"/>
      <c r="I743" t="inlineStr">
        <is>
          <t>0</t>
        </is>
      </c>
      <c r="J743" t="b">
        <v>0</v>
      </c>
      <c r="K743" t="b">
        <v>0</v>
      </c>
      <c r="L743" t="n">
        <v>11</v>
      </c>
      <c r="M743" t="inlineStr">
        <is>
          <t>Values must be of type &lt;class 'str'&gt;</t>
        </is>
      </c>
      <c r="N743" t="inlineStr">
        <is>
          <t>00000000</t>
        </is>
      </c>
      <c r="O743" t="n">
        <v/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</row>
    <row r="744">
      <c r="A744" t="inlineStr">
        <is>
          <t>CashFlow Statement</t>
        </is>
      </c>
      <c r="B744" t="inlineStr">
        <is>
          <t>L61</t>
        </is>
      </c>
      <c r="C744" t="n">
        <v>61</v>
      </c>
      <c r="D744" t="n">
        <v>12</v>
      </c>
      <c r="E744" t="inlineStr">
        <is>
          <t>Input</t>
        </is>
      </c>
      <c r="F744" t="n">
        <v/>
      </c>
      <c r="H744" t="inlineStr"/>
      <c r="I744" t="inlineStr">
        <is>
          <t>0</t>
        </is>
      </c>
      <c r="J744" t="b">
        <v>0</v>
      </c>
      <c r="K744" t="b">
        <v>0</v>
      </c>
      <c r="L744" t="n">
        <v>11</v>
      </c>
      <c r="M744" t="inlineStr">
        <is>
          <t>Values must be of type &lt;class 'str'&gt;</t>
        </is>
      </c>
      <c r="N744" t="inlineStr">
        <is>
          <t>00000000</t>
        </is>
      </c>
      <c r="O744" t="n">
        <v/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</row>
    <row r="745">
      <c r="A745" t="inlineStr">
        <is>
          <t>CashFlow Statement</t>
        </is>
      </c>
      <c r="B745" t="inlineStr">
        <is>
          <t>M61</t>
        </is>
      </c>
      <c r="C745" t="n">
        <v>61</v>
      </c>
      <c r="D745" t="n">
        <v>13</v>
      </c>
      <c r="E745" t="inlineStr">
        <is>
          <t>Input</t>
        </is>
      </c>
      <c r="F745" t="n">
        <v/>
      </c>
      <c r="H745" t="inlineStr"/>
      <c r="I745" t="inlineStr">
        <is>
          <t>0</t>
        </is>
      </c>
      <c r="J745" t="b">
        <v>0</v>
      </c>
      <c r="K745" t="b">
        <v>0</v>
      </c>
      <c r="L745" t="n">
        <v>11</v>
      </c>
      <c r="M745" t="inlineStr">
        <is>
          <t>Values must be of type &lt;class 'str'&gt;</t>
        </is>
      </c>
      <c r="N745" t="inlineStr">
        <is>
          <t>00000000</t>
        </is>
      </c>
      <c r="O745" t="n">
        <v/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</row>
    <row r="746">
      <c r="A746" t="inlineStr">
        <is>
          <t>CashFlow Statement</t>
        </is>
      </c>
      <c r="B746" t="inlineStr">
        <is>
          <t>N61</t>
        </is>
      </c>
      <c r="C746" t="n">
        <v>61</v>
      </c>
      <c r="D746" t="n">
        <v>14</v>
      </c>
      <c r="E746" t="inlineStr">
        <is>
          <t>Input</t>
        </is>
      </c>
      <c r="F746" t="n">
        <v/>
      </c>
      <c r="H746" t="inlineStr"/>
      <c r="I746" t="inlineStr">
        <is>
          <t>0</t>
        </is>
      </c>
      <c r="J746" t="b">
        <v>0</v>
      </c>
      <c r="K746" t="b">
        <v>0</v>
      </c>
      <c r="L746" t="n">
        <v>11</v>
      </c>
      <c r="M746" t="inlineStr">
        <is>
          <t>Values must be of type &lt;class 'str'&gt;</t>
        </is>
      </c>
      <c r="N746" t="inlineStr">
        <is>
          <t>00000000</t>
        </is>
      </c>
      <c r="O746" t="n">
        <v/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</row>
    <row r="747">
      <c r="A747" t="inlineStr">
        <is>
          <t>CashFlow Statement</t>
        </is>
      </c>
      <c r="B747" t="inlineStr">
        <is>
          <t>O61</t>
        </is>
      </c>
      <c r="C747" t="n">
        <v>61</v>
      </c>
      <c r="D747" t="n">
        <v>15</v>
      </c>
      <c r="E747" t="inlineStr">
        <is>
          <t>Input</t>
        </is>
      </c>
      <c r="F747" t="n">
        <v/>
      </c>
      <c r="H747" t="inlineStr"/>
      <c r="I747" t="inlineStr">
        <is>
          <t>0</t>
        </is>
      </c>
      <c r="J747" t="b">
        <v>0</v>
      </c>
      <c r="K747" t="b">
        <v>0</v>
      </c>
      <c r="L747" t="n">
        <v>11</v>
      </c>
      <c r="M747" t="inlineStr">
        <is>
          <t>Values must be of type &lt;class 'str'&gt;</t>
        </is>
      </c>
      <c r="N747" t="inlineStr">
        <is>
          <t>00000000</t>
        </is>
      </c>
      <c r="O747" t="n">
        <v/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</row>
    <row r="748">
      <c r="A748" t="inlineStr">
        <is>
          <t>CashFlow Statement</t>
        </is>
      </c>
      <c r="B748" t="inlineStr">
        <is>
          <t>D62</t>
        </is>
      </c>
      <c r="C748" t="n">
        <v>62</v>
      </c>
      <c r="D748" t="n">
        <v>4</v>
      </c>
      <c r="E748" t="inlineStr">
        <is>
          <t>Input</t>
        </is>
      </c>
      <c r="F748" t="n">
        <v/>
      </c>
      <c r="H748" t="inlineStr"/>
      <c r="I748" t="inlineStr">
        <is>
          <t>0</t>
        </is>
      </c>
      <c r="J748" t="b">
        <v>0</v>
      </c>
      <c r="K748" t="b">
        <v>0</v>
      </c>
      <c r="L748" t="n">
        <v>11</v>
      </c>
      <c r="M748" t="inlineStr">
        <is>
          <t>Values must be of type &lt;class 'str'&gt;</t>
        </is>
      </c>
      <c r="N748" t="inlineStr">
        <is>
          <t>00000000</t>
        </is>
      </c>
      <c r="O748" t="n">
        <v/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</row>
    <row r="749">
      <c r="A749" t="inlineStr">
        <is>
          <t>CashFlow Statement</t>
        </is>
      </c>
      <c r="B749" t="inlineStr">
        <is>
          <t>E62</t>
        </is>
      </c>
      <c r="C749" t="n">
        <v>62</v>
      </c>
      <c r="D749" t="n">
        <v>5</v>
      </c>
      <c r="E749" t="inlineStr">
        <is>
          <t>Input</t>
        </is>
      </c>
      <c r="F749" t="n">
        <v/>
      </c>
      <c r="H749" t="inlineStr"/>
      <c r="I749" t="inlineStr">
        <is>
          <t>0</t>
        </is>
      </c>
      <c r="J749" t="b">
        <v>0</v>
      </c>
      <c r="K749" t="b">
        <v>0</v>
      </c>
      <c r="L749" t="n">
        <v>11</v>
      </c>
      <c r="M749" t="inlineStr">
        <is>
          <t>Values must be of type &lt;class 'str'&gt;</t>
        </is>
      </c>
      <c r="N749" t="inlineStr">
        <is>
          <t>00000000</t>
        </is>
      </c>
      <c r="O749" t="n">
        <v/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</row>
    <row r="750">
      <c r="A750" t="inlineStr">
        <is>
          <t>CashFlow Statement</t>
        </is>
      </c>
      <c r="B750" t="inlineStr">
        <is>
          <t>F62</t>
        </is>
      </c>
      <c r="C750" t="n">
        <v>62</v>
      </c>
      <c r="D750" t="n">
        <v>6</v>
      </c>
      <c r="E750" t="inlineStr">
        <is>
          <t>Input</t>
        </is>
      </c>
      <c r="F750" t="n">
        <v/>
      </c>
      <c r="H750" t="inlineStr"/>
      <c r="I750" t="inlineStr">
        <is>
          <t>0</t>
        </is>
      </c>
      <c r="J750" t="b">
        <v>0</v>
      </c>
      <c r="K750" t="b">
        <v>0</v>
      </c>
      <c r="L750" t="n">
        <v>11</v>
      </c>
      <c r="M750" t="inlineStr">
        <is>
          <t>Values must be of type &lt;class 'str'&gt;</t>
        </is>
      </c>
      <c r="N750" t="inlineStr">
        <is>
          <t>00000000</t>
        </is>
      </c>
      <c r="O750" t="n">
        <v/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</row>
    <row r="751">
      <c r="A751" t="inlineStr">
        <is>
          <t>CashFlow Statement</t>
        </is>
      </c>
      <c r="B751" t="inlineStr">
        <is>
          <t>G62</t>
        </is>
      </c>
      <c r="C751" t="n">
        <v>62</v>
      </c>
      <c r="D751" t="n">
        <v>7</v>
      </c>
      <c r="E751" t="inlineStr">
        <is>
          <t>Input</t>
        </is>
      </c>
      <c r="F751" t="n">
        <v/>
      </c>
      <c r="H751" t="inlineStr"/>
      <c r="I751" t="inlineStr">
        <is>
          <t>0</t>
        </is>
      </c>
      <c r="J751" t="b">
        <v>0</v>
      </c>
      <c r="K751" t="b">
        <v>0</v>
      </c>
      <c r="L751" t="n">
        <v>11</v>
      </c>
      <c r="M751" t="inlineStr">
        <is>
          <t>Values must be of type &lt;class 'str'&gt;</t>
        </is>
      </c>
      <c r="N751" t="inlineStr">
        <is>
          <t>00000000</t>
        </is>
      </c>
      <c r="O751" t="n">
        <v/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</row>
    <row r="752">
      <c r="A752" t="inlineStr">
        <is>
          <t>CashFlow Statement</t>
        </is>
      </c>
      <c r="B752" t="inlineStr">
        <is>
          <t>H62</t>
        </is>
      </c>
      <c r="C752" t="n">
        <v>62</v>
      </c>
      <c r="D752" t="n">
        <v>8</v>
      </c>
      <c r="E752" t="inlineStr">
        <is>
          <t>Input</t>
        </is>
      </c>
      <c r="F752" t="n">
        <v/>
      </c>
      <c r="H752" t="inlineStr"/>
      <c r="I752" t="inlineStr">
        <is>
          <t>0</t>
        </is>
      </c>
      <c r="J752" t="b">
        <v>0</v>
      </c>
      <c r="K752" t="b">
        <v>0</v>
      </c>
      <c r="L752" t="n">
        <v>11</v>
      </c>
      <c r="M752" t="inlineStr">
        <is>
          <t>Values must be of type &lt;class 'str'&gt;</t>
        </is>
      </c>
      <c r="N752" t="inlineStr">
        <is>
          <t>00000000</t>
        </is>
      </c>
      <c r="O752" t="n">
        <v/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</row>
    <row r="753">
      <c r="A753" t="inlineStr">
        <is>
          <t>CashFlow Statement</t>
        </is>
      </c>
      <c r="B753" t="inlineStr">
        <is>
          <t>I62</t>
        </is>
      </c>
      <c r="C753" t="n">
        <v>62</v>
      </c>
      <c r="D753" t="n">
        <v>9</v>
      </c>
      <c r="E753" t="inlineStr">
        <is>
          <t>Input</t>
        </is>
      </c>
      <c r="F753" t="n">
        <v/>
      </c>
      <c r="H753" t="inlineStr"/>
      <c r="I753" t="inlineStr">
        <is>
          <t>0</t>
        </is>
      </c>
      <c r="J753" t="b">
        <v>0</v>
      </c>
      <c r="K753" t="b">
        <v>0</v>
      </c>
      <c r="L753" t="n">
        <v>11</v>
      </c>
      <c r="M753" t="inlineStr">
        <is>
          <t>Values must be of type &lt;class 'str'&gt;</t>
        </is>
      </c>
      <c r="N753" t="inlineStr">
        <is>
          <t>00000000</t>
        </is>
      </c>
      <c r="O753" t="n">
        <v/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</row>
    <row r="754">
      <c r="A754" t="inlineStr">
        <is>
          <t>CashFlow Statement</t>
        </is>
      </c>
      <c r="B754" t="inlineStr">
        <is>
          <t>J62</t>
        </is>
      </c>
      <c r="C754" t="n">
        <v>62</v>
      </c>
      <c r="D754" t="n">
        <v>10</v>
      </c>
      <c r="E754" t="inlineStr">
        <is>
          <t>Input</t>
        </is>
      </c>
      <c r="F754" t="n">
        <v/>
      </c>
      <c r="H754" t="inlineStr"/>
      <c r="I754" t="inlineStr">
        <is>
          <t>0</t>
        </is>
      </c>
      <c r="J754" t="b">
        <v>0</v>
      </c>
      <c r="K754" t="b">
        <v>0</v>
      </c>
      <c r="L754" t="n">
        <v>11</v>
      </c>
      <c r="M754" t="inlineStr">
        <is>
          <t>Values must be of type &lt;class 'str'&gt;</t>
        </is>
      </c>
      <c r="N754" t="inlineStr">
        <is>
          <t>00000000</t>
        </is>
      </c>
      <c r="O754" t="n">
        <v/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</row>
    <row r="755">
      <c r="A755" t="inlineStr">
        <is>
          <t>CashFlow Statement</t>
        </is>
      </c>
      <c r="B755" t="inlineStr">
        <is>
          <t>K62</t>
        </is>
      </c>
      <c r="C755" t="n">
        <v>62</v>
      </c>
      <c r="D755" t="n">
        <v>11</v>
      </c>
      <c r="E755" t="inlineStr">
        <is>
          <t>Input</t>
        </is>
      </c>
      <c r="F755" t="n">
        <v/>
      </c>
      <c r="H755" t="inlineStr"/>
      <c r="I755" t="inlineStr">
        <is>
          <t>0</t>
        </is>
      </c>
      <c r="J755" t="b">
        <v>0</v>
      </c>
      <c r="K755" t="b">
        <v>0</v>
      </c>
      <c r="L755" t="n">
        <v>11</v>
      </c>
      <c r="M755" t="inlineStr">
        <is>
          <t>Values must be of type &lt;class 'str'&gt;</t>
        </is>
      </c>
      <c r="N755" t="inlineStr">
        <is>
          <t>00000000</t>
        </is>
      </c>
      <c r="O755" t="n">
        <v/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</row>
    <row r="756">
      <c r="A756" t="inlineStr">
        <is>
          <t>CashFlow Statement</t>
        </is>
      </c>
      <c r="B756" t="inlineStr">
        <is>
          <t>L62</t>
        </is>
      </c>
      <c r="C756" t="n">
        <v>62</v>
      </c>
      <c r="D756" t="n">
        <v>12</v>
      </c>
      <c r="E756" t="inlineStr">
        <is>
          <t>Input</t>
        </is>
      </c>
      <c r="F756" t="n">
        <v/>
      </c>
      <c r="H756" t="inlineStr"/>
      <c r="I756" t="inlineStr">
        <is>
          <t>0</t>
        </is>
      </c>
      <c r="J756" t="b">
        <v>0</v>
      </c>
      <c r="K756" t="b">
        <v>0</v>
      </c>
      <c r="L756" t="n">
        <v>11</v>
      </c>
      <c r="M756" t="inlineStr">
        <is>
          <t>Values must be of type &lt;class 'str'&gt;</t>
        </is>
      </c>
      <c r="N756" t="inlineStr">
        <is>
          <t>00000000</t>
        </is>
      </c>
      <c r="O756" t="n">
        <v/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</row>
    <row r="757">
      <c r="A757" t="inlineStr">
        <is>
          <t>CashFlow Statement</t>
        </is>
      </c>
      <c r="B757" t="inlineStr">
        <is>
          <t>M62</t>
        </is>
      </c>
      <c r="C757" t="n">
        <v>62</v>
      </c>
      <c r="D757" t="n">
        <v>13</v>
      </c>
      <c r="E757" t="inlineStr">
        <is>
          <t>Input</t>
        </is>
      </c>
      <c r="F757" t="n">
        <v/>
      </c>
      <c r="H757" t="inlineStr"/>
      <c r="I757" t="inlineStr">
        <is>
          <t>0</t>
        </is>
      </c>
      <c r="J757" t="b">
        <v>0</v>
      </c>
      <c r="K757" t="b">
        <v>0</v>
      </c>
      <c r="L757" t="n">
        <v>11</v>
      </c>
      <c r="M757" t="inlineStr">
        <is>
          <t>Values must be of type &lt;class 'str'&gt;</t>
        </is>
      </c>
      <c r="N757" t="inlineStr">
        <is>
          <t>00000000</t>
        </is>
      </c>
      <c r="O757" t="n">
        <v/>
      </c>
      <c r="R757" t="b">
        <v>0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</row>
    <row r="758">
      <c r="A758" t="inlineStr">
        <is>
          <t>CashFlow Statement</t>
        </is>
      </c>
      <c r="B758" t="inlineStr">
        <is>
          <t>N62</t>
        </is>
      </c>
      <c r="C758" t="n">
        <v>62</v>
      </c>
      <c r="D758" t="n">
        <v>14</v>
      </c>
      <c r="E758" t="inlineStr">
        <is>
          <t>Input</t>
        </is>
      </c>
      <c r="F758" t="n">
        <v/>
      </c>
      <c r="H758" t="inlineStr"/>
      <c r="I758" t="inlineStr">
        <is>
          <t>0</t>
        </is>
      </c>
      <c r="J758" t="b">
        <v>0</v>
      </c>
      <c r="K758" t="b">
        <v>0</v>
      </c>
      <c r="L758" t="n">
        <v>11</v>
      </c>
      <c r="M758" t="inlineStr">
        <is>
          <t>Values must be of type &lt;class 'str'&gt;</t>
        </is>
      </c>
      <c r="N758" t="inlineStr">
        <is>
          <t>00000000</t>
        </is>
      </c>
      <c r="O758" t="n">
        <v/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</row>
    <row r="759">
      <c r="A759" t="inlineStr">
        <is>
          <t>CashFlow Statement</t>
        </is>
      </c>
      <c r="B759" t="inlineStr">
        <is>
          <t>O62</t>
        </is>
      </c>
      <c r="C759" t="n">
        <v>62</v>
      </c>
      <c r="D759" t="n">
        <v>15</v>
      </c>
      <c r="E759" t="inlineStr">
        <is>
          <t>Input</t>
        </is>
      </c>
      <c r="F759" t="n">
        <v/>
      </c>
      <c r="H759" t="inlineStr"/>
      <c r="I759" t="inlineStr">
        <is>
          <t>0</t>
        </is>
      </c>
      <c r="J759" t="b">
        <v>0</v>
      </c>
      <c r="K759" t="b">
        <v>0</v>
      </c>
      <c r="L759" t="n">
        <v>11</v>
      </c>
      <c r="M759" t="inlineStr">
        <is>
          <t>Values must be of type &lt;class 'str'&gt;</t>
        </is>
      </c>
      <c r="N759" t="inlineStr">
        <is>
          <t>00000000</t>
        </is>
      </c>
      <c r="O759" t="n">
        <v/>
      </c>
      <c r="R759" t="b">
        <v>0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</row>
    <row r="760">
      <c r="A760" t="inlineStr">
        <is>
          <t>CashFlow Statement</t>
        </is>
      </c>
      <c r="B760" t="inlineStr">
        <is>
          <t>D63</t>
        </is>
      </c>
      <c r="C760" t="n">
        <v>63</v>
      </c>
      <c r="D760" t="n">
        <v>4</v>
      </c>
      <c r="E760" t="inlineStr">
        <is>
          <t>Input</t>
        </is>
      </c>
      <c r="F760" t="n">
        <v/>
      </c>
      <c r="H760" t="inlineStr"/>
      <c r="I760" t="inlineStr">
        <is>
          <t>0</t>
        </is>
      </c>
      <c r="J760" t="b">
        <v>0</v>
      </c>
      <c r="K760" t="b">
        <v>0</v>
      </c>
      <c r="L760" t="n">
        <v>11</v>
      </c>
      <c r="M760" t="inlineStr">
        <is>
          <t>Values must be of type &lt;class 'str'&gt;</t>
        </is>
      </c>
      <c r="N760" t="inlineStr">
        <is>
          <t>00000000</t>
        </is>
      </c>
      <c r="O760" t="n">
        <v/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</row>
    <row r="761">
      <c r="A761" t="inlineStr">
        <is>
          <t>CashFlow Statement</t>
        </is>
      </c>
      <c r="B761" t="inlineStr">
        <is>
          <t>E63</t>
        </is>
      </c>
      <c r="C761" t="n">
        <v>63</v>
      </c>
      <c r="D761" t="n">
        <v>5</v>
      </c>
      <c r="E761" t="inlineStr">
        <is>
          <t>Input</t>
        </is>
      </c>
      <c r="F761" t="n">
        <v/>
      </c>
      <c r="H761" t="inlineStr"/>
      <c r="I761" t="inlineStr">
        <is>
          <t>0</t>
        </is>
      </c>
      <c r="J761" t="b">
        <v>0</v>
      </c>
      <c r="K761" t="b">
        <v>0</v>
      </c>
      <c r="L761" t="n">
        <v>11</v>
      </c>
      <c r="M761" t="inlineStr">
        <is>
          <t>Values must be of type &lt;class 'str'&gt;</t>
        </is>
      </c>
      <c r="N761" t="inlineStr">
        <is>
          <t>00000000</t>
        </is>
      </c>
      <c r="O761" t="n">
        <v/>
      </c>
      <c r="R761" t="b">
        <v>0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</row>
    <row r="762">
      <c r="A762" t="inlineStr">
        <is>
          <t>CashFlow Statement</t>
        </is>
      </c>
      <c r="B762" t="inlineStr">
        <is>
          <t>F63</t>
        </is>
      </c>
      <c r="C762" t="n">
        <v>63</v>
      </c>
      <c r="D762" t="n">
        <v>6</v>
      </c>
      <c r="E762" t="inlineStr">
        <is>
          <t>Input</t>
        </is>
      </c>
      <c r="F762" t="n">
        <v/>
      </c>
      <c r="H762" t="inlineStr"/>
      <c r="I762" t="inlineStr">
        <is>
          <t>0</t>
        </is>
      </c>
      <c r="J762" t="b">
        <v>0</v>
      </c>
      <c r="K762" t="b">
        <v>0</v>
      </c>
      <c r="L762" t="n">
        <v>11</v>
      </c>
      <c r="M762" t="inlineStr">
        <is>
          <t>Values must be of type &lt;class 'str'&gt;</t>
        </is>
      </c>
      <c r="N762" t="inlineStr">
        <is>
          <t>00000000</t>
        </is>
      </c>
      <c r="O762" t="n">
        <v/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</row>
    <row r="763">
      <c r="A763" t="inlineStr">
        <is>
          <t>CashFlow Statement</t>
        </is>
      </c>
      <c r="B763" t="inlineStr">
        <is>
          <t>G63</t>
        </is>
      </c>
      <c r="C763" t="n">
        <v>63</v>
      </c>
      <c r="D763" t="n">
        <v>7</v>
      </c>
      <c r="E763" t="inlineStr">
        <is>
          <t>Input</t>
        </is>
      </c>
      <c r="F763" t="n">
        <v/>
      </c>
      <c r="H763" t="inlineStr"/>
      <c r="I763" t="inlineStr">
        <is>
          <t>0</t>
        </is>
      </c>
      <c r="J763" t="b">
        <v>0</v>
      </c>
      <c r="K763" t="b">
        <v>0</v>
      </c>
      <c r="L763" t="n">
        <v>11</v>
      </c>
      <c r="M763" t="inlineStr">
        <is>
          <t>Values must be of type &lt;class 'str'&gt;</t>
        </is>
      </c>
      <c r="N763" t="inlineStr">
        <is>
          <t>00000000</t>
        </is>
      </c>
      <c r="O763" t="n">
        <v/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</row>
    <row r="764">
      <c r="A764" t="inlineStr">
        <is>
          <t>CashFlow Statement</t>
        </is>
      </c>
      <c r="B764" t="inlineStr">
        <is>
          <t>H63</t>
        </is>
      </c>
      <c r="C764" t="n">
        <v>63</v>
      </c>
      <c r="D764" t="n">
        <v>8</v>
      </c>
      <c r="E764" t="inlineStr">
        <is>
          <t>Input</t>
        </is>
      </c>
      <c r="F764" t="n">
        <v/>
      </c>
      <c r="H764" t="inlineStr"/>
      <c r="I764" t="inlineStr">
        <is>
          <t>0</t>
        </is>
      </c>
      <c r="J764" t="b">
        <v>0</v>
      </c>
      <c r="K764" t="b">
        <v>0</v>
      </c>
      <c r="L764" t="n">
        <v>11</v>
      </c>
      <c r="M764" t="inlineStr">
        <is>
          <t>Values must be of type &lt;class 'str'&gt;</t>
        </is>
      </c>
      <c r="N764" t="inlineStr">
        <is>
          <t>00000000</t>
        </is>
      </c>
      <c r="O764" t="n">
        <v/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</row>
    <row r="765">
      <c r="A765" t="inlineStr">
        <is>
          <t>CashFlow Statement</t>
        </is>
      </c>
      <c r="B765" t="inlineStr">
        <is>
          <t>I63</t>
        </is>
      </c>
      <c r="C765" t="n">
        <v>63</v>
      </c>
      <c r="D765" t="n">
        <v>9</v>
      </c>
      <c r="E765" t="inlineStr">
        <is>
          <t>Input</t>
        </is>
      </c>
      <c r="F765" t="n">
        <v/>
      </c>
      <c r="H765" t="inlineStr"/>
      <c r="I765" t="inlineStr">
        <is>
          <t>0</t>
        </is>
      </c>
      <c r="J765" t="b">
        <v>0</v>
      </c>
      <c r="K765" t="b">
        <v>0</v>
      </c>
      <c r="L765" t="n">
        <v>11</v>
      </c>
      <c r="M765" t="inlineStr">
        <is>
          <t>Values must be of type &lt;class 'str'&gt;</t>
        </is>
      </c>
      <c r="N765" t="inlineStr">
        <is>
          <t>00000000</t>
        </is>
      </c>
      <c r="O765" t="n">
        <v/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</row>
    <row r="766">
      <c r="A766" t="inlineStr">
        <is>
          <t>CashFlow Statement</t>
        </is>
      </c>
      <c r="B766" t="inlineStr">
        <is>
          <t>J63</t>
        </is>
      </c>
      <c r="C766" t="n">
        <v>63</v>
      </c>
      <c r="D766" t="n">
        <v>10</v>
      </c>
      <c r="E766" t="inlineStr">
        <is>
          <t>Input</t>
        </is>
      </c>
      <c r="F766" t="n">
        <v/>
      </c>
      <c r="H766" t="inlineStr"/>
      <c r="I766" t="inlineStr">
        <is>
          <t>0</t>
        </is>
      </c>
      <c r="J766" t="b">
        <v>0</v>
      </c>
      <c r="K766" t="b">
        <v>0</v>
      </c>
      <c r="L766" t="n">
        <v>11</v>
      </c>
      <c r="M766" t="inlineStr">
        <is>
          <t>Values must be of type &lt;class 'str'&gt;</t>
        </is>
      </c>
      <c r="N766" t="inlineStr">
        <is>
          <t>00000000</t>
        </is>
      </c>
      <c r="O766" t="n">
        <v/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</row>
    <row r="767">
      <c r="A767" t="inlineStr">
        <is>
          <t>CashFlow Statement</t>
        </is>
      </c>
      <c r="B767" t="inlineStr">
        <is>
          <t>K63</t>
        </is>
      </c>
      <c r="C767" t="n">
        <v>63</v>
      </c>
      <c r="D767" t="n">
        <v>11</v>
      </c>
      <c r="E767" t="inlineStr">
        <is>
          <t>Input</t>
        </is>
      </c>
      <c r="F767" t="n">
        <v/>
      </c>
      <c r="H767" t="inlineStr"/>
      <c r="I767" t="inlineStr">
        <is>
          <t>0</t>
        </is>
      </c>
      <c r="J767" t="b">
        <v>0</v>
      </c>
      <c r="K767" t="b">
        <v>0</v>
      </c>
      <c r="L767" t="n">
        <v>11</v>
      </c>
      <c r="M767" t="inlineStr">
        <is>
          <t>Values must be of type &lt;class 'str'&gt;</t>
        </is>
      </c>
      <c r="N767" t="inlineStr">
        <is>
          <t>00000000</t>
        </is>
      </c>
      <c r="O767" t="n">
        <v/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</row>
    <row r="768">
      <c r="A768" t="inlineStr">
        <is>
          <t>CashFlow Statement</t>
        </is>
      </c>
      <c r="B768" t="inlineStr">
        <is>
          <t>L63</t>
        </is>
      </c>
      <c r="C768" t="n">
        <v>63</v>
      </c>
      <c r="D768" t="n">
        <v>12</v>
      </c>
      <c r="E768" t="inlineStr">
        <is>
          <t>Input</t>
        </is>
      </c>
      <c r="F768" t="n">
        <v/>
      </c>
      <c r="H768" t="inlineStr"/>
      <c r="I768" t="inlineStr">
        <is>
          <t>0</t>
        </is>
      </c>
      <c r="J768" t="b">
        <v>0</v>
      </c>
      <c r="K768" t="b">
        <v>0</v>
      </c>
      <c r="L768" t="n">
        <v>11</v>
      </c>
      <c r="M768" t="inlineStr">
        <is>
          <t>Values must be of type &lt;class 'str'&gt;</t>
        </is>
      </c>
      <c r="N768" t="inlineStr">
        <is>
          <t>00000000</t>
        </is>
      </c>
      <c r="O768" t="n">
        <v/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</row>
    <row r="769">
      <c r="A769" t="inlineStr">
        <is>
          <t>CashFlow Statement</t>
        </is>
      </c>
      <c r="B769" t="inlineStr">
        <is>
          <t>M63</t>
        </is>
      </c>
      <c r="C769" t="n">
        <v>63</v>
      </c>
      <c r="D769" t="n">
        <v>13</v>
      </c>
      <c r="E769" t="inlineStr">
        <is>
          <t>Input</t>
        </is>
      </c>
      <c r="F769" t="n">
        <v/>
      </c>
      <c r="H769" t="inlineStr"/>
      <c r="I769" t="inlineStr">
        <is>
          <t>0</t>
        </is>
      </c>
      <c r="J769" t="b">
        <v>0</v>
      </c>
      <c r="K769" t="b">
        <v>0</v>
      </c>
      <c r="L769" t="n">
        <v>11</v>
      </c>
      <c r="M769" t="inlineStr">
        <is>
          <t>Values must be of type &lt;class 'str'&gt;</t>
        </is>
      </c>
      <c r="N769" t="inlineStr">
        <is>
          <t>00000000</t>
        </is>
      </c>
      <c r="O769" t="n">
        <v/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</row>
    <row r="770">
      <c r="A770" t="inlineStr">
        <is>
          <t>CashFlow Statement</t>
        </is>
      </c>
      <c r="B770" t="inlineStr">
        <is>
          <t>N63</t>
        </is>
      </c>
      <c r="C770" t="n">
        <v>63</v>
      </c>
      <c r="D770" t="n">
        <v>14</v>
      </c>
      <c r="E770" t="inlineStr">
        <is>
          <t>Input</t>
        </is>
      </c>
      <c r="F770" t="n">
        <v/>
      </c>
      <c r="H770" t="inlineStr"/>
      <c r="I770" t="inlineStr">
        <is>
          <t>0</t>
        </is>
      </c>
      <c r="J770" t="b">
        <v>0</v>
      </c>
      <c r="K770" t="b">
        <v>0</v>
      </c>
      <c r="L770" t="n">
        <v>11</v>
      </c>
      <c r="M770" t="inlineStr">
        <is>
          <t>Values must be of type &lt;class 'str'&gt;</t>
        </is>
      </c>
      <c r="N770" t="inlineStr">
        <is>
          <t>00000000</t>
        </is>
      </c>
      <c r="O770" t="n">
        <v/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</row>
    <row r="771">
      <c r="A771" t="inlineStr">
        <is>
          <t>CashFlow Statement</t>
        </is>
      </c>
      <c r="B771" t="inlineStr">
        <is>
          <t>O63</t>
        </is>
      </c>
      <c r="C771" t="n">
        <v>63</v>
      </c>
      <c r="D771" t="n">
        <v>15</v>
      </c>
      <c r="E771" t="inlineStr">
        <is>
          <t>Input</t>
        </is>
      </c>
      <c r="F771" t="n">
        <v/>
      </c>
      <c r="H771" t="inlineStr"/>
      <c r="I771" t="inlineStr">
        <is>
          <t>0</t>
        </is>
      </c>
      <c r="J771" t="b">
        <v>0</v>
      </c>
      <c r="K771" t="b">
        <v>0</v>
      </c>
      <c r="L771" t="n">
        <v>11</v>
      </c>
      <c r="M771" t="inlineStr">
        <is>
          <t>Values must be of type &lt;class 'str'&gt;</t>
        </is>
      </c>
      <c r="N771" t="inlineStr">
        <is>
          <t>00000000</t>
        </is>
      </c>
      <c r="O771" t="n">
        <v/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</row>
    <row r="772">
      <c r="A772" t="inlineStr">
        <is>
          <t>CashFlow Statement</t>
        </is>
      </c>
      <c r="B772" t="inlineStr">
        <is>
          <t>D64</t>
        </is>
      </c>
      <c r="C772" t="n">
        <v>64</v>
      </c>
      <c r="D772" t="n">
        <v>4</v>
      </c>
      <c r="E772" t="inlineStr">
        <is>
          <t>Input</t>
        </is>
      </c>
      <c r="F772" t="n">
        <v/>
      </c>
      <c r="H772" t="inlineStr"/>
      <c r="I772" t="inlineStr">
        <is>
          <t>0</t>
        </is>
      </c>
      <c r="J772" t="b">
        <v>0</v>
      </c>
      <c r="K772" t="b">
        <v>0</v>
      </c>
      <c r="L772" t="n">
        <v>11</v>
      </c>
      <c r="M772" t="inlineStr">
        <is>
          <t>Values must be of type &lt;class 'str'&gt;</t>
        </is>
      </c>
      <c r="N772" t="inlineStr">
        <is>
          <t>00000000</t>
        </is>
      </c>
      <c r="O772" t="n">
        <v/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</row>
    <row r="773">
      <c r="A773" t="inlineStr">
        <is>
          <t>CashFlow Statement</t>
        </is>
      </c>
      <c r="B773" t="inlineStr">
        <is>
          <t>E64</t>
        </is>
      </c>
      <c r="C773" t="n">
        <v>64</v>
      </c>
      <c r="D773" t="n">
        <v>5</v>
      </c>
      <c r="E773" t="inlineStr">
        <is>
          <t>Input</t>
        </is>
      </c>
      <c r="F773" t="n">
        <v/>
      </c>
      <c r="H773" t="inlineStr"/>
      <c r="I773" t="inlineStr">
        <is>
          <t>0</t>
        </is>
      </c>
      <c r="J773" t="b">
        <v>0</v>
      </c>
      <c r="K773" t="b">
        <v>0</v>
      </c>
      <c r="L773" t="n">
        <v>11</v>
      </c>
      <c r="M773" t="inlineStr">
        <is>
          <t>Values must be of type &lt;class 'str'&gt;</t>
        </is>
      </c>
      <c r="N773" t="inlineStr">
        <is>
          <t>00000000</t>
        </is>
      </c>
      <c r="O773" t="n">
        <v/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</row>
    <row r="774">
      <c r="A774" t="inlineStr">
        <is>
          <t>CashFlow Statement</t>
        </is>
      </c>
      <c r="B774" t="inlineStr">
        <is>
          <t>F64</t>
        </is>
      </c>
      <c r="C774" t="n">
        <v>64</v>
      </c>
      <c r="D774" t="n">
        <v>6</v>
      </c>
      <c r="E774" t="inlineStr">
        <is>
          <t>Input</t>
        </is>
      </c>
      <c r="F774" t="n">
        <v/>
      </c>
      <c r="H774" t="inlineStr"/>
      <c r="I774" t="inlineStr">
        <is>
          <t>0</t>
        </is>
      </c>
      <c r="J774" t="b">
        <v>0</v>
      </c>
      <c r="K774" t="b">
        <v>0</v>
      </c>
      <c r="L774" t="n">
        <v>11</v>
      </c>
      <c r="M774" t="inlineStr">
        <is>
          <t>Values must be of type &lt;class 'str'&gt;</t>
        </is>
      </c>
      <c r="N774" t="inlineStr">
        <is>
          <t>00000000</t>
        </is>
      </c>
      <c r="O774" t="n">
        <v/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</row>
    <row r="775">
      <c r="A775" t="inlineStr">
        <is>
          <t>CashFlow Statement</t>
        </is>
      </c>
      <c r="B775" t="inlineStr">
        <is>
          <t>G64</t>
        </is>
      </c>
      <c r="C775" t="n">
        <v>64</v>
      </c>
      <c r="D775" t="n">
        <v>7</v>
      </c>
      <c r="E775" t="inlineStr">
        <is>
          <t>Input</t>
        </is>
      </c>
      <c r="F775" t="n">
        <v/>
      </c>
      <c r="H775" t="inlineStr"/>
      <c r="I775" t="inlineStr">
        <is>
          <t>0</t>
        </is>
      </c>
      <c r="J775" t="b">
        <v>0</v>
      </c>
      <c r="K775" t="b">
        <v>0</v>
      </c>
      <c r="L775" t="n">
        <v>11</v>
      </c>
      <c r="M775" t="inlineStr">
        <is>
          <t>Values must be of type &lt;class 'str'&gt;</t>
        </is>
      </c>
      <c r="N775" t="inlineStr">
        <is>
          <t>00000000</t>
        </is>
      </c>
      <c r="O775" t="n">
        <v/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</row>
    <row r="776">
      <c r="A776" t="inlineStr">
        <is>
          <t>CashFlow Statement</t>
        </is>
      </c>
      <c r="B776" t="inlineStr">
        <is>
          <t>H64</t>
        </is>
      </c>
      <c r="C776" t="n">
        <v>64</v>
      </c>
      <c r="D776" t="n">
        <v>8</v>
      </c>
      <c r="E776" t="inlineStr">
        <is>
          <t>Input</t>
        </is>
      </c>
      <c r="F776" t="n">
        <v/>
      </c>
      <c r="H776" t="inlineStr"/>
      <c r="I776" t="inlineStr">
        <is>
          <t>0</t>
        </is>
      </c>
      <c r="J776" t="b">
        <v>0</v>
      </c>
      <c r="K776" t="b">
        <v>0</v>
      </c>
      <c r="L776" t="n">
        <v>11</v>
      </c>
      <c r="M776" t="inlineStr">
        <is>
          <t>Values must be of type &lt;class 'str'&gt;</t>
        </is>
      </c>
      <c r="N776" t="inlineStr">
        <is>
          <t>00000000</t>
        </is>
      </c>
      <c r="O776" t="n">
        <v/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</row>
    <row r="777">
      <c r="A777" t="inlineStr">
        <is>
          <t>CashFlow Statement</t>
        </is>
      </c>
      <c r="B777" t="inlineStr">
        <is>
          <t>I64</t>
        </is>
      </c>
      <c r="C777" t="n">
        <v>64</v>
      </c>
      <c r="D777" t="n">
        <v>9</v>
      </c>
      <c r="E777" t="inlineStr">
        <is>
          <t>Input</t>
        </is>
      </c>
      <c r="F777" t="n">
        <v/>
      </c>
      <c r="H777" t="inlineStr"/>
      <c r="I777" t="inlineStr">
        <is>
          <t>0</t>
        </is>
      </c>
      <c r="J777" t="b">
        <v>0</v>
      </c>
      <c r="K777" t="b">
        <v>0</v>
      </c>
      <c r="L777" t="n">
        <v>11</v>
      </c>
      <c r="M777" t="inlineStr">
        <is>
          <t>Values must be of type &lt;class 'str'&gt;</t>
        </is>
      </c>
      <c r="N777" t="inlineStr">
        <is>
          <t>00000000</t>
        </is>
      </c>
      <c r="O777" t="n">
        <v/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</row>
    <row r="778">
      <c r="A778" t="inlineStr">
        <is>
          <t>CashFlow Statement</t>
        </is>
      </c>
      <c r="B778" t="inlineStr">
        <is>
          <t>J64</t>
        </is>
      </c>
      <c r="C778" t="n">
        <v>64</v>
      </c>
      <c r="D778" t="n">
        <v>10</v>
      </c>
      <c r="E778" t="inlineStr">
        <is>
          <t>Input</t>
        </is>
      </c>
      <c r="F778" t="n">
        <v/>
      </c>
      <c r="H778" t="inlineStr"/>
      <c r="I778" t="inlineStr">
        <is>
          <t>0</t>
        </is>
      </c>
      <c r="J778" t="b">
        <v>0</v>
      </c>
      <c r="K778" t="b">
        <v>0</v>
      </c>
      <c r="L778" t="n">
        <v>11</v>
      </c>
      <c r="M778" t="inlineStr">
        <is>
          <t>Values must be of type &lt;class 'str'&gt;</t>
        </is>
      </c>
      <c r="N778" t="inlineStr">
        <is>
          <t>00000000</t>
        </is>
      </c>
      <c r="O778" t="n">
        <v/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</row>
    <row r="779">
      <c r="A779" t="inlineStr">
        <is>
          <t>CashFlow Statement</t>
        </is>
      </c>
      <c r="B779" t="inlineStr">
        <is>
          <t>K64</t>
        </is>
      </c>
      <c r="C779" t="n">
        <v>64</v>
      </c>
      <c r="D779" t="n">
        <v>11</v>
      </c>
      <c r="E779" t="inlineStr">
        <is>
          <t>Input</t>
        </is>
      </c>
      <c r="F779" t="n">
        <v/>
      </c>
      <c r="H779" t="inlineStr"/>
      <c r="I779" t="inlineStr">
        <is>
          <t>0</t>
        </is>
      </c>
      <c r="J779" t="b">
        <v>0</v>
      </c>
      <c r="K779" t="b">
        <v>0</v>
      </c>
      <c r="L779" t="n">
        <v>11</v>
      </c>
      <c r="M779" t="inlineStr">
        <is>
          <t>Values must be of type &lt;class 'str'&gt;</t>
        </is>
      </c>
      <c r="N779" t="inlineStr">
        <is>
          <t>00000000</t>
        </is>
      </c>
      <c r="O779" t="n">
        <v/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</row>
    <row r="780">
      <c r="A780" t="inlineStr">
        <is>
          <t>CashFlow Statement</t>
        </is>
      </c>
      <c r="B780" t="inlineStr">
        <is>
          <t>L64</t>
        </is>
      </c>
      <c r="C780" t="n">
        <v>64</v>
      </c>
      <c r="D780" t="n">
        <v>12</v>
      </c>
      <c r="E780" t="inlineStr">
        <is>
          <t>Input</t>
        </is>
      </c>
      <c r="F780" t="n">
        <v/>
      </c>
      <c r="H780" t="inlineStr"/>
      <c r="I780" t="inlineStr">
        <is>
          <t>0</t>
        </is>
      </c>
      <c r="J780" t="b">
        <v>0</v>
      </c>
      <c r="K780" t="b">
        <v>0</v>
      </c>
      <c r="L780" t="n">
        <v>11</v>
      </c>
      <c r="M780" t="inlineStr">
        <is>
          <t>Values must be of type &lt;class 'str'&gt;</t>
        </is>
      </c>
      <c r="N780" t="inlineStr">
        <is>
          <t>00000000</t>
        </is>
      </c>
      <c r="O780" t="n">
        <v/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</row>
    <row r="781">
      <c r="A781" t="inlineStr">
        <is>
          <t>CashFlow Statement</t>
        </is>
      </c>
      <c r="B781" t="inlineStr">
        <is>
          <t>M64</t>
        </is>
      </c>
      <c r="C781" t="n">
        <v>64</v>
      </c>
      <c r="D781" t="n">
        <v>13</v>
      </c>
      <c r="E781" t="inlineStr">
        <is>
          <t>Input</t>
        </is>
      </c>
      <c r="F781" t="n">
        <v/>
      </c>
      <c r="H781" t="inlineStr"/>
      <c r="I781" t="inlineStr">
        <is>
          <t>0</t>
        </is>
      </c>
      <c r="J781" t="b">
        <v>0</v>
      </c>
      <c r="K781" t="b">
        <v>0</v>
      </c>
      <c r="L781" t="n">
        <v>11</v>
      </c>
      <c r="M781" t="inlineStr">
        <is>
          <t>Values must be of type &lt;class 'str'&gt;</t>
        </is>
      </c>
      <c r="N781" t="inlineStr">
        <is>
          <t>00000000</t>
        </is>
      </c>
      <c r="O781" t="n">
        <v/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</row>
    <row r="782">
      <c r="A782" t="inlineStr">
        <is>
          <t>CashFlow Statement</t>
        </is>
      </c>
      <c r="B782" t="inlineStr">
        <is>
          <t>N64</t>
        </is>
      </c>
      <c r="C782" t="n">
        <v>64</v>
      </c>
      <c r="D782" t="n">
        <v>14</v>
      </c>
      <c r="E782" t="inlineStr">
        <is>
          <t>Input</t>
        </is>
      </c>
      <c r="F782" t="n">
        <v/>
      </c>
      <c r="H782" t="inlineStr"/>
      <c r="I782" t="inlineStr">
        <is>
          <t>0</t>
        </is>
      </c>
      <c r="J782" t="b">
        <v>0</v>
      </c>
      <c r="K782" t="b">
        <v>0</v>
      </c>
      <c r="L782" t="n">
        <v>11</v>
      </c>
      <c r="M782" t="inlineStr">
        <is>
          <t>Values must be of type &lt;class 'str'&gt;</t>
        </is>
      </c>
      <c r="N782" t="inlineStr">
        <is>
          <t>00000000</t>
        </is>
      </c>
      <c r="O782" t="n">
        <v/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</row>
    <row r="783">
      <c r="A783" t="inlineStr">
        <is>
          <t>CashFlow Statement</t>
        </is>
      </c>
      <c r="B783" t="inlineStr">
        <is>
          <t>O64</t>
        </is>
      </c>
      <c r="C783" t="n">
        <v>64</v>
      </c>
      <c r="D783" t="n">
        <v>15</v>
      </c>
      <c r="E783" t="inlineStr">
        <is>
          <t>Input</t>
        </is>
      </c>
      <c r="F783" t="n">
        <v/>
      </c>
      <c r="H783" t="inlineStr"/>
      <c r="I783" t="inlineStr">
        <is>
          <t>0</t>
        </is>
      </c>
      <c r="J783" t="b">
        <v>0</v>
      </c>
      <c r="K783" t="b">
        <v>0</v>
      </c>
      <c r="L783" t="n">
        <v>11</v>
      </c>
      <c r="M783" t="inlineStr">
        <is>
          <t>Values must be of type &lt;class 'str'&gt;</t>
        </is>
      </c>
      <c r="N783" t="inlineStr">
        <is>
          <t>00000000</t>
        </is>
      </c>
      <c r="O783" t="n">
        <v/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</row>
    <row r="784">
      <c r="A784" t="inlineStr">
        <is>
          <t>CashFlow Statement</t>
        </is>
      </c>
      <c r="B784" t="inlineStr">
        <is>
          <t>D65</t>
        </is>
      </c>
      <c r="C784" t="n">
        <v>65</v>
      </c>
      <c r="D784" t="n">
        <v>4</v>
      </c>
      <c r="E784" t="inlineStr">
        <is>
          <t>Input</t>
        </is>
      </c>
      <c r="F784" t="n">
        <v/>
      </c>
      <c r="H784" t="inlineStr"/>
      <c r="I784" t="inlineStr">
        <is>
          <t>0</t>
        </is>
      </c>
      <c r="J784" t="b">
        <v>0</v>
      </c>
      <c r="K784" t="b">
        <v>0</v>
      </c>
      <c r="L784" t="n">
        <v>11</v>
      </c>
      <c r="M784" t="inlineStr">
        <is>
          <t>Values must be of type &lt;class 'str'&gt;</t>
        </is>
      </c>
      <c r="N784" t="inlineStr">
        <is>
          <t>00000000</t>
        </is>
      </c>
      <c r="O784" t="n">
        <v/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</row>
    <row r="785">
      <c r="A785" t="inlineStr">
        <is>
          <t>CashFlow Statement</t>
        </is>
      </c>
      <c r="B785" t="inlineStr">
        <is>
          <t>E65</t>
        </is>
      </c>
      <c r="C785" t="n">
        <v>65</v>
      </c>
      <c r="D785" t="n">
        <v>5</v>
      </c>
      <c r="E785" t="inlineStr">
        <is>
          <t>Input</t>
        </is>
      </c>
      <c r="F785" t="n">
        <v/>
      </c>
      <c r="H785" t="inlineStr"/>
      <c r="I785" t="inlineStr">
        <is>
          <t>0</t>
        </is>
      </c>
      <c r="J785" t="b">
        <v>0</v>
      </c>
      <c r="K785" t="b">
        <v>0</v>
      </c>
      <c r="L785" t="n">
        <v>11</v>
      </c>
      <c r="M785" t="inlineStr">
        <is>
          <t>Values must be of type &lt;class 'str'&gt;</t>
        </is>
      </c>
      <c r="N785" t="inlineStr">
        <is>
          <t>00000000</t>
        </is>
      </c>
      <c r="O785" t="n">
        <v/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</row>
    <row r="786">
      <c r="A786" t="inlineStr">
        <is>
          <t>CashFlow Statement</t>
        </is>
      </c>
      <c r="B786" t="inlineStr">
        <is>
          <t>F65</t>
        </is>
      </c>
      <c r="C786" t="n">
        <v>65</v>
      </c>
      <c r="D786" t="n">
        <v>6</v>
      </c>
      <c r="E786" t="inlineStr">
        <is>
          <t>Input</t>
        </is>
      </c>
      <c r="F786" t="n">
        <v/>
      </c>
      <c r="H786" t="inlineStr"/>
      <c r="I786" t="inlineStr">
        <is>
          <t>0</t>
        </is>
      </c>
      <c r="J786" t="b">
        <v>0</v>
      </c>
      <c r="K786" t="b">
        <v>0</v>
      </c>
      <c r="L786" t="n">
        <v>11</v>
      </c>
      <c r="M786" t="inlineStr">
        <is>
          <t>Values must be of type &lt;class 'str'&gt;</t>
        </is>
      </c>
      <c r="N786" t="inlineStr">
        <is>
          <t>00000000</t>
        </is>
      </c>
      <c r="O786" t="n">
        <v/>
      </c>
      <c r="R786" t="b">
        <v>0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</row>
    <row r="787">
      <c r="A787" t="inlineStr">
        <is>
          <t>CashFlow Statement</t>
        </is>
      </c>
      <c r="B787" t="inlineStr">
        <is>
          <t>G65</t>
        </is>
      </c>
      <c r="C787" t="n">
        <v>65</v>
      </c>
      <c r="D787" t="n">
        <v>7</v>
      </c>
      <c r="E787" t="inlineStr">
        <is>
          <t>Input</t>
        </is>
      </c>
      <c r="F787" t="n">
        <v/>
      </c>
      <c r="H787" t="inlineStr"/>
      <c r="I787" t="inlineStr">
        <is>
          <t>0</t>
        </is>
      </c>
      <c r="J787" t="b">
        <v>0</v>
      </c>
      <c r="K787" t="b">
        <v>0</v>
      </c>
      <c r="L787" t="n">
        <v>11</v>
      </c>
      <c r="M787" t="inlineStr">
        <is>
          <t>Values must be of type &lt;class 'str'&gt;</t>
        </is>
      </c>
      <c r="N787" t="inlineStr">
        <is>
          <t>00000000</t>
        </is>
      </c>
      <c r="O787" t="n">
        <v/>
      </c>
      <c r="R787" t="b">
        <v>0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</row>
    <row r="788">
      <c r="A788" t="inlineStr">
        <is>
          <t>CashFlow Statement</t>
        </is>
      </c>
      <c r="B788" t="inlineStr">
        <is>
          <t>H65</t>
        </is>
      </c>
      <c r="C788" t="n">
        <v>65</v>
      </c>
      <c r="D788" t="n">
        <v>8</v>
      </c>
      <c r="E788" t="inlineStr">
        <is>
          <t>Input</t>
        </is>
      </c>
      <c r="F788" t="n">
        <v/>
      </c>
      <c r="H788" t="inlineStr"/>
      <c r="I788" t="inlineStr">
        <is>
          <t>0</t>
        </is>
      </c>
      <c r="J788" t="b">
        <v>0</v>
      </c>
      <c r="K788" t="b">
        <v>0</v>
      </c>
      <c r="L788" t="n">
        <v>11</v>
      </c>
      <c r="M788" t="inlineStr">
        <is>
          <t>Values must be of type &lt;class 'str'&gt;</t>
        </is>
      </c>
      <c r="N788" t="inlineStr">
        <is>
          <t>00000000</t>
        </is>
      </c>
      <c r="O788" t="n">
        <v/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</row>
    <row r="789">
      <c r="A789" t="inlineStr">
        <is>
          <t>CashFlow Statement</t>
        </is>
      </c>
      <c r="B789" t="inlineStr">
        <is>
          <t>I65</t>
        </is>
      </c>
      <c r="C789" t="n">
        <v>65</v>
      </c>
      <c r="D789" t="n">
        <v>9</v>
      </c>
      <c r="E789" t="inlineStr">
        <is>
          <t>Input</t>
        </is>
      </c>
      <c r="F789" t="n">
        <v/>
      </c>
      <c r="H789" t="inlineStr"/>
      <c r="I789" t="inlineStr">
        <is>
          <t>0</t>
        </is>
      </c>
      <c r="J789" t="b">
        <v>0</v>
      </c>
      <c r="K789" t="b">
        <v>0</v>
      </c>
      <c r="L789" t="n">
        <v>11</v>
      </c>
      <c r="M789" t="inlineStr">
        <is>
          <t>Values must be of type &lt;class 'str'&gt;</t>
        </is>
      </c>
      <c r="N789" t="inlineStr">
        <is>
          <t>00000000</t>
        </is>
      </c>
      <c r="O789" t="n">
        <v/>
      </c>
      <c r="R789" t="b">
        <v>0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</row>
    <row r="790">
      <c r="A790" t="inlineStr">
        <is>
          <t>CashFlow Statement</t>
        </is>
      </c>
      <c r="B790" t="inlineStr">
        <is>
          <t>J65</t>
        </is>
      </c>
      <c r="C790" t="n">
        <v>65</v>
      </c>
      <c r="D790" t="n">
        <v>10</v>
      </c>
      <c r="E790" t="inlineStr">
        <is>
          <t>Input</t>
        </is>
      </c>
      <c r="F790" t="n">
        <v/>
      </c>
      <c r="H790" t="inlineStr"/>
      <c r="I790" t="inlineStr">
        <is>
          <t>0</t>
        </is>
      </c>
      <c r="J790" t="b">
        <v>0</v>
      </c>
      <c r="K790" t="b">
        <v>0</v>
      </c>
      <c r="L790" t="n">
        <v>11</v>
      </c>
      <c r="M790" t="inlineStr">
        <is>
          <t>Values must be of type &lt;class 'str'&gt;</t>
        </is>
      </c>
      <c r="N790" t="inlineStr">
        <is>
          <t>00000000</t>
        </is>
      </c>
      <c r="O790" t="n">
        <v/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</row>
    <row r="791">
      <c r="A791" t="inlineStr">
        <is>
          <t>CashFlow Statement</t>
        </is>
      </c>
      <c r="B791" t="inlineStr">
        <is>
          <t>K65</t>
        </is>
      </c>
      <c r="C791" t="n">
        <v>65</v>
      </c>
      <c r="D791" t="n">
        <v>11</v>
      </c>
      <c r="E791" t="inlineStr">
        <is>
          <t>Input</t>
        </is>
      </c>
      <c r="F791" t="n">
        <v/>
      </c>
      <c r="H791" t="inlineStr"/>
      <c r="I791" t="inlineStr">
        <is>
          <t>0</t>
        </is>
      </c>
      <c r="J791" t="b">
        <v>0</v>
      </c>
      <c r="K791" t="b">
        <v>0</v>
      </c>
      <c r="L791" t="n">
        <v>11</v>
      </c>
      <c r="M791" t="inlineStr">
        <is>
          <t>Values must be of type &lt;class 'str'&gt;</t>
        </is>
      </c>
      <c r="N791" t="inlineStr">
        <is>
          <t>00000000</t>
        </is>
      </c>
      <c r="O791" t="n">
        <v/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</row>
    <row r="792">
      <c r="A792" t="inlineStr">
        <is>
          <t>CashFlow Statement</t>
        </is>
      </c>
      <c r="B792" t="inlineStr">
        <is>
          <t>L65</t>
        </is>
      </c>
      <c r="C792" t="n">
        <v>65</v>
      </c>
      <c r="D792" t="n">
        <v>12</v>
      </c>
      <c r="E792" t="inlineStr">
        <is>
          <t>Input</t>
        </is>
      </c>
      <c r="F792" t="n">
        <v/>
      </c>
      <c r="H792" t="inlineStr"/>
      <c r="I792" t="inlineStr">
        <is>
          <t>0</t>
        </is>
      </c>
      <c r="J792" t="b">
        <v>0</v>
      </c>
      <c r="K792" t="b">
        <v>0</v>
      </c>
      <c r="L792" t="n">
        <v>11</v>
      </c>
      <c r="M792" t="inlineStr">
        <is>
          <t>Values must be of type &lt;class 'str'&gt;</t>
        </is>
      </c>
      <c r="N792" t="inlineStr">
        <is>
          <t>00000000</t>
        </is>
      </c>
      <c r="O792" t="n">
        <v/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</row>
    <row r="793">
      <c r="A793" t="inlineStr">
        <is>
          <t>CashFlow Statement</t>
        </is>
      </c>
      <c r="B793" t="inlineStr">
        <is>
          <t>M65</t>
        </is>
      </c>
      <c r="C793" t="n">
        <v>65</v>
      </c>
      <c r="D793" t="n">
        <v>13</v>
      </c>
      <c r="E793" t="inlineStr">
        <is>
          <t>Input</t>
        </is>
      </c>
      <c r="F793" t="n">
        <v/>
      </c>
      <c r="H793" t="inlineStr"/>
      <c r="I793" t="inlineStr">
        <is>
          <t>0</t>
        </is>
      </c>
      <c r="J793" t="b">
        <v>0</v>
      </c>
      <c r="K793" t="b">
        <v>0</v>
      </c>
      <c r="L793" t="n">
        <v>11</v>
      </c>
      <c r="M793" t="inlineStr">
        <is>
          <t>Values must be of type &lt;class 'str'&gt;</t>
        </is>
      </c>
      <c r="N793" t="inlineStr">
        <is>
          <t>00000000</t>
        </is>
      </c>
      <c r="O793" t="n">
        <v/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</row>
    <row r="794">
      <c r="A794" t="inlineStr">
        <is>
          <t>CashFlow Statement</t>
        </is>
      </c>
      <c r="B794" t="inlineStr">
        <is>
          <t>N65</t>
        </is>
      </c>
      <c r="C794" t="n">
        <v>65</v>
      </c>
      <c r="D794" t="n">
        <v>14</v>
      </c>
      <c r="E794" t="inlineStr">
        <is>
          <t>Input</t>
        </is>
      </c>
      <c r="F794" t="n">
        <v/>
      </c>
      <c r="H794" t="inlineStr"/>
      <c r="I794" t="inlineStr">
        <is>
          <t>0</t>
        </is>
      </c>
      <c r="J794" t="b">
        <v>0</v>
      </c>
      <c r="K794" t="b">
        <v>0</v>
      </c>
      <c r="L794" t="n">
        <v>11</v>
      </c>
      <c r="M794" t="inlineStr">
        <is>
          <t>Values must be of type &lt;class 'str'&gt;</t>
        </is>
      </c>
      <c r="N794" t="inlineStr">
        <is>
          <t>00000000</t>
        </is>
      </c>
      <c r="O794" t="n">
        <v/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</row>
    <row r="795">
      <c r="A795" t="inlineStr">
        <is>
          <t>CashFlow Statement</t>
        </is>
      </c>
      <c r="B795" t="inlineStr">
        <is>
          <t>O65</t>
        </is>
      </c>
      <c r="C795" t="n">
        <v>65</v>
      </c>
      <c r="D795" t="n">
        <v>15</v>
      </c>
      <c r="E795" t="inlineStr">
        <is>
          <t>Input</t>
        </is>
      </c>
      <c r="F795" t="n">
        <v/>
      </c>
      <c r="H795" t="inlineStr"/>
      <c r="I795" t="inlineStr">
        <is>
          <t>0</t>
        </is>
      </c>
      <c r="J795" t="b">
        <v>0</v>
      </c>
      <c r="K795" t="b">
        <v>0</v>
      </c>
      <c r="L795" t="n">
        <v>11</v>
      </c>
      <c r="M795" t="inlineStr">
        <is>
          <t>Values must be of type &lt;class 'str'&gt;</t>
        </is>
      </c>
      <c r="N795" t="inlineStr">
        <is>
          <t>00000000</t>
        </is>
      </c>
      <c r="O795" t="n">
        <v/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</row>
    <row r="796">
      <c r="A796" t="inlineStr">
        <is>
          <t>CashFlow Statement</t>
        </is>
      </c>
      <c r="B796" t="inlineStr">
        <is>
          <t>D66</t>
        </is>
      </c>
      <c r="C796" t="n">
        <v>66</v>
      </c>
      <c r="D796" t="n">
        <v>4</v>
      </c>
      <c r="E796" t="inlineStr">
        <is>
          <t>Input</t>
        </is>
      </c>
      <c r="F796" t="n">
        <v/>
      </c>
      <c r="H796" t="inlineStr"/>
      <c r="I796" t="inlineStr">
        <is>
          <t>0</t>
        </is>
      </c>
      <c r="J796" t="b">
        <v>0</v>
      </c>
      <c r="K796" t="b">
        <v>0</v>
      </c>
      <c r="L796" t="n">
        <v>11</v>
      </c>
      <c r="M796" t="inlineStr">
        <is>
          <t>Values must be of type &lt;class 'str'&gt;</t>
        </is>
      </c>
      <c r="N796" t="inlineStr">
        <is>
          <t>00000000</t>
        </is>
      </c>
      <c r="O796" t="n">
        <v/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</row>
    <row r="797">
      <c r="A797" t="inlineStr">
        <is>
          <t>CashFlow Statement</t>
        </is>
      </c>
      <c r="B797" t="inlineStr">
        <is>
          <t>E66</t>
        </is>
      </c>
      <c r="C797" t="n">
        <v>66</v>
      </c>
      <c r="D797" t="n">
        <v>5</v>
      </c>
      <c r="E797" t="inlineStr">
        <is>
          <t>Input</t>
        </is>
      </c>
      <c r="F797" t="n">
        <v/>
      </c>
      <c r="H797" t="inlineStr"/>
      <c r="I797" t="inlineStr">
        <is>
          <t>0</t>
        </is>
      </c>
      <c r="J797" t="b">
        <v>0</v>
      </c>
      <c r="K797" t="b">
        <v>0</v>
      </c>
      <c r="L797" t="n">
        <v>11</v>
      </c>
      <c r="M797" t="inlineStr">
        <is>
          <t>Values must be of type &lt;class 'str'&gt;</t>
        </is>
      </c>
      <c r="N797" t="inlineStr">
        <is>
          <t>00000000</t>
        </is>
      </c>
      <c r="O797" t="n">
        <v/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</row>
    <row r="798">
      <c r="A798" t="inlineStr">
        <is>
          <t>CashFlow Statement</t>
        </is>
      </c>
      <c r="B798" t="inlineStr">
        <is>
          <t>F66</t>
        </is>
      </c>
      <c r="C798" t="n">
        <v>66</v>
      </c>
      <c r="D798" t="n">
        <v>6</v>
      </c>
      <c r="E798" t="inlineStr">
        <is>
          <t>Input</t>
        </is>
      </c>
      <c r="F798" t="n">
        <v/>
      </c>
      <c r="H798" t="inlineStr"/>
      <c r="I798" t="inlineStr">
        <is>
          <t>0</t>
        </is>
      </c>
      <c r="J798" t="b">
        <v>0</v>
      </c>
      <c r="K798" t="b">
        <v>0</v>
      </c>
      <c r="L798" t="n">
        <v>11</v>
      </c>
      <c r="M798" t="inlineStr">
        <is>
          <t>Values must be of type &lt;class 'str'&gt;</t>
        </is>
      </c>
      <c r="N798" t="inlineStr">
        <is>
          <t>00000000</t>
        </is>
      </c>
      <c r="O798" t="n">
        <v/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</row>
    <row r="799">
      <c r="A799" t="inlineStr">
        <is>
          <t>CashFlow Statement</t>
        </is>
      </c>
      <c r="B799" t="inlineStr">
        <is>
          <t>G66</t>
        </is>
      </c>
      <c r="C799" t="n">
        <v>66</v>
      </c>
      <c r="D799" t="n">
        <v>7</v>
      </c>
      <c r="E799" t="inlineStr">
        <is>
          <t>Input</t>
        </is>
      </c>
      <c r="F799" t="n">
        <v/>
      </c>
      <c r="H799" t="inlineStr"/>
      <c r="I799" t="inlineStr">
        <is>
          <t>0</t>
        </is>
      </c>
      <c r="J799" t="b">
        <v>0</v>
      </c>
      <c r="K799" t="b">
        <v>0</v>
      </c>
      <c r="L799" t="n">
        <v>11</v>
      </c>
      <c r="M799" t="inlineStr">
        <is>
          <t>Values must be of type &lt;class 'str'&gt;</t>
        </is>
      </c>
      <c r="N799" t="inlineStr">
        <is>
          <t>00000000</t>
        </is>
      </c>
      <c r="O799" t="n">
        <v/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</row>
    <row r="800">
      <c r="A800" t="inlineStr">
        <is>
          <t>CashFlow Statement</t>
        </is>
      </c>
      <c r="B800" t="inlineStr">
        <is>
          <t>H66</t>
        </is>
      </c>
      <c r="C800" t="n">
        <v>66</v>
      </c>
      <c r="D800" t="n">
        <v>8</v>
      </c>
      <c r="E800" t="inlineStr">
        <is>
          <t>Input</t>
        </is>
      </c>
      <c r="F800" t="n">
        <v/>
      </c>
      <c r="H800" t="inlineStr"/>
      <c r="I800" t="inlineStr">
        <is>
          <t>0</t>
        </is>
      </c>
      <c r="J800" t="b">
        <v>0</v>
      </c>
      <c r="K800" t="b">
        <v>0</v>
      </c>
      <c r="L800" t="n">
        <v>11</v>
      </c>
      <c r="M800" t="inlineStr">
        <is>
          <t>Values must be of type &lt;class 'str'&gt;</t>
        </is>
      </c>
      <c r="N800" t="inlineStr">
        <is>
          <t>00000000</t>
        </is>
      </c>
      <c r="O800" t="n">
        <v/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</row>
    <row r="801">
      <c r="A801" t="inlineStr">
        <is>
          <t>CashFlow Statement</t>
        </is>
      </c>
      <c r="B801" t="inlineStr">
        <is>
          <t>I66</t>
        </is>
      </c>
      <c r="C801" t="n">
        <v>66</v>
      </c>
      <c r="D801" t="n">
        <v>9</v>
      </c>
      <c r="E801" t="inlineStr">
        <is>
          <t>Input</t>
        </is>
      </c>
      <c r="F801" t="n">
        <v/>
      </c>
      <c r="H801" t="inlineStr"/>
      <c r="I801" t="inlineStr">
        <is>
          <t>0</t>
        </is>
      </c>
      <c r="J801" t="b">
        <v>0</v>
      </c>
      <c r="K801" t="b">
        <v>0</v>
      </c>
      <c r="L801" t="n">
        <v>11</v>
      </c>
      <c r="M801" t="inlineStr">
        <is>
          <t>Values must be of type &lt;class 'str'&gt;</t>
        </is>
      </c>
      <c r="N801" t="inlineStr">
        <is>
          <t>00000000</t>
        </is>
      </c>
      <c r="O801" t="n">
        <v/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</row>
    <row r="802">
      <c r="A802" t="inlineStr">
        <is>
          <t>CashFlow Statement</t>
        </is>
      </c>
      <c r="B802" t="inlineStr">
        <is>
          <t>J66</t>
        </is>
      </c>
      <c r="C802" t="n">
        <v>66</v>
      </c>
      <c r="D802" t="n">
        <v>10</v>
      </c>
      <c r="E802" t="inlineStr">
        <is>
          <t>Input</t>
        </is>
      </c>
      <c r="F802" t="n">
        <v/>
      </c>
      <c r="H802" t="inlineStr"/>
      <c r="I802" t="inlineStr">
        <is>
          <t>0</t>
        </is>
      </c>
      <c r="J802" t="b">
        <v>0</v>
      </c>
      <c r="K802" t="b">
        <v>0</v>
      </c>
      <c r="L802" t="n">
        <v>11</v>
      </c>
      <c r="M802" t="inlineStr">
        <is>
          <t>Values must be of type &lt;class 'str'&gt;</t>
        </is>
      </c>
      <c r="N802" t="inlineStr">
        <is>
          <t>00000000</t>
        </is>
      </c>
      <c r="O802" t="n">
        <v/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</row>
    <row r="803">
      <c r="A803" t="inlineStr">
        <is>
          <t>CashFlow Statement</t>
        </is>
      </c>
      <c r="B803" t="inlineStr">
        <is>
          <t>K66</t>
        </is>
      </c>
      <c r="C803" t="n">
        <v>66</v>
      </c>
      <c r="D803" t="n">
        <v>11</v>
      </c>
      <c r="E803" t="inlineStr">
        <is>
          <t>Input</t>
        </is>
      </c>
      <c r="F803" t="n">
        <v/>
      </c>
      <c r="H803" t="inlineStr"/>
      <c r="I803" t="inlineStr">
        <is>
          <t>0</t>
        </is>
      </c>
      <c r="J803" t="b">
        <v>0</v>
      </c>
      <c r="K803" t="b">
        <v>0</v>
      </c>
      <c r="L803" t="n">
        <v>11</v>
      </c>
      <c r="M803" t="inlineStr">
        <is>
          <t>Values must be of type &lt;class 'str'&gt;</t>
        </is>
      </c>
      <c r="N803" t="inlineStr">
        <is>
          <t>00000000</t>
        </is>
      </c>
      <c r="O803" t="n">
        <v/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</row>
    <row r="804">
      <c r="A804" t="inlineStr">
        <is>
          <t>CashFlow Statement</t>
        </is>
      </c>
      <c r="B804" t="inlineStr">
        <is>
          <t>L66</t>
        </is>
      </c>
      <c r="C804" t="n">
        <v>66</v>
      </c>
      <c r="D804" t="n">
        <v>12</v>
      </c>
      <c r="E804" t="inlineStr">
        <is>
          <t>Input</t>
        </is>
      </c>
      <c r="F804" t="n">
        <v/>
      </c>
      <c r="H804" t="inlineStr"/>
      <c r="I804" t="inlineStr">
        <is>
          <t>0</t>
        </is>
      </c>
      <c r="J804" t="b">
        <v>0</v>
      </c>
      <c r="K804" t="b">
        <v>0</v>
      </c>
      <c r="L804" t="n">
        <v>11</v>
      </c>
      <c r="M804" t="inlineStr">
        <is>
          <t>Values must be of type &lt;class 'str'&gt;</t>
        </is>
      </c>
      <c r="N804" t="inlineStr">
        <is>
          <t>00000000</t>
        </is>
      </c>
      <c r="O804" t="n">
        <v/>
      </c>
      <c r="R804" t="b">
        <v>0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</row>
    <row r="805">
      <c r="A805" t="inlineStr">
        <is>
          <t>CashFlow Statement</t>
        </is>
      </c>
      <c r="B805" t="inlineStr">
        <is>
          <t>M66</t>
        </is>
      </c>
      <c r="C805" t="n">
        <v>66</v>
      </c>
      <c r="D805" t="n">
        <v>13</v>
      </c>
      <c r="E805" t="inlineStr">
        <is>
          <t>Input</t>
        </is>
      </c>
      <c r="F805" t="n">
        <v/>
      </c>
      <c r="H805" t="inlineStr"/>
      <c r="I805" t="inlineStr">
        <is>
          <t>0</t>
        </is>
      </c>
      <c r="J805" t="b">
        <v>0</v>
      </c>
      <c r="K805" t="b">
        <v>0</v>
      </c>
      <c r="L805" t="n">
        <v>11</v>
      </c>
      <c r="M805" t="inlineStr">
        <is>
          <t>Values must be of type &lt;class 'str'&gt;</t>
        </is>
      </c>
      <c r="N805" t="inlineStr">
        <is>
          <t>00000000</t>
        </is>
      </c>
      <c r="O805" t="n">
        <v/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</row>
    <row r="806">
      <c r="A806" t="inlineStr">
        <is>
          <t>CashFlow Statement</t>
        </is>
      </c>
      <c r="B806" t="inlineStr">
        <is>
          <t>N66</t>
        </is>
      </c>
      <c r="C806" t="n">
        <v>66</v>
      </c>
      <c r="D806" t="n">
        <v>14</v>
      </c>
      <c r="E806" t="inlineStr">
        <is>
          <t>Input</t>
        </is>
      </c>
      <c r="F806" t="n">
        <v/>
      </c>
      <c r="H806" t="inlineStr"/>
      <c r="I806" t="inlineStr">
        <is>
          <t>0</t>
        </is>
      </c>
      <c r="J806" t="b">
        <v>0</v>
      </c>
      <c r="K806" t="b">
        <v>0</v>
      </c>
      <c r="L806" t="n">
        <v>11</v>
      </c>
      <c r="M806" t="inlineStr">
        <is>
          <t>Values must be of type &lt;class 'str'&gt;</t>
        </is>
      </c>
      <c r="N806" t="inlineStr">
        <is>
          <t>00000000</t>
        </is>
      </c>
      <c r="O806" t="n">
        <v/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</row>
    <row r="807">
      <c r="A807" t="inlineStr">
        <is>
          <t>CashFlow Statement</t>
        </is>
      </c>
      <c r="B807" t="inlineStr">
        <is>
          <t>O66</t>
        </is>
      </c>
      <c r="C807" t="n">
        <v>66</v>
      </c>
      <c r="D807" t="n">
        <v>15</v>
      </c>
      <c r="E807" t="inlineStr">
        <is>
          <t>Input</t>
        </is>
      </c>
      <c r="F807" t="n">
        <v/>
      </c>
      <c r="H807" t="inlineStr"/>
      <c r="I807" t="inlineStr">
        <is>
          <t>0</t>
        </is>
      </c>
      <c r="J807" t="b">
        <v>0</v>
      </c>
      <c r="K807" t="b">
        <v>0</v>
      </c>
      <c r="L807" t="n">
        <v>11</v>
      </c>
      <c r="M807" t="inlineStr">
        <is>
          <t>Values must be of type &lt;class 'str'&gt;</t>
        </is>
      </c>
      <c r="N807" t="inlineStr">
        <is>
          <t>00000000</t>
        </is>
      </c>
      <c r="O807" t="n">
        <v/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</row>
    <row r="808">
      <c r="A808" t="inlineStr">
        <is>
          <t>CashFlow Statement</t>
        </is>
      </c>
      <c r="B808" t="inlineStr">
        <is>
          <t>D67</t>
        </is>
      </c>
      <c r="C808" t="n">
        <v>67</v>
      </c>
      <c r="D808" t="n">
        <v>4</v>
      </c>
      <c r="E808" t="inlineStr">
        <is>
          <t>Input</t>
        </is>
      </c>
      <c r="F808" t="n">
        <v/>
      </c>
      <c r="H808" t="inlineStr"/>
      <c r="I808" t="inlineStr">
        <is>
          <t>0</t>
        </is>
      </c>
      <c r="J808" t="b">
        <v>0</v>
      </c>
      <c r="K808" t="b">
        <v>0</v>
      </c>
      <c r="L808" t="n">
        <v>11</v>
      </c>
      <c r="M808" t="inlineStr">
        <is>
          <t>Values must be of type &lt;class 'str'&gt;</t>
        </is>
      </c>
      <c r="N808" t="inlineStr">
        <is>
          <t>00000000</t>
        </is>
      </c>
      <c r="O808" t="n">
        <v/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</row>
    <row r="809">
      <c r="A809" t="inlineStr">
        <is>
          <t>CashFlow Statement</t>
        </is>
      </c>
      <c r="B809" t="inlineStr">
        <is>
          <t>E67</t>
        </is>
      </c>
      <c r="C809" t="n">
        <v>67</v>
      </c>
      <c r="D809" t="n">
        <v>5</v>
      </c>
      <c r="E809" t="inlineStr">
        <is>
          <t>Input</t>
        </is>
      </c>
      <c r="F809" t="n">
        <v/>
      </c>
      <c r="H809" t="inlineStr"/>
      <c r="I809" t="inlineStr">
        <is>
          <t>0</t>
        </is>
      </c>
      <c r="J809" t="b">
        <v>0</v>
      </c>
      <c r="K809" t="b">
        <v>0</v>
      </c>
      <c r="L809" t="n">
        <v>11</v>
      </c>
      <c r="M809" t="inlineStr">
        <is>
          <t>Values must be of type &lt;class 'str'&gt;</t>
        </is>
      </c>
      <c r="N809" t="inlineStr">
        <is>
          <t>00000000</t>
        </is>
      </c>
      <c r="O809" t="n">
        <v/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</row>
    <row r="810">
      <c r="A810" t="inlineStr">
        <is>
          <t>CashFlow Statement</t>
        </is>
      </c>
      <c r="B810" t="inlineStr">
        <is>
          <t>F67</t>
        </is>
      </c>
      <c r="C810" t="n">
        <v>67</v>
      </c>
      <c r="D810" t="n">
        <v>6</v>
      </c>
      <c r="E810" t="inlineStr">
        <is>
          <t>Input</t>
        </is>
      </c>
      <c r="F810" t="n">
        <v/>
      </c>
      <c r="H810" t="inlineStr"/>
      <c r="I810" t="inlineStr">
        <is>
          <t>0</t>
        </is>
      </c>
      <c r="J810" t="b">
        <v>0</v>
      </c>
      <c r="K810" t="b">
        <v>0</v>
      </c>
      <c r="L810" t="n">
        <v>11</v>
      </c>
      <c r="M810" t="inlineStr">
        <is>
          <t>Values must be of type &lt;class 'str'&gt;</t>
        </is>
      </c>
      <c r="N810" t="inlineStr">
        <is>
          <t>00000000</t>
        </is>
      </c>
      <c r="O810" t="n">
        <v/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</row>
    <row r="811">
      <c r="A811" t="inlineStr">
        <is>
          <t>CashFlow Statement</t>
        </is>
      </c>
      <c r="B811" t="inlineStr">
        <is>
          <t>G67</t>
        </is>
      </c>
      <c r="C811" t="n">
        <v>67</v>
      </c>
      <c r="D811" t="n">
        <v>7</v>
      </c>
      <c r="E811" t="inlineStr">
        <is>
          <t>Input</t>
        </is>
      </c>
      <c r="F811" t="n">
        <v/>
      </c>
      <c r="H811" t="inlineStr"/>
      <c r="I811" t="inlineStr">
        <is>
          <t>0</t>
        </is>
      </c>
      <c r="J811" t="b">
        <v>0</v>
      </c>
      <c r="K811" t="b">
        <v>0</v>
      </c>
      <c r="L811" t="n">
        <v>11</v>
      </c>
      <c r="M811" t="inlineStr">
        <is>
          <t>Values must be of type &lt;class 'str'&gt;</t>
        </is>
      </c>
      <c r="N811" t="inlineStr">
        <is>
          <t>00000000</t>
        </is>
      </c>
      <c r="O811" t="n">
        <v/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</row>
    <row r="812">
      <c r="A812" t="inlineStr">
        <is>
          <t>CashFlow Statement</t>
        </is>
      </c>
      <c r="B812" t="inlineStr">
        <is>
          <t>H67</t>
        </is>
      </c>
      <c r="C812" t="n">
        <v>67</v>
      </c>
      <c r="D812" t="n">
        <v>8</v>
      </c>
      <c r="E812" t="inlineStr">
        <is>
          <t>Input</t>
        </is>
      </c>
      <c r="F812" t="n">
        <v/>
      </c>
      <c r="H812" t="inlineStr"/>
      <c r="I812" t="inlineStr">
        <is>
          <t>0</t>
        </is>
      </c>
      <c r="J812" t="b">
        <v>0</v>
      </c>
      <c r="K812" t="b">
        <v>0</v>
      </c>
      <c r="L812" t="n">
        <v>11</v>
      </c>
      <c r="M812" t="inlineStr">
        <is>
          <t>Values must be of type &lt;class 'str'&gt;</t>
        </is>
      </c>
      <c r="N812" t="inlineStr">
        <is>
          <t>00000000</t>
        </is>
      </c>
      <c r="O812" t="n">
        <v/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</row>
    <row r="813">
      <c r="A813" t="inlineStr">
        <is>
          <t>CashFlow Statement</t>
        </is>
      </c>
      <c r="B813" t="inlineStr">
        <is>
          <t>I67</t>
        </is>
      </c>
      <c r="C813" t="n">
        <v>67</v>
      </c>
      <c r="D813" t="n">
        <v>9</v>
      </c>
      <c r="E813" t="inlineStr">
        <is>
          <t>Input</t>
        </is>
      </c>
      <c r="F813" t="n">
        <v/>
      </c>
      <c r="H813" t="inlineStr"/>
      <c r="I813" t="inlineStr">
        <is>
          <t>0</t>
        </is>
      </c>
      <c r="J813" t="b">
        <v>0</v>
      </c>
      <c r="K813" t="b">
        <v>0</v>
      </c>
      <c r="L813" t="n">
        <v>11</v>
      </c>
      <c r="M813" t="inlineStr">
        <is>
          <t>Values must be of type &lt;class 'str'&gt;</t>
        </is>
      </c>
      <c r="N813" t="inlineStr">
        <is>
          <t>00000000</t>
        </is>
      </c>
      <c r="O813" t="n">
        <v/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</row>
    <row r="814">
      <c r="A814" t="inlineStr">
        <is>
          <t>CashFlow Statement</t>
        </is>
      </c>
      <c r="B814" t="inlineStr">
        <is>
          <t>J67</t>
        </is>
      </c>
      <c r="C814" t="n">
        <v>67</v>
      </c>
      <c r="D814" t="n">
        <v>10</v>
      </c>
      <c r="E814" t="inlineStr">
        <is>
          <t>Input</t>
        </is>
      </c>
      <c r="F814" t="n">
        <v/>
      </c>
      <c r="H814" t="inlineStr"/>
      <c r="I814" t="inlineStr">
        <is>
          <t>0</t>
        </is>
      </c>
      <c r="J814" t="b">
        <v>0</v>
      </c>
      <c r="K814" t="b">
        <v>0</v>
      </c>
      <c r="L814" t="n">
        <v>11</v>
      </c>
      <c r="M814" t="inlineStr">
        <is>
          <t>Values must be of type &lt;class 'str'&gt;</t>
        </is>
      </c>
      <c r="N814" t="inlineStr">
        <is>
          <t>00000000</t>
        </is>
      </c>
      <c r="O814" t="n">
        <v/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</row>
    <row r="815">
      <c r="A815" t="inlineStr">
        <is>
          <t>CashFlow Statement</t>
        </is>
      </c>
      <c r="B815" t="inlineStr">
        <is>
          <t>K67</t>
        </is>
      </c>
      <c r="C815" t="n">
        <v>67</v>
      </c>
      <c r="D815" t="n">
        <v>11</v>
      </c>
      <c r="E815" t="inlineStr">
        <is>
          <t>Input</t>
        </is>
      </c>
      <c r="F815" t="n">
        <v/>
      </c>
      <c r="H815" t="inlineStr"/>
      <c r="I815" t="inlineStr">
        <is>
          <t>0</t>
        </is>
      </c>
      <c r="J815" t="b">
        <v>0</v>
      </c>
      <c r="K815" t="b">
        <v>0</v>
      </c>
      <c r="L815" t="n">
        <v>11</v>
      </c>
      <c r="M815" t="inlineStr">
        <is>
          <t>Values must be of type &lt;class 'str'&gt;</t>
        </is>
      </c>
      <c r="N815" t="inlineStr">
        <is>
          <t>00000000</t>
        </is>
      </c>
      <c r="O815" t="n">
        <v/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</row>
    <row r="816">
      <c r="A816" t="inlineStr">
        <is>
          <t>CashFlow Statement</t>
        </is>
      </c>
      <c r="B816" t="inlineStr">
        <is>
          <t>L67</t>
        </is>
      </c>
      <c r="C816" t="n">
        <v>67</v>
      </c>
      <c r="D816" t="n">
        <v>12</v>
      </c>
      <c r="E816" t="inlineStr">
        <is>
          <t>Input</t>
        </is>
      </c>
      <c r="F816" t="n">
        <v/>
      </c>
      <c r="H816" t="inlineStr"/>
      <c r="I816" t="inlineStr">
        <is>
          <t>0</t>
        </is>
      </c>
      <c r="J816" t="b">
        <v>0</v>
      </c>
      <c r="K816" t="b">
        <v>0</v>
      </c>
      <c r="L816" t="n">
        <v>11</v>
      </c>
      <c r="M816" t="inlineStr">
        <is>
          <t>Values must be of type &lt;class 'str'&gt;</t>
        </is>
      </c>
      <c r="N816" t="inlineStr">
        <is>
          <t>00000000</t>
        </is>
      </c>
      <c r="O816" t="n">
        <v/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</row>
    <row r="817">
      <c r="A817" t="inlineStr">
        <is>
          <t>CashFlow Statement</t>
        </is>
      </c>
      <c r="B817" t="inlineStr">
        <is>
          <t>M67</t>
        </is>
      </c>
      <c r="C817" t="n">
        <v>67</v>
      </c>
      <c r="D817" t="n">
        <v>13</v>
      </c>
      <c r="E817" t="inlineStr">
        <is>
          <t>Input</t>
        </is>
      </c>
      <c r="F817" t="n">
        <v/>
      </c>
      <c r="H817" t="inlineStr"/>
      <c r="I817" t="inlineStr">
        <is>
          <t>0</t>
        </is>
      </c>
      <c r="J817" t="b">
        <v>0</v>
      </c>
      <c r="K817" t="b">
        <v>0</v>
      </c>
      <c r="L817" t="n">
        <v>11</v>
      </c>
      <c r="M817" t="inlineStr">
        <is>
          <t>Values must be of type &lt;class 'str'&gt;</t>
        </is>
      </c>
      <c r="N817" t="inlineStr">
        <is>
          <t>00000000</t>
        </is>
      </c>
      <c r="O817" t="n">
        <v/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</row>
    <row r="818">
      <c r="A818" t="inlineStr">
        <is>
          <t>CashFlow Statement</t>
        </is>
      </c>
      <c r="B818" t="inlineStr">
        <is>
          <t>N67</t>
        </is>
      </c>
      <c r="C818" t="n">
        <v>67</v>
      </c>
      <c r="D818" t="n">
        <v>14</v>
      </c>
      <c r="E818" t="inlineStr">
        <is>
          <t>Input</t>
        </is>
      </c>
      <c r="F818" t="n">
        <v/>
      </c>
      <c r="H818" t="inlineStr"/>
      <c r="I818" t="inlineStr">
        <is>
          <t>0</t>
        </is>
      </c>
      <c r="J818" t="b">
        <v>0</v>
      </c>
      <c r="K818" t="b">
        <v>0</v>
      </c>
      <c r="L818" t="n">
        <v>11</v>
      </c>
      <c r="M818" t="inlineStr">
        <is>
          <t>Values must be of type &lt;class 'str'&gt;</t>
        </is>
      </c>
      <c r="N818" t="inlineStr">
        <is>
          <t>00000000</t>
        </is>
      </c>
      <c r="O818" t="n">
        <v/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</row>
    <row r="819">
      <c r="A819" t="inlineStr">
        <is>
          <t>CashFlow Statement</t>
        </is>
      </c>
      <c r="B819" t="inlineStr">
        <is>
          <t>O67</t>
        </is>
      </c>
      <c r="C819" t="n">
        <v>67</v>
      </c>
      <c r="D819" t="n">
        <v>15</v>
      </c>
      <c r="E819" t="inlineStr">
        <is>
          <t>Input</t>
        </is>
      </c>
      <c r="F819" t="n">
        <v/>
      </c>
      <c r="H819" t="inlineStr"/>
      <c r="I819" t="inlineStr">
        <is>
          <t>0</t>
        </is>
      </c>
      <c r="J819" t="b">
        <v>0</v>
      </c>
      <c r="K819" t="b">
        <v>0</v>
      </c>
      <c r="L819" t="n">
        <v>11</v>
      </c>
      <c r="M819" t="inlineStr">
        <is>
          <t>Values must be of type &lt;class 'str'&gt;</t>
        </is>
      </c>
      <c r="N819" t="inlineStr">
        <is>
          <t>00000000</t>
        </is>
      </c>
      <c r="O819" t="n">
        <v/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</row>
    <row r="820">
      <c r="A820" t="inlineStr">
        <is>
          <t>CashFlow Statement</t>
        </is>
      </c>
      <c r="B820" t="inlineStr">
        <is>
          <t>D68</t>
        </is>
      </c>
      <c r="C820" t="n">
        <v>68</v>
      </c>
      <c r="D820" t="n">
        <v>4</v>
      </c>
      <c r="E820" t="inlineStr">
        <is>
          <t>Input</t>
        </is>
      </c>
      <c r="F820" t="n">
        <v/>
      </c>
      <c r="H820" t="inlineStr"/>
      <c r="I820" t="inlineStr">
        <is>
          <t>0</t>
        </is>
      </c>
      <c r="J820" t="b">
        <v>0</v>
      </c>
      <c r="K820" t="b">
        <v>0</v>
      </c>
      <c r="L820" t="n">
        <v>11</v>
      </c>
      <c r="M820" t="inlineStr">
        <is>
          <t>Values must be of type &lt;class 'str'&gt;</t>
        </is>
      </c>
      <c r="N820" t="inlineStr">
        <is>
          <t>00000000</t>
        </is>
      </c>
      <c r="O820" t="n">
        <v/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</row>
    <row r="821">
      <c r="A821" t="inlineStr">
        <is>
          <t>CashFlow Statement</t>
        </is>
      </c>
      <c r="B821" t="inlineStr">
        <is>
          <t>E68</t>
        </is>
      </c>
      <c r="C821" t="n">
        <v>68</v>
      </c>
      <c r="D821" t="n">
        <v>5</v>
      </c>
      <c r="E821" t="inlineStr">
        <is>
          <t>Input</t>
        </is>
      </c>
      <c r="F821" t="n">
        <v/>
      </c>
      <c r="H821" t="inlineStr"/>
      <c r="I821" t="inlineStr">
        <is>
          <t>0</t>
        </is>
      </c>
      <c r="J821" t="b">
        <v>0</v>
      </c>
      <c r="K821" t="b">
        <v>0</v>
      </c>
      <c r="L821" t="n">
        <v>11</v>
      </c>
      <c r="M821" t="inlineStr">
        <is>
          <t>Values must be of type &lt;class 'str'&gt;</t>
        </is>
      </c>
      <c r="N821" t="inlineStr">
        <is>
          <t>00000000</t>
        </is>
      </c>
      <c r="O821" t="n">
        <v/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</row>
    <row r="822">
      <c r="A822" t="inlineStr">
        <is>
          <t>CashFlow Statement</t>
        </is>
      </c>
      <c r="B822" t="inlineStr">
        <is>
          <t>F68</t>
        </is>
      </c>
      <c r="C822" t="n">
        <v>68</v>
      </c>
      <c r="D822" t="n">
        <v>6</v>
      </c>
      <c r="E822" t="inlineStr">
        <is>
          <t>Input</t>
        </is>
      </c>
      <c r="F822" t="n">
        <v/>
      </c>
      <c r="H822" t="inlineStr"/>
      <c r="I822" t="inlineStr">
        <is>
          <t>0</t>
        </is>
      </c>
      <c r="J822" t="b">
        <v>0</v>
      </c>
      <c r="K822" t="b">
        <v>0</v>
      </c>
      <c r="L822" t="n">
        <v>11</v>
      </c>
      <c r="M822" t="inlineStr">
        <is>
          <t>Values must be of type &lt;class 'str'&gt;</t>
        </is>
      </c>
      <c r="N822" t="inlineStr">
        <is>
          <t>00000000</t>
        </is>
      </c>
      <c r="O822" t="n">
        <v/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</row>
    <row r="823">
      <c r="A823" t="inlineStr">
        <is>
          <t>CashFlow Statement</t>
        </is>
      </c>
      <c r="B823" t="inlineStr">
        <is>
          <t>G68</t>
        </is>
      </c>
      <c r="C823" t="n">
        <v>68</v>
      </c>
      <c r="D823" t="n">
        <v>7</v>
      </c>
      <c r="E823" t="inlineStr">
        <is>
          <t>Input</t>
        </is>
      </c>
      <c r="F823" t="n">
        <v/>
      </c>
      <c r="H823" t="inlineStr"/>
      <c r="I823" t="inlineStr">
        <is>
          <t>0</t>
        </is>
      </c>
      <c r="J823" t="b">
        <v>0</v>
      </c>
      <c r="K823" t="b">
        <v>0</v>
      </c>
      <c r="L823" t="n">
        <v>11</v>
      </c>
      <c r="M823" t="inlineStr">
        <is>
          <t>Values must be of type &lt;class 'str'&gt;</t>
        </is>
      </c>
      <c r="N823" t="inlineStr">
        <is>
          <t>00000000</t>
        </is>
      </c>
      <c r="O823" t="n">
        <v/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</row>
    <row r="824">
      <c r="A824" t="inlineStr">
        <is>
          <t>CashFlow Statement</t>
        </is>
      </c>
      <c r="B824" t="inlineStr">
        <is>
          <t>H68</t>
        </is>
      </c>
      <c r="C824" t="n">
        <v>68</v>
      </c>
      <c r="D824" t="n">
        <v>8</v>
      </c>
      <c r="E824" t="inlineStr">
        <is>
          <t>Input</t>
        </is>
      </c>
      <c r="F824" t="n">
        <v/>
      </c>
      <c r="H824" t="inlineStr"/>
      <c r="I824" t="inlineStr">
        <is>
          <t>0</t>
        </is>
      </c>
      <c r="J824" t="b">
        <v>0</v>
      </c>
      <c r="K824" t="b">
        <v>0</v>
      </c>
      <c r="L824" t="n">
        <v>11</v>
      </c>
      <c r="M824" t="inlineStr">
        <is>
          <t>Values must be of type &lt;class 'str'&gt;</t>
        </is>
      </c>
      <c r="N824" t="inlineStr">
        <is>
          <t>00000000</t>
        </is>
      </c>
      <c r="O824" t="n">
        <v/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</row>
    <row r="825">
      <c r="A825" t="inlineStr">
        <is>
          <t>CashFlow Statement</t>
        </is>
      </c>
      <c r="B825" t="inlineStr">
        <is>
          <t>I68</t>
        </is>
      </c>
      <c r="C825" t="n">
        <v>68</v>
      </c>
      <c r="D825" t="n">
        <v>9</v>
      </c>
      <c r="E825" t="inlineStr">
        <is>
          <t>Input</t>
        </is>
      </c>
      <c r="F825" t="n">
        <v/>
      </c>
      <c r="H825" t="inlineStr"/>
      <c r="I825" t="inlineStr">
        <is>
          <t>0</t>
        </is>
      </c>
      <c r="J825" t="b">
        <v>0</v>
      </c>
      <c r="K825" t="b">
        <v>0</v>
      </c>
      <c r="L825" t="n">
        <v>11</v>
      </c>
      <c r="M825" t="inlineStr">
        <is>
          <t>Values must be of type &lt;class 'str'&gt;</t>
        </is>
      </c>
      <c r="N825" t="inlineStr">
        <is>
          <t>00000000</t>
        </is>
      </c>
      <c r="O825" t="n">
        <v/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</row>
    <row r="826">
      <c r="A826" t="inlineStr">
        <is>
          <t>CashFlow Statement</t>
        </is>
      </c>
      <c r="B826" t="inlineStr">
        <is>
          <t>J68</t>
        </is>
      </c>
      <c r="C826" t="n">
        <v>68</v>
      </c>
      <c r="D826" t="n">
        <v>10</v>
      </c>
      <c r="E826" t="inlineStr">
        <is>
          <t>Input</t>
        </is>
      </c>
      <c r="F826" t="n">
        <v/>
      </c>
      <c r="H826" t="inlineStr"/>
      <c r="I826" t="inlineStr">
        <is>
          <t>0</t>
        </is>
      </c>
      <c r="J826" t="b">
        <v>0</v>
      </c>
      <c r="K826" t="b">
        <v>0</v>
      </c>
      <c r="L826" t="n">
        <v>11</v>
      </c>
      <c r="M826" t="inlineStr">
        <is>
          <t>Values must be of type &lt;class 'str'&gt;</t>
        </is>
      </c>
      <c r="N826" t="inlineStr">
        <is>
          <t>00000000</t>
        </is>
      </c>
      <c r="O826" t="n">
        <v/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</row>
    <row r="827">
      <c r="A827" t="inlineStr">
        <is>
          <t>CashFlow Statement</t>
        </is>
      </c>
      <c r="B827" t="inlineStr">
        <is>
          <t>K68</t>
        </is>
      </c>
      <c r="C827" t="n">
        <v>68</v>
      </c>
      <c r="D827" t="n">
        <v>11</v>
      </c>
      <c r="E827" t="inlineStr">
        <is>
          <t>Input</t>
        </is>
      </c>
      <c r="F827" t="n">
        <v/>
      </c>
      <c r="H827" t="inlineStr"/>
      <c r="I827" t="inlineStr">
        <is>
          <t>0</t>
        </is>
      </c>
      <c r="J827" t="b">
        <v>0</v>
      </c>
      <c r="K827" t="b">
        <v>0</v>
      </c>
      <c r="L827" t="n">
        <v>11</v>
      </c>
      <c r="M827" t="inlineStr">
        <is>
          <t>Values must be of type &lt;class 'str'&gt;</t>
        </is>
      </c>
      <c r="N827" t="inlineStr">
        <is>
          <t>00000000</t>
        </is>
      </c>
      <c r="O827" t="n">
        <v/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</row>
    <row r="828">
      <c r="A828" t="inlineStr">
        <is>
          <t>CashFlow Statement</t>
        </is>
      </c>
      <c r="B828" t="inlineStr">
        <is>
          <t>L68</t>
        </is>
      </c>
      <c r="C828" t="n">
        <v>68</v>
      </c>
      <c r="D828" t="n">
        <v>12</v>
      </c>
      <c r="E828" t="inlineStr">
        <is>
          <t>Input</t>
        </is>
      </c>
      <c r="F828" t="n">
        <v/>
      </c>
      <c r="H828" t="inlineStr"/>
      <c r="I828" t="inlineStr">
        <is>
          <t>0</t>
        </is>
      </c>
      <c r="J828" t="b">
        <v>0</v>
      </c>
      <c r="K828" t="b">
        <v>0</v>
      </c>
      <c r="L828" t="n">
        <v>11</v>
      </c>
      <c r="M828" t="inlineStr">
        <is>
          <t>Values must be of type &lt;class 'str'&gt;</t>
        </is>
      </c>
      <c r="N828" t="inlineStr">
        <is>
          <t>00000000</t>
        </is>
      </c>
      <c r="O828" t="n">
        <v/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</row>
    <row r="829">
      <c r="A829" t="inlineStr">
        <is>
          <t>CashFlow Statement</t>
        </is>
      </c>
      <c r="B829" t="inlineStr">
        <is>
          <t>M68</t>
        </is>
      </c>
      <c r="C829" t="n">
        <v>68</v>
      </c>
      <c r="D829" t="n">
        <v>13</v>
      </c>
      <c r="E829" t="inlineStr">
        <is>
          <t>Input</t>
        </is>
      </c>
      <c r="F829" t="n">
        <v/>
      </c>
      <c r="H829" t="inlineStr"/>
      <c r="I829" t="inlineStr">
        <is>
          <t>0</t>
        </is>
      </c>
      <c r="J829" t="b">
        <v>0</v>
      </c>
      <c r="K829" t="b">
        <v>0</v>
      </c>
      <c r="L829" t="n">
        <v>11</v>
      </c>
      <c r="M829" t="inlineStr">
        <is>
          <t>Values must be of type &lt;class 'str'&gt;</t>
        </is>
      </c>
      <c r="N829" t="inlineStr">
        <is>
          <t>00000000</t>
        </is>
      </c>
      <c r="O829" t="n">
        <v/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</row>
    <row r="830">
      <c r="A830" t="inlineStr">
        <is>
          <t>CashFlow Statement</t>
        </is>
      </c>
      <c r="B830" t="inlineStr">
        <is>
          <t>N68</t>
        </is>
      </c>
      <c r="C830" t="n">
        <v>68</v>
      </c>
      <c r="D830" t="n">
        <v>14</v>
      </c>
      <c r="E830" t="inlineStr">
        <is>
          <t>Input</t>
        </is>
      </c>
      <c r="F830" t="n">
        <v/>
      </c>
      <c r="H830" t="inlineStr"/>
      <c r="I830" t="inlineStr">
        <is>
          <t>0</t>
        </is>
      </c>
      <c r="J830" t="b">
        <v>0</v>
      </c>
      <c r="K830" t="b">
        <v>0</v>
      </c>
      <c r="L830" t="n">
        <v>11</v>
      </c>
      <c r="M830" t="inlineStr">
        <is>
          <t>Values must be of type &lt;class 'str'&gt;</t>
        </is>
      </c>
      <c r="N830" t="inlineStr">
        <is>
          <t>00000000</t>
        </is>
      </c>
      <c r="O830" t="n">
        <v/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</row>
    <row r="831">
      <c r="A831" t="inlineStr">
        <is>
          <t>CashFlow Statement</t>
        </is>
      </c>
      <c r="B831" t="inlineStr">
        <is>
          <t>O68</t>
        </is>
      </c>
      <c r="C831" t="n">
        <v>68</v>
      </c>
      <c r="D831" t="n">
        <v>15</v>
      </c>
      <c r="E831" t="inlineStr">
        <is>
          <t>Input</t>
        </is>
      </c>
      <c r="F831" t="n">
        <v/>
      </c>
      <c r="H831" t="inlineStr"/>
      <c r="I831" t="inlineStr">
        <is>
          <t>0</t>
        </is>
      </c>
      <c r="J831" t="b">
        <v>0</v>
      </c>
      <c r="K831" t="b">
        <v>0</v>
      </c>
      <c r="L831" t="n">
        <v>11</v>
      </c>
      <c r="M831" t="inlineStr">
        <is>
          <t>Values must be of type &lt;class 'str'&gt;</t>
        </is>
      </c>
      <c r="N831" t="inlineStr">
        <is>
          <t>00000000</t>
        </is>
      </c>
      <c r="O831" t="n">
        <v/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</row>
    <row r="832">
      <c r="A832" t="inlineStr">
        <is>
          <t>CashFlow Statement</t>
        </is>
      </c>
      <c r="B832" t="inlineStr">
        <is>
          <t>D69</t>
        </is>
      </c>
      <c r="C832" t="n">
        <v>69</v>
      </c>
      <c r="D832" t="n">
        <v>4</v>
      </c>
      <c r="E832" t="inlineStr">
        <is>
          <t>Input</t>
        </is>
      </c>
      <c r="F832" t="n">
        <v/>
      </c>
      <c r="H832" t="inlineStr"/>
      <c r="I832" t="inlineStr">
        <is>
          <t>0</t>
        </is>
      </c>
      <c r="J832" t="b">
        <v>0</v>
      </c>
      <c r="K832" t="b">
        <v>0</v>
      </c>
      <c r="L832" t="n">
        <v>11</v>
      </c>
      <c r="M832" t="inlineStr">
        <is>
          <t>Values must be of type &lt;class 'str'&gt;</t>
        </is>
      </c>
      <c r="N832" t="inlineStr">
        <is>
          <t>00000000</t>
        </is>
      </c>
      <c r="O832" t="n">
        <v/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</row>
    <row r="833">
      <c r="A833" t="inlineStr">
        <is>
          <t>CashFlow Statement</t>
        </is>
      </c>
      <c r="B833" t="inlineStr">
        <is>
          <t>E69</t>
        </is>
      </c>
      <c r="C833" t="n">
        <v>69</v>
      </c>
      <c r="D833" t="n">
        <v>5</v>
      </c>
      <c r="E833" t="inlineStr">
        <is>
          <t>Input</t>
        </is>
      </c>
      <c r="F833" t="n">
        <v/>
      </c>
      <c r="H833" t="inlineStr"/>
      <c r="I833" t="inlineStr">
        <is>
          <t>0</t>
        </is>
      </c>
      <c r="J833" t="b">
        <v>0</v>
      </c>
      <c r="K833" t="b">
        <v>0</v>
      </c>
      <c r="L833" t="n">
        <v>11</v>
      </c>
      <c r="M833" t="inlineStr">
        <is>
          <t>Values must be of type &lt;class 'str'&gt;</t>
        </is>
      </c>
      <c r="N833" t="inlineStr">
        <is>
          <t>00000000</t>
        </is>
      </c>
      <c r="O833" t="n">
        <v/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</row>
    <row r="834">
      <c r="A834" t="inlineStr">
        <is>
          <t>CashFlow Statement</t>
        </is>
      </c>
      <c r="B834" t="inlineStr">
        <is>
          <t>F69</t>
        </is>
      </c>
      <c r="C834" t="n">
        <v>69</v>
      </c>
      <c r="D834" t="n">
        <v>6</v>
      </c>
      <c r="E834" t="inlineStr">
        <is>
          <t>Input</t>
        </is>
      </c>
      <c r="F834" t="n">
        <v/>
      </c>
      <c r="H834" t="inlineStr"/>
      <c r="I834" t="inlineStr">
        <is>
          <t>0</t>
        </is>
      </c>
      <c r="J834" t="b">
        <v>0</v>
      </c>
      <c r="K834" t="b">
        <v>0</v>
      </c>
      <c r="L834" t="n">
        <v>11</v>
      </c>
      <c r="M834" t="inlineStr">
        <is>
          <t>Values must be of type &lt;class 'str'&gt;</t>
        </is>
      </c>
      <c r="N834" t="inlineStr">
        <is>
          <t>00000000</t>
        </is>
      </c>
      <c r="O834" t="n">
        <v/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</row>
    <row r="835">
      <c r="A835" t="inlineStr">
        <is>
          <t>CashFlow Statement</t>
        </is>
      </c>
      <c r="B835" t="inlineStr">
        <is>
          <t>G69</t>
        </is>
      </c>
      <c r="C835" t="n">
        <v>69</v>
      </c>
      <c r="D835" t="n">
        <v>7</v>
      </c>
      <c r="E835" t="inlineStr">
        <is>
          <t>Input</t>
        </is>
      </c>
      <c r="F835" t="n">
        <v/>
      </c>
      <c r="H835" t="inlineStr"/>
      <c r="I835" t="inlineStr">
        <is>
          <t>0</t>
        </is>
      </c>
      <c r="J835" t="b">
        <v>0</v>
      </c>
      <c r="K835" t="b">
        <v>0</v>
      </c>
      <c r="L835" t="n">
        <v>11</v>
      </c>
      <c r="M835" t="inlineStr">
        <is>
          <t>Values must be of type &lt;class 'str'&gt;</t>
        </is>
      </c>
      <c r="N835" t="inlineStr">
        <is>
          <t>00000000</t>
        </is>
      </c>
      <c r="O835" t="n">
        <v/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</row>
    <row r="836">
      <c r="A836" t="inlineStr">
        <is>
          <t>CashFlow Statement</t>
        </is>
      </c>
      <c r="B836" t="inlineStr">
        <is>
          <t>H69</t>
        </is>
      </c>
      <c r="C836" t="n">
        <v>69</v>
      </c>
      <c r="D836" t="n">
        <v>8</v>
      </c>
      <c r="E836" t="inlineStr">
        <is>
          <t>Input</t>
        </is>
      </c>
      <c r="F836" t="n">
        <v/>
      </c>
      <c r="H836" t="inlineStr"/>
      <c r="I836" t="inlineStr">
        <is>
          <t>0</t>
        </is>
      </c>
      <c r="J836" t="b">
        <v>0</v>
      </c>
      <c r="K836" t="b">
        <v>0</v>
      </c>
      <c r="L836" t="n">
        <v>11</v>
      </c>
      <c r="M836" t="inlineStr">
        <is>
          <t>Values must be of type &lt;class 'str'&gt;</t>
        </is>
      </c>
      <c r="N836" t="inlineStr">
        <is>
          <t>00000000</t>
        </is>
      </c>
      <c r="O836" t="n">
        <v/>
      </c>
      <c r="R836" t="b">
        <v>0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</row>
    <row r="837">
      <c r="A837" t="inlineStr">
        <is>
          <t>CashFlow Statement</t>
        </is>
      </c>
      <c r="B837" t="inlineStr">
        <is>
          <t>I69</t>
        </is>
      </c>
      <c r="C837" t="n">
        <v>69</v>
      </c>
      <c r="D837" t="n">
        <v>9</v>
      </c>
      <c r="E837" t="inlineStr">
        <is>
          <t>Input</t>
        </is>
      </c>
      <c r="F837" t="n">
        <v/>
      </c>
      <c r="H837" t="inlineStr"/>
      <c r="I837" t="inlineStr">
        <is>
          <t>0</t>
        </is>
      </c>
      <c r="J837" t="b">
        <v>0</v>
      </c>
      <c r="K837" t="b">
        <v>0</v>
      </c>
      <c r="L837" t="n">
        <v>11</v>
      </c>
      <c r="M837" t="inlineStr">
        <is>
          <t>Values must be of type &lt;class 'str'&gt;</t>
        </is>
      </c>
      <c r="N837" t="inlineStr">
        <is>
          <t>00000000</t>
        </is>
      </c>
      <c r="O837" t="n">
        <v/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</row>
    <row r="838">
      <c r="A838" t="inlineStr">
        <is>
          <t>CashFlow Statement</t>
        </is>
      </c>
      <c r="B838" t="inlineStr">
        <is>
          <t>J69</t>
        </is>
      </c>
      <c r="C838" t="n">
        <v>69</v>
      </c>
      <c r="D838" t="n">
        <v>10</v>
      </c>
      <c r="E838" t="inlineStr">
        <is>
          <t>Input</t>
        </is>
      </c>
      <c r="F838" t="n">
        <v/>
      </c>
      <c r="H838" t="inlineStr"/>
      <c r="I838" t="inlineStr">
        <is>
          <t>0</t>
        </is>
      </c>
      <c r="J838" t="b">
        <v>0</v>
      </c>
      <c r="K838" t="b">
        <v>0</v>
      </c>
      <c r="L838" t="n">
        <v>11</v>
      </c>
      <c r="M838" t="inlineStr">
        <is>
          <t>Values must be of type &lt;class 'str'&gt;</t>
        </is>
      </c>
      <c r="N838" t="inlineStr">
        <is>
          <t>00000000</t>
        </is>
      </c>
      <c r="O838" t="n">
        <v/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</row>
    <row r="839">
      <c r="A839" t="inlineStr">
        <is>
          <t>CashFlow Statement</t>
        </is>
      </c>
      <c r="B839" t="inlineStr">
        <is>
          <t>K69</t>
        </is>
      </c>
      <c r="C839" t="n">
        <v>69</v>
      </c>
      <c r="D839" t="n">
        <v>11</v>
      </c>
      <c r="E839" t="inlineStr">
        <is>
          <t>Input</t>
        </is>
      </c>
      <c r="F839" t="n">
        <v/>
      </c>
      <c r="H839" t="inlineStr"/>
      <c r="I839" t="inlineStr">
        <is>
          <t>0</t>
        </is>
      </c>
      <c r="J839" t="b">
        <v>0</v>
      </c>
      <c r="K839" t="b">
        <v>0</v>
      </c>
      <c r="L839" t="n">
        <v>11</v>
      </c>
      <c r="M839" t="inlineStr">
        <is>
          <t>Values must be of type &lt;class 'str'&gt;</t>
        </is>
      </c>
      <c r="N839" t="inlineStr">
        <is>
          <t>00000000</t>
        </is>
      </c>
      <c r="O839" t="n">
        <v/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</row>
    <row r="840">
      <c r="A840" t="inlineStr">
        <is>
          <t>CashFlow Statement</t>
        </is>
      </c>
      <c r="B840" t="inlineStr">
        <is>
          <t>L69</t>
        </is>
      </c>
      <c r="C840" t="n">
        <v>69</v>
      </c>
      <c r="D840" t="n">
        <v>12</v>
      </c>
      <c r="E840" t="inlineStr">
        <is>
          <t>Input</t>
        </is>
      </c>
      <c r="F840" t="n">
        <v/>
      </c>
      <c r="H840" t="inlineStr"/>
      <c r="I840" t="inlineStr">
        <is>
          <t>0</t>
        </is>
      </c>
      <c r="J840" t="b">
        <v>0</v>
      </c>
      <c r="K840" t="b">
        <v>0</v>
      </c>
      <c r="L840" t="n">
        <v>11</v>
      </c>
      <c r="M840" t="inlineStr">
        <is>
          <t>Values must be of type &lt;class 'str'&gt;</t>
        </is>
      </c>
      <c r="N840" t="inlineStr">
        <is>
          <t>00000000</t>
        </is>
      </c>
      <c r="O840" t="n">
        <v/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</row>
    <row r="841">
      <c r="A841" t="inlineStr">
        <is>
          <t>CashFlow Statement</t>
        </is>
      </c>
      <c r="B841" t="inlineStr">
        <is>
          <t>M69</t>
        </is>
      </c>
      <c r="C841" t="n">
        <v>69</v>
      </c>
      <c r="D841" t="n">
        <v>13</v>
      </c>
      <c r="E841" t="inlineStr">
        <is>
          <t>Input</t>
        </is>
      </c>
      <c r="F841" t="n">
        <v/>
      </c>
      <c r="H841" t="inlineStr"/>
      <c r="I841" t="inlineStr">
        <is>
          <t>0</t>
        </is>
      </c>
      <c r="J841" t="b">
        <v>0</v>
      </c>
      <c r="K841" t="b">
        <v>0</v>
      </c>
      <c r="L841" t="n">
        <v>11</v>
      </c>
      <c r="M841" t="inlineStr">
        <is>
          <t>Values must be of type &lt;class 'str'&gt;</t>
        </is>
      </c>
      <c r="N841" t="inlineStr">
        <is>
          <t>00000000</t>
        </is>
      </c>
      <c r="O841" t="n">
        <v/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</row>
    <row r="842">
      <c r="A842" t="inlineStr">
        <is>
          <t>CashFlow Statement</t>
        </is>
      </c>
      <c r="B842" t="inlineStr">
        <is>
          <t>N69</t>
        </is>
      </c>
      <c r="C842" t="n">
        <v>69</v>
      </c>
      <c r="D842" t="n">
        <v>14</v>
      </c>
      <c r="E842" t="inlineStr">
        <is>
          <t>Input</t>
        </is>
      </c>
      <c r="F842" t="n">
        <v/>
      </c>
      <c r="H842" t="inlineStr"/>
      <c r="I842" t="inlineStr">
        <is>
          <t>0</t>
        </is>
      </c>
      <c r="J842" t="b">
        <v>0</v>
      </c>
      <c r="K842" t="b">
        <v>0</v>
      </c>
      <c r="L842" t="n">
        <v>11</v>
      </c>
      <c r="M842" t="inlineStr">
        <is>
          <t>Values must be of type &lt;class 'str'&gt;</t>
        </is>
      </c>
      <c r="N842" t="inlineStr">
        <is>
          <t>00000000</t>
        </is>
      </c>
      <c r="O842" t="n">
        <v/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</row>
    <row r="843">
      <c r="A843" t="inlineStr">
        <is>
          <t>CashFlow Statement</t>
        </is>
      </c>
      <c r="B843" t="inlineStr">
        <is>
          <t>O69</t>
        </is>
      </c>
      <c r="C843" t="n">
        <v>69</v>
      </c>
      <c r="D843" t="n">
        <v>15</v>
      </c>
      <c r="E843" t="inlineStr">
        <is>
          <t>Input</t>
        </is>
      </c>
      <c r="F843" t="n">
        <v/>
      </c>
      <c r="H843" t="inlineStr"/>
      <c r="I843" t="inlineStr">
        <is>
          <t>0</t>
        </is>
      </c>
      <c r="J843" t="b">
        <v>0</v>
      </c>
      <c r="K843" t="b">
        <v>0</v>
      </c>
      <c r="L843" t="n">
        <v>11</v>
      </c>
      <c r="M843" t="inlineStr">
        <is>
          <t>Values must be of type &lt;class 'str'&gt;</t>
        </is>
      </c>
      <c r="N843" t="inlineStr">
        <is>
          <t>00000000</t>
        </is>
      </c>
      <c r="O843" t="n">
        <v/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</row>
    <row r="844">
      <c r="A844" t="inlineStr">
        <is>
          <t>CashFlow Statement</t>
        </is>
      </c>
      <c r="B844" t="inlineStr">
        <is>
          <t>D70</t>
        </is>
      </c>
      <c r="C844" t="n">
        <v>70</v>
      </c>
      <c r="D844" t="n">
        <v>4</v>
      </c>
      <c r="E844" t="inlineStr">
        <is>
          <t>Input</t>
        </is>
      </c>
      <c r="F844" t="n">
        <v/>
      </c>
      <c r="H844" t="inlineStr"/>
      <c r="I844" t="inlineStr">
        <is>
          <t>0</t>
        </is>
      </c>
      <c r="J844" t="b">
        <v>0</v>
      </c>
      <c r="K844" t="b">
        <v>0</v>
      </c>
      <c r="L844" t="n">
        <v>11</v>
      </c>
      <c r="M844" t="inlineStr">
        <is>
          <t>Values must be of type &lt;class 'str'&gt;</t>
        </is>
      </c>
      <c r="N844" t="inlineStr">
        <is>
          <t>00000000</t>
        </is>
      </c>
      <c r="O844" t="n">
        <v/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</row>
    <row r="845">
      <c r="A845" t="inlineStr">
        <is>
          <t>CashFlow Statement</t>
        </is>
      </c>
      <c r="B845" t="inlineStr">
        <is>
          <t>E70</t>
        </is>
      </c>
      <c r="C845" t="n">
        <v>70</v>
      </c>
      <c r="D845" t="n">
        <v>5</v>
      </c>
      <c r="E845" t="inlineStr">
        <is>
          <t>Input</t>
        </is>
      </c>
      <c r="F845" t="n">
        <v/>
      </c>
      <c r="H845" t="inlineStr"/>
      <c r="I845" t="inlineStr">
        <is>
          <t>0</t>
        </is>
      </c>
      <c r="J845" t="b">
        <v>0</v>
      </c>
      <c r="K845" t="b">
        <v>0</v>
      </c>
      <c r="L845" t="n">
        <v>11</v>
      </c>
      <c r="M845" t="inlineStr">
        <is>
          <t>Values must be of type &lt;class 'str'&gt;</t>
        </is>
      </c>
      <c r="N845" t="inlineStr">
        <is>
          <t>00000000</t>
        </is>
      </c>
      <c r="O845" t="n">
        <v/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</row>
    <row r="846">
      <c r="A846" t="inlineStr">
        <is>
          <t>CashFlow Statement</t>
        </is>
      </c>
      <c r="B846" t="inlineStr">
        <is>
          <t>F70</t>
        </is>
      </c>
      <c r="C846" t="n">
        <v>70</v>
      </c>
      <c r="D846" t="n">
        <v>6</v>
      </c>
      <c r="E846" t="inlineStr">
        <is>
          <t>Input</t>
        </is>
      </c>
      <c r="F846" t="n">
        <v/>
      </c>
      <c r="H846" t="inlineStr"/>
      <c r="I846" t="inlineStr">
        <is>
          <t>0</t>
        </is>
      </c>
      <c r="J846" t="b">
        <v>0</v>
      </c>
      <c r="K846" t="b">
        <v>0</v>
      </c>
      <c r="L846" t="n">
        <v>11</v>
      </c>
      <c r="M846" t="inlineStr">
        <is>
          <t>Values must be of type &lt;class 'str'&gt;</t>
        </is>
      </c>
      <c r="N846" t="inlineStr">
        <is>
          <t>00000000</t>
        </is>
      </c>
      <c r="O846" t="n">
        <v/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</row>
    <row r="847">
      <c r="A847" t="inlineStr">
        <is>
          <t>CashFlow Statement</t>
        </is>
      </c>
      <c r="B847" t="inlineStr">
        <is>
          <t>G70</t>
        </is>
      </c>
      <c r="C847" t="n">
        <v>70</v>
      </c>
      <c r="D847" t="n">
        <v>7</v>
      </c>
      <c r="E847" t="inlineStr">
        <is>
          <t>Input</t>
        </is>
      </c>
      <c r="F847" t="n">
        <v/>
      </c>
      <c r="H847" t="inlineStr"/>
      <c r="I847" t="inlineStr">
        <is>
          <t>0</t>
        </is>
      </c>
      <c r="J847" t="b">
        <v>0</v>
      </c>
      <c r="K847" t="b">
        <v>0</v>
      </c>
      <c r="L847" t="n">
        <v>11</v>
      </c>
      <c r="M847" t="inlineStr">
        <is>
          <t>Values must be of type &lt;class 'str'&gt;</t>
        </is>
      </c>
      <c r="N847" t="inlineStr">
        <is>
          <t>00000000</t>
        </is>
      </c>
      <c r="O847" t="n">
        <v/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</row>
    <row r="848">
      <c r="A848" t="inlineStr">
        <is>
          <t>CashFlow Statement</t>
        </is>
      </c>
      <c r="B848" t="inlineStr">
        <is>
          <t>H70</t>
        </is>
      </c>
      <c r="C848" t="n">
        <v>70</v>
      </c>
      <c r="D848" t="n">
        <v>8</v>
      </c>
      <c r="E848" t="inlineStr">
        <is>
          <t>Input</t>
        </is>
      </c>
      <c r="F848" t="n">
        <v/>
      </c>
      <c r="H848" t="inlineStr"/>
      <c r="I848" t="inlineStr">
        <is>
          <t>0</t>
        </is>
      </c>
      <c r="J848" t="b">
        <v>0</v>
      </c>
      <c r="K848" t="b">
        <v>0</v>
      </c>
      <c r="L848" t="n">
        <v>11</v>
      </c>
      <c r="M848" t="inlineStr">
        <is>
          <t>Values must be of type &lt;class 'str'&gt;</t>
        </is>
      </c>
      <c r="N848" t="inlineStr">
        <is>
          <t>00000000</t>
        </is>
      </c>
      <c r="O848" t="n">
        <v/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</row>
    <row r="849">
      <c r="A849" t="inlineStr">
        <is>
          <t>CashFlow Statement</t>
        </is>
      </c>
      <c r="B849" t="inlineStr">
        <is>
          <t>I70</t>
        </is>
      </c>
      <c r="C849" t="n">
        <v>70</v>
      </c>
      <c r="D849" t="n">
        <v>9</v>
      </c>
      <c r="E849" t="inlineStr">
        <is>
          <t>Input</t>
        </is>
      </c>
      <c r="F849" t="n">
        <v/>
      </c>
      <c r="H849" t="inlineStr"/>
      <c r="I849" t="inlineStr">
        <is>
          <t>0</t>
        </is>
      </c>
      <c r="J849" t="b">
        <v>0</v>
      </c>
      <c r="K849" t="b">
        <v>0</v>
      </c>
      <c r="L849" t="n">
        <v>11</v>
      </c>
      <c r="M849" t="inlineStr">
        <is>
          <t>Values must be of type &lt;class 'str'&gt;</t>
        </is>
      </c>
      <c r="N849" t="inlineStr">
        <is>
          <t>00000000</t>
        </is>
      </c>
      <c r="O849" t="n">
        <v/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</row>
    <row r="850">
      <c r="A850" t="inlineStr">
        <is>
          <t>CashFlow Statement</t>
        </is>
      </c>
      <c r="B850" t="inlineStr">
        <is>
          <t>J70</t>
        </is>
      </c>
      <c r="C850" t="n">
        <v>70</v>
      </c>
      <c r="D850" t="n">
        <v>10</v>
      </c>
      <c r="E850" t="inlineStr">
        <is>
          <t>Input</t>
        </is>
      </c>
      <c r="F850" t="n">
        <v/>
      </c>
      <c r="H850" t="inlineStr"/>
      <c r="I850" t="inlineStr">
        <is>
          <t>0</t>
        </is>
      </c>
      <c r="J850" t="b">
        <v>0</v>
      </c>
      <c r="K850" t="b">
        <v>0</v>
      </c>
      <c r="L850" t="n">
        <v>11</v>
      </c>
      <c r="M850" t="inlineStr">
        <is>
          <t>Values must be of type &lt;class 'str'&gt;</t>
        </is>
      </c>
      <c r="N850" t="inlineStr">
        <is>
          <t>00000000</t>
        </is>
      </c>
      <c r="O850" t="n">
        <v/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</row>
    <row r="851">
      <c r="A851" t="inlineStr">
        <is>
          <t>CashFlow Statement</t>
        </is>
      </c>
      <c r="B851" t="inlineStr">
        <is>
          <t>K70</t>
        </is>
      </c>
      <c r="C851" t="n">
        <v>70</v>
      </c>
      <c r="D851" t="n">
        <v>11</v>
      </c>
      <c r="E851" t="inlineStr">
        <is>
          <t>Input</t>
        </is>
      </c>
      <c r="F851" t="n">
        <v/>
      </c>
      <c r="H851" t="inlineStr"/>
      <c r="I851" t="inlineStr">
        <is>
          <t>0</t>
        </is>
      </c>
      <c r="J851" t="b">
        <v>0</v>
      </c>
      <c r="K851" t="b">
        <v>0</v>
      </c>
      <c r="L851" t="n">
        <v>11</v>
      </c>
      <c r="M851" t="inlineStr">
        <is>
          <t>Values must be of type &lt;class 'str'&gt;</t>
        </is>
      </c>
      <c r="N851" t="inlineStr">
        <is>
          <t>00000000</t>
        </is>
      </c>
      <c r="O851" t="n">
        <v/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</row>
    <row r="852">
      <c r="A852" t="inlineStr">
        <is>
          <t>CashFlow Statement</t>
        </is>
      </c>
      <c r="B852" t="inlineStr">
        <is>
          <t>L70</t>
        </is>
      </c>
      <c r="C852" t="n">
        <v>70</v>
      </c>
      <c r="D852" t="n">
        <v>12</v>
      </c>
      <c r="E852" t="inlineStr">
        <is>
          <t>Input</t>
        </is>
      </c>
      <c r="F852" t="n">
        <v/>
      </c>
      <c r="H852" t="inlineStr"/>
      <c r="I852" t="inlineStr">
        <is>
          <t>0</t>
        </is>
      </c>
      <c r="J852" t="b">
        <v>0</v>
      </c>
      <c r="K852" t="b">
        <v>0</v>
      </c>
      <c r="L852" t="n">
        <v>11</v>
      </c>
      <c r="M852" t="inlineStr">
        <is>
          <t>Values must be of type &lt;class 'str'&gt;</t>
        </is>
      </c>
      <c r="N852" t="inlineStr">
        <is>
          <t>00000000</t>
        </is>
      </c>
      <c r="O852" t="n">
        <v/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</row>
    <row r="853">
      <c r="A853" t="inlineStr">
        <is>
          <t>CashFlow Statement</t>
        </is>
      </c>
      <c r="B853" t="inlineStr">
        <is>
          <t>M70</t>
        </is>
      </c>
      <c r="C853" t="n">
        <v>70</v>
      </c>
      <c r="D853" t="n">
        <v>13</v>
      </c>
      <c r="E853" t="inlineStr">
        <is>
          <t>Input</t>
        </is>
      </c>
      <c r="F853" t="n">
        <v/>
      </c>
      <c r="H853" t="inlineStr"/>
      <c r="I853" t="inlineStr">
        <is>
          <t>0</t>
        </is>
      </c>
      <c r="J853" t="b">
        <v>0</v>
      </c>
      <c r="K853" t="b">
        <v>0</v>
      </c>
      <c r="L853" t="n">
        <v>11</v>
      </c>
      <c r="M853" t="inlineStr">
        <is>
          <t>Values must be of type &lt;class 'str'&gt;</t>
        </is>
      </c>
      <c r="N853" t="inlineStr">
        <is>
          <t>00000000</t>
        </is>
      </c>
      <c r="O853" t="n">
        <v/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</row>
    <row r="854">
      <c r="A854" t="inlineStr">
        <is>
          <t>CashFlow Statement</t>
        </is>
      </c>
      <c r="B854" t="inlineStr">
        <is>
          <t>N70</t>
        </is>
      </c>
      <c r="C854" t="n">
        <v>70</v>
      </c>
      <c r="D854" t="n">
        <v>14</v>
      </c>
      <c r="E854" t="inlineStr">
        <is>
          <t>Input</t>
        </is>
      </c>
      <c r="F854" t="n">
        <v/>
      </c>
      <c r="H854" t="inlineStr"/>
      <c r="I854" t="inlineStr">
        <is>
          <t>0</t>
        </is>
      </c>
      <c r="J854" t="b">
        <v>0</v>
      </c>
      <c r="K854" t="b">
        <v>0</v>
      </c>
      <c r="L854" t="n">
        <v>11</v>
      </c>
      <c r="M854" t="inlineStr">
        <is>
          <t>Values must be of type &lt;class 'str'&gt;</t>
        </is>
      </c>
      <c r="N854" t="inlineStr">
        <is>
          <t>00000000</t>
        </is>
      </c>
      <c r="O854" t="n">
        <v/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</row>
    <row r="855">
      <c r="A855" t="inlineStr">
        <is>
          <t>CashFlow Statement</t>
        </is>
      </c>
      <c r="B855" t="inlineStr">
        <is>
          <t>O70</t>
        </is>
      </c>
      <c r="C855" t="n">
        <v>70</v>
      </c>
      <c r="D855" t="n">
        <v>15</v>
      </c>
      <c r="E855" t="inlineStr">
        <is>
          <t>Input</t>
        </is>
      </c>
      <c r="F855" t="n">
        <v/>
      </c>
      <c r="H855" t="inlineStr"/>
      <c r="I855" t="inlineStr">
        <is>
          <t>0</t>
        </is>
      </c>
      <c r="J855" t="b">
        <v>0</v>
      </c>
      <c r="K855" t="b">
        <v>0</v>
      </c>
      <c r="L855" t="n">
        <v>11</v>
      </c>
      <c r="M855" t="inlineStr">
        <is>
          <t>Values must be of type &lt;class 'str'&gt;</t>
        </is>
      </c>
      <c r="N855" t="inlineStr">
        <is>
          <t>00000000</t>
        </is>
      </c>
      <c r="O855" t="n">
        <v/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</row>
    <row r="856">
      <c r="A856" t="inlineStr">
        <is>
          <t>CashFlow Statement</t>
        </is>
      </c>
      <c r="B856" t="inlineStr">
        <is>
          <t>D71</t>
        </is>
      </c>
      <c r="C856" t="n">
        <v>71</v>
      </c>
      <c r="D856" t="n">
        <v>4</v>
      </c>
      <c r="E856" t="inlineStr">
        <is>
          <t>Input</t>
        </is>
      </c>
      <c r="F856" t="n">
        <v/>
      </c>
      <c r="H856" t="inlineStr"/>
      <c r="I856" t="inlineStr">
        <is>
          <t>0</t>
        </is>
      </c>
      <c r="J856" t="b">
        <v>0</v>
      </c>
      <c r="K856" t="b">
        <v>0</v>
      </c>
      <c r="L856" t="n">
        <v>11</v>
      </c>
      <c r="M856" t="inlineStr">
        <is>
          <t>Values must be of type &lt;class 'str'&gt;</t>
        </is>
      </c>
      <c r="N856" t="inlineStr">
        <is>
          <t>00000000</t>
        </is>
      </c>
      <c r="O856" t="n">
        <v/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</row>
    <row r="857">
      <c r="A857" t="inlineStr">
        <is>
          <t>CashFlow Statement</t>
        </is>
      </c>
      <c r="B857" t="inlineStr">
        <is>
          <t>E71</t>
        </is>
      </c>
      <c r="C857" t="n">
        <v>71</v>
      </c>
      <c r="D857" t="n">
        <v>5</v>
      </c>
      <c r="E857" t="inlineStr">
        <is>
          <t>Input</t>
        </is>
      </c>
      <c r="F857" t="n">
        <v/>
      </c>
      <c r="H857" t="inlineStr"/>
      <c r="I857" t="inlineStr">
        <is>
          <t>0</t>
        </is>
      </c>
      <c r="J857" t="b">
        <v>0</v>
      </c>
      <c r="K857" t="b">
        <v>0</v>
      </c>
      <c r="L857" t="n">
        <v>11</v>
      </c>
      <c r="M857" t="inlineStr">
        <is>
          <t>Values must be of type &lt;class 'str'&gt;</t>
        </is>
      </c>
      <c r="N857" t="inlineStr">
        <is>
          <t>00000000</t>
        </is>
      </c>
      <c r="O857" t="n">
        <v/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</row>
    <row r="858">
      <c r="A858" t="inlineStr">
        <is>
          <t>CashFlow Statement</t>
        </is>
      </c>
      <c r="B858" t="inlineStr">
        <is>
          <t>F71</t>
        </is>
      </c>
      <c r="C858" t="n">
        <v>71</v>
      </c>
      <c r="D858" t="n">
        <v>6</v>
      </c>
      <c r="E858" t="inlineStr">
        <is>
          <t>Input</t>
        </is>
      </c>
      <c r="F858" t="n">
        <v/>
      </c>
      <c r="H858" t="inlineStr"/>
      <c r="I858" t="inlineStr">
        <is>
          <t>0</t>
        </is>
      </c>
      <c r="J858" t="b">
        <v>0</v>
      </c>
      <c r="K858" t="b">
        <v>0</v>
      </c>
      <c r="L858" t="n">
        <v>11</v>
      </c>
      <c r="M858" t="inlineStr">
        <is>
          <t>Values must be of type &lt;class 'str'&gt;</t>
        </is>
      </c>
      <c r="N858" t="inlineStr">
        <is>
          <t>00000000</t>
        </is>
      </c>
      <c r="O858" t="n">
        <v/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</row>
    <row r="859">
      <c r="A859" t="inlineStr">
        <is>
          <t>CashFlow Statement</t>
        </is>
      </c>
      <c r="B859" t="inlineStr">
        <is>
          <t>G71</t>
        </is>
      </c>
      <c r="C859" t="n">
        <v>71</v>
      </c>
      <c r="D859" t="n">
        <v>7</v>
      </c>
      <c r="E859" t="inlineStr">
        <is>
          <t>Input</t>
        </is>
      </c>
      <c r="F859" t="n">
        <v/>
      </c>
      <c r="H859" t="inlineStr"/>
      <c r="I859" t="inlineStr">
        <is>
          <t>0</t>
        </is>
      </c>
      <c r="J859" t="b">
        <v>0</v>
      </c>
      <c r="K859" t="b">
        <v>0</v>
      </c>
      <c r="L859" t="n">
        <v>11</v>
      </c>
      <c r="M859" t="inlineStr">
        <is>
          <t>Values must be of type &lt;class 'str'&gt;</t>
        </is>
      </c>
      <c r="N859" t="inlineStr">
        <is>
          <t>00000000</t>
        </is>
      </c>
      <c r="O859" t="n">
        <v/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</row>
    <row r="860">
      <c r="A860" t="inlineStr">
        <is>
          <t>CashFlow Statement</t>
        </is>
      </c>
      <c r="B860" t="inlineStr">
        <is>
          <t>H71</t>
        </is>
      </c>
      <c r="C860" t="n">
        <v>71</v>
      </c>
      <c r="D860" t="n">
        <v>8</v>
      </c>
      <c r="E860" t="inlineStr">
        <is>
          <t>Input</t>
        </is>
      </c>
      <c r="F860" t="n">
        <v/>
      </c>
      <c r="H860" t="inlineStr"/>
      <c r="I860" t="inlineStr">
        <is>
          <t>0</t>
        </is>
      </c>
      <c r="J860" t="b">
        <v>0</v>
      </c>
      <c r="K860" t="b">
        <v>0</v>
      </c>
      <c r="L860" t="n">
        <v>11</v>
      </c>
      <c r="M860" t="inlineStr">
        <is>
          <t>Values must be of type &lt;class 'str'&gt;</t>
        </is>
      </c>
      <c r="N860" t="inlineStr">
        <is>
          <t>00000000</t>
        </is>
      </c>
      <c r="O860" t="n">
        <v/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</row>
    <row r="861">
      <c r="A861" t="inlineStr">
        <is>
          <t>CashFlow Statement</t>
        </is>
      </c>
      <c r="B861" t="inlineStr">
        <is>
          <t>I71</t>
        </is>
      </c>
      <c r="C861" t="n">
        <v>71</v>
      </c>
      <c r="D861" t="n">
        <v>9</v>
      </c>
      <c r="E861" t="inlineStr">
        <is>
          <t>Input</t>
        </is>
      </c>
      <c r="F861" t="n">
        <v/>
      </c>
      <c r="H861" t="inlineStr"/>
      <c r="I861" t="inlineStr">
        <is>
          <t>0</t>
        </is>
      </c>
      <c r="J861" t="b">
        <v>0</v>
      </c>
      <c r="K861" t="b">
        <v>0</v>
      </c>
      <c r="L861" t="n">
        <v>11</v>
      </c>
      <c r="M861" t="inlineStr">
        <is>
          <t>Values must be of type &lt;class 'str'&gt;</t>
        </is>
      </c>
      <c r="N861" t="inlineStr">
        <is>
          <t>00000000</t>
        </is>
      </c>
      <c r="O861" t="n">
        <v/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</row>
    <row r="862">
      <c r="A862" t="inlineStr">
        <is>
          <t>CashFlow Statement</t>
        </is>
      </c>
      <c r="B862" t="inlineStr">
        <is>
          <t>J71</t>
        </is>
      </c>
      <c r="C862" t="n">
        <v>71</v>
      </c>
      <c r="D862" t="n">
        <v>10</v>
      </c>
      <c r="E862" t="inlineStr">
        <is>
          <t>Input</t>
        </is>
      </c>
      <c r="F862" t="n">
        <v/>
      </c>
      <c r="H862" t="inlineStr"/>
      <c r="I862" t="inlineStr">
        <is>
          <t>0</t>
        </is>
      </c>
      <c r="J862" t="b">
        <v>0</v>
      </c>
      <c r="K862" t="b">
        <v>0</v>
      </c>
      <c r="L862" t="n">
        <v>11</v>
      </c>
      <c r="M862" t="inlineStr">
        <is>
          <t>Values must be of type &lt;class 'str'&gt;</t>
        </is>
      </c>
      <c r="N862" t="inlineStr">
        <is>
          <t>00000000</t>
        </is>
      </c>
      <c r="O862" t="n">
        <v/>
      </c>
      <c r="R862" t="b">
        <v>0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</row>
    <row r="863">
      <c r="A863" t="inlineStr">
        <is>
          <t>CashFlow Statement</t>
        </is>
      </c>
      <c r="B863" t="inlineStr">
        <is>
          <t>K71</t>
        </is>
      </c>
      <c r="C863" t="n">
        <v>71</v>
      </c>
      <c r="D863" t="n">
        <v>11</v>
      </c>
      <c r="E863" t="inlineStr">
        <is>
          <t>Input</t>
        </is>
      </c>
      <c r="F863" t="n">
        <v/>
      </c>
      <c r="H863" t="inlineStr"/>
      <c r="I863" t="inlineStr">
        <is>
          <t>0</t>
        </is>
      </c>
      <c r="J863" t="b">
        <v>0</v>
      </c>
      <c r="K863" t="b">
        <v>0</v>
      </c>
      <c r="L863" t="n">
        <v>11</v>
      </c>
      <c r="M863" t="inlineStr">
        <is>
          <t>Values must be of type &lt;class 'str'&gt;</t>
        </is>
      </c>
      <c r="N863" t="inlineStr">
        <is>
          <t>00000000</t>
        </is>
      </c>
      <c r="O863" t="n">
        <v/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</row>
    <row r="864">
      <c r="A864" t="inlineStr">
        <is>
          <t>CashFlow Statement</t>
        </is>
      </c>
      <c r="B864" t="inlineStr">
        <is>
          <t>L71</t>
        </is>
      </c>
      <c r="C864" t="n">
        <v>71</v>
      </c>
      <c r="D864" t="n">
        <v>12</v>
      </c>
      <c r="E864" t="inlineStr">
        <is>
          <t>Input</t>
        </is>
      </c>
      <c r="F864" t="n">
        <v/>
      </c>
      <c r="H864" t="inlineStr"/>
      <c r="I864" t="inlineStr">
        <is>
          <t>0</t>
        </is>
      </c>
      <c r="J864" t="b">
        <v>0</v>
      </c>
      <c r="K864" t="b">
        <v>0</v>
      </c>
      <c r="L864" t="n">
        <v>11</v>
      </c>
      <c r="M864" t="inlineStr">
        <is>
          <t>Values must be of type &lt;class 'str'&gt;</t>
        </is>
      </c>
      <c r="N864" t="inlineStr">
        <is>
          <t>00000000</t>
        </is>
      </c>
      <c r="O864" t="n">
        <v/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</row>
    <row r="865">
      <c r="A865" t="inlineStr">
        <is>
          <t>CashFlow Statement</t>
        </is>
      </c>
      <c r="B865" t="inlineStr">
        <is>
          <t>M71</t>
        </is>
      </c>
      <c r="C865" t="n">
        <v>71</v>
      </c>
      <c r="D865" t="n">
        <v>13</v>
      </c>
      <c r="E865" t="inlineStr">
        <is>
          <t>Input</t>
        </is>
      </c>
      <c r="F865" t="n">
        <v/>
      </c>
      <c r="H865" t="inlineStr"/>
      <c r="I865" t="inlineStr">
        <is>
          <t>0</t>
        </is>
      </c>
      <c r="J865" t="b">
        <v>0</v>
      </c>
      <c r="K865" t="b">
        <v>0</v>
      </c>
      <c r="L865" t="n">
        <v>11</v>
      </c>
      <c r="M865" t="inlineStr">
        <is>
          <t>Values must be of type &lt;class 'str'&gt;</t>
        </is>
      </c>
      <c r="N865" t="inlineStr">
        <is>
          <t>00000000</t>
        </is>
      </c>
      <c r="O865" t="n">
        <v/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</row>
    <row r="866">
      <c r="A866" t="inlineStr">
        <is>
          <t>CashFlow Statement</t>
        </is>
      </c>
      <c r="B866" t="inlineStr">
        <is>
          <t>N71</t>
        </is>
      </c>
      <c r="C866" t="n">
        <v>71</v>
      </c>
      <c r="D866" t="n">
        <v>14</v>
      </c>
      <c r="E866" t="inlineStr">
        <is>
          <t>Input</t>
        </is>
      </c>
      <c r="F866" t="n">
        <v/>
      </c>
      <c r="H866" t="inlineStr"/>
      <c r="I866" t="inlineStr">
        <is>
          <t>0</t>
        </is>
      </c>
      <c r="J866" t="b">
        <v>0</v>
      </c>
      <c r="K866" t="b">
        <v>0</v>
      </c>
      <c r="L866" t="n">
        <v>11</v>
      </c>
      <c r="M866" t="inlineStr">
        <is>
          <t>Values must be of type &lt;class 'str'&gt;</t>
        </is>
      </c>
      <c r="N866" t="inlineStr">
        <is>
          <t>00000000</t>
        </is>
      </c>
      <c r="O866" t="n">
        <v/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</row>
    <row r="867">
      <c r="A867" t="inlineStr">
        <is>
          <t>CashFlow Statement</t>
        </is>
      </c>
      <c r="B867" t="inlineStr">
        <is>
          <t>O71</t>
        </is>
      </c>
      <c r="C867" t="n">
        <v>71</v>
      </c>
      <c r="D867" t="n">
        <v>15</v>
      </c>
      <c r="E867" t="inlineStr">
        <is>
          <t>Input</t>
        </is>
      </c>
      <c r="F867" t="n">
        <v/>
      </c>
      <c r="H867" t="inlineStr"/>
      <c r="I867" t="inlineStr">
        <is>
          <t>0</t>
        </is>
      </c>
      <c r="J867" t="b">
        <v>0</v>
      </c>
      <c r="K867" t="b">
        <v>0</v>
      </c>
      <c r="L867" t="n">
        <v>11</v>
      </c>
      <c r="M867" t="inlineStr">
        <is>
          <t>Values must be of type &lt;class 'str'&gt;</t>
        </is>
      </c>
      <c r="N867" t="inlineStr">
        <is>
          <t>00000000</t>
        </is>
      </c>
      <c r="O867" t="n">
        <v/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</row>
    <row r="868">
      <c r="A868" t="inlineStr">
        <is>
          <t>CashFlow Statement</t>
        </is>
      </c>
      <c r="B868" t="inlineStr">
        <is>
          <t>D72</t>
        </is>
      </c>
      <c r="C868" t="n">
        <v>72</v>
      </c>
      <c r="D868" t="n">
        <v>4</v>
      </c>
      <c r="E868" t="inlineStr">
        <is>
          <t>Input</t>
        </is>
      </c>
      <c r="F868" t="n">
        <v/>
      </c>
      <c r="H868" t="inlineStr"/>
      <c r="I868" t="inlineStr">
        <is>
          <t>0</t>
        </is>
      </c>
      <c r="J868" t="b">
        <v>0</v>
      </c>
      <c r="K868" t="b">
        <v>0</v>
      </c>
      <c r="L868" t="n">
        <v>11</v>
      </c>
      <c r="M868" t="inlineStr">
        <is>
          <t>Values must be of type &lt;class 'str'&gt;</t>
        </is>
      </c>
      <c r="N868" t="inlineStr">
        <is>
          <t>00000000</t>
        </is>
      </c>
      <c r="O868" t="n">
        <v/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</row>
    <row r="869">
      <c r="A869" t="inlineStr">
        <is>
          <t>CashFlow Statement</t>
        </is>
      </c>
      <c r="B869" t="inlineStr">
        <is>
          <t>E72</t>
        </is>
      </c>
      <c r="C869" t="n">
        <v>72</v>
      </c>
      <c r="D869" t="n">
        <v>5</v>
      </c>
      <c r="E869" t="inlineStr">
        <is>
          <t>Input</t>
        </is>
      </c>
      <c r="F869" t="n">
        <v/>
      </c>
      <c r="H869" t="inlineStr"/>
      <c r="I869" t="inlineStr">
        <is>
          <t>0</t>
        </is>
      </c>
      <c r="J869" t="b">
        <v>0</v>
      </c>
      <c r="K869" t="b">
        <v>0</v>
      </c>
      <c r="L869" t="n">
        <v>11</v>
      </c>
      <c r="M869" t="inlineStr">
        <is>
          <t>Values must be of type &lt;class 'str'&gt;</t>
        </is>
      </c>
      <c r="N869" t="inlineStr">
        <is>
          <t>00000000</t>
        </is>
      </c>
      <c r="O869" t="n">
        <v/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</row>
    <row r="870">
      <c r="A870" t="inlineStr">
        <is>
          <t>CashFlow Statement</t>
        </is>
      </c>
      <c r="B870" t="inlineStr">
        <is>
          <t>F72</t>
        </is>
      </c>
      <c r="C870" t="n">
        <v>72</v>
      </c>
      <c r="D870" t="n">
        <v>6</v>
      </c>
      <c r="E870" t="inlineStr">
        <is>
          <t>Input</t>
        </is>
      </c>
      <c r="F870" t="n">
        <v/>
      </c>
      <c r="H870" t="inlineStr"/>
      <c r="I870" t="inlineStr">
        <is>
          <t>0</t>
        </is>
      </c>
      <c r="J870" t="b">
        <v>0</v>
      </c>
      <c r="K870" t="b">
        <v>0</v>
      </c>
      <c r="L870" t="n">
        <v>11</v>
      </c>
      <c r="M870" t="inlineStr">
        <is>
          <t>Values must be of type &lt;class 'str'&gt;</t>
        </is>
      </c>
      <c r="N870" t="inlineStr">
        <is>
          <t>00000000</t>
        </is>
      </c>
      <c r="O870" t="n">
        <v/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</row>
    <row r="871">
      <c r="A871" t="inlineStr">
        <is>
          <t>CashFlow Statement</t>
        </is>
      </c>
      <c r="B871" t="inlineStr">
        <is>
          <t>G72</t>
        </is>
      </c>
      <c r="C871" t="n">
        <v>72</v>
      </c>
      <c r="D871" t="n">
        <v>7</v>
      </c>
      <c r="E871" t="inlineStr">
        <is>
          <t>Input</t>
        </is>
      </c>
      <c r="F871" t="n">
        <v/>
      </c>
      <c r="H871" t="inlineStr"/>
      <c r="I871" t="inlineStr">
        <is>
          <t>0</t>
        </is>
      </c>
      <c r="J871" t="b">
        <v>0</v>
      </c>
      <c r="K871" t="b">
        <v>0</v>
      </c>
      <c r="L871" t="n">
        <v>11</v>
      </c>
      <c r="M871" t="inlineStr">
        <is>
          <t>Values must be of type &lt;class 'str'&gt;</t>
        </is>
      </c>
      <c r="N871" t="inlineStr">
        <is>
          <t>00000000</t>
        </is>
      </c>
      <c r="O871" t="n">
        <v/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</row>
    <row r="872">
      <c r="A872" t="inlineStr">
        <is>
          <t>CashFlow Statement</t>
        </is>
      </c>
      <c r="B872" t="inlineStr">
        <is>
          <t>H72</t>
        </is>
      </c>
      <c r="C872" t="n">
        <v>72</v>
      </c>
      <c r="D872" t="n">
        <v>8</v>
      </c>
      <c r="E872" t="inlineStr">
        <is>
          <t>Input</t>
        </is>
      </c>
      <c r="F872" t="n">
        <v/>
      </c>
      <c r="H872" t="inlineStr"/>
      <c r="I872" t="inlineStr">
        <is>
          <t>0</t>
        </is>
      </c>
      <c r="J872" t="b">
        <v>0</v>
      </c>
      <c r="K872" t="b">
        <v>0</v>
      </c>
      <c r="L872" t="n">
        <v>11</v>
      </c>
      <c r="M872" t="inlineStr">
        <is>
          <t>Values must be of type &lt;class 'str'&gt;</t>
        </is>
      </c>
      <c r="N872" t="inlineStr">
        <is>
          <t>00000000</t>
        </is>
      </c>
      <c r="O872" t="n">
        <v/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</row>
    <row r="873">
      <c r="A873" t="inlineStr">
        <is>
          <t>CashFlow Statement</t>
        </is>
      </c>
      <c r="B873" t="inlineStr">
        <is>
          <t>I72</t>
        </is>
      </c>
      <c r="C873" t="n">
        <v>72</v>
      </c>
      <c r="D873" t="n">
        <v>9</v>
      </c>
      <c r="E873" t="inlineStr">
        <is>
          <t>Input</t>
        </is>
      </c>
      <c r="F873" t="n">
        <v/>
      </c>
      <c r="H873" t="inlineStr"/>
      <c r="I873" t="inlineStr">
        <is>
          <t>0</t>
        </is>
      </c>
      <c r="J873" t="b">
        <v>0</v>
      </c>
      <c r="K873" t="b">
        <v>0</v>
      </c>
      <c r="L873" t="n">
        <v>11</v>
      </c>
      <c r="M873" t="inlineStr">
        <is>
          <t>Values must be of type &lt;class 'str'&gt;</t>
        </is>
      </c>
      <c r="N873" t="inlineStr">
        <is>
          <t>00000000</t>
        </is>
      </c>
      <c r="O873" t="n">
        <v/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</row>
    <row r="874">
      <c r="A874" t="inlineStr">
        <is>
          <t>CashFlow Statement</t>
        </is>
      </c>
      <c r="B874" t="inlineStr">
        <is>
          <t>J72</t>
        </is>
      </c>
      <c r="C874" t="n">
        <v>72</v>
      </c>
      <c r="D874" t="n">
        <v>10</v>
      </c>
      <c r="E874" t="inlineStr">
        <is>
          <t>Input</t>
        </is>
      </c>
      <c r="F874" t="n">
        <v/>
      </c>
      <c r="H874" t="inlineStr"/>
      <c r="I874" t="inlineStr">
        <is>
          <t>0</t>
        </is>
      </c>
      <c r="J874" t="b">
        <v>0</v>
      </c>
      <c r="K874" t="b">
        <v>0</v>
      </c>
      <c r="L874" t="n">
        <v>11</v>
      </c>
      <c r="M874" t="inlineStr">
        <is>
          <t>Values must be of type &lt;class 'str'&gt;</t>
        </is>
      </c>
      <c r="N874" t="inlineStr">
        <is>
          <t>00000000</t>
        </is>
      </c>
      <c r="O874" t="n">
        <v/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</row>
    <row r="875">
      <c r="A875" t="inlineStr">
        <is>
          <t>CashFlow Statement</t>
        </is>
      </c>
      <c r="B875" t="inlineStr">
        <is>
          <t>K72</t>
        </is>
      </c>
      <c r="C875" t="n">
        <v>72</v>
      </c>
      <c r="D875" t="n">
        <v>11</v>
      </c>
      <c r="E875" t="inlineStr">
        <is>
          <t>Input</t>
        </is>
      </c>
      <c r="F875" t="n">
        <v/>
      </c>
      <c r="H875" t="inlineStr"/>
      <c r="I875" t="inlineStr">
        <is>
          <t>0</t>
        </is>
      </c>
      <c r="J875" t="b">
        <v>0</v>
      </c>
      <c r="K875" t="b">
        <v>0</v>
      </c>
      <c r="L875" t="n">
        <v>11</v>
      </c>
      <c r="M875" t="inlineStr">
        <is>
          <t>Values must be of type &lt;class 'str'&gt;</t>
        </is>
      </c>
      <c r="N875" t="inlineStr">
        <is>
          <t>00000000</t>
        </is>
      </c>
      <c r="O875" t="n">
        <v/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</row>
    <row r="876">
      <c r="A876" t="inlineStr">
        <is>
          <t>CashFlow Statement</t>
        </is>
      </c>
      <c r="B876" t="inlineStr">
        <is>
          <t>L72</t>
        </is>
      </c>
      <c r="C876" t="n">
        <v>72</v>
      </c>
      <c r="D876" t="n">
        <v>12</v>
      </c>
      <c r="E876" t="inlineStr">
        <is>
          <t>Input</t>
        </is>
      </c>
      <c r="F876" t="n">
        <v/>
      </c>
      <c r="H876" t="inlineStr"/>
      <c r="I876" t="inlineStr">
        <is>
          <t>0</t>
        </is>
      </c>
      <c r="J876" t="b">
        <v>0</v>
      </c>
      <c r="K876" t="b">
        <v>0</v>
      </c>
      <c r="L876" t="n">
        <v>11</v>
      </c>
      <c r="M876" t="inlineStr">
        <is>
          <t>Values must be of type &lt;class 'str'&gt;</t>
        </is>
      </c>
      <c r="N876" t="inlineStr">
        <is>
          <t>00000000</t>
        </is>
      </c>
      <c r="O876" t="n">
        <v/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</row>
    <row r="877">
      <c r="A877" t="inlineStr">
        <is>
          <t>CashFlow Statement</t>
        </is>
      </c>
      <c r="B877" t="inlineStr">
        <is>
          <t>M72</t>
        </is>
      </c>
      <c r="C877" t="n">
        <v>72</v>
      </c>
      <c r="D877" t="n">
        <v>13</v>
      </c>
      <c r="E877" t="inlineStr">
        <is>
          <t>Input</t>
        </is>
      </c>
      <c r="F877" t="n">
        <v/>
      </c>
      <c r="H877" t="inlineStr"/>
      <c r="I877" t="inlineStr">
        <is>
          <t>0</t>
        </is>
      </c>
      <c r="J877" t="b">
        <v>0</v>
      </c>
      <c r="K877" t="b">
        <v>0</v>
      </c>
      <c r="L877" t="n">
        <v>11</v>
      </c>
      <c r="M877" t="inlineStr">
        <is>
          <t>Values must be of type &lt;class 'str'&gt;</t>
        </is>
      </c>
      <c r="N877" t="inlineStr">
        <is>
          <t>00000000</t>
        </is>
      </c>
      <c r="O877" t="n">
        <v/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</row>
    <row r="878">
      <c r="A878" t="inlineStr">
        <is>
          <t>CashFlow Statement</t>
        </is>
      </c>
      <c r="B878" t="inlineStr">
        <is>
          <t>N72</t>
        </is>
      </c>
      <c r="C878" t="n">
        <v>72</v>
      </c>
      <c r="D878" t="n">
        <v>14</v>
      </c>
      <c r="E878" t="inlineStr">
        <is>
          <t>Input</t>
        </is>
      </c>
      <c r="F878" t="n">
        <v/>
      </c>
      <c r="H878" t="inlineStr"/>
      <c r="I878" t="inlineStr">
        <is>
          <t>0</t>
        </is>
      </c>
      <c r="J878" t="b">
        <v>0</v>
      </c>
      <c r="K878" t="b">
        <v>0</v>
      </c>
      <c r="L878" t="n">
        <v>11</v>
      </c>
      <c r="M878" t="inlineStr">
        <is>
          <t>Values must be of type &lt;class 'str'&gt;</t>
        </is>
      </c>
      <c r="N878" t="inlineStr">
        <is>
          <t>00000000</t>
        </is>
      </c>
      <c r="O878" t="n">
        <v/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</row>
    <row r="879">
      <c r="A879" t="inlineStr">
        <is>
          <t>CashFlow Statement</t>
        </is>
      </c>
      <c r="B879" t="inlineStr">
        <is>
          <t>O72</t>
        </is>
      </c>
      <c r="C879" t="n">
        <v>72</v>
      </c>
      <c r="D879" t="n">
        <v>15</v>
      </c>
      <c r="E879" t="inlineStr">
        <is>
          <t>Input</t>
        </is>
      </c>
      <c r="F879" t="n">
        <v/>
      </c>
      <c r="H879" t="inlineStr"/>
      <c r="I879" t="inlineStr">
        <is>
          <t>0</t>
        </is>
      </c>
      <c r="J879" t="b">
        <v>0</v>
      </c>
      <c r="K879" t="b">
        <v>0</v>
      </c>
      <c r="L879" t="n">
        <v>11</v>
      </c>
      <c r="M879" t="inlineStr">
        <is>
          <t>Values must be of type &lt;class 'str'&gt;</t>
        </is>
      </c>
      <c r="N879" t="inlineStr">
        <is>
          <t>00000000</t>
        </is>
      </c>
      <c r="O879" t="n">
        <v/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</row>
    <row r="880">
      <c r="A880" t="inlineStr">
        <is>
          <t>CashFlow Statement</t>
        </is>
      </c>
      <c r="B880" t="inlineStr">
        <is>
          <t>D73</t>
        </is>
      </c>
      <c r="C880" t="n">
        <v>73</v>
      </c>
      <c r="D880" t="n">
        <v>4</v>
      </c>
      <c r="E880" t="inlineStr">
        <is>
          <t>Input</t>
        </is>
      </c>
      <c r="F880" t="n">
        <v/>
      </c>
      <c r="H880" t="inlineStr"/>
      <c r="I880" t="inlineStr">
        <is>
          <t>0</t>
        </is>
      </c>
      <c r="J880" t="b">
        <v>0</v>
      </c>
      <c r="K880" t="b">
        <v>0</v>
      </c>
      <c r="L880" t="n">
        <v>11</v>
      </c>
      <c r="M880" t="inlineStr">
        <is>
          <t>Values must be of type &lt;class 'str'&gt;</t>
        </is>
      </c>
      <c r="N880" t="inlineStr">
        <is>
          <t>00000000</t>
        </is>
      </c>
      <c r="O880" t="n">
        <v/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</row>
    <row r="881">
      <c r="A881" t="inlineStr">
        <is>
          <t>CashFlow Statement</t>
        </is>
      </c>
      <c r="B881" t="inlineStr">
        <is>
          <t>E73</t>
        </is>
      </c>
      <c r="C881" t="n">
        <v>73</v>
      </c>
      <c r="D881" t="n">
        <v>5</v>
      </c>
      <c r="E881" t="inlineStr">
        <is>
          <t>Input</t>
        </is>
      </c>
      <c r="F881" t="n">
        <v/>
      </c>
      <c r="H881" t="inlineStr"/>
      <c r="I881" t="inlineStr">
        <is>
          <t>0</t>
        </is>
      </c>
      <c r="J881" t="b">
        <v>0</v>
      </c>
      <c r="K881" t="b">
        <v>0</v>
      </c>
      <c r="L881" t="n">
        <v>11</v>
      </c>
      <c r="M881" t="inlineStr">
        <is>
          <t>Values must be of type &lt;class 'str'&gt;</t>
        </is>
      </c>
      <c r="N881" t="inlineStr">
        <is>
          <t>00000000</t>
        </is>
      </c>
      <c r="O881" t="n">
        <v/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</row>
    <row r="882">
      <c r="A882" t="inlineStr">
        <is>
          <t>CashFlow Statement</t>
        </is>
      </c>
      <c r="B882" t="inlineStr">
        <is>
          <t>F73</t>
        </is>
      </c>
      <c r="C882" t="n">
        <v>73</v>
      </c>
      <c r="D882" t="n">
        <v>6</v>
      </c>
      <c r="E882" t="inlineStr">
        <is>
          <t>Input</t>
        </is>
      </c>
      <c r="F882" t="n">
        <v/>
      </c>
      <c r="H882" t="inlineStr"/>
      <c r="I882" t="inlineStr">
        <is>
          <t>0</t>
        </is>
      </c>
      <c r="J882" t="b">
        <v>0</v>
      </c>
      <c r="K882" t="b">
        <v>0</v>
      </c>
      <c r="L882" t="n">
        <v>11</v>
      </c>
      <c r="M882" t="inlineStr">
        <is>
          <t>Values must be of type &lt;class 'str'&gt;</t>
        </is>
      </c>
      <c r="N882" t="inlineStr">
        <is>
          <t>00000000</t>
        </is>
      </c>
      <c r="O882" t="n">
        <v/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</row>
    <row r="883">
      <c r="A883" t="inlineStr">
        <is>
          <t>CashFlow Statement</t>
        </is>
      </c>
      <c r="B883" t="inlineStr">
        <is>
          <t>G73</t>
        </is>
      </c>
      <c r="C883" t="n">
        <v>73</v>
      </c>
      <c r="D883" t="n">
        <v>7</v>
      </c>
      <c r="E883" t="inlineStr">
        <is>
          <t>Input</t>
        </is>
      </c>
      <c r="F883" t="n">
        <v/>
      </c>
      <c r="H883" t="inlineStr"/>
      <c r="I883" t="inlineStr">
        <is>
          <t>0</t>
        </is>
      </c>
      <c r="J883" t="b">
        <v>0</v>
      </c>
      <c r="K883" t="b">
        <v>0</v>
      </c>
      <c r="L883" t="n">
        <v>11</v>
      </c>
      <c r="M883" t="inlineStr">
        <is>
          <t>Values must be of type &lt;class 'str'&gt;</t>
        </is>
      </c>
      <c r="N883" t="inlineStr">
        <is>
          <t>00000000</t>
        </is>
      </c>
      <c r="O883" t="n">
        <v/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</row>
    <row r="884">
      <c r="A884" t="inlineStr">
        <is>
          <t>CashFlow Statement</t>
        </is>
      </c>
      <c r="B884" t="inlineStr">
        <is>
          <t>H73</t>
        </is>
      </c>
      <c r="C884" t="n">
        <v>73</v>
      </c>
      <c r="D884" t="n">
        <v>8</v>
      </c>
      <c r="E884" t="inlineStr">
        <is>
          <t>Input</t>
        </is>
      </c>
      <c r="F884" t="n">
        <v/>
      </c>
      <c r="H884" t="inlineStr"/>
      <c r="I884" t="inlineStr">
        <is>
          <t>0</t>
        </is>
      </c>
      <c r="J884" t="b">
        <v>0</v>
      </c>
      <c r="K884" t="b">
        <v>0</v>
      </c>
      <c r="L884" t="n">
        <v>11</v>
      </c>
      <c r="M884" t="inlineStr">
        <is>
          <t>Values must be of type &lt;class 'str'&gt;</t>
        </is>
      </c>
      <c r="N884" t="inlineStr">
        <is>
          <t>00000000</t>
        </is>
      </c>
      <c r="O884" t="n">
        <v/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</row>
    <row r="885">
      <c r="A885" t="inlineStr">
        <is>
          <t>CashFlow Statement</t>
        </is>
      </c>
      <c r="B885" t="inlineStr">
        <is>
          <t>I73</t>
        </is>
      </c>
      <c r="C885" t="n">
        <v>73</v>
      </c>
      <c r="D885" t="n">
        <v>9</v>
      </c>
      <c r="E885" t="inlineStr">
        <is>
          <t>Input</t>
        </is>
      </c>
      <c r="F885" t="n">
        <v/>
      </c>
      <c r="H885" t="inlineStr"/>
      <c r="I885" t="inlineStr">
        <is>
          <t>0</t>
        </is>
      </c>
      <c r="J885" t="b">
        <v>0</v>
      </c>
      <c r="K885" t="b">
        <v>0</v>
      </c>
      <c r="L885" t="n">
        <v>11</v>
      </c>
      <c r="M885" t="inlineStr">
        <is>
          <t>Values must be of type &lt;class 'str'&gt;</t>
        </is>
      </c>
      <c r="N885" t="inlineStr">
        <is>
          <t>00000000</t>
        </is>
      </c>
      <c r="O885" t="n">
        <v/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</row>
    <row r="886">
      <c r="A886" t="inlineStr">
        <is>
          <t>CashFlow Statement</t>
        </is>
      </c>
      <c r="B886" t="inlineStr">
        <is>
          <t>J73</t>
        </is>
      </c>
      <c r="C886" t="n">
        <v>73</v>
      </c>
      <c r="D886" t="n">
        <v>10</v>
      </c>
      <c r="E886" t="inlineStr">
        <is>
          <t>Input</t>
        </is>
      </c>
      <c r="F886" t="n">
        <v/>
      </c>
      <c r="H886" t="inlineStr"/>
      <c r="I886" t="inlineStr">
        <is>
          <t>0</t>
        </is>
      </c>
      <c r="J886" t="b">
        <v>0</v>
      </c>
      <c r="K886" t="b">
        <v>0</v>
      </c>
      <c r="L886" t="n">
        <v>11</v>
      </c>
      <c r="M886" t="inlineStr">
        <is>
          <t>Values must be of type &lt;class 'str'&gt;</t>
        </is>
      </c>
      <c r="N886" t="inlineStr">
        <is>
          <t>00000000</t>
        </is>
      </c>
      <c r="O886" t="n">
        <v/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</row>
    <row r="887">
      <c r="A887" t="inlineStr">
        <is>
          <t>CashFlow Statement</t>
        </is>
      </c>
      <c r="B887" t="inlineStr">
        <is>
          <t>K73</t>
        </is>
      </c>
      <c r="C887" t="n">
        <v>73</v>
      </c>
      <c r="D887" t="n">
        <v>11</v>
      </c>
      <c r="E887" t="inlineStr">
        <is>
          <t>Input</t>
        </is>
      </c>
      <c r="F887" t="n">
        <v/>
      </c>
      <c r="H887" t="inlineStr"/>
      <c r="I887" t="inlineStr">
        <is>
          <t>0</t>
        </is>
      </c>
      <c r="J887" t="b">
        <v>0</v>
      </c>
      <c r="K887" t="b">
        <v>0</v>
      </c>
      <c r="L887" t="n">
        <v>11</v>
      </c>
      <c r="M887" t="inlineStr">
        <is>
          <t>Values must be of type &lt;class 'str'&gt;</t>
        </is>
      </c>
      <c r="N887" t="inlineStr">
        <is>
          <t>00000000</t>
        </is>
      </c>
      <c r="O887" t="n">
        <v/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</row>
    <row r="888">
      <c r="A888" t="inlineStr">
        <is>
          <t>CashFlow Statement</t>
        </is>
      </c>
      <c r="B888" t="inlineStr">
        <is>
          <t>L73</t>
        </is>
      </c>
      <c r="C888" t="n">
        <v>73</v>
      </c>
      <c r="D888" t="n">
        <v>12</v>
      </c>
      <c r="E888" t="inlineStr">
        <is>
          <t>Input</t>
        </is>
      </c>
      <c r="F888" t="n">
        <v/>
      </c>
      <c r="H888" t="inlineStr"/>
      <c r="I888" t="inlineStr">
        <is>
          <t>0</t>
        </is>
      </c>
      <c r="J888" t="b">
        <v>0</v>
      </c>
      <c r="K888" t="b">
        <v>0</v>
      </c>
      <c r="L888" t="n">
        <v>11</v>
      </c>
      <c r="M888" t="inlineStr">
        <is>
          <t>Values must be of type &lt;class 'str'&gt;</t>
        </is>
      </c>
      <c r="N888" t="inlineStr">
        <is>
          <t>00000000</t>
        </is>
      </c>
      <c r="O888" t="n">
        <v/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</row>
    <row r="889">
      <c r="A889" t="inlineStr">
        <is>
          <t>CashFlow Statement</t>
        </is>
      </c>
      <c r="B889" t="inlineStr">
        <is>
          <t>M73</t>
        </is>
      </c>
      <c r="C889" t="n">
        <v>73</v>
      </c>
      <c r="D889" t="n">
        <v>13</v>
      </c>
      <c r="E889" t="inlineStr">
        <is>
          <t>Input</t>
        </is>
      </c>
      <c r="F889" t="n">
        <v/>
      </c>
      <c r="H889" t="inlineStr"/>
      <c r="I889" t="inlineStr">
        <is>
          <t>0</t>
        </is>
      </c>
      <c r="J889" t="b">
        <v>0</v>
      </c>
      <c r="K889" t="b">
        <v>0</v>
      </c>
      <c r="L889" t="n">
        <v>11</v>
      </c>
      <c r="M889" t="inlineStr">
        <is>
          <t>Values must be of type &lt;class 'str'&gt;</t>
        </is>
      </c>
      <c r="N889" t="inlineStr">
        <is>
          <t>00000000</t>
        </is>
      </c>
      <c r="O889" t="n">
        <v/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</row>
    <row r="890">
      <c r="A890" t="inlineStr">
        <is>
          <t>CashFlow Statement</t>
        </is>
      </c>
      <c r="B890" t="inlineStr">
        <is>
          <t>N73</t>
        </is>
      </c>
      <c r="C890" t="n">
        <v>73</v>
      </c>
      <c r="D890" t="n">
        <v>14</v>
      </c>
      <c r="E890" t="inlineStr">
        <is>
          <t>Input</t>
        </is>
      </c>
      <c r="F890" t="n">
        <v/>
      </c>
      <c r="H890" t="inlineStr"/>
      <c r="I890" t="inlineStr">
        <is>
          <t>0</t>
        </is>
      </c>
      <c r="J890" t="b">
        <v>0</v>
      </c>
      <c r="K890" t="b">
        <v>0</v>
      </c>
      <c r="L890" t="n">
        <v>11</v>
      </c>
      <c r="M890" t="inlineStr">
        <is>
          <t>Values must be of type &lt;class 'str'&gt;</t>
        </is>
      </c>
      <c r="N890" t="inlineStr">
        <is>
          <t>00000000</t>
        </is>
      </c>
      <c r="O890" t="n">
        <v/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</row>
    <row r="891">
      <c r="A891" t="inlineStr">
        <is>
          <t>CashFlow Statement</t>
        </is>
      </c>
      <c r="B891" t="inlineStr">
        <is>
          <t>O73</t>
        </is>
      </c>
      <c r="C891" t="n">
        <v>73</v>
      </c>
      <c r="D891" t="n">
        <v>15</v>
      </c>
      <c r="E891" t="inlineStr">
        <is>
          <t>Input</t>
        </is>
      </c>
      <c r="F891" t="n">
        <v/>
      </c>
      <c r="H891" t="inlineStr"/>
      <c r="I891" t="inlineStr">
        <is>
          <t>0</t>
        </is>
      </c>
      <c r="J891" t="b">
        <v>0</v>
      </c>
      <c r="K891" t="b">
        <v>0</v>
      </c>
      <c r="L891" t="n">
        <v>11</v>
      </c>
      <c r="M891" t="inlineStr">
        <is>
          <t>Values must be of type &lt;class 'str'&gt;</t>
        </is>
      </c>
      <c r="N891" t="inlineStr">
        <is>
          <t>00000000</t>
        </is>
      </c>
      <c r="O891" t="n">
        <v/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</row>
    <row r="892">
      <c r="A892" t="inlineStr">
        <is>
          <t>CashFlow Statement</t>
        </is>
      </c>
      <c r="B892" t="inlineStr">
        <is>
          <t>D74</t>
        </is>
      </c>
      <c r="C892" t="n">
        <v>74</v>
      </c>
      <c r="D892" t="n">
        <v>4</v>
      </c>
      <c r="E892" t="inlineStr">
        <is>
          <t>Input</t>
        </is>
      </c>
      <c r="F892" t="n">
        <v/>
      </c>
      <c r="H892" t="inlineStr"/>
      <c r="I892" t="inlineStr">
        <is>
          <t>0</t>
        </is>
      </c>
      <c r="J892" t="b">
        <v>0</v>
      </c>
      <c r="K892" t="b">
        <v>0</v>
      </c>
      <c r="L892" t="n">
        <v>11</v>
      </c>
      <c r="M892" t="inlineStr">
        <is>
          <t>Values must be of type &lt;class 'str'&gt;</t>
        </is>
      </c>
      <c r="N892" t="inlineStr">
        <is>
          <t>00000000</t>
        </is>
      </c>
      <c r="O892" t="n">
        <v/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</row>
    <row r="893">
      <c r="A893" t="inlineStr">
        <is>
          <t>CashFlow Statement</t>
        </is>
      </c>
      <c r="B893" t="inlineStr">
        <is>
          <t>E74</t>
        </is>
      </c>
      <c r="C893" t="n">
        <v>74</v>
      </c>
      <c r="D893" t="n">
        <v>5</v>
      </c>
      <c r="E893" t="inlineStr">
        <is>
          <t>Input</t>
        </is>
      </c>
      <c r="F893" t="n">
        <v/>
      </c>
      <c r="H893" t="inlineStr"/>
      <c r="I893" t="inlineStr">
        <is>
          <t>0</t>
        </is>
      </c>
      <c r="J893" t="b">
        <v>0</v>
      </c>
      <c r="K893" t="b">
        <v>0</v>
      </c>
      <c r="L893" t="n">
        <v>11</v>
      </c>
      <c r="M893" t="inlineStr">
        <is>
          <t>Values must be of type &lt;class 'str'&gt;</t>
        </is>
      </c>
      <c r="N893" t="inlineStr">
        <is>
          <t>00000000</t>
        </is>
      </c>
      <c r="O893" t="n">
        <v/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</row>
    <row r="894">
      <c r="A894" t="inlineStr">
        <is>
          <t>CashFlow Statement</t>
        </is>
      </c>
      <c r="B894" t="inlineStr">
        <is>
          <t>F74</t>
        </is>
      </c>
      <c r="C894" t="n">
        <v>74</v>
      </c>
      <c r="D894" t="n">
        <v>6</v>
      </c>
      <c r="E894" t="inlineStr">
        <is>
          <t>Input</t>
        </is>
      </c>
      <c r="F894" t="n">
        <v/>
      </c>
      <c r="H894" t="inlineStr"/>
      <c r="I894" t="inlineStr">
        <is>
          <t>0</t>
        </is>
      </c>
      <c r="J894" t="b">
        <v>0</v>
      </c>
      <c r="K894" t="b">
        <v>0</v>
      </c>
      <c r="L894" t="n">
        <v>11</v>
      </c>
      <c r="M894" t="inlineStr">
        <is>
          <t>Values must be of type &lt;class 'str'&gt;</t>
        </is>
      </c>
      <c r="N894" t="inlineStr">
        <is>
          <t>00000000</t>
        </is>
      </c>
      <c r="O894" t="n">
        <v/>
      </c>
      <c r="R894" t="b">
        <v>0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</row>
    <row r="895">
      <c r="A895" t="inlineStr">
        <is>
          <t>CashFlow Statement</t>
        </is>
      </c>
      <c r="B895" t="inlineStr">
        <is>
          <t>G74</t>
        </is>
      </c>
      <c r="C895" t="n">
        <v>74</v>
      </c>
      <c r="D895" t="n">
        <v>7</v>
      </c>
      <c r="E895" t="inlineStr">
        <is>
          <t>Input</t>
        </is>
      </c>
      <c r="F895" t="n">
        <v/>
      </c>
      <c r="H895" t="inlineStr"/>
      <c r="I895" t="inlineStr">
        <is>
          <t>0</t>
        </is>
      </c>
      <c r="J895" t="b">
        <v>0</v>
      </c>
      <c r="K895" t="b">
        <v>0</v>
      </c>
      <c r="L895" t="n">
        <v>11</v>
      </c>
      <c r="M895" t="inlineStr">
        <is>
          <t>Values must be of type &lt;class 'str'&gt;</t>
        </is>
      </c>
      <c r="N895" t="inlineStr">
        <is>
          <t>00000000</t>
        </is>
      </c>
      <c r="O895" t="n">
        <v/>
      </c>
      <c r="R895" t="b">
        <v>0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</row>
    <row r="896">
      <c r="A896" t="inlineStr">
        <is>
          <t>CashFlow Statement</t>
        </is>
      </c>
      <c r="B896" t="inlineStr">
        <is>
          <t>H74</t>
        </is>
      </c>
      <c r="C896" t="n">
        <v>74</v>
      </c>
      <c r="D896" t="n">
        <v>8</v>
      </c>
      <c r="E896" t="inlineStr">
        <is>
          <t>Input</t>
        </is>
      </c>
      <c r="F896" t="n">
        <v/>
      </c>
      <c r="H896" t="inlineStr"/>
      <c r="I896" t="inlineStr">
        <is>
          <t>0</t>
        </is>
      </c>
      <c r="J896" t="b">
        <v>0</v>
      </c>
      <c r="K896" t="b">
        <v>0</v>
      </c>
      <c r="L896" t="n">
        <v>11</v>
      </c>
      <c r="M896" t="inlineStr">
        <is>
          <t>Values must be of type &lt;class 'str'&gt;</t>
        </is>
      </c>
      <c r="N896" t="inlineStr">
        <is>
          <t>00000000</t>
        </is>
      </c>
      <c r="O896" t="n">
        <v/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</row>
    <row r="897">
      <c r="A897" t="inlineStr">
        <is>
          <t>CashFlow Statement</t>
        </is>
      </c>
      <c r="B897" t="inlineStr">
        <is>
          <t>I74</t>
        </is>
      </c>
      <c r="C897" t="n">
        <v>74</v>
      </c>
      <c r="D897" t="n">
        <v>9</v>
      </c>
      <c r="E897" t="inlineStr">
        <is>
          <t>Input</t>
        </is>
      </c>
      <c r="F897" t="n">
        <v/>
      </c>
      <c r="H897" t="inlineStr"/>
      <c r="I897" t="inlineStr">
        <is>
          <t>0</t>
        </is>
      </c>
      <c r="J897" t="b">
        <v>0</v>
      </c>
      <c r="K897" t="b">
        <v>0</v>
      </c>
      <c r="L897" t="n">
        <v>11</v>
      </c>
      <c r="M897" t="inlineStr">
        <is>
          <t>Values must be of type &lt;class 'str'&gt;</t>
        </is>
      </c>
      <c r="N897" t="inlineStr">
        <is>
          <t>00000000</t>
        </is>
      </c>
      <c r="O897" t="n">
        <v/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</row>
    <row r="898">
      <c r="A898" t="inlineStr">
        <is>
          <t>CashFlow Statement</t>
        </is>
      </c>
      <c r="B898" t="inlineStr">
        <is>
          <t>J74</t>
        </is>
      </c>
      <c r="C898" t="n">
        <v>74</v>
      </c>
      <c r="D898" t="n">
        <v>10</v>
      </c>
      <c r="E898" t="inlineStr">
        <is>
          <t>Input</t>
        </is>
      </c>
      <c r="F898" t="n">
        <v/>
      </c>
      <c r="H898" t="inlineStr"/>
      <c r="I898" t="inlineStr">
        <is>
          <t>0</t>
        </is>
      </c>
      <c r="J898" t="b">
        <v>0</v>
      </c>
      <c r="K898" t="b">
        <v>0</v>
      </c>
      <c r="L898" t="n">
        <v>11</v>
      </c>
      <c r="M898" t="inlineStr">
        <is>
          <t>Values must be of type &lt;class 'str'&gt;</t>
        </is>
      </c>
      <c r="N898" t="inlineStr">
        <is>
          <t>00000000</t>
        </is>
      </c>
      <c r="O898" t="n">
        <v/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</row>
    <row r="899">
      <c r="A899" t="inlineStr">
        <is>
          <t>CashFlow Statement</t>
        </is>
      </c>
      <c r="B899" t="inlineStr">
        <is>
          <t>K74</t>
        </is>
      </c>
      <c r="C899" t="n">
        <v>74</v>
      </c>
      <c r="D899" t="n">
        <v>11</v>
      </c>
      <c r="E899" t="inlineStr">
        <is>
          <t>Input</t>
        </is>
      </c>
      <c r="F899" t="n">
        <v/>
      </c>
      <c r="H899" t="inlineStr"/>
      <c r="I899" t="inlineStr">
        <is>
          <t>0</t>
        </is>
      </c>
      <c r="J899" t="b">
        <v>0</v>
      </c>
      <c r="K899" t="b">
        <v>0</v>
      </c>
      <c r="L899" t="n">
        <v>11</v>
      </c>
      <c r="M899" t="inlineStr">
        <is>
          <t>Values must be of type &lt;class 'str'&gt;</t>
        </is>
      </c>
      <c r="N899" t="inlineStr">
        <is>
          <t>00000000</t>
        </is>
      </c>
      <c r="O899" t="n">
        <v/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</row>
    <row r="900">
      <c r="A900" t="inlineStr">
        <is>
          <t>CashFlow Statement</t>
        </is>
      </c>
      <c r="B900" t="inlineStr">
        <is>
          <t>L74</t>
        </is>
      </c>
      <c r="C900" t="n">
        <v>74</v>
      </c>
      <c r="D900" t="n">
        <v>12</v>
      </c>
      <c r="E900" t="inlineStr">
        <is>
          <t>Input</t>
        </is>
      </c>
      <c r="F900" t="n">
        <v/>
      </c>
      <c r="H900" t="inlineStr"/>
      <c r="I900" t="inlineStr">
        <is>
          <t>0</t>
        </is>
      </c>
      <c r="J900" t="b">
        <v>0</v>
      </c>
      <c r="K900" t="b">
        <v>0</v>
      </c>
      <c r="L900" t="n">
        <v>11</v>
      </c>
      <c r="M900" t="inlineStr">
        <is>
          <t>Values must be of type &lt;class 'str'&gt;</t>
        </is>
      </c>
      <c r="N900" t="inlineStr">
        <is>
          <t>00000000</t>
        </is>
      </c>
      <c r="O900" t="n">
        <v/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</row>
    <row r="901">
      <c r="A901" t="inlineStr">
        <is>
          <t>CashFlow Statement</t>
        </is>
      </c>
      <c r="B901" t="inlineStr">
        <is>
          <t>M74</t>
        </is>
      </c>
      <c r="C901" t="n">
        <v>74</v>
      </c>
      <c r="D901" t="n">
        <v>13</v>
      </c>
      <c r="E901" t="inlineStr">
        <is>
          <t>Input</t>
        </is>
      </c>
      <c r="F901" t="n">
        <v/>
      </c>
      <c r="H901" t="inlineStr"/>
      <c r="I901" t="inlineStr">
        <is>
          <t>0</t>
        </is>
      </c>
      <c r="J901" t="b">
        <v>0</v>
      </c>
      <c r="K901" t="b">
        <v>0</v>
      </c>
      <c r="L901" t="n">
        <v>11</v>
      </c>
      <c r="M901" t="inlineStr">
        <is>
          <t>Values must be of type &lt;class 'str'&gt;</t>
        </is>
      </c>
      <c r="N901" t="inlineStr">
        <is>
          <t>00000000</t>
        </is>
      </c>
      <c r="O901" t="n">
        <v/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</row>
    <row r="902">
      <c r="A902" t="inlineStr">
        <is>
          <t>CashFlow Statement</t>
        </is>
      </c>
      <c r="B902" t="inlineStr">
        <is>
          <t>N74</t>
        </is>
      </c>
      <c r="C902" t="n">
        <v>74</v>
      </c>
      <c r="D902" t="n">
        <v>14</v>
      </c>
      <c r="E902" t="inlineStr">
        <is>
          <t>Input</t>
        </is>
      </c>
      <c r="F902" t="n">
        <v/>
      </c>
      <c r="H902" t="inlineStr"/>
      <c r="I902" t="inlineStr">
        <is>
          <t>0</t>
        </is>
      </c>
      <c r="J902" t="b">
        <v>0</v>
      </c>
      <c r="K902" t="b">
        <v>0</v>
      </c>
      <c r="L902" t="n">
        <v>11</v>
      </c>
      <c r="M902" t="inlineStr">
        <is>
          <t>Values must be of type &lt;class 'str'&gt;</t>
        </is>
      </c>
      <c r="N902" t="inlineStr">
        <is>
          <t>00000000</t>
        </is>
      </c>
      <c r="O902" t="n">
        <v/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</row>
    <row r="903">
      <c r="A903" t="inlineStr">
        <is>
          <t>CashFlow Statement</t>
        </is>
      </c>
      <c r="B903" t="inlineStr">
        <is>
          <t>O74</t>
        </is>
      </c>
      <c r="C903" t="n">
        <v>74</v>
      </c>
      <c r="D903" t="n">
        <v>15</v>
      </c>
      <c r="E903" t="inlineStr">
        <is>
          <t>Input</t>
        </is>
      </c>
      <c r="F903" t="n">
        <v/>
      </c>
      <c r="H903" t="inlineStr"/>
      <c r="I903" t="inlineStr">
        <is>
          <t>0</t>
        </is>
      </c>
      <c r="J903" t="b">
        <v>0</v>
      </c>
      <c r="K903" t="b">
        <v>0</v>
      </c>
      <c r="L903" t="n">
        <v>11</v>
      </c>
      <c r="M903" t="inlineStr">
        <is>
          <t>Values must be of type &lt;class 'str'&gt;</t>
        </is>
      </c>
      <c r="N903" t="inlineStr">
        <is>
          <t>00000000</t>
        </is>
      </c>
      <c r="O903" t="n">
        <v/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</row>
    <row r="904">
      <c r="A904" t="inlineStr">
        <is>
          <t>CashFlow Statement</t>
        </is>
      </c>
      <c r="B904" t="inlineStr">
        <is>
          <t>D75</t>
        </is>
      </c>
      <c r="C904" t="n">
        <v>75</v>
      </c>
      <c r="D904" t="n">
        <v>4</v>
      </c>
      <c r="E904" t="inlineStr">
        <is>
          <t>Input</t>
        </is>
      </c>
      <c r="F904" t="n">
        <v/>
      </c>
      <c r="H904" t="inlineStr"/>
      <c r="I904" t="inlineStr">
        <is>
          <t>0</t>
        </is>
      </c>
      <c r="J904" t="b">
        <v>0</v>
      </c>
      <c r="K904" t="b">
        <v>0</v>
      </c>
      <c r="L904" t="n">
        <v>11</v>
      </c>
      <c r="M904" t="inlineStr">
        <is>
          <t>Values must be of type &lt;class 'str'&gt;</t>
        </is>
      </c>
      <c r="N904" t="inlineStr">
        <is>
          <t>00000000</t>
        </is>
      </c>
      <c r="O904" t="n">
        <v/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</row>
    <row r="905">
      <c r="A905" t="inlineStr">
        <is>
          <t>CashFlow Statement</t>
        </is>
      </c>
      <c r="B905" t="inlineStr">
        <is>
          <t>E75</t>
        </is>
      </c>
      <c r="C905" t="n">
        <v>75</v>
      </c>
      <c r="D905" t="n">
        <v>5</v>
      </c>
      <c r="E905" t="inlineStr">
        <is>
          <t>Input</t>
        </is>
      </c>
      <c r="F905" t="n">
        <v/>
      </c>
      <c r="H905" t="inlineStr"/>
      <c r="I905" t="inlineStr">
        <is>
          <t>0</t>
        </is>
      </c>
      <c r="J905" t="b">
        <v>0</v>
      </c>
      <c r="K905" t="b">
        <v>0</v>
      </c>
      <c r="L905" t="n">
        <v>11</v>
      </c>
      <c r="M905" t="inlineStr">
        <is>
          <t>Values must be of type &lt;class 'str'&gt;</t>
        </is>
      </c>
      <c r="N905" t="inlineStr">
        <is>
          <t>00000000</t>
        </is>
      </c>
      <c r="O905" t="n">
        <v/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</row>
    <row r="906">
      <c r="A906" t="inlineStr">
        <is>
          <t>CashFlow Statement</t>
        </is>
      </c>
      <c r="B906" t="inlineStr">
        <is>
          <t>F75</t>
        </is>
      </c>
      <c r="C906" t="n">
        <v>75</v>
      </c>
      <c r="D906" t="n">
        <v>6</v>
      </c>
      <c r="E906" t="inlineStr">
        <is>
          <t>Input</t>
        </is>
      </c>
      <c r="F906" t="n">
        <v/>
      </c>
      <c r="H906" t="inlineStr"/>
      <c r="I906" t="inlineStr">
        <is>
          <t>0</t>
        </is>
      </c>
      <c r="J906" t="b">
        <v>0</v>
      </c>
      <c r="K906" t="b">
        <v>0</v>
      </c>
      <c r="L906" t="n">
        <v>11</v>
      </c>
      <c r="M906" t="inlineStr">
        <is>
          <t>Values must be of type &lt;class 'str'&gt;</t>
        </is>
      </c>
      <c r="N906" t="inlineStr">
        <is>
          <t>00000000</t>
        </is>
      </c>
      <c r="O906" t="n">
        <v/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</row>
    <row r="907">
      <c r="A907" t="inlineStr">
        <is>
          <t>CashFlow Statement</t>
        </is>
      </c>
      <c r="B907" t="inlineStr">
        <is>
          <t>G75</t>
        </is>
      </c>
      <c r="C907" t="n">
        <v>75</v>
      </c>
      <c r="D907" t="n">
        <v>7</v>
      </c>
      <c r="E907" t="inlineStr">
        <is>
          <t>Input</t>
        </is>
      </c>
      <c r="F907" t="n">
        <v/>
      </c>
      <c r="H907" t="inlineStr"/>
      <c r="I907" t="inlineStr">
        <is>
          <t>0</t>
        </is>
      </c>
      <c r="J907" t="b">
        <v>0</v>
      </c>
      <c r="K907" t="b">
        <v>0</v>
      </c>
      <c r="L907" t="n">
        <v>11</v>
      </c>
      <c r="M907" t="inlineStr">
        <is>
          <t>Values must be of type &lt;class 'str'&gt;</t>
        </is>
      </c>
      <c r="N907" t="inlineStr">
        <is>
          <t>00000000</t>
        </is>
      </c>
      <c r="O907" t="n">
        <v/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</row>
    <row r="908">
      <c r="A908" t="inlineStr">
        <is>
          <t>CashFlow Statement</t>
        </is>
      </c>
      <c r="B908" t="inlineStr">
        <is>
          <t>H75</t>
        </is>
      </c>
      <c r="C908" t="n">
        <v>75</v>
      </c>
      <c r="D908" t="n">
        <v>8</v>
      </c>
      <c r="E908" t="inlineStr">
        <is>
          <t>Input</t>
        </is>
      </c>
      <c r="F908" t="n">
        <v/>
      </c>
      <c r="H908" t="inlineStr"/>
      <c r="I908" t="inlineStr">
        <is>
          <t>0</t>
        </is>
      </c>
      <c r="J908" t="b">
        <v>0</v>
      </c>
      <c r="K908" t="b">
        <v>0</v>
      </c>
      <c r="L908" t="n">
        <v>11</v>
      </c>
      <c r="M908" t="inlineStr">
        <is>
          <t>Values must be of type &lt;class 'str'&gt;</t>
        </is>
      </c>
      <c r="N908" t="inlineStr">
        <is>
          <t>00000000</t>
        </is>
      </c>
      <c r="O908" t="n">
        <v/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</row>
    <row r="909">
      <c r="A909" t="inlineStr">
        <is>
          <t>CashFlow Statement</t>
        </is>
      </c>
      <c r="B909" t="inlineStr">
        <is>
          <t>I75</t>
        </is>
      </c>
      <c r="C909" t="n">
        <v>75</v>
      </c>
      <c r="D909" t="n">
        <v>9</v>
      </c>
      <c r="E909" t="inlineStr">
        <is>
          <t>Input</t>
        </is>
      </c>
      <c r="F909" t="n">
        <v/>
      </c>
      <c r="H909" t="inlineStr"/>
      <c r="I909" t="inlineStr">
        <is>
          <t>0</t>
        </is>
      </c>
      <c r="J909" t="b">
        <v>0</v>
      </c>
      <c r="K909" t="b">
        <v>0</v>
      </c>
      <c r="L909" t="n">
        <v>11</v>
      </c>
      <c r="M909" t="inlineStr">
        <is>
          <t>Values must be of type &lt;class 'str'&gt;</t>
        </is>
      </c>
      <c r="N909" t="inlineStr">
        <is>
          <t>00000000</t>
        </is>
      </c>
      <c r="O909" t="n">
        <v/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</row>
    <row r="910">
      <c r="A910" t="inlineStr">
        <is>
          <t>CashFlow Statement</t>
        </is>
      </c>
      <c r="B910" t="inlineStr">
        <is>
          <t>J75</t>
        </is>
      </c>
      <c r="C910" t="n">
        <v>75</v>
      </c>
      <c r="D910" t="n">
        <v>10</v>
      </c>
      <c r="E910" t="inlineStr">
        <is>
          <t>Input</t>
        </is>
      </c>
      <c r="F910" t="n">
        <v/>
      </c>
      <c r="H910" t="inlineStr"/>
      <c r="I910" t="inlineStr">
        <is>
          <t>0</t>
        </is>
      </c>
      <c r="J910" t="b">
        <v>0</v>
      </c>
      <c r="K910" t="b">
        <v>0</v>
      </c>
      <c r="L910" t="n">
        <v>11</v>
      </c>
      <c r="M910" t="inlineStr">
        <is>
          <t>Values must be of type &lt;class 'str'&gt;</t>
        </is>
      </c>
      <c r="N910" t="inlineStr">
        <is>
          <t>00000000</t>
        </is>
      </c>
      <c r="O910" t="n">
        <v/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</row>
    <row r="911">
      <c r="A911" t="inlineStr">
        <is>
          <t>CashFlow Statement</t>
        </is>
      </c>
      <c r="B911" t="inlineStr">
        <is>
          <t>K75</t>
        </is>
      </c>
      <c r="C911" t="n">
        <v>75</v>
      </c>
      <c r="D911" t="n">
        <v>11</v>
      </c>
      <c r="E911" t="inlineStr">
        <is>
          <t>Input</t>
        </is>
      </c>
      <c r="F911" t="n">
        <v/>
      </c>
      <c r="H911" t="inlineStr"/>
      <c r="I911" t="inlineStr">
        <is>
          <t>0</t>
        </is>
      </c>
      <c r="J911" t="b">
        <v>0</v>
      </c>
      <c r="K911" t="b">
        <v>0</v>
      </c>
      <c r="L911" t="n">
        <v>11</v>
      </c>
      <c r="M911" t="inlineStr">
        <is>
          <t>Values must be of type &lt;class 'str'&gt;</t>
        </is>
      </c>
      <c r="N911" t="inlineStr">
        <is>
          <t>00000000</t>
        </is>
      </c>
      <c r="O911" t="n">
        <v/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</row>
    <row r="912">
      <c r="A912" t="inlineStr">
        <is>
          <t>CashFlow Statement</t>
        </is>
      </c>
      <c r="B912" t="inlineStr">
        <is>
          <t>L75</t>
        </is>
      </c>
      <c r="C912" t="n">
        <v>75</v>
      </c>
      <c r="D912" t="n">
        <v>12</v>
      </c>
      <c r="E912" t="inlineStr">
        <is>
          <t>Input</t>
        </is>
      </c>
      <c r="F912" t="n">
        <v/>
      </c>
      <c r="H912" t="inlineStr"/>
      <c r="I912" t="inlineStr">
        <is>
          <t>0</t>
        </is>
      </c>
      <c r="J912" t="b">
        <v>0</v>
      </c>
      <c r="K912" t="b">
        <v>0</v>
      </c>
      <c r="L912" t="n">
        <v>11</v>
      </c>
      <c r="M912" t="inlineStr">
        <is>
          <t>Values must be of type &lt;class 'str'&gt;</t>
        </is>
      </c>
      <c r="N912" t="inlineStr">
        <is>
          <t>00000000</t>
        </is>
      </c>
      <c r="O912" t="n">
        <v/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</row>
    <row r="913">
      <c r="A913" t="inlineStr">
        <is>
          <t>CashFlow Statement</t>
        </is>
      </c>
      <c r="B913" t="inlineStr">
        <is>
          <t>M75</t>
        </is>
      </c>
      <c r="C913" t="n">
        <v>75</v>
      </c>
      <c r="D913" t="n">
        <v>13</v>
      </c>
      <c r="E913" t="inlineStr">
        <is>
          <t>Input</t>
        </is>
      </c>
      <c r="F913" t="n">
        <v/>
      </c>
      <c r="H913" t="inlineStr"/>
      <c r="I913" t="inlineStr">
        <is>
          <t>0</t>
        </is>
      </c>
      <c r="J913" t="b">
        <v>0</v>
      </c>
      <c r="K913" t="b">
        <v>0</v>
      </c>
      <c r="L913" t="n">
        <v>11</v>
      </c>
      <c r="M913" t="inlineStr">
        <is>
          <t>Values must be of type &lt;class 'str'&gt;</t>
        </is>
      </c>
      <c r="N913" t="inlineStr">
        <is>
          <t>00000000</t>
        </is>
      </c>
      <c r="O913" t="n">
        <v/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</row>
    <row r="914">
      <c r="A914" t="inlineStr">
        <is>
          <t>CashFlow Statement</t>
        </is>
      </c>
      <c r="B914" t="inlineStr">
        <is>
          <t>N75</t>
        </is>
      </c>
      <c r="C914" t="n">
        <v>75</v>
      </c>
      <c r="D914" t="n">
        <v>14</v>
      </c>
      <c r="E914" t="inlineStr">
        <is>
          <t>Input</t>
        </is>
      </c>
      <c r="F914" t="n">
        <v/>
      </c>
      <c r="H914" t="inlineStr"/>
      <c r="I914" t="inlineStr">
        <is>
          <t>0</t>
        </is>
      </c>
      <c r="J914" t="b">
        <v>0</v>
      </c>
      <c r="K914" t="b">
        <v>0</v>
      </c>
      <c r="L914" t="n">
        <v>11</v>
      </c>
      <c r="M914" t="inlineStr">
        <is>
          <t>Values must be of type &lt;class 'str'&gt;</t>
        </is>
      </c>
      <c r="N914" t="inlineStr">
        <is>
          <t>00000000</t>
        </is>
      </c>
      <c r="O914" t="n">
        <v/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</row>
    <row r="915">
      <c r="A915" t="inlineStr">
        <is>
          <t>CashFlow Statement</t>
        </is>
      </c>
      <c r="B915" t="inlineStr">
        <is>
          <t>O75</t>
        </is>
      </c>
      <c r="C915" t="n">
        <v>75</v>
      </c>
      <c r="D915" t="n">
        <v>15</v>
      </c>
      <c r="E915" t="inlineStr">
        <is>
          <t>Input</t>
        </is>
      </c>
      <c r="F915" t="n">
        <v/>
      </c>
      <c r="H915" t="inlineStr"/>
      <c r="I915" t="inlineStr">
        <is>
          <t>0</t>
        </is>
      </c>
      <c r="J915" t="b">
        <v>0</v>
      </c>
      <c r="K915" t="b">
        <v>0</v>
      </c>
      <c r="L915" t="n">
        <v>11</v>
      </c>
      <c r="M915" t="inlineStr">
        <is>
          <t>Values must be of type &lt;class 'str'&gt;</t>
        </is>
      </c>
      <c r="N915" t="inlineStr">
        <is>
          <t>00000000</t>
        </is>
      </c>
      <c r="O915" t="n">
        <v/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</row>
    <row r="916">
      <c r="A916" t="inlineStr">
        <is>
          <t>CashFlow Statement</t>
        </is>
      </c>
      <c r="B916" t="inlineStr">
        <is>
          <t>D76</t>
        </is>
      </c>
      <c r="C916" t="n">
        <v>76</v>
      </c>
      <c r="D916" t="n">
        <v>4</v>
      </c>
      <c r="E916" t="inlineStr">
        <is>
          <t>Input</t>
        </is>
      </c>
      <c r="F916" t="n">
        <v/>
      </c>
      <c r="H916" t="inlineStr"/>
      <c r="I916" t="inlineStr">
        <is>
          <t>0</t>
        </is>
      </c>
      <c r="J916" t="b">
        <v>0</v>
      </c>
      <c r="K916" t="b">
        <v>0</v>
      </c>
      <c r="L916" t="n">
        <v>11</v>
      </c>
      <c r="M916" t="inlineStr">
        <is>
          <t>Values must be of type &lt;class 'str'&gt;</t>
        </is>
      </c>
      <c r="N916" t="inlineStr">
        <is>
          <t>00000000</t>
        </is>
      </c>
      <c r="O916" t="n">
        <v/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</row>
    <row r="917">
      <c r="A917" t="inlineStr">
        <is>
          <t>CashFlow Statement</t>
        </is>
      </c>
      <c r="B917" t="inlineStr">
        <is>
          <t>E76</t>
        </is>
      </c>
      <c r="C917" t="n">
        <v>76</v>
      </c>
      <c r="D917" t="n">
        <v>5</v>
      </c>
      <c r="E917" t="inlineStr">
        <is>
          <t>Input</t>
        </is>
      </c>
      <c r="F917" t="n">
        <v/>
      </c>
      <c r="H917" t="inlineStr"/>
      <c r="I917" t="inlineStr">
        <is>
          <t>0</t>
        </is>
      </c>
      <c r="J917" t="b">
        <v>0</v>
      </c>
      <c r="K917" t="b">
        <v>0</v>
      </c>
      <c r="L917" t="n">
        <v>11</v>
      </c>
      <c r="M917" t="inlineStr">
        <is>
          <t>Values must be of type &lt;class 'str'&gt;</t>
        </is>
      </c>
      <c r="N917" t="inlineStr">
        <is>
          <t>00000000</t>
        </is>
      </c>
      <c r="O917" t="n">
        <v/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</row>
    <row r="918">
      <c r="A918" t="inlineStr">
        <is>
          <t>CashFlow Statement</t>
        </is>
      </c>
      <c r="B918" t="inlineStr">
        <is>
          <t>F76</t>
        </is>
      </c>
      <c r="C918" t="n">
        <v>76</v>
      </c>
      <c r="D918" t="n">
        <v>6</v>
      </c>
      <c r="E918" t="inlineStr">
        <is>
          <t>Input</t>
        </is>
      </c>
      <c r="F918" t="n">
        <v/>
      </c>
      <c r="H918" t="inlineStr"/>
      <c r="I918" t="inlineStr">
        <is>
          <t>0</t>
        </is>
      </c>
      <c r="J918" t="b">
        <v>0</v>
      </c>
      <c r="K918" t="b">
        <v>0</v>
      </c>
      <c r="L918" t="n">
        <v>11</v>
      </c>
      <c r="M918" t="inlineStr">
        <is>
          <t>Values must be of type &lt;class 'str'&gt;</t>
        </is>
      </c>
      <c r="N918" t="inlineStr">
        <is>
          <t>00000000</t>
        </is>
      </c>
      <c r="O918" t="n">
        <v/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</row>
    <row r="919">
      <c r="A919" t="inlineStr">
        <is>
          <t>CashFlow Statement</t>
        </is>
      </c>
      <c r="B919" t="inlineStr">
        <is>
          <t>G76</t>
        </is>
      </c>
      <c r="C919" t="n">
        <v>76</v>
      </c>
      <c r="D919" t="n">
        <v>7</v>
      </c>
      <c r="E919" t="inlineStr">
        <is>
          <t>Input</t>
        </is>
      </c>
      <c r="F919" t="n">
        <v/>
      </c>
      <c r="H919" t="inlineStr"/>
      <c r="I919" t="inlineStr">
        <is>
          <t>0</t>
        </is>
      </c>
      <c r="J919" t="b">
        <v>0</v>
      </c>
      <c r="K919" t="b">
        <v>0</v>
      </c>
      <c r="L919" t="n">
        <v>11</v>
      </c>
      <c r="M919" t="inlineStr">
        <is>
          <t>Values must be of type &lt;class 'str'&gt;</t>
        </is>
      </c>
      <c r="N919" t="inlineStr">
        <is>
          <t>00000000</t>
        </is>
      </c>
      <c r="O919" t="n">
        <v/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</row>
    <row r="920">
      <c r="A920" t="inlineStr">
        <is>
          <t>CashFlow Statement</t>
        </is>
      </c>
      <c r="B920" t="inlineStr">
        <is>
          <t>H76</t>
        </is>
      </c>
      <c r="C920" t="n">
        <v>76</v>
      </c>
      <c r="D920" t="n">
        <v>8</v>
      </c>
      <c r="E920" t="inlineStr">
        <is>
          <t>Input</t>
        </is>
      </c>
      <c r="F920" t="n">
        <v/>
      </c>
      <c r="H920" t="inlineStr"/>
      <c r="I920" t="inlineStr">
        <is>
          <t>0</t>
        </is>
      </c>
      <c r="J920" t="b">
        <v>0</v>
      </c>
      <c r="K920" t="b">
        <v>0</v>
      </c>
      <c r="L920" t="n">
        <v>11</v>
      </c>
      <c r="M920" t="inlineStr">
        <is>
          <t>Values must be of type &lt;class 'str'&gt;</t>
        </is>
      </c>
      <c r="N920" t="inlineStr">
        <is>
          <t>00000000</t>
        </is>
      </c>
      <c r="O920" t="n">
        <v/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</row>
    <row r="921">
      <c r="A921" t="inlineStr">
        <is>
          <t>CashFlow Statement</t>
        </is>
      </c>
      <c r="B921" t="inlineStr">
        <is>
          <t>I76</t>
        </is>
      </c>
      <c r="C921" t="n">
        <v>76</v>
      </c>
      <c r="D921" t="n">
        <v>9</v>
      </c>
      <c r="E921" t="inlineStr">
        <is>
          <t>Input</t>
        </is>
      </c>
      <c r="F921" t="n">
        <v/>
      </c>
      <c r="H921" t="inlineStr"/>
      <c r="I921" t="inlineStr">
        <is>
          <t>0</t>
        </is>
      </c>
      <c r="J921" t="b">
        <v>0</v>
      </c>
      <c r="K921" t="b">
        <v>0</v>
      </c>
      <c r="L921" t="n">
        <v>11</v>
      </c>
      <c r="M921" t="inlineStr">
        <is>
          <t>Values must be of type &lt;class 'str'&gt;</t>
        </is>
      </c>
      <c r="N921" t="inlineStr">
        <is>
          <t>00000000</t>
        </is>
      </c>
      <c r="O921" t="n">
        <v/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</row>
    <row r="922">
      <c r="A922" t="inlineStr">
        <is>
          <t>CashFlow Statement</t>
        </is>
      </c>
      <c r="B922" t="inlineStr">
        <is>
          <t>J76</t>
        </is>
      </c>
      <c r="C922" t="n">
        <v>76</v>
      </c>
      <c r="D922" t="n">
        <v>10</v>
      </c>
      <c r="E922" t="inlineStr">
        <is>
          <t>Input</t>
        </is>
      </c>
      <c r="F922" t="n">
        <v/>
      </c>
      <c r="H922" t="inlineStr"/>
      <c r="I922" t="inlineStr">
        <is>
          <t>0</t>
        </is>
      </c>
      <c r="J922" t="b">
        <v>0</v>
      </c>
      <c r="K922" t="b">
        <v>0</v>
      </c>
      <c r="L922" t="n">
        <v>11</v>
      </c>
      <c r="M922" t="inlineStr">
        <is>
          <t>Values must be of type &lt;class 'str'&gt;</t>
        </is>
      </c>
      <c r="N922" t="inlineStr">
        <is>
          <t>00000000</t>
        </is>
      </c>
      <c r="O922" t="n">
        <v/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</row>
    <row r="923">
      <c r="A923" t="inlineStr">
        <is>
          <t>CashFlow Statement</t>
        </is>
      </c>
      <c r="B923" t="inlineStr">
        <is>
          <t>K76</t>
        </is>
      </c>
      <c r="C923" t="n">
        <v>76</v>
      </c>
      <c r="D923" t="n">
        <v>11</v>
      </c>
      <c r="E923" t="inlineStr">
        <is>
          <t>Input</t>
        </is>
      </c>
      <c r="F923" t="n">
        <v/>
      </c>
      <c r="H923" t="inlineStr"/>
      <c r="I923" t="inlineStr">
        <is>
          <t>0</t>
        </is>
      </c>
      <c r="J923" t="b">
        <v>0</v>
      </c>
      <c r="K923" t="b">
        <v>0</v>
      </c>
      <c r="L923" t="n">
        <v>11</v>
      </c>
      <c r="M923" t="inlineStr">
        <is>
          <t>Values must be of type &lt;class 'str'&gt;</t>
        </is>
      </c>
      <c r="N923" t="inlineStr">
        <is>
          <t>00000000</t>
        </is>
      </c>
      <c r="O923" t="n">
        <v/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</row>
    <row r="924">
      <c r="A924" t="inlineStr">
        <is>
          <t>CashFlow Statement</t>
        </is>
      </c>
      <c r="B924" t="inlineStr">
        <is>
          <t>L76</t>
        </is>
      </c>
      <c r="C924" t="n">
        <v>76</v>
      </c>
      <c r="D924" t="n">
        <v>12</v>
      </c>
      <c r="E924" t="inlineStr">
        <is>
          <t>Input</t>
        </is>
      </c>
      <c r="F924" t="n">
        <v/>
      </c>
      <c r="H924" t="inlineStr"/>
      <c r="I924" t="inlineStr">
        <is>
          <t>0</t>
        </is>
      </c>
      <c r="J924" t="b">
        <v>0</v>
      </c>
      <c r="K924" t="b">
        <v>0</v>
      </c>
      <c r="L924" t="n">
        <v>11</v>
      </c>
      <c r="M924" t="inlineStr">
        <is>
          <t>Values must be of type &lt;class 'str'&gt;</t>
        </is>
      </c>
      <c r="N924" t="inlineStr">
        <is>
          <t>00000000</t>
        </is>
      </c>
      <c r="O924" t="n">
        <v/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</row>
    <row r="925">
      <c r="A925" t="inlineStr">
        <is>
          <t>CashFlow Statement</t>
        </is>
      </c>
      <c r="B925" t="inlineStr">
        <is>
          <t>M76</t>
        </is>
      </c>
      <c r="C925" t="n">
        <v>76</v>
      </c>
      <c r="D925" t="n">
        <v>13</v>
      </c>
      <c r="E925" t="inlineStr">
        <is>
          <t>Input</t>
        </is>
      </c>
      <c r="F925" t="n">
        <v/>
      </c>
      <c r="H925" t="inlineStr"/>
      <c r="I925" t="inlineStr">
        <is>
          <t>0</t>
        </is>
      </c>
      <c r="J925" t="b">
        <v>0</v>
      </c>
      <c r="K925" t="b">
        <v>0</v>
      </c>
      <c r="L925" t="n">
        <v>11</v>
      </c>
      <c r="M925" t="inlineStr">
        <is>
          <t>Values must be of type &lt;class 'str'&gt;</t>
        </is>
      </c>
      <c r="N925" t="inlineStr">
        <is>
          <t>00000000</t>
        </is>
      </c>
      <c r="O925" t="n">
        <v/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</row>
    <row r="926">
      <c r="A926" t="inlineStr">
        <is>
          <t>CashFlow Statement</t>
        </is>
      </c>
      <c r="B926" t="inlineStr">
        <is>
          <t>N76</t>
        </is>
      </c>
      <c r="C926" t="n">
        <v>76</v>
      </c>
      <c r="D926" t="n">
        <v>14</v>
      </c>
      <c r="E926" t="inlineStr">
        <is>
          <t>Input</t>
        </is>
      </c>
      <c r="F926" t="n">
        <v/>
      </c>
      <c r="H926" t="inlineStr"/>
      <c r="I926" t="inlineStr">
        <is>
          <t>0</t>
        </is>
      </c>
      <c r="J926" t="b">
        <v>0</v>
      </c>
      <c r="K926" t="b">
        <v>0</v>
      </c>
      <c r="L926" t="n">
        <v>11</v>
      </c>
      <c r="M926" t="inlineStr">
        <is>
          <t>Values must be of type &lt;class 'str'&gt;</t>
        </is>
      </c>
      <c r="N926" t="inlineStr">
        <is>
          <t>00000000</t>
        </is>
      </c>
      <c r="O926" t="n">
        <v/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</row>
    <row r="927">
      <c r="A927" t="inlineStr">
        <is>
          <t>CashFlow Statement</t>
        </is>
      </c>
      <c r="B927" t="inlineStr">
        <is>
          <t>O76</t>
        </is>
      </c>
      <c r="C927" t="n">
        <v>76</v>
      </c>
      <c r="D927" t="n">
        <v>15</v>
      </c>
      <c r="E927" t="inlineStr">
        <is>
          <t>Input</t>
        </is>
      </c>
      <c r="F927" t="n">
        <v/>
      </c>
      <c r="H927" t="inlineStr"/>
      <c r="I927" t="inlineStr">
        <is>
          <t>0</t>
        </is>
      </c>
      <c r="J927" t="b">
        <v>0</v>
      </c>
      <c r="K927" t="b">
        <v>0</v>
      </c>
      <c r="L927" t="n">
        <v>11</v>
      </c>
      <c r="M927" t="inlineStr">
        <is>
          <t>Values must be of type &lt;class 'str'&gt;</t>
        </is>
      </c>
      <c r="N927" t="inlineStr">
        <is>
          <t>00000000</t>
        </is>
      </c>
      <c r="O927" t="n">
        <v/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</row>
    <row r="928">
      <c r="A928" t="inlineStr">
        <is>
          <t>CashFlow Statement</t>
        </is>
      </c>
      <c r="B928" t="inlineStr">
        <is>
          <t>D77</t>
        </is>
      </c>
      <c r="C928" t="n">
        <v>77</v>
      </c>
      <c r="D928" t="n">
        <v>4</v>
      </c>
      <c r="E928" t="inlineStr">
        <is>
          <t>Input</t>
        </is>
      </c>
      <c r="F928" t="n">
        <v/>
      </c>
      <c r="H928" t="inlineStr"/>
      <c r="I928" t="inlineStr">
        <is>
          <t>0</t>
        </is>
      </c>
      <c r="J928" t="b">
        <v>0</v>
      </c>
      <c r="K928" t="b">
        <v>0</v>
      </c>
      <c r="L928" t="n">
        <v>11</v>
      </c>
      <c r="M928" t="inlineStr">
        <is>
          <t>Values must be of type &lt;class 'str'&gt;</t>
        </is>
      </c>
      <c r="N928" t="inlineStr">
        <is>
          <t>00000000</t>
        </is>
      </c>
      <c r="O928" t="n">
        <v/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</row>
    <row r="929">
      <c r="A929" t="inlineStr">
        <is>
          <t>CashFlow Statement</t>
        </is>
      </c>
      <c r="B929" t="inlineStr">
        <is>
          <t>E77</t>
        </is>
      </c>
      <c r="C929" t="n">
        <v>77</v>
      </c>
      <c r="D929" t="n">
        <v>5</v>
      </c>
      <c r="E929" t="inlineStr">
        <is>
          <t>Input</t>
        </is>
      </c>
      <c r="F929" t="n">
        <v/>
      </c>
      <c r="H929" t="inlineStr"/>
      <c r="I929" t="inlineStr">
        <is>
          <t>0</t>
        </is>
      </c>
      <c r="J929" t="b">
        <v>0</v>
      </c>
      <c r="K929" t="b">
        <v>0</v>
      </c>
      <c r="L929" t="n">
        <v>11</v>
      </c>
      <c r="M929" t="inlineStr">
        <is>
          <t>Values must be of type &lt;class 'str'&gt;</t>
        </is>
      </c>
      <c r="N929" t="inlineStr">
        <is>
          <t>00000000</t>
        </is>
      </c>
      <c r="O929" t="n">
        <v/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</row>
    <row r="930">
      <c r="A930" t="inlineStr">
        <is>
          <t>CashFlow Statement</t>
        </is>
      </c>
      <c r="B930" t="inlineStr">
        <is>
          <t>F77</t>
        </is>
      </c>
      <c r="C930" t="n">
        <v>77</v>
      </c>
      <c r="D930" t="n">
        <v>6</v>
      </c>
      <c r="E930" t="inlineStr">
        <is>
          <t>Input</t>
        </is>
      </c>
      <c r="F930" t="n">
        <v/>
      </c>
      <c r="H930" t="inlineStr"/>
      <c r="I930" t="inlineStr">
        <is>
          <t>0</t>
        </is>
      </c>
      <c r="J930" t="b">
        <v>0</v>
      </c>
      <c r="K930" t="b">
        <v>0</v>
      </c>
      <c r="L930" t="n">
        <v>11</v>
      </c>
      <c r="M930" t="inlineStr">
        <is>
          <t>Values must be of type &lt;class 'str'&gt;</t>
        </is>
      </c>
      <c r="N930" t="inlineStr">
        <is>
          <t>00000000</t>
        </is>
      </c>
      <c r="O930" t="n">
        <v/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</row>
    <row r="931">
      <c r="A931" t="inlineStr">
        <is>
          <t>CashFlow Statement</t>
        </is>
      </c>
      <c r="B931" t="inlineStr">
        <is>
          <t>G77</t>
        </is>
      </c>
      <c r="C931" t="n">
        <v>77</v>
      </c>
      <c r="D931" t="n">
        <v>7</v>
      </c>
      <c r="E931" t="inlineStr">
        <is>
          <t>Input</t>
        </is>
      </c>
      <c r="F931" t="n">
        <v/>
      </c>
      <c r="H931" t="inlineStr"/>
      <c r="I931" t="inlineStr">
        <is>
          <t>0</t>
        </is>
      </c>
      <c r="J931" t="b">
        <v>0</v>
      </c>
      <c r="K931" t="b">
        <v>0</v>
      </c>
      <c r="L931" t="n">
        <v>11</v>
      </c>
      <c r="M931" t="inlineStr">
        <is>
          <t>Values must be of type &lt;class 'str'&gt;</t>
        </is>
      </c>
      <c r="N931" t="inlineStr">
        <is>
          <t>00000000</t>
        </is>
      </c>
      <c r="O931" t="n">
        <v/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</row>
    <row r="932">
      <c r="A932" t="inlineStr">
        <is>
          <t>CashFlow Statement</t>
        </is>
      </c>
      <c r="B932" t="inlineStr">
        <is>
          <t>H77</t>
        </is>
      </c>
      <c r="C932" t="n">
        <v>77</v>
      </c>
      <c r="D932" t="n">
        <v>8</v>
      </c>
      <c r="E932" t="inlineStr">
        <is>
          <t>Input</t>
        </is>
      </c>
      <c r="F932" t="n">
        <v/>
      </c>
      <c r="H932" t="inlineStr"/>
      <c r="I932" t="inlineStr">
        <is>
          <t>0</t>
        </is>
      </c>
      <c r="J932" t="b">
        <v>0</v>
      </c>
      <c r="K932" t="b">
        <v>0</v>
      </c>
      <c r="L932" t="n">
        <v>11</v>
      </c>
      <c r="M932" t="inlineStr">
        <is>
          <t>Values must be of type &lt;class 'str'&gt;</t>
        </is>
      </c>
      <c r="N932" t="inlineStr">
        <is>
          <t>00000000</t>
        </is>
      </c>
      <c r="O932" t="n">
        <v/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</row>
    <row r="933">
      <c r="A933" t="inlineStr">
        <is>
          <t>CashFlow Statement</t>
        </is>
      </c>
      <c r="B933" t="inlineStr">
        <is>
          <t>I77</t>
        </is>
      </c>
      <c r="C933" t="n">
        <v>77</v>
      </c>
      <c r="D933" t="n">
        <v>9</v>
      </c>
      <c r="E933" t="inlineStr">
        <is>
          <t>Input</t>
        </is>
      </c>
      <c r="F933" t="n">
        <v/>
      </c>
      <c r="H933" t="inlineStr"/>
      <c r="I933" t="inlineStr">
        <is>
          <t>0</t>
        </is>
      </c>
      <c r="J933" t="b">
        <v>0</v>
      </c>
      <c r="K933" t="b">
        <v>0</v>
      </c>
      <c r="L933" t="n">
        <v>11</v>
      </c>
      <c r="M933" t="inlineStr">
        <is>
          <t>Values must be of type &lt;class 'str'&gt;</t>
        </is>
      </c>
      <c r="N933" t="inlineStr">
        <is>
          <t>00000000</t>
        </is>
      </c>
      <c r="O933" t="n">
        <v/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</row>
    <row r="934">
      <c r="A934" t="inlineStr">
        <is>
          <t>CashFlow Statement</t>
        </is>
      </c>
      <c r="B934" t="inlineStr">
        <is>
          <t>J77</t>
        </is>
      </c>
      <c r="C934" t="n">
        <v>77</v>
      </c>
      <c r="D934" t="n">
        <v>10</v>
      </c>
      <c r="E934" t="inlineStr">
        <is>
          <t>Input</t>
        </is>
      </c>
      <c r="F934" t="n">
        <v/>
      </c>
      <c r="H934" t="inlineStr"/>
      <c r="I934" t="inlineStr">
        <is>
          <t>0</t>
        </is>
      </c>
      <c r="J934" t="b">
        <v>0</v>
      </c>
      <c r="K934" t="b">
        <v>0</v>
      </c>
      <c r="L934" t="n">
        <v>11</v>
      </c>
      <c r="M934" t="inlineStr">
        <is>
          <t>Values must be of type &lt;class 'str'&gt;</t>
        </is>
      </c>
      <c r="N934" t="inlineStr">
        <is>
          <t>00000000</t>
        </is>
      </c>
      <c r="O934" t="n">
        <v/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</row>
    <row r="935">
      <c r="A935" t="inlineStr">
        <is>
          <t>CashFlow Statement</t>
        </is>
      </c>
      <c r="B935" t="inlineStr">
        <is>
          <t>K77</t>
        </is>
      </c>
      <c r="C935" t="n">
        <v>77</v>
      </c>
      <c r="D935" t="n">
        <v>11</v>
      </c>
      <c r="E935" t="inlineStr">
        <is>
          <t>Input</t>
        </is>
      </c>
      <c r="F935" t="n">
        <v/>
      </c>
      <c r="H935" t="inlineStr"/>
      <c r="I935" t="inlineStr">
        <is>
          <t>0</t>
        </is>
      </c>
      <c r="J935" t="b">
        <v>0</v>
      </c>
      <c r="K935" t="b">
        <v>0</v>
      </c>
      <c r="L935" t="n">
        <v>11</v>
      </c>
      <c r="M935" t="inlineStr">
        <is>
          <t>Values must be of type &lt;class 'str'&gt;</t>
        </is>
      </c>
      <c r="N935" t="inlineStr">
        <is>
          <t>00000000</t>
        </is>
      </c>
      <c r="O935" t="n">
        <v/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</row>
    <row r="936">
      <c r="A936" t="inlineStr">
        <is>
          <t>CashFlow Statement</t>
        </is>
      </c>
      <c r="B936" t="inlineStr">
        <is>
          <t>L77</t>
        </is>
      </c>
      <c r="C936" t="n">
        <v>77</v>
      </c>
      <c r="D936" t="n">
        <v>12</v>
      </c>
      <c r="E936" t="inlineStr">
        <is>
          <t>Input</t>
        </is>
      </c>
      <c r="F936" t="n">
        <v/>
      </c>
      <c r="H936" t="inlineStr"/>
      <c r="I936" t="inlineStr">
        <is>
          <t>0</t>
        </is>
      </c>
      <c r="J936" t="b">
        <v>0</v>
      </c>
      <c r="K936" t="b">
        <v>0</v>
      </c>
      <c r="L936" t="n">
        <v>11</v>
      </c>
      <c r="M936" t="inlineStr">
        <is>
          <t>Values must be of type &lt;class 'str'&gt;</t>
        </is>
      </c>
      <c r="N936" t="inlineStr">
        <is>
          <t>00000000</t>
        </is>
      </c>
      <c r="O936" t="n">
        <v/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</row>
    <row r="937">
      <c r="A937" t="inlineStr">
        <is>
          <t>CashFlow Statement</t>
        </is>
      </c>
      <c r="B937" t="inlineStr">
        <is>
          <t>M77</t>
        </is>
      </c>
      <c r="C937" t="n">
        <v>77</v>
      </c>
      <c r="D937" t="n">
        <v>13</v>
      </c>
      <c r="E937" t="inlineStr">
        <is>
          <t>Input</t>
        </is>
      </c>
      <c r="F937" t="n">
        <v/>
      </c>
      <c r="H937" t="inlineStr"/>
      <c r="I937" t="inlineStr">
        <is>
          <t>0</t>
        </is>
      </c>
      <c r="J937" t="b">
        <v>0</v>
      </c>
      <c r="K937" t="b">
        <v>0</v>
      </c>
      <c r="L937" t="n">
        <v>11</v>
      </c>
      <c r="M937" t="inlineStr">
        <is>
          <t>Values must be of type &lt;class 'str'&gt;</t>
        </is>
      </c>
      <c r="N937" t="inlineStr">
        <is>
          <t>00000000</t>
        </is>
      </c>
      <c r="O937" t="n">
        <v/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</row>
    <row r="938">
      <c r="A938" t="inlineStr">
        <is>
          <t>CashFlow Statement</t>
        </is>
      </c>
      <c r="B938" t="inlineStr">
        <is>
          <t>N77</t>
        </is>
      </c>
      <c r="C938" t="n">
        <v>77</v>
      </c>
      <c r="D938" t="n">
        <v>14</v>
      </c>
      <c r="E938" t="inlineStr">
        <is>
          <t>Input</t>
        </is>
      </c>
      <c r="F938" t="n">
        <v/>
      </c>
      <c r="H938" t="inlineStr"/>
      <c r="I938" t="inlineStr">
        <is>
          <t>0</t>
        </is>
      </c>
      <c r="J938" t="b">
        <v>0</v>
      </c>
      <c r="K938" t="b">
        <v>0</v>
      </c>
      <c r="L938" t="n">
        <v>11</v>
      </c>
      <c r="M938" t="inlineStr">
        <is>
          <t>Values must be of type &lt;class 'str'&gt;</t>
        </is>
      </c>
      <c r="N938" t="inlineStr">
        <is>
          <t>00000000</t>
        </is>
      </c>
      <c r="O938" t="n">
        <v/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</row>
    <row r="939">
      <c r="A939" t="inlineStr">
        <is>
          <t>CashFlow Statement</t>
        </is>
      </c>
      <c r="B939" t="inlineStr">
        <is>
          <t>O77</t>
        </is>
      </c>
      <c r="C939" t="n">
        <v>77</v>
      </c>
      <c r="D939" t="n">
        <v>15</v>
      </c>
      <c r="E939" t="inlineStr">
        <is>
          <t>Input</t>
        </is>
      </c>
      <c r="F939" t="n">
        <v/>
      </c>
      <c r="H939" t="inlineStr"/>
      <c r="I939" t="inlineStr">
        <is>
          <t>0</t>
        </is>
      </c>
      <c r="J939" t="b">
        <v>0</v>
      </c>
      <c r="K939" t="b">
        <v>0</v>
      </c>
      <c r="L939" t="n">
        <v>11</v>
      </c>
      <c r="M939" t="inlineStr">
        <is>
          <t>Values must be of type &lt;class 'str'&gt;</t>
        </is>
      </c>
      <c r="N939" t="inlineStr">
        <is>
          <t>00000000</t>
        </is>
      </c>
      <c r="O939" t="n">
        <v/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</row>
    <row r="940">
      <c r="A940" t="inlineStr">
        <is>
          <t>CashFlow Statement</t>
        </is>
      </c>
      <c r="B940" t="inlineStr">
        <is>
          <t>D78</t>
        </is>
      </c>
      <c r="C940" t="n">
        <v>78</v>
      </c>
      <c r="D940" t="n">
        <v>4</v>
      </c>
      <c r="E940" t="inlineStr">
        <is>
          <t>Input</t>
        </is>
      </c>
      <c r="F940" t="n">
        <v/>
      </c>
      <c r="H940" t="inlineStr"/>
      <c r="I940" t="inlineStr">
        <is>
          <t>0</t>
        </is>
      </c>
      <c r="J940" t="b">
        <v>0</v>
      </c>
      <c r="K940" t="b">
        <v>0</v>
      </c>
      <c r="L940" t="n">
        <v>11</v>
      </c>
      <c r="M940" t="inlineStr">
        <is>
          <t>Values must be of type &lt;class 'str'&gt;</t>
        </is>
      </c>
      <c r="N940" t="inlineStr">
        <is>
          <t>00000000</t>
        </is>
      </c>
      <c r="O940" t="n">
        <v/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</row>
    <row r="941">
      <c r="A941" t="inlineStr">
        <is>
          <t>CashFlow Statement</t>
        </is>
      </c>
      <c r="B941" t="inlineStr">
        <is>
          <t>E78</t>
        </is>
      </c>
      <c r="C941" t="n">
        <v>78</v>
      </c>
      <c r="D941" t="n">
        <v>5</v>
      </c>
      <c r="E941" t="inlineStr">
        <is>
          <t>Input</t>
        </is>
      </c>
      <c r="F941" t="n">
        <v/>
      </c>
      <c r="H941" t="inlineStr"/>
      <c r="I941" t="inlineStr">
        <is>
          <t>0</t>
        </is>
      </c>
      <c r="J941" t="b">
        <v>0</v>
      </c>
      <c r="K941" t="b">
        <v>0</v>
      </c>
      <c r="L941" t="n">
        <v>11</v>
      </c>
      <c r="M941" t="inlineStr">
        <is>
          <t>Values must be of type &lt;class 'str'&gt;</t>
        </is>
      </c>
      <c r="N941" t="inlineStr">
        <is>
          <t>00000000</t>
        </is>
      </c>
      <c r="O941" t="n">
        <v/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</row>
    <row r="942">
      <c r="A942" t="inlineStr">
        <is>
          <t>CashFlow Statement</t>
        </is>
      </c>
      <c r="B942" t="inlineStr">
        <is>
          <t>F78</t>
        </is>
      </c>
      <c r="C942" t="n">
        <v>78</v>
      </c>
      <c r="D942" t="n">
        <v>6</v>
      </c>
      <c r="E942" t="inlineStr">
        <is>
          <t>Input</t>
        </is>
      </c>
      <c r="F942" t="n">
        <v/>
      </c>
      <c r="H942" t="inlineStr"/>
      <c r="I942" t="inlineStr">
        <is>
          <t>0</t>
        </is>
      </c>
      <c r="J942" t="b">
        <v>0</v>
      </c>
      <c r="K942" t="b">
        <v>0</v>
      </c>
      <c r="L942" t="n">
        <v>11</v>
      </c>
      <c r="M942" t="inlineStr">
        <is>
          <t>Values must be of type &lt;class 'str'&gt;</t>
        </is>
      </c>
      <c r="N942" t="inlineStr">
        <is>
          <t>00000000</t>
        </is>
      </c>
      <c r="O942" t="n">
        <v/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</row>
    <row r="943">
      <c r="A943" t="inlineStr">
        <is>
          <t>CashFlow Statement</t>
        </is>
      </c>
      <c r="B943" t="inlineStr">
        <is>
          <t>G78</t>
        </is>
      </c>
      <c r="C943" t="n">
        <v>78</v>
      </c>
      <c r="D943" t="n">
        <v>7</v>
      </c>
      <c r="E943" t="inlineStr">
        <is>
          <t>Input</t>
        </is>
      </c>
      <c r="F943" t="n">
        <v/>
      </c>
      <c r="H943" t="inlineStr"/>
      <c r="I943" t="inlineStr">
        <is>
          <t>0</t>
        </is>
      </c>
      <c r="J943" t="b">
        <v>0</v>
      </c>
      <c r="K943" t="b">
        <v>0</v>
      </c>
      <c r="L943" t="n">
        <v>11</v>
      </c>
      <c r="M943" t="inlineStr">
        <is>
          <t>Values must be of type &lt;class 'str'&gt;</t>
        </is>
      </c>
      <c r="N943" t="inlineStr">
        <is>
          <t>00000000</t>
        </is>
      </c>
      <c r="O943" t="n">
        <v/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</row>
    <row r="944">
      <c r="A944" t="inlineStr">
        <is>
          <t>CashFlow Statement</t>
        </is>
      </c>
      <c r="B944" t="inlineStr">
        <is>
          <t>H78</t>
        </is>
      </c>
      <c r="C944" t="n">
        <v>78</v>
      </c>
      <c r="D944" t="n">
        <v>8</v>
      </c>
      <c r="E944" t="inlineStr">
        <is>
          <t>Input</t>
        </is>
      </c>
      <c r="F944" t="n">
        <v/>
      </c>
      <c r="H944" t="inlineStr"/>
      <c r="I944" t="inlineStr">
        <is>
          <t>0</t>
        </is>
      </c>
      <c r="J944" t="b">
        <v>0</v>
      </c>
      <c r="K944" t="b">
        <v>0</v>
      </c>
      <c r="L944" t="n">
        <v>11</v>
      </c>
      <c r="M944" t="inlineStr">
        <is>
          <t>Values must be of type &lt;class 'str'&gt;</t>
        </is>
      </c>
      <c r="N944" t="inlineStr">
        <is>
          <t>00000000</t>
        </is>
      </c>
      <c r="O944" t="n">
        <v/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</row>
    <row r="945">
      <c r="A945" t="inlineStr">
        <is>
          <t>CashFlow Statement</t>
        </is>
      </c>
      <c r="B945" t="inlineStr">
        <is>
          <t>I78</t>
        </is>
      </c>
      <c r="C945" t="n">
        <v>78</v>
      </c>
      <c r="D945" t="n">
        <v>9</v>
      </c>
      <c r="E945" t="inlineStr">
        <is>
          <t>Input</t>
        </is>
      </c>
      <c r="F945" t="n">
        <v/>
      </c>
      <c r="H945" t="inlineStr"/>
      <c r="I945" t="inlineStr">
        <is>
          <t>0</t>
        </is>
      </c>
      <c r="J945" t="b">
        <v>0</v>
      </c>
      <c r="K945" t="b">
        <v>0</v>
      </c>
      <c r="L945" t="n">
        <v>11</v>
      </c>
      <c r="M945" t="inlineStr">
        <is>
          <t>Values must be of type &lt;class 'str'&gt;</t>
        </is>
      </c>
      <c r="N945" t="inlineStr">
        <is>
          <t>00000000</t>
        </is>
      </c>
      <c r="O945" t="n">
        <v/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</row>
    <row r="946">
      <c r="A946" t="inlineStr">
        <is>
          <t>CashFlow Statement</t>
        </is>
      </c>
      <c r="B946" t="inlineStr">
        <is>
          <t>J78</t>
        </is>
      </c>
      <c r="C946" t="n">
        <v>78</v>
      </c>
      <c r="D946" t="n">
        <v>10</v>
      </c>
      <c r="E946" t="inlineStr">
        <is>
          <t>Input</t>
        </is>
      </c>
      <c r="F946" t="n">
        <v/>
      </c>
      <c r="H946" t="inlineStr"/>
      <c r="I946" t="inlineStr">
        <is>
          <t>0</t>
        </is>
      </c>
      <c r="J946" t="b">
        <v>0</v>
      </c>
      <c r="K946" t="b">
        <v>0</v>
      </c>
      <c r="L946" t="n">
        <v>11</v>
      </c>
      <c r="M946" t="inlineStr">
        <is>
          <t>Values must be of type &lt;class 'str'&gt;</t>
        </is>
      </c>
      <c r="N946" t="inlineStr">
        <is>
          <t>00000000</t>
        </is>
      </c>
      <c r="O946" t="n">
        <v/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</row>
    <row r="947">
      <c r="A947" t="inlineStr">
        <is>
          <t>CashFlow Statement</t>
        </is>
      </c>
      <c r="B947" t="inlineStr">
        <is>
          <t>K78</t>
        </is>
      </c>
      <c r="C947" t="n">
        <v>78</v>
      </c>
      <c r="D947" t="n">
        <v>11</v>
      </c>
      <c r="E947" t="inlineStr">
        <is>
          <t>Input</t>
        </is>
      </c>
      <c r="F947" t="n">
        <v/>
      </c>
      <c r="H947" t="inlineStr"/>
      <c r="I947" t="inlineStr">
        <is>
          <t>0</t>
        </is>
      </c>
      <c r="J947" t="b">
        <v>0</v>
      </c>
      <c r="K947" t="b">
        <v>0</v>
      </c>
      <c r="L947" t="n">
        <v>11</v>
      </c>
      <c r="M947" t="inlineStr">
        <is>
          <t>Values must be of type &lt;class 'str'&gt;</t>
        </is>
      </c>
      <c r="N947" t="inlineStr">
        <is>
          <t>00000000</t>
        </is>
      </c>
      <c r="O947" t="n">
        <v/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</row>
    <row r="948">
      <c r="A948" t="inlineStr">
        <is>
          <t>CashFlow Statement</t>
        </is>
      </c>
      <c r="B948" t="inlineStr">
        <is>
          <t>L78</t>
        </is>
      </c>
      <c r="C948" t="n">
        <v>78</v>
      </c>
      <c r="D948" t="n">
        <v>12</v>
      </c>
      <c r="E948" t="inlineStr">
        <is>
          <t>Input</t>
        </is>
      </c>
      <c r="F948" t="n">
        <v/>
      </c>
      <c r="H948" t="inlineStr"/>
      <c r="I948" t="inlineStr">
        <is>
          <t>0</t>
        </is>
      </c>
      <c r="J948" t="b">
        <v>0</v>
      </c>
      <c r="K948" t="b">
        <v>0</v>
      </c>
      <c r="L948" t="n">
        <v>11</v>
      </c>
      <c r="M948" t="inlineStr">
        <is>
          <t>Values must be of type &lt;class 'str'&gt;</t>
        </is>
      </c>
      <c r="N948" t="inlineStr">
        <is>
          <t>00000000</t>
        </is>
      </c>
      <c r="O948" t="n">
        <v/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</row>
    <row r="949">
      <c r="A949" t="inlineStr">
        <is>
          <t>CashFlow Statement</t>
        </is>
      </c>
      <c r="B949" t="inlineStr">
        <is>
          <t>M78</t>
        </is>
      </c>
      <c r="C949" t="n">
        <v>78</v>
      </c>
      <c r="D949" t="n">
        <v>13</v>
      </c>
      <c r="E949" t="inlineStr">
        <is>
          <t>Input</t>
        </is>
      </c>
      <c r="F949" t="n">
        <v/>
      </c>
      <c r="H949" t="inlineStr"/>
      <c r="I949" t="inlineStr">
        <is>
          <t>0</t>
        </is>
      </c>
      <c r="J949" t="b">
        <v>0</v>
      </c>
      <c r="K949" t="b">
        <v>0</v>
      </c>
      <c r="L949" t="n">
        <v>11</v>
      </c>
      <c r="M949" t="inlineStr">
        <is>
          <t>Values must be of type &lt;class 'str'&gt;</t>
        </is>
      </c>
      <c r="N949" t="inlineStr">
        <is>
          <t>00000000</t>
        </is>
      </c>
      <c r="O949" t="n">
        <v/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</row>
    <row r="950">
      <c r="A950" t="inlineStr">
        <is>
          <t>CashFlow Statement</t>
        </is>
      </c>
      <c r="B950" t="inlineStr">
        <is>
          <t>N78</t>
        </is>
      </c>
      <c r="C950" t="n">
        <v>78</v>
      </c>
      <c r="D950" t="n">
        <v>14</v>
      </c>
      <c r="E950" t="inlineStr">
        <is>
          <t>Input</t>
        </is>
      </c>
      <c r="F950" t="n">
        <v/>
      </c>
      <c r="H950" t="inlineStr"/>
      <c r="I950" t="inlineStr">
        <is>
          <t>0</t>
        </is>
      </c>
      <c r="J950" t="b">
        <v>0</v>
      </c>
      <c r="K950" t="b">
        <v>0</v>
      </c>
      <c r="L950" t="n">
        <v>11</v>
      </c>
      <c r="M950" t="inlineStr">
        <is>
          <t>Values must be of type &lt;class 'str'&gt;</t>
        </is>
      </c>
      <c r="N950" t="inlineStr">
        <is>
          <t>00000000</t>
        </is>
      </c>
      <c r="O950" t="n">
        <v/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</row>
    <row r="951">
      <c r="A951" t="inlineStr">
        <is>
          <t>CashFlow Statement</t>
        </is>
      </c>
      <c r="B951" t="inlineStr">
        <is>
          <t>O78</t>
        </is>
      </c>
      <c r="C951" t="n">
        <v>78</v>
      </c>
      <c r="D951" t="n">
        <v>15</v>
      </c>
      <c r="E951" t="inlineStr">
        <is>
          <t>Input</t>
        </is>
      </c>
      <c r="F951" t="n">
        <v/>
      </c>
      <c r="H951" t="inlineStr"/>
      <c r="I951" t="inlineStr">
        <is>
          <t>0</t>
        </is>
      </c>
      <c r="J951" t="b">
        <v>0</v>
      </c>
      <c r="K951" t="b">
        <v>0</v>
      </c>
      <c r="L951" t="n">
        <v>11</v>
      </c>
      <c r="M951" t="inlineStr">
        <is>
          <t>Values must be of type &lt;class 'str'&gt;</t>
        </is>
      </c>
      <c r="N951" t="inlineStr">
        <is>
          <t>00000000</t>
        </is>
      </c>
      <c r="O951" t="n">
        <v/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</row>
    <row r="952">
      <c r="A952" t="inlineStr">
        <is>
          <t>CashFlow Statement</t>
        </is>
      </c>
      <c r="B952" t="inlineStr">
        <is>
          <t>D79</t>
        </is>
      </c>
      <c r="C952" t="n">
        <v>79</v>
      </c>
      <c r="D952" t="n">
        <v>4</v>
      </c>
      <c r="E952" t="inlineStr">
        <is>
          <t>Input</t>
        </is>
      </c>
      <c r="F952" t="n">
        <v/>
      </c>
      <c r="H952" t="inlineStr"/>
      <c r="I952" t="inlineStr">
        <is>
          <t>0</t>
        </is>
      </c>
      <c r="J952" t="b">
        <v>0</v>
      </c>
      <c r="K952" t="b">
        <v>0</v>
      </c>
      <c r="L952" t="n">
        <v>11</v>
      </c>
      <c r="M952" t="inlineStr">
        <is>
          <t>Values must be of type &lt;class 'str'&gt;</t>
        </is>
      </c>
      <c r="N952" t="inlineStr">
        <is>
          <t>00000000</t>
        </is>
      </c>
      <c r="O952" t="n">
        <v/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</row>
    <row r="953">
      <c r="A953" t="inlineStr">
        <is>
          <t>CashFlow Statement</t>
        </is>
      </c>
      <c r="B953" t="inlineStr">
        <is>
          <t>E79</t>
        </is>
      </c>
      <c r="C953" t="n">
        <v>79</v>
      </c>
      <c r="D953" t="n">
        <v>5</v>
      </c>
      <c r="E953" t="inlineStr">
        <is>
          <t>Input</t>
        </is>
      </c>
      <c r="F953" t="n">
        <v/>
      </c>
      <c r="H953" t="inlineStr"/>
      <c r="I953" t="inlineStr">
        <is>
          <t>0</t>
        </is>
      </c>
      <c r="J953" t="b">
        <v>0</v>
      </c>
      <c r="K953" t="b">
        <v>0</v>
      </c>
      <c r="L953" t="n">
        <v>11</v>
      </c>
      <c r="M953" t="inlineStr">
        <is>
          <t>Values must be of type &lt;class 'str'&gt;</t>
        </is>
      </c>
      <c r="N953" t="inlineStr">
        <is>
          <t>00000000</t>
        </is>
      </c>
      <c r="O953" t="n">
        <v/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</row>
    <row r="954">
      <c r="A954" t="inlineStr">
        <is>
          <t>CashFlow Statement</t>
        </is>
      </c>
      <c r="B954" t="inlineStr">
        <is>
          <t>F79</t>
        </is>
      </c>
      <c r="C954" t="n">
        <v>79</v>
      </c>
      <c r="D954" t="n">
        <v>6</v>
      </c>
      <c r="E954" t="inlineStr">
        <is>
          <t>Input</t>
        </is>
      </c>
      <c r="F954" t="n">
        <v/>
      </c>
      <c r="H954" t="inlineStr"/>
      <c r="I954" t="inlineStr">
        <is>
          <t>0</t>
        </is>
      </c>
      <c r="J954" t="b">
        <v>0</v>
      </c>
      <c r="K954" t="b">
        <v>0</v>
      </c>
      <c r="L954" t="n">
        <v>11</v>
      </c>
      <c r="M954" t="inlineStr">
        <is>
          <t>Values must be of type &lt;class 'str'&gt;</t>
        </is>
      </c>
      <c r="N954" t="inlineStr">
        <is>
          <t>00000000</t>
        </is>
      </c>
      <c r="O954" t="n">
        <v/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</row>
    <row r="955">
      <c r="A955" t="inlineStr">
        <is>
          <t>CashFlow Statement</t>
        </is>
      </c>
      <c r="B955" t="inlineStr">
        <is>
          <t>G79</t>
        </is>
      </c>
      <c r="C955" t="n">
        <v>79</v>
      </c>
      <c r="D955" t="n">
        <v>7</v>
      </c>
      <c r="E955" t="inlineStr">
        <is>
          <t>Input</t>
        </is>
      </c>
      <c r="F955" t="n">
        <v/>
      </c>
      <c r="H955" t="inlineStr"/>
      <c r="I955" t="inlineStr">
        <is>
          <t>0</t>
        </is>
      </c>
      <c r="J955" t="b">
        <v>0</v>
      </c>
      <c r="K955" t="b">
        <v>0</v>
      </c>
      <c r="L955" t="n">
        <v>11</v>
      </c>
      <c r="M955" t="inlineStr">
        <is>
          <t>Values must be of type &lt;class 'str'&gt;</t>
        </is>
      </c>
      <c r="N955" t="inlineStr">
        <is>
          <t>00000000</t>
        </is>
      </c>
      <c r="O955" t="n">
        <v/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</row>
    <row r="956">
      <c r="A956" t="inlineStr">
        <is>
          <t>CashFlow Statement</t>
        </is>
      </c>
      <c r="B956" t="inlineStr">
        <is>
          <t>H79</t>
        </is>
      </c>
      <c r="C956" t="n">
        <v>79</v>
      </c>
      <c r="D956" t="n">
        <v>8</v>
      </c>
      <c r="E956" t="inlineStr">
        <is>
          <t>Input</t>
        </is>
      </c>
      <c r="F956" t="n">
        <v/>
      </c>
      <c r="H956" t="inlineStr"/>
      <c r="I956" t="inlineStr">
        <is>
          <t>0</t>
        </is>
      </c>
      <c r="J956" t="b">
        <v>0</v>
      </c>
      <c r="K956" t="b">
        <v>0</v>
      </c>
      <c r="L956" t="n">
        <v>11</v>
      </c>
      <c r="M956" t="inlineStr">
        <is>
          <t>Values must be of type &lt;class 'str'&gt;</t>
        </is>
      </c>
      <c r="N956" t="inlineStr">
        <is>
          <t>00000000</t>
        </is>
      </c>
      <c r="O956" t="n">
        <v/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</row>
    <row r="957">
      <c r="A957" t="inlineStr">
        <is>
          <t>CashFlow Statement</t>
        </is>
      </c>
      <c r="B957" t="inlineStr">
        <is>
          <t>I79</t>
        </is>
      </c>
      <c r="C957" t="n">
        <v>79</v>
      </c>
      <c r="D957" t="n">
        <v>9</v>
      </c>
      <c r="E957" t="inlineStr">
        <is>
          <t>Input</t>
        </is>
      </c>
      <c r="F957" t="n">
        <v/>
      </c>
      <c r="H957" t="inlineStr"/>
      <c r="I957" t="inlineStr">
        <is>
          <t>0</t>
        </is>
      </c>
      <c r="J957" t="b">
        <v>0</v>
      </c>
      <c r="K957" t="b">
        <v>0</v>
      </c>
      <c r="L957" t="n">
        <v>11</v>
      </c>
      <c r="M957" t="inlineStr">
        <is>
          <t>Values must be of type &lt;class 'str'&gt;</t>
        </is>
      </c>
      <c r="N957" t="inlineStr">
        <is>
          <t>00000000</t>
        </is>
      </c>
      <c r="O957" t="n">
        <v/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</row>
    <row r="958">
      <c r="A958" t="inlineStr">
        <is>
          <t>CashFlow Statement</t>
        </is>
      </c>
      <c r="B958" t="inlineStr">
        <is>
          <t>J79</t>
        </is>
      </c>
      <c r="C958" t="n">
        <v>79</v>
      </c>
      <c r="D958" t="n">
        <v>10</v>
      </c>
      <c r="E958" t="inlineStr">
        <is>
          <t>Input</t>
        </is>
      </c>
      <c r="F958" t="n">
        <v/>
      </c>
      <c r="H958" t="inlineStr"/>
      <c r="I958" t="inlineStr">
        <is>
          <t>0</t>
        </is>
      </c>
      <c r="J958" t="b">
        <v>0</v>
      </c>
      <c r="K958" t="b">
        <v>0</v>
      </c>
      <c r="L958" t="n">
        <v>11</v>
      </c>
      <c r="M958" t="inlineStr">
        <is>
          <t>Values must be of type &lt;class 'str'&gt;</t>
        </is>
      </c>
      <c r="N958" t="inlineStr">
        <is>
          <t>00000000</t>
        </is>
      </c>
      <c r="O958" t="n">
        <v/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</row>
    <row r="959">
      <c r="A959" t="inlineStr">
        <is>
          <t>CashFlow Statement</t>
        </is>
      </c>
      <c r="B959" t="inlineStr">
        <is>
          <t>K79</t>
        </is>
      </c>
      <c r="C959" t="n">
        <v>79</v>
      </c>
      <c r="D959" t="n">
        <v>11</v>
      </c>
      <c r="E959" t="inlineStr">
        <is>
          <t>Input</t>
        </is>
      </c>
      <c r="F959" t="n">
        <v/>
      </c>
      <c r="H959" t="inlineStr"/>
      <c r="I959" t="inlineStr">
        <is>
          <t>0</t>
        </is>
      </c>
      <c r="J959" t="b">
        <v>0</v>
      </c>
      <c r="K959" t="b">
        <v>0</v>
      </c>
      <c r="L959" t="n">
        <v>11</v>
      </c>
      <c r="M959" t="inlineStr">
        <is>
          <t>Values must be of type &lt;class 'str'&gt;</t>
        </is>
      </c>
      <c r="N959" t="inlineStr">
        <is>
          <t>00000000</t>
        </is>
      </c>
      <c r="O959" t="n">
        <v/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</row>
    <row r="960">
      <c r="A960" t="inlineStr">
        <is>
          <t>CashFlow Statement</t>
        </is>
      </c>
      <c r="B960" t="inlineStr">
        <is>
          <t>L79</t>
        </is>
      </c>
      <c r="C960" t="n">
        <v>79</v>
      </c>
      <c r="D960" t="n">
        <v>12</v>
      </c>
      <c r="E960" t="inlineStr">
        <is>
          <t>Input</t>
        </is>
      </c>
      <c r="F960" t="n">
        <v/>
      </c>
      <c r="H960" t="inlineStr"/>
      <c r="I960" t="inlineStr">
        <is>
          <t>0</t>
        </is>
      </c>
      <c r="J960" t="b">
        <v>0</v>
      </c>
      <c r="K960" t="b">
        <v>0</v>
      </c>
      <c r="L960" t="n">
        <v>11</v>
      </c>
      <c r="M960" t="inlineStr">
        <is>
          <t>Values must be of type &lt;class 'str'&gt;</t>
        </is>
      </c>
      <c r="N960" t="inlineStr">
        <is>
          <t>00000000</t>
        </is>
      </c>
      <c r="O960" t="n">
        <v/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</row>
    <row r="961">
      <c r="A961" t="inlineStr">
        <is>
          <t>CashFlow Statement</t>
        </is>
      </c>
      <c r="B961" t="inlineStr">
        <is>
          <t>M79</t>
        </is>
      </c>
      <c r="C961" t="n">
        <v>79</v>
      </c>
      <c r="D961" t="n">
        <v>13</v>
      </c>
      <c r="E961" t="inlineStr">
        <is>
          <t>Input</t>
        </is>
      </c>
      <c r="F961" t="n">
        <v/>
      </c>
      <c r="H961" t="inlineStr"/>
      <c r="I961" t="inlineStr">
        <is>
          <t>0</t>
        </is>
      </c>
      <c r="J961" t="b">
        <v>0</v>
      </c>
      <c r="K961" t="b">
        <v>0</v>
      </c>
      <c r="L961" t="n">
        <v>11</v>
      </c>
      <c r="M961" t="inlineStr">
        <is>
          <t>Values must be of type &lt;class 'str'&gt;</t>
        </is>
      </c>
      <c r="N961" t="inlineStr">
        <is>
          <t>00000000</t>
        </is>
      </c>
      <c r="O961" t="n">
        <v/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</row>
    <row r="962">
      <c r="A962" t="inlineStr">
        <is>
          <t>CashFlow Statement</t>
        </is>
      </c>
      <c r="B962" t="inlineStr">
        <is>
          <t>N79</t>
        </is>
      </c>
      <c r="C962" t="n">
        <v>79</v>
      </c>
      <c r="D962" t="n">
        <v>14</v>
      </c>
      <c r="E962" t="inlineStr">
        <is>
          <t>Input</t>
        </is>
      </c>
      <c r="F962" t="n">
        <v/>
      </c>
      <c r="H962" t="inlineStr"/>
      <c r="I962" t="inlineStr">
        <is>
          <t>0</t>
        </is>
      </c>
      <c r="J962" t="b">
        <v>0</v>
      </c>
      <c r="K962" t="b">
        <v>0</v>
      </c>
      <c r="L962" t="n">
        <v>11</v>
      </c>
      <c r="M962" t="inlineStr">
        <is>
          <t>Values must be of type &lt;class 'str'&gt;</t>
        </is>
      </c>
      <c r="N962" t="inlineStr">
        <is>
          <t>00000000</t>
        </is>
      </c>
      <c r="O962" t="n">
        <v/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</row>
    <row r="963">
      <c r="A963" t="inlineStr">
        <is>
          <t>CashFlow Statement</t>
        </is>
      </c>
      <c r="B963" t="inlineStr">
        <is>
          <t>O79</t>
        </is>
      </c>
      <c r="C963" t="n">
        <v>79</v>
      </c>
      <c r="D963" t="n">
        <v>15</v>
      </c>
      <c r="E963" t="inlineStr">
        <is>
          <t>Input</t>
        </is>
      </c>
      <c r="F963" t="n">
        <v/>
      </c>
      <c r="H963" t="inlineStr"/>
      <c r="I963" t="inlineStr">
        <is>
          <t>0</t>
        </is>
      </c>
      <c r="J963" t="b">
        <v>0</v>
      </c>
      <c r="K963" t="b">
        <v>0</v>
      </c>
      <c r="L963" t="n">
        <v>11</v>
      </c>
      <c r="M963" t="inlineStr">
        <is>
          <t>Values must be of type &lt;class 'str'&gt;</t>
        </is>
      </c>
      <c r="N963" t="inlineStr">
        <is>
          <t>00000000</t>
        </is>
      </c>
      <c r="O963" t="n">
        <v/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</row>
    <row r="964">
      <c r="A964" t="inlineStr">
        <is>
          <t>CashFlow Statement</t>
        </is>
      </c>
      <c r="B964" t="inlineStr">
        <is>
          <t>D80</t>
        </is>
      </c>
      <c r="C964" t="n">
        <v>80</v>
      </c>
      <c r="D964" t="n">
        <v>4</v>
      </c>
      <c r="E964" t="inlineStr">
        <is>
          <t>Input</t>
        </is>
      </c>
      <c r="F964" t="n">
        <v/>
      </c>
      <c r="H964" t="inlineStr"/>
      <c r="I964" t="inlineStr">
        <is>
          <t>0</t>
        </is>
      </c>
      <c r="J964" t="b">
        <v>0</v>
      </c>
      <c r="K964" t="b">
        <v>0</v>
      </c>
      <c r="L964" t="n">
        <v>11</v>
      </c>
      <c r="M964" t="inlineStr">
        <is>
          <t>Values must be of type &lt;class 'str'&gt;</t>
        </is>
      </c>
      <c r="N964" t="inlineStr">
        <is>
          <t>00000000</t>
        </is>
      </c>
      <c r="O964" t="n">
        <v/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</row>
    <row r="965">
      <c r="A965" t="inlineStr">
        <is>
          <t>CashFlow Statement</t>
        </is>
      </c>
      <c r="B965" t="inlineStr">
        <is>
          <t>E80</t>
        </is>
      </c>
      <c r="C965" t="n">
        <v>80</v>
      </c>
      <c r="D965" t="n">
        <v>5</v>
      </c>
      <c r="E965" t="inlineStr">
        <is>
          <t>Input</t>
        </is>
      </c>
      <c r="F965" t="n">
        <v/>
      </c>
      <c r="H965" t="inlineStr"/>
      <c r="I965" t="inlineStr">
        <is>
          <t>0</t>
        </is>
      </c>
      <c r="J965" t="b">
        <v>0</v>
      </c>
      <c r="K965" t="b">
        <v>0</v>
      </c>
      <c r="L965" t="n">
        <v>11</v>
      </c>
      <c r="M965" t="inlineStr">
        <is>
          <t>Values must be of type &lt;class 'str'&gt;</t>
        </is>
      </c>
      <c r="N965" t="inlineStr">
        <is>
          <t>00000000</t>
        </is>
      </c>
      <c r="O965" t="n">
        <v/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</row>
    <row r="966">
      <c r="A966" t="inlineStr">
        <is>
          <t>CashFlow Statement</t>
        </is>
      </c>
      <c r="B966" t="inlineStr">
        <is>
          <t>F80</t>
        </is>
      </c>
      <c r="C966" t="n">
        <v>80</v>
      </c>
      <c r="D966" t="n">
        <v>6</v>
      </c>
      <c r="E966" t="inlineStr">
        <is>
          <t>Input</t>
        </is>
      </c>
      <c r="F966" t="n">
        <v/>
      </c>
      <c r="H966" t="inlineStr"/>
      <c r="I966" t="inlineStr">
        <is>
          <t>0</t>
        </is>
      </c>
      <c r="J966" t="b">
        <v>0</v>
      </c>
      <c r="K966" t="b">
        <v>0</v>
      </c>
      <c r="L966" t="n">
        <v>11</v>
      </c>
      <c r="M966" t="inlineStr">
        <is>
          <t>Values must be of type &lt;class 'str'&gt;</t>
        </is>
      </c>
      <c r="N966" t="inlineStr">
        <is>
          <t>00000000</t>
        </is>
      </c>
      <c r="O966" t="n">
        <v/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</row>
    <row r="967">
      <c r="A967" t="inlineStr">
        <is>
          <t>CashFlow Statement</t>
        </is>
      </c>
      <c r="B967" t="inlineStr">
        <is>
          <t>G80</t>
        </is>
      </c>
      <c r="C967" t="n">
        <v>80</v>
      </c>
      <c r="D967" t="n">
        <v>7</v>
      </c>
      <c r="E967" t="inlineStr">
        <is>
          <t>Input</t>
        </is>
      </c>
      <c r="F967" t="n">
        <v/>
      </c>
      <c r="H967" t="inlineStr"/>
      <c r="I967" t="inlineStr">
        <is>
          <t>0</t>
        </is>
      </c>
      <c r="J967" t="b">
        <v>0</v>
      </c>
      <c r="K967" t="b">
        <v>0</v>
      </c>
      <c r="L967" t="n">
        <v>11</v>
      </c>
      <c r="M967" t="inlineStr">
        <is>
          <t>Values must be of type &lt;class 'str'&gt;</t>
        </is>
      </c>
      <c r="N967" t="inlineStr">
        <is>
          <t>00000000</t>
        </is>
      </c>
      <c r="O967" t="n">
        <v/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</row>
    <row r="968">
      <c r="A968" t="inlineStr">
        <is>
          <t>CashFlow Statement</t>
        </is>
      </c>
      <c r="B968" t="inlineStr">
        <is>
          <t>H80</t>
        </is>
      </c>
      <c r="C968" t="n">
        <v>80</v>
      </c>
      <c r="D968" t="n">
        <v>8</v>
      </c>
      <c r="E968" t="inlineStr">
        <is>
          <t>Input</t>
        </is>
      </c>
      <c r="F968" t="n">
        <v/>
      </c>
      <c r="H968" t="inlineStr"/>
      <c r="I968" t="inlineStr">
        <is>
          <t>0</t>
        </is>
      </c>
      <c r="J968" t="b">
        <v>0</v>
      </c>
      <c r="K968" t="b">
        <v>0</v>
      </c>
      <c r="L968" t="n">
        <v>11</v>
      </c>
      <c r="M968" t="inlineStr">
        <is>
          <t>Values must be of type &lt;class 'str'&gt;</t>
        </is>
      </c>
      <c r="N968" t="inlineStr">
        <is>
          <t>00000000</t>
        </is>
      </c>
      <c r="O968" t="n">
        <v/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</row>
    <row r="969">
      <c r="A969" t="inlineStr">
        <is>
          <t>CashFlow Statement</t>
        </is>
      </c>
      <c r="B969" t="inlineStr">
        <is>
          <t>I80</t>
        </is>
      </c>
      <c r="C969" t="n">
        <v>80</v>
      </c>
      <c r="D969" t="n">
        <v>9</v>
      </c>
      <c r="E969" t="inlineStr">
        <is>
          <t>Input</t>
        </is>
      </c>
      <c r="F969" t="n">
        <v/>
      </c>
      <c r="H969" t="inlineStr"/>
      <c r="I969" t="inlineStr">
        <is>
          <t>0</t>
        </is>
      </c>
      <c r="J969" t="b">
        <v>0</v>
      </c>
      <c r="K969" t="b">
        <v>0</v>
      </c>
      <c r="L969" t="n">
        <v>11</v>
      </c>
      <c r="M969" t="inlineStr">
        <is>
          <t>Values must be of type &lt;class 'str'&gt;</t>
        </is>
      </c>
      <c r="N969" t="inlineStr">
        <is>
          <t>00000000</t>
        </is>
      </c>
      <c r="O969" t="n">
        <v/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</row>
    <row r="970">
      <c r="A970" t="inlineStr">
        <is>
          <t>CashFlow Statement</t>
        </is>
      </c>
      <c r="B970" t="inlineStr">
        <is>
          <t>J80</t>
        </is>
      </c>
      <c r="C970" t="n">
        <v>80</v>
      </c>
      <c r="D970" t="n">
        <v>10</v>
      </c>
      <c r="E970" t="inlineStr">
        <is>
          <t>Input</t>
        </is>
      </c>
      <c r="F970" t="n">
        <v/>
      </c>
      <c r="H970" t="inlineStr"/>
      <c r="I970" t="inlineStr">
        <is>
          <t>0</t>
        </is>
      </c>
      <c r="J970" t="b">
        <v>0</v>
      </c>
      <c r="K970" t="b">
        <v>0</v>
      </c>
      <c r="L970" t="n">
        <v>11</v>
      </c>
      <c r="M970" t="inlineStr">
        <is>
          <t>Values must be of type &lt;class 'str'&gt;</t>
        </is>
      </c>
      <c r="N970" t="inlineStr">
        <is>
          <t>00000000</t>
        </is>
      </c>
      <c r="O970" t="n">
        <v/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</row>
    <row r="971">
      <c r="A971" t="inlineStr">
        <is>
          <t>CashFlow Statement</t>
        </is>
      </c>
      <c r="B971" t="inlineStr">
        <is>
          <t>K80</t>
        </is>
      </c>
      <c r="C971" t="n">
        <v>80</v>
      </c>
      <c r="D971" t="n">
        <v>11</v>
      </c>
      <c r="E971" t="inlineStr">
        <is>
          <t>Input</t>
        </is>
      </c>
      <c r="F971" t="n">
        <v/>
      </c>
      <c r="H971" t="inlineStr"/>
      <c r="I971" t="inlineStr">
        <is>
          <t>0</t>
        </is>
      </c>
      <c r="J971" t="b">
        <v>0</v>
      </c>
      <c r="K971" t="b">
        <v>0</v>
      </c>
      <c r="L971" t="n">
        <v>11</v>
      </c>
      <c r="M971" t="inlineStr">
        <is>
          <t>Values must be of type &lt;class 'str'&gt;</t>
        </is>
      </c>
      <c r="N971" t="inlineStr">
        <is>
          <t>00000000</t>
        </is>
      </c>
      <c r="O971" t="n">
        <v/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</row>
    <row r="972">
      <c r="A972" t="inlineStr">
        <is>
          <t>CashFlow Statement</t>
        </is>
      </c>
      <c r="B972" t="inlineStr">
        <is>
          <t>L80</t>
        </is>
      </c>
      <c r="C972" t="n">
        <v>80</v>
      </c>
      <c r="D972" t="n">
        <v>12</v>
      </c>
      <c r="E972" t="inlineStr">
        <is>
          <t>Input</t>
        </is>
      </c>
      <c r="F972" t="n">
        <v/>
      </c>
      <c r="H972" t="inlineStr"/>
      <c r="I972" t="inlineStr">
        <is>
          <t>0</t>
        </is>
      </c>
      <c r="J972" t="b">
        <v>0</v>
      </c>
      <c r="K972" t="b">
        <v>0</v>
      </c>
      <c r="L972" t="n">
        <v>11</v>
      </c>
      <c r="M972" t="inlineStr">
        <is>
          <t>Values must be of type &lt;class 'str'&gt;</t>
        </is>
      </c>
      <c r="N972" t="inlineStr">
        <is>
          <t>00000000</t>
        </is>
      </c>
      <c r="O972" t="n">
        <v/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</row>
    <row r="973">
      <c r="A973" t="inlineStr">
        <is>
          <t>CashFlow Statement</t>
        </is>
      </c>
      <c r="B973" t="inlineStr">
        <is>
          <t>M80</t>
        </is>
      </c>
      <c r="C973" t="n">
        <v>80</v>
      </c>
      <c r="D973" t="n">
        <v>13</v>
      </c>
      <c r="E973" t="inlineStr">
        <is>
          <t>Input</t>
        </is>
      </c>
      <c r="F973" t="n">
        <v/>
      </c>
      <c r="H973" t="inlineStr"/>
      <c r="I973" t="inlineStr">
        <is>
          <t>0</t>
        </is>
      </c>
      <c r="J973" t="b">
        <v>0</v>
      </c>
      <c r="K973" t="b">
        <v>0</v>
      </c>
      <c r="L973" t="n">
        <v>11</v>
      </c>
      <c r="M973" t="inlineStr">
        <is>
          <t>Values must be of type &lt;class 'str'&gt;</t>
        </is>
      </c>
      <c r="N973" t="inlineStr">
        <is>
          <t>00000000</t>
        </is>
      </c>
      <c r="O973" t="n">
        <v/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</row>
    <row r="974">
      <c r="A974" t="inlineStr">
        <is>
          <t>CashFlow Statement</t>
        </is>
      </c>
      <c r="B974" t="inlineStr">
        <is>
          <t>N80</t>
        </is>
      </c>
      <c r="C974" t="n">
        <v>80</v>
      </c>
      <c r="D974" t="n">
        <v>14</v>
      </c>
      <c r="E974" t="inlineStr">
        <is>
          <t>Input</t>
        </is>
      </c>
      <c r="F974" t="n">
        <v/>
      </c>
      <c r="H974" t="inlineStr"/>
      <c r="I974" t="inlineStr">
        <is>
          <t>0</t>
        </is>
      </c>
      <c r="J974" t="b">
        <v>0</v>
      </c>
      <c r="K974" t="b">
        <v>0</v>
      </c>
      <c r="L974" t="n">
        <v>11</v>
      </c>
      <c r="M974" t="inlineStr">
        <is>
          <t>Values must be of type &lt;class 'str'&gt;</t>
        </is>
      </c>
      <c r="N974" t="inlineStr">
        <is>
          <t>00000000</t>
        </is>
      </c>
      <c r="O974" t="n">
        <v/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</row>
    <row r="975">
      <c r="A975" t="inlineStr">
        <is>
          <t>CashFlow Statement</t>
        </is>
      </c>
      <c r="B975" t="inlineStr">
        <is>
          <t>O80</t>
        </is>
      </c>
      <c r="C975" t="n">
        <v>80</v>
      </c>
      <c r="D975" t="n">
        <v>15</v>
      </c>
      <c r="E975" t="inlineStr">
        <is>
          <t>Input</t>
        </is>
      </c>
      <c r="F975" t="n">
        <v/>
      </c>
      <c r="H975" t="inlineStr"/>
      <c r="I975" t="inlineStr">
        <is>
          <t>0</t>
        </is>
      </c>
      <c r="J975" t="b">
        <v>0</v>
      </c>
      <c r="K975" t="b">
        <v>0</v>
      </c>
      <c r="L975" t="n">
        <v>11</v>
      </c>
      <c r="M975" t="inlineStr">
        <is>
          <t>Values must be of type &lt;class 'str'&gt;</t>
        </is>
      </c>
      <c r="N975" t="inlineStr">
        <is>
          <t>00000000</t>
        </is>
      </c>
      <c r="O975" t="n">
        <v/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</row>
    <row r="976">
      <c r="A976" t="inlineStr">
        <is>
          <t>CashFlow Statement</t>
        </is>
      </c>
      <c r="B976" t="inlineStr">
        <is>
          <t>D81</t>
        </is>
      </c>
      <c r="C976" t="n">
        <v>81</v>
      </c>
      <c r="D976" t="n">
        <v>4</v>
      </c>
      <c r="E976" t="inlineStr">
        <is>
          <t>Input</t>
        </is>
      </c>
      <c r="F976" t="n">
        <v/>
      </c>
      <c r="H976" t="inlineStr"/>
      <c r="I976" t="inlineStr">
        <is>
          <t>0</t>
        </is>
      </c>
      <c r="J976" t="b">
        <v>0</v>
      </c>
      <c r="K976" t="b">
        <v>0</v>
      </c>
      <c r="L976" t="n">
        <v>11</v>
      </c>
      <c r="M976" t="inlineStr">
        <is>
          <t>Values must be of type &lt;class 'str'&gt;</t>
        </is>
      </c>
      <c r="N976" t="inlineStr">
        <is>
          <t>00000000</t>
        </is>
      </c>
      <c r="O976" t="n">
        <v/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</row>
    <row r="977">
      <c r="A977" t="inlineStr">
        <is>
          <t>CashFlow Statement</t>
        </is>
      </c>
      <c r="B977" t="inlineStr">
        <is>
          <t>E81</t>
        </is>
      </c>
      <c r="C977" t="n">
        <v>81</v>
      </c>
      <c r="D977" t="n">
        <v>5</v>
      </c>
      <c r="E977" t="inlineStr">
        <is>
          <t>Input</t>
        </is>
      </c>
      <c r="F977" t="n">
        <v/>
      </c>
      <c r="H977" t="inlineStr"/>
      <c r="I977" t="inlineStr">
        <is>
          <t>0</t>
        </is>
      </c>
      <c r="J977" t="b">
        <v>0</v>
      </c>
      <c r="K977" t="b">
        <v>0</v>
      </c>
      <c r="L977" t="n">
        <v>11</v>
      </c>
      <c r="M977" t="inlineStr">
        <is>
          <t>Values must be of type &lt;class 'str'&gt;</t>
        </is>
      </c>
      <c r="N977" t="inlineStr">
        <is>
          <t>00000000</t>
        </is>
      </c>
      <c r="O977" t="n">
        <v/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</row>
    <row r="978">
      <c r="A978" t="inlineStr">
        <is>
          <t>CashFlow Statement</t>
        </is>
      </c>
      <c r="B978" t="inlineStr">
        <is>
          <t>F81</t>
        </is>
      </c>
      <c r="C978" t="n">
        <v>81</v>
      </c>
      <c r="D978" t="n">
        <v>6</v>
      </c>
      <c r="E978" t="inlineStr">
        <is>
          <t>Input</t>
        </is>
      </c>
      <c r="F978" t="n">
        <v/>
      </c>
      <c r="H978" t="inlineStr"/>
      <c r="I978" t="inlineStr">
        <is>
          <t>0</t>
        </is>
      </c>
      <c r="J978" t="b">
        <v>0</v>
      </c>
      <c r="K978" t="b">
        <v>0</v>
      </c>
      <c r="L978" t="n">
        <v>11</v>
      </c>
      <c r="M978" t="inlineStr">
        <is>
          <t>Values must be of type &lt;class 'str'&gt;</t>
        </is>
      </c>
      <c r="N978" t="inlineStr">
        <is>
          <t>00000000</t>
        </is>
      </c>
      <c r="O978" t="n">
        <v/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</row>
    <row r="979">
      <c r="A979" t="inlineStr">
        <is>
          <t>CashFlow Statement</t>
        </is>
      </c>
      <c r="B979" t="inlineStr">
        <is>
          <t>G81</t>
        </is>
      </c>
      <c r="C979" t="n">
        <v>81</v>
      </c>
      <c r="D979" t="n">
        <v>7</v>
      </c>
      <c r="E979" t="inlineStr">
        <is>
          <t>Input</t>
        </is>
      </c>
      <c r="F979" t="n">
        <v/>
      </c>
      <c r="H979" t="inlineStr"/>
      <c r="I979" t="inlineStr">
        <is>
          <t>0</t>
        </is>
      </c>
      <c r="J979" t="b">
        <v>0</v>
      </c>
      <c r="K979" t="b">
        <v>0</v>
      </c>
      <c r="L979" t="n">
        <v>11</v>
      </c>
      <c r="M979" t="inlineStr">
        <is>
          <t>Values must be of type &lt;class 'str'&gt;</t>
        </is>
      </c>
      <c r="N979" t="inlineStr">
        <is>
          <t>00000000</t>
        </is>
      </c>
      <c r="O979" t="n">
        <v/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</row>
    <row r="980">
      <c r="A980" t="inlineStr">
        <is>
          <t>CashFlow Statement</t>
        </is>
      </c>
      <c r="B980" t="inlineStr">
        <is>
          <t>H81</t>
        </is>
      </c>
      <c r="C980" t="n">
        <v>81</v>
      </c>
      <c r="D980" t="n">
        <v>8</v>
      </c>
      <c r="E980" t="inlineStr">
        <is>
          <t>Input</t>
        </is>
      </c>
      <c r="F980" t="n">
        <v/>
      </c>
      <c r="H980" t="inlineStr"/>
      <c r="I980" t="inlineStr">
        <is>
          <t>0</t>
        </is>
      </c>
      <c r="J980" t="b">
        <v>0</v>
      </c>
      <c r="K980" t="b">
        <v>0</v>
      </c>
      <c r="L980" t="n">
        <v>11</v>
      </c>
      <c r="M980" t="inlineStr">
        <is>
          <t>Values must be of type &lt;class 'str'&gt;</t>
        </is>
      </c>
      <c r="N980" t="inlineStr">
        <is>
          <t>00000000</t>
        </is>
      </c>
      <c r="O980" t="n">
        <v/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</row>
    <row r="981">
      <c r="A981" t="inlineStr">
        <is>
          <t>CashFlow Statement</t>
        </is>
      </c>
      <c r="B981" t="inlineStr">
        <is>
          <t>I81</t>
        </is>
      </c>
      <c r="C981" t="n">
        <v>81</v>
      </c>
      <c r="D981" t="n">
        <v>9</v>
      </c>
      <c r="E981" t="inlineStr">
        <is>
          <t>Input</t>
        </is>
      </c>
      <c r="F981" t="n">
        <v/>
      </c>
      <c r="H981" t="inlineStr"/>
      <c r="I981" t="inlineStr">
        <is>
          <t>0</t>
        </is>
      </c>
      <c r="J981" t="b">
        <v>0</v>
      </c>
      <c r="K981" t="b">
        <v>0</v>
      </c>
      <c r="L981" t="n">
        <v>11</v>
      </c>
      <c r="M981" t="inlineStr">
        <is>
          <t>Values must be of type &lt;class 'str'&gt;</t>
        </is>
      </c>
      <c r="N981" t="inlineStr">
        <is>
          <t>00000000</t>
        </is>
      </c>
      <c r="O981" t="n">
        <v/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</row>
    <row r="982">
      <c r="A982" t="inlineStr">
        <is>
          <t>CashFlow Statement</t>
        </is>
      </c>
      <c r="B982" t="inlineStr">
        <is>
          <t>J81</t>
        </is>
      </c>
      <c r="C982" t="n">
        <v>81</v>
      </c>
      <c r="D982" t="n">
        <v>10</v>
      </c>
      <c r="E982" t="inlineStr">
        <is>
          <t>Input</t>
        </is>
      </c>
      <c r="F982" t="n">
        <v/>
      </c>
      <c r="H982" t="inlineStr"/>
      <c r="I982" t="inlineStr">
        <is>
          <t>0</t>
        </is>
      </c>
      <c r="J982" t="b">
        <v>0</v>
      </c>
      <c r="K982" t="b">
        <v>0</v>
      </c>
      <c r="L982" t="n">
        <v>11</v>
      </c>
      <c r="M982" t="inlineStr">
        <is>
          <t>Values must be of type &lt;class 'str'&gt;</t>
        </is>
      </c>
      <c r="N982" t="inlineStr">
        <is>
          <t>00000000</t>
        </is>
      </c>
      <c r="O982" t="n">
        <v/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</row>
    <row r="983">
      <c r="A983" t="inlineStr">
        <is>
          <t>CashFlow Statement</t>
        </is>
      </c>
      <c r="B983" t="inlineStr">
        <is>
          <t>K81</t>
        </is>
      </c>
      <c r="C983" t="n">
        <v>81</v>
      </c>
      <c r="D983" t="n">
        <v>11</v>
      </c>
      <c r="E983" t="inlineStr">
        <is>
          <t>Input</t>
        </is>
      </c>
      <c r="F983" t="n">
        <v/>
      </c>
      <c r="H983" t="inlineStr"/>
      <c r="I983" t="inlineStr">
        <is>
          <t>0</t>
        </is>
      </c>
      <c r="J983" t="b">
        <v>0</v>
      </c>
      <c r="K983" t="b">
        <v>0</v>
      </c>
      <c r="L983" t="n">
        <v>11</v>
      </c>
      <c r="M983" t="inlineStr">
        <is>
          <t>Values must be of type &lt;class 'str'&gt;</t>
        </is>
      </c>
      <c r="N983" t="inlineStr">
        <is>
          <t>00000000</t>
        </is>
      </c>
      <c r="O983" t="n">
        <v/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</row>
    <row r="984">
      <c r="A984" t="inlineStr">
        <is>
          <t>CashFlow Statement</t>
        </is>
      </c>
      <c r="B984" t="inlineStr">
        <is>
          <t>L81</t>
        </is>
      </c>
      <c r="C984" t="n">
        <v>81</v>
      </c>
      <c r="D984" t="n">
        <v>12</v>
      </c>
      <c r="E984" t="inlineStr">
        <is>
          <t>Input</t>
        </is>
      </c>
      <c r="F984" t="n">
        <v/>
      </c>
      <c r="H984" t="inlineStr"/>
      <c r="I984" t="inlineStr">
        <is>
          <t>0</t>
        </is>
      </c>
      <c r="J984" t="b">
        <v>0</v>
      </c>
      <c r="K984" t="b">
        <v>0</v>
      </c>
      <c r="L984" t="n">
        <v>11</v>
      </c>
      <c r="M984" t="inlineStr">
        <is>
          <t>Values must be of type &lt;class 'str'&gt;</t>
        </is>
      </c>
      <c r="N984" t="inlineStr">
        <is>
          <t>00000000</t>
        </is>
      </c>
      <c r="O984" t="n">
        <v/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</row>
    <row r="985">
      <c r="A985" t="inlineStr">
        <is>
          <t>CashFlow Statement</t>
        </is>
      </c>
      <c r="B985" t="inlineStr">
        <is>
          <t>M81</t>
        </is>
      </c>
      <c r="C985" t="n">
        <v>81</v>
      </c>
      <c r="D985" t="n">
        <v>13</v>
      </c>
      <c r="E985" t="inlineStr">
        <is>
          <t>Input</t>
        </is>
      </c>
      <c r="F985" t="n">
        <v/>
      </c>
      <c r="H985" t="inlineStr"/>
      <c r="I985" t="inlineStr">
        <is>
          <t>0</t>
        </is>
      </c>
      <c r="J985" t="b">
        <v>0</v>
      </c>
      <c r="K985" t="b">
        <v>0</v>
      </c>
      <c r="L985" t="n">
        <v>11</v>
      </c>
      <c r="M985" t="inlineStr">
        <is>
          <t>Values must be of type &lt;class 'str'&gt;</t>
        </is>
      </c>
      <c r="N985" t="inlineStr">
        <is>
          <t>00000000</t>
        </is>
      </c>
      <c r="O985" t="n">
        <v/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</row>
    <row r="986">
      <c r="A986" t="inlineStr">
        <is>
          <t>CashFlow Statement</t>
        </is>
      </c>
      <c r="B986" t="inlineStr">
        <is>
          <t>N81</t>
        </is>
      </c>
      <c r="C986" t="n">
        <v>81</v>
      </c>
      <c r="D986" t="n">
        <v>14</v>
      </c>
      <c r="E986" t="inlineStr">
        <is>
          <t>Input</t>
        </is>
      </c>
      <c r="F986" t="n">
        <v/>
      </c>
      <c r="H986" t="inlineStr"/>
      <c r="I986" t="inlineStr">
        <is>
          <t>0</t>
        </is>
      </c>
      <c r="J986" t="b">
        <v>0</v>
      </c>
      <c r="K986" t="b">
        <v>0</v>
      </c>
      <c r="L986" t="n">
        <v>11</v>
      </c>
      <c r="M986" t="inlineStr">
        <is>
          <t>Values must be of type &lt;class 'str'&gt;</t>
        </is>
      </c>
      <c r="N986" t="inlineStr">
        <is>
          <t>00000000</t>
        </is>
      </c>
      <c r="O986" t="n">
        <v/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</row>
    <row r="987">
      <c r="A987" t="inlineStr">
        <is>
          <t>CashFlow Statement</t>
        </is>
      </c>
      <c r="B987" t="inlineStr">
        <is>
          <t>O81</t>
        </is>
      </c>
      <c r="C987" t="n">
        <v>81</v>
      </c>
      <c r="D987" t="n">
        <v>15</v>
      </c>
      <c r="E987" t="inlineStr">
        <is>
          <t>Input</t>
        </is>
      </c>
      <c r="F987" t="n">
        <v/>
      </c>
      <c r="H987" t="inlineStr"/>
      <c r="I987" t="inlineStr">
        <is>
          <t>0</t>
        </is>
      </c>
      <c r="J987" t="b">
        <v>0</v>
      </c>
      <c r="K987" t="b">
        <v>0</v>
      </c>
      <c r="L987" t="n">
        <v>11</v>
      </c>
      <c r="M987" t="inlineStr">
        <is>
          <t>Values must be of type &lt;class 'str'&gt;</t>
        </is>
      </c>
      <c r="N987" t="inlineStr">
        <is>
          <t>00000000</t>
        </is>
      </c>
      <c r="O987" t="n">
        <v/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</row>
    <row r="988">
      <c r="A988" t="inlineStr">
        <is>
          <t>CashFlow Statement</t>
        </is>
      </c>
      <c r="B988" t="inlineStr">
        <is>
          <t>D82</t>
        </is>
      </c>
      <c r="C988" t="n">
        <v>82</v>
      </c>
      <c r="D988" t="n">
        <v>4</v>
      </c>
      <c r="E988" t="inlineStr">
        <is>
          <t>Input</t>
        </is>
      </c>
      <c r="F988" t="n">
        <v/>
      </c>
      <c r="H988" t="inlineStr"/>
      <c r="I988" t="inlineStr">
        <is>
          <t>0</t>
        </is>
      </c>
      <c r="J988" t="b">
        <v>0</v>
      </c>
      <c r="K988" t="b">
        <v>0</v>
      </c>
      <c r="L988" t="n">
        <v>11</v>
      </c>
      <c r="M988" t="inlineStr">
        <is>
          <t>Values must be of type &lt;class 'str'&gt;</t>
        </is>
      </c>
      <c r="N988" t="inlineStr">
        <is>
          <t>00000000</t>
        </is>
      </c>
      <c r="O988" t="n">
        <v/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</row>
    <row r="989">
      <c r="A989" t="inlineStr">
        <is>
          <t>CashFlow Statement</t>
        </is>
      </c>
      <c r="B989" t="inlineStr">
        <is>
          <t>E82</t>
        </is>
      </c>
      <c r="C989" t="n">
        <v>82</v>
      </c>
      <c r="D989" t="n">
        <v>5</v>
      </c>
      <c r="E989" t="inlineStr">
        <is>
          <t>Input</t>
        </is>
      </c>
      <c r="F989" t="n">
        <v/>
      </c>
      <c r="H989" t="inlineStr"/>
      <c r="I989" t="inlineStr">
        <is>
          <t>0</t>
        </is>
      </c>
      <c r="J989" t="b">
        <v>0</v>
      </c>
      <c r="K989" t="b">
        <v>0</v>
      </c>
      <c r="L989" t="n">
        <v>11</v>
      </c>
      <c r="M989" t="inlineStr">
        <is>
          <t>Values must be of type &lt;class 'str'&gt;</t>
        </is>
      </c>
      <c r="N989" t="inlineStr">
        <is>
          <t>00000000</t>
        </is>
      </c>
      <c r="O989" t="n">
        <v/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</row>
    <row r="990">
      <c r="A990" t="inlineStr">
        <is>
          <t>CashFlow Statement</t>
        </is>
      </c>
      <c r="B990" t="inlineStr">
        <is>
          <t>F82</t>
        </is>
      </c>
      <c r="C990" t="n">
        <v>82</v>
      </c>
      <c r="D990" t="n">
        <v>6</v>
      </c>
      <c r="E990" t="inlineStr">
        <is>
          <t>Input</t>
        </is>
      </c>
      <c r="F990" t="n">
        <v/>
      </c>
      <c r="H990" t="inlineStr"/>
      <c r="I990" t="inlineStr">
        <is>
          <t>0</t>
        </is>
      </c>
      <c r="J990" t="b">
        <v>0</v>
      </c>
      <c r="K990" t="b">
        <v>0</v>
      </c>
      <c r="L990" t="n">
        <v>11</v>
      </c>
      <c r="M990" t="inlineStr">
        <is>
          <t>Values must be of type &lt;class 'str'&gt;</t>
        </is>
      </c>
      <c r="N990" t="inlineStr">
        <is>
          <t>00000000</t>
        </is>
      </c>
      <c r="O990" t="n">
        <v/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</row>
    <row r="991">
      <c r="A991" t="inlineStr">
        <is>
          <t>CashFlow Statement</t>
        </is>
      </c>
      <c r="B991" t="inlineStr">
        <is>
          <t>G82</t>
        </is>
      </c>
      <c r="C991" t="n">
        <v>82</v>
      </c>
      <c r="D991" t="n">
        <v>7</v>
      </c>
      <c r="E991" t="inlineStr">
        <is>
          <t>Input</t>
        </is>
      </c>
      <c r="F991" t="n">
        <v/>
      </c>
      <c r="H991" t="inlineStr"/>
      <c r="I991" t="inlineStr">
        <is>
          <t>0</t>
        </is>
      </c>
      <c r="J991" t="b">
        <v>0</v>
      </c>
      <c r="K991" t="b">
        <v>0</v>
      </c>
      <c r="L991" t="n">
        <v>11</v>
      </c>
      <c r="M991" t="inlineStr">
        <is>
          <t>Values must be of type &lt;class 'str'&gt;</t>
        </is>
      </c>
      <c r="N991" t="inlineStr">
        <is>
          <t>00000000</t>
        </is>
      </c>
      <c r="O991" t="n">
        <v/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</row>
    <row r="992">
      <c r="A992" t="inlineStr">
        <is>
          <t>CashFlow Statement</t>
        </is>
      </c>
      <c r="B992" t="inlineStr">
        <is>
          <t>H82</t>
        </is>
      </c>
      <c r="C992" t="n">
        <v>82</v>
      </c>
      <c r="D992" t="n">
        <v>8</v>
      </c>
      <c r="E992" t="inlineStr">
        <is>
          <t>Input</t>
        </is>
      </c>
      <c r="F992" t="n">
        <v/>
      </c>
      <c r="H992" t="inlineStr"/>
      <c r="I992" t="inlineStr">
        <is>
          <t>0</t>
        </is>
      </c>
      <c r="J992" t="b">
        <v>0</v>
      </c>
      <c r="K992" t="b">
        <v>0</v>
      </c>
      <c r="L992" t="n">
        <v>11</v>
      </c>
      <c r="M992" t="inlineStr">
        <is>
          <t>Values must be of type &lt;class 'str'&gt;</t>
        </is>
      </c>
      <c r="N992" t="inlineStr">
        <is>
          <t>00000000</t>
        </is>
      </c>
      <c r="O992" t="n">
        <v/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</row>
    <row r="993">
      <c r="A993" t="inlineStr">
        <is>
          <t>CashFlow Statement</t>
        </is>
      </c>
      <c r="B993" t="inlineStr">
        <is>
          <t>I82</t>
        </is>
      </c>
      <c r="C993" t="n">
        <v>82</v>
      </c>
      <c r="D993" t="n">
        <v>9</v>
      </c>
      <c r="E993" t="inlineStr">
        <is>
          <t>Input</t>
        </is>
      </c>
      <c r="F993" t="n">
        <v/>
      </c>
      <c r="H993" t="inlineStr"/>
      <c r="I993" t="inlineStr">
        <is>
          <t>0</t>
        </is>
      </c>
      <c r="J993" t="b">
        <v>0</v>
      </c>
      <c r="K993" t="b">
        <v>0</v>
      </c>
      <c r="L993" t="n">
        <v>11</v>
      </c>
      <c r="M993" t="inlineStr">
        <is>
          <t>Values must be of type &lt;class 'str'&gt;</t>
        </is>
      </c>
      <c r="N993" t="inlineStr">
        <is>
          <t>00000000</t>
        </is>
      </c>
      <c r="O993" t="n">
        <v/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</row>
    <row r="994">
      <c r="A994" t="inlineStr">
        <is>
          <t>CashFlow Statement</t>
        </is>
      </c>
      <c r="B994" t="inlineStr">
        <is>
          <t>J82</t>
        </is>
      </c>
      <c r="C994" t="n">
        <v>82</v>
      </c>
      <c r="D994" t="n">
        <v>10</v>
      </c>
      <c r="E994" t="inlineStr">
        <is>
          <t>Input</t>
        </is>
      </c>
      <c r="F994" t="n">
        <v/>
      </c>
      <c r="H994" t="inlineStr"/>
      <c r="I994" t="inlineStr">
        <is>
          <t>0</t>
        </is>
      </c>
      <c r="J994" t="b">
        <v>0</v>
      </c>
      <c r="K994" t="b">
        <v>0</v>
      </c>
      <c r="L994" t="n">
        <v>11</v>
      </c>
      <c r="M994" t="inlineStr">
        <is>
          <t>Values must be of type &lt;class 'str'&gt;</t>
        </is>
      </c>
      <c r="N994" t="inlineStr">
        <is>
          <t>00000000</t>
        </is>
      </c>
      <c r="O994" t="n">
        <v/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</row>
    <row r="995">
      <c r="A995" t="inlineStr">
        <is>
          <t>CashFlow Statement</t>
        </is>
      </c>
      <c r="B995" t="inlineStr">
        <is>
          <t>K82</t>
        </is>
      </c>
      <c r="C995" t="n">
        <v>82</v>
      </c>
      <c r="D995" t="n">
        <v>11</v>
      </c>
      <c r="E995" t="inlineStr">
        <is>
          <t>Input</t>
        </is>
      </c>
      <c r="F995" t="n">
        <v/>
      </c>
      <c r="H995" t="inlineStr"/>
      <c r="I995" t="inlineStr">
        <is>
          <t>0</t>
        </is>
      </c>
      <c r="J995" t="b">
        <v>0</v>
      </c>
      <c r="K995" t="b">
        <v>0</v>
      </c>
      <c r="L995" t="n">
        <v>11</v>
      </c>
      <c r="M995" t="inlineStr">
        <is>
          <t>Values must be of type &lt;class 'str'&gt;</t>
        </is>
      </c>
      <c r="N995" t="inlineStr">
        <is>
          <t>00000000</t>
        </is>
      </c>
      <c r="O995" t="n">
        <v/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</row>
    <row r="996">
      <c r="A996" t="inlineStr">
        <is>
          <t>CashFlow Statement</t>
        </is>
      </c>
      <c r="B996" t="inlineStr">
        <is>
          <t>L82</t>
        </is>
      </c>
      <c r="C996" t="n">
        <v>82</v>
      </c>
      <c r="D996" t="n">
        <v>12</v>
      </c>
      <c r="E996" t="inlineStr">
        <is>
          <t>Input</t>
        </is>
      </c>
      <c r="F996" t="n">
        <v/>
      </c>
      <c r="H996" t="inlineStr"/>
      <c r="I996" t="inlineStr">
        <is>
          <t>0</t>
        </is>
      </c>
      <c r="J996" t="b">
        <v>0</v>
      </c>
      <c r="K996" t="b">
        <v>0</v>
      </c>
      <c r="L996" t="n">
        <v>11</v>
      </c>
      <c r="M996" t="inlineStr">
        <is>
          <t>Values must be of type &lt;class 'str'&gt;</t>
        </is>
      </c>
      <c r="N996" t="inlineStr">
        <is>
          <t>00000000</t>
        </is>
      </c>
      <c r="O996" t="n">
        <v/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</row>
    <row r="997">
      <c r="A997" t="inlineStr">
        <is>
          <t>CashFlow Statement</t>
        </is>
      </c>
      <c r="B997" t="inlineStr">
        <is>
          <t>M82</t>
        </is>
      </c>
      <c r="C997" t="n">
        <v>82</v>
      </c>
      <c r="D997" t="n">
        <v>13</v>
      </c>
      <c r="E997" t="inlineStr">
        <is>
          <t>Input</t>
        </is>
      </c>
      <c r="F997" t="n">
        <v/>
      </c>
      <c r="H997" t="inlineStr"/>
      <c r="I997" t="inlineStr">
        <is>
          <t>0</t>
        </is>
      </c>
      <c r="J997" t="b">
        <v>0</v>
      </c>
      <c r="K997" t="b">
        <v>0</v>
      </c>
      <c r="L997" t="n">
        <v>11</v>
      </c>
      <c r="M997" t="inlineStr">
        <is>
          <t>Values must be of type &lt;class 'str'&gt;</t>
        </is>
      </c>
      <c r="N997" t="inlineStr">
        <is>
          <t>00000000</t>
        </is>
      </c>
      <c r="O997" t="n">
        <v/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</row>
    <row r="998">
      <c r="A998" t="inlineStr">
        <is>
          <t>CashFlow Statement</t>
        </is>
      </c>
      <c r="B998" t="inlineStr">
        <is>
          <t>N82</t>
        </is>
      </c>
      <c r="C998" t="n">
        <v>82</v>
      </c>
      <c r="D998" t="n">
        <v>14</v>
      </c>
      <c r="E998" t="inlineStr">
        <is>
          <t>Input</t>
        </is>
      </c>
      <c r="F998" t="n">
        <v/>
      </c>
      <c r="H998" t="inlineStr"/>
      <c r="I998" t="inlineStr">
        <is>
          <t>0</t>
        </is>
      </c>
      <c r="J998" t="b">
        <v>0</v>
      </c>
      <c r="K998" t="b">
        <v>0</v>
      </c>
      <c r="L998" t="n">
        <v>11</v>
      </c>
      <c r="M998" t="inlineStr">
        <is>
          <t>Values must be of type &lt;class 'str'&gt;</t>
        </is>
      </c>
      <c r="N998" t="inlineStr">
        <is>
          <t>00000000</t>
        </is>
      </c>
      <c r="O998" t="n">
        <v/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</row>
    <row r="999">
      <c r="A999" t="inlineStr">
        <is>
          <t>CashFlow Statement</t>
        </is>
      </c>
      <c r="B999" t="inlineStr">
        <is>
          <t>O82</t>
        </is>
      </c>
      <c r="C999" t="n">
        <v>82</v>
      </c>
      <c r="D999" t="n">
        <v>15</v>
      </c>
      <c r="E999" t="inlineStr">
        <is>
          <t>Input</t>
        </is>
      </c>
      <c r="F999" t="n">
        <v/>
      </c>
      <c r="H999" t="inlineStr"/>
      <c r="I999" t="inlineStr">
        <is>
          <t>0</t>
        </is>
      </c>
      <c r="J999" t="b">
        <v>0</v>
      </c>
      <c r="K999" t="b">
        <v>0</v>
      </c>
      <c r="L999" t="n">
        <v>11</v>
      </c>
      <c r="M999" t="inlineStr">
        <is>
          <t>Values must be of type &lt;class 'str'&gt;</t>
        </is>
      </c>
      <c r="N999" t="inlineStr">
        <is>
          <t>00000000</t>
        </is>
      </c>
      <c r="O999" t="n">
        <v/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</row>
    <row r="1000">
      <c r="A1000" t="inlineStr">
        <is>
          <t>CashFlow Statement</t>
        </is>
      </c>
      <c r="B1000" t="inlineStr">
        <is>
          <t>D83</t>
        </is>
      </c>
      <c r="C1000" t="n">
        <v>83</v>
      </c>
      <c r="D1000" t="n">
        <v>4</v>
      </c>
      <c r="E1000" t="inlineStr">
        <is>
          <t>Input</t>
        </is>
      </c>
      <c r="F1000" t="n">
        <v/>
      </c>
      <c r="H1000" t="inlineStr"/>
      <c r="I1000" t="inlineStr">
        <is>
          <t>0</t>
        </is>
      </c>
      <c r="J1000" t="b">
        <v>0</v>
      </c>
      <c r="K1000" t="b">
        <v>0</v>
      </c>
      <c r="L1000" t="n">
        <v>11</v>
      </c>
      <c r="M1000" t="inlineStr">
        <is>
          <t>Values must be of type &lt;class 'str'&gt;</t>
        </is>
      </c>
      <c r="N1000" t="inlineStr">
        <is>
          <t>00000000</t>
        </is>
      </c>
      <c r="O1000" t="n">
        <v/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</row>
    <row r="1001">
      <c r="A1001" t="inlineStr">
        <is>
          <t>CashFlow Statement</t>
        </is>
      </c>
      <c r="B1001" t="inlineStr">
        <is>
          <t>E83</t>
        </is>
      </c>
      <c r="C1001" t="n">
        <v>83</v>
      </c>
      <c r="D1001" t="n">
        <v>5</v>
      </c>
      <c r="E1001" t="inlineStr">
        <is>
          <t>Input</t>
        </is>
      </c>
      <c r="F1001" t="n">
        <v/>
      </c>
      <c r="H1001" t="inlineStr"/>
      <c r="I1001" t="inlineStr">
        <is>
          <t>0</t>
        </is>
      </c>
      <c r="J1001" t="b">
        <v>0</v>
      </c>
      <c r="K1001" t="b">
        <v>0</v>
      </c>
      <c r="L1001" t="n">
        <v>11</v>
      </c>
      <c r="M1001" t="inlineStr">
        <is>
          <t>Values must be of type &lt;class 'str'&gt;</t>
        </is>
      </c>
      <c r="N1001" t="inlineStr">
        <is>
          <t>00000000</t>
        </is>
      </c>
      <c r="O1001" t="n">
        <v/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</row>
    <row r="1002">
      <c r="A1002" t="inlineStr">
        <is>
          <t>CashFlow Statement</t>
        </is>
      </c>
      <c r="B1002" t="inlineStr">
        <is>
          <t>F83</t>
        </is>
      </c>
      <c r="C1002" t="n">
        <v>83</v>
      </c>
      <c r="D1002" t="n">
        <v>6</v>
      </c>
      <c r="E1002" t="inlineStr">
        <is>
          <t>Input</t>
        </is>
      </c>
      <c r="F1002" t="n">
        <v/>
      </c>
      <c r="H1002" t="inlineStr"/>
      <c r="I1002" t="inlineStr">
        <is>
          <t>0</t>
        </is>
      </c>
      <c r="J1002" t="b">
        <v>0</v>
      </c>
      <c r="K1002" t="b">
        <v>0</v>
      </c>
      <c r="L1002" t="n">
        <v>11</v>
      </c>
      <c r="M1002" t="inlineStr">
        <is>
          <t>Values must be of type &lt;class 'str'&gt;</t>
        </is>
      </c>
      <c r="N1002" t="inlineStr">
        <is>
          <t>00000000</t>
        </is>
      </c>
      <c r="O1002" t="n">
        <v/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</row>
    <row r="1003">
      <c r="A1003" t="inlineStr">
        <is>
          <t>CashFlow Statement</t>
        </is>
      </c>
      <c r="B1003" t="inlineStr">
        <is>
          <t>G83</t>
        </is>
      </c>
      <c r="C1003" t="n">
        <v>83</v>
      </c>
      <c r="D1003" t="n">
        <v>7</v>
      </c>
      <c r="E1003" t="inlineStr">
        <is>
          <t>Input</t>
        </is>
      </c>
      <c r="F1003" t="n">
        <v/>
      </c>
      <c r="H1003" t="inlineStr"/>
      <c r="I1003" t="inlineStr">
        <is>
          <t>0</t>
        </is>
      </c>
      <c r="J1003" t="b">
        <v>0</v>
      </c>
      <c r="K1003" t="b">
        <v>0</v>
      </c>
      <c r="L1003" t="n">
        <v>11</v>
      </c>
      <c r="M1003" t="inlineStr">
        <is>
          <t>Values must be of type &lt;class 'str'&gt;</t>
        </is>
      </c>
      <c r="N1003" t="inlineStr">
        <is>
          <t>00000000</t>
        </is>
      </c>
      <c r="O1003" t="n">
        <v/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</row>
    <row r="1004">
      <c r="A1004" t="inlineStr">
        <is>
          <t>CashFlow Statement</t>
        </is>
      </c>
      <c r="B1004" t="inlineStr">
        <is>
          <t>H83</t>
        </is>
      </c>
      <c r="C1004" t="n">
        <v>83</v>
      </c>
      <c r="D1004" t="n">
        <v>8</v>
      </c>
      <c r="E1004" t="inlineStr">
        <is>
          <t>Input</t>
        </is>
      </c>
      <c r="F1004" t="n">
        <v/>
      </c>
      <c r="H1004" t="inlineStr"/>
      <c r="I1004" t="inlineStr">
        <is>
          <t>0</t>
        </is>
      </c>
      <c r="J1004" t="b">
        <v>0</v>
      </c>
      <c r="K1004" t="b">
        <v>0</v>
      </c>
      <c r="L1004" t="n">
        <v>11</v>
      </c>
      <c r="M1004" t="inlineStr">
        <is>
          <t>Values must be of type &lt;class 'str'&gt;</t>
        </is>
      </c>
      <c r="N1004" t="inlineStr">
        <is>
          <t>00000000</t>
        </is>
      </c>
      <c r="O1004" t="n">
        <v/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</row>
    <row r="1005">
      <c r="A1005" t="inlineStr">
        <is>
          <t>CashFlow Statement</t>
        </is>
      </c>
      <c r="B1005" t="inlineStr">
        <is>
          <t>I83</t>
        </is>
      </c>
      <c r="C1005" t="n">
        <v>83</v>
      </c>
      <c r="D1005" t="n">
        <v>9</v>
      </c>
      <c r="E1005" t="inlineStr">
        <is>
          <t>Input</t>
        </is>
      </c>
      <c r="F1005" t="n">
        <v/>
      </c>
      <c r="H1005" t="inlineStr"/>
      <c r="I1005" t="inlineStr">
        <is>
          <t>0</t>
        </is>
      </c>
      <c r="J1005" t="b">
        <v>0</v>
      </c>
      <c r="K1005" t="b">
        <v>0</v>
      </c>
      <c r="L1005" t="n">
        <v>11</v>
      </c>
      <c r="M1005" t="inlineStr">
        <is>
          <t>Values must be of type &lt;class 'str'&gt;</t>
        </is>
      </c>
      <c r="N1005" t="inlineStr">
        <is>
          <t>00000000</t>
        </is>
      </c>
      <c r="O1005" t="n">
        <v/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</row>
    <row r="1006">
      <c r="A1006" t="inlineStr">
        <is>
          <t>CashFlow Statement</t>
        </is>
      </c>
      <c r="B1006" t="inlineStr">
        <is>
          <t>J83</t>
        </is>
      </c>
      <c r="C1006" t="n">
        <v>83</v>
      </c>
      <c r="D1006" t="n">
        <v>10</v>
      </c>
      <c r="E1006" t="inlineStr">
        <is>
          <t>Input</t>
        </is>
      </c>
      <c r="F1006" t="n">
        <v/>
      </c>
      <c r="H1006" t="inlineStr"/>
      <c r="I1006" t="inlineStr">
        <is>
          <t>0</t>
        </is>
      </c>
      <c r="J1006" t="b">
        <v>0</v>
      </c>
      <c r="K1006" t="b">
        <v>0</v>
      </c>
      <c r="L1006" t="n">
        <v>11</v>
      </c>
      <c r="M1006" t="inlineStr">
        <is>
          <t>Values must be of type &lt;class 'str'&gt;</t>
        </is>
      </c>
      <c r="N1006" t="inlineStr">
        <is>
          <t>00000000</t>
        </is>
      </c>
      <c r="O1006" t="n">
        <v/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</row>
    <row r="1007">
      <c r="A1007" t="inlineStr">
        <is>
          <t>CashFlow Statement</t>
        </is>
      </c>
      <c r="B1007" t="inlineStr">
        <is>
          <t>K83</t>
        </is>
      </c>
      <c r="C1007" t="n">
        <v>83</v>
      </c>
      <c r="D1007" t="n">
        <v>11</v>
      </c>
      <c r="E1007" t="inlineStr">
        <is>
          <t>Input</t>
        </is>
      </c>
      <c r="F1007" t="n">
        <v/>
      </c>
      <c r="H1007" t="inlineStr"/>
      <c r="I1007" t="inlineStr">
        <is>
          <t>0</t>
        </is>
      </c>
      <c r="J1007" t="b">
        <v>0</v>
      </c>
      <c r="K1007" t="b">
        <v>0</v>
      </c>
      <c r="L1007" t="n">
        <v>11</v>
      </c>
      <c r="M1007" t="inlineStr">
        <is>
          <t>Values must be of type &lt;class 'str'&gt;</t>
        </is>
      </c>
      <c r="N1007" t="inlineStr">
        <is>
          <t>00000000</t>
        </is>
      </c>
      <c r="O1007" t="n">
        <v/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</row>
    <row r="1008">
      <c r="A1008" t="inlineStr">
        <is>
          <t>CashFlow Statement</t>
        </is>
      </c>
      <c r="B1008" t="inlineStr">
        <is>
          <t>L83</t>
        </is>
      </c>
      <c r="C1008" t="n">
        <v>83</v>
      </c>
      <c r="D1008" t="n">
        <v>12</v>
      </c>
      <c r="E1008" t="inlineStr">
        <is>
          <t>Input</t>
        </is>
      </c>
      <c r="F1008" t="n">
        <v/>
      </c>
      <c r="H1008" t="inlineStr"/>
      <c r="I1008" t="inlineStr">
        <is>
          <t>0</t>
        </is>
      </c>
      <c r="J1008" t="b">
        <v>0</v>
      </c>
      <c r="K1008" t="b">
        <v>0</v>
      </c>
      <c r="L1008" t="n">
        <v>11</v>
      </c>
      <c r="M1008" t="inlineStr">
        <is>
          <t>Values must be of type &lt;class 'str'&gt;</t>
        </is>
      </c>
      <c r="N1008" t="inlineStr">
        <is>
          <t>00000000</t>
        </is>
      </c>
      <c r="O1008" t="n">
        <v/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</row>
    <row r="1009">
      <c r="A1009" t="inlineStr">
        <is>
          <t>CashFlow Statement</t>
        </is>
      </c>
      <c r="B1009" t="inlineStr">
        <is>
          <t>M83</t>
        </is>
      </c>
      <c r="C1009" t="n">
        <v>83</v>
      </c>
      <c r="D1009" t="n">
        <v>13</v>
      </c>
      <c r="E1009" t="inlineStr">
        <is>
          <t>Input</t>
        </is>
      </c>
      <c r="F1009" t="n">
        <v/>
      </c>
      <c r="H1009" t="inlineStr"/>
      <c r="I1009" t="inlineStr">
        <is>
          <t>0</t>
        </is>
      </c>
      <c r="J1009" t="b">
        <v>0</v>
      </c>
      <c r="K1009" t="b">
        <v>0</v>
      </c>
      <c r="L1009" t="n">
        <v>11</v>
      </c>
      <c r="M1009" t="inlineStr">
        <is>
          <t>Values must be of type &lt;class 'str'&gt;</t>
        </is>
      </c>
      <c r="N1009" t="inlineStr">
        <is>
          <t>00000000</t>
        </is>
      </c>
      <c r="O1009" t="n">
        <v/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</row>
    <row r="1010">
      <c r="A1010" t="inlineStr">
        <is>
          <t>CashFlow Statement</t>
        </is>
      </c>
      <c r="B1010" t="inlineStr">
        <is>
          <t>N83</t>
        </is>
      </c>
      <c r="C1010" t="n">
        <v>83</v>
      </c>
      <c r="D1010" t="n">
        <v>14</v>
      </c>
      <c r="E1010" t="inlineStr">
        <is>
          <t>Input</t>
        </is>
      </c>
      <c r="F1010" t="n">
        <v/>
      </c>
      <c r="H1010" t="inlineStr"/>
      <c r="I1010" t="inlineStr">
        <is>
          <t>0</t>
        </is>
      </c>
      <c r="J1010" t="b">
        <v>0</v>
      </c>
      <c r="K1010" t="b">
        <v>0</v>
      </c>
      <c r="L1010" t="n">
        <v>11</v>
      </c>
      <c r="M1010" t="inlineStr">
        <is>
          <t>Values must be of type &lt;class 'str'&gt;</t>
        </is>
      </c>
      <c r="N1010" t="inlineStr">
        <is>
          <t>00000000</t>
        </is>
      </c>
      <c r="O1010" t="n">
        <v/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</row>
    <row r="1011">
      <c r="A1011" t="inlineStr">
        <is>
          <t>CashFlow Statement</t>
        </is>
      </c>
      <c r="B1011" t="inlineStr">
        <is>
          <t>O83</t>
        </is>
      </c>
      <c r="C1011" t="n">
        <v>83</v>
      </c>
      <c r="D1011" t="n">
        <v>15</v>
      </c>
      <c r="E1011" t="inlineStr">
        <is>
          <t>Input</t>
        </is>
      </c>
      <c r="F1011" t="n">
        <v/>
      </c>
      <c r="H1011" t="inlineStr"/>
      <c r="I1011" t="inlineStr">
        <is>
          <t>0</t>
        </is>
      </c>
      <c r="J1011" t="b">
        <v>0</v>
      </c>
      <c r="K1011" t="b">
        <v>0</v>
      </c>
      <c r="L1011" t="n">
        <v>11</v>
      </c>
      <c r="M1011" t="inlineStr">
        <is>
          <t>Values must be of type &lt;class 'str'&gt;</t>
        </is>
      </c>
      <c r="N1011" t="inlineStr">
        <is>
          <t>00000000</t>
        </is>
      </c>
      <c r="O1011" t="n">
        <v/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</row>
    <row r="1012">
      <c r="A1012" t="inlineStr">
        <is>
          <t>CashFlow Statement</t>
        </is>
      </c>
      <c r="B1012" t="inlineStr">
        <is>
          <t>D84</t>
        </is>
      </c>
      <c r="C1012" t="n">
        <v>84</v>
      </c>
      <c r="D1012" t="n">
        <v>4</v>
      </c>
      <c r="E1012" t="inlineStr">
        <is>
          <t>Input</t>
        </is>
      </c>
      <c r="F1012" t="n">
        <v/>
      </c>
      <c r="H1012" t="inlineStr"/>
      <c r="I1012" t="inlineStr">
        <is>
          <t>0</t>
        </is>
      </c>
      <c r="J1012" t="b">
        <v>0</v>
      </c>
      <c r="K1012" t="b">
        <v>0</v>
      </c>
      <c r="L1012" t="n">
        <v>11</v>
      </c>
      <c r="M1012" t="inlineStr">
        <is>
          <t>Values must be of type &lt;class 'str'&gt;</t>
        </is>
      </c>
      <c r="N1012" t="inlineStr">
        <is>
          <t>00000000</t>
        </is>
      </c>
      <c r="O1012" t="n">
        <v/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</row>
    <row r="1013">
      <c r="A1013" t="inlineStr">
        <is>
          <t>CashFlow Statement</t>
        </is>
      </c>
      <c r="B1013" t="inlineStr">
        <is>
          <t>E84</t>
        </is>
      </c>
      <c r="C1013" t="n">
        <v>84</v>
      </c>
      <c r="D1013" t="n">
        <v>5</v>
      </c>
      <c r="E1013" t="inlineStr">
        <is>
          <t>Input</t>
        </is>
      </c>
      <c r="F1013" t="n">
        <v/>
      </c>
      <c r="H1013" t="inlineStr"/>
      <c r="I1013" t="inlineStr">
        <is>
          <t>0</t>
        </is>
      </c>
      <c r="J1013" t="b">
        <v>0</v>
      </c>
      <c r="K1013" t="b">
        <v>0</v>
      </c>
      <c r="L1013" t="n">
        <v>11</v>
      </c>
      <c r="M1013" t="inlineStr">
        <is>
          <t>Values must be of type &lt;class 'str'&gt;</t>
        </is>
      </c>
      <c r="N1013" t="inlineStr">
        <is>
          <t>00000000</t>
        </is>
      </c>
      <c r="O1013" t="n">
        <v/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</row>
    <row r="1014">
      <c r="A1014" t="inlineStr">
        <is>
          <t>CashFlow Statement</t>
        </is>
      </c>
      <c r="B1014" t="inlineStr">
        <is>
          <t>F84</t>
        </is>
      </c>
      <c r="C1014" t="n">
        <v>84</v>
      </c>
      <c r="D1014" t="n">
        <v>6</v>
      </c>
      <c r="E1014" t="inlineStr">
        <is>
          <t>Input</t>
        </is>
      </c>
      <c r="F1014" t="n">
        <v/>
      </c>
      <c r="H1014" t="inlineStr"/>
      <c r="I1014" t="inlineStr">
        <is>
          <t>0</t>
        </is>
      </c>
      <c r="J1014" t="b">
        <v>0</v>
      </c>
      <c r="K1014" t="b">
        <v>0</v>
      </c>
      <c r="L1014" t="n">
        <v>11</v>
      </c>
      <c r="M1014" t="inlineStr">
        <is>
          <t>Values must be of type &lt;class 'str'&gt;</t>
        </is>
      </c>
      <c r="N1014" t="inlineStr">
        <is>
          <t>00000000</t>
        </is>
      </c>
      <c r="O1014" t="n">
        <v/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</row>
    <row r="1015">
      <c r="A1015" t="inlineStr">
        <is>
          <t>CashFlow Statement</t>
        </is>
      </c>
      <c r="B1015" t="inlineStr">
        <is>
          <t>G84</t>
        </is>
      </c>
      <c r="C1015" t="n">
        <v>84</v>
      </c>
      <c r="D1015" t="n">
        <v>7</v>
      </c>
      <c r="E1015" t="inlineStr">
        <is>
          <t>Input</t>
        </is>
      </c>
      <c r="F1015" t="n">
        <v/>
      </c>
      <c r="H1015" t="inlineStr"/>
      <c r="I1015" t="inlineStr">
        <is>
          <t>0</t>
        </is>
      </c>
      <c r="J1015" t="b">
        <v>0</v>
      </c>
      <c r="K1015" t="b">
        <v>0</v>
      </c>
      <c r="L1015" t="n">
        <v>11</v>
      </c>
      <c r="M1015" t="inlineStr">
        <is>
          <t>Values must be of type &lt;class 'str'&gt;</t>
        </is>
      </c>
      <c r="N1015" t="inlineStr">
        <is>
          <t>00000000</t>
        </is>
      </c>
      <c r="O1015" t="n">
        <v/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</row>
    <row r="1016">
      <c r="A1016" t="inlineStr">
        <is>
          <t>CashFlow Statement</t>
        </is>
      </c>
      <c r="B1016" t="inlineStr">
        <is>
          <t>H84</t>
        </is>
      </c>
      <c r="C1016" t="n">
        <v>84</v>
      </c>
      <c r="D1016" t="n">
        <v>8</v>
      </c>
      <c r="E1016" t="inlineStr">
        <is>
          <t>Input</t>
        </is>
      </c>
      <c r="F1016" t="n">
        <v/>
      </c>
      <c r="H1016" t="inlineStr"/>
      <c r="I1016" t="inlineStr">
        <is>
          <t>0</t>
        </is>
      </c>
      <c r="J1016" t="b">
        <v>0</v>
      </c>
      <c r="K1016" t="b">
        <v>0</v>
      </c>
      <c r="L1016" t="n">
        <v>11</v>
      </c>
      <c r="M1016" t="inlineStr">
        <is>
          <t>Values must be of type &lt;class 'str'&gt;</t>
        </is>
      </c>
      <c r="N1016" t="inlineStr">
        <is>
          <t>00000000</t>
        </is>
      </c>
      <c r="O1016" t="n">
        <v/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</row>
    <row r="1017">
      <c r="A1017" t="inlineStr">
        <is>
          <t>CashFlow Statement</t>
        </is>
      </c>
      <c r="B1017" t="inlineStr">
        <is>
          <t>I84</t>
        </is>
      </c>
      <c r="C1017" t="n">
        <v>84</v>
      </c>
      <c r="D1017" t="n">
        <v>9</v>
      </c>
      <c r="E1017" t="inlineStr">
        <is>
          <t>Input</t>
        </is>
      </c>
      <c r="F1017" t="n">
        <v/>
      </c>
      <c r="H1017" t="inlineStr"/>
      <c r="I1017" t="inlineStr">
        <is>
          <t>0</t>
        </is>
      </c>
      <c r="J1017" t="b">
        <v>0</v>
      </c>
      <c r="K1017" t="b">
        <v>0</v>
      </c>
      <c r="L1017" t="n">
        <v>11</v>
      </c>
      <c r="M1017" t="inlineStr">
        <is>
          <t>Values must be of type &lt;class 'str'&gt;</t>
        </is>
      </c>
      <c r="N1017" t="inlineStr">
        <is>
          <t>00000000</t>
        </is>
      </c>
      <c r="O1017" t="n">
        <v/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</row>
    <row r="1018">
      <c r="A1018" t="inlineStr">
        <is>
          <t>CashFlow Statement</t>
        </is>
      </c>
      <c r="B1018" t="inlineStr">
        <is>
          <t>J84</t>
        </is>
      </c>
      <c r="C1018" t="n">
        <v>84</v>
      </c>
      <c r="D1018" t="n">
        <v>10</v>
      </c>
      <c r="E1018" t="inlineStr">
        <is>
          <t>Input</t>
        </is>
      </c>
      <c r="F1018" t="n">
        <v/>
      </c>
      <c r="H1018" t="inlineStr"/>
      <c r="I1018" t="inlineStr">
        <is>
          <t>0</t>
        </is>
      </c>
      <c r="J1018" t="b">
        <v>0</v>
      </c>
      <c r="K1018" t="b">
        <v>0</v>
      </c>
      <c r="L1018" t="n">
        <v>11</v>
      </c>
      <c r="M1018" t="inlineStr">
        <is>
          <t>Values must be of type &lt;class 'str'&gt;</t>
        </is>
      </c>
      <c r="N1018" t="inlineStr">
        <is>
          <t>00000000</t>
        </is>
      </c>
      <c r="O1018" t="n">
        <v/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</row>
    <row r="1019">
      <c r="A1019" t="inlineStr">
        <is>
          <t>CashFlow Statement</t>
        </is>
      </c>
      <c r="B1019" t="inlineStr">
        <is>
          <t>K84</t>
        </is>
      </c>
      <c r="C1019" t="n">
        <v>84</v>
      </c>
      <c r="D1019" t="n">
        <v>11</v>
      </c>
      <c r="E1019" t="inlineStr">
        <is>
          <t>Input</t>
        </is>
      </c>
      <c r="F1019" t="n">
        <v/>
      </c>
      <c r="H1019" t="inlineStr"/>
      <c r="I1019" t="inlineStr">
        <is>
          <t>0</t>
        </is>
      </c>
      <c r="J1019" t="b">
        <v>0</v>
      </c>
      <c r="K1019" t="b">
        <v>0</v>
      </c>
      <c r="L1019" t="n">
        <v>11</v>
      </c>
      <c r="M1019" t="inlineStr">
        <is>
          <t>Values must be of type &lt;class 'str'&gt;</t>
        </is>
      </c>
      <c r="N1019" t="inlineStr">
        <is>
          <t>00000000</t>
        </is>
      </c>
      <c r="O1019" t="n">
        <v/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</row>
    <row r="1020">
      <c r="A1020" t="inlineStr">
        <is>
          <t>CashFlow Statement</t>
        </is>
      </c>
      <c r="B1020" t="inlineStr">
        <is>
          <t>L84</t>
        </is>
      </c>
      <c r="C1020" t="n">
        <v>84</v>
      </c>
      <c r="D1020" t="n">
        <v>12</v>
      </c>
      <c r="E1020" t="inlineStr">
        <is>
          <t>Input</t>
        </is>
      </c>
      <c r="F1020" t="n">
        <v/>
      </c>
      <c r="H1020" t="inlineStr"/>
      <c r="I1020" t="inlineStr">
        <is>
          <t>0</t>
        </is>
      </c>
      <c r="J1020" t="b">
        <v>0</v>
      </c>
      <c r="K1020" t="b">
        <v>0</v>
      </c>
      <c r="L1020" t="n">
        <v>11</v>
      </c>
      <c r="M1020" t="inlineStr">
        <is>
          <t>Values must be of type &lt;class 'str'&gt;</t>
        </is>
      </c>
      <c r="N1020" t="inlineStr">
        <is>
          <t>00000000</t>
        </is>
      </c>
      <c r="O1020" t="n">
        <v/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</row>
    <row r="1021">
      <c r="A1021" t="inlineStr">
        <is>
          <t>CashFlow Statement</t>
        </is>
      </c>
      <c r="B1021" t="inlineStr">
        <is>
          <t>M84</t>
        </is>
      </c>
      <c r="C1021" t="n">
        <v>84</v>
      </c>
      <c r="D1021" t="n">
        <v>13</v>
      </c>
      <c r="E1021" t="inlineStr">
        <is>
          <t>Input</t>
        </is>
      </c>
      <c r="F1021" t="n">
        <v/>
      </c>
      <c r="H1021" t="inlineStr"/>
      <c r="I1021" t="inlineStr">
        <is>
          <t>0</t>
        </is>
      </c>
      <c r="J1021" t="b">
        <v>0</v>
      </c>
      <c r="K1021" t="b">
        <v>0</v>
      </c>
      <c r="L1021" t="n">
        <v>11</v>
      </c>
      <c r="M1021" t="inlineStr">
        <is>
          <t>Values must be of type &lt;class 'str'&gt;</t>
        </is>
      </c>
      <c r="N1021" t="inlineStr">
        <is>
          <t>00000000</t>
        </is>
      </c>
      <c r="O1021" t="n">
        <v/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</row>
    <row r="1022">
      <c r="A1022" t="inlineStr">
        <is>
          <t>CashFlow Statement</t>
        </is>
      </c>
      <c r="B1022" t="inlineStr">
        <is>
          <t>N84</t>
        </is>
      </c>
      <c r="C1022" t="n">
        <v>84</v>
      </c>
      <c r="D1022" t="n">
        <v>14</v>
      </c>
      <c r="E1022" t="inlineStr">
        <is>
          <t>Input</t>
        </is>
      </c>
      <c r="F1022" t="n">
        <v/>
      </c>
      <c r="H1022" t="inlineStr"/>
      <c r="I1022" t="inlineStr">
        <is>
          <t>0</t>
        </is>
      </c>
      <c r="J1022" t="b">
        <v>0</v>
      </c>
      <c r="K1022" t="b">
        <v>0</v>
      </c>
      <c r="L1022" t="n">
        <v>11</v>
      </c>
      <c r="M1022" t="inlineStr">
        <is>
          <t>Values must be of type &lt;class 'str'&gt;</t>
        </is>
      </c>
      <c r="N1022" t="inlineStr">
        <is>
          <t>00000000</t>
        </is>
      </c>
      <c r="O1022" t="n">
        <v/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</row>
    <row r="1023">
      <c r="A1023" t="inlineStr">
        <is>
          <t>CashFlow Statement</t>
        </is>
      </c>
      <c r="B1023" t="inlineStr">
        <is>
          <t>O84</t>
        </is>
      </c>
      <c r="C1023" t="n">
        <v>84</v>
      </c>
      <c r="D1023" t="n">
        <v>15</v>
      </c>
      <c r="E1023" t="inlineStr">
        <is>
          <t>Input</t>
        </is>
      </c>
      <c r="F1023" t="n">
        <v/>
      </c>
      <c r="H1023" t="inlineStr"/>
      <c r="I1023" t="inlineStr">
        <is>
          <t>0</t>
        </is>
      </c>
      <c r="J1023" t="b">
        <v>0</v>
      </c>
      <c r="K1023" t="b">
        <v>0</v>
      </c>
      <c r="L1023" t="n">
        <v>11</v>
      </c>
      <c r="M1023" t="inlineStr">
        <is>
          <t>Values must be of type &lt;class 'str'&gt;</t>
        </is>
      </c>
      <c r="N1023" t="inlineStr">
        <is>
          <t>00000000</t>
        </is>
      </c>
      <c r="O1023" t="n">
        <v/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</row>
    <row r="1024">
      <c r="A1024" t="inlineStr">
        <is>
          <t>CashFlow Statement</t>
        </is>
      </c>
      <c r="B1024" t="inlineStr">
        <is>
          <t>D85</t>
        </is>
      </c>
      <c r="C1024" t="n">
        <v>85</v>
      </c>
      <c r="D1024" t="n">
        <v>4</v>
      </c>
      <c r="E1024" t="inlineStr">
        <is>
          <t>Input</t>
        </is>
      </c>
      <c r="F1024" t="n">
        <v/>
      </c>
      <c r="H1024" t="inlineStr"/>
      <c r="I1024" t="inlineStr">
        <is>
          <t>0</t>
        </is>
      </c>
      <c r="J1024" t="b">
        <v>0</v>
      </c>
      <c r="K1024" t="b">
        <v>0</v>
      </c>
      <c r="L1024" t="n">
        <v>11</v>
      </c>
      <c r="M1024" t="inlineStr">
        <is>
          <t>Values must be of type &lt;class 'str'&gt;</t>
        </is>
      </c>
      <c r="N1024" t="inlineStr">
        <is>
          <t>00000000</t>
        </is>
      </c>
      <c r="O1024" t="n">
        <v/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</row>
    <row r="1025">
      <c r="A1025" t="inlineStr">
        <is>
          <t>CashFlow Statement</t>
        </is>
      </c>
      <c r="B1025" t="inlineStr">
        <is>
          <t>E85</t>
        </is>
      </c>
      <c r="C1025" t="n">
        <v>85</v>
      </c>
      <c r="D1025" t="n">
        <v>5</v>
      </c>
      <c r="E1025" t="inlineStr">
        <is>
          <t>Input</t>
        </is>
      </c>
      <c r="F1025" t="n">
        <v/>
      </c>
      <c r="H1025" t="inlineStr"/>
      <c r="I1025" t="inlineStr">
        <is>
          <t>0</t>
        </is>
      </c>
      <c r="J1025" t="b">
        <v>0</v>
      </c>
      <c r="K1025" t="b">
        <v>0</v>
      </c>
      <c r="L1025" t="n">
        <v>11</v>
      </c>
      <c r="M1025" t="inlineStr">
        <is>
          <t>Values must be of type &lt;class 'str'&gt;</t>
        </is>
      </c>
      <c r="N1025" t="inlineStr">
        <is>
          <t>00000000</t>
        </is>
      </c>
      <c r="O1025" t="n">
        <v/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</row>
    <row r="1026">
      <c r="A1026" t="inlineStr">
        <is>
          <t>CashFlow Statement</t>
        </is>
      </c>
      <c r="B1026" t="inlineStr">
        <is>
          <t>F85</t>
        </is>
      </c>
      <c r="C1026" t="n">
        <v>85</v>
      </c>
      <c r="D1026" t="n">
        <v>6</v>
      </c>
      <c r="E1026" t="inlineStr">
        <is>
          <t>Input</t>
        </is>
      </c>
      <c r="F1026" t="n">
        <v/>
      </c>
      <c r="H1026" t="inlineStr"/>
      <c r="I1026" t="inlineStr">
        <is>
          <t>0</t>
        </is>
      </c>
      <c r="J1026" t="b">
        <v>0</v>
      </c>
      <c r="K1026" t="b">
        <v>0</v>
      </c>
      <c r="L1026" t="n">
        <v>11</v>
      </c>
      <c r="M1026" t="inlineStr">
        <is>
          <t>Values must be of type &lt;class 'str'&gt;</t>
        </is>
      </c>
      <c r="N1026" t="inlineStr">
        <is>
          <t>00000000</t>
        </is>
      </c>
      <c r="O1026" t="n">
        <v/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</row>
    <row r="1027">
      <c r="A1027" t="inlineStr">
        <is>
          <t>CashFlow Statement</t>
        </is>
      </c>
      <c r="B1027" t="inlineStr">
        <is>
          <t>G85</t>
        </is>
      </c>
      <c r="C1027" t="n">
        <v>85</v>
      </c>
      <c r="D1027" t="n">
        <v>7</v>
      </c>
      <c r="E1027" t="inlineStr">
        <is>
          <t>Input</t>
        </is>
      </c>
      <c r="F1027" t="n">
        <v/>
      </c>
      <c r="H1027" t="inlineStr"/>
      <c r="I1027" t="inlineStr">
        <is>
          <t>0</t>
        </is>
      </c>
      <c r="J1027" t="b">
        <v>0</v>
      </c>
      <c r="K1027" t="b">
        <v>0</v>
      </c>
      <c r="L1027" t="n">
        <v>11</v>
      </c>
      <c r="M1027" t="inlineStr">
        <is>
          <t>Values must be of type &lt;class 'str'&gt;</t>
        </is>
      </c>
      <c r="N1027" t="inlineStr">
        <is>
          <t>00000000</t>
        </is>
      </c>
      <c r="O1027" t="n">
        <v/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</row>
    <row r="1028">
      <c r="A1028" t="inlineStr">
        <is>
          <t>CashFlow Statement</t>
        </is>
      </c>
      <c r="B1028" t="inlineStr">
        <is>
          <t>H85</t>
        </is>
      </c>
      <c r="C1028" t="n">
        <v>85</v>
      </c>
      <c r="D1028" t="n">
        <v>8</v>
      </c>
      <c r="E1028" t="inlineStr">
        <is>
          <t>Input</t>
        </is>
      </c>
      <c r="F1028" t="n">
        <v/>
      </c>
      <c r="H1028" t="inlineStr"/>
      <c r="I1028" t="inlineStr">
        <is>
          <t>0</t>
        </is>
      </c>
      <c r="J1028" t="b">
        <v>0</v>
      </c>
      <c r="K1028" t="b">
        <v>0</v>
      </c>
      <c r="L1028" t="n">
        <v>11</v>
      </c>
      <c r="M1028" t="inlineStr">
        <is>
          <t>Values must be of type &lt;class 'str'&gt;</t>
        </is>
      </c>
      <c r="N1028" t="inlineStr">
        <is>
          <t>00000000</t>
        </is>
      </c>
      <c r="O1028" t="n">
        <v/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</row>
    <row r="1029">
      <c r="A1029" t="inlineStr">
        <is>
          <t>CashFlow Statement</t>
        </is>
      </c>
      <c r="B1029" t="inlineStr">
        <is>
          <t>I85</t>
        </is>
      </c>
      <c r="C1029" t="n">
        <v>85</v>
      </c>
      <c r="D1029" t="n">
        <v>9</v>
      </c>
      <c r="E1029" t="inlineStr">
        <is>
          <t>Input</t>
        </is>
      </c>
      <c r="F1029" t="n">
        <v/>
      </c>
      <c r="H1029" t="inlineStr"/>
      <c r="I1029" t="inlineStr">
        <is>
          <t>0</t>
        </is>
      </c>
      <c r="J1029" t="b">
        <v>0</v>
      </c>
      <c r="K1029" t="b">
        <v>0</v>
      </c>
      <c r="L1029" t="n">
        <v>11</v>
      </c>
      <c r="M1029" t="inlineStr">
        <is>
          <t>Values must be of type &lt;class 'str'&gt;</t>
        </is>
      </c>
      <c r="N1029" t="inlineStr">
        <is>
          <t>00000000</t>
        </is>
      </c>
      <c r="O1029" t="n">
        <v/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</row>
    <row r="1030">
      <c r="A1030" t="inlineStr">
        <is>
          <t>CashFlow Statement</t>
        </is>
      </c>
      <c r="B1030" t="inlineStr">
        <is>
          <t>J85</t>
        </is>
      </c>
      <c r="C1030" t="n">
        <v>85</v>
      </c>
      <c r="D1030" t="n">
        <v>10</v>
      </c>
      <c r="E1030" t="inlineStr">
        <is>
          <t>Input</t>
        </is>
      </c>
      <c r="F1030" t="n">
        <v/>
      </c>
      <c r="H1030" t="inlineStr"/>
      <c r="I1030" t="inlineStr">
        <is>
          <t>0</t>
        </is>
      </c>
      <c r="J1030" t="b">
        <v>0</v>
      </c>
      <c r="K1030" t="b">
        <v>0</v>
      </c>
      <c r="L1030" t="n">
        <v>11</v>
      </c>
      <c r="M1030" t="inlineStr">
        <is>
          <t>Values must be of type &lt;class 'str'&gt;</t>
        </is>
      </c>
      <c r="N1030" t="inlineStr">
        <is>
          <t>00000000</t>
        </is>
      </c>
      <c r="O1030" t="n">
        <v/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</row>
    <row r="1031">
      <c r="A1031" t="inlineStr">
        <is>
          <t>CashFlow Statement</t>
        </is>
      </c>
      <c r="B1031" t="inlineStr">
        <is>
          <t>K85</t>
        </is>
      </c>
      <c r="C1031" t="n">
        <v>85</v>
      </c>
      <c r="D1031" t="n">
        <v>11</v>
      </c>
      <c r="E1031" t="inlineStr">
        <is>
          <t>Input</t>
        </is>
      </c>
      <c r="F1031" t="n">
        <v/>
      </c>
      <c r="H1031" t="inlineStr"/>
      <c r="I1031" t="inlineStr">
        <is>
          <t>0</t>
        </is>
      </c>
      <c r="J1031" t="b">
        <v>0</v>
      </c>
      <c r="K1031" t="b">
        <v>0</v>
      </c>
      <c r="L1031" t="n">
        <v>11</v>
      </c>
      <c r="M1031" t="inlineStr">
        <is>
          <t>Values must be of type &lt;class 'str'&gt;</t>
        </is>
      </c>
      <c r="N1031" t="inlineStr">
        <is>
          <t>00000000</t>
        </is>
      </c>
      <c r="O1031" t="n">
        <v/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</row>
    <row r="1032">
      <c r="A1032" t="inlineStr">
        <is>
          <t>CashFlow Statement</t>
        </is>
      </c>
      <c r="B1032" t="inlineStr">
        <is>
          <t>L85</t>
        </is>
      </c>
      <c r="C1032" t="n">
        <v>85</v>
      </c>
      <c r="D1032" t="n">
        <v>12</v>
      </c>
      <c r="E1032" t="inlineStr">
        <is>
          <t>Input</t>
        </is>
      </c>
      <c r="F1032" t="n">
        <v/>
      </c>
      <c r="H1032" t="inlineStr"/>
      <c r="I1032" t="inlineStr">
        <is>
          <t>0</t>
        </is>
      </c>
      <c r="J1032" t="b">
        <v>0</v>
      </c>
      <c r="K1032" t="b">
        <v>0</v>
      </c>
      <c r="L1032" t="n">
        <v>11</v>
      </c>
      <c r="M1032" t="inlineStr">
        <is>
          <t>Values must be of type &lt;class 'str'&gt;</t>
        </is>
      </c>
      <c r="N1032" t="inlineStr">
        <is>
          <t>00000000</t>
        </is>
      </c>
      <c r="O1032" t="n">
        <v/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</row>
    <row r="1033">
      <c r="A1033" t="inlineStr">
        <is>
          <t>CashFlow Statement</t>
        </is>
      </c>
      <c r="B1033" t="inlineStr">
        <is>
          <t>M85</t>
        </is>
      </c>
      <c r="C1033" t="n">
        <v>85</v>
      </c>
      <c r="D1033" t="n">
        <v>13</v>
      </c>
      <c r="E1033" t="inlineStr">
        <is>
          <t>Input</t>
        </is>
      </c>
      <c r="F1033" t="n">
        <v/>
      </c>
      <c r="H1033" t="inlineStr"/>
      <c r="I1033" t="inlineStr">
        <is>
          <t>0</t>
        </is>
      </c>
      <c r="J1033" t="b">
        <v>0</v>
      </c>
      <c r="K1033" t="b">
        <v>0</v>
      </c>
      <c r="L1033" t="n">
        <v>11</v>
      </c>
      <c r="M1033" t="inlineStr">
        <is>
          <t>Values must be of type &lt;class 'str'&gt;</t>
        </is>
      </c>
      <c r="N1033" t="inlineStr">
        <is>
          <t>00000000</t>
        </is>
      </c>
      <c r="O1033" t="n">
        <v/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</row>
    <row r="1034">
      <c r="A1034" t="inlineStr">
        <is>
          <t>CashFlow Statement</t>
        </is>
      </c>
      <c r="B1034" t="inlineStr">
        <is>
          <t>N85</t>
        </is>
      </c>
      <c r="C1034" t="n">
        <v>85</v>
      </c>
      <c r="D1034" t="n">
        <v>14</v>
      </c>
      <c r="E1034" t="inlineStr">
        <is>
          <t>Input</t>
        </is>
      </c>
      <c r="F1034" t="n">
        <v/>
      </c>
      <c r="H1034" t="inlineStr"/>
      <c r="I1034" t="inlineStr">
        <is>
          <t>0</t>
        </is>
      </c>
      <c r="J1034" t="b">
        <v>0</v>
      </c>
      <c r="K1034" t="b">
        <v>0</v>
      </c>
      <c r="L1034" t="n">
        <v>11</v>
      </c>
      <c r="M1034" t="inlineStr">
        <is>
          <t>Values must be of type &lt;class 'str'&gt;</t>
        </is>
      </c>
      <c r="N1034" t="inlineStr">
        <is>
          <t>00000000</t>
        </is>
      </c>
      <c r="O1034" t="n">
        <v/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</row>
    <row r="1035">
      <c r="A1035" t="inlineStr">
        <is>
          <t>CashFlow Statement</t>
        </is>
      </c>
      <c r="B1035" t="inlineStr">
        <is>
          <t>O85</t>
        </is>
      </c>
      <c r="C1035" t="n">
        <v>85</v>
      </c>
      <c r="D1035" t="n">
        <v>15</v>
      </c>
      <c r="E1035" t="inlineStr">
        <is>
          <t>Input</t>
        </is>
      </c>
      <c r="F1035" t="n">
        <v/>
      </c>
      <c r="H1035" t="inlineStr"/>
      <c r="I1035" t="inlineStr">
        <is>
          <t>0</t>
        </is>
      </c>
      <c r="J1035" t="b">
        <v>0</v>
      </c>
      <c r="K1035" t="b">
        <v>0</v>
      </c>
      <c r="L1035" t="n">
        <v>11</v>
      </c>
      <c r="M1035" t="inlineStr">
        <is>
          <t>Values must be of type &lt;class 'str'&gt;</t>
        </is>
      </c>
      <c r="N1035" t="inlineStr">
        <is>
          <t>00000000</t>
        </is>
      </c>
      <c r="O1035" t="n">
        <v/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</row>
    <row r="1036">
      <c r="A1036" t="inlineStr">
        <is>
          <t>CashFlow Statement</t>
        </is>
      </c>
      <c r="B1036" t="inlineStr">
        <is>
          <t>D86</t>
        </is>
      </c>
      <c r="C1036" t="n">
        <v>86</v>
      </c>
      <c r="D1036" t="n">
        <v>4</v>
      </c>
      <c r="E1036" t="inlineStr">
        <is>
          <t>Input</t>
        </is>
      </c>
      <c r="F1036" t="n">
        <v/>
      </c>
      <c r="H1036" t="inlineStr"/>
      <c r="I1036" t="inlineStr">
        <is>
          <t>0</t>
        </is>
      </c>
      <c r="J1036" t="b">
        <v>0</v>
      </c>
      <c r="K1036" t="b">
        <v>0</v>
      </c>
      <c r="L1036" t="n">
        <v>11</v>
      </c>
      <c r="M1036" t="inlineStr">
        <is>
          <t>Values must be of type &lt;class 'str'&gt;</t>
        </is>
      </c>
      <c r="N1036" t="inlineStr">
        <is>
          <t>00000000</t>
        </is>
      </c>
      <c r="O1036" t="n">
        <v/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</row>
    <row r="1037">
      <c r="A1037" t="inlineStr">
        <is>
          <t>CashFlow Statement</t>
        </is>
      </c>
      <c r="B1037" t="inlineStr">
        <is>
          <t>E86</t>
        </is>
      </c>
      <c r="C1037" t="n">
        <v>86</v>
      </c>
      <c r="D1037" t="n">
        <v>5</v>
      </c>
      <c r="E1037" t="inlineStr">
        <is>
          <t>Input</t>
        </is>
      </c>
      <c r="F1037" t="n">
        <v/>
      </c>
      <c r="H1037" t="inlineStr"/>
      <c r="I1037" t="inlineStr">
        <is>
          <t>0</t>
        </is>
      </c>
      <c r="J1037" t="b">
        <v>0</v>
      </c>
      <c r="K1037" t="b">
        <v>0</v>
      </c>
      <c r="L1037" t="n">
        <v>11</v>
      </c>
      <c r="M1037" t="inlineStr">
        <is>
          <t>Values must be of type &lt;class 'str'&gt;</t>
        </is>
      </c>
      <c r="N1037" t="inlineStr">
        <is>
          <t>00000000</t>
        </is>
      </c>
      <c r="O1037" t="n">
        <v/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</row>
    <row r="1038">
      <c r="A1038" t="inlineStr">
        <is>
          <t>CashFlow Statement</t>
        </is>
      </c>
      <c r="B1038" t="inlineStr">
        <is>
          <t>F86</t>
        </is>
      </c>
      <c r="C1038" t="n">
        <v>86</v>
      </c>
      <c r="D1038" t="n">
        <v>6</v>
      </c>
      <c r="E1038" t="inlineStr">
        <is>
          <t>Input</t>
        </is>
      </c>
      <c r="F1038" t="n">
        <v/>
      </c>
      <c r="H1038" t="inlineStr"/>
      <c r="I1038" t="inlineStr">
        <is>
          <t>0</t>
        </is>
      </c>
      <c r="J1038" t="b">
        <v>0</v>
      </c>
      <c r="K1038" t="b">
        <v>0</v>
      </c>
      <c r="L1038" t="n">
        <v>11</v>
      </c>
      <c r="M1038" t="inlineStr">
        <is>
          <t>Values must be of type &lt;class 'str'&gt;</t>
        </is>
      </c>
      <c r="N1038" t="inlineStr">
        <is>
          <t>00000000</t>
        </is>
      </c>
      <c r="O1038" t="n">
        <v/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</row>
    <row r="1039">
      <c r="A1039" t="inlineStr">
        <is>
          <t>CashFlow Statement</t>
        </is>
      </c>
      <c r="B1039" t="inlineStr">
        <is>
          <t>G86</t>
        </is>
      </c>
      <c r="C1039" t="n">
        <v>86</v>
      </c>
      <c r="D1039" t="n">
        <v>7</v>
      </c>
      <c r="E1039" t="inlineStr">
        <is>
          <t>Input</t>
        </is>
      </c>
      <c r="F1039" t="n">
        <v/>
      </c>
      <c r="H1039" t="inlineStr"/>
      <c r="I1039" t="inlineStr">
        <is>
          <t>0</t>
        </is>
      </c>
      <c r="J1039" t="b">
        <v>0</v>
      </c>
      <c r="K1039" t="b">
        <v>0</v>
      </c>
      <c r="L1039" t="n">
        <v>11</v>
      </c>
      <c r="M1039" t="inlineStr">
        <is>
          <t>Values must be of type &lt;class 'str'&gt;</t>
        </is>
      </c>
      <c r="N1039" t="inlineStr">
        <is>
          <t>00000000</t>
        </is>
      </c>
      <c r="O1039" t="n">
        <v/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</row>
    <row r="1040">
      <c r="A1040" t="inlineStr">
        <is>
          <t>CashFlow Statement</t>
        </is>
      </c>
      <c r="B1040" t="inlineStr">
        <is>
          <t>H86</t>
        </is>
      </c>
      <c r="C1040" t="n">
        <v>86</v>
      </c>
      <c r="D1040" t="n">
        <v>8</v>
      </c>
      <c r="E1040" t="inlineStr">
        <is>
          <t>Input</t>
        </is>
      </c>
      <c r="F1040" t="n">
        <v/>
      </c>
      <c r="H1040" t="inlineStr"/>
      <c r="I1040" t="inlineStr">
        <is>
          <t>0</t>
        </is>
      </c>
      <c r="J1040" t="b">
        <v>0</v>
      </c>
      <c r="K1040" t="b">
        <v>0</v>
      </c>
      <c r="L1040" t="n">
        <v>11</v>
      </c>
      <c r="M1040" t="inlineStr">
        <is>
          <t>Values must be of type &lt;class 'str'&gt;</t>
        </is>
      </c>
      <c r="N1040" t="inlineStr">
        <is>
          <t>00000000</t>
        </is>
      </c>
      <c r="O1040" t="n">
        <v/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</row>
    <row r="1041">
      <c r="A1041" t="inlineStr">
        <is>
          <t>CashFlow Statement</t>
        </is>
      </c>
      <c r="B1041" t="inlineStr">
        <is>
          <t>I86</t>
        </is>
      </c>
      <c r="C1041" t="n">
        <v>86</v>
      </c>
      <c r="D1041" t="n">
        <v>9</v>
      </c>
      <c r="E1041" t="inlineStr">
        <is>
          <t>Input</t>
        </is>
      </c>
      <c r="F1041" t="n">
        <v/>
      </c>
      <c r="H1041" t="inlineStr"/>
      <c r="I1041" t="inlineStr">
        <is>
          <t>0</t>
        </is>
      </c>
      <c r="J1041" t="b">
        <v>0</v>
      </c>
      <c r="K1041" t="b">
        <v>0</v>
      </c>
      <c r="L1041" t="n">
        <v>11</v>
      </c>
      <c r="M1041" t="inlineStr">
        <is>
          <t>Values must be of type &lt;class 'str'&gt;</t>
        </is>
      </c>
      <c r="N1041" t="inlineStr">
        <is>
          <t>00000000</t>
        </is>
      </c>
      <c r="O1041" t="n">
        <v/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</row>
    <row r="1042">
      <c r="A1042" t="inlineStr">
        <is>
          <t>CashFlow Statement</t>
        </is>
      </c>
      <c r="B1042" t="inlineStr">
        <is>
          <t>J86</t>
        </is>
      </c>
      <c r="C1042" t="n">
        <v>86</v>
      </c>
      <c r="D1042" t="n">
        <v>10</v>
      </c>
      <c r="E1042" t="inlineStr">
        <is>
          <t>Input</t>
        </is>
      </c>
      <c r="F1042" t="n">
        <v/>
      </c>
      <c r="H1042" t="inlineStr"/>
      <c r="I1042" t="inlineStr">
        <is>
          <t>0</t>
        </is>
      </c>
      <c r="J1042" t="b">
        <v>0</v>
      </c>
      <c r="K1042" t="b">
        <v>0</v>
      </c>
      <c r="L1042" t="n">
        <v>11</v>
      </c>
      <c r="M1042" t="inlineStr">
        <is>
          <t>Values must be of type &lt;class 'str'&gt;</t>
        </is>
      </c>
      <c r="N1042" t="inlineStr">
        <is>
          <t>00000000</t>
        </is>
      </c>
      <c r="O1042" t="n">
        <v/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</row>
    <row r="1043">
      <c r="A1043" t="inlineStr">
        <is>
          <t>CashFlow Statement</t>
        </is>
      </c>
      <c r="B1043" t="inlineStr">
        <is>
          <t>K86</t>
        </is>
      </c>
      <c r="C1043" t="n">
        <v>86</v>
      </c>
      <c r="D1043" t="n">
        <v>11</v>
      </c>
      <c r="E1043" t="inlineStr">
        <is>
          <t>Input</t>
        </is>
      </c>
      <c r="F1043" t="n">
        <v/>
      </c>
      <c r="H1043" t="inlineStr"/>
      <c r="I1043" t="inlineStr">
        <is>
          <t>0</t>
        </is>
      </c>
      <c r="J1043" t="b">
        <v>0</v>
      </c>
      <c r="K1043" t="b">
        <v>0</v>
      </c>
      <c r="L1043" t="n">
        <v>11</v>
      </c>
      <c r="M1043" t="inlineStr">
        <is>
          <t>Values must be of type &lt;class 'str'&gt;</t>
        </is>
      </c>
      <c r="N1043" t="inlineStr">
        <is>
          <t>00000000</t>
        </is>
      </c>
      <c r="O1043" t="n">
        <v/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</row>
    <row r="1044">
      <c r="A1044" t="inlineStr">
        <is>
          <t>CashFlow Statement</t>
        </is>
      </c>
      <c r="B1044" t="inlineStr">
        <is>
          <t>L86</t>
        </is>
      </c>
      <c r="C1044" t="n">
        <v>86</v>
      </c>
      <c r="D1044" t="n">
        <v>12</v>
      </c>
      <c r="E1044" t="inlineStr">
        <is>
          <t>Input</t>
        </is>
      </c>
      <c r="F1044" t="n">
        <v/>
      </c>
      <c r="H1044" t="inlineStr"/>
      <c r="I1044" t="inlineStr">
        <is>
          <t>0</t>
        </is>
      </c>
      <c r="J1044" t="b">
        <v>0</v>
      </c>
      <c r="K1044" t="b">
        <v>0</v>
      </c>
      <c r="L1044" t="n">
        <v>11</v>
      </c>
      <c r="M1044" t="inlineStr">
        <is>
          <t>Values must be of type &lt;class 'str'&gt;</t>
        </is>
      </c>
      <c r="N1044" t="inlineStr">
        <is>
          <t>00000000</t>
        </is>
      </c>
      <c r="O1044" t="n">
        <v/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</row>
    <row r="1045">
      <c r="A1045" t="inlineStr">
        <is>
          <t>CashFlow Statement</t>
        </is>
      </c>
      <c r="B1045" t="inlineStr">
        <is>
          <t>M86</t>
        </is>
      </c>
      <c r="C1045" t="n">
        <v>86</v>
      </c>
      <c r="D1045" t="n">
        <v>13</v>
      </c>
      <c r="E1045" t="inlineStr">
        <is>
          <t>Input</t>
        </is>
      </c>
      <c r="F1045" t="n">
        <v/>
      </c>
      <c r="H1045" t="inlineStr"/>
      <c r="I1045" t="inlineStr">
        <is>
          <t>0</t>
        </is>
      </c>
      <c r="J1045" t="b">
        <v>0</v>
      </c>
      <c r="K1045" t="b">
        <v>0</v>
      </c>
      <c r="L1045" t="n">
        <v>11</v>
      </c>
      <c r="M1045" t="inlineStr">
        <is>
          <t>Values must be of type &lt;class 'str'&gt;</t>
        </is>
      </c>
      <c r="N1045" t="inlineStr">
        <is>
          <t>00000000</t>
        </is>
      </c>
      <c r="O1045" t="n">
        <v/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</row>
    <row r="1046">
      <c r="A1046" t="inlineStr">
        <is>
          <t>CashFlow Statement</t>
        </is>
      </c>
      <c r="B1046" t="inlineStr">
        <is>
          <t>N86</t>
        </is>
      </c>
      <c r="C1046" t="n">
        <v>86</v>
      </c>
      <c r="D1046" t="n">
        <v>14</v>
      </c>
      <c r="E1046" t="inlineStr">
        <is>
          <t>Input</t>
        </is>
      </c>
      <c r="F1046" t="n">
        <v/>
      </c>
      <c r="H1046" t="inlineStr"/>
      <c r="I1046" t="inlineStr">
        <is>
          <t>0</t>
        </is>
      </c>
      <c r="J1046" t="b">
        <v>0</v>
      </c>
      <c r="K1046" t="b">
        <v>0</v>
      </c>
      <c r="L1046" t="n">
        <v>11</v>
      </c>
      <c r="M1046" t="inlineStr">
        <is>
          <t>Values must be of type &lt;class 'str'&gt;</t>
        </is>
      </c>
      <c r="N1046" t="inlineStr">
        <is>
          <t>00000000</t>
        </is>
      </c>
      <c r="O1046" t="n">
        <v/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</row>
    <row r="1047">
      <c r="A1047" t="inlineStr">
        <is>
          <t>CashFlow Statement</t>
        </is>
      </c>
      <c r="B1047" t="inlineStr">
        <is>
          <t>O86</t>
        </is>
      </c>
      <c r="C1047" t="n">
        <v>86</v>
      </c>
      <c r="D1047" t="n">
        <v>15</v>
      </c>
      <c r="E1047" t="inlineStr">
        <is>
          <t>Input</t>
        </is>
      </c>
      <c r="F1047" t="n">
        <v/>
      </c>
      <c r="H1047" t="inlineStr"/>
      <c r="I1047" t="inlineStr">
        <is>
          <t>0</t>
        </is>
      </c>
      <c r="J1047" t="b">
        <v>0</v>
      </c>
      <c r="K1047" t="b">
        <v>0</v>
      </c>
      <c r="L1047" t="n">
        <v>11</v>
      </c>
      <c r="M1047" t="inlineStr">
        <is>
          <t>Values must be of type &lt;class 'str'&gt;</t>
        </is>
      </c>
      <c r="N1047" t="inlineStr">
        <is>
          <t>00000000</t>
        </is>
      </c>
      <c r="O1047" t="n">
        <v/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</row>
    <row r="1048">
      <c r="A1048" t="inlineStr">
        <is>
          <t>CashFlow Statement</t>
        </is>
      </c>
      <c r="B1048" t="inlineStr">
        <is>
          <t>D87</t>
        </is>
      </c>
      <c r="C1048" t="n">
        <v>87</v>
      </c>
      <c r="D1048" t="n">
        <v>4</v>
      </c>
      <c r="E1048" t="inlineStr">
        <is>
          <t>Input</t>
        </is>
      </c>
      <c r="F1048" t="n">
        <v/>
      </c>
      <c r="H1048" t="inlineStr"/>
      <c r="I1048" t="inlineStr">
        <is>
          <t>0</t>
        </is>
      </c>
      <c r="J1048" t="b">
        <v>0</v>
      </c>
      <c r="K1048" t="b">
        <v>0</v>
      </c>
      <c r="L1048" t="n">
        <v>11</v>
      </c>
      <c r="M1048" t="inlineStr">
        <is>
          <t>Values must be of type &lt;class 'str'&gt;</t>
        </is>
      </c>
      <c r="N1048" t="inlineStr">
        <is>
          <t>00000000</t>
        </is>
      </c>
      <c r="O1048" t="n">
        <v/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</row>
    <row r="1049">
      <c r="A1049" t="inlineStr">
        <is>
          <t>CashFlow Statement</t>
        </is>
      </c>
      <c r="B1049" t="inlineStr">
        <is>
          <t>E87</t>
        </is>
      </c>
      <c r="C1049" t="n">
        <v>87</v>
      </c>
      <c r="D1049" t="n">
        <v>5</v>
      </c>
      <c r="E1049" t="inlineStr">
        <is>
          <t>Input</t>
        </is>
      </c>
      <c r="F1049" t="n">
        <v/>
      </c>
      <c r="H1049" t="inlineStr"/>
      <c r="I1049" t="inlineStr">
        <is>
          <t>0</t>
        </is>
      </c>
      <c r="J1049" t="b">
        <v>0</v>
      </c>
      <c r="K1049" t="b">
        <v>0</v>
      </c>
      <c r="L1049" t="n">
        <v>11</v>
      </c>
      <c r="M1049" t="inlineStr">
        <is>
          <t>Values must be of type &lt;class 'str'&gt;</t>
        </is>
      </c>
      <c r="N1049" t="inlineStr">
        <is>
          <t>00000000</t>
        </is>
      </c>
      <c r="O1049" t="n">
        <v/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</row>
    <row r="1050">
      <c r="A1050" t="inlineStr">
        <is>
          <t>CashFlow Statement</t>
        </is>
      </c>
      <c r="B1050" t="inlineStr">
        <is>
          <t>F87</t>
        </is>
      </c>
      <c r="C1050" t="n">
        <v>87</v>
      </c>
      <c r="D1050" t="n">
        <v>6</v>
      </c>
      <c r="E1050" t="inlineStr">
        <is>
          <t>Input</t>
        </is>
      </c>
      <c r="F1050" t="n">
        <v/>
      </c>
      <c r="H1050" t="inlineStr"/>
      <c r="I1050" t="inlineStr">
        <is>
          <t>0</t>
        </is>
      </c>
      <c r="J1050" t="b">
        <v>0</v>
      </c>
      <c r="K1050" t="b">
        <v>0</v>
      </c>
      <c r="L1050" t="n">
        <v>11</v>
      </c>
      <c r="M1050" t="inlineStr">
        <is>
          <t>Values must be of type &lt;class 'str'&gt;</t>
        </is>
      </c>
      <c r="N1050" t="inlineStr">
        <is>
          <t>00000000</t>
        </is>
      </c>
      <c r="O1050" t="n">
        <v/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</row>
    <row r="1051">
      <c r="A1051" t="inlineStr">
        <is>
          <t>CashFlow Statement</t>
        </is>
      </c>
      <c r="B1051" t="inlineStr">
        <is>
          <t>G87</t>
        </is>
      </c>
      <c r="C1051" t="n">
        <v>87</v>
      </c>
      <c r="D1051" t="n">
        <v>7</v>
      </c>
      <c r="E1051" t="inlineStr">
        <is>
          <t>Input</t>
        </is>
      </c>
      <c r="F1051" t="n">
        <v/>
      </c>
      <c r="H1051" t="inlineStr"/>
      <c r="I1051" t="inlineStr">
        <is>
          <t>0</t>
        </is>
      </c>
      <c r="J1051" t="b">
        <v>0</v>
      </c>
      <c r="K1051" t="b">
        <v>0</v>
      </c>
      <c r="L1051" t="n">
        <v>11</v>
      </c>
      <c r="M1051" t="inlineStr">
        <is>
          <t>Values must be of type &lt;class 'str'&gt;</t>
        </is>
      </c>
      <c r="N1051" t="inlineStr">
        <is>
          <t>00000000</t>
        </is>
      </c>
      <c r="O1051" t="n">
        <v/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</row>
    <row r="1052">
      <c r="A1052" t="inlineStr">
        <is>
          <t>CashFlow Statement</t>
        </is>
      </c>
      <c r="B1052" t="inlineStr">
        <is>
          <t>H87</t>
        </is>
      </c>
      <c r="C1052" t="n">
        <v>87</v>
      </c>
      <c r="D1052" t="n">
        <v>8</v>
      </c>
      <c r="E1052" t="inlineStr">
        <is>
          <t>Input</t>
        </is>
      </c>
      <c r="F1052" t="n">
        <v/>
      </c>
      <c r="H1052" t="inlineStr"/>
      <c r="I1052" t="inlineStr">
        <is>
          <t>0</t>
        </is>
      </c>
      <c r="J1052" t="b">
        <v>0</v>
      </c>
      <c r="K1052" t="b">
        <v>0</v>
      </c>
      <c r="L1052" t="n">
        <v>11</v>
      </c>
      <c r="M1052" t="inlineStr">
        <is>
          <t>Values must be of type &lt;class 'str'&gt;</t>
        </is>
      </c>
      <c r="N1052" t="inlineStr">
        <is>
          <t>00000000</t>
        </is>
      </c>
      <c r="O1052" t="n">
        <v/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</row>
    <row r="1053">
      <c r="A1053" t="inlineStr">
        <is>
          <t>CashFlow Statement</t>
        </is>
      </c>
      <c r="B1053" t="inlineStr">
        <is>
          <t>I87</t>
        </is>
      </c>
      <c r="C1053" t="n">
        <v>87</v>
      </c>
      <c r="D1053" t="n">
        <v>9</v>
      </c>
      <c r="E1053" t="inlineStr">
        <is>
          <t>Input</t>
        </is>
      </c>
      <c r="F1053" t="n">
        <v/>
      </c>
      <c r="H1053" t="inlineStr"/>
      <c r="I1053" t="inlineStr">
        <is>
          <t>0</t>
        </is>
      </c>
      <c r="J1053" t="b">
        <v>0</v>
      </c>
      <c r="K1053" t="b">
        <v>0</v>
      </c>
      <c r="L1053" t="n">
        <v>11</v>
      </c>
      <c r="M1053" t="inlineStr">
        <is>
          <t>Values must be of type &lt;class 'str'&gt;</t>
        </is>
      </c>
      <c r="N1053" t="inlineStr">
        <is>
          <t>00000000</t>
        </is>
      </c>
      <c r="O1053" t="n">
        <v/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</row>
    <row r="1054">
      <c r="A1054" t="inlineStr">
        <is>
          <t>CashFlow Statement</t>
        </is>
      </c>
      <c r="B1054" t="inlineStr">
        <is>
          <t>J87</t>
        </is>
      </c>
      <c r="C1054" t="n">
        <v>87</v>
      </c>
      <c r="D1054" t="n">
        <v>10</v>
      </c>
      <c r="E1054" t="inlineStr">
        <is>
          <t>Input</t>
        </is>
      </c>
      <c r="F1054" t="n">
        <v/>
      </c>
      <c r="H1054" t="inlineStr"/>
      <c r="I1054" t="inlineStr">
        <is>
          <t>0</t>
        </is>
      </c>
      <c r="J1054" t="b">
        <v>0</v>
      </c>
      <c r="K1054" t="b">
        <v>0</v>
      </c>
      <c r="L1054" t="n">
        <v>11</v>
      </c>
      <c r="M1054" t="inlineStr">
        <is>
          <t>Values must be of type &lt;class 'str'&gt;</t>
        </is>
      </c>
      <c r="N1054" t="inlineStr">
        <is>
          <t>00000000</t>
        </is>
      </c>
      <c r="O1054" t="n">
        <v/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</row>
    <row r="1055">
      <c r="A1055" t="inlineStr">
        <is>
          <t>CashFlow Statement</t>
        </is>
      </c>
      <c r="B1055" t="inlineStr">
        <is>
          <t>K87</t>
        </is>
      </c>
      <c r="C1055" t="n">
        <v>87</v>
      </c>
      <c r="D1055" t="n">
        <v>11</v>
      </c>
      <c r="E1055" t="inlineStr">
        <is>
          <t>Input</t>
        </is>
      </c>
      <c r="F1055" t="n">
        <v/>
      </c>
      <c r="H1055" t="inlineStr"/>
      <c r="I1055" t="inlineStr">
        <is>
          <t>0</t>
        </is>
      </c>
      <c r="J1055" t="b">
        <v>0</v>
      </c>
      <c r="K1055" t="b">
        <v>0</v>
      </c>
      <c r="L1055" t="n">
        <v>11</v>
      </c>
      <c r="M1055" t="inlineStr">
        <is>
          <t>Values must be of type &lt;class 'str'&gt;</t>
        </is>
      </c>
      <c r="N1055" t="inlineStr">
        <is>
          <t>00000000</t>
        </is>
      </c>
      <c r="O1055" t="n">
        <v/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</row>
    <row r="1056">
      <c r="A1056" t="inlineStr">
        <is>
          <t>CashFlow Statement</t>
        </is>
      </c>
      <c r="B1056" t="inlineStr">
        <is>
          <t>L87</t>
        </is>
      </c>
      <c r="C1056" t="n">
        <v>87</v>
      </c>
      <c r="D1056" t="n">
        <v>12</v>
      </c>
      <c r="E1056" t="inlineStr">
        <is>
          <t>Input</t>
        </is>
      </c>
      <c r="F1056" t="n">
        <v/>
      </c>
      <c r="H1056" t="inlineStr"/>
      <c r="I1056" t="inlineStr">
        <is>
          <t>0</t>
        </is>
      </c>
      <c r="J1056" t="b">
        <v>0</v>
      </c>
      <c r="K1056" t="b">
        <v>0</v>
      </c>
      <c r="L1056" t="n">
        <v>11</v>
      </c>
      <c r="M1056" t="inlineStr">
        <is>
          <t>Values must be of type &lt;class 'str'&gt;</t>
        </is>
      </c>
      <c r="N1056" t="inlineStr">
        <is>
          <t>00000000</t>
        </is>
      </c>
      <c r="O1056" t="n">
        <v/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</row>
    <row r="1057">
      <c r="A1057" t="inlineStr">
        <is>
          <t>CashFlow Statement</t>
        </is>
      </c>
      <c r="B1057" t="inlineStr">
        <is>
          <t>M87</t>
        </is>
      </c>
      <c r="C1057" t="n">
        <v>87</v>
      </c>
      <c r="D1057" t="n">
        <v>13</v>
      </c>
      <c r="E1057" t="inlineStr">
        <is>
          <t>Input</t>
        </is>
      </c>
      <c r="F1057" t="n">
        <v/>
      </c>
      <c r="H1057" t="inlineStr"/>
      <c r="I1057" t="inlineStr">
        <is>
          <t>0</t>
        </is>
      </c>
      <c r="J1057" t="b">
        <v>0</v>
      </c>
      <c r="K1057" t="b">
        <v>0</v>
      </c>
      <c r="L1057" t="n">
        <v>11</v>
      </c>
      <c r="M1057" t="inlineStr">
        <is>
          <t>Values must be of type &lt;class 'str'&gt;</t>
        </is>
      </c>
      <c r="N1057" t="inlineStr">
        <is>
          <t>00000000</t>
        </is>
      </c>
      <c r="O1057" t="n">
        <v/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</row>
    <row r="1058">
      <c r="A1058" t="inlineStr">
        <is>
          <t>CashFlow Statement</t>
        </is>
      </c>
      <c r="B1058" t="inlineStr">
        <is>
          <t>N87</t>
        </is>
      </c>
      <c r="C1058" t="n">
        <v>87</v>
      </c>
      <c r="D1058" t="n">
        <v>14</v>
      </c>
      <c r="E1058" t="inlineStr">
        <is>
          <t>Input</t>
        </is>
      </c>
      <c r="F1058" t="n">
        <v/>
      </c>
      <c r="H1058" t="inlineStr"/>
      <c r="I1058" t="inlineStr">
        <is>
          <t>0</t>
        </is>
      </c>
      <c r="J1058" t="b">
        <v>0</v>
      </c>
      <c r="K1058" t="b">
        <v>0</v>
      </c>
      <c r="L1058" t="n">
        <v>11</v>
      </c>
      <c r="M1058" t="inlineStr">
        <is>
          <t>Values must be of type &lt;class 'str'&gt;</t>
        </is>
      </c>
      <c r="N1058" t="inlineStr">
        <is>
          <t>00000000</t>
        </is>
      </c>
      <c r="O1058" t="n">
        <v/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</row>
    <row r="1059">
      <c r="A1059" t="inlineStr">
        <is>
          <t>CashFlow Statement</t>
        </is>
      </c>
      <c r="B1059" t="inlineStr">
        <is>
          <t>O87</t>
        </is>
      </c>
      <c r="C1059" t="n">
        <v>87</v>
      </c>
      <c r="D1059" t="n">
        <v>15</v>
      </c>
      <c r="E1059" t="inlineStr">
        <is>
          <t>Input</t>
        </is>
      </c>
      <c r="F1059" t="n">
        <v/>
      </c>
      <c r="H1059" t="inlineStr"/>
      <c r="I1059" t="inlineStr">
        <is>
          <t>0</t>
        </is>
      </c>
      <c r="J1059" t="b">
        <v>0</v>
      </c>
      <c r="K1059" t="b">
        <v>0</v>
      </c>
      <c r="L1059" t="n">
        <v>11</v>
      </c>
      <c r="M1059" t="inlineStr">
        <is>
          <t>Values must be of type &lt;class 'str'&gt;</t>
        </is>
      </c>
      <c r="N1059" t="inlineStr">
        <is>
          <t>00000000</t>
        </is>
      </c>
      <c r="O1059" t="n">
        <v/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</row>
    <row r="1060">
      <c r="A1060" t="inlineStr">
        <is>
          <t>CashFlow Statement</t>
        </is>
      </c>
      <c r="B1060" t="inlineStr">
        <is>
          <t>D88</t>
        </is>
      </c>
      <c r="C1060" t="n">
        <v>88</v>
      </c>
      <c r="D1060" t="n">
        <v>4</v>
      </c>
      <c r="E1060" t="inlineStr">
        <is>
          <t>Input</t>
        </is>
      </c>
      <c r="F1060" t="n">
        <v/>
      </c>
      <c r="H1060" t="inlineStr"/>
      <c r="I1060" t="inlineStr">
        <is>
          <t>0</t>
        </is>
      </c>
      <c r="J1060" t="b">
        <v>0</v>
      </c>
      <c r="K1060" t="b">
        <v>0</v>
      </c>
      <c r="L1060" t="n">
        <v>11</v>
      </c>
      <c r="M1060" t="inlineStr">
        <is>
          <t>Values must be of type &lt;class 'str'&gt;</t>
        </is>
      </c>
      <c r="N1060" t="inlineStr">
        <is>
          <t>00000000</t>
        </is>
      </c>
      <c r="O1060" t="n">
        <v/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</row>
    <row r="1061">
      <c r="A1061" t="inlineStr">
        <is>
          <t>CashFlow Statement</t>
        </is>
      </c>
      <c r="B1061" t="inlineStr">
        <is>
          <t>E88</t>
        </is>
      </c>
      <c r="C1061" t="n">
        <v>88</v>
      </c>
      <c r="D1061" t="n">
        <v>5</v>
      </c>
      <c r="E1061" t="inlineStr">
        <is>
          <t>Input</t>
        </is>
      </c>
      <c r="F1061" t="n">
        <v/>
      </c>
      <c r="H1061" t="inlineStr"/>
      <c r="I1061" t="inlineStr">
        <is>
          <t>0</t>
        </is>
      </c>
      <c r="J1061" t="b">
        <v>0</v>
      </c>
      <c r="K1061" t="b">
        <v>0</v>
      </c>
      <c r="L1061" t="n">
        <v>11</v>
      </c>
      <c r="M1061" t="inlineStr">
        <is>
          <t>Values must be of type &lt;class 'str'&gt;</t>
        </is>
      </c>
      <c r="N1061" t="inlineStr">
        <is>
          <t>00000000</t>
        </is>
      </c>
      <c r="O1061" t="n">
        <v/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</row>
    <row r="1062">
      <c r="A1062" t="inlineStr">
        <is>
          <t>CashFlow Statement</t>
        </is>
      </c>
      <c r="B1062" t="inlineStr">
        <is>
          <t>F88</t>
        </is>
      </c>
      <c r="C1062" t="n">
        <v>88</v>
      </c>
      <c r="D1062" t="n">
        <v>6</v>
      </c>
      <c r="E1062" t="inlineStr">
        <is>
          <t>Input</t>
        </is>
      </c>
      <c r="F1062" t="n">
        <v/>
      </c>
      <c r="H1062" t="inlineStr"/>
      <c r="I1062" t="inlineStr">
        <is>
          <t>0</t>
        </is>
      </c>
      <c r="J1062" t="b">
        <v>0</v>
      </c>
      <c r="K1062" t="b">
        <v>0</v>
      </c>
      <c r="L1062" t="n">
        <v>11</v>
      </c>
      <c r="M1062" t="inlineStr">
        <is>
          <t>Values must be of type &lt;class 'str'&gt;</t>
        </is>
      </c>
      <c r="N1062" t="inlineStr">
        <is>
          <t>00000000</t>
        </is>
      </c>
      <c r="O1062" t="n">
        <v/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</row>
    <row r="1063">
      <c r="A1063" t="inlineStr">
        <is>
          <t>CashFlow Statement</t>
        </is>
      </c>
      <c r="B1063" t="inlineStr">
        <is>
          <t>G88</t>
        </is>
      </c>
      <c r="C1063" t="n">
        <v>88</v>
      </c>
      <c r="D1063" t="n">
        <v>7</v>
      </c>
      <c r="E1063" t="inlineStr">
        <is>
          <t>Input</t>
        </is>
      </c>
      <c r="F1063" t="n">
        <v/>
      </c>
      <c r="H1063" t="inlineStr"/>
      <c r="I1063" t="inlineStr">
        <is>
          <t>0</t>
        </is>
      </c>
      <c r="J1063" t="b">
        <v>0</v>
      </c>
      <c r="K1063" t="b">
        <v>0</v>
      </c>
      <c r="L1063" t="n">
        <v>11</v>
      </c>
      <c r="M1063" t="inlineStr">
        <is>
          <t>Values must be of type &lt;class 'str'&gt;</t>
        </is>
      </c>
      <c r="N1063" t="inlineStr">
        <is>
          <t>00000000</t>
        </is>
      </c>
      <c r="O1063" t="n">
        <v/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</row>
    <row r="1064">
      <c r="A1064" t="inlineStr">
        <is>
          <t>CashFlow Statement</t>
        </is>
      </c>
      <c r="B1064" t="inlineStr">
        <is>
          <t>H88</t>
        </is>
      </c>
      <c r="C1064" t="n">
        <v>88</v>
      </c>
      <c r="D1064" t="n">
        <v>8</v>
      </c>
      <c r="E1064" t="inlineStr">
        <is>
          <t>Input</t>
        </is>
      </c>
      <c r="F1064" t="n">
        <v/>
      </c>
      <c r="H1064" t="inlineStr"/>
      <c r="I1064" t="inlineStr">
        <is>
          <t>0</t>
        </is>
      </c>
      <c r="J1064" t="b">
        <v>0</v>
      </c>
      <c r="K1064" t="b">
        <v>0</v>
      </c>
      <c r="L1064" t="n">
        <v>11</v>
      </c>
      <c r="M1064" t="inlineStr">
        <is>
          <t>Values must be of type &lt;class 'str'&gt;</t>
        </is>
      </c>
      <c r="N1064" t="inlineStr">
        <is>
          <t>00000000</t>
        </is>
      </c>
      <c r="O1064" t="n">
        <v/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</row>
    <row r="1065">
      <c r="A1065" t="inlineStr">
        <is>
          <t>CashFlow Statement</t>
        </is>
      </c>
      <c r="B1065" t="inlineStr">
        <is>
          <t>I88</t>
        </is>
      </c>
      <c r="C1065" t="n">
        <v>88</v>
      </c>
      <c r="D1065" t="n">
        <v>9</v>
      </c>
      <c r="E1065" t="inlineStr">
        <is>
          <t>Input</t>
        </is>
      </c>
      <c r="F1065" t="n">
        <v/>
      </c>
      <c r="H1065" t="inlineStr"/>
      <c r="I1065" t="inlineStr">
        <is>
          <t>0</t>
        </is>
      </c>
      <c r="J1065" t="b">
        <v>0</v>
      </c>
      <c r="K1065" t="b">
        <v>0</v>
      </c>
      <c r="L1065" t="n">
        <v>11</v>
      </c>
      <c r="M1065" t="inlineStr">
        <is>
          <t>Values must be of type &lt;class 'str'&gt;</t>
        </is>
      </c>
      <c r="N1065" t="inlineStr">
        <is>
          <t>00000000</t>
        </is>
      </c>
      <c r="O1065" t="n">
        <v/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</row>
    <row r="1066">
      <c r="A1066" t="inlineStr">
        <is>
          <t>CashFlow Statement</t>
        </is>
      </c>
      <c r="B1066" t="inlineStr">
        <is>
          <t>J88</t>
        </is>
      </c>
      <c r="C1066" t="n">
        <v>88</v>
      </c>
      <c r="D1066" t="n">
        <v>10</v>
      </c>
      <c r="E1066" t="inlineStr">
        <is>
          <t>Input</t>
        </is>
      </c>
      <c r="F1066" t="n">
        <v/>
      </c>
      <c r="H1066" t="inlineStr"/>
      <c r="I1066" t="inlineStr">
        <is>
          <t>0</t>
        </is>
      </c>
      <c r="J1066" t="b">
        <v>0</v>
      </c>
      <c r="K1066" t="b">
        <v>0</v>
      </c>
      <c r="L1066" t="n">
        <v>11</v>
      </c>
      <c r="M1066" t="inlineStr">
        <is>
          <t>Values must be of type &lt;class 'str'&gt;</t>
        </is>
      </c>
      <c r="N1066" t="inlineStr">
        <is>
          <t>00000000</t>
        </is>
      </c>
      <c r="O1066" t="n">
        <v/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</row>
    <row r="1067">
      <c r="A1067" t="inlineStr">
        <is>
          <t>CashFlow Statement</t>
        </is>
      </c>
      <c r="B1067" t="inlineStr">
        <is>
          <t>K88</t>
        </is>
      </c>
      <c r="C1067" t="n">
        <v>88</v>
      </c>
      <c r="D1067" t="n">
        <v>11</v>
      </c>
      <c r="E1067" t="inlineStr">
        <is>
          <t>Input</t>
        </is>
      </c>
      <c r="F1067" t="n">
        <v/>
      </c>
      <c r="H1067" t="inlineStr"/>
      <c r="I1067" t="inlineStr">
        <is>
          <t>0</t>
        </is>
      </c>
      <c r="J1067" t="b">
        <v>0</v>
      </c>
      <c r="K1067" t="b">
        <v>0</v>
      </c>
      <c r="L1067" t="n">
        <v>11</v>
      </c>
      <c r="M1067" t="inlineStr">
        <is>
          <t>Values must be of type &lt;class 'str'&gt;</t>
        </is>
      </c>
      <c r="N1067" t="inlineStr">
        <is>
          <t>00000000</t>
        </is>
      </c>
      <c r="O1067" t="n">
        <v/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</row>
    <row r="1068">
      <c r="A1068" t="inlineStr">
        <is>
          <t>CashFlow Statement</t>
        </is>
      </c>
      <c r="B1068" t="inlineStr">
        <is>
          <t>L88</t>
        </is>
      </c>
      <c r="C1068" t="n">
        <v>88</v>
      </c>
      <c r="D1068" t="n">
        <v>12</v>
      </c>
      <c r="E1068" t="inlineStr">
        <is>
          <t>Input</t>
        </is>
      </c>
      <c r="F1068" t="n">
        <v/>
      </c>
      <c r="H1068" t="inlineStr"/>
      <c r="I1068" t="inlineStr">
        <is>
          <t>0</t>
        </is>
      </c>
      <c r="J1068" t="b">
        <v>0</v>
      </c>
      <c r="K1068" t="b">
        <v>0</v>
      </c>
      <c r="L1068" t="n">
        <v>11</v>
      </c>
      <c r="M1068" t="inlineStr">
        <is>
          <t>Values must be of type &lt;class 'str'&gt;</t>
        </is>
      </c>
      <c r="N1068" t="inlineStr">
        <is>
          <t>00000000</t>
        </is>
      </c>
      <c r="O1068" t="n">
        <v/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</row>
    <row r="1069">
      <c r="A1069" t="inlineStr">
        <is>
          <t>CashFlow Statement</t>
        </is>
      </c>
      <c r="B1069" t="inlineStr">
        <is>
          <t>M88</t>
        </is>
      </c>
      <c r="C1069" t="n">
        <v>88</v>
      </c>
      <c r="D1069" t="n">
        <v>13</v>
      </c>
      <c r="E1069" t="inlineStr">
        <is>
          <t>Input</t>
        </is>
      </c>
      <c r="F1069" t="n">
        <v/>
      </c>
      <c r="H1069" t="inlineStr"/>
      <c r="I1069" t="inlineStr">
        <is>
          <t>0</t>
        </is>
      </c>
      <c r="J1069" t="b">
        <v>0</v>
      </c>
      <c r="K1069" t="b">
        <v>0</v>
      </c>
      <c r="L1069" t="n">
        <v>11</v>
      </c>
      <c r="M1069" t="inlineStr">
        <is>
          <t>Values must be of type &lt;class 'str'&gt;</t>
        </is>
      </c>
      <c r="N1069" t="inlineStr">
        <is>
          <t>00000000</t>
        </is>
      </c>
      <c r="O1069" t="n">
        <v/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</row>
    <row r="1070">
      <c r="A1070" t="inlineStr">
        <is>
          <t>CashFlow Statement</t>
        </is>
      </c>
      <c r="B1070" t="inlineStr">
        <is>
          <t>N88</t>
        </is>
      </c>
      <c r="C1070" t="n">
        <v>88</v>
      </c>
      <c r="D1070" t="n">
        <v>14</v>
      </c>
      <c r="E1070" t="inlineStr">
        <is>
          <t>Input</t>
        </is>
      </c>
      <c r="F1070" t="n">
        <v/>
      </c>
      <c r="H1070" t="inlineStr"/>
      <c r="I1070" t="inlineStr">
        <is>
          <t>0</t>
        </is>
      </c>
      <c r="J1070" t="b">
        <v>0</v>
      </c>
      <c r="K1070" t="b">
        <v>0</v>
      </c>
      <c r="L1070" t="n">
        <v>11</v>
      </c>
      <c r="M1070" t="inlineStr">
        <is>
          <t>Values must be of type &lt;class 'str'&gt;</t>
        </is>
      </c>
      <c r="N1070" t="inlineStr">
        <is>
          <t>00000000</t>
        </is>
      </c>
      <c r="O1070" t="n">
        <v/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</row>
    <row r="1071">
      <c r="A1071" t="inlineStr">
        <is>
          <t>CashFlow Statement</t>
        </is>
      </c>
      <c r="B1071" t="inlineStr">
        <is>
          <t>O88</t>
        </is>
      </c>
      <c r="C1071" t="n">
        <v>88</v>
      </c>
      <c r="D1071" t="n">
        <v>15</v>
      </c>
      <c r="E1071" t="inlineStr">
        <is>
          <t>Input</t>
        </is>
      </c>
      <c r="F1071" t="n">
        <v/>
      </c>
      <c r="H1071" t="inlineStr"/>
      <c r="I1071" t="inlineStr">
        <is>
          <t>0</t>
        </is>
      </c>
      <c r="J1071" t="b">
        <v>0</v>
      </c>
      <c r="K1071" t="b">
        <v>0</v>
      </c>
      <c r="L1071" t="n">
        <v>11</v>
      </c>
      <c r="M1071" t="inlineStr">
        <is>
          <t>Values must be of type &lt;class 'str'&gt;</t>
        </is>
      </c>
      <c r="N1071" t="inlineStr">
        <is>
          <t>00000000</t>
        </is>
      </c>
      <c r="O1071" t="n">
        <v/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</row>
    <row r="1072">
      <c r="A1072" t="inlineStr">
        <is>
          <t>CashFlow Statement</t>
        </is>
      </c>
      <c r="B1072" t="inlineStr">
        <is>
          <t>D89</t>
        </is>
      </c>
      <c r="C1072" t="n">
        <v>89</v>
      </c>
      <c r="D1072" t="n">
        <v>4</v>
      </c>
      <c r="E1072" t="inlineStr">
        <is>
          <t>Input</t>
        </is>
      </c>
      <c r="F1072" t="n">
        <v/>
      </c>
      <c r="H1072" t="inlineStr"/>
      <c r="I1072" t="inlineStr">
        <is>
          <t>0</t>
        </is>
      </c>
      <c r="J1072" t="b">
        <v>0</v>
      </c>
      <c r="K1072" t="b">
        <v>0</v>
      </c>
      <c r="L1072" t="n">
        <v>11</v>
      </c>
      <c r="M1072" t="inlineStr">
        <is>
          <t>Values must be of type &lt;class 'str'&gt;</t>
        </is>
      </c>
      <c r="N1072" t="inlineStr">
        <is>
          <t>00000000</t>
        </is>
      </c>
      <c r="O1072" t="n">
        <v/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</row>
    <row r="1073">
      <c r="A1073" t="inlineStr">
        <is>
          <t>CashFlow Statement</t>
        </is>
      </c>
      <c r="B1073" t="inlineStr">
        <is>
          <t>E89</t>
        </is>
      </c>
      <c r="C1073" t="n">
        <v>89</v>
      </c>
      <c r="D1073" t="n">
        <v>5</v>
      </c>
      <c r="E1073" t="inlineStr">
        <is>
          <t>Input</t>
        </is>
      </c>
      <c r="F1073" t="n">
        <v/>
      </c>
      <c r="H1073" t="inlineStr"/>
      <c r="I1073" t="inlineStr">
        <is>
          <t>0</t>
        </is>
      </c>
      <c r="J1073" t="b">
        <v>0</v>
      </c>
      <c r="K1073" t="b">
        <v>0</v>
      </c>
      <c r="L1073" t="n">
        <v>11</v>
      </c>
      <c r="M1073" t="inlineStr">
        <is>
          <t>Values must be of type &lt;class 'str'&gt;</t>
        </is>
      </c>
      <c r="N1073" t="inlineStr">
        <is>
          <t>00000000</t>
        </is>
      </c>
      <c r="O1073" t="n">
        <v/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</row>
    <row r="1074">
      <c r="A1074" t="inlineStr">
        <is>
          <t>CashFlow Statement</t>
        </is>
      </c>
      <c r="B1074" t="inlineStr">
        <is>
          <t>F89</t>
        </is>
      </c>
      <c r="C1074" t="n">
        <v>89</v>
      </c>
      <c r="D1074" t="n">
        <v>6</v>
      </c>
      <c r="E1074" t="inlineStr">
        <is>
          <t>Input</t>
        </is>
      </c>
      <c r="F1074" t="n">
        <v/>
      </c>
      <c r="H1074" t="inlineStr"/>
      <c r="I1074" t="inlineStr">
        <is>
          <t>0</t>
        </is>
      </c>
      <c r="J1074" t="b">
        <v>0</v>
      </c>
      <c r="K1074" t="b">
        <v>0</v>
      </c>
      <c r="L1074" t="n">
        <v>11</v>
      </c>
      <c r="M1074" t="inlineStr">
        <is>
          <t>Values must be of type &lt;class 'str'&gt;</t>
        </is>
      </c>
      <c r="N1074" t="inlineStr">
        <is>
          <t>00000000</t>
        </is>
      </c>
      <c r="O1074" t="n">
        <v/>
      </c>
      <c r="R1074" t="b">
        <v>0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</row>
    <row r="1075">
      <c r="A1075" t="inlineStr">
        <is>
          <t>CashFlow Statement</t>
        </is>
      </c>
      <c r="B1075" t="inlineStr">
        <is>
          <t>G89</t>
        </is>
      </c>
      <c r="C1075" t="n">
        <v>89</v>
      </c>
      <c r="D1075" t="n">
        <v>7</v>
      </c>
      <c r="E1075" t="inlineStr">
        <is>
          <t>Input</t>
        </is>
      </c>
      <c r="F1075" t="n">
        <v/>
      </c>
      <c r="H1075" t="inlineStr"/>
      <c r="I1075" t="inlineStr">
        <is>
          <t>0</t>
        </is>
      </c>
      <c r="J1075" t="b">
        <v>0</v>
      </c>
      <c r="K1075" t="b">
        <v>0</v>
      </c>
      <c r="L1075" t="n">
        <v>11</v>
      </c>
      <c r="M1075" t="inlineStr">
        <is>
          <t>Values must be of type &lt;class 'str'&gt;</t>
        </is>
      </c>
      <c r="N1075" t="inlineStr">
        <is>
          <t>00000000</t>
        </is>
      </c>
      <c r="O1075" t="n">
        <v/>
      </c>
      <c r="R1075" t="b">
        <v>0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</row>
    <row r="1076">
      <c r="A1076" t="inlineStr">
        <is>
          <t>CashFlow Statement</t>
        </is>
      </c>
      <c r="B1076" t="inlineStr">
        <is>
          <t>H89</t>
        </is>
      </c>
      <c r="C1076" t="n">
        <v>89</v>
      </c>
      <c r="D1076" t="n">
        <v>8</v>
      </c>
      <c r="E1076" t="inlineStr">
        <is>
          <t>Input</t>
        </is>
      </c>
      <c r="F1076" t="n">
        <v/>
      </c>
      <c r="H1076" t="inlineStr"/>
      <c r="I1076" t="inlineStr">
        <is>
          <t>0</t>
        </is>
      </c>
      <c r="J1076" t="b">
        <v>0</v>
      </c>
      <c r="K1076" t="b">
        <v>0</v>
      </c>
      <c r="L1076" t="n">
        <v>11</v>
      </c>
      <c r="M1076" t="inlineStr">
        <is>
          <t>Values must be of type &lt;class 'str'&gt;</t>
        </is>
      </c>
      <c r="N1076" t="inlineStr">
        <is>
          <t>00000000</t>
        </is>
      </c>
      <c r="O1076" t="n">
        <v/>
      </c>
      <c r="R1076" t="b">
        <v>0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</row>
    <row r="1077">
      <c r="A1077" t="inlineStr">
        <is>
          <t>CashFlow Statement</t>
        </is>
      </c>
      <c r="B1077" t="inlineStr">
        <is>
          <t>I89</t>
        </is>
      </c>
      <c r="C1077" t="n">
        <v>89</v>
      </c>
      <c r="D1077" t="n">
        <v>9</v>
      </c>
      <c r="E1077" t="inlineStr">
        <is>
          <t>Input</t>
        </is>
      </c>
      <c r="F1077" t="n">
        <v/>
      </c>
      <c r="H1077" t="inlineStr"/>
      <c r="I1077" t="inlineStr">
        <is>
          <t>0</t>
        </is>
      </c>
      <c r="J1077" t="b">
        <v>0</v>
      </c>
      <c r="K1077" t="b">
        <v>0</v>
      </c>
      <c r="L1077" t="n">
        <v>11</v>
      </c>
      <c r="M1077" t="inlineStr">
        <is>
          <t>Values must be of type &lt;class 'str'&gt;</t>
        </is>
      </c>
      <c r="N1077" t="inlineStr">
        <is>
          <t>00000000</t>
        </is>
      </c>
      <c r="O1077" t="n">
        <v/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</row>
    <row r="1078">
      <c r="A1078" t="inlineStr">
        <is>
          <t>CashFlow Statement</t>
        </is>
      </c>
      <c r="B1078" t="inlineStr">
        <is>
          <t>J89</t>
        </is>
      </c>
      <c r="C1078" t="n">
        <v>89</v>
      </c>
      <c r="D1078" t="n">
        <v>10</v>
      </c>
      <c r="E1078" t="inlineStr">
        <is>
          <t>Input</t>
        </is>
      </c>
      <c r="F1078" t="n">
        <v/>
      </c>
      <c r="H1078" t="inlineStr"/>
      <c r="I1078" t="inlineStr">
        <is>
          <t>0</t>
        </is>
      </c>
      <c r="J1078" t="b">
        <v>0</v>
      </c>
      <c r="K1078" t="b">
        <v>0</v>
      </c>
      <c r="L1078" t="n">
        <v>11</v>
      </c>
      <c r="M1078" t="inlineStr">
        <is>
          <t>Values must be of type &lt;class 'str'&gt;</t>
        </is>
      </c>
      <c r="N1078" t="inlineStr">
        <is>
          <t>00000000</t>
        </is>
      </c>
      <c r="O1078" t="n">
        <v/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</row>
    <row r="1079">
      <c r="A1079" t="inlineStr">
        <is>
          <t>CashFlow Statement</t>
        </is>
      </c>
      <c r="B1079" t="inlineStr">
        <is>
          <t>K89</t>
        </is>
      </c>
      <c r="C1079" t="n">
        <v>89</v>
      </c>
      <c r="D1079" t="n">
        <v>11</v>
      </c>
      <c r="E1079" t="inlineStr">
        <is>
          <t>Input</t>
        </is>
      </c>
      <c r="F1079" t="n">
        <v/>
      </c>
      <c r="H1079" t="inlineStr"/>
      <c r="I1079" t="inlineStr">
        <is>
          <t>0</t>
        </is>
      </c>
      <c r="J1079" t="b">
        <v>0</v>
      </c>
      <c r="K1079" t="b">
        <v>0</v>
      </c>
      <c r="L1079" t="n">
        <v>11</v>
      </c>
      <c r="M1079" t="inlineStr">
        <is>
          <t>Values must be of type &lt;class 'str'&gt;</t>
        </is>
      </c>
      <c r="N1079" t="inlineStr">
        <is>
          <t>00000000</t>
        </is>
      </c>
      <c r="O1079" t="n">
        <v/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</row>
    <row r="1080">
      <c r="A1080" t="inlineStr">
        <is>
          <t>CashFlow Statement</t>
        </is>
      </c>
      <c r="B1080" t="inlineStr">
        <is>
          <t>L89</t>
        </is>
      </c>
      <c r="C1080" t="n">
        <v>89</v>
      </c>
      <c r="D1080" t="n">
        <v>12</v>
      </c>
      <c r="E1080" t="inlineStr">
        <is>
          <t>Input</t>
        </is>
      </c>
      <c r="F1080" t="n">
        <v/>
      </c>
      <c r="H1080" t="inlineStr"/>
      <c r="I1080" t="inlineStr">
        <is>
          <t>0</t>
        </is>
      </c>
      <c r="J1080" t="b">
        <v>0</v>
      </c>
      <c r="K1080" t="b">
        <v>0</v>
      </c>
      <c r="L1080" t="n">
        <v>11</v>
      </c>
      <c r="M1080" t="inlineStr">
        <is>
          <t>Values must be of type &lt;class 'str'&gt;</t>
        </is>
      </c>
      <c r="N1080" t="inlineStr">
        <is>
          <t>00000000</t>
        </is>
      </c>
      <c r="O1080" t="n">
        <v/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</row>
    <row r="1081">
      <c r="A1081" t="inlineStr">
        <is>
          <t>CashFlow Statement</t>
        </is>
      </c>
      <c r="B1081" t="inlineStr">
        <is>
          <t>M89</t>
        </is>
      </c>
      <c r="C1081" t="n">
        <v>89</v>
      </c>
      <c r="D1081" t="n">
        <v>13</v>
      </c>
      <c r="E1081" t="inlineStr">
        <is>
          <t>Input</t>
        </is>
      </c>
      <c r="F1081" t="n">
        <v/>
      </c>
      <c r="H1081" t="inlineStr"/>
      <c r="I1081" t="inlineStr">
        <is>
          <t>0</t>
        </is>
      </c>
      <c r="J1081" t="b">
        <v>0</v>
      </c>
      <c r="K1081" t="b">
        <v>0</v>
      </c>
      <c r="L1081" t="n">
        <v>11</v>
      </c>
      <c r="M1081" t="inlineStr">
        <is>
          <t>Values must be of type &lt;class 'str'&gt;</t>
        </is>
      </c>
      <c r="N1081" t="inlineStr">
        <is>
          <t>00000000</t>
        </is>
      </c>
      <c r="O1081" t="n">
        <v/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</row>
    <row r="1082">
      <c r="A1082" t="inlineStr">
        <is>
          <t>CashFlow Statement</t>
        </is>
      </c>
      <c r="B1082" t="inlineStr">
        <is>
          <t>N89</t>
        </is>
      </c>
      <c r="C1082" t="n">
        <v>89</v>
      </c>
      <c r="D1082" t="n">
        <v>14</v>
      </c>
      <c r="E1082" t="inlineStr">
        <is>
          <t>Input</t>
        </is>
      </c>
      <c r="F1082" t="n">
        <v/>
      </c>
      <c r="H1082" t="inlineStr"/>
      <c r="I1082" t="inlineStr">
        <is>
          <t>0</t>
        </is>
      </c>
      <c r="J1082" t="b">
        <v>0</v>
      </c>
      <c r="K1082" t="b">
        <v>0</v>
      </c>
      <c r="L1082" t="n">
        <v>11</v>
      </c>
      <c r="M1082" t="inlineStr">
        <is>
          <t>Values must be of type &lt;class 'str'&gt;</t>
        </is>
      </c>
      <c r="N1082" t="inlineStr">
        <is>
          <t>00000000</t>
        </is>
      </c>
      <c r="O1082" t="n">
        <v/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</row>
    <row r="1083">
      <c r="A1083" t="inlineStr">
        <is>
          <t>CashFlow Statement</t>
        </is>
      </c>
      <c r="B1083" t="inlineStr">
        <is>
          <t>O89</t>
        </is>
      </c>
      <c r="C1083" t="n">
        <v>89</v>
      </c>
      <c r="D1083" t="n">
        <v>15</v>
      </c>
      <c r="E1083" t="inlineStr">
        <is>
          <t>Input</t>
        </is>
      </c>
      <c r="F1083" t="n">
        <v/>
      </c>
      <c r="H1083" t="inlineStr"/>
      <c r="I1083" t="inlineStr">
        <is>
          <t>0</t>
        </is>
      </c>
      <c r="J1083" t="b">
        <v>0</v>
      </c>
      <c r="K1083" t="b">
        <v>0</v>
      </c>
      <c r="L1083" t="n">
        <v>11</v>
      </c>
      <c r="M1083" t="inlineStr">
        <is>
          <t>Values must be of type &lt;class 'str'&gt;</t>
        </is>
      </c>
      <c r="N1083" t="inlineStr">
        <is>
          <t>00000000</t>
        </is>
      </c>
      <c r="O1083" t="n">
        <v/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</row>
    <row r="1084">
      <c r="A1084" t="inlineStr">
        <is>
          <t>CashFlow Statement</t>
        </is>
      </c>
      <c r="B1084" t="inlineStr">
        <is>
          <t>D90</t>
        </is>
      </c>
      <c r="C1084" t="n">
        <v>90</v>
      </c>
      <c r="D1084" t="n">
        <v>4</v>
      </c>
      <c r="E1084" t="inlineStr">
        <is>
          <t>Input</t>
        </is>
      </c>
      <c r="F1084" t="n">
        <v/>
      </c>
      <c r="H1084" t="inlineStr"/>
      <c r="I1084" t="inlineStr">
        <is>
          <t>0</t>
        </is>
      </c>
      <c r="J1084" t="b">
        <v>0</v>
      </c>
      <c r="K1084" t="b">
        <v>0</v>
      </c>
      <c r="L1084" t="n">
        <v>11</v>
      </c>
      <c r="M1084" t="inlineStr">
        <is>
          <t>Values must be of type &lt;class 'str'&gt;</t>
        </is>
      </c>
      <c r="N1084" t="inlineStr">
        <is>
          <t>00000000</t>
        </is>
      </c>
      <c r="O1084" t="n">
        <v/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</row>
    <row r="1085">
      <c r="A1085" t="inlineStr">
        <is>
          <t>CashFlow Statement</t>
        </is>
      </c>
      <c r="B1085" t="inlineStr">
        <is>
          <t>E90</t>
        </is>
      </c>
      <c r="C1085" t="n">
        <v>90</v>
      </c>
      <c r="D1085" t="n">
        <v>5</v>
      </c>
      <c r="E1085" t="inlineStr">
        <is>
          <t>Input</t>
        </is>
      </c>
      <c r="F1085" t="n">
        <v/>
      </c>
      <c r="H1085" t="inlineStr"/>
      <c r="I1085" t="inlineStr">
        <is>
          <t>0</t>
        </is>
      </c>
      <c r="J1085" t="b">
        <v>0</v>
      </c>
      <c r="K1085" t="b">
        <v>0</v>
      </c>
      <c r="L1085" t="n">
        <v>11</v>
      </c>
      <c r="M1085" t="inlineStr">
        <is>
          <t>Values must be of type &lt;class 'str'&gt;</t>
        </is>
      </c>
      <c r="N1085" t="inlineStr">
        <is>
          <t>00000000</t>
        </is>
      </c>
      <c r="O1085" t="n">
        <v/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</row>
    <row r="1086">
      <c r="A1086" t="inlineStr">
        <is>
          <t>CashFlow Statement</t>
        </is>
      </c>
      <c r="B1086" t="inlineStr">
        <is>
          <t>F90</t>
        </is>
      </c>
      <c r="C1086" t="n">
        <v>90</v>
      </c>
      <c r="D1086" t="n">
        <v>6</v>
      </c>
      <c r="E1086" t="inlineStr">
        <is>
          <t>Input</t>
        </is>
      </c>
      <c r="F1086" t="n">
        <v/>
      </c>
      <c r="H1086" t="inlineStr"/>
      <c r="I1086" t="inlineStr">
        <is>
          <t>0</t>
        </is>
      </c>
      <c r="J1086" t="b">
        <v>0</v>
      </c>
      <c r="K1086" t="b">
        <v>0</v>
      </c>
      <c r="L1086" t="n">
        <v>11</v>
      </c>
      <c r="M1086" t="inlineStr">
        <is>
          <t>Values must be of type &lt;class 'str'&gt;</t>
        </is>
      </c>
      <c r="N1086" t="inlineStr">
        <is>
          <t>00000000</t>
        </is>
      </c>
      <c r="O1086" t="n">
        <v/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</row>
    <row r="1087">
      <c r="A1087" t="inlineStr">
        <is>
          <t>CashFlow Statement</t>
        </is>
      </c>
      <c r="B1087" t="inlineStr">
        <is>
          <t>G90</t>
        </is>
      </c>
      <c r="C1087" t="n">
        <v>90</v>
      </c>
      <c r="D1087" t="n">
        <v>7</v>
      </c>
      <c r="E1087" t="inlineStr">
        <is>
          <t>Input</t>
        </is>
      </c>
      <c r="F1087" t="n">
        <v/>
      </c>
      <c r="H1087" t="inlineStr"/>
      <c r="I1087" t="inlineStr">
        <is>
          <t>0</t>
        </is>
      </c>
      <c r="J1087" t="b">
        <v>0</v>
      </c>
      <c r="K1087" t="b">
        <v>0</v>
      </c>
      <c r="L1087" t="n">
        <v>11</v>
      </c>
      <c r="M1087" t="inlineStr">
        <is>
          <t>Values must be of type &lt;class 'str'&gt;</t>
        </is>
      </c>
      <c r="N1087" t="inlineStr">
        <is>
          <t>00000000</t>
        </is>
      </c>
      <c r="O1087" t="n">
        <v/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</row>
    <row r="1088">
      <c r="A1088" t="inlineStr">
        <is>
          <t>CashFlow Statement</t>
        </is>
      </c>
      <c r="B1088" t="inlineStr">
        <is>
          <t>H90</t>
        </is>
      </c>
      <c r="C1088" t="n">
        <v>90</v>
      </c>
      <c r="D1088" t="n">
        <v>8</v>
      </c>
      <c r="E1088" t="inlineStr">
        <is>
          <t>Input</t>
        </is>
      </c>
      <c r="F1088" t="n">
        <v/>
      </c>
      <c r="H1088" t="inlineStr"/>
      <c r="I1088" t="inlineStr">
        <is>
          <t>0</t>
        </is>
      </c>
      <c r="J1088" t="b">
        <v>0</v>
      </c>
      <c r="K1088" t="b">
        <v>0</v>
      </c>
      <c r="L1088" t="n">
        <v>11</v>
      </c>
      <c r="M1088" t="inlineStr">
        <is>
          <t>Values must be of type &lt;class 'str'&gt;</t>
        </is>
      </c>
      <c r="N1088" t="inlineStr">
        <is>
          <t>00000000</t>
        </is>
      </c>
      <c r="O1088" t="n">
        <v/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</row>
    <row r="1089">
      <c r="A1089" t="inlineStr">
        <is>
          <t>CashFlow Statement</t>
        </is>
      </c>
      <c r="B1089" t="inlineStr">
        <is>
          <t>I90</t>
        </is>
      </c>
      <c r="C1089" t="n">
        <v>90</v>
      </c>
      <c r="D1089" t="n">
        <v>9</v>
      </c>
      <c r="E1089" t="inlineStr">
        <is>
          <t>Input</t>
        </is>
      </c>
      <c r="F1089" t="n">
        <v/>
      </c>
      <c r="H1089" t="inlineStr"/>
      <c r="I1089" t="inlineStr">
        <is>
          <t>0</t>
        </is>
      </c>
      <c r="J1089" t="b">
        <v>0</v>
      </c>
      <c r="K1089" t="b">
        <v>0</v>
      </c>
      <c r="L1089" t="n">
        <v>11</v>
      </c>
      <c r="M1089" t="inlineStr">
        <is>
          <t>Values must be of type &lt;class 'str'&gt;</t>
        </is>
      </c>
      <c r="N1089" t="inlineStr">
        <is>
          <t>00000000</t>
        </is>
      </c>
      <c r="O1089" t="n">
        <v/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</row>
    <row r="1090">
      <c r="A1090" t="inlineStr">
        <is>
          <t>CashFlow Statement</t>
        </is>
      </c>
      <c r="B1090" t="inlineStr">
        <is>
          <t>J90</t>
        </is>
      </c>
      <c r="C1090" t="n">
        <v>90</v>
      </c>
      <c r="D1090" t="n">
        <v>10</v>
      </c>
      <c r="E1090" t="inlineStr">
        <is>
          <t>Input</t>
        </is>
      </c>
      <c r="F1090" t="n">
        <v/>
      </c>
      <c r="H1090" t="inlineStr"/>
      <c r="I1090" t="inlineStr">
        <is>
          <t>0</t>
        </is>
      </c>
      <c r="J1090" t="b">
        <v>0</v>
      </c>
      <c r="K1090" t="b">
        <v>0</v>
      </c>
      <c r="L1090" t="n">
        <v>11</v>
      </c>
      <c r="M1090" t="inlineStr">
        <is>
          <t>Values must be of type &lt;class 'str'&gt;</t>
        </is>
      </c>
      <c r="N1090" t="inlineStr">
        <is>
          <t>00000000</t>
        </is>
      </c>
      <c r="O1090" t="n">
        <v/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</row>
    <row r="1091">
      <c r="A1091" t="inlineStr">
        <is>
          <t>CashFlow Statement</t>
        </is>
      </c>
      <c r="B1091" t="inlineStr">
        <is>
          <t>K90</t>
        </is>
      </c>
      <c r="C1091" t="n">
        <v>90</v>
      </c>
      <c r="D1091" t="n">
        <v>11</v>
      </c>
      <c r="E1091" t="inlineStr">
        <is>
          <t>Input</t>
        </is>
      </c>
      <c r="F1091" t="n">
        <v/>
      </c>
      <c r="H1091" t="inlineStr"/>
      <c r="I1091" t="inlineStr">
        <is>
          <t>0</t>
        </is>
      </c>
      <c r="J1091" t="b">
        <v>0</v>
      </c>
      <c r="K1091" t="b">
        <v>0</v>
      </c>
      <c r="L1091" t="n">
        <v>11</v>
      </c>
      <c r="M1091" t="inlineStr">
        <is>
          <t>Values must be of type &lt;class 'str'&gt;</t>
        </is>
      </c>
      <c r="N1091" t="inlineStr">
        <is>
          <t>00000000</t>
        </is>
      </c>
      <c r="O1091" t="n">
        <v/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</row>
    <row r="1092">
      <c r="A1092" t="inlineStr">
        <is>
          <t>CashFlow Statement</t>
        </is>
      </c>
      <c r="B1092" t="inlineStr">
        <is>
          <t>L90</t>
        </is>
      </c>
      <c r="C1092" t="n">
        <v>90</v>
      </c>
      <c r="D1092" t="n">
        <v>12</v>
      </c>
      <c r="E1092" t="inlineStr">
        <is>
          <t>Input</t>
        </is>
      </c>
      <c r="F1092" t="n">
        <v/>
      </c>
      <c r="H1092" t="inlineStr"/>
      <c r="I1092" t="inlineStr">
        <is>
          <t>0</t>
        </is>
      </c>
      <c r="J1092" t="b">
        <v>0</v>
      </c>
      <c r="K1092" t="b">
        <v>0</v>
      </c>
      <c r="L1092" t="n">
        <v>11</v>
      </c>
      <c r="M1092" t="inlineStr">
        <is>
          <t>Values must be of type &lt;class 'str'&gt;</t>
        </is>
      </c>
      <c r="N1092" t="inlineStr">
        <is>
          <t>00000000</t>
        </is>
      </c>
      <c r="O1092" t="n">
        <v/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</row>
    <row r="1093">
      <c r="A1093" t="inlineStr">
        <is>
          <t>CashFlow Statement</t>
        </is>
      </c>
      <c r="B1093" t="inlineStr">
        <is>
          <t>M90</t>
        </is>
      </c>
      <c r="C1093" t="n">
        <v>90</v>
      </c>
      <c r="D1093" t="n">
        <v>13</v>
      </c>
      <c r="E1093" t="inlineStr">
        <is>
          <t>Input</t>
        </is>
      </c>
      <c r="F1093" t="n">
        <v/>
      </c>
      <c r="H1093" t="inlineStr"/>
      <c r="I1093" t="inlineStr">
        <is>
          <t>0</t>
        </is>
      </c>
      <c r="J1093" t="b">
        <v>0</v>
      </c>
      <c r="K1093" t="b">
        <v>0</v>
      </c>
      <c r="L1093" t="n">
        <v>11</v>
      </c>
      <c r="M1093" t="inlineStr">
        <is>
          <t>Values must be of type &lt;class 'str'&gt;</t>
        </is>
      </c>
      <c r="N1093" t="inlineStr">
        <is>
          <t>00000000</t>
        </is>
      </c>
      <c r="O1093" t="n">
        <v/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</row>
    <row r="1094">
      <c r="A1094" t="inlineStr">
        <is>
          <t>CashFlow Statement</t>
        </is>
      </c>
      <c r="B1094" t="inlineStr">
        <is>
          <t>N90</t>
        </is>
      </c>
      <c r="C1094" t="n">
        <v>90</v>
      </c>
      <c r="D1094" t="n">
        <v>14</v>
      </c>
      <c r="E1094" t="inlineStr">
        <is>
          <t>Input</t>
        </is>
      </c>
      <c r="F1094" t="n">
        <v/>
      </c>
      <c r="H1094" t="inlineStr"/>
      <c r="I1094" t="inlineStr">
        <is>
          <t>0</t>
        </is>
      </c>
      <c r="J1094" t="b">
        <v>0</v>
      </c>
      <c r="K1094" t="b">
        <v>0</v>
      </c>
      <c r="L1094" t="n">
        <v>11</v>
      </c>
      <c r="M1094" t="inlineStr">
        <is>
          <t>Values must be of type &lt;class 'str'&gt;</t>
        </is>
      </c>
      <c r="N1094" t="inlineStr">
        <is>
          <t>00000000</t>
        </is>
      </c>
      <c r="O1094" t="n">
        <v/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</row>
    <row r="1095">
      <c r="A1095" t="inlineStr">
        <is>
          <t>CashFlow Statement</t>
        </is>
      </c>
      <c r="B1095" t="inlineStr">
        <is>
          <t>O90</t>
        </is>
      </c>
      <c r="C1095" t="n">
        <v>90</v>
      </c>
      <c r="D1095" t="n">
        <v>15</v>
      </c>
      <c r="E1095" t="inlineStr">
        <is>
          <t>Input</t>
        </is>
      </c>
      <c r="F1095" t="n">
        <v/>
      </c>
      <c r="H1095" t="inlineStr"/>
      <c r="I1095" t="inlineStr">
        <is>
          <t>0</t>
        </is>
      </c>
      <c r="J1095" t="b">
        <v>0</v>
      </c>
      <c r="K1095" t="b">
        <v>0</v>
      </c>
      <c r="L1095" t="n">
        <v>11</v>
      </c>
      <c r="M1095" t="inlineStr">
        <is>
          <t>Values must be of type &lt;class 'str'&gt;</t>
        </is>
      </c>
      <c r="N1095" t="inlineStr">
        <is>
          <t>00000000</t>
        </is>
      </c>
      <c r="O1095" t="n">
        <v/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</row>
    <row r="1096">
      <c r="A1096" t="inlineStr">
        <is>
          <t>CashFlow Statement</t>
        </is>
      </c>
      <c r="B1096" t="inlineStr">
        <is>
          <t>D91</t>
        </is>
      </c>
      <c r="C1096" t="n">
        <v>91</v>
      </c>
      <c r="D1096" t="n">
        <v>4</v>
      </c>
      <c r="E1096" t="inlineStr">
        <is>
          <t>Input</t>
        </is>
      </c>
      <c r="F1096" t="n">
        <v/>
      </c>
      <c r="H1096" t="inlineStr"/>
      <c r="I1096" t="inlineStr">
        <is>
          <t>0</t>
        </is>
      </c>
      <c r="J1096" t="b">
        <v>0</v>
      </c>
      <c r="K1096" t="b">
        <v>0</v>
      </c>
      <c r="L1096" t="n">
        <v>11</v>
      </c>
      <c r="M1096" t="inlineStr">
        <is>
          <t>Values must be of type &lt;class 'str'&gt;</t>
        </is>
      </c>
      <c r="N1096" t="inlineStr">
        <is>
          <t>00000000</t>
        </is>
      </c>
      <c r="O1096" t="n">
        <v/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</row>
    <row r="1097">
      <c r="A1097" t="inlineStr">
        <is>
          <t>CashFlow Statement</t>
        </is>
      </c>
      <c r="B1097" t="inlineStr">
        <is>
          <t>E91</t>
        </is>
      </c>
      <c r="C1097" t="n">
        <v>91</v>
      </c>
      <c r="D1097" t="n">
        <v>5</v>
      </c>
      <c r="E1097" t="inlineStr">
        <is>
          <t>Input</t>
        </is>
      </c>
      <c r="F1097" t="n">
        <v/>
      </c>
      <c r="H1097" t="inlineStr"/>
      <c r="I1097" t="inlineStr">
        <is>
          <t>0</t>
        </is>
      </c>
      <c r="J1097" t="b">
        <v>0</v>
      </c>
      <c r="K1097" t="b">
        <v>0</v>
      </c>
      <c r="L1097" t="n">
        <v>11</v>
      </c>
      <c r="M1097" t="inlineStr">
        <is>
          <t>Values must be of type &lt;class 'str'&gt;</t>
        </is>
      </c>
      <c r="N1097" t="inlineStr">
        <is>
          <t>00000000</t>
        </is>
      </c>
      <c r="O1097" t="n">
        <v/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</row>
    <row r="1098">
      <c r="A1098" t="inlineStr">
        <is>
          <t>CashFlow Statement</t>
        </is>
      </c>
      <c r="B1098" t="inlineStr">
        <is>
          <t>F91</t>
        </is>
      </c>
      <c r="C1098" t="n">
        <v>91</v>
      </c>
      <c r="D1098" t="n">
        <v>6</v>
      </c>
      <c r="E1098" t="inlineStr">
        <is>
          <t>Input</t>
        </is>
      </c>
      <c r="F1098" t="n">
        <v/>
      </c>
      <c r="H1098" t="inlineStr"/>
      <c r="I1098" t="inlineStr">
        <is>
          <t>0</t>
        </is>
      </c>
      <c r="J1098" t="b">
        <v>0</v>
      </c>
      <c r="K1098" t="b">
        <v>0</v>
      </c>
      <c r="L1098" t="n">
        <v>11</v>
      </c>
      <c r="M1098" t="inlineStr">
        <is>
          <t>Values must be of type &lt;class 'str'&gt;</t>
        </is>
      </c>
      <c r="N1098" t="inlineStr">
        <is>
          <t>00000000</t>
        </is>
      </c>
      <c r="O1098" t="n">
        <v/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</row>
    <row r="1099">
      <c r="A1099" t="inlineStr">
        <is>
          <t>CashFlow Statement</t>
        </is>
      </c>
      <c r="B1099" t="inlineStr">
        <is>
          <t>G91</t>
        </is>
      </c>
      <c r="C1099" t="n">
        <v>91</v>
      </c>
      <c r="D1099" t="n">
        <v>7</v>
      </c>
      <c r="E1099" t="inlineStr">
        <is>
          <t>Input</t>
        </is>
      </c>
      <c r="F1099" t="n">
        <v/>
      </c>
      <c r="H1099" t="inlineStr"/>
      <c r="I1099" t="inlineStr">
        <is>
          <t>0</t>
        </is>
      </c>
      <c r="J1099" t="b">
        <v>0</v>
      </c>
      <c r="K1099" t="b">
        <v>0</v>
      </c>
      <c r="L1099" t="n">
        <v>11</v>
      </c>
      <c r="M1099" t="inlineStr">
        <is>
          <t>Values must be of type &lt;class 'str'&gt;</t>
        </is>
      </c>
      <c r="N1099" t="inlineStr">
        <is>
          <t>00000000</t>
        </is>
      </c>
      <c r="O1099" t="n">
        <v/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</row>
    <row r="1100">
      <c r="A1100" t="inlineStr">
        <is>
          <t>CashFlow Statement</t>
        </is>
      </c>
      <c r="B1100" t="inlineStr">
        <is>
          <t>H91</t>
        </is>
      </c>
      <c r="C1100" t="n">
        <v>91</v>
      </c>
      <c r="D1100" t="n">
        <v>8</v>
      </c>
      <c r="E1100" t="inlineStr">
        <is>
          <t>Input</t>
        </is>
      </c>
      <c r="F1100" t="n">
        <v/>
      </c>
      <c r="H1100" t="inlineStr"/>
      <c r="I1100" t="inlineStr">
        <is>
          <t>0</t>
        </is>
      </c>
      <c r="J1100" t="b">
        <v>0</v>
      </c>
      <c r="K1100" t="b">
        <v>0</v>
      </c>
      <c r="L1100" t="n">
        <v>11</v>
      </c>
      <c r="M1100" t="inlineStr">
        <is>
          <t>Values must be of type &lt;class 'str'&gt;</t>
        </is>
      </c>
      <c r="N1100" t="inlineStr">
        <is>
          <t>00000000</t>
        </is>
      </c>
      <c r="O1100" t="n">
        <v/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</row>
    <row r="1101">
      <c r="A1101" t="inlineStr">
        <is>
          <t>CashFlow Statement</t>
        </is>
      </c>
      <c r="B1101" t="inlineStr">
        <is>
          <t>I91</t>
        </is>
      </c>
      <c r="C1101" t="n">
        <v>91</v>
      </c>
      <c r="D1101" t="n">
        <v>9</v>
      </c>
      <c r="E1101" t="inlineStr">
        <is>
          <t>Input</t>
        </is>
      </c>
      <c r="F1101" t="n">
        <v/>
      </c>
      <c r="H1101" t="inlineStr"/>
      <c r="I1101" t="inlineStr">
        <is>
          <t>0</t>
        </is>
      </c>
      <c r="J1101" t="b">
        <v>0</v>
      </c>
      <c r="K1101" t="b">
        <v>0</v>
      </c>
      <c r="L1101" t="n">
        <v>11</v>
      </c>
      <c r="M1101" t="inlineStr">
        <is>
          <t>Values must be of type &lt;class 'str'&gt;</t>
        </is>
      </c>
      <c r="N1101" t="inlineStr">
        <is>
          <t>00000000</t>
        </is>
      </c>
      <c r="O1101" t="n">
        <v/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</row>
    <row r="1102">
      <c r="A1102" t="inlineStr">
        <is>
          <t>CashFlow Statement</t>
        </is>
      </c>
      <c r="B1102" t="inlineStr">
        <is>
          <t>J91</t>
        </is>
      </c>
      <c r="C1102" t="n">
        <v>91</v>
      </c>
      <c r="D1102" t="n">
        <v>10</v>
      </c>
      <c r="E1102" t="inlineStr">
        <is>
          <t>Input</t>
        </is>
      </c>
      <c r="F1102" t="n">
        <v/>
      </c>
      <c r="H1102" t="inlineStr"/>
      <c r="I1102" t="inlineStr">
        <is>
          <t>0</t>
        </is>
      </c>
      <c r="J1102" t="b">
        <v>0</v>
      </c>
      <c r="K1102" t="b">
        <v>0</v>
      </c>
      <c r="L1102" t="n">
        <v>11</v>
      </c>
      <c r="M1102" t="inlineStr">
        <is>
          <t>Values must be of type &lt;class 'str'&gt;</t>
        </is>
      </c>
      <c r="N1102" t="inlineStr">
        <is>
          <t>00000000</t>
        </is>
      </c>
      <c r="O1102" t="n">
        <v/>
      </c>
      <c r="R1102" t="b">
        <v>0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</row>
    <row r="1103">
      <c r="A1103" t="inlineStr">
        <is>
          <t>CashFlow Statement</t>
        </is>
      </c>
      <c r="B1103" t="inlineStr">
        <is>
          <t>K91</t>
        </is>
      </c>
      <c r="C1103" t="n">
        <v>91</v>
      </c>
      <c r="D1103" t="n">
        <v>11</v>
      </c>
      <c r="E1103" t="inlineStr">
        <is>
          <t>Input</t>
        </is>
      </c>
      <c r="F1103" t="n">
        <v/>
      </c>
      <c r="H1103" t="inlineStr"/>
      <c r="I1103" t="inlineStr">
        <is>
          <t>0</t>
        </is>
      </c>
      <c r="J1103" t="b">
        <v>0</v>
      </c>
      <c r="K1103" t="b">
        <v>0</v>
      </c>
      <c r="L1103" t="n">
        <v>11</v>
      </c>
      <c r="M1103" t="inlineStr">
        <is>
          <t>Values must be of type &lt;class 'str'&gt;</t>
        </is>
      </c>
      <c r="N1103" t="inlineStr">
        <is>
          <t>00000000</t>
        </is>
      </c>
      <c r="O1103" t="n">
        <v/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</row>
    <row r="1104">
      <c r="A1104" t="inlineStr">
        <is>
          <t>CashFlow Statement</t>
        </is>
      </c>
      <c r="B1104" t="inlineStr">
        <is>
          <t>L91</t>
        </is>
      </c>
      <c r="C1104" t="n">
        <v>91</v>
      </c>
      <c r="D1104" t="n">
        <v>12</v>
      </c>
      <c r="E1104" t="inlineStr">
        <is>
          <t>Input</t>
        </is>
      </c>
      <c r="F1104" t="n">
        <v/>
      </c>
      <c r="H1104" t="inlineStr"/>
      <c r="I1104" t="inlineStr">
        <is>
          <t>0</t>
        </is>
      </c>
      <c r="J1104" t="b">
        <v>0</v>
      </c>
      <c r="K1104" t="b">
        <v>0</v>
      </c>
      <c r="L1104" t="n">
        <v>11</v>
      </c>
      <c r="M1104" t="inlineStr">
        <is>
          <t>Values must be of type &lt;class 'str'&gt;</t>
        </is>
      </c>
      <c r="N1104" t="inlineStr">
        <is>
          <t>00000000</t>
        </is>
      </c>
      <c r="O1104" t="n">
        <v/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</row>
    <row r="1105">
      <c r="A1105" t="inlineStr">
        <is>
          <t>CashFlow Statement</t>
        </is>
      </c>
      <c r="B1105" t="inlineStr">
        <is>
          <t>M91</t>
        </is>
      </c>
      <c r="C1105" t="n">
        <v>91</v>
      </c>
      <c r="D1105" t="n">
        <v>13</v>
      </c>
      <c r="E1105" t="inlineStr">
        <is>
          <t>Input</t>
        </is>
      </c>
      <c r="F1105" t="n">
        <v/>
      </c>
      <c r="H1105" t="inlineStr"/>
      <c r="I1105" t="inlineStr">
        <is>
          <t>0</t>
        </is>
      </c>
      <c r="J1105" t="b">
        <v>0</v>
      </c>
      <c r="K1105" t="b">
        <v>0</v>
      </c>
      <c r="L1105" t="n">
        <v>11</v>
      </c>
      <c r="M1105" t="inlineStr">
        <is>
          <t>Values must be of type &lt;class 'str'&gt;</t>
        </is>
      </c>
      <c r="N1105" t="inlineStr">
        <is>
          <t>00000000</t>
        </is>
      </c>
      <c r="O1105" t="n">
        <v/>
      </c>
      <c r="R1105" t="b">
        <v>0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</row>
    <row r="1106">
      <c r="A1106" t="inlineStr">
        <is>
          <t>CashFlow Statement</t>
        </is>
      </c>
      <c r="B1106" t="inlineStr">
        <is>
          <t>N91</t>
        </is>
      </c>
      <c r="C1106" t="n">
        <v>91</v>
      </c>
      <c r="D1106" t="n">
        <v>14</v>
      </c>
      <c r="E1106" t="inlineStr">
        <is>
          <t>Input</t>
        </is>
      </c>
      <c r="F1106" t="n">
        <v/>
      </c>
      <c r="H1106" t="inlineStr"/>
      <c r="I1106" t="inlineStr">
        <is>
          <t>0</t>
        </is>
      </c>
      <c r="J1106" t="b">
        <v>0</v>
      </c>
      <c r="K1106" t="b">
        <v>0</v>
      </c>
      <c r="L1106" t="n">
        <v>11</v>
      </c>
      <c r="M1106" t="inlineStr">
        <is>
          <t>Values must be of type &lt;class 'str'&gt;</t>
        </is>
      </c>
      <c r="N1106" t="inlineStr">
        <is>
          <t>00000000</t>
        </is>
      </c>
      <c r="O1106" t="n">
        <v/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</row>
    <row r="1107">
      <c r="A1107" t="inlineStr">
        <is>
          <t>CashFlow Statement</t>
        </is>
      </c>
      <c r="B1107" t="inlineStr">
        <is>
          <t>O91</t>
        </is>
      </c>
      <c r="C1107" t="n">
        <v>91</v>
      </c>
      <c r="D1107" t="n">
        <v>15</v>
      </c>
      <c r="E1107" t="inlineStr">
        <is>
          <t>Input</t>
        </is>
      </c>
      <c r="F1107" t="n">
        <v/>
      </c>
      <c r="H1107" t="inlineStr"/>
      <c r="I1107" t="inlineStr">
        <is>
          <t>0</t>
        </is>
      </c>
      <c r="J1107" t="b">
        <v>0</v>
      </c>
      <c r="K1107" t="b">
        <v>0</v>
      </c>
      <c r="L1107" t="n">
        <v>11</v>
      </c>
      <c r="M1107" t="inlineStr">
        <is>
          <t>Values must be of type &lt;class 'str'&gt;</t>
        </is>
      </c>
      <c r="N1107" t="inlineStr">
        <is>
          <t>00000000</t>
        </is>
      </c>
      <c r="O1107" t="n">
        <v/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</row>
    <row r="1108">
      <c r="A1108" t="inlineStr">
        <is>
          <t>CashFlow Statement</t>
        </is>
      </c>
      <c r="B1108" t="inlineStr">
        <is>
          <t>D92</t>
        </is>
      </c>
      <c r="C1108" t="n">
        <v>92</v>
      </c>
      <c r="D1108" t="n">
        <v>4</v>
      </c>
      <c r="E1108" t="inlineStr">
        <is>
          <t>Input</t>
        </is>
      </c>
      <c r="F1108" t="n">
        <v/>
      </c>
      <c r="H1108" t="inlineStr"/>
      <c r="I1108" t="inlineStr">
        <is>
          <t>0</t>
        </is>
      </c>
      <c r="J1108" t="b">
        <v>0</v>
      </c>
      <c r="K1108" t="b">
        <v>0</v>
      </c>
      <c r="L1108" t="n">
        <v>11</v>
      </c>
      <c r="M1108" t="inlineStr">
        <is>
          <t>Values must be of type &lt;class 'str'&gt;</t>
        </is>
      </c>
      <c r="N1108" t="inlineStr">
        <is>
          <t>00000000</t>
        </is>
      </c>
      <c r="O1108" t="n">
        <v/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</row>
    <row r="1109">
      <c r="A1109" t="inlineStr">
        <is>
          <t>CashFlow Statement</t>
        </is>
      </c>
      <c r="B1109" t="inlineStr">
        <is>
          <t>E92</t>
        </is>
      </c>
      <c r="C1109" t="n">
        <v>92</v>
      </c>
      <c r="D1109" t="n">
        <v>5</v>
      </c>
      <c r="E1109" t="inlineStr">
        <is>
          <t>Input</t>
        </is>
      </c>
      <c r="F1109" t="n">
        <v/>
      </c>
      <c r="H1109" t="inlineStr"/>
      <c r="I1109" t="inlineStr">
        <is>
          <t>0</t>
        </is>
      </c>
      <c r="J1109" t="b">
        <v>0</v>
      </c>
      <c r="K1109" t="b">
        <v>0</v>
      </c>
      <c r="L1109" t="n">
        <v>11</v>
      </c>
      <c r="M1109" t="inlineStr">
        <is>
          <t>Values must be of type &lt;class 'str'&gt;</t>
        </is>
      </c>
      <c r="N1109" t="inlineStr">
        <is>
          <t>00000000</t>
        </is>
      </c>
      <c r="O1109" t="n">
        <v/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</row>
    <row r="1110">
      <c r="A1110" t="inlineStr">
        <is>
          <t>CashFlow Statement</t>
        </is>
      </c>
      <c r="B1110" t="inlineStr">
        <is>
          <t>F92</t>
        </is>
      </c>
      <c r="C1110" t="n">
        <v>92</v>
      </c>
      <c r="D1110" t="n">
        <v>6</v>
      </c>
      <c r="E1110" t="inlineStr">
        <is>
          <t>Input</t>
        </is>
      </c>
      <c r="F1110" t="n">
        <v/>
      </c>
      <c r="H1110" t="inlineStr"/>
      <c r="I1110" t="inlineStr">
        <is>
          <t>0</t>
        </is>
      </c>
      <c r="J1110" t="b">
        <v>0</v>
      </c>
      <c r="K1110" t="b">
        <v>0</v>
      </c>
      <c r="L1110" t="n">
        <v>11</v>
      </c>
      <c r="M1110" t="inlineStr">
        <is>
          <t>Values must be of type &lt;class 'str'&gt;</t>
        </is>
      </c>
      <c r="N1110" t="inlineStr">
        <is>
          <t>00000000</t>
        </is>
      </c>
      <c r="O1110" t="n">
        <v/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</row>
    <row r="1111">
      <c r="A1111" t="inlineStr">
        <is>
          <t>CashFlow Statement</t>
        </is>
      </c>
      <c r="B1111" t="inlineStr">
        <is>
          <t>G92</t>
        </is>
      </c>
      <c r="C1111" t="n">
        <v>92</v>
      </c>
      <c r="D1111" t="n">
        <v>7</v>
      </c>
      <c r="E1111" t="inlineStr">
        <is>
          <t>Input</t>
        </is>
      </c>
      <c r="F1111" t="n">
        <v/>
      </c>
      <c r="H1111" t="inlineStr"/>
      <c r="I1111" t="inlineStr">
        <is>
          <t>0</t>
        </is>
      </c>
      <c r="J1111" t="b">
        <v>0</v>
      </c>
      <c r="K1111" t="b">
        <v>0</v>
      </c>
      <c r="L1111" t="n">
        <v>11</v>
      </c>
      <c r="M1111" t="inlineStr">
        <is>
          <t>Values must be of type &lt;class 'str'&gt;</t>
        </is>
      </c>
      <c r="N1111" t="inlineStr">
        <is>
          <t>00000000</t>
        </is>
      </c>
      <c r="O1111" t="n">
        <v/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</row>
    <row r="1112">
      <c r="A1112" t="inlineStr">
        <is>
          <t>CashFlow Statement</t>
        </is>
      </c>
      <c r="B1112" t="inlineStr">
        <is>
          <t>H92</t>
        </is>
      </c>
      <c r="C1112" t="n">
        <v>92</v>
      </c>
      <c r="D1112" t="n">
        <v>8</v>
      </c>
      <c r="E1112" t="inlineStr">
        <is>
          <t>Input</t>
        </is>
      </c>
      <c r="F1112" t="n">
        <v/>
      </c>
      <c r="H1112" t="inlineStr"/>
      <c r="I1112" t="inlineStr">
        <is>
          <t>0</t>
        </is>
      </c>
      <c r="J1112" t="b">
        <v>0</v>
      </c>
      <c r="K1112" t="b">
        <v>0</v>
      </c>
      <c r="L1112" t="n">
        <v>11</v>
      </c>
      <c r="M1112" t="inlineStr">
        <is>
          <t>Values must be of type &lt;class 'str'&gt;</t>
        </is>
      </c>
      <c r="N1112" t="inlineStr">
        <is>
          <t>00000000</t>
        </is>
      </c>
      <c r="O1112" t="n">
        <v/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</row>
    <row r="1113">
      <c r="A1113" t="inlineStr">
        <is>
          <t>CashFlow Statement</t>
        </is>
      </c>
      <c r="B1113" t="inlineStr">
        <is>
          <t>I92</t>
        </is>
      </c>
      <c r="C1113" t="n">
        <v>92</v>
      </c>
      <c r="D1113" t="n">
        <v>9</v>
      </c>
      <c r="E1113" t="inlineStr">
        <is>
          <t>Input</t>
        </is>
      </c>
      <c r="F1113" t="n">
        <v/>
      </c>
      <c r="H1113" t="inlineStr"/>
      <c r="I1113" t="inlineStr">
        <is>
          <t>0</t>
        </is>
      </c>
      <c r="J1113" t="b">
        <v>0</v>
      </c>
      <c r="K1113" t="b">
        <v>0</v>
      </c>
      <c r="L1113" t="n">
        <v>11</v>
      </c>
      <c r="M1113" t="inlineStr">
        <is>
          <t>Values must be of type &lt;class 'str'&gt;</t>
        </is>
      </c>
      <c r="N1113" t="inlineStr">
        <is>
          <t>00000000</t>
        </is>
      </c>
      <c r="O1113" t="n">
        <v/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</row>
    <row r="1114">
      <c r="A1114" t="inlineStr">
        <is>
          <t>CashFlow Statement</t>
        </is>
      </c>
      <c r="B1114" t="inlineStr">
        <is>
          <t>J92</t>
        </is>
      </c>
      <c r="C1114" t="n">
        <v>92</v>
      </c>
      <c r="D1114" t="n">
        <v>10</v>
      </c>
      <c r="E1114" t="inlineStr">
        <is>
          <t>Input</t>
        </is>
      </c>
      <c r="F1114" t="n">
        <v/>
      </c>
      <c r="H1114" t="inlineStr"/>
      <c r="I1114" t="inlineStr">
        <is>
          <t>0</t>
        </is>
      </c>
      <c r="J1114" t="b">
        <v>0</v>
      </c>
      <c r="K1114" t="b">
        <v>0</v>
      </c>
      <c r="L1114" t="n">
        <v>11</v>
      </c>
      <c r="M1114" t="inlineStr">
        <is>
          <t>Values must be of type &lt;class 'str'&gt;</t>
        </is>
      </c>
      <c r="N1114" t="inlineStr">
        <is>
          <t>00000000</t>
        </is>
      </c>
      <c r="O1114" t="n">
        <v/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</row>
    <row r="1115">
      <c r="A1115" t="inlineStr">
        <is>
          <t>CashFlow Statement</t>
        </is>
      </c>
      <c r="B1115" t="inlineStr">
        <is>
          <t>K92</t>
        </is>
      </c>
      <c r="C1115" t="n">
        <v>92</v>
      </c>
      <c r="D1115" t="n">
        <v>11</v>
      </c>
      <c r="E1115" t="inlineStr">
        <is>
          <t>Input</t>
        </is>
      </c>
      <c r="F1115" t="n">
        <v/>
      </c>
      <c r="H1115" t="inlineStr"/>
      <c r="I1115" t="inlineStr">
        <is>
          <t>0</t>
        </is>
      </c>
      <c r="J1115" t="b">
        <v>0</v>
      </c>
      <c r="K1115" t="b">
        <v>0</v>
      </c>
      <c r="L1115" t="n">
        <v>11</v>
      </c>
      <c r="M1115" t="inlineStr">
        <is>
          <t>Values must be of type &lt;class 'str'&gt;</t>
        </is>
      </c>
      <c r="N1115" t="inlineStr">
        <is>
          <t>00000000</t>
        </is>
      </c>
      <c r="O1115" t="n">
        <v/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</row>
    <row r="1116">
      <c r="A1116" t="inlineStr">
        <is>
          <t>CashFlow Statement</t>
        </is>
      </c>
      <c r="B1116" t="inlineStr">
        <is>
          <t>L92</t>
        </is>
      </c>
      <c r="C1116" t="n">
        <v>92</v>
      </c>
      <c r="D1116" t="n">
        <v>12</v>
      </c>
      <c r="E1116" t="inlineStr">
        <is>
          <t>Input</t>
        </is>
      </c>
      <c r="F1116" t="n">
        <v/>
      </c>
      <c r="H1116" t="inlineStr"/>
      <c r="I1116" t="inlineStr">
        <is>
          <t>0</t>
        </is>
      </c>
      <c r="J1116" t="b">
        <v>0</v>
      </c>
      <c r="K1116" t="b">
        <v>0</v>
      </c>
      <c r="L1116" t="n">
        <v>11</v>
      </c>
      <c r="M1116" t="inlineStr">
        <is>
          <t>Values must be of type &lt;class 'str'&gt;</t>
        </is>
      </c>
      <c r="N1116" t="inlineStr">
        <is>
          <t>00000000</t>
        </is>
      </c>
      <c r="O1116" t="n">
        <v/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</row>
    <row r="1117">
      <c r="A1117" t="inlineStr">
        <is>
          <t>CashFlow Statement</t>
        </is>
      </c>
      <c r="B1117" t="inlineStr">
        <is>
          <t>M92</t>
        </is>
      </c>
      <c r="C1117" t="n">
        <v>92</v>
      </c>
      <c r="D1117" t="n">
        <v>13</v>
      </c>
      <c r="E1117" t="inlineStr">
        <is>
          <t>Input</t>
        </is>
      </c>
      <c r="F1117" t="n">
        <v/>
      </c>
      <c r="H1117" t="inlineStr"/>
      <c r="I1117" t="inlineStr">
        <is>
          <t>0</t>
        </is>
      </c>
      <c r="J1117" t="b">
        <v>0</v>
      </c>
      <c r="K1117" t="b">
        <v>0</v>
      </c>
      <c r="L1117" t="n">
        <v>11</v>
      </c>
      <c r="M1117" t="inlineStr">
        <is>
          <t>Values must be of type &lt;class 'str'&gt;</t>
        </is>
      </c>
      <c r="N1117" t="inlineStr">
        <is>
          <t>00000000</t>
        </is>
      </c>
      <c r="O1117" t="n">
        <v/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</row>
    <row r="1118">
      <c r="A1118" t="inlineStr">
        <is>
          <t>CashFlow Statement</t>
        </is>
      </c>
      <c r="B1118" t="inlineStr">
        <is>
          <t>N92</t>
        </is>
      </c>
      <c r="C1118" t="n">
        <v>92</v>
      </c>
      <c r="D1118" t="n">
        <v>14</v>
      </c>
      <c r="E1118" t="inlineStr">
        <is>
          <t>Input</t>
        </is>
      </c>
      <c r="F1118" t="n">
        <v/>
      </c>
      <c r="H1118" t="inlineStr"/>
      <c r="I1118" t="inlineStr">
        <is>
          <t>0</t>
        </is>
      </c>
      <c r="J1118" t="b">
        <v>0</v>
      </c>
      <c r="K1118" t="b">
        <v>0</v>
      </c>
      <c r="L1118" t="n">
        <v>11</v>
      </c>
      <c r="M1118" t="inlineStr">
        <is>
          <t>Values must be of type &lt;class 'str'&gt;</t>
        </is>
      </c>
      <c r="N1118" t="inlineStr">
        <is>
          <t>00000000</t>
        </is>
      </c>
      <c r="O1118" t="n">
        <v/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</row>
    <row r="1119">
      <c r="A1119" t="inlineStr">
        <is>
          <t>CashFlow Statement</t>
        </is>
      </c>
      <c r="B1119" t="inlineStr">
        <is>
          <t>O92</t>
        </is>
      </c>
      <c r="C1119" t="n">
        <v>92</v>
      </c>
      <c r="D1119" t="n">
        <v>15</v>
      </c>
      <c r="E1119" t="inlineStr">
        <is>
          <t>Input</t>
        </is>
      </c>
      <c r="F1119" t="n">
        <v/>
      </c>
      <c r="H1119" t="inlineStr"/>
      <c r="I1119" t="inlineStr">
        <is>
          <t>0</t>
        </is>
      </c>
      <c r="J1119" t="b">
        <v>0</v>
      </c>
      <c r="K1119" t="b">
        <v>0</v>
      </c>
      <c r="L1119" t="n">
        <v>11</v>
      </c>
      <c r="M1119" t="inlineStr">
        <is>
          <t>Values must be of type &lt;class 'str'&gt;</t>
        </is>
      </c>
      <c r="N1119" t="inlineStr">
        <is>
          <t>00000000</t>
        </is>
      </c>
      <c r="O1119" t="n">
        <v/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ATF fuel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Month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ATF fuel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inlineStr">
        <is>
          <t>Delhi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O3" t="n">
        <v/>
      </c>
      <c r="P3" t="n">
        <v/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ATF fuel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inlineStr">
        <is>
          <t>Kolkata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O4" t="n">
        <v/>
      </c>
      <c r="P4" t="n">
        <v/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ATF fuel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inlineStr">
        <is>
          <t xml:space="preserve">Mumbai 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P5" t="n">
        <v/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ATF fuel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Chennai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P6" t="n">
        <v/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ATF fuel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Average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ATF fuel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G8" t="inlineStr">
        <is>
          <t>ATF Price (Rs)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P8" t="n">
        <v/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ATF fuel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G9" t="inlineStr">
        <is>
          <t>Brent ($)</t>
        </is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P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ATF fuel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G10" t="inlineStr">
        <is>
          <t>US Oil ($)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ATF fuel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F11" t="n">
        <v/>
      </c>
      <c r="G11" t="inlineStr">
        <is>
          <t>December 01,2017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n">
        <v/>
      </c>
      <c r="N11" t="inlineStr">
        <is>
          <t>00000000</t>
        </is>
      </c>
      <c r="O11" t="n">
        <v/>
      </c>
      <c r="P11" t="n">
        <v/>
      </c>
      <c r="Q11" t="b">
        <v>1</v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ATF fuel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Input</t>
        </is>
      </c>
      <c r="F12" t="n">
        <v/>
      </c>
      <c r="G12" t="n">
        <v>57349</v>
      </c>
      <c r="H12" t="inlineStr"/>
      <c r="I12" t="inlineStr">
        <is>
          <t>#,##0</t>
        </is>
      </c>
      <c r="J12" t="b">
        <v>0</v>
      </c>
      <c r="K12" t="b">
        <v>0</v>
      </c>
      <c r="L12" t="n">
        <v>11</v>
      </c>
      <c r="M12" t="n">
        <v/>
      </c>
      <c r="N12" t="inlineStr">
        <is>
          <t>00000000</t>
        </is>
      </c>
      <c r="O12" t="inlineStr">
        <is>
          <t>center</t>
        </is>
      </c>
      <c r="P12" t="n">
        <v/>
      </c>
      <c r="Q12" t="b">
        <v>1</v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ATF fuel</t>
        </is>
      </c>
      <c r="B13" t="inlineStr">
        <is>
          <t>C2</t>
        </is>
      </c>
      <c r="C13" t="n">
        <v>2</v>
      </c>
      <c r="D13" t="n">
        <v>3</v>
      </c>
      <c r="E13" t="inlineStr">
        <is>
          <t>Input</t>
        </is>
      </c>
      <c r="F13" t="n">
        <v/>
      </c>
      <c r="G13" t="n">
        <v>61699</v>
      </c>
      <c r="H13" t="inlineStr"/>
      <c r="I13" t="inlineStr">
        <is>
          <t>#,##0</t>
        </is>
      </c>
      <c r="J13" t="b">
        <v>0</v>
      </c>
      <c r="K13" t="b">
        <v>0</v>
      </c>
      <c r="L13" t="n">
        <v>11</v>
      </c>
      <c r="M13" t="n">
        <v/>
      </c>
      <c r="N13" t="inlineStr">
        <is>
          <t>00000000</t>
        </is>
      </c>
      <c r="O13" t="inlineStr">
        <is>
          <t>center</t>
        </is>
      </c>
      <c r="P13" t="n">
        <v/>
      </c>
      <c r="Q13" t="b">
        <v>1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ATF fuel</t>
        </is>
      </c>
      <c r="B14" t="inlineStr">
        <is>
          <t>D2</t>
        </is>
      </c>
      <c r="C14" t="n">
        <v>2</v>
      </c>
      <c r="D14" t="n">
        <v>4</v>
      </c>
      <c r="E14" t="inlineStr">
        <is>
          <t>Input</t>
        </is>
      </c>
      <c r="F14" t="n">
        <v/>
      </c>
      <c r="G14" t="n">
        <v>56636</v>
      </c>
      <c r="H14" t="inlineStr"/>
      <c r="I14" t="inlineStr">
        <is>
          <t>#,##0</t>
        </is>
      </c>
      <c r="J14" t="b">
        <v>0</v>
      </c>
      <c r="K14" t="b">
        <v>0</v>
      </c>
      <c r="L14" t="n">
        <v>11</v>
      </c>
      <c r="M14" t="n">
        <v/>
      </c>
      <c r="N14" t="inlineStr">
        <is>
          <t>00000000</t>
        </is>
      </c>
      <c r="O14" t="inlineStr">
        <is>
          <t>center</t>
        </is>
      </c>
      <c r="P14" t="n">
        <v/>
      </c>
      <c r="Q14" t="b">
        <v>1</v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ATF fuel</t>
        </is>
      </c>
      <c r="B15" t="inlineStr">
        <is>
          <t>E2</t>
        </is>
      </c>
      <c r="C15" t="n">
        <v>2</v>
      </c>
      <c r="D15" t="n">
        <v>5</v>
      </c>
      <c r="E15" t="inlineStr">
        <is>
          <t>Input</t>
        </is>
      </c>
      <c r="F15" t="n">
        <v/>
      </c>
      <c r="G15" t="n">
        <v>60258</v>
      </c>
      <c r="H15" t="inlineStr"/>
      <c r="I15" t="inlineStr">
        <is>
          <t>#,##0</t>
        </is>
      </c>
      <c r="J15" t="b">
        <v>0</v>
      </c>
      <c r="K15" t="b">
        <v>0</v>
      </c>
      <c r="L15" t="n">
        <v>11</v>
      </c>
      <c r="M15" t="n">
        <v/>
      </c>
      <c r="N15" t="inlineStr">
        <is>
          <t>00000000</t>
        </is>
      </c>
      <c r="O15" t="inlineStr">
        <is>
          <t>center</t>
        </is>
      </c>
      <c r="P15" t="n">
        <v/>
      </c>
      <c r="Q15" t="b">
        <v>1</v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ATF fuel</t>
        </is>
      </c>
      <c r="B16" t="inlineStr">
        <is>
          <t>F2</t>
        </is>
      </c>
      <c r="C16" t="n">
        <v>2</v>
      </c>
      <c r="D16" t="n">
        <v>6</v>
      </c>
      <c r="E16" t="inlineStr">
        <is>
          <t>Calculation</t>
        </is>
      </c>
      <c r="F16" t="inlineStr">
        <is>
          <t>'=AVERAGE(B2:E2)</t>
        </is>
      </c>
      <c r="G16" t="n">
        <v>58985.5</v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inlineStr">
        <is>
          <t>center</t>
        </is>
      </c>
      <c r="P16" t="n">
        <v/>
      </c>
      <c r="R16" t="b">
        <v>1</v>
      </c>
      <c r="S16" t="inlineStr">
        <is>
          <t>G000284</t>
        </is>
      </c>
      <c r="T16" t="inlineStr">
        <is>
          <t>Vertical</t>
        </is>
      </c>
      <c r="U16" t="n">
        <v>130</v>
      </c>
      <c r="V16" t="b">
        <v>1</v>
      </c>
      <c r="W16" t="inlineStr">
        <is>
          <t>ATF fuel!F2:F131</t>
        </is>
      </c>
      <c r="X16">
        <f>AVERAGE(R[0]C[-4]:R[0]C[-1])</f>
        <v/>
      </c>
    </row>
    <row r="17">
      <c r="A17" t="inlineStr">
        <is>
          <t>ATF fuel</t>
        </is>
      </c>
      <c r="B17" t="inlineStr">
        <is>
          <t>G2</t>
        </is>
      </c>
      <c r="C17" t="n">
        <v>2</v>
      </c>
      <c r="D17" t="n">
        <v>7</v>
      </c>
      <c r="E17" t="inlineStr">
        <is>
          <t>Input</t>
        </is>
      </c>
      <c r="F17" t="n">
        <v/>
      </c>
      <c r="G17" t="n">
        <v>131</v>
      </c>
      <c r="H17" t="inlineStr"/>
      <c r="I17" t="inlineStr">
        <is>
          <t>#,##0</t>
        </is>
      </c>
      <c r="J17" t="b">
        <v>0</v>
      </c>
      <c r="K17" t="b">
        <v>0</v>
      </c>
      <c r="L17" t="n">
        <v>11</v>
      </c>
      <c r="M17" t="n">
        <v/>
      </c>
      <c r="N17" t="inlineStr">
        <is>
          <t>00000000</t>
        </is>
      </c>
      <c r="O17" t="inlineStr">
        <is>
          <t>right</t>
        </is>
      </c>
      <c r="P17" t="n">
        <v/>
      </c>
      <c r="Q17" t="b">
        <v>1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ATF fuel</t>
        </is>
      </c>
      <c r="B18" t="inlineStr">
        <is>
          <t>H2</t>
        </is>
      </c>
      <c r="C18" t="n">
        <v>2</v>
      </c>
      <c r="D18" t="n">
        <v>8</v>
      </c>
      <c r="E18" t="inlineStr">
        <is>
          <t>Output</t>
        </is>
      </c>
      <c r="F18" t="inlineStr">
        <is>
          <t>'=INDIRECT("A"&amp;G2)</t>
        </is>
      </c>
      <c r="G18" t="inlineStr">
        <is>
          <t>April 01, 2010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>
        <f>INDIRECT("A"&amp;R[0]C[-1])</f>
        <v/>
      </c>
    </row>
    <row r="19">
      <c r="A19" t="inlineStr">
        <is>
          <t>ATF fuel</t>
        </is>
      </c>
      <c r="B19" t="inlineStr">
        <is>
          <t>I2</t>
        </is>
      </c>
      <c r="C19" t="n">
        <v>2</v>
      </c>
      <c r="D19" t="n">
        <v>9</v>
      </c>
      <c r="E19" t="inlineStr">
        <is>
          <t>Output</t>
        </is>
      </c>
      <c r="F19" t="inlineStr">
        <is>
          <t>'=INDIRECT("F"&amp;G2)</t>
        </is>
      </c>
      <c r="G19" t="n">
        <v>44361.80250000001</v>
      </c>
      <c r="H19" t="inlineStr"/>
      <c r="I19" t="inlineStr">
        <is>
          <t xml:space="preserve">_ * #,##0_ ;_ * \-#,##0_ ;_ * "-"??_ ;_ @_ 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>
        <f>INDIRECT("F"&amp;R[0]C[-2])</f>
        <v/>
      </c>
    </row>
    <row r="20">
      <c r="A20" t="inlineStr">
        <is>
          <t>ATF fuel</t>
        </is>
      </c>
      <c r="B20" t="inlineStr">
        <is>
          <t>J2</t>
        </is>
      </c>
      <c r="C20" t="n">
        <v>2</v>
      </c>
      <c r="D20" t="n">
        <v>10</v>
      </c>
      <c r="E20" t="inlineStr">
        <is>
          <t>Input</t>
        </is>
      </c>
      <c r="F20" t="n">
        <v/>
      </c>
      <c r="G20" t="n">
        <v>82.63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ATF fuel</t>
        </is>
      </c>
      <c r="B21" t="inlineStr">
        <is>
          <t>K2</t>
        </is>
      </c>
      <c r="C21" t="n">
        <v>2</v>
      </c>
      <c r="D21" t="n">
        <v>11</v>
      </c>
      <c r="E21" t="inlineStr">
        <is>
          <t>Input</t>
        </is>
      </c>
      <c r="F21" t="n">
        <v/>
      </c>
      <c r="G21" t="n">
        <v>84.53</v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ATF fuel</t>
        </is>
      </c>
      <c r="B22" t="inlineStr">
        <is>
          <t>L2</t>
        </is>
      </c>
      <c r="C22" t="n">
        <v>2</v>
      </c>
      <c r="D22" t="n">
        <v>12</v>
      </c>
      <c r="E22" t="inlineStr">
        <is>
          <t>Input</t>
        </is>
      </c>
      <c r="F22" t="n">
        <v/>
      </c>
      <c r="G22" t="n">
        <v>50873</v>
      </c>
      <c r="H22" t="inlineStr"/>
      <c r="I22" t="inlineStr">
        <is>
          <t>#,##0.00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ATF fuel</t>
        </is>
      </c>
      <c r="B23" t="inlineStr">
        <is>
          <t>M2</t>
        </is>
      </c>
      <c r="C23" t="n">
        <v>2</v>
      </c>
      <c r="D23" t="n">
        <v>13</v>
      </c>
      <c r="E23" t="inlineStr">
        <is>
          <t>Input</t>
        </is>
      </c>
      <c r="F23" t="n">
        <v/>
      </c>
      <c r="G23" t="n">
        <v>2017</v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ATF fuel</t>
        </is>
      </c>
      <c r="B24" t="inlineStr">
        <is>
          <t>O2</t>
        </is>
      </c>
      <c r="C24" t="n">
        <v>2</v>
      </c>
      <c r="D24" t="n">
        <v>15</v>
      </c>
      <c r="E24" t="inlineStr">
        <is>
          <t>Output</t>
        </is>
      </c>
      <c r="F24" t="inlineStr">
        <is>
          <t>'=L2/1000</t>
        </is>
      </c>
      <c r="G24" t="n">
        <v>50.873</v>
      </c>
      <c r="H24" t="inlineStr"/>
      <c r="I24" t="inlineStr">
        <is>
          <t>0.00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G000285</t>
        </is>
      </c>
      <c r="T24" t="inlineStr">
        <is>
          <t>Vertical</t>
        </is>
      </c>
      <c r="U24" t="n">
        <v>7</v>
      </c>
      <c r="V24" t="b">
        <v>1</v>
      </c>
      <c r="W24" t="inlineStr">
        <is>
          <t>ATF fuel!O2:O8</t>
        </is>
      </c>
      <c r="X24">
        <f>R[0]C[-3]/1000</f>
        <v/>
      </c>
    </row>
    <row r="25">
      <c r="A25" t="inlineStr">
        <is>
          <t>ATF fuel</t>
        </is>
      </c>
      <c r="B25" t="inlineStr">
        <is>
          <t>Q2</t>
        </is>
      </c>
      <c r="C25" t="n">
        <v>2</v>
      </c>
      <c r="D25" t="n">
        <v>17</v>
      </c>
      <c r="E25" t="inlineStr">
        <is>
          <t>Output</t>
        </is>
      </c>
      <c r="F25" t="inlineStr">
        <is>
          <t>'=AVERAGE(F2:F23)</t>
        </is>
      </c>
      <c r="G25" t="n">
        <v>50873.20333333332</v>
      </c>
      <c r="H25" t="inlineStr"/>
      <c r="I25" t="inlineStr">
        <is>
          <t>#,##0</t>
        </is>
      </c>
      <c r="J25" t="b">
        <v>0</v>
      </c>
      <c r="K25" t="b">
        <v>0</v>
      </c>
      <c r="L25" t="n">
        <v>11</v>
      </c>
      <c r="M25" t="n">
        <v/>
      </c>
      <c r="N25" t="inlineStr">
        <is>
          <t>00000000</t>
        </is>
      </c>
      <c r="O25" t="inlineStr">
        <is>
          <t>center</t>
        </is>
      </c>
      <c r="P25" t="n">
        <v/>
      </c>
      <c r="Q25" t="b">
        <v>1</v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>
        <f>AVERAGE(R[0]C[-11]:R[21]C[-11])</f>
        <v/>
      </c>
    </row>
    <row r="26">
      <c r="A26" t="inlineStr">
        <is>
          <t>ATF fuel</t>
        </is>
      </c>
      <c r="B26" t="inlineStr">
        <is>
          <t>A3</t>
        </is>
      </c>
      <c r="C26" t="n">
        <v>3</v>
      </c>
      <c r="D26" t="n">
        <v>1</v>
      </c>
      <c r="E26" t="inlineStr">
        <is>
          <t>Input</t>
        </is>
      </c>
      <c r="F26" t="n">
        <v/>
      </c>
      <c r="G26" t="inlineStr">
        <is>
          <t>November 01,2017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n">
        <v/>
      </c>
      <c r="N26" t="inlineStr">
        <is>
          <t>00000000</t>
        </is>
      </c>
      <c r="O26" t="n">
        <v/>
      </c>
      <c r="P26" t="n">
        <v/>
      </c>
      <c r="Q26" t="b">
        <v>1</v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ATF fuel</t>
        </is>
      </c>
      <c r="B27" t="inlineStr">
        <is>
          <t>B3</t>
        </is>
      </c>
      <c r="C27" t="n">
        <v>3</v>
      </c>
      <c r="D27" t="n">
        <v>2</v>
      </c>
      <c r="E27" t="inlineStr">
        <is>
          <t>Input</t>
        </is>
      </c>
      <c r="F27" t="n">
        <v/>
      </c>
      <c r="G27" t="n">
        <v>54143</v>
      </c>
      <c r="H27" t="inlineStr"/>
      <c r="I27" t="inlineStr">
        <is>
          <t>#,##0</t>
        </is>
      </c>
      <c r="J27" t="b">
        <v>0</v>
      </c>
      <c r="K27" t="b">
        <v>0</v>
      </c>
      <c r="L27" t="n">
        <v>11</v>
      </c>
      <c r="M27" t="n">
        <v/>
      </c>
      <c r="N27" t="inlineStr">
        <is>
          <t>00000000</t>
        </is>
      </c>
      <c r="O27" t="inlineStr">
        <is>
          <t>center</t>
        </is>
      </c>
      <c r="P27" t="n">
        <v/>
      </c>
      <c r="Q27" t="b">
        <v>1</v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ATF fuel</t>
        </is>
      </c>
      <c r="B28" t="inlineStr">
        <is>
          <t>C3</t>
        </is>
      </c>
      <c r="C28" t="n">
        <v>3</v>
      </c>
      <c r="D28" t="n">
        <v>3</v>
      </c>
      <c r="E28" t="inlineStr">
        <is>
          <t>Input</t>
        </is>
      </c>
      <c r="F28" t="n">
        <v/>
      </c>
      <c r="G28" t="n">
        <v>58478</v>
      </c>
      <c r="H28" t="inlineStr"/>
      <c r="I28" t="inlineStr">
        <is>
          <t>#,##0</t>
        </is>
      </c>
      <c r="J28" t="b">
        <v>0</v>
      </c>
      <c r="K28" t="b">
        <v>0</v>
      </c>
      <c r="L28" t="n">
        <v>11</v>
      </c>
      <c r="M28" t="n">
        <v/>
      </c>
      <c r="N28" t="inlineStr">
        <is>
          <t>00000000</t>
        </is>
      </c>
      <c r="O28" t="inlineStr">
        <is>
          <t>center</t>
        </is>
      </c>
      <c r="P28" t="n">
        <v/>
      </c>
      <c r="Q28" t="b">
        <v>1</v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ATF fuel</t>
        </is>
      </c>
      <c r="B29" t="inlineStr">
        <is>
          <t>D3</t>
        </is>
      </c>
      <c r="C29" t="n">
        <v>3</v>
      </c>
      <c r="D29" t="n">
        <v>4</v>
      </c>
      <c r="E29" t="inlineStr">
        <is>
          <t>Input</t>
        </is>
      </c>
      <c r="F29" t="n">
        <v/>
      </c>
      <c r="G29" t="n">
        <v>53430</v>
      </c>
      <c r="H29" t="inlineStr"/>
      <c r="I29" t="inlineStr">
        <is>
          <t>#,##0</t>
        </is>
      </c>
      <c r="J29" t="b">
        <v>0</v>
      </c>
      <c r="K29" t="b">
        <v>0</v>
      </c>
      <c r="L29" t="n">
        <v>11</v>
      </c>
      <c r="M29" t="n">
        <v/>
      </c>
      <c r="N29" t="inlineStr">
        <is>
          <t>00000000</t>
        </is>
      </c>
      <c r="O29" t="inlineStr">
        <is>
          <t>center</t>
        </is>
      </c>
      <c r="P29" t="n">
        <v/>
      </c>
      <c r="Q29" t="b">
        <v>1</v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ATF fuel</t>
        </is>
      </c>
      <c r="B30" t="inlineStr">
        <is>
          <t>E3</t>
        </is>
      </c>
      <c r="C30" t="n">
        <v>3</v>
      </c>
      <c r="D30" t="n">
        <v>5</v>
      </c>
      <c r="E30" t="inlineStr">
        <is>
          <t>Input</t>
        </is>
      </c>
      <c r="F30" t="n">
        <v/>
      </c>
      <c r="G30" t="n">
        <v>56934</v>
      </c>
      <c r="H30" t="inlineStr"/>
      <c r="I30" t="inlineStr">
        <is>
          <t>#,##0</t>
        </is>
      </c>
      <c r="J30" t="b">
        <v>0</v>
      </c>
      <c r="K30" t="b">
        <v>0</v>
      </c>
      <c r="L30" t="n">
        <v>11</v>
      </c>
      <c r="M30" t="n">
        <v/>
      </c>
      <c r="N30" t="inlineStr">
        <is>
          <t>00000000</t>
        </is>
      </c>
      <c r="O30" t="inlineStr">
        <is>
          <t>center</t>
        </is>
      </c>
      <c r="P30" t="n">
        <v/>
      </c>
      <c r="Q30" t="b">
        <v>1</v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ATF fuel</t>
        </is>
      </c>
      <c r="B31" t="inlineStr">
        <is>
          <t>F3</t>
        </is>
      </c>
      <c r="C31" t="n">
        <v>3</v>
      </c>
      <c r="D31" t="n">
        <v>6</v>
      </c>
      <c r="E31" t="inlineStr">
        <is>
          <t>Calculation</t>
        </is>
      </c>
      <c r="F31" t="inlineStr">
        <is>
          <t>'=AVERAGE(B3:E3)</t>
        </is>
      </c>
      <c r="G31" t="n">
        <v>55746.25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inlineStr">
        <is>
          <t>center</t>
        </is>
      </c>
      <c r="P31" t="n">
        <v/>
      </c>
      <c r="R31" t="b">
        <v>1</v>
      </c>
      <c r="S31" t="inlineStr">
        <is>
          <t>G000284</t>
        </is>
      </c>
      <c r="T31" t="inlineStr">
        <is>
          <t>Vertical</t>
        </is>
      </c>
      <c r="U31" t="n">
        <v>130</v>
      </c>
      <c r="V31" t="b">
        <v>1</v>
      </c>
      <c r="W31" t="inlineStr">
        <is>
          <t>ATF fuel!F2:F131</t>
        </is>
      </c>
      <c r="X31">
        <f>AVERAGE(R[0]C[-4]:R[0]C[-1])</f>
        <v/>
      </c>
    </row>
    <row r="32">
      <c r="A32" t="inlineStr">
        <is>
          <t>ATF fuel</t>
        </is>
      </c>
      <c r="B32" t="inlineStr">
        <is>
          <t>G3</t>
        </is>
      </c>
      <c r="C32" t="n">
        <v>3</v>
      </c>
      <c r="D32" t="n">
        <v>7</v>
      </c>
      <c r="E32" t="inlineStr">
        <is>
          <t>Calculation</t>
        </is>
      </c>
      <c r="F32" t="inlineStr">
        <is>
          <t>'=G2-1</t>
        </is>
      </c>
      <c r="G32" t="n">
        <v>130</v>
      </c>
      <c r="H32" t="inlineStr"/>
      <c r="I32" t="inlineStr">
        <is>
          <t>#,##0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G000286</t>
        </is>
      </c>
      <c r="T32" t="inlineStr">
        <is>
          <t>Vertical</t>
        </is>
      </c>
      <c r="U32" t="n">
        <v>129</v>
      </c>
      <c r="V32" t="b">
        <v>1</v>
      </c>
      <c r="W32" t="inlineStr">
        <is>
          <t>ATF fuel!G3:G131</t>
        </is>
      </c>
      <c r="X32">
        <f>R[-1]C[0]-1</f>
        <v/>
      </c>
    </row>
    <row r="33">
      <c r="A33" t="inlineStr">
        <is>
          <t>ATF fuel</t>
        </is>
      </c>
      <c r="B33" t="inlineStr">
        <is>
          <t>H3</t>
        </is>
      </c>
      <c r="C33" t="n">
        <v>3</v>
      </c>
      <c r="D33" t="n">
        <v>8</v>
      </c>
      <c r="E33" t="inlineStr">
        <is>
          <t>Output</t>
        </is>
      </c>
      <c r="F33" t="inlineStr">
        <is>
          <t>'=INDIRECT("A"&amp;G4)</t>
        </is>
      </c>
      <c r="G33" t="inlineStr">
        <is>
          <t>May 01, 2010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>
        <f>INDIRECT("A"&amp;R[1]C[-1])</f>
        <v/>
      </c>
    </row>
    <row r="34">
      <c r="A34" t="inlineStr">
        <is>
          <t>ATF fuel</t>
        </is>
      </c>
      <c r="B34" t="inlineStr">
        <is>
          <t>I3</t>
        </is>
      </c>
      <c r="C34" t="n">
        <v>3</v>
      </c>
      <c r="D34" t="n">
        <v>9</v>
      </c>
      <c r="E34" t="inlineStr">
        <is>
          <t>Output</t>
        </is>
      </c>
      <c r="F34" t="inlineStr">
        <is>
          <t>'=INDIRECT("F"&amp;G4)</t>
        </is>
      </c>
      <c r="G34" t="n">
        <v>46016.395</v>
      </c>
      <c r="H34" t="inlineStr"/>
      <c r="I34" t="inlineStr">
        <is>
          <t xml:space="preserve">_ * #,##0_ ;_ * \-#,##0_ ;_ * "-"??_ ;_ @_ 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>
        <f>INDIRECT("F"&amp;R[1]C[-2])</f>
        <v/>
      </c>
    </row>
    <row r="35">
      <c r="A35" t="inlineStr">
        <is>
          <t>ATF fuel</t>
        </is>
      </c>
      <c r="B35" t="inlineStr">
        <is>
          <t>J3</t>
        </is>
      </c>
      <c r="C35" t="n">
        <v>3</v>
      </c>
      <c r="D35" t="n">
        <v>10</v>
      </c>
      <c r="E35" t="inlineStr">
        <is>
          <t>Input</t>
        </is>
      </c>
      <c r="F35" t="n">
        <v/>
      </c>
      <c r="G35" t="n">
        <v>88.09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ATF fuel</t>
        </is>
      </c>
      <c r="B36" t="inlineStr">
        <is>
          <t>K3</t>
        </is>
      </c>
      <c r="C36" t="n">
        <v>3</v>
      </c>
      <c r="D36" t="n">
        <v>11</v>
      </c>
      <c r="E36" t="inlineStr">
        <is>
          <t>Input</t>
        </is>
      </c>
      <c r="F36" t="n">
        <v/>
      </c>
      <c r="G36" t="n">
        <v>86.19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ATF fuel</t>
        </is>
      </c>
      <c r="B37" t="inlineStr">
        <is>
          <t>L3</t>
        </is>
      </c>
      <c r="C37" t="n">
        <v>3</v>
      </c>
      <c r="D37" t="n">
        <v>12</v>
      </c>
      <c r="E37" t="inlineStr">
        <is>
          <t>Input</t>
        </is>
      </c>
      <c r="F37" t="n">
        <v/>
      </c>
      <c r="G37" t="n">
        <v>47277.21</v>
      </c>
      <c r="H37" t="inlineStr"/>
      <c r="I37" t="inlineStr">
        <is>
          <t>#,##0.00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ATF fuel</t>
        </is>
      </c>
      <c r="B38" t="inlineStr">
        <is>
          <t>M3</t>
        </is>
      </c>
      <c r="C38" t="n">
        <v>3</v>
      </c>
      <c r="D38" t="n">
        <v>13</v>
      </c>
      <c r="E38" t="inlineStr">
        <is>
          <t>Input</t>
        </is>
      </c>
      <c r="F38" t="n">
        <v/>
      </c>
      <c r="G38" t="n">
        <v>2016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ATF fuel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Output</t>
        </is>
      </c>
      <c r="F39" t="inlineStr">
        <is>
          <t>'=L3/1000</t>
        </is>
      </c>
      <c r="G39" t="n">
        <v>47.27721</v>
      </c>
      <c r="H39" t="inlineStr"/>
      <c r="I39" t="inlineStr">
        <is>
          <t>0.00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inlineStr">
        <is>
          <t>G000285</t>
        </is>
      </c>
      <c r="T39" t="inlineStr">
        <is>
          <t>Vertical</t>
        </is>
      </c>
      <c r="U39" t="n">
        <v>7</v>
      </c>
      <c r="V39" t="b">
        <v>1</v>
      </c>
      <c r="W39" t="inlineStr">
        <is>
          <t>ATF fuel!O2:O8</t>
        </is>
      </c>
      <c r="X39">
        <f>R[0]C[-3]/1000</f>
        <v/>
      </c>
    </row>
    <row r="40">
      <c r="A40" t="inlineStr">
        <is>
          <t>ATF fuel</t>
        </is>
      </c>
      <c r="B40" t="inlineStr">
        <is>
          <t>A4</t>
        </is>
      </c>
      <c r="C40" t="n">
        <v>4</v>
      </c>
      <c r="D40" t="n">
        <v>1</v>
      </c>
      <c r="E40" t="inlineStr">
        <is>
          <t>Input</t>
        </is>
      </c>
      <c r="F40" t="n">
        <v/>
      </c>
      <c r="G40" t="inlineStr">
        <is>
          <t>October 01,2017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n">
        <v/>
      </c>
      <c r="N40" t="inlineStr">
        <is>
          <t>00000000</t>
        </is>
      </c>
      <c r="O40" t="n">
        <v/>
      </c>
      <c r="P40" t="n">
        <v/>
      </c>
      <c r="Q40" t="b">
        <v>1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ATF fuel</t>
        </is>
      </c>
      <c r="B41" t="inlineStr">
        <is>
          <t>B4</t>
        </is>
      </c>
      <c r="C41" t="n">
        <v>4</v>
      </c>
      <c r="D41" t="n">
        <v>2</v>
      </c>
      <c r="E41" t="inlineStr">
        <is>
          <t>Input</t>
        </is>
      </c>
      <c r="F41" t="n">
        <v/>
      </c>
      <c r="G41" t="n">
        <v>53045</v>
      </c>
      <c r="H41" t="inlineStr"/>
      <c r="I41" t="inlineStr">
        <is>
          <t>#,##0</t>
        </is>
      </c>
      <c r="J41" t="b">
        <v>0</v>
      </c>
      <c r="K41" t="b">
        <v>0</v>
      </c>
      <c r="L41" t="n">
        <v>11</v>
      </c>
      <c r="M41" t="n">
        <v/>
      </c>
      <c r="N41" t="inlineStr">
        <is>
          <t>00000000</t>
        </is>
      </c>
      <c r="O41" t="inlineStr">
        <is>
          <t>center</t>
        </is>
      </c>
      <c r="P41" t="n">
        <v/>
      </c>
      <c r="Q41" t="b">
        <v>1</v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ATF fuel</t>
        </is>
      </c>
      <c r="B42" t="inlineStr">
        <is>
          <t>C4</t>
        </is>
      </c>
      <c r="C42" t="n">
        <v>4</v>
      </c>
      <c r="D42" t="n">
        <v>3</v>
      </c>
      <c r="E42" t="inlineStr">
        <is>
          <t>Input</t>
        </is>
      </c>
      <c r="F42" t="n">
        <v/>
      </c>
      <c r="G42" t="n">
        <v>57337</v>
      </c>
      <c r="H42" t="inlineStr"/>
      <c r="I42" t="inlineStr">
        <is>
          <t>#,##0</t>
        </is>
      </c>
      <c r="J42" t="b">
        <v>0</v>
      </c>
      <c r="K42" t="b">
        <v>0</v>
      </c>
      <c r="L42" t="n">
        <v>11</v>
      </c>
      <c r="M42" t="n">
        <v/>
      </c>
      <c r="N42" t="inlineStr">
        <is>
          <t>00000000</t>
        </is>
      </c>
      <c r="O42" t="inlineStr">
        <is>
          <t>center</t>
        </is>
      </c>
      <c r="P42" t="n">
        <v/>
      </c>
      <c r="Q42" t="b">
        <v>1</v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ATF fuel</t>
        </is>
      </c>
      <c r="B43" t="inlineStr">
        <is>
          <t>D4</t>
        </is>
      </c>
      <c r="C43" t="n">
        <v>4</v>
      </c>
      <c r="D43" t="n">
        <v>4</v>
      </c>
      <c r="E43" t="inlineStr">
        <is>
          <t>Input</t>
        </is>
      </c>
      <c r="F43" t="n">
        <v/>
      </c>
      <c r="G43" t="n">
        <v>52318</v>
      </c>
      <c r="H43" t="inlineStr"/>
      <c r="I43" t="inlineStr">
        <is>
          <t>#,##0</t>
        </is>
      </c>
      <c r="J43" t="b">
        <v>0</v>
      </c>
      <c r="K43" t="b">
        <v>0</v>
      </c>
      <c r="L43" t="n">
        <v>11</v>
      </c>
      <c r="M43" t="n">
        <v/>
      </c>
      <c r="N43" t="inlineStr">
        <is>
          <t>00000000</t>
        </is>
      </c>
      <c r="O43" t="inlineStr">
        <is>
          <t>center</t>
        </is>
      </c>
      <c r="P43" t="n">
        <v/>
      </c>
      <c r="Q43" t="b">
        <v>1</v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ATF fuel</t>
        </is>
      </c>
      <c r="B44" t="inlineStr">
        <is>
          <t>E4</t>
        </is>
      </c>
      <c r="C44" t="n">
        <v>4</v>
      </c>
      <c r="D44" t="n">
        <v>5</v>
      </c>
      <c r="E44" t="inlineStr">
        <is>
          <t>Input</t>
        </is>
      </c>
      <c r="F44" t="n">
        <v/>
      </c>
      <c r="G44" t="n">
        <v>55770</v>
      </c>
      <c r="H44" t="inlineStr"/>
      <c r="I44" t="inlineStr">
        <is>
          <t>#,##0</t>
        </is>
      </c>
      <c r="J44" t="b">
        <v>0</v>
      </c>
      <c r="K44" t="b">
        <v>0</v>
      </c>
      <c r="L44" t="n">
        <v>11</v>
      </c>
      <c r="M44" t="n">
        <v/>
      </c>
      <c r="N44" t="inlineStr">
        <is>
          <t>00000000</t>
        </is>
      </c>
      <c r="O44" t="inlineStr">
        <is>
          <t>center</t>
        </is>
      </c>
      <c r="P44" t="n">
        <v/>
      </c>
      <c r="Q44" t="b">
        <v>1</v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ATF fuel</t>
        </is>
      </c>
      <c r="B45" t="inlineStr">
        <is>
          <t>F4</t>
        </is>
      </c>
      <c r="C45" t="n">
        <v>4</v>
      </c>
      <c r="D45" t="n">
        <v>6</v>
      </c>
      <c r="E45" t="inlineStr">
        <is>
          <t>Calculation</t>
        </is>
      </c>
      <c r="F45" t="inlineStr">
        <is>
          <t>'=AVERAGE(B4:E4)</t>
        </is>
      </c>
      <c r="G45" t="n">
        <v>54617.5</v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inlineStr">
        <is>
          <t>center</t>
        </is>
      </c>
      <c r="P45" t="n">
        <v/>
      </c>
      <c r="R45" t="b">
        <v>1</v>
      </c>
      <c r="S45" t="inlineStr">
        <is>
          <t>G000284</t>
        </is>
      </c>
      <c r="T45" t="inlineStr">
        <is>
          <t>Vertical</t>
        </is>
      </c>
      <c r="U45" t="n">
        <v>130</v>
      </c>
      <c r="V45" t="b">
        <v>1</v>
      </c>
      <c r="W45" t="inlineStr">
        <is>
          <t>ATF fuel!F2:F131</t>
        </is>
      </c>
      <c r="X45">
        <f>AVERAGE(R[0]C[-4]:R[0]C[-1])</f>
        <v/>
      </c>
    </row>
    <row r="46">
      <c r="A46" t="inlineStr">
        <is>
          <t>ATF fuel</t>
        </is>
      </c>
      <c r="B46" t="inlineStr">
        <is>
          <t>G4</t>
        </is>
      </c>
      <c r="C46" t="n">
        <v>4</v>
      </c>
      <c r="D46" t="n">
        <v>7</v>
      </c>
      <c r="E46" t="inlineStr">
        <is>
          <t>Calculation</t>
        </is>
      </c>
      <c r="F46" t="inlineStr">
        <is>
          <t>'=G3-1</t>
        </is>
      </c>
      <c r="G46" t="n">
        <v>129</v>
      </c>
      <c r="H46" t="inlineStr"/>
      <c r="I46" t="inlineStr">
        <is>
          <t>#,##0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G000286</t>
        </is>
      </c>
      <c r="T46" t="inlineStr">
        <is>
          <t>Vertical</t>
        </is>
      </c>
      <c r="U46" t="n">
        <v>129</v>
      </c>
      <c r="V46" t="b">
        <v>1</v>
      </c>
      <c r="W46" t="inlineStr">
        <is>
          <t>ATF fuel!G3:G131</t>
        </is>
      </c>
      <c r="X46">
        <f>R[-1]C[0]-1</f>
        <v/>
      </c>
    </row>
    <row r="47">
      <c r="A47" t="inlineStr">
        <is>
          <t>ATF fuel</t>
        </is>
      </c>
      <c r="B47" t="inlineStr">
        <is>
          <t>H4</t>
        </is>
      </c>
      <c r="C47" t="n">
        <v>4</v>
      </c>
      <c r="D47" t="n">
        <v>8</v>
      </c>
      <c r="E47" t="inlineStr">
        <is>
          <t>Output</t>
        </is>
      </c>
      <c r="F47" t="inlineStr">
        <is>
          <t>'=INDIRECT("A"&amp;G6)</t>
        </is>
      </c>
      <c r="G47" t="inlineStr">
        <is>
          <t>June 01, 2010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>
        <f>INDIRECT("A"&amp;R[2]C[-1])</f>
        <v/>
      </c>
    </row>
    <row r="48">
      <c r="A48" t="inlineStr">
        <is>
          <t>ATF fuel</t>
        </is>
      </c>
      <c r="B48" t="inlineStr">
        <is>
          <t>I4</t>
        </is>
      </c>
      <c r="C48" t="n">
        <v>4</v>
      </c>
      <c r="D48" t="n">
        <v>9</v>
      </c>
      <c r="E48" t="inlineStr">
        <is>
          <t>Output</t>
        </is>
      </c>
      <c r="F48" t="inlineStr">
        <is>
          <t>'=INDIRECT("F"&amp;G6)</t>
        </is>
      </c>
      <c r="G48" t="n">
        <v>42951.23</v>
      </c>
      <c r="H48" t="inlineStr"/>
      <c r="I48" t="inlineStr">
        <is>
          <t xml:space="preserve">_ * #,##0_ ;_ * \-#,##0_ ;_ * "-"??_ ;_ @_ 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>
        <f>INDIRECT("F"&amp;R[2]C[-2])</f>
        <v/>
      </c>
    </row>
    <row r="49">
      <c r="A49" t="inlineStr">
        <is>
          <t>ATF fuel</t>
        </is>
      </c>
      <c r="B49" t="inlineStr">
        <is>
          <t>J4</t>
        </is>
      </c>
      <c r="C49" t="n">
        <v>4</v>
      </c>
      <c r="D49" t="n">
        <v>10</v>
      </c>
      <c r="E49" t="inlineStr">
        <is>
          <t>Input</t>
        </is>
      </c>
      <c r="F49" t="n">
        <v/>
      </c>
      <c r="G49" t="n">
        <v>73.08</v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ATF fuel</t>
        </is>
      </c>
      <c r="B50" t="inlineStr">
        <is>
          <t>K4</t>
        </is>
      </c>
      <c r="C50" t="n">
        <v>4</v>
      </c>
      <c r="D50" t="n">
        <v>11</v>
      </c>
      <c r="E50" t="inlineStr">
        <is>
          <t>Input</t>
        </is>
      </c>
      <c r="F50" t="n">
        <v/>
      </c>
      <c r="G50" t="n">
        <v>72.7</v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ATF fuel</t>
        </is>
      </c>
      <c r="B51" t="inlineStr">
        <is>
          <t>L4</t>
        </is>
      </c>
      <c r="C51" t="n">
        <v>4</v>
      </c>
      <c r="D51" t="n">
        <v>12</v>
      </c>
      <c r="E51" t="inlineStr">
        <is>
          <t>Input</t>
        </is>
      </c>
      <c r="F51" t="n">
        <v/>
      </c>
      <c r="G51" t="n">
        <v>68370.4473076923</v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ATF fuel</t>
        </is>
      </c>
      <c r="B52" t="inlineStr">
        <is>
          <t>M4</t>
        </is>
      </c>
      <c r="C52" t="n">
        <v>4</v>
      </c>
      <c r="D52" t="n">
        <v>13</v>
      </c>
      <c r="E52" t="inlineStr">
        <is>
          <t>Input</t>
        </is>
      </c>
      <c r="F52" t="n">
        <v/>
      </c>
      <c r="G52" t="n">
        <v>2015</v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ATF fuel</t>
        </is>
      </c>
      <c r="B53" t="inlineStr">
        <is>
          <t>O4</t>
        </is>
      </c>
      <c r="C53" t="n">
        <v>4</v>
      </c>
      <c r="D53" t="n">
        <v>15</v>
      </c>
      <c r="E53" t="inlineStr">
        <is>
          <t>Output</t>
        </is>
      </c>
      <c r="F53" t="inlineStr">
        <is>
          <t>'=L4/1000</t>
        </is>
      </c>
      <c r="G53" t="n">
        <v>68.3704473076923</v>
      </c>
      <c r="H53" t="inlineStr"/>
      <c r="I53" t="inlineStr">
        <is>
          <t>0.00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G000285</t>
        </is>
      </c>
      <c r="T53" t="inlineStr">
        <is>
          <t>Vertical</t>
        </is>
      </c>
      <c r="U53" t="n">
        <v>7</v>
      </c>
      <c r="V53" t="b">
        <v>1</v>
      </c>
      <c r="W53" t="inlineStr">
        <is>
          <t>ATF fuel!O2:O8</t>
        </is>
      </c>
      <c r="X53">
        <f>R[0]C[-3]/1000</f>
        <v/>
      </c>
    </row>
    <row r="54">
      <c r="A54" t="inlineStr">
        <is>
          <t>ATF fuel</t>
        </is>
      </c>
      <c r="B54" t="inlineStr">
        <is>
          <t>A5</t>
        </is>
      </c>
      <c r="C54" t="n">
        <v>5</v>
      </c>
      <c r="D54" t="n">
        <v>1</v>
      </c>
      <c r="E54" t="inlineStr">
        <is>
          <t>Input</t>
        </is>
      </c>
      <c r="F54" t="n">
        <v/>
      </c>
      <c r="G54" t="inlineStr">
        <is>
          <t>September 01,2017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n">
        <v/>
      </c>
      <c r="N54" t="inlineStr">
        <is>
          <t>00000000</t>
        </is>
      </c>
      <c r="O54" t="n">
        <v/>
      </c>
      <c r="P54" t="n">
        <v/>
      </c>
      <c r="Q54" t="b">
        <v>1</v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ATF fuel</t>
        </is>
      </c>
      <c r="B55" t="inlineStr">
        <is>
          <t>B5</t>
        </is>
      </c>
      <c r="C55" t="n">
        <v>5</v>
      </c>
      <c r="D55" t="n">
        <v>2</v>
      </c>
      <c r="E55" t="inlineStr">
        <is>
          <t>Input</t>
        </is>
      </c>
      <c r="F55" t="n">
        <v/>
      </c>
      <c r="G55" t="n">
        <v>50020</v>
      </c>
      <c r="H55" t="inlineStr"/>
      <c r="I55" t="inlineStr">
        <is>
          <t>#,##0</t>
        </is>
      </c>
      <c r="J55" t="b">
        <v>0</v>
      </c>
      <c r="K55" t="b">
        <v>0</v>
      </c>
      <c r="L55" t="n">
        <v>11</v>
      </c>
      <c r="M55" t="n">
        <v/>
      </c>
      <c r="N55" t="inlineStr">
        <is>
          <t>00000000</t>
        </is>
      </c>
      <c r="O55" t="inlineStr">
        <is>
          <t>center</t>
        </is>
      </c>
      <c r="P55" t="n">
        <v/>
      </c>
      <c r="Q55" t="b">
        <v>1</v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ATF fuel</t>
        </is>
      </c>
      <c r="B56" t="inlineStr">
        <is>
          <t>C5</t>
        </is>
      </c>
      <c r="C56" t="n">
        <v>5</v>
      </c>
      <c r="D56" t="n">
        <v>3</v>
      </c>
      <c r="E56" t="inlineStr">
        <is>
          <t>Input</t>
        </is>
      </c>
      <c r="F56" t="n">
        <v/>
      </c>
      <c r="G56" t="n">
        <v>54416</v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n">
        <v/>
      </c>
      <c r="N56" t="inlineStr">
        <is>
          <t>00000000</t>
        </is>
      </c>
      <c r="O56" t="inlineStr">
        <is>
          <t>center</t>
        </is>
      </c>
      <c r="P56" t="n">
        <v/>
      </c>
      <c r="Q56" t="b">
        <v>1</v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ATF fuel</t>
        </is>
      </c>
      <c r="B57" t="inlineStr">
        <is>
          <t>D5</t>
        </is>
      </c>
      <c r="C57" t="n">
        <v>5</v>
      </c>
      <c r="D57" t="n">
        <v>4</v>
      </c>
      <c r="E57" t="inlineStr">
        <is>
          <t>Input</t>
        </is>
      </c>
      <c r="F57" t="n">
        <v/>
      </c>
      <c r="G57" t="n">
        <v>49383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n">
        <v/>
      </c>
      <c r="N57" t="inlineStr">
        <is>
          <t>00000000</t>
        </is>
      </c>
      <c r="O57" t="inlineStr">
        <is>
          <t>center</t>
        </is>
      </c>
      <c r="P57" t="n">
        <v/>
      </c>
      <c r="Q57" t="b">
        <v>1</v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ATF fuel</t>
        </is>
      </c>
      <c r="B58" t="inlineStr">
        <is>
          <t>E5</t>
        </is>
      </c>
      <c r="C58" t="n">
        <v>5</v>
      </c>
      <c r="D58" t="n">
        <v>5</v>
      </c>
      <c r="E58" t="inlineStr">
        <is>
          <t>Input</t>
        </is>
      </c>
      <c r="F58" t="n">
        <v/>
      </c>
      <c r="G58" t="n">
        <v>52740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n">
        <v/>
      </c>
      <c r="N58" t="inlineStr">
        <is>
          <t>00000000</t>
        </is>
      </c>
      <c r="O58" t="inlineStr">
        <is>
          <t>center</t>
        </is>
      </c>
      <c r="P58" t="n">
        <v/>
      </c>
      <c r="Q58" t="b">
        <v>1</v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ATF fuel</t>
        </is>
      </c>
      <c r="B59" t="inlineStr">
        <is>
          <t>F5</t>
        </is>
      </c>
      <c r="C59" t="n">
        <v>5</v>
      </c>
      <c r="D59" t="n">
        <v>6</v>
      </c>
      <c r="E59" t="inlineStr">
        <is>
          <t>Calculation</t>
        </is>
      </c>
      <c r="F59" t="inlineStr">
        <is>
          <t>'=AVERAGE(B5:E5)</t>
        </is>
      </c>
      <c r="G59" t="n">
        <v>51639.75</v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inlineStr">
        <is>
          <t>center</t>
        </is>
      </c>
      <c r="P59" t="n">
        <v/>
      </c>
      <c r="R59" t="b">
        <v>1</v>
      </c>
      <c r="S59" t="inlineStr">
        <is>
          <t>G000284</t>
        </is>
      </c>
      <c r="T59" t="inlineStr">
        <is>
          <t>Vertical</t>
        </is>
      </c>
      <c r="U59" t="n">
        <v>130</v>
      </c>
      <c r="V59" t="b">
        <v>1</v>
      </c>
      <c r="W59" t="inlineStr">
        <is>
          <t>ATF fuel!F2:F131</t>
        </is>
      </c>
      <c r="X59">
        <f>AVERAGE(R[0]C[-4]:R[0]C[-1])</f>
        <v/>
      </c>
    </row>
    <row r="60">
      <c r="A60" t="inlineStr">
        <is>
          <t>ATF fuel</t>
        </is>
      </c>
      <c r="B60" t="inlineStr">
        <is>
          <t>G5</t>
        </is>
      </c>
      <c r="C60" t="n">
        <v>5</v>
      </c>
      <c r="D60" t="n">
        <v>7</v>
      </c>
      <c r="E60" t="inlineStr">
        <is>
          <t>Calculation</t>
        </is>
      </c>
      <c r="F60" t="inlineStr">
        <is>
          <t>'=G4-1</t>
        </is>
      </c>
      <c r="G60" t="n">
        <v>128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G000286</t>
        </is>
      </c>
      <c r="T60" t="inlineStr">
        <is>
          <t>Vertical</t>
        </is>
      </c>
      <c r="U60" t="n">
        <v>129</v>
      </c>
      <c r="V60" t="b">
        <v>1</v>
      </c>
      <c r="W60" t="inlineStr">
        <is>
          <t>ATF fuel!G3:G131</t>
        </is>
      </c>
      <c r="X60">
        <f>R[-1]C[0]-1</f>
        <v/>
      </c>
    </row>
    <row r="61">
      <c r="A61" t="inlineStr">
        <is>
          <t>ATF fuel</t>
        </is>
      </c>
      <c r="B61" t="inlineStr">
        <is>
          <t>H5</t>
        </is>
      </c>
      <c r="C61" t="n">
        <v>5</v>
      </c>
      <c r="D61" t="n">
        <v>8</v>
      </c>
      <c r="E61" t="inlineStr">
        <is>
          <t>Output</t>
        </is>
      </c>
      <c r="F61" t="inlineStr">
        <is>
          <t>'=INDIRECT("A"&amp;G8)</t>
        </is>
      </c>
      <c r="G61" t="inlineStr">
        <is>
          <t>July 01, 2010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>
        <f>INDIRECT("A"&amp;R[3]C[-1])</f>
        <v/>
      </c>
    </row>
    <row r="62">
      <c r="A62" t="inlineStr">
        <is>
          <t>ATF fuel</t>
        </is>
      </c>
      <c r="B62" t="inlineStr">
        <is>
          <t>I5</t>
        </is>
      </c>
      <c r="C62" t="n">
        <v>5</v>
      </c>
      <c r="D62" t="n">
        <v>9</v>
      </c>
      <c r="E62" t="inlineStr">
        <is>
          <t>Output</t>
        </is>
      </c>
      <c r="F62" t="inlineStr">
        <is>
          <t>'=INDIRECT("F"&amp;G8)</t>
        </is>
      </c>
      <c r="G62" t="n">
        <v>45016.6925</v>
      </c>
      <c r="H62" t="inlineStr"/>
      <c r="I62" t="inlineStr">
        <is>
          <t xml:space="preserve">_ * #,##0_ ;_ * \-#,##0_ ;_ * "-"??_ ;_ @_ 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>
        <f>INDIRECT("F"&amp;R[3]C[-2])</f>
        <v/>
      </c>
    </row>
    <row r="63">
      <c r="A63" t="inlineStr">
        <is>
          <t>ATF fuel</t>
        </is>
      </c>
      <c r="B63" t="inlineStr">
        <is>
          <t>J5</t>
        </is>
      </c>
      <c r="C63" t="n">
        <v>5</v>
      </c>
      <c r="D63" t="n">
        <v>10</v>
      </c>
      <c r="E63" t="inlineStr">
        <is>
          <t>Input</t>
        </is>
      </c>
      <c r="F63" t="n">
        <v/>
      </c>
      <c r="G63" t="n">
        <v>71.73</v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ATF fuel</t>
        </is>
      </c>
      <c r="B64" t="inlineStr">
        <is>
          <t>K5</t>
        </is>
      </c>
      <c r="C64" t="n">
        <v>5</v>
      </c>
      <c r="D64" t="n">
        <v>11</v>
      </c>
      <c r="E64" t="inlineStr">
        <is>
          <t>Input</t>
        </is>
      </c>
      <c r="F64" t="n">
        <v/>
      </c>
      <c r="G64" t="n">
        <v>72.95</v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ATF fuel</t>
        </is>
      </c>
      <c r="B65" t="inlineStr">
        <is>
          <t>L5</t>
        </is>
      </c>
      <c r="C65" t="n">
        <v>5</v>
      </c>
      <c r="D65" t="n">
        <v>12</v>
      </c>
      <c r="E65" t="inlineStr">
        <is>
          <t>Input</t>
        </is>
      </c>
      <c r="F65" t="n">
        <v/>
      </c>
      <c r="G65" t="n">
        <v>75749.37604166668</v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ATF fuel</t>
        </is>
      </c>
      <c r="B66" t="inlineStr">
        <is>
          <t>M5</t>
        </is>
      </c>
      <c r="C66" t="n">
        <v>5</v>
      </c>
      <c r="D66" t="n">
        <v>13</v>
      </c>
      <c r="E66" t="inlineStr">
        <is>
          <t>Input</t>
        </is>
      </c>
      <c r="F66" t="n">
        <v/>
      </c>
      <c r="G66" t="n">
        <v>2014</v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ATF fuel</t>
        </is>
      </c>
      <c r="B67" t="inlineStr">
        <is>
          <t>O5</t>
        </is>
      </c>
      <c r="C67" t="n">
        <v>5</v>
      </c>
      <c r="D67" t="n">
        <v>15</v>
      </c>
      <c r="E67" t="inlineStr">
        <is>
          <t>Output</t>
        </is>
      </c>
      <c r="F67" t="inlineStr">
        <is>
          <t>'=L5/1000</t>
        </is>
      </c>
      <c r="G67" t="n">
        <v>75.74937604166668</v>
      </c>
      <c r="H67" t="inlineStr"/>
      <c r="I67" t="inlineStr">
        <is>
          <t>0.00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inlineStr">
        <is>
          <t>G000285</t>
        </is>
      </c>
      <c r="T67" t="inlineStr">
        <is>
          <t>Vertical</t>
        </is>
      </c>
      <c r="U67" t="n">
        <v>7</v>
      </c>
      <c r="V67" t="b">
        <v>1</v>
      </c>
      <c r="W67" t="inlineStr">
        <is>
          <t>ATF fuel!O2:O8</t>
        </is>
      </c>
      <c r="X67">
        <f>R[0]C[-3]/1000</f>
        <v/>
      </c>
    </row>
    <row r="68">
      <c r="A68" t="inlineStr">
        <is>
          <t>ATF fuel</t>
        </is>
      </c>
      <c r="B68" t="inlineStr">
        <is>
          <t>A6</t>
        </is>
      </c>
      <c r="C68" t="n">
        <v>6</v>
      </c>
      <c r="D68" t="n">
        <v>1</v>
      </c>
      <c r="E68" t="inlineStr">
        <is>
          <t>Input</t>
        </is>
      </c>
      <c r="F68" t="n">
        <v/>
      </c>
      <c r="G68" t="inlineStr">
        <is>
          <t>August 01, 2017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n">
        <v/>
      </c>
      <c r="N68" t="inlineStr">
        <is>
          <t>00000000</t>
        </is>
      </c>
      <c r="O68" t="n">
        <v/>
      </c>
      <c r="P68" t="n">
        <v/>
      </c>
      <c r="Q68" t="b">
        <v>1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ATF fuel</t>
        </is>
      </c>
      <c r="B69" t="inlineStr">
        <is>
          <t>B6</t>
        </is>
      </c>
      <c r="C69" t="n">
        <v>6</v>
      </c>
      <c r="D69" t="n">
        <v>2</v>
      </c>
      <c r="E69" t="inlineStr">
        <is>
          <t>Input</t>
        </is>
      </c>
      <c r="F69" t="n">
        <v/>
      </c>
      <c r="G69" t="inlineStr">
        <is>
          <t>48,110 .00</t>
        </is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n">
        <v/>
      </c>
      <c r="N69" t="inlineStr">
        <is>
          <t>00000000</t>
        </is>
      </c>
      <c r="O69" t="inlineStr">
        <is>
          <t>center</t>
        </is>
      </c>
      <c r="P69" t="n">
        <v/>
      </c>
      <c r="Q69" t="b">
        <v>1</v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ATF fuel</t>
        </is>
      </c>
      <c r="B70" t="inlineStr">
        <is>
          <t>C6</t>
        </is>
      </c>
      <c r="C70" t="n">
        <v>6</v>
      </c>
      <c r="D70" t="n">
        <v>3</v>
      </c>
      <c r="E70" t="inlineStr">
        <is>
          <t>Input</t>
        </is>
      </c>
      <c r="F70" t="n">
        <v/>
      </c>
      <c r="G70" t="n">
        <v>52535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n">
        <v/>
      </c>
      <c r="N70" t="inlineStr">
        <is>
          <t>00000000</t>
        </is>
      </c>
      <c r="O70" t="inlineStr">
        <is>
          <t>center</t>
        </is>
      </c>
      <c r="P70" t="n">
        <v/>
      </c>
      <c r="Q70" t="b">
        <v>1</v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ATF fuel</t>
        </is>
      </c>
      <c r="B71" t="inlineStr">
        <is>
          <t>D6</t>
        </is>
      </c>
      <c r="C71" t="n">
        <v>6</v>
      </c>
      <c r="D71" t="n">
        <v>4</v>
      </c>
      <c r="E71" t="inlineStr">
        <is>
          <t>Input</t>
        </is>
      </c>
      <c r="F71" t="n">
        <v/>
      </c>
      <c r="G71" t="n">
        <v>47459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n">
        <v/>
      </c>
      <c r="N71" t="inlineStr">
        <is>
          <t>00000000</t>
        </is>
      </c>
      <c r="O71" t="inlineStr">
        <is>
          <t>center</t>
        </is>
      </c>
      <c r="P71" t="n">
        <v/>
      </c>
      <c r="Q71" t="b">
        <v>1</v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ATF fuel</t>
        </is>
      </c>
      <c r="B72" t="inlineStr">
        <is>
          <t>E6</t>
        </is>
      </c>
      <c r="C72" t="n">
        <v>6</v>
      </c>
      <c r="D72" t="n">
        <v>5</v>
      </c>
      <c r="E72" t="inlineStr">
        <is>
          <t>Input</t>
        </is>
      </c>
      <c r="F72" t="n">
        <v/>
      </c>
      <c r="G72" t="n">
        <v>50784</v>
      </c>
      <c r="H72" t="inlineStr"/>
      <c r="I72" t="inlineStr">
        <is>
          <t>#,##0</t>
        </is>
      </c>
      <c r="J72" t="b">
        <v>0</v>
      </c>
      <c r="K72" t="b">
        <v>0</v>
      </c>
      <c r="L72" t="n">
        <v>11</v>
      </c>
      <c r="M72" t="n">
        <v/>
      </c>
      <c r="N72" t="inlineStr">
        <is>
          <t>00000000</t>
        </is>
      </c>
      <c r="O72" t="inlineStr">
        <is>
          <t>center</t>
        </is>
      </c>
      <c r="P72" t="n">
        <v/>
      </c>
      <c r="Q72" t="b">
        <v>1</v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ATF fuel</t>
        </is>
      </c>
      <c r="B73" t="inlineStr">
        <is>
          <t>F6</t>
        </is>
      </c>
      <c r="C73" t="n">
        <v>6</v>
      </c>
      <c r="D73" t="n">
        <v>6</v>
      </c>
      <c r="E73" t="inlineStr">
        <is>
          <t>Calculation</t>
        </is>
      </c>
      <c r="F73" t="inlineStr">
        <is>
          <t>'=AVERAGE(B6:E6)</t>
        </is>
      </c>
      <c r="G73" t="n">
        <v>50259.33333333334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inlineStr">
        <is>
          <t>center</t>
        </is>
      </c>
      <c r="P73" t="n">
        <v/>
      </c>
      <c r="R73" t="b">
        <v>1</v>
      </c>
      <c r="S73" t="inlineStr">
        <is>
          <t>G000284</t>
        </is>
      </c>
      <c r="T73" t="inlineStr">
        <is>
          <t>Vertical</t>
        </is>
      </c>
      <c r="U73" t="n">
        <v>130</v>
      </c>
      <c r="V73" t="b">
        <v>1</v>
      </c>
      <c r="W73" t="inlineStr">
        <is>
          <t>ATF fuel!F2:F131</t>
        </is>
      </c>
      <c r="X73">
        <f>AVERAGE(R[0]C[-4]:R[0]C[-1])</f>
        <v/>
      </c>
    </row>
    <row r="74">
      <c r="A74" t="inlineStr">
        <is>
          <t>ATF fuel</t>
        </is>
      </c>
      <c r="B74" t="inlineStr">
        <is>
          <t>G6</t>
        </is>
      </c>
      <c r="C74" t="n">
        <v>6</v>
      </c>
      <c r="D74" t="n">
        <v>7</v>
      </c>
      <c r="E74" t="inlineStr">
        <is>
          <t>Calculation</t>
        </is>
      </c>
      <c r="F74" t="inlineStr">
        <is>
          <t>'=G5-1</t>
        </is>
      </c>
      <c r="G74" t="n">
        <v>127</v>
      </c>
      <c r="H74" t="inlineStr"/>
      <c r="I74" t="inlineStr">
        <is>
          <t>#,##0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inlineStr">
        <is>
          <t>G000286</t>
        </is>
      </c>
      <c r="T74" t="inlineStr">
        <is>
          <t>Vertical</t>
        </is>
      </c>
      <c r="U74" t="n">
        <v>129</v>
      </c>
      <c r="V74" t="b">
        <v>1</v>
      </c>
      <c r="W74" t="inlineStr">
        <is>
          <t>ATF fuel!G3:G131</t>
        </is>
      </c>
      <c r="X74">
        <f>R[-1]C[0]-1</f>
        <v/>
      </c>
    </row>
    <row r="75">
      <c r="A75" t="inlineStr">
        <is>
          <t>ATF fuel</t>
        </is>
      </c>
      <c r="B75" t="inlineStr">
        <is>
          <t>H6</t>
        </is>
      </c>
      <c r="C75" t="n">
        <v>6</v>
      </c>
      <c r="D75" t="n">
        <v>8</v>
      </c>
      <c r="E75" t="inlineStr">
        <is>
          <t>Output</t>
        </is>
      </c>
      <c r="F75" t="inlineStr">
        <is>
          <t>'=INDIRECT("A"&amp;G10)</t>
        </is>
      </c>
      <c r="G75" t="inlineStr">
        <is>
          <t>August 01, 2010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>
        <f>INDIRECT("A"&amp;R[4]C[-1])</f>
        <v/>
      </c>
    </row>
    <row r="76">
      <c r="A76" t="inlineStr">
        <is>
          <t>ATF fuel</t>
        </is>
      </c>
      <c r="B76" t="inlineStr">
        <is>
          <t>I6</t>
        </is>
      </c>
      <c r="C76" t="n">
        <v>6</v>
      </c>
      <c r="D76" t="n">
        <v>9</v>
      </c>
      <c r="E76" t="inlineStr">
        <is>
          <t>Output</t>
        </is>
      </c>
      <c r="F76" t="inlineStr">
        <is>
          <t>'=INDIRECT("F"&amp;G10)</t>
        </is>
      </c>
      <c r="G76" t="n">
        <v>44697.1475</v>
      </c>
      <c r="H76" t="inlineStr"/>
      <c r="I76" t="inlineStr">
        <is>
          <t xml:space="preserve">_ * #,##0_ ;_ * \-#,##0_ ;_ * "-"??_ ;_ @_ 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>
        <f>INDIRECT("F"&amp;R[4]C[-2])</f>
        <v/>
      </c>
    </row>
    <row r="77">
      <c r="A77" t="inlineStr">
        <is>
          <t>ATF fuel</t>
        </is>
      </c>
      <c r="B77" t="inlineStr">
        <is>
          <t>J6</t>
        </is>
      </c>
      <c r="C77" t="n">
        <v>6</v>
      </c>
      <c r="D77" t="n">
        <v>10</v>
      </c>
      <c r="E77" t="inlineStr">
        <is>
          <t>Input</t>
        </is>
      </c>
      <c r="F77" t="n">
        <v/>
      </c>
      <c r="G77" t="n">
        <v>81.93000000000001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ATF fuel</t>
        </is>
      </c>
      <c r="B78" t="inlineStr">
        <is>
          <t>K6</t>
        </is>
      </c>
      <c r="C78" t="n">
        <v>6</v>
      </c>
      <c r="D78" t="n">
        <v>11</v>
      </c>
      <c r="E78" t="inlineStr">
        <is>
          <t>Input</t>
        </is>
      </c>
      <c r="F78" t="n">
        <v/>
      </c>
      <c r="G78" t="n">
        <v>81.25</v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ATF fuel</t>
        </is>
      </c>
      <c r="B79" t="inlineStr">
        <is>
          <t>L6</t>
        </is>
      </c>
      <c r="C79" t="n">
        <v>6</v>
      </c>
      <c r="D79" t="n">
        <v>12</v>
      </c>
      <c r="E79" t="inlineStr">
        <is>
          <t>Input</t>
        </is>
      </c>
      <c r="F79" t="n">
        <v/>
      </c>
      <c r="G79" t="n">
        <v>70800.46184210527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ATF fuel</t>
        </is>
      </c>
      <c r="B80" t="inlineStr">
        <is>
          <t>M6</t>
        </is>
      </c>
      <c r="C80" t="n">
        <v>6</v>
      </c>
      <c r="D80" t="n">
        <v>13</v>
      </c>
      <c r="E80" t="inlineStr">
        <is>
          <t>Input</t>
        </is>
      </c>
      <c r="F80" t="n">
        <v/>
      </c>
      <c r="G80" t="n">
        <v>2013</v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ATF fuel</t>
        </is>
      </c>
      <c r="B81" t="inlineStr">
        <is>
          <t>O6</t>
        </is>
      </c>
      <c r="C81" t="n">
        <v>6</v>
      </c>
      <c r="D81" t="n">
        <v>15</v>
      </c>
      <c r="E81" t="inlineStr">
        <is>
          <t>Output</t>
        </is>
      </c>
      <c r="F81" t="inlineStr">
        <is>
          <t>'=L6/1000</t>
        </is>
      </c>
      <c r="G81" t="n">
        <v>70.80046184210528</v>
      </c>
      <c r="H81" t="inlineStr"/>
      <c r="I81" t="inlineStr">
        <is>
          <t>0.00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G000285</t>
        </is>
      </c>
      <c r="T81" t="inlineStr">
        <is>
          <t>Vertical</t>
        </is>
      </c>
      <c r="U81" t="n">
        <v>7</v>
      </c>
      <c r="V81" t="b">
        <v>1</v>
      </c>
      <c r="W81" t="inlineStr">
        <is>
          <t>ATF fuel!O2:O8</t>
        </is>
      </c>
      <c r="X81">
        <f>R[0]C[-3]/1000</f>
        <v/>
      </c>
    </row>
    <row r="82">
      <c r="A82" t="inlineStr">
        <is>
          <t>ATF fuel</t>
        </is>
      </c>
      <c r="B82" t="inlineStr">
        <is>
          <t>A7</t>
        </is>
      </c>
      <c r="C82" t="n">
        <v>7</v>
      </c>
      <c r="D82" t="n">
        <v>1</v>
      </c>
      <c r="E82" t="inlineStr">
        <is>
          <t>Input</t>
        </is>
      </c>
      <c r="F82" t="n">
        <v/>
      </c>
      <c r="G82" t="inlineStr">
        <is>
          <t>July 01, 2017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n">
        <v/>
      </c>
      <c r="N82" t="inlineStr">
        <is>
          <t>00000000</t>
        </is>
      </c>
      <c r="O82" t="n">
        <v/>
      </c>
      <c r="P82" t="n">
        <v/>
      </c>
      <c r="Q82" t="b">
        <v>1</v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ATF fuel</t>
        </is>
      </c>
      <c r="B83" t="inlineStr">
        <is>
          <t>B7</t>
        </is>
      </c>
      <c r="C83" t="n">
        <v>7</v>
      </c>
      <c r="D83" t="n">
        <v>2</v>
      </c>
      <c r="E83" t="inlineStr">
        <is>
          <t>Input</t>
        </is>
      </c>
      <c r="F83" t="n">
        <v/>
      </c>
      <c r="G83" t="n">
        <v>47013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n">
        <v/>
      </c>
      <c r="N83" t="inlineStr">
        <is>
          <t>00000000</t>
        </is>
      </c>
      <c r="O83" t="inlineStr">
        <is>
          <t>center</t>
        </is>
      </c>
      <c r="P83" t="n">
        <v/>
      </c>
      <c r="Q83" t="b">
        <v>1</v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ATF fuel</t>
        </is>
      </c>
      <c r="B84" t="inlineStr">
        <is>
          <t>C7</t>
        </is>
      </c>
      <c r="C84" t="n">
        <v>7</v>
      </c>
      <c r="D84" t="n">
        <v>3</v>
      </c>
      <c r="E84" t="inlineStr">
        <is>
          <t>Input</t>
        </is>
      </c>
      <c r="F84" t="n">
        <v/>
      </c>
      <c r="G84" t="n">
        <v>51491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n">
        <v/>
      </c>
      <c r="N84" t="inlineStr">
        <is>
          <t>00000000</t>
        </is>
      </c>
      <c r="O84" t="inlineStr">
        <is>
          <t>center</t>
        </is>
      </c>
      <c r="P84" t="n">
        <v/>
      </c>
      <c r="Q84" t="b">
        <v>1</v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ATF fuel</t>
        </is>
      </c>
      <c r="B85" t="inlineStr">
        <is>
          <t>D7</t>
        </is>
      </c>
      <c r="C85" t="n">
        <v>7</v>
      </c>
      <c r="D85" t="n">
        <v>4</v>
      </c>
      <c r="E85" t="inlineStr">
        <is>
          <t>Input</t>
        </is>
      </c>
      <c r="F85" t="n">
        <v/>
      </c>
      <c r="G85" t="n">
        <v>46376</v>
      </c>
      <c r="H85" t="inlineStr"/>
      <c r="I85" t="inlineStr">
        <is>
          <t>#,##0</t>
        </is>
      </c>
      <c r="J85" t="b">
        <v>0</v>
      </c>
      <c r="K85" t="b">
        <v>0</v>
      </c>
      <c r="L85" t="n">
        <v>11</v>
      </c>
      <c r="M85" t="n">
        <v/>
      </c>
      <c r="N85" t="inlineStr">
        <is>
          <t>00000000</t>
        </is>
      </c>
      <c r="O85" t="inlineStr">
        <is>
          <t>center</t>
        </is>
      </c>
      <c r="P85" t="n">
        <v/>
      </c>
      <c r="Q85" t="b">
        <v>1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ATF fuel</t>
        </is>
      </c>
      <c r="B86" t="inlineStr">
        <is>
          <t>E7</t>
        </is>
      </c>
      <c r="C86" t="n">
        <v>7</v>
      </c>
      <c r="D86" t="n">
        <v>5</v>
      </c>
      <c r="E86" t="inlineStr">
        <is>
          <t>Input</t>
        </is>
      </c>
      <c r="F86" t="n">
        <v/>
      </c>
      <c r="G86" t="n">
        <v>49705</v>
      </c>
      <c r="H86" t="inlineStr"/>
      <c r="I86" t="inlineStr">
        <is>
          <t>#,##0</t>
        </is>
      </c>
      <c r="J86" t="b">
        <v>0</v>
      </c>
      <c r="K86" t="b">
        <v>0</v>
      </c>
      <c r="L86" t="n">
        <v>11</v>
      </c>
      <c r="M86" t="n">
        <v/>
      </c>
      <c r="N86" t="inlineStr">
        <is>
          <t>00000000</t>
        </is>
      </c>
      <c r="O86" t="inlineStr">
        <is>
          <t>center</t>
        </is>
      </c>
      <c r="P86" t="n">
        <v/>
      </c>
      <c r="Q86" t="b">
        <v>1</v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ATF fuel</t>
        </is>
      </c>
      <c r="B87" t="inlineStr">
        <is>
          <t>F7</t>
        </is>
      </c>
      <c r="C87" t="n">
        <v>7</v>
      </c>
      <c r="D87" t="n">
        <v>6</v>
      </c>
      <c r="E87" t="inlineStr">
        <is>
          <t>Calculation</t>
        </is>
      </c>
      <c r="F87" t="inlineStr">
        <is>
          <t>'=AVERAGE(B7:E7)</t>
        </is>
      </c>
      <c r="G87" t="n">
        <v>48646.25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inlineStr">
        <is>
          <t>center</t>
        </is>
      </c>
      <c r="P87" t="n">
        <v/>
      </c>
      <c r="R87" t="b">
        <v>1</v>
      </c>
      <c r="S87" t="inlineStr">
        <is>
          <t>G000284</t>
        </is>
      </c>
      <c r="T87" t="inlineStr">
        <is>
          <t>Vertical</t>
        </is>
      </c>
      <c r="U87" t="n">
        <v>130</v>
      </c>
      <c r="V87" t="b">
        <v>1</v>
      </c>
      <c r="W87" t="inlineStr">
        <is>
          <t>ATF fuel!F2:F131</t>
        </is>
      </c>
      <c r="X87">
        <f>AVERAGE(R[0]C[-4]:R[0]C[-1])</f>
        <v/>
      </c>
    </row>
    <row r="88">
      <c r="A88" t="inlineStr">
        <is>
          <t>ATF fuel</t>
        </is>
      </c>
      <c r="B88" t="inlineStr">
        <is>
          <t>G7</t>
        </is>
      </c>
      <c r="C88" t="n">
        <v>7</v>
      </c>
      <c r="D88" t="n">
        <v>7</v>
      </c>
      <c r="E88" t="inlineStr">
        <is>
          <t>Calculation</t>
        </is>
      </c>
      <c r="F88" t="inlineStr">
        <is>
          <t>'=G6-1</t>
        </is>
      </c>
      <c r="G88" t="n">
        <v>126</v>
      </c>
      <c r="H88" t="inlineStr"/>
      <c r="I88" t="inlineStr">
        <is>
          <t>#,##0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inlineStr">
        <is>
          <t>G000286</t>
        </is>
      </c>
      <c r="T88" t="inlineStr">
        <is>
          <t>Vertical</t>
        </is>
      </c>
      <c r="U88" t="n">
        <v>129</v>
      </c>
      <c r="V88" t="b">
        <v>1</v>
      </c>
      <c r="W88" t="inlineStr">
        <is>
          <t>ATF fuel!G3:G131</t>
        </is>
      </c>
      <c r="X88">
        <f>R[-1]C[0]-1</f>
        <v/>
      </c>
    </row>
    <row r="89">
      <c r="A89" t="inlineStr">
        <is>
          <t>ATF fuel</t>
        </is>
      </c>
      <c r="B89" t="inlineStr">
        <is>
          <t>H7</t>
        </is>
      </c>
      <c r="C89" t="n">
        <v>7</v>
      </c>
      <c r="D89" t="n">
        <v>8</v>
      </c>
      <c r="E89" t="inlineStr">
        <is>
          <t>Output</t>
        </is>
      </c>
      <c r="F89" t="inlineStr">
        <is>
          <t>'=INDIRECT("A"&amp;G12)</t>
        </is>
      </c>
      <c r="G89" t="inlineStr">
        <is>
          <t>September 01, 2010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>
        <f>INDIRECT("A"&amp;R[5]C[-1])</f>
        <v/>
      </c>
    </row>
    <row r="90">
      <c r="A90" t="inlineStr">
        <is>
          <t>ATF fuel</t>
        </is>
      </c>
      <c r="B90" t="inlineStr">
        <is>
          <t>I7</t>
        </is>
      </c>
      <c r="C90" t="n">
        <v>7</v>
      </c>
      <c r="D90" t="n">
        <v>9</v>
      </c>
      <c r="E90" t="inlineStr">
        <is>
          <t>Output</t>
        </is>
      </c>
      <c r="F90" t="inlineStr">
        <is>
          <t>'=INDIRECT("F"&amp;G12)</t>
        </is>
      </c>
      <c r="G90" t="n">
        <v>43596.4</v>
      </c>
      <c r="H90" t="inlineStr"/>
      <c r="I90" t="inlineStr">
        <is>
          <t xml:space="preserve">_ * #,##0_ ;_ * \-#,##0_ ;_ * "-"??_ ;_ @_ 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>
        <f>INDIRECT("F"&amp;R[5]C[-2])</f>
        <v/>
      </c>
    </row>
    <row r="91">
      <c r="A91" t="inlineStr">
        <is>
          <t>ATF fuel</t>
        </is>
      </c>
      <c r="B91" t="inlineStr">
        <is>
          <t>J7</t>
        </is>
      </c>
      <c r="C91" t="n">
        <v>7</v>
      </c>
      <c r="D91" t="n">
        <v>10</v>
      </c>
      <c r="E91" t="inlineStr">
        <is>
          <t>Input</t>
        </is>
      </c>
      <c r="F91" t="n">
        <v/>
      </c>
      <c r="G91" t="n">
        <v>75.53</v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ATF fuel</t>
        </is>
      </c>
      <c r="B92" t="inlineStr">
        <is>
          <t>K7</t>
        </is>
      </c>
      <c r="C92" t="n">
        <v>7</v>
      </c>
      <c r="D92" t="n">
        <v>11</v>
      </c>
      <c r="E92" t="inlineStr">
        <is>
          <t>Input</t>
        </is>
      </c>
      <c r="F92" t="n">
        <v/>
      </c>
      <c r="G92" t="n">
        <v>73.97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ATF fuel</t>
        </is>
      </c>
      <c r="B93" t="inlineStr">
        <is>
          <t>L7</t>
        </is>
      </c>
      <c r="C93" t="n">
        <v>7</v>
      </c>
      <c r="D93" t="n">
        <v>12</v>
      </c>
      <c r="E93" t="inlineStr">
        <is>
          <t>Input</t>
        </is>
      </c>
      <c r="F93" t="n">
        <v/>
      </c>
      <c r="G93" t="n">
        <v>63783.68798076921</v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ATF fuel</t>
        </is>
      </c>
      <c r="B94" t="inlineStr">
        <is>
          <t>M7</t>
        </is>
      </c>
      <c r="C94" t="n">
        <v>7</v>
      </c>
      <c r="D94" t="n">
        <v>13</v>
      </c>
      <c r="E94" t="inlineStr">
        <is>
          <t>Input</t>
        </is>
      </c>
      <c r="F94" t="n">
        <v/>
      </c>
      <c r="G94" t="n">
        <v>2012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ATF fuel</t>
        </is>
      </c>
      <c r="B95" t="inlineStr">
        <is>
          <t>O7</t>
        </is>
      </c>
      <c r="C95" t="n">
        <v>7</v>
      </c>
      <c r="D95" t="n">
        <v>15</v>
      </c>
      <c r="E95" t="inlineStr">
        <is>
          <t>Output</t>
        </is>
      </c>
      <c r="F95" t="inlineStr">
        <is>
          <t>'=L7/1000</t>
        </is>
      </c>
      <c r="G95" t="n">
        <v>63.78368798076921</v>
      </c>
      <c r="H95" t="inlineStr"/>
      <c r="I95" t="inlineStr">
        <is>
          <t>0.00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G000285</t>
        </is>
      </c>
      <c r="T95" t="inlineStr">
        <is>
          <t>Vertical</t>
        </is>
      </c>
      <c r="U95" t="n">
        <v>7</v>
      </c>
      <c r="V95" t="b">
        <v>1</v>
      </c>
      <c r="W95" t="inlineStr">
        <is>
          <t>ATF fuel!O2:O8</t>
        </is>
      </c>
      <c r="X95">
        <f>R[0]C[-3]/1000</f>
        <v/>
      </c>
    </row>
    <row r="96">
      <c r="A96" t="inlineStr">
        <is>
          <t>ATF fuel</t>
        </is>
      </c>
      <c r="B96" t="inlineStr">
        <is>
          <t>A8</t>
        </is>
      </c>
      <c r="C96" t="n">
        <v>8</v>
      </c>
      <c r="D96" t="n">
        <v>1</v>
      </c>
      <c r="E96" t="inlineStr">
        <is>
          <t>Input</t>
        </is>
      </c>
      <c r="F96" t="n">
        <v/>
      </c>
      <c r="G96" t="inlineStr">
        <is>
          <t>June 01, 2017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n">
        <v/>
      </c>
      <c r="N96" t="inlineStr">
        <is>
          <t>00000000</t>
        </is>
      </c>
      <c r="O96" t="n">
        <v/>
      </c>
      <c r="P96" t="n">
        <v/>
      </c>
      <c r="Q96" t="b">
        <v>1</v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ATF fuel</t>
        </is>
      </c>
      <c r="B97" t="inlineStr">
        <is>
          <t>B8</t>
        </is>
      </c>
      <c r="C97" t="n">
        <v>8</v>
      </c>
      <c r="D97" t="n">
        <v>2</v>
      </c>
      <c r="E97" t="inlineStr">
        <is>
          <t>Input</t>
        </is>
      </c>
      <c r="F97" t="n">
        <v/>
      </c>
      <c r="G97" t="n">
        <v>49730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n">
        <v/>
      </c>
      <c r="N97" t="inlineStr">
        <is>
          <t>00000000</t>
        </is>
      </c>
      <c r="O97" t="inlineStr">
        <is>
          <t>center</t>
        </is>
      </c>
      <c r="P97" t="n">
        <v/>
      </c>
      <c r="Q97" t="b">
        <v>1</v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ATF fuel</t>
        </is>
      </c>
      <c r="B98" t="inlineStr">
        <is>
          <t>C8</t>
        </is>
      </c>
      <c r="C98" t="n">
        <v>8</v>
      </c>
      <c r="D98" t="n">
        <v>3</v>
      </c>
      <c r="E98" t="inlineStr">
        <is>
          <t>Input</t>
        </is>
      </c>
      <c r="F98" t="n">
        <v/>
      </c>
      <c r="G98" t="n">
        <v>54463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n">
        <v/>
      </c>
      <c r="N98" t="inlineStr">
        <is>
          <t>00000000</t>
        </is>
      </c>
      <c r="O98" t="inlineStr">
        <is>
          <t>center</t>
        </is>
      </c>
      <c r="P98" t="n">
        <v/>
      </c>
      <c r="Q98" t="b">
        <v>1</v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ATF fuel</t>
        </is>
      </c>
      <c r="B99" t="inlineStr">
        <is>
          <t>D8</t>
        </is>
      </c>
      <c r="C99" t="n">
        <v>8</v>
      </c>
      <c r="D99" t="n">
        <v>4</v>
      </c>
      <c r="E99" t="inlineStr">
        <is>
          <t>Input</t>
        </is>
      </c>
      <c r="F99" t="n">
        <v/>
      </c>
      <c r="G99" t="n">
        <v>49115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n">
        <v/>
      </c>
      <c r="N99" t="inlineStr">
        <is>
          <t>00000000</t>
        </is>
      </c>
      <c r="O99" t="inlineStr">
        <is>
          <t>center</t>
        </is>
      </c>
      <c r="P99" t="n">
        <v/>
      </c>
      <c r="Q99" t="b">
        <v>1</v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ATF fuel</t>
        </is>
      </c>
      <c r="B100" t="inlineStr">
        <is>
          <t>E8</t>
        </is>
      </c>
      <c r="C100" t="n">
        <v>8</v>
      </c>
      <c r="D100" t="n">
        <v>5</v>
      </c>
      <c r="E100" t="inlineStr">
        <is>
          <t>Input</t>
        </is>
      </c>
      <c r="F100" t="n">
        <v/>
      </c>
      <c r="G100" t="n">
        <v>52461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n">
        <v/>
      </c>
      <c r="N100" t="inlineStr">
        <is>
          <t>00000000</t>
        </is>
      </c>
      <c r="O100" t="inlineStr">
        <is>
          <t>center</t>
        </is>
      </c>
      <c r="P100" t="n">
        <v/>
      </c>
      <c r="Q100" t="b">
        <v>1</v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ATF fuel</t>
        </is>
      </c>
      <c r="B101" t="inlineStr">
        <is>
          <t>F8</t>
        </is>
      </c>
      <c r="C101" t="n">
        <v>8</v>
      </c>
      <c r="D101" t="n">
        <v>6</v>
      </c>
      <c r="E101" t="inlineStr">
        <is>
          <t>Calculation</t>
        </is>
      </c>
      <c r="F101" t="inlineStr">
        <is>
          <t>'=AVERAGE(B8:E8)</t>
        </is>
      </c>
      <c r="G101" t="n">
        <v>51442.25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inlineStr">
        <is>
          <t>center</t>
        </is>
      </c>
      <c r="P101" t="n">
        <v/>
      </c>
      <c r="R101" t="b">
        <v>1</v>
      </c>
      <c r="S101" t="inlineStr">
        <is>
          <t>G000284</t>
        </is>
      </c>
      <c r="T101" t="inlineStr">
        <is>
          <t>Vertical</t>
        </is>
      </c>
      <c r="U101" t="n">
        <v>130</v>
      </c>
      <c r="V101" t="b">
        <v>1</v>
      </c>
      <c r="W101" t="inlineStr">
        <is>
          <t>ATF fuel!F2:F131</t>
        </is>
      </c>
      <c r="X101">
        <f>AVERAGE(R[0]C[-4]:R[0]C[-1])</f>
        <v/>
      </c>
    </row>
    <row r="102">
      <c r="A102" t="inlineStr">
        <is>
          <t>ATF fuel</t>
        </is>
      </c>
      <c r="B102" t="inlineStr">
        <is>
          <t>G8</t>
        </is>
      </c>
      <c r="C102" t="n">
        <v>8</v>
      </c>
      <c r="D102" t="n">
        <v>7</v>
      </c>
      <c r="E102" t="inlineStr">
        <is>
          <t>Calculation</t>
        </is>
      </c>
      <c r="F102" t="inlineStr">
        <is>
          <t>'=G7-1</t>
        </is>
      </c>
      <c r="G102" t="n">
        <v>125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G000286</t>
        </is>
      </c>
      <c r="T102" t="inlineStr">
        <is>
          <t>Vertical</t>
        </is>
      </c>
      <c r="U102" t="n">
        <v>129</v>
      </c>
      <c r="V102" t="b">
        <v>1</v>
      </c>
      <c r="W102" t="inlineStr">
        <is>
          <t>ATF fuel!G3:G131</t>
        </is>
      </c>
      <c r="X102">
        <f>R[-1]C[0]-1</f>
        <v/>
      </c>
    </row>
    <row r="103">
      <c r="A103" t="inlineStr">
        <is>
          <t>ATF fuel</t>
        </is>
      </c>
      <c r="B103" t="inlineStr">
        <is>
          <t>H8</t>
        </is>
      </c>
      <c r="C103" t="n">
        <v>8</v>
      </c>
      <c r="D103" t="n">
        <v>8</v>
      </c>
      <c r="E103" t="inlineStr">
        <is>
          <t>Output</t>
        </is>
      </c>
      <c r="F103" t="inlineStr">
        <is>
          <t>'=INDIRECT("A"&amp;G14)</t>
        </is>
      </c>
      <c r="G103" t="inlineStr">
        <is>
          <t>October 01, 2010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>
        <f>INDIRECT("A"&amp;R[6]C[-1])</f>
        <v/>
      </c>
    </row>
    <row r="104">
      <c r="A104" t="inlineStr">
        <is>
          <t>ATF fuel</t>
        </is>
      </c>
      <c r="B104" t="inlineStr">
        <is>
          <t>I8</t>
        </is>
      </c>
      <c r="C104" t="n">
        <v>8</v>
      </c>
      <c r="D104" t="n">
        <v>9</v>
      </c>
      <c r="E104" t="inlineStr">
        <is>
          <t>Output</t>
        </is>
      </c>
      <c r="F104" t="inlineStr">
        <is>
          <t>'=INDIRECT("F"&amp;G14)</t>
        </is>
      </c>
      <c r="G104" t="n">
        <v>44195.2675</v>
      </c>
      <c r="H104" t="inlineStr"/>
      <c r="I104" t="inlineStr">
        <is>
          <t xml:space="preserve">_ * #,##0_ ;_ * \-#,##0_ ;_ * "-"??_ ;_ @_ 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>
        <f>INDIRECT("F"&amp;R[6]C[-2])</f>
        <v/>
      </c>
    </row>
    <row r="105">
      <c r="A105" t="inlineStr">
        <is>
          <t>ATF fuel</t>
        </is>
      </c>
      <c r="B105" t="inlineStr">
        <is>
          <t>J8</t>
        </is>
      </c>
      <c r="C105" t="n">
        <v>8</v>
      </c>
      <c r="D105" t="n">
        <v>10</v>
      </c>
      <c r="E105" t="inlineStr">
        <is>
          <t>Input</t>
        </is>
      </c>
      <c r="F105" t="n">
        <v/>
      </c>
      <c r="G105" t="n">
        <v>82.69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ATF fuel</t>
        </is>
      </c>
      <c r="B106" t="inlineStr">
        <is>
          <t>K8</t>
        </is>
      </c>
      <c r="C106" t="n">
        <v>8</v>
      </c>
      <c r="D106" t="n">
        <v>11</v>
      </c>
      <c r="E106" t="inlineStr">
        <is>
          <t>Input</t>
        </is>
      </c>
      <c r="F106" t="n">
        <v/>
      </c>
      <c r="G106" t="n">
        <v>81.56999999999999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ATF fuel</t>
        </is>
      </c>
      <c r="B107" t="inlineStr">
        <is>
          <t>L8</t>
        </is>
      </c>
      <c r="C107" t="n">
        <v>8</v>
      </c>
      <c r="D107" t="n">
        <v>12</v>
      </c>
      <c r="E107" t="inlineStr">
        <is>
          <t>Input</t>
        </is>
      </c>
      <c r="F107" t="n">
        <v/>
      </c>
      <c r="G107" t="n">
        <v>47800.88104166666</v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ATF fuel</t>
        </is>
      </c>
      <c r="B108" t="inlineStr">
        <is>
          <t>M8</t>
        </is>
      </c>
      <c r="C108" t="n">
        <v>8</v>
      </c>
      <c r="D108" t="n">
        <v>13</v>
      </c>
      <c r="E108" t="inlineStr">
        <is>
          <t>Input</t>
        </is>
      </c>
      <c r="F108" t="n">
        <v/>
      </c>
      <c r="G108" t="n">
        <v>2011</v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ATF fuel</t>
        </is>
      </c>
      <c r="B109" t="inlineStr">
        <is>
          <t>O8</t>
        </is>
      </c>
      <c r="C109" t="n">
        <v>8</v>
      </c>
      <c r="D109" t="n">
        <v>15</v>
      </c>
      <c r="E109" t="inlineStr">
        <is>
          <t>Output</t>
        </is>
      </c>
      <c r="F109" t="inlineStr">
        <is>
          <t>'=L8/1000</t>
        </is>
      </c>
      <c r="G109" t="n">
        <v>47.80088104166666</v>
      </c>
      <c r="H109" t="inlineStr"/>
      <c r="I109" t="inlineStr">
        <is>
          <t>0.00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G000285</t>
        </is>
      </c>
      <c r="T109" t="inlineStr">
        <is>
          <t>Vertical</t>
        </is>
      </c>
      <c r="U109" t="n">
        <v>7</v>
      </c>
      <c r="V109" t="b">
        <v>1</v>
      </c>
      <c r="W109" t="inlineStr">
        <is>
          <t>ATF fuel!O2:O8</t>
        </is>
      </c>
      <c r="X109">
        <f>R[0]C[-3]/1000</f>
        <v/>
      </c>
    </row>
    <row r="110">
      <c r="A110" t="inlineStr">
        <is>
          <t>ATF fuel</t>
        </is>
      </c>
      <c r="B110" t="inlineStr">
        <is>
          <t>A9</t>
        </is>
      </c>
      <c r="C110" t="n">
        <v>9</v>
      </c>
      <c r="D110" t="n">
        <v>1</v>
      </c>
      <c r="E110" t="inlineStr">
        <is>
          <t>Input</t>
        </is>
      </c>
      <c r="F110" t="n">
        <v/>
      </c>
      <c r="G110" t="inlineStr">
        <is>
          <t>May 01, 2017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n">
        <v/>
      </c>
      <c r="N110" t="inlineStr">
        <is>
          <t>00000000</t>
        </is>
      </c>
      <c r="O110" t="n">
        <v/>
      </c>
      <c r="P110" t="n">
        <v/>
      </c>
      <c r="Q110" t="b">
        <v>1</v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ATF fuel</t>
        </is>
      </c>
      <c r="B111" t="inlineStr">
        <is>
          <t>B9</t>
        </is>
      </c>
      <c r="C111" t="n">
        <v>9</v>
      </c>
      <c r="D111" t="n">
        <v>2</v>
      </c>
      <c r="E111" t="inlineStr">
        <is>
          <t>Input</t>
        </is>
      </c>
      <c r="F111" t="n">
        <v/>
      </c>
      <c r="G111" t="n">
        <v>51696</v>
      </c>
      <c r="H111" t="inlineStr"/>
      <c r="I111" t="inlineStr">
        <is>
          <t>#,##0</t>
        </is>
      </c>
      <c r="J111" t="b">
        <v>0</v>
      </c>
      <c r="K111" t="b">
        <v>0</v>
      </c>
      <c r="L111" t="n">
        <v>11</v>
      </c>
      <c r="M111" t="n">
        <v/>
      </c>
      <c r="N111" t="inlineStr">
        <is>
          <t>00000000</t>
        </is>
      </c>
      <c r="O111" t="inlineStr">
        <is>
          <t>center</t>
        </is>
      </c>
      <c r="P111" t="n">
        <v/>
      </c>
      <c r="Q111" t="b">
        <v>1</v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ATF fuel</t>
        </is>
      </c>
      <c r="B112" t="inlineStr">
        <is>
          <t>C9</t>
        </is>
      </c>
      <c r="C112" t="n">
        <v>9</v>
      </c>
      <c r="D112" t="n">
        <v>3</v>
      </c>
      <c r="E112" t="inlineStr">
        <is>
          <t>Input</t>
        </is>
      </c>
      <c r="F112" t="n">
        <v/>
      </c>
      <c r="G112" t="n">
        <v>56430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n">
        <v/>
      </c>
      <c r="N112" t="inlineStr">
        <is>
          <t>00000000</t>
        </is>
      </c>
      <c r="O112" t="inlineStr">
        <is>
          <t>center</t>
        </is>
      </c>
      <c r="P112" t="n">
        <v/>
      </c>
      <c r="Q112" t="b">
        <v>1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ATF fuel</t>
        </is>
      </c>
      <c r="B113" t="inlineStr">
        <is>
          <t>D9</t>
        </is>
      </c>
      <c r="C113" t="n">
        <v>9</v>
      </c>
      <c r="D113" t="n">
        <v>4</v>
      </c>
      <c r="E113" t="inlineStr">
        <is>
          <t>Input</t>
        </is>
      </c>
      <c r="F113" t="n">
        <v/>
      </c>
      <c r="G113" t="n">
        <v>51110</v>
      </c>
      <c r="H113" t="inlineStr"/>
      <c r="I113" t="inlineStr">
        <is>
          <t>#,##0</t>
        </is>
      </c>
      <c r="J113" t="b">
        <v>0</v>
      </c>
      <c r="K113" t="b">
        <v>0</v>
      </c>
      <c r="L113" t="n">
        <v>11</v>
      </c>
      <c r="M113" t="n">
        <v/>
      </c>
      <c r="N113" t="inlineStr">
        <is>
          <t>00000000</t>
        </is>
      </c>
      <c r="O113" t="inlineStr">
        <is>
          <t>center</t>
        </is>
      </c>
      <c r="P113" t="n">
        <v/>
      </c>
      <c r="Q113" t="b">
        <v>1</v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ATF fuel</t>
        </is>
      </c>
      <c r="B114" t="inlineStr">
        <is>
          <t>E9</t>
        </is>
      </c>
      <c r="C114" t="n">
        <v>9</v>
      </c>
      <c r="D114" t="n">
        <v>5</v>
      </c>
      <c r="E114" t="inlineStr">
        <is>
          <t>Input</t>
        </is>
      </c>
      <c r="F114" t="n">
        <v/>
      </c>
      <c r="G114" t="n">
        <v>54505</v>
      </c>
      <c r="H114" t="inlineStr"/>
      <c r="I114" t="inlineStr">
        <is>
          <t>#,##0</t>
        </is>
      </c>
      <c r="J114" t="b">
        <v>0</v>
      </c>
      <c r="K114" t="b">
        <v>0</v>
      </c>
      <c r="L114" t="n">
        <v>11</v>
      </c>
      <c r="M114" t="n">
        <v/>
      </c>
      <c r="N114" t="inlineStr">
        <is>
          <t>00000000</t>
        </is>
      </c>
      <c r="O114" t="inlineStr">
        <is>
          <t>center</t>
        </is>
      </c>
      <c r="P114" t="n">
        <v/>
      </c>
      <c r="Q114" t="b">
        <v>1</v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ATF fuel</t>
        </is>
      </c>
      <c r="B115" t="inlineStr">
        <is>
          <t>F9</t>
        </is>
      </c>
      <c r="C115" t="n">
        <v>9</v>
      </c>
      <c r="D115" t="n">
        <v>6</v>
      </c>
      <c r="E115" t="inlineStr">
        <is>
          <t>Calculation</t>
        </is>
      </c>
      <c r="F115" t="inlineStr">
        <is>
          <t>'=AVERAGE(B9:E9)</t>
        </is>
      </c>
      <c r="G115" t="n">
        <v>53435.25</v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inlineStr">
        <is>
          <t>center</t>
        </is>
      </c>
      <c r="P115" t="n">
        <v/>
      </c>
      <c r="R115" t="b">
        <v>1</v>
      </c>
      <c r="S115" t="inlineStr">
        <is>
          <t>G000284</t>
        </is>
      </c>
      <c r="T115" t="inlineStr">
        <is>
          <t>Vertical</t>
        </is>
      </c>
      <c r="U115" t="n">
        <v>130</v>
      </c>
      <c r="V115" t="b">
        <v>1</v>
      </c>
      <c r="W115" t="inlineStr">
        <is>
          <t>ATF fuel!F2:F131</t>
        </is>
      </c>
      <c r="X115">
        <f>AVERAGE(R[0]C[-4]:R[0]C[-1])</f>
        <v/>
      </c>
    </row>
    <row r="116">
      <c r="A116" t="inlineStr">
        <is>
          <t>ATF fuel</t>
        </is>
      </c>
      <c r="B116" t="inlineStr">
        <is>
          <t>G9</t>
        </is>
      </c>
      <c r="C116" t="n">
        <v>9</v>
      </c>
      <c r="D116" t="n">
        <v>7</v>
      </c>
      <c r="E116" t="inlineStr">
        <is>
          <t>Calculation</t>
        </is>
      </c>
      <c r="F116" t="inlineStr">
        <is>
          <t>'=G8-1</t>
        </is>
      </c>
      <c r="G116" t="n">
        <v>124</v>
      </c>
      <c r="H116" t="inlineStr"/>
      <c r="I116" t="inlineStr">
        <is>
          <t>#,##0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G000286</t>
        </is>
      </c>
      <c r="T116" t="inlineStr">
        <is>
          <t>Vertical</t>
        </is>
      </c>
      <c r="U116" t="n">
        <v>129</v>
      </c>
      <c r="V116" t="b">
        <v>1</v>
      </c>
      <c r="W116" t="inlineStr">
        <is>
          <t>ATF fuel!G3:G131</t>
        </is>
      </c>
      <c r="X116">
        <f>R[-1]C[0]-1</f>
        <v/>
      </c>
    </row>
    <row r="117">
      <c r="A117" t="inlineStr">
        <is>
          <t>ATF fuel</t>
        </is>
      </c>
      <c r="B117" t="inlineStr">
        <is>
          <t>H9</t>
        </is>
      </c>
      <c r="C117" t="n">
        <v>9</v>
      </c>
      <c r="D117" t="n">
        <v>8</v>
      </c>
      <c r="E117" t="inlineStr">
        <is>
          <t>Output</t>
        </is>
      </c>
      <c r="F117" t="inlineStr">
        <is>
          <t>'=INDIRECT("A"&amp;G16)</t>
        </is>
      </c>
      <c r="G117" t="inlineStr">
        <is>
          <t>November 01, 2010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>
        <f>INDIRECT("A"&amp;R[7]C[-1])</f>
        <v/>
      </c>
    </row>
    <row r="118">
      <c r="A118" t="inlineStr">
        <is>
          <t>ATF fuel</t>
        </is>
      </c>
      <c r="B118" t="inlineStr">
        <is>
          <t>I9</t>
        </is>
      </c>
      <c r="C118" t="n">
        <v>9</v>
      </c>
      <c r="D118" t="n">
        <v>9</v>
      </c>
      <c r="E118" t="inlineStr">
        <is>
          <t>Output</t>
        </is>
      </c>
      <c r="F118" t="inlineStr">
        <is>
          <t>'=INDIRECT("F"&amp;G16)</t>
        </is>
      </c>
      <c r="G118" t="n">
        <v>45777</v>
      </c>
      <c r="H118" t="inlineStr"/>
      <c r="I118" t="inlineStr">
        <is>
          <t xml:space="preserve">_ * #,##0_ ;_ * \-#,##0_ ;_ * "-"??_ ;_ @_ 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>
        <f>INDIRECT("F"&amp;R[7]C[-2])</f>
        <v/>
      </c>
    </row>
    <row r="119">
      <c r="A119" t="inlineStr">
        <is>
          <t>ATF fuel</t>
        </is>
      </c>
      <c r="B119" t="inlineStr">
        <is>
          <t>J9</t>
        </is>
      </c>
      <c r="C119" t="n">
        <v>9</v>
      </c>
      <c r="D119" t="n">
        <v>10</v>
      </c>
      <c r="E119" t="inlineStr">
        <is>
          <t>Input</t>
        </is>
      </c>
      <c r="F119" t="n">
        <v/>
      </c>
      <c r="G119" t="n">
        <v>84.06</v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ATF fuel</t>
        </is>
      </c>
      <c r="B120" t="inlineStr">
        <is>
          <t>K9</t>
        </is>
      </c>
      <c r="C120" t="n">
        <v>9</v>
      </c>
      <c r="D120" t="n">
        <v>11</v>
      </c>
      <c r="E120" t="inlineStr">
        <is>
          <t>Input</t>
        </is>
      </c>
      <c r="F120" t="n">
        <v/>
      </c>
      <c r="G120" t="n">
        <v>82.94</v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ATF fuel</t>
        </is>
      </c>
      <c r="B121" t="inlineStr">
        <is>
          <t>A10</t>
        </is>
      </c>
      <c r="C121" t="n">
        <v>10</v>
      </c>
      <c r="D121" t="n">
        <v>1</v>
      </c>
      <c r="E121" t="inlineStr">
        <is>
          <t>Input</t>
        </is>
      </c>
      <c r="F121" t="n">
        <v/>
      </c>
      <c r="G121" t="inlineStr">
        <is>
          <t>April 01, 2017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n">
        <v/>
      </c>
      <c r="N121" t="inlineStr">
        <is>
          <t>00000000</t>
        </is>
      </c>
      <c r="O121" t="n">
        <v/>
      </c>
      <c r="P121" t="n">
        <v/>
      </c>
      <c r="Q121" t="b">
        <v>1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ATF fuel</t>
        </is>
      </c>
      <c r="B122" t="inlineStr">
        <is>
          <t>B10</t>
        </is>
      </c>
      <c r="C122" t="n">
        <v>10</v>
      </c>
      <c r="D122" t="n">
        <v>2</v>
      </c>
      <c r="E122" t="inlineStr">
        <is>
          <t>Input</t>
        </is>
      </c>
      <c r="F122" t="n">
        <v/>
      </c>
      <c r="G122" t="n">
        <v>51482</v>
      </c>
      <c r="H122" t="inlineStr"/>
      <c r="I122" t="inlineStr">
        <is>
          <t>#,##0</t>
        </is>
      </c>
      <c r="J122" t="b">
        <v>0</v>
      </c>
      <c r="K122" t="b">
        <v>0</v>
      </c>
      <c r="L122" t="n">
        <v>11</v>
      </c>
      <c r="M122" t="n">
        <v/>
      </c>
      <c r="N122" t="inlineStr">
        <is>
          <t>00000000</t>
        </is>
      </c>
      <c r="O122" t="inlineStr">
        <is>
          <t>center</t>
        </is>
      </c>
      <c r="P122" t="n">
        <v/>
      </c>
      <c r="Q122" t="b">
        <v>1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ATF fuel</t>
        </is>
      </c>
      <c r="B123" t="inlineStr">
        <is>
          <t>C10</t>
        </is>
      </c>
      <c r="C123" t="n">
        <v>10</v>
      </c>
      <c r="D123" t="n">
        <v>3</v>
      </c>
      <c r="E123" t="inlineStr">
        <is>
          <t>Input</t>
        </is>
      </c>
      <c r="F123" t="n">
        <v/>
      </c>
      <c r="G123" t="n">
        <v>56268</v>
      </c>
      <c r="H123" t="inlineStr"/>
      <c r="I123" t="inlineStr">
        <is>
          <t>#,##0</t>
        </is>
      </c>
      <c r="J123" t="b">
        <v>0</v>
      </c>
      <c r="K123" t="b">
        <v>0</v>
      </c>
      <c r="L123" t="n">
        <v>11</v>
      </c>
      <c r="M123" t="n">
        <v/>
      </c>
      <c r="N123" t="inlineStr">
        <is>
          <t>00000000</t>
        </is>
      </c>
      <c r="O123" t="inlineStr">
        <is>
          <t>center</t>
        </is>
      </c>
      <c r="P123" t="n">
        <v/>
      </c>
      <c r="Q123" t="b">
        <v>1</v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ATF fuel</t>
        </is>
      </c>
      <c r="B124" t="inlineStr">
        <is>
          <t>D10</t>
        </is>
      </c>
      <c r="C124" t="n">
        <v>10</v>
      </c>
      <c r="D124" t="n">
        <v>4</v>
      </c>
      <c r="E124" t="inlineStr">
        <is>
          <t>Input</t>
        </is>
      </c>
      <c r="F124" t="n">
        <v/>
      </c>
      <c r="G124" t="n">
        <v>50896</v>
      </c>
      <c r="H124" t="inlineStr"/>
      <c r="I124" t="inlineStr">
        <is>
          <t>#,##0</t>
        </is>
      </c>
      <c r="J124" t="b">
        <v>0</v>
      </c>
      <c r="K124" t="b">
        <v>0</v>
      </c>
      <c r="L124" t="n">
        <v>11</v>
      </c>
      <c r="M124" t="n">
        <v/>
      </c>
      <c r="N124" t="inlineStr">
        <is>
          <t>00000000</t>
        </is>
      </c>
      <c r="O124" t="inlineStr">
        <is>
          <t>center</t>
        </is>
      </c>
      <c r="P124" t="n">
        <v/>
      </c>
      <c r="Q124" t="b">
        <v>1</v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ATF fuel</t>
        </is>
      </c>
      <c r="B125" t="inlineStr">
        <is>
          <t>E10</t>
        </is>
      </c>
      <c r="C125" t="n">
        <v>10</v>
      </c>
      <c r="D125" t="n">
        <v>5</v>
      </c>
      <c r="E125" t="inlineStr">
        <is>
          <t>Input</t>
        </is>
      </c>
      <c r="F125" t="n">
        <v/>
      </c>
      <c r="G125" t="n">
        <v>54324</v>
      </c>
      <c r="H125" t="inlineStr"/>
      <c r="I125" t="inlineStr">
        <is>
          <t>#,##0</t>
        </is>
      </c>
      <c r="J125" t="b">
        <v>0</v>
      </c>
      <c r="K125" t="b">
        <v>0</v>
      </c>
      <c r="L125" t="n">
        <v>11</v>
      </c>
      <c r="M125" t="n">
        <v/>
      </c>
      <c r="N125" t="inlineStr">
        <is>
          <t>00000000</t>
        </is>
      </c>
      <c r="O125" t="inlineStr">
        <is>
          <t>center</t>
        </is>
      </c>
      <c r="P125" t="n">
        <v/>
      </c>
      <c r="Q125" t="b">
        <v>1</v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ATF fuel</t>
        </is>
      </c>
      <c r="B126" t="inlineStr">
        <is>
          <t>F10</t>
        </is>
      </c>
      <c r="C126" t="n">
        <v>10</v>
      </c>
      <c r="D126" t="n">
        <v>6</v>
      </c>
      <c r="E126" t="inlineStr">
        <is>
          <t>Calculation</t>
        </is>
      </c>
      <c r="F126" t="inlineStr">
        <is>
          <t>'=AVERAGE(B10:E10)</t>
        </is>
      </c>
      <c r="G126" t="n">
        <v>53242.5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inlineStr">
        <is>
          <t>center</t>
        </is>
      </c>
      <c r="P126" t="n">
        <v/>
      </c>
      <c r="R126" t="b">
        <v>1</v>
      </c>
      <c r="S126" t="inlineStr">
        <is>
          <t>G000284</t>
        </is>
      </c>
      <c r="T126" t="inlineStr">
        <is>
          <t>Vertical</t>
        </is>
      </c>
      <c r="U126" t="n">
        <v>130</v>
      </c>
      <c r="V126" t="b">
        <v>1</v>
      </c>
      <c r="W126" t="inlineStr">
        <is>
          <t>ATF fuel!F2:F131</t>
        </is>
      </c>
      <c r="X126">
        <f>AVERAGE(R[0]C[-4]:R[0]C[-1])</f>
        <v/>
      </c>
    </row>
    <row r="127">
      <c r="A127" t="inlineStr">
        <is>
          <t>ATF fuel</t>
        </is>
      </c>
      <c r="B127" t="inlineStr">
        <is>
          <t>G10</t>
        </is>
      </c>
      <c r="C127" t="n">
        <v>10</v>
      </c>
      <c r="D127" t="n">
        <v>7</v>
      </c>
      <c r="E127" t="inlineStr">
        <is>
          <t>Calculation</t>
        </is>
      </c>
      <c r="F127" t="inlineStr">
        <is>
          <t>'=G9-1</t>
        </is>
      </c>
      <c r="G127" t="n">
        <v>123</v>
      </c>
      <c r="H127" t="inlineStr"/>
      <c r="I127" t="inlineStr">
        <is>
          <t>#,##0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G000286</t>
        </is>
      </c>
      <c r="T127" t="inlineStr">
        <is>
          <t>Vertical</t>
        </is>
      </c>
      <c r="U127" t="n">
        <v>129</v>
      </c>
      <c r="V127" t="b">
        <v>1</v>
      </c>
      <c r="W127" t="inlineStr">
        <is>
          <t>ATF fuel!G3:G131</t>
        </is>
      </c>
      <c r="X127">
        <f>R[-1]C[0]-1</f>
        <v/>
      </c>
    </row>
    <row r="128">
      <c r="A128" t="inlineStr">
        <is>
          <t>ATF fuel</t>
        </is>
      </c>
      <c r="B128" t="inlineStr">
        <is>
          <t>H10</t>
        </is>
      </c>
      <c r="C128" t="n">
        <v>10</v>
      </c>
      <c r="D128" t="n">
        <v>8</v>
      </c>
      <c r="E128" t="inlineStr">
        <is>
          <t>Output</t>
        </is>
      </c>
      <c r="F128" t="inlineStr">
        <is>
          <t>'=INDIRECT("A"&amp;G18)</t>
        </is>
      </c>
      <c r="G128" t="inlineStr">
        <is>
          <t>December 01, 2010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>
        <f>INDIRECT("A"&amp;R[8]C[-1])</f>
        <v/>
      </c>
    </row>
    <row r="129">
      <c r="A129" t="inlineStr">
        <is>
          <t>ATF fuel</t>
        </is>
      </c>
      <c r="B129" t="inlineStr">
        <is>
          <t>I10</t>
        </is>
      </c>
      <c r="C129" t="n">
        <v>10</v>
      </c>
      <c r="D129" t="n">
        <v>9</v>
      </c>
      <c r="E129" t="inlineStr">
        <is>
          <t>Output</t>
        </is>
      </c>
      <c r="F129" t="inlineStr">
        <is>
          <t>'=INDIRECT("F"&amp;G18)</t>
        </is>
      </c>
      <c r="G129" t="n">
        <v>47892.11500000001</v>
      </c>
      <c r="H129" t="inlineStr"/>
      <c r="I129" t="inlineStr">
        <is>
          <t xml:space="preserve">_ * #,##0_ ;_ * \-#,##0_ ;_ * "-"??_ ;_ @_ 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>
        <f>INDIRECT("F"&amp;R[8]C[-2])</f>
        <v/>
      </c>
    </row>
    <row r="130">
      <c r="A130" t="inlineStr">
        <is>
          <t>ATF fuel</t>
        </is>
      </c>
      <c r="B130" t="inlineStr">
        <is>
          <t>J10</t>
        </is>
      </c>
      <c r="C130" t="n">
        <v>10</v>
      </c>
      <c r="D130" t="n">
        <v>10</v>
      </c>
      <c r="E130" t="inlineStr">
        <is>
          <t>Input</t>
        </is>
      </c>
      <c r="F130" t="n">
        <v/>
      </c>
      <c r="G130" t="n">
        <v>88.56</v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ATF fuel</t>
        </is>
      </c>
      <c r="B131" t="inlineStr">
        <is>
          <t>K10</t>
        </is>
      </c>
      <c r="C131" t="n">
        <v>10</v>
      </c>
      <c r="D131" t="n">
        <v>11</v>
      </c>
      <c r="E131" t="inlineStr">
        <is>
          <t>Input</t>
        </is>
      </c>
      <c r="F131" t="n">
        <v/>
      </c>
      <c r="G131" t="n">
        <v>86.75</v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ATF fuel</t>
        </is>
      </c>
      <c r="B132" t="inlineStr">
        <is>
          <t>A11</t>
        </is>
      </c>
      <c r="C132" t="n">
        <v>11</v>
      </c>
      <c r="D132" t="n">
        <v>1</v>
      </c>
      <c r="E132" t="inlineStr">
        <is>
          <t>Input</t>
        </is>
      </c>
      <c r="F132" t="n">
        <v/>
      </c>
      <c r="G132" t="inlineStr">
        <is>
          <t>March 01,2017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n">
        <v/>
      </c>
      <c r="N132" t="inlineStr">
        <is>
          <t>00000000</t>
        </is>
      </c>
      <c r="O132" t="n">
        <v/>
      </c>
      <c r="P132" t="n">
        <v/>
      </c>
      <c r="Q132" t="b">
        <v>1</v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ATF fuel</t>
        </is>
      </c>
      <c r="B133" t="inlineStr">
        <is>
          <t>B11</t>
        </is>
      </c>
      <c r="C133" t="n">
        <v>11</v>
      </c>
      <c r="D133" t="n">
        <v>2</v>
      </c>
      <c r="E133" t="inlineStr">
        <is>
          <t>Input</t>
        </is>
      </c>
      <c r="F133" t="n">
        <v/>
      </c>
      <c r="G133" t="n">
        <v>54293.38</v>
      </c>
      <c r="H133" t="inlineStr"/>
      <c r="I133" t="inlineStr">
        <is>
          <t>#,##0</t>
        </is>
      </c>
      <c r="J133" t="b">
        <v>0</v>
      </c>
      <c r="K133" t="b">
        <v>0</v>
      </c>
      <c r="L133" t="n">
        <v>11</v>
      </c>
      <c r="M133" t="n">
        <v/>
      </c>
      <c r="N133" t="inlineStr">
        <is>
          <t>00000000</t>
        </is>
      </c>
      <c r="O133" t="inlineStr">
        <is>
          <t>center</t>
        </is>
      </c>
      <c r="P133" t="n">
        <v/>
      </c>
      <c r="Q133" t="b">
        <v>1</v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ATF fuel</t>
        </is>
      </c>
      <c r="B134" t="inlineStr">
        <is>
          <t>C11</t>
        </is>
      </c>
      <c r="C134" t="n">
        <v>11</v>
      </c>
      <c r="D134" t="n">
        <v>3</v>
      </c>
      <c r="E134" t="inlineStr">
        <is>
          <t>Input</t>
        </is>
      </c>
      <c r="F134" t="n">
        <v/>
      </c>
      <c r="G134" t="n">
        <v>59178.78</v>
      </c>
      <c r="H134" t="inlineStr"/>
      <c r="I134" t="inlineStr">
        <is>
          <t>#,##0</t>
        </is>
      </c>
      <c r="J134" t="b">
        <v>0</v>
      </c>
      <c r="K134" t="b">
        <v>0</v>
      </c>
      <c r="L134" t="n">
        <v>11</v>
      </c>
      <c r="M134" t="n">
        <v/>
      </c>
      <c r="N134" t="inlineStr">
        <is>
          <t>00000000</t>
        </is>
      </c>
      <c r="O134" t="inlineStr">
        <is>
          <t>center</t>
        </is>
      </c>
      <c r="P134" t="n">
        <v/>
      </c>
      <c r="Q134" t="b">
        <v>1</v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ATF fuel</t>
        </is>
      </c>
      <c r="B135" t="inlineStr">
        <is>
          <t>D11</t>
        </is>
      </c>
      <c r="C135" t="n">
        <v>11</v>
      </c>
      <c r="D135" t="n">
        <v>4</v>
      </c>
      <c r="E135" t="inlineStr">
        <is>
          <t>Input</t>
        </is>
      </c>
      <c r="F135" t="n">
        <v/>
      </c>
      <c r="G135" t="n">
        <v>53663.58</v>
      </c>
      <c r="H135" t="inlineStr"/>
      <c r="I135" t="inlineStr">
        <is>
          <t>#,##0</t>
        </is>
      </c>
      <c r="J135" t="b">
        <v>0</v>
      </c>
      <c r="K135" t="b">
        <v>0</v>
      </c>
      <c r="L135" t="n">
        <v>11</v>
      </c>
      <c r="M135" t="n">
        <v/>
      </c>
      <c r="N135" t="inlineStr">
        <is>
          <t>00000000</t>
        </is>
      </c>
      <c r="O135" t="inlineStr">
        <is>
          <t>center</t>
        </is>
      </c>
      <c r="P135" t="n">
        <v/>
      </c>
      <c r="Q135" t="b">
        <v>1</v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ATF fuel</t>
        </is>
      </c>
      <c r="B136" t="inlineStr">
        <is>
          <t>E11</t>
        </is>
      </c>
      <c r="C136" t="n">
        <v>11</v>
      </c>
      <c r="D136" t="n">
        <v>5</v>
      </c>
      <c r="E136" t="inlineStr">
        <is>
          <t>Input</t>
        </is>
      </c>
      <c r="F136" t="n">
        <v/>
      </c>
      <c r="G136" t="n">
        <v>57283.86</v>
      </c>
      <c r="H136" t="inlineStr"/>
      <c r="I136" t="inlineStr">
        <is>
          <t>#,##0</t>
        </is>
      </c>
      <c r="J136" t="b">
        <v>0</v>
      </c>
      <c r="K136" t="b">
        <v>0</v>
      </c>
      <c r="L136" t="n">
        <v>11</v>
      </c>
      <c r="M136" t="n">
        <v/>
      </c>
      <c r="N136" t="inlineStr">
        <is>
          <t>00000000</t>
        </is>
      </c>
      <c r="O136" t="inlineStr">
        <is>
          <t>center</t>
        </is>
      </c>
      <c r="P136" t="n">
        <v/>
      </c>
      <c r="Q136" t="b">
        <v>1</v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ATF fuel</t>
        </is>
      </c>
      <c r="B137" t="inlineStr">
        <is>
          <t>F11</t>
        </is>
      </c>
      <c r="C137" t="n">
        <v>11</v>
      </c>
      <c r="D137" t="n">
        <v>6</v>
      </c>
      <c r="E137" t="inlineStr">
        <is>
          <t>Calculation</t>
        </is>
      </c>
      <c r="F137" t="inlineStr">
        <is>
          <t>'=AVERAGE(B11:E11)</t>
        </is>
      </c>
      <c r="G137" t="n">
        <v>56104.89999999999</v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inlineStr">
        <is>
          <t>center</t>
        </is>
      </c>
      <c r="P137" t="n">
        <v/>
      </c>
      <c r="R137" t="b">
        <v>1</v>
      </c>
      <c r="S137" t="inlineStr">
        <is>
          <t>G000284</t>
        </is>
      </c>
      <c r="T137" t="inlineStr">
        <is>
          <t>Vertical</t>
        </is>
      </c>
      <c r="U137" t="n">
        <v>130</v>
      </c>
      <c r="V137" t="b">
        <v>1</v>
      </c>
      <c r="W137" t="inlineStr">
        <is>
          <t>ATF fuel!F2:F131</t>
        </is>
      </c>
      <c r="X137">
        <f>AVERAGE(R[0]C[-4]:R[0]C[-1])</f>
        <v/>
      </c>
    </row>
    <row r="138">
      <c r="A138" t="inlineStr">
        <is>
          <t>ATF fuel</t>
        </is>
      </c>
      <c r="B138" t="inlineStr">
        <is>
          <t>G11</t>
        </is>
      </c>
      <c r="C138" t="n">
        <v>11</v>
      </c>
      <c r="D138" t="n">
        <v>7</v>
      </c>
      <c r="E138" t="inlineStr">
        <is>
          <t>Calculation</t>
        </is>
      </c>
      <c r="F138" t="inlineStr">
        <is>
          <t>'=G10-1</t>
        </is>
      </c>
      <c r="G138" t="n">
        <v>122</v>
      </c>
      <c r="H138" t="inlineStr"/>
      <c r="I138" t="inlineStr">
        <is>
          <t>#,##0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G000286</t>
        </is>
      </c>
      <c r="T138" t="inlineStr">
        <is>
          <t>Vertical</t>
        </is>
      </c>
      <c r="U138" t="n">
        <v>129</v>
      </c>
      <c r="V138" t="b">
        <v>1</v>
      </c>
      <c r="W138" t="inlineStr">
        <is>
          <t>ATF fuel!G3:G131</t>
        </is>
      </c>
      <c r="X138">
        <f>R[-1]C[0]-1</f>
        <v/>
      </c>
    </row>
    <row r="139">
      <c r="A139" t="inlineStr">
        <is>
          <t>ATF fuel</t>
        </is>
      </c>
      <c r="B139" t="inlineStr">
        <is>
          <t>H11</t>
        </is>
      </c>
      <c r="C139" t="n">
        <v>11</v>
      </c>
      <c r="D139" t="n">
        <v>8</v>
      </c>
      <c r="E139" t="inlineStr">
        <is>
          <t>Output</t>
        </is>
      </c>
      <c r="F139" t="inlineStr">
        <is>
          <t>'=INDIRECT("A"&amp;G20)</t>
        </is>
      </c>
      <c r="G139" t="inlineStr">
        <is>
          <t>January 01, 2011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>
        <f>INDIRECT("A"&amp;R[9]C[-1])</f>
        <v/>
      </c>
    </row>
    <row r="140">
      <c r="A140" t="inlineStr">
        <is>
          <t>ATF fuel</t>
        </is>
      </c>
      <c r="B140" t="inlineStr">
        <is>
          <t>I11</t>
        </is>
      </c>
      <c r="C140" t="n">
        <v>11</v>
      </c>
      <c r="D140" t="n">
        <v>9</v>
      </c>
      <c r="E140" t="inlineStr">
        <is>
          <t>Output</t>
        </is>
      </c>
      <c r="F140" t="inlineStr">
        <is>
          <t>'=INDIRECT("F"&amp;G20)</t>
        </is>
      </c>
      <c r="G140" t="n">
        <v>50576.88</v>
      </c>
      <c r="H140" t="inlineStr"/>
      <c r="I140" t="inlineStr">
        <is>
          <t xml:space="preserve">_ * #,##0_ ;_ * \-#,##0_ ;_ * "-"??_ ;_ @_ 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>
        <f>INDIRECT("F"&amp;R[9]C[-2])</f>
        <v/>
      </c>
    </row>
    <row r="141">
      <c r="A141" t="inlineStr">
        <is>
          <t>ATF fuel</t>
        </is>
      </c>
      <c r="B141" t="inlineStr">
        <is>
          <t>J11</t>
        </is>
      </c>
      <c r="C141" t="n">
        <v>11</v>
      </c>
      <c r="D141" t="n">
        <v>10</v>
      </c>
      <c r="E141" t="inlineStr">
        <is>
          <t>Input</t>
        </is>
      </c>
      <c r="F141" t="n">
        <v/>
      </c>
      <c r="G141" t="n">
        <v>95.81999999999999</v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ATF fuel</t>
        </is>
      </c>
      <c r="B142" t="inlineStr">
        <is>
          <t>K11</t>
        </is>
      </c>
      <c r="C142" t="n">
        <v>11</v>
      </c>
      <c r="D142" t="n">
        <v>11</v>
      </c>
      <c r="E142" t="inlineStr">
        <is>
          <t>Input</t>
        </is>
      </c>
      <c r="F142" t="n">
        <v/>
      </c>
      <c r="G142" t="n">
        <v>91.59</v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ATF fuel</t>
        </is>
      </c>
      <c r="B143" t="inlineStr">
        <is>
          <t>A12</t>
        </is>
      </c>
      <c r="C143" t="n">
        <v>12</v>
      </c>
      <c r="D143" t="n">
        <v>1</v>
      </c>
      <c r="E143" t="inlineStr">
        <is>
          <t>Input</t>
        </is>
      </c>
      <c r="F143" t="n">
        <v/>
      </c>
      <c r="G143" t="inlineStr">
        <is>
          <t>February 01,2017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n">
        <v/>
      </c>
      <c r="N143" t="inlineStr">
        <is>
          <t>00000000</t>
        </is>
      </c>
      <c r="O143" t="n">
        <v/>
      </c>
      <c r="P143" t="n">
        <v/>
      </c>
      <c r="Q143" t="b">
        <v>1</v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ATF fuel</t>
        </is>
      </c>
      <c r="B144" t="inlineStr">
        <is>
          <t>B12</t>
        </is>
      </c>
      <c r="C144" t="n">
        <v>12</v>
      </c>
      <c r="D144" t="n">
        <v>2</v>
      </c>
      <c r="E144" t="inlineStr">
        <is>
          <t>Input</t>
        </is>
      </c>
      <c r="F144" t="n">
        <v/>
      </c>
      <c r="G144" t="n">
        <v>54079.63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n">
        <v/>
      </c>
      <c r="N144" t="inlineStr">
        <is>
          <t>00000000</t>
        </is>
      </c>
      <c r="O144" t="inlineStr">
        <is>
          <t>center</t>
        </is>
      </c>
      <c r="P144" t="n">
        <v/>
      </c>
      <c r="Q144" t="b">
        <v>1</v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ATF fuel</t>
        </is>
      </c>
      <c r="B145" t="inlineStr">
        <is>
          <t>C12</t>
        </is>
      </c>
      <c r="C145" t="n">
        <v>12</v>
      </c>
      <c r="D145" t="n">
        <v>3</v>
      </c>
      <c r="E145" t="inlineStr">
        <is>
          <t>Input</t>
        </is>
      </c>
      <c r="F145" t="n">
        <v/>
      </c>
      <c r="G145" t="n">
        <v>58822.53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n">
        <v/>
      </c>
      <c r="N145" t="inlineStr">
        <is>
          <t>00000000</t>
        </is>
      </c>
      <c r="O145" t="inlineStr">
        <is>
          <t>center</t>
        </is>
      </c>
      <c r="P145" t="n">
        <v/>
      </c>
      <c r="Q145" t="b">
        <v>1</v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ATF fuel</t>
        </is>
      </c>
      <c r="B146" t="inlineStr">
        <is>
          <t>D12</t>
        </is>
      </c>
      <c r="C146" t="n">
        <v>12</v>
      </c>
      <c r="D146" t="n">
        <v>4</v>
      </c>
      <c r="E146" t="inlineStr">
        <is>
          <t>Input</t>
        </is>
      </c>
      <c r="F146" t="n">
        <v/>
      </c>
      <c r="G146" t="n">
        <v>53407.08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n">
        <v/>
      </c>
      <c r="N146" t="inlineStr">
        <is>
          <t>00000000</t>
        </is>
      </c>
      <c r="O146" t="inlineStr">
        <is>
          <t>center</t>
        </is>
      </c>
      <c r="P146" t="n">
        <v/>
      </c>
      <c r="Q146" t="b">
        <v>1</v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ATF fuel</t>
        </is>
      </c>
      <c r="B147" t="inlineStr">
        <is>
          <t>E12</t>
        </is>
      </c>
      <c r="C147" t="n">
        <v>12</v>
      </c>
      <c r="D147" t="n">
        <v>5</v>
      </c>
      <c r="E147" t="inlineStr">
        <is>
          <t>Input</t>
        </is>
      </c>
      <c r="F147" t="n">
        <v/>
      </c>
      <c r="G147" t="n">
        <v>56960.33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n">
        <v/>
      </c>
      <c r="N147" t="inlineStr">
        <is>
          <t>00000000</t>
        </is>
      </c>
      <c r="O147" t="inlineStr">
        <is>
          <t>center</t>
        </is>
      </c>
      <c r="P147" t="n">
        <v/>
      </c>
      <c r="Q147" t="b">
        <v>1</v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ATF fuel</t>
        </is>
      </c>
      <c r="B148" t="inlineStr">
        <is>
          <t>F12</t>
        </is>
      </c>
      <c r="C148" t="n">
        <v>12</v>
      </c>
      <c r="D148" t="n">
        <v>6</v>
      </c>
      <c r="E148" t="inlineStr">
        <is>
          <t>Calculation</t>
        </is>
      </c>
      <c r="F148" t="inlineStr">
        <is>
          <t>'=AVERAGE(B12:E12)</t>
        </is>
      </c>
      <c r="G148" t="n">
        <v>55817.3925</v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inlineStr">
        <is>
          <t>center</t>
        </is>
      </c>
      <c r="P148" t="n">
        <v/>
      </c>
      <c r="R148" t="b">
        <v>1</v>
      </c>
      <c r="S148" t="inlineStr">
        <is>
          <t>G000284</t>
        </is>
      </c>
      <c r="T148" t="inlineStr">
        <is>
          <t>Vertical</t>
        </is>
      </c>
      <c r="U148" t="n">
        <v>130</v>
      </c>
      <c r="V148" t="b">
        <v>1</v>
      </c>
      <c r="W148" t="inlineStr">
        <is>
          <t>ATF fuel!F2:F131</t>
        </is>
      </c>
      <c r="X148">
        <f>AVERAGE(R[0]C[-4]:R[0]C[-1])</f>
        <v/>
      </c>
    </row>
    <row r="149">
      <c r="A149" t="inlineStr">
        <is>
          <t>ATF fuel</t>
        </is>
      </c>
      <c r="B149" t="inlineStr">
        <is>
          <t>G12</t>
        </is>
      </c>
      <c r="C149" t="n">
        <v>12</v>
      </c>
      <c r="D149" t="n">
        <v>7</v>
      </c>
      <c r="E149" t="inlineStr">
        <is>
          <t>Calculation</t>
        </is>
      </c>
      <c r="F149" t="inlineStr">
        <is>
          <t>'=G11-1</t>
        </is>
      </c>
      <c r="G149" t="n">
        <v>121</v>
      </c>
      <c r="H149" t="inlineStr"/>
      <c r="I149" t="inlineStr">
        <is>
          <t>#,##0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G000286</t>
        </is>
      </c>
      <c r="T149" t="inlineStr">
        <is>
          <t>Vertical</t>
        </is>
      </c>
      <c r="U149" t="n">
        <v>129</v>
      </c>
      <c r="V149" t="b">
        <v>1</v>
      </c>
      <c r="W149" t="inlineStr">
        <is>
          <t>ATF fuel!G3:G131</t>
        </is>
      </c>
      <c r="X149">
        <f>R[-1]C[0]-1</f>
        <v/>
      </c>
    </row>
    <row r="150">
      <c r="A150" t="inlineStr">
        <is>
          <t>ATF fuel</t>
        </is>
      </c>
      <c r="B150" t="inlineStr">
        <is>
          <t>H12</t>
        </is>
      </c>
      <c r="C150" t="n">
        <v>12</v>
      </c>
      <c r="D150" t="n">
        <v>8</v>
      </c>
      <c r="E150" t="inlineStr">
        <is>
          <t>Output</t>
        </is>
      </c>
      <c r="F150" t="inlineStr">
        <is>
          <t>'=INDIRECT("A"&amp;G22)</t>
        </is>
      </c>
      <c r="G150" t="inlineStr">
        <is>
          <t>February 01, 2011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>
        <f>INDIRECT("A"&amp;R[10]C[-1])</f>
        <v/>
      </c>
    </row>
    <row r="151">
      <c r="A151" t="inlineStr">
        <is>
          <t>ATF fuel</t>
        </is>
      </c>
      <c r="B151" t="inlineStr">
        <is>
          <t>I12</t>
        </is>
      </c>
      <c r="C151" t="n">
        <v>12</v>
      </c>
      <c r="D151" t="n">
        <v>9</v>
      </c>
      <c r="E151" t="inlineStr">
        <is>
          <t>Output</t>
        </is>
      </c>
      <c r="F151" t="inlineStr">
        <is>
          <t>'=INDIRECT("F"&amp;G22)</t>
        </is>
      </c>
      <c r="G151" t="n">
        <v>53872.265</v>
      </c>
      <c r="H151" t="inlineStr"/>
      <c r="I151" t="inlineStr">
        <is>
          <t xml:space="preserve">_ * #,##0_ ;_ * \-#,##0_ ;_ * "-"??_ ;_ @_ 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>
        <f>INDIRECT("F"&amp;R[10]C[-2])</f>
        <v/>
      </c>
    </row>
    <row r="152">
      <c r="A152" t="inlineStr">
        <is>
          <t>ATF fuel</t>
        </is>
      </c>
      <c r="B152" t="inlineStr">
        <is>
          <t>J12</t>
        </is>
      </c>
      <c r="C152" t="n">
        <v>12</v>
      </c>
      <c r="D152" t="n">
        <v>10</v>
      </c>
      <c r="E152" t="inlineStr">
        <is>
          <t>Input</t>
        </is>
      </c>
      <c r="F152" t="n">
        <v/>
      </c>
      <c r="G152" t="n">
        <v>100.4</v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ATF fuel</t>
        </is>
      </c>
      <c r="B153" t="inlineStr">
        <is>
          <t>K12</t>
        </is>
      </c>
      <c r="C153" t="n">
        <v>12</v>
      </c>
      <c r="D153" t="n">
        <v>11</v>
      </c>
      <c r="E153" t="inlineStr">
        <is>
          <t>Input</t>
        </is>
      </c>
      <c r="F153" t="n">
        <v/>
      </c>
      <c r="G153" t="n">
        <v>89.54000000000001</v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ATF fuel</t>
        </is>
      </c>
      <c r="B154" t="inlineStr">
        <is>
          <t>A13</t>
        </is>
      </c>
      <c r="C154" t="n">
        <v>13</v>
      </c>
      <c r="D154" t="n">
        <v>1</v>
      </c>
      <c r="E154" t="inlineStr">
        <is>
          <t>Input</t>
        </is>
      </c>
      <c r="F154" t="n">
        <v/>
      </c>
      <c r="G154" t="inlineStr">
        <is>
          <t>January 01, 2017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n">
        <v/>
      </c>
      <c r="N154" t="inlineStr">
        <is>
          <t>00000000</t>
        </is>
      </c>
      <c r="O154" t="n">
        <v/>
      </c>
      <c r="P154" t="n">
        <v/>
      </c>
      <c r="Q154" t="b">
        <v>1</v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ATF fuel</t>
        </is>
      </c>
      <c r="B155" t="inlineStr">
        <is>
          <t>B13</t>
        </is>
      </c>
      <c r="C155" t="n">
        <v>13</v>
      </c>
      <c r="D155" t="n">
        <v>2</v>
      </c>
      <c r="E155" t="inlineStr">
        <is>
          <t>Input</t>
        </is>
      </c>
      <c r="F155" t="n">
        <v/>
      </c>
      <c r="G155" t="n">
        <v>52540.63</v>
      </c>
      <c r="H155" t="inlineStr"/>
      <c r="I155" t="inlineStr">
        <is>
          <t>#,##0</t>
        </is>
      </c>
      <c r="J155" t="b">
        <v>0</v>
      </c>
      <c r="K155" t="b">
        <v>0</v>
      </c>
      <c r="L155" t="n">
        <v>11</v>
      </c>
      <c r="M155" t="n">
        <v/>
      </c>
      <c r="N155" t="inlineStr">
        <is>
          <t>00000000</t>
        </is>
      </c>
      <c r="O155" t="inlineStr">
        <is>
          <t>center</t>
        </is>
      </c>
      <c r="P155" t="n">
        <v/>
      </c>
      <c r="Q155" t="b">
        <v>1</v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ATF fuel</t>
        </is>
      </c>
      <c r="B156" t="inlineStr">
        <is>
          <t>C13</t>
        </is>
      </c>
      <c r="C156" t="n">
        <v>13</v>
      </c>
      <c r="D156" t="n">
        <v>3</v>
      </c>
      <c r="E156" t="inlineStr">
        <is>
          <t>Input</t>
        </is>
      </c>
      <c r="F156" t="n">
        <v/>
      </c>
      <c r="G156" t="n">
        <v>57215.61</v>
      </c>
      <c r="H156" t="inlineStr"/>
      <c r="I156" t="inlineStr">
        <is>
          <t>#,##0</t>
        </is>
      </c>
      <c r="J156" t="b">
        <v>0</v>
      </c>
      <c r="K156" t="b">
        <v>0</v>
      </c>
      <c r="L156" t="n">
        <v>11</v>
      </c>
      <c r="M156" t="n">
        <v/>
      </c>
      <c r="N156" t="inlineStr">
        <is>
          <t>00000000</t>
        </is>
      </c>
      <c r="O156" t="inlineStr">
        <is>
          <t>center</t>
        </is>
      </c>
      <c r="P156" t="n">
        <v/>
      </c>
      <c r="Q156" t="b">
        <v>1</v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ATF fuel</t>
        </is>
      </c>
      <c r="B157" t="inlineStr">
        <is>
          <t>D13</t>
        </is>
      </c>
      <c r="C157" t="n">
        <v>13</v>
      </c>
      <c r="D157" t="n">
        <v>4</v>
      </c>
      <c r="E157" t="inlineStr">
        <is>
          <t>Input</t>
        </is>
      </c>
      <c r="F157" t="n">
        <v/>
      </c>
      <c r="G157" t="n">
        <v>51776.88</v>
      </c>
      <c r="H157" t="inlineStr"/>
      <c r="I157" t="inlineStr">
        <is>
          <t>#,##0</t>
        </is>
      </c>
      <c r="J157" t="b">
        <v>0</v>
      </c>
      <c r="K157" t="b">
        <v>0</v>
      </c>
      <c r="L157" t="n">
        <v>11</v>
      </c>
      <c r="M157" t="n">
        <v/>
      </c>
      <c r="N157" t="inlineStr">
        <is>
          <t>00000000</t>
        </is>
      </c>
      <c r="O157" t="inlineStr">
        <is>
          <t>center</t>
        </is>
      </c>
      <c r="P157" t="n">
        <v/>
      </c>
      <c r="Q157" t="b">
        <v>1</v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ATF fuel</t>
        </is>
      </c>
      <c r="B158" t="inlineStr">
        <is>
          <t>E13</t>
        </is>
      </c>
      <c r="C158" t="n">
        <v>13</v>
      </c>
      <c r="D158" t="n">
        <v>5</v>
      </c>
      <c r="E158" t="inlineStr">
        <is>
          <t>Input</t>
        </is>
      </c>
      <c r="F158" t="n">
        <v/>
      </c>
      <c r="G158" t="n">
        <v>55322.55</v>
      </c>
      <c r="H158" t="inlineStr"/>
      <c r="I158" t="inlineStr">
        <is>
          <t>#,##0</t>
        </is>
      </c>
      <c r="J158" t="b">
        <v>0</v>
      </c>
      <c r="K158" t="b">
        <v>0</v>
      </c>
      <c r="L158" t="n">
        <v>11</v>
      </c>
      <c r="M158" t="n">
        <v/>
      </c>
      <c r="N158" t="inlineStr">
        <is>
          <t>00000000</t>
        </is>
      </c>
      <c r="O158" t="inlineStr">
        <is>
          <t>center</t>
        </is>
      </c>
      <c r="P158" t="n">
        <v/>
      </c>
      <c r="Q158" t="b">
        <v>1</v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ATF fuel</t>
        </is>
      </c>
      <c r="B159" t="inlineStr">
        <is>
          <t>F13</t>
        </is>
      </c>
      <c r="C159" t="n">
        <v>13</v>
      </c>
      <c r="D159" t="n">
        <v>6</v>
      </c>
      <c r="E159" t="inlineStr">
        <is>
          <t>Calculation</t>
        </is>
      </c>
      <c r="F159" t="inlineStr">
        <is>
          <t>'=AVERAGE(B13:E13)</t>
        </is>
      </c>
      <c r="G159" t="n">
        <v>54213.9175</v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inlineStr">
        <is>
          <t>center</t>
        </is>
      </c>
      <c r="P159" t="n">
        <v/>
      </c>
      <c r="R159" t="b">
        <v>1</v>
      </c>
      <c r="S159" t="inlineStr">
        <is>
          <t>G000284</t>
        </is>
      </c>
      <c r="T159" t="inlineStr">
        <is>
          <t>Vertical</t>
        </is>
      </c>
      <c r="U159" t="n">
        <v>130</v>
      </c>
      <c r="V159" t="b">
        <v>1</v>
      </c>
      <c r="W159" t="inlineStr">
        <is>
          <t>ATF fuel!F2:F131</t>
        </is>
      </c>
      <c r="X159">
        <f>AVERAGE(R[0]C[-4]:R[0]C[-1])</f>
        <v/>
      </c>
    </row>
    <row r="160">
      <c r="A160" t="inlineStr">
        <is>
          <t>ATF fuel</t>
        </is>
      </c>
      <c r="B160" t="inlineStr">
        <is>
          <t>G13</t>
        </is>
      </c>
      <c r="C160" t="n">
        <v>13</v>
      </c>
      <c r="D160" t="n">
        <v>7</v>
      </c>
      <c r="E160" t="inlineStr">
        <is>
          <t>Calculation</t>
        </is>
      </c>
      <c r="F160" t="inlineStr">
        <is>
          <t>'=G12-1</t>
        </is>
      </c>
      <c r="G160" t="n">
        <v>120</v>
      </c>
      <c r="H160" t="inlineStr"/>
      <c r="I160" t="inlineStr">
        <is>
          <t>#,##0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inlineStr">
        <is>
          <t>G000286</t>
        </is>
      </c>
      <c r="T160" t="inlineStr">
        <is>
          <t>Vertical</t>
        </is>
      </c>
      <c r="U160" t="n">
        <v>129</v>
      </c>
      <c r="V160" t="b">
        <v>1</v>
      </c>
      <c r="W160" t="inlineStr">
        <is>
          <t>ATF fuel!G3:G131</t>
        </is>
      </c>
      <c r="X160">
        <f>R[-1]C[0]-1</f>
        <v/>
      </c>
    </row>
    <row r="161">
      <c r="A161" t="inlineStr">
        <is>
          <t>ATF fuel</t>
        </is>
      </c>
      <c r="B161" t="inlineStr">
        <is>
          <t>H13</t>
        </is>
      </c>
      <c r="C161" t="n">
        <v>13</v>
      </c>
      <c r="D161" t="n">
        <v>8</v>
      </c>
      <c r="E161" t="inlineStr">
        <is>
          <t>Output</t>
        </is>
      </c>
      <c r="F161" t="inlineStr">
        <is>
          <t>'=INDIRECT("A"&amp;G24)</t>
        </is>
      </c>
      <c r="G161" t="inlineStr">
        <is>
          <t>March 01, 2011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>
        <f>INDIRECT("A"&amp;R[11]C[-1])</f>
        <v/>
      </c>
    </row>
    <row r="162">
      <c r="A162" t="inlineStr">
        <is>
          <t>ATF fuel</t>
        </is>
      </c>
      <c r="B162" t="inlineStr">
        <is>
          <t>I13</t>
        </is>
      </c>
      <c r="C162" t="n">
        <v>13</v>
      </c>
      <c r="D162" t="n">
        <v>9</v>
      </c>
      <c r="E162" t="inlineStr">
        <is>
          <t>Output</t>
        </is>
      </c>
      <c r="F162" t="inlineStr">
        <is>
          <t>'=INDIRECT("F"&amp;G24)</t>
        </is>
      </c>
      <c r="G162" t="n">
        <v>58021.2925</v>
      </c>
      <c r="H162" t="inlineStr"/>
      <c r="I162" t="inlineStr">
        <is>
          <t xml:space="preserve">_ * #,##0_ ;_ * \-#,##0_ ;_ * "-"??_ ;_ @_ 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>
        <f>INDIRECT("F"&amp;R[11]C[-2])</f>
        <v/>
      </c>
    </row>
    <row r="163">
      <c r="A163" t="inlineStr">
        <is>
          <t>ATF fuel</t>
        </is>
      </c>
      <c r="B163" t="inlineStr">
        <is>
          <t>J13</t>
        </is>
      </c>
      <c r="C163" t="n">
        <v>13</v>
      </c>
      <c r="D163" t="n">
        <v>10</v>
      </c>
      <c r="E163" t="inlineStr">
        <is>
          <t>Input</t>
        </is>
      </c>
      <c r="F163" t="n">
        <v/>
      </c>
      <c r="G163" t="n">
        <v>113.34</v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ATF fuel</t>
        </is>
      </c>
      <c r="B164" t="inlineStr">
        <is>
          <t>K13</t>
        </is>
      </c>
      <c r="C164" t="n">
        <v>13</v>
      </c>
      <c r="D164" t="n">
        <v>11</v>
      </c>
      <c r="E164" t="inlineStr">
        <is>
          <t>Input</t>
        </is>
      </c>
      <c r="F164" t="n">
        <v/>
      </c>
      <c r="G164" t="n">
        <v>99.63</v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ATF fuel</t>
        </is>
      </c>
      <c r="B165" t="inlineStr">
        <is>
          <t>A14</t>
        </is>
      </c>
      <c r="C165" t="n">
        <v>14</v>
      </c>
      <c r="D165" t="n">
        <v>1</v>
      </c>
      <c r="E165" t="inlineStr">
        <is>
          <t>Input</t>
        </is>
      </c>
      <c r="F165" t="n">
        <v/>
      </c>
      <c r="G165" t="inlineStr">
        <is>
          <t>December 01,2016</t>
        </is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11</v>
      </c>
      <c r="M165" t="n">
        <v/>
      </c>
      <c r="N165" t="inlineStr">
        <is>
          <t>00000000</t>
        </is>
      </c>
      <c r="O165" t="n">
        <v/>
      </c>
      <c r="P165" t="n">
        <v/>
      </c>
      <c r="Q165" t="b">
        <v>1</v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ATF fuel</t>
        </is>
      </c>
      <c r="B166" t="inlineStr">
        <is>
          <t>B14</t>
        </is>
      </c>
      <c r="C166" t="n">
        <v>14</v>
      </c>
      <c r="D166" t="n">
        <v>2</v>
      </c>
      <c r="E166" t="inlineStr">
        <is>
          <t>Input</t>
        </is>
      </c>
      <c r="F166" t="n">
        <v/>
      </c>
      <c r="G166" t="n">
        <v>48379.63</v>
      </c>
      <c r="H166" t="inlineStr"/>
      <c r="I166" t="inlineStr">
        <is>
          <t>#,##0</t>
        </is>
      </c>
      <c r="J166" t="b">
        <v>0</v>
      </c>
      <c r="K166" t="b">
        <v>0</v>
      </c>
      <c r="L166" t="n">
        <v>11</v>
      </c>
      <c r="M166" t="n">
        <v/>
      </c>
      <c r="N166" t="inlineStr">
        <is>
          <t>00000000</t>
        </is>
      </c>
      <c r="O166" t="inlineStr">
        <is>
          <t>center</t>
        </is>
      </c>
      <c r="P166" t="n">
        <v/>
      </c>
      <c r="Q166" t="b">
        <v>1</v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ATF fuel</t>
        </is>
      </c>
      <c r="B167" t="inlineStr">
        <is>
          <t>C14</t>
        </is>
      </c>
      <c r="C167" t="n">
        <v>14</v>
      </c>
      <c r="D167" t="n">
        <v>3</v>
      </c>
      <c r="E167" t="inlineStr">
        <is>
          <t>Input</t>
        </is>
      </c>
      <c r="F167" t="n">
        <v/>
      </c>
      <c r="G167" t="n">
        <v>53011.86</v>
      </c>
      <c r="H167" t="inlineStr"/>
      <c r="I167" t="inlineStr">
        <is>
          <t>#,##0</t>
        </is>
      </c>
      <c r="J167" t="b">
        <v>0</v>
      </c>
      <c r="K167" t="b">
        <v>0</v>
      </c>
      <c r="L167" t="n">
        <v>11</v>
      </c>
      <c r="M167" t="n">
        <v/>
      </c>
      <c r="N167" t="inlineStr">
        <is>
          <t>00000000</t>
        </is>
      </c>
      <c r="O167" t="inlineStr">
        <is>
          <t>center</t>
        </is>
      </c>
      <c r="P167" t="n">
        <v/>
      </c>
      <c r="Q167" t="b">
        <v>1</v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ATF fuel</t>
        </is>
      </c>
      <c r="B168" t="inlineStr">
        <is>
          <t>D14</t>
        </is>
      </c>
      <c r="C168" t="n">
        <v>14</v>
      </c>
      <c r="D168" t="n">
        <v>4</v>
      </c>
      <c r="E168" t="inlineStr">
        <is>
          <t>Input</t>
        </is>
      </c>
      <c r="F168" t="n">
        <v/>
      </c>
      <c r="G168" t="n">
        <v>47601.63</v>
      </c>
      <c r="H168" t="inlineStr"/>
      <c r="I168" t="inlineStr">
        <is>
          <t>#,##0</t>
        </is>
      </c>
      <c r="J168" t="b">
        <v>0</v>
      </c>
      <c r="K168" t="b">
        <v>0</v>
      </c>
      <c r="L168" t="n">
        <v>11</v>
      </c>
      <c r="M168" t="n">
        <v/>
      </c>
      <c r="N168" t="inlineStr">
        <is>
          <t>00000000</t>
        </is>
      </c>
      <c r="O168" t="inlineStr">
        <is>
          <t>center</t>
        </is>
      </c>
      <c r="P168" t="n">
        <v/>
      </c>
      <c r="Q168" t="b">
        <v>1</v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ATF fuel</t>
        </is>
      </c>
      <c r="B169" t="inlineStr">
        <is>
          <t>E14</t>
        </is>
      </c>
      <c r="C169" t="n">
        <v>14</v>
      </c>
      <c r="D169" t="n">
        <v>5</v>
      </c>
      <c r="E169" t="inlineStr">
        <is>
          <t>Input</t>
        </is>
      </c>
      <c r="F169" t="n">
        <v/>
      </c>
      <c r="G169" t="n">
        <v>50998.98</v>
      </c>
      <c r="H169" t="inlineStr"/>
      <c r="I169" t="inlineStr">
        <is>
          <t>#,##0</t>
        </is>
      </c>
      <c r="J169" t="b">
        <v>0</v>
      </c>
      <c r="K169" t="b">
        <v>0</v>
      </c>
      <c r="L169" t="n">
        <v>11</v>
      </c>
      <c r="M169" t="n">
        <v/>
      </c>
      <c r="N169" t="inlineStr">
        <is>
          <t>00000000</t>
        </is>
      </c>
      <c r="O169" t="inlineStr">
        <is>
          <t>center</t>
        </is>
      </c>
      <c r="P169" t="n">
        <v/>
      </c>
      <c r="Q169" t="b">
        <v>1</v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ATF fuel</t>
        </is>
      </c>
      <c r="B170" t="inlineStr">
        <is>
          <t>F14</t>
        </is>
      </c>
      <c r="C170" t="n">
        <v>14</v>
      </c>
      <c r="D170" t="n">
        <v>6</v>
      </c>
      <c r="E170" t="inlineStr">
        <is>
          <t>Calculation</t>
        </is>
      </c>
      <c r="F170" t="inlineStr">
        <is>
          <t>'=AVERAGE(B14:E14)</t>
        </is>
      </c>
      <c r="G170" t="n">
        <v>49998.025</v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inlineStr">
        <is>
          <t>center</t>
        </is>
      </c>
      <c r="P170" t="n">
        <v/>
      </c>
      <c r="R170" t="b">
        <v>1</v>
      </c>
      <c r="S170" t="inlineStr">
        <is>
          <t>G000284</t>
        </is>
      </c>
      <c r="T170" t="inlineStr">
        <is>
          <t>Vertical</t>
        </is>
      </c>
      <c r="U170" t="n">
        <v>130</v>
      </c>
      <c r="V170" t="b">
        <v>1</v>
      </c>
      <c r="W170" t="inlineStr">
        <is>
          <t>ATF fuel!F2:F131</t>
        </is>
      </c>
      <c r="X170">
        <f>AVERAGE(R[0]C[-4]:R[0]C[-1])</f>
        <v/>
      </c>
    </row>
    <row r="171">
      <c r="A171" t="inlineStr">
        <is>
          <t>ATF fuel</t>
        </is>
      </c>
      <c r="B171" t="inlineStr">
        <is>
          <t>G14</t>
        </is>
      </c>
      <c r="C171" t="n">
        <v>14</v>
      </c>
      <c r="D171" t="n">
        <v>7</v>
      </c>
      <c r="E171" t="inlineStr">
        <is>
          <t>Calculation</t>
        </is>
      </c>
      <c r="F171" t="inlineStr">
        <is>
          <t>'=G13-1</t>
        </is>
      </c>
      <c r="G171" t="n">
        <v>119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G000286</t>
        </is>
      </c>
      <c r="T171" t="inlineStr">
        <is>
          <t>Vertical</t>
        </is>
      </c>
      <c r="U171" t="n">
        <v>129</v>
      </c>
      <c r="V171" t="b">
        <v>1</v>
      </c>
      <c r="W171" t="inlineStr">
        <is>
          <t>ATF fuel!G3:G131</t>
        </is>
      </c>
      <c r="X171">
        <f>R[-1]C[0]-1</f>
        <v/>
      </c>
    </row>
    <row r="172">
      <c r="A172" t="inlineStr">
        <is>
          <t>ATF fuel</t>
        </is>
      </c>
      <c r="B172" t="inlineStr">
        <is>
          <t>H14</t>
        </is>
      </c>
      <c r="C172" t="n">
        <v>14</v>
      </c>
      <c r="D172" t="n">
        <v>8</v>
      </c>
      <c r="E172" t="inlineStr">
        <is>
          <t>Output</t>
        </is>
      </c>
      <c r="F172" t="inlineStr">
        <is>
          <t>'=INDIRECT("A"&amp;G26)</t>
        </is>
      </c>
      <c r="G172" t="inlineStr">
        <is>
          <t>April 01, 2011</t>
        </is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>
        <f>INDIRECT("A"&amp;R[12]C[-1])</f>
        <v/>
      </c>
    </row>
    <row r="173">
      <c r="A173" t="inlineStr">
        <is>
          <t>ATF fuel</t>
        </is>
      </c>
      <c r="B173" t="inlineStr">
        <is>
          <t>I14</t>
        </is>
      </c>
      <c r="C173" t="n">
        <v>14</v>
      </c>
      <c r="D173" t="n">
        <v>9</v>
      </c>
      <c r="E173" t="inlineStr">
        <is>
          <t>Output</t>
        </is>
      </c>
      <c r="F173" t="inlineStr">
        <is>
          <t>'=INDIRECT("F"&amp;G26)</t>
        </is>
      </c>
      <c r="G173" t="n">
        <v>62458.0975</v>
      </c>
      <c r="H173" t="inlineStr"/>
      <c r="I173" t="inlineStr">
        <is>
          <t xml:space="preserve">_ * #,##0_ ;_ * \-#,##0_ ;_ * "-"??_ ;_ @_ 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>
        <f>INDIRECT("F"&amp;R[12]C[-2])</f>
        <v/>
      </c>
    </row>
    <row r="174">
      <c r="A174" t="inlineStr">
        <is>
          <t>ATF fuel</t>
        </is>
      </c>
      <c r="B174" t="inlineStr">
        <is>
          <t>J14</t>
        </is>
      </c>
      <c r="C174" t="n">
        <v>14</v>
      </c>
      <c r="D174" t="n">
        <v>10</v>
      </c>
      <c r="E174" t="inlineStr">
        <is>
          <t>Input</t>
        </is>
      </c>
      <c r="F174" t="n">
        <v/>
      </c>
      <c r="G174" t="n">
        <v>118.63</v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ATF fuel</t>
        </is>
      </c>
      <c r="B175" t="inlineStr">
        <is>
          <t>K14</t>
        </is>
      </c>
      <c r="C175" t="n">
        <v>14</v>
      </c>
      <c r="D175" t="n">
        <v>11</v>
      </c>
      <c r="E175" t="inlineStr">
        <is>
          <t>Input</t>
        </is>
      </c>
      <c r="F175" t="n">
        <v/>
      </c>
      <c r="G175" t="n">
        <v>107.55</v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ATF fuel</t>
        </is>
      </c>
      <c r="B176" t="inlineStr">
        <is>
          <t>A15</t>
        </is>
      </c>
      <c r="C176" t="n">
        <v>15</v>
      </c>
      <c r="D176" t="n">
        <v>1</v>
      </c>
      <c r="E176" t="inlineStr">
        <is>
          <t>Input</t>
        </is>
      </c>
      <c r="F176" t="n">
        <v/>
      </c>
      <c r="G176" t="inlineStr">
        <is>
          <t>November 01,2016</t>
        </is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11</v>
      </c>
      <c r="M176" t="n">
        <v/>
      </c>
      <c r="N176" t="inlineStr">
        <is>
          <t>00000000</t>
        </is>
      </c>
      <c r="O176" t="n">
        <v/>
      </c>
      <c r="P176" t="n">
        <v/>
      </c>
      <c r="Q176" t="b">
        <v>1</v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ATF fuel</t>
        </is>
      </c>
      <c r="B177" t="inlineStr">
        <is>
          <t>B15</t>
        </is>
      </c>
      <c r="C177" t="n">
        <v>15</v>
      </c>
      <c r="D177" t="n">
        <v>2</v>
      </c>
      <c r="E177" t="inlineStr">
        <is>
          <t>Input</t>
        </is>
      </c>
      <c r="F177" t="n">
        <v/>
      </c>
      <c r="G177" t="n">
        <v>50260.63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n">
        <v/>
      </c>
      <c r="N177" t="inlineStr">
        <is>
          <t>00000000</t>
        </is>
      </c>
      <c r="O177" t="inlineStr">
        <is>
          <t>center</t>
        </is>
      </c>
      <c r="P177" t="n">
        <v/>
      </c>
      <c r="Q177" t="b">
        <v>1</v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ATF fuel</t>
        </is>
      </c>
      <c r="B178" t="inlineStr">
        <is>
          <t>C15</t>
        </is>
      </c>
      <c r="C178" t="n">
        <v>15</v>
      </c>
      <c r="D178" t="n">
        <v>3</v>
      </c>
      <c r="E178" t="inlineStr">
        <is>
          <t>Input</t>
        </is>
      </c>
      <c r="F178" t="n">
        <v/>
      </c>
      <c r="G178" t="n">
        <v>54921.36</v>
      </c>
      <c r="H178" t="inlineStr"/>
      <c r="I178" t="inlineStr">
        <is>
          <t>#,##0</t>
        </is>
      </c>
      <c r="J178" t="b">
        <v>0</v>
      </c>
      <c r="K178" t="b">
        <v>0</v>
      </c>
      <c r="L178" t="n">
        <v>11</v>
      </c>
      <c r="M178" t="n">
        <v/>
      </c>
      <c r="N178" t="inlineStr">
        <is>
          <t>00000000</t>
        </is>
      </c>
      <c r="O178" t="inlineStr">
        <is>
          <t>center</t>
        </is>
      </c>
      <c r="P178" t="n">
        <v/>
      </c>
      <c r="Q178" t="b">
        <v>1</v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ATF fuel</t>
        </is>
      </c>
      <c r="B179" t="inlineStr">
        <is>
          <t>D15</t>
        </is>
      </c>
      <c r="C179" t="n">
        <v>15</v>
      </c>
      <c r="D179" t="n">
        <v>4</v>
      </c>
      <c r="E179" t="inlineStr">
        <is>
          <t>Input</t>
        </is>
      </c>
      <c r="F179" t="n">
        <v/>
      </c>
      <c r="G179" t="n">
        <v>49482.63</v>
      </c>
      <c r="H179" t="inlineStr"/>
      <c r="I179" t="inlineStr">
        <is>
          <t>#,##0</t>
        </is>
      </c>
      <c r="J179" t="b">
        <v>0</v>
      </c>
      <c r="K179" t="b">
        <v>0</v>
      </c>
      <c r="L179" t="n">
        <v>11</v>
      </c>
      <c r="M179" t="n">
        <v/>
      </c>
      <c r="N179" t="inlineStr">
        <is>
          <t>00000000</t>
        </is>
      </c>
      <c r="O179" t="inlineStr">
        <is>
          <t>center</t>
        </is>
      </c>
      <c r="P179" t="n">
        <v/>
      </c>
      <c r="Q179" t="b">
        <v>1</v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ATF fuel</t>
        </is>
      </c>
      <c r="B180" t="inlineStr">
        <is>
          <t>E15</t>
        </is>
      </c>
      <c r="C180" t="n">
        <v>15</v>
      </c>
      <c r="D180" t="n">
        <v>5</v>
      </c>
      <c r="E180" t="inlineStr">
        <is>
          <t>Input</t>
        </is>
      </c>
      <c r="F180" t="n">
        <v/>
      </c>
      <c r="G180" t="n">
        <v>52940.19</v>
      </c>
      <c r="H180" t="inlineStr"/>
      <c r="I180" t="inlineStr">
        <is>
          <t>#,##0</t>
        </is>
      </c>
      <c r="J180" t="b">
        <v>0</v>
      </c>
      <c r="K180" t="b">
        <v>0</v>
      </c>
      <c r="L180" t="n">
        <v>11</v>
      </c>
      <c r="M180" t="n">
        <v/>
      </c>
      <c r="N180" t="inlineStr">
        <is>
          <t>00000000</t>
        </is>
      </c>
      <c r="O180" t="inlineStr">
        <is>
          <t>center</t>
        </is>
      </c>
      <c r="P180" t="n">
        <v/>
      </c>
      <c r="Q180" t="b">
        <v>1</v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ATF fuel</t>
        </is>
      </c>
      <c r="B181" t="inlineStr">
        <is>
          <t>F15</t>
        </is>
      </c>
      <c r="C181" t="n">
        <v>15</v>
      </c>
      <c r="D181" t="n">
        <v>6</v>
      </c>
      <c r="E181" t="inlineStr">
        <is>
          <t>Calculation</t>
        </is>
      </c>
      <c r="F181" t="inlineStr">
        <is>
          <t>'=AVERAGE(B15:E15)</t>
        </is>
      </c>
      <c r="G181" t="n">
        <v>51901.2025</v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inlineStr">
        <is>
          <t>center</t>
        </is>
      </c>
      <c r="P181" t="n">
        <v/>
      </c>
      <c r="R181" t="b">
        <v>1</v>
      </c>
      <c r="S181" t="inlineStr">
        <is>
          <t>G000284</t>
        </is>
      </c>
      <c r="T181" t="inlineStr">
        <is>
          <t>Vertical</t>
        </is>
      </c>
      <c r="U181" t="n">
        <v>130</v>
      </c>
      <c r="V181" t="b">
        <v>1</v>
      </c>
      <c r="W181" t="inlineStr">
        <is>
          <t>ATF fuel!F2:F131</t>
        </is>
      </c>
      <c r="X181">
        <f>AVERAGE(R[0]C[-4]:R[0]C[-1])</f>
        <v/>
      </c>
    </row>
    <row r="182">
      <c r="A182" t="inlineStr">
        <is>
          <t>ATF fuel</t>
        </is>
      </c>
      <c r="B182" t="inlineStr">
        <is>
          <t>G15</t>
        </is>
      </c>
      <c r="C182" t="n">
        <v>15</v>
      </c>
      <c r="D182" t="n">
        <v>7</v>
      </c>
      <c r="E182" t="inlineStr">
        <is>
          <t>Calculation</t>
        </is>
      </c>
      <c r="F182" t="inlineStr">
        <is>
          <t>'=G14-1</t>
        </is>
      </c>
      <c r="G182" t="n">
        <v>118</v>
      </c>
      <c r="H182" t="inlineStr"/>
      <c r="I182" t="inlineStr">
        <is>
          <t>#,##0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G000286</t>
        </is>
      </c>
      <c r="T182" t="inlineStr">
        <is>
          <t>Vertical</t>
        </is>
      </c>
      <c r="U182" t="n">
        <v>129</v>
      </c>
      <c r="V182" t="b">
        <v>1</v>
      </c>
      <c r="W182" t="inlineStr">
        <is>
          <t>ATF fuel!G3:G131</t>
        </is>
      </c>
      <c r="X182">
        <f>R[-1]C[0]-1</f>
        <v/>
      </c>
    </row>
    <row r="183">
      <c r="A183" t="inlineStr">
        <is>
          <t>ATF fuel</t>
        </is>
      </c>
      <c r="B183" t="inlineStr">
        <is>
          <t>H15</t>
        </is>
      </c>
      <c r="C183" t="n">
        <v>15</v>
      </c>
      <c r="D183" t="n">
        <v>8</v>
      </c>
      <c r="E183" t="inlineStr">
        <is>
          <t>Output</t>
        </is>
      </c>
      <c r="F183" t="inlineStr">
        <is>
          <t>'=INDIRECT("A"&amp;G28)</t>
        </is>
      </c>
      <c r="G183" t="inlineStr">
        <is>
          <t>May 01, 2011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>
        <f>INDIRECT("A"&amp;R[13]C[-1])</f>
        <v/>
      </c>
    </row>
    <row r="184">
      <c r="A184" t="inlineStr">
        <is>
          <t>ATF fuel</t>
        </is>
      </c>
      <c r="B184" t="inlineStr">
        <is>
          <t>I15</t>
        </is>
      </c>
      <c r="C184" t="n">
        <v>15</v>
      </c>
      <c r="D184" t="n">
        <v>9</v>
      </c>
      <c r="E184" t="inlineStr">
        <is>
          <t>Output</t>
        </is>
      </c>
      <c r="F184" t="inlineStr">
        <is>
          <t>'=INDIRECT("F"&amp;G28)</t>
        </is>
      </c>
      <c r="G184" t="n">
        <v>63967.75</v>
      </c>
      <c r="H184" t="inlineStr"/>
      <c r="I184" t="inlineStr">
        <is>
          <t xml:space="preserve">_ * #,##0_ ;_ * \-#,##0_ ;_ * "-"??_ ;_ @_ 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>
        <f>INDIRECT("F"&amp;R[13]C[-2])</f>
        <v/>
      </c>
    </row>
    <row r="185">
      <c r="A185" t="inlineStr">
        <is>
          <t>ATF fuel</t>
        </is>
      </c>
      <c r="B185" t="inlineStr">
        <is>
          <t>J15</t>
        </is>
      </c>
      <c r="C185" t="n">
        <v>15</v>
      </c>
      <c r="D185" t="n">
        <v>10</v>
      </c>
      <c r="E185" t="inlineStr">
        <is>
          <t>Input</t>
        </is>
      </c>
      <c r="F185" t="n">
        <v/>
      </c>
      <c r="G185" t="n">
        <v>121.55</v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ATF fuel</t>
        </is>
      </c>
      <c r="B186" t="inlineStr">
        <is>
          <t>K15</t>
        </is>
      </c>
      <c r="C186" t="n">
        <v>15</v>
      </c>
      <c r="D186" t="n">
        <v>11</v>
      </c>
      <c r="E186" t="inlineStr">
        <is>
          <t>Input</t>
        </is>
      </c>
      <c r="F186" t="n">
        <v/>
      </c>
      <c r="G186" t="n">
        <v>113.03</v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ATF fuel</t>
        </is>
      </c>
      <c r="B187" t="inlineStr">
        <is>
          <t>A16</t>
        </is>
      </c>
      <c r="C187" t="n">
        <v>16</v>
      </c>
      <c r="D187" t="n">
        <v>1</v>
      </c>
      <c r="E187" t="inlineStr">
        <is>
          <t>Input</t>
        </is>
      </c>
      <c r="F187" t="n">
        <v/>
      </c>
      <c r="G187" t="inlineStr">
        <is>
          <t>October 01,2016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n">
        <v/>
      </c>
      <c r="N187" t="inlineStr">
        <is>
          <t>00000000</t>
        </is>
      </c>
      <c r="O187" t="n">
        <v/>
      </c>
      <c r="P187" t="n">
        <v/>
      </c>
      <c r="Q187" t="b">
        <v>1</v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ATF fuel</t>
        </is>
      </c>
      <c r="B188" t="inlineStr">
        <is>
          <t>B16</t>
        </is>
      </c>
      <c r="C188" t="n">
        <v>16</v>
      </c>
      <c r="D188" t="n">
        <v>2</v>
      </c>
      <c r="E188" t="inlineStr">
        <is>
          <t>Input</t>
        </is>
      </c>
      <c r="F188" t="n">
        <v/>
      </c>
      <c r="G188" t="n">
        <v>46826.38</v>
      </c>
      <c r="H188" t="inlineStr"/>
      <c r="I188" t="inlineStr">
        <is>
          <t>#,##0</t>
        </is>
      </c>
      <c r="J188" t="b">
        <v>0</v>
      </c>
      <c r="K188" t="b">
        <v>0</v>
      </c>
      <c r="L188" t="n">
        <v>11</v>
      </c>
      <c r="M188" t="n">
        <v/>
      </c>
      <c r="N188" t="inlineStr">
        <is>
          <t>00000000</t>
        </is>
      </c>
      <c r="O188" t="inlineStr">
        <is>
          <t>center</t>
        </is>
      </c>
      <c r="P188" t="n">
        <v/>
      </c>
      <c r="Q188" t="b">
        <v>1</v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ATF fuel</t>
        </is>
      </c>
      <c r="B189" t="inlineStr">
        <is>
          <t>C16</t>
        </is>
      </c>
      <c r="C189" t="n">
        <v>16</v>
      </c>
      <c r="D189" t="n">
        <v>3</v>
      </c>
      <c r="E189" t="inlineStr">
        <is>
          <t>Input</t>
        </is>
      </c>
      <c r="F189" t="n">
        <v/>
      </c>
      <c r="G189" t="n">
        <v>51562.45</v>
      </c>
      <c r="H189" t="inlineStr"/>
      <c r="I189" t="inlineStr">
        <is>
          <t>#,##0</t>
        </is>
      </c>
      <c r="J189" t="b">
        <v>0</v>
      </c>
      <c r="K189" t="b">
        <v>0</v>
      </c>
      <c r="L189" t="n">
        <v>11</v>
      </c>
      <c r="M189" t="n">
        <v/>
      </c>
      <c r="N189" t="inlineStr">
        <is>
          <t>00000000</t>
        </is>
      </c>
      <c r="O189" t="inlineStr">
        <is>
          <t>center</t>
        </is>
      </c>
      <c r="P189" t="n">
        <v/>
      </c>
      <c r="Q189" t="b">
        <v>1</v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ATF fuel</t>
        </is>
      </c>
      <c r="B190" t="inlineStr">
        <is>
          <t>D16</t>
        </is>
      </c>
      <c r="C190" t="n">
        <v>16</v>
      </c>
      <c r="D190" t="n">
        <v>4</v>
      </c>
      <c r="E190" t="inlineStr">
        <is>
          <t>Input</t>
        </is>
      </c>
      <c r="F190" t="n">
        <v/>
      </c>
      <c r="G190" t="n">
        <v>45933.21</v>
      </c>
      <c r="H190" t="inlineStr"/>
      <c r="I190" t="inlineStr">
        <is>
          <t>#,##0</t>
        </is>
      </c>
      <c r="J190" t="b">
        <v>0</v>
      </c>
      <c r="K190" t="b">
        <v>0</v>
      </c>
      <c r="L190" t="n">
        <v>11</v>
      </c>
      <c r="M190" t="n">
        <v/>
      </c>
      <c r="N190" t="inlineStr">
        <is>
          <t>00000000</t>
        </is>
      </c>
      <c r="O190" t="inlineStr">
        <is>
          <t>center</t>
        </is>
      </c>
      <c r="P190" t="n">
        <v/>
      </c>
      <c r="Q190" t="b">
        <v>1</v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ATF fuel</t>
        </is>
      </c>
      <c r="B191" t="inlineStr">
        <is>
          <t>E16</t>
        </is>
      </c>
      <c r="C191" t="n">
        <v>16</v>
      </c>
      <c r="D191" t="n">
        <v>5</v>
      </c>
      <c r="E191" t="inlineStr">
        <is>
          <t>Input</t>
        </is>
      </c>
      <c r="F191" t="n">
        <v/>
      </c>
      <c r="G191" t="n">
        <v>49447.19</v>
      </c>
      <c r="H191" t="inlineStr"/>
      <c r="I191" t="inlineStr">
        <is>
          <t>#,##0</t>
        </is>
      </c>
      <c r="J191" t="b">
        <v>0</v>
      </c>
      <c r="K191" t="b">
        <v>0</v>
      </c>
      <c r="L191" t="n">
        <v>11</v>
      </c>
      <c r="M191" t="n">
        <v/>
      </c>
      <c r="N191" t="inlineStr">
        <is>
          <t>00000000</t>
        </is>
      </c>
      <c r="O191" t="inlineStr">
        <is>
          <t>center</t>
        </is>
      </c>
      <c r="P191" t="n">
        <v/>
      </c>
      <c r="Q191" t="b">
        <v>1</v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ATF fuel</t>
        </is>
      </c>
      <c r="B192" t="inlineStr">
        <is>
          <t>F16</t>
        </is>
      </c>
      <c r="C192" t="n">
        <v>16</v>
      </c>
      <c r="D192" t="n">
        <v>6</v>
      </c>
      <c r="E192" t="inlineStr">
        <is>
          <t>Calculation</t>
        </is>
      </c>
      <c r="F192" t="inlineStr">
        <is>
          <t>'=AVERAGE(B16:E16)</t>
        </is>
      </c>
      <c r="G192" t="n">
        <v>48442.3075</v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00000000</t>
        </is>
      </c>
      <c r="O192" t="inlineStr">
        <is>
          <t>center</t>
        </is>
      </c>
      <c r="P192" t="n">
        <v/>
      </c>
      <c r="R192" t="b">
        <v>1</v>
      </c>
      <c r="S192" t="inlineStr">
        <is>
          <t>G000284</t>
        </is>
      </c>
      <c r="T192" t="inlineStr">
        <is>
          <t>Vertical</t>
        </is>
      </c>
      <c r="U192" t="n">
        <v>130</v>
      </c>
      <c r="V192" t="b">
        <v>1</v>
      </c>
      <c r="W192" t="inlineStr">
        <is>
          <t>ATF fuel!F2:F131</t>
        </is>
      </c>
      <c r="X192">
        <f>AVERAGE(R[0]C[-4]:R[0]C[-1])</f>
        <v/>
      </c>
    </row>
    <row r="193">
      <c r="A193" t="inlineStr">
        <is>
          <t>ATF fuel</t>
        </is>
      </c>
      <c r="B193" t="inlineStr">
        <is>
          <t>G16</t>
        </is>
      </c>
      <c r="C193" t="n">
        <v>16</v>
      </c>
      <c r="D193" t="n">
        <v>7</v>
      </c>
      <c r="E193" t="inlineStr">
        <is>
          <t>Calculation</t>
        </is>
      </c>
      <c r="F193" t="inlineStr">
        <is>
          <t>'=G15-1</t>
        </is>
      </c>
      <c r="G193" t="n">
        <v>117</v>
      </c>
      <c r="H193" t="inlineStr"/>
      <c r="I193" t="inlineStr">
        <is>
          <t>#,##0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G000286</t>
        </is>
      </c>
      <c r="T193" t="inlineStr">
        <is>
          <t>Vertical</t>
        </is>
      </c>
      <c r="U193" t="n">
        <v>129</v>
      </c>
      <c r="V193" t="b">
        <v>1</v>
      </c>
      <c r="W193" t="inlineStr">
        <is>
          <t>ATF fuel!G3:G131</t>
        </is>
      </c>
      <c r="X193">
        <f>R[-1]C[0]-1</f>
        <v/>
      </c>
    </row>
    <row r="194">
      <c r="A194" t="inlineStr">
        <is>
          <t>ATF fuel</t>
        </is>
      </c>
      <c r="B194" t="inlineStr">
        <is>
          <t>H16</t>
        </is>
      </c>
      <c r="C194" t="n">
        <v>16</v>
      </c>
      <c r="D194" t="n">
        <v>8</v>
      </c>
      <c r="E194" t="inlineStr">
        <is>
          <t>Output</t>
        </is>
      </c>
      <c r="F194" t="inlineStr">
        <is>
          <t>'=INDIRECT("A"&amp;G30)</t>
        </is>
      </c>
      <c r="G194" t="inlineStr">
        <is>
          <t>June 01, 2011</t>
        </is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>
        <f>INDIRECT("A"&amp;R[14]C[-1])</f>
        <v/>
      </c>
    </row>
    <row r="195">
      <c r="A195" t="inlineStr">
        <is>
          <t>ATF fuel</t>
        </is>
      </c>
      <c r="B195" t="inlineStr">
        <is>
          <t>I16</t>
        </is>
      </c>
      <c r="C195" t="n">
        <v>16</v>
      </c>
      <c r="D195" t="n">
        <v>9</v>
      </c>
      <c r="E195" t="inlineStr">
        <is>
          <t>Output</t>
        </is>
      </c>
      <c r="F195" t="inlineStr">
        <is>
          <t>'=INDIRECT("F"&amp;G30)</t>
        </is>
      </c>
      <c r="G195" t="n">
        <v>59747.9725</v>
      </c>
      <c r="H195" t="inlineStr"/>
      <c r="I195" t="inlineStr">
        <is>
          <t xml:space="preserve">_ * #,##0_ ;_ * \-#,##0_ ;_ * "-"??_ ;_ @_ 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>
        <f>INDIRECT("F"&amp;R[14]C[-2])</f>
        <v/>
      </c>
    </row>
    <row r="196">
      <c r="A196" t="inlineStr">
        <is>
          <t>ATF fuel</t>
        </is>
      </c>
      <c r="B196" t="inlineStr">
        <is>
          <t>J16</t>
        </is>
      </c>
      <c r="C196" t="n">
        <v>16</v>
      </c>
      <c r="D196" t="n">
        <v>10</v>
      </c>
      <c r="E196" t="inlineStr">
        <is>
          <t>Input</t>
        </is>
      </c>
      <c r="F196" t="n">
        <v/>
      </c>
      <c r="G196" t="n">
        <v>115.09</v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ATF fuel</t>
        </is>
      </c>
      <c r="B197" t="inlineStr">
        <is>
          <t>K16</t>
        </is>
      </c>
      <c r="C197" t="n">
        <v>16</v>
      </c>
      <c r="D197" t="n">
        <v>11</v>
      </c>
      <c r="E197" t="inlineStr">
        <is>
          <t>Input</t>
        </is>
      </c>
      <c r="F197" t="n">
        <v/>
      </c>
      <c r="G197" t="n">
        <v>100.3</v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ATF fuel</t>
        </is>
      </c>
      <c r="B198" t="inlineStr">
        <is>
          <t>A17</t>
        </is>
      </c>
      <c r="C198" t="n">
        <v>17</v>
      </c>
      <c r="D198" t="n">
        <v>1</v>
      </c>
      <c r="E198" t="inlineStr">
        <is>
          <t>Input</t>
        </is>
      </c>
      <c r="F198" t="n">
        <v/>
      </c>
      <c r="G198" t="inlineStr">
        <is>
          <t>September 01,2016</t>
        </is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n">
        <v/>
      </c>
      <c r="N198" t="inlineStr">
        <is>
          <t>00000000</t>
        </is>
      </c>
      <c r="O198" t="n">
        <v/>
      </c>
      <c r="P198" t="n">
        <v/>
      </c>
      <c r="Q198" t="b">
        <v>1</v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ATF fuel</t>
        </is>
      </c>
      <c r="B199" t="inlineStr">
        <is>
          <t>B17</t>
        </is>
      </c>
      <c r="C199" t="n">
        <v>17</v>
      </c>
      <c r="D199" t="n">
        <v>2</v>
      </c>
      <c r="E199" t="inlineStr">
        <is>
          <t>Input</t>
        </is>
      </c>
      <c r="F199" t="n">
        <v/>
      </c>
      <c r="G199" t="n">
        <v>45411.18</v>
      </c>
      <c r="H199" t="inlineStr"/>
      <c r="I199" t="inlineStr">
        <is>
          <t>#,##0</t>
        </is>
      </c>
      <c r="J199" t="b">
        <v>0</v>
      </c>
      <c r="K199" t="b">
        <v>0</v>
      </c>
      <c r="L199" t="n">
        <v>11</v>
      </c>
      <c r="M199" t="n">
        <v/>
      </c>
      <c r="N199" t="inlineStr">
        <is>
          <t>00000000</t>
        </is>
      </c>
      <c r="O199" t="inlineStr">
        <is>
          <t>center</t>
        </is>
      </c>
      <c r="P199" t="n">
        <v/>
      </c>
      <c r="Q199" t="b">
        <v>1</v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ATF fuel</t>
        </is>
      </c>
      <c r="B200" t="inlineStr">
        <is>
          <t>C17</t>
        </is>
      </c>
      <c r="C200" t="n">
        <v>17</v>
      </c>
      <c r="D200" t="n">
        <v>3</v>
      </c>
      <c r="E200" t="inlineStr">
        <is>
          <t>Input</t>
        </is>
      </c>
      <c r="F200" t="n">
        <v/>
      </c>
      <c r="G200" t="n">
        <v>50265.7</v>
      </c>
      <c r="H200" t="inlineStr"/>
      <c r="I200" t="inlineStr">
        <is>
          <t>#,##0</t>
        </is>
      </c>
      <c r="J200" t="b">
        <v>0</v>
      </c>
      <c r="K200" t="b">
        <v>0</v>
      </c>
      <c r="L200" t="n">
        <v>11</v>
      </c>
      <c r="M200" t="n">
        <v/>
      </c>
      <c r="N200" t="inlineStr">
        <is>
          <t>00000000</t>
        </is>
      </c>
      <c r="O200" t="inlineStr">
        <is>
          <t>center</t>
        </is>
      </c>
      <c r="P200" t="n">
        <v/>
      </c>
      <c r="Q200" t="b">
        <v>1</v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ATF fuel</t>
        </is>
      </c>
      <c r="B201" t="inlineStr">
        <is>
          <t>D17</t>
        </is>
      </c>
      <c r="C201" t="n">
        <v>17</v>
      </c>
      <c r="D201" t="n">
        <v>4</v>
      </c>
      <c r="E201" t="inlineStr">
        <is>
          <t>Input</t>
        </is>
      </c>
      <c r="F201" t="n">
        <v/>
      </c>
      <c r="G201" t="n">
        <v>44418.05</v>
      </c>
      <c r="H201" t="inlineStr"/>
      <c r="I201" t="inlineStr">
        <is>
          <t>#,##0</t>
        </is>
      </c>
      <c r="J201" t="b">
        <v>0</v>
      </c>
      <c r="K201" t="b">
        <v>0</v>
      </c>
      <c r="L201" t="n">
        <v>11</v>
      </c>
      <c r="M201" t="n">
        <v/>
      </c>
      <c r="N201" t="inlineStr">
        <is>
          <t>00000000</t>
        </is>
      </c>
      <c r="O201" t="inlineStr">
        <is>
          <t>center</t>
        </is>
      </c>
      <c r="P201" t="n">
        <v/>
      </c>
      <c r="Q201" t="b">
        <v>1</v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ATF fuel</t>
        </is>
      </c>
      <c r="B202" t="inlineStr">
        <is>
          <t>E17</t>
        </is>
      </c>
      <c r="C202" t="n">
        <v>17</v>
      </c>
      <c r="D202" t="n">
        <v>5</v>
      </c>
      <c r="E202" t="inlineStr">
        <is>
          <t>Input</t>
        </is>
      </c>
      <c r="F202" t="n">
        <v/>
      </c>
      <c r="G202" t="n">
        <v>48108.95</v>
      </c>
      <c r="H202" t="inlineStr"/>
      <c r="I202" t="inlineStr">
        <is>
          <t>#,##0</t>
        </is>
      </c>
      <c r="J202" t="b">
        <v>0</v>
      </c>
      <c r="K202" t="b">
        <v>0</v>
      </c>
      <c r="L202" t="n">
        <v>11</v>
      </c>
      <c r="M202" t="n">
        <v/>
      </c>
      <c r="N202" t="inlineStr">
        <is>
          <t>00000000</t>
        </is>
      </c>
      <c r="O202" t="inlineStr">
        <is>
          <t>center</t>
        </is>
      </c>
      <c r="P202" t="n">
        <v/>
      </c>
      <c r="Q202" t="b">
        <v>1</v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ATF fuel</t>
        </is>
      </c>
      <c r="B203" t="inlineStr">
        <is>
          <t>F17</t>
        </is>
      </c>
      <c r="C203" t="n">
        <v>17</v>
      </c>
      <c r="D203" t="n">
        <v>6</v>
      </c>
      <c r="E203" t="inlineStr">
        <is>
          <t>Calculation</t>
        </is>
      </c>
      <c r="F203" t="inlineStr">
        <is>
          <t>'=AVERAGE(B17:E17)</t>
        </is>
      </c>
      <c r="G203" t="n">
        <v>47050.97</v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inlineStr">
        <is>
          <t>center</t>
        </is>
      </c>
      <c r="P203" t="n">
        <v/>
      </c>
      <c r="R203" t="b">
        <v>1</v>
      </c>
      <c r="S203" t="inlineStr">
        <is>
          <t>G000284</t>
        </is>
      </c>
      <c r="T203" t="inlineStr">
        <is>
          <t>Vertical</t>
        </is>
      </c>
      <c r="U203" t="n">
        <v>130</v>
      </c>
      <c r="V203" t="b">
        <v>1</v>
      </c>
      <c r="W203" t="inlineStr">
        <is>
          <t>ATF fuel!F2:F131</t>
        </is>
      </c>
      <c r="X203">
        <f>AVERAGE(R[0]C[-4]:R[0]C[-1])</f>
        <v/>
      </c>
    </row>
    <row r="204">
      <c r="A204" t="inlineStr">
        <is>
          <t>ATF fuel</t>
        </is>
      </c>
      <c r="B204" t="inlineStr">
        <is>
          <t>G17</t>
        </is>
      </c>
      <c r="C204" t="n">
        <v>17</v>
      </c>
      <c r="D204" t="n">
        <v>7</v>
      </c>
      <c r="E204" t="inlineStr">
        <is>
          <t>Calculation</t>
        </is>
      </c>
      <c r="F204" t="inlineStr">
        <is>
          <t>'=G16-1</t>
        </is>
      </c>
      <c r="G204" t="n">
        <v>116</v>
      </c>
      <c r="H204" t="inlineStr"/>
      <c r="I204" t="inlineStr">
        <is>
          <t>#,##0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G000286</t>
        </is>
      </c>
      <c r="T204" t="inlineStr">
        <is>
          <t>Vertical</t>
        </is>
      </c>
      <c r="U204" t="n">
        <v>129</v>
      </c>
      <c r="V204" t="b">
        <v>1</v>
      </c>
      <c r="W204" t="inlineStr">
        <is>
          <t>ATF fuel!G3:G131</t>
        </is>
      </c>
      <c r="X204">
        <f>R[-1]C[0]-1</f>
        <v/>
      </c>
    </row>
    <row r="205">
      <c r="A205" t="inlineStr">
        <is>
          <t>ATF fuel</t>
        </is>
      </c>
      <c r="B205" t="inlineStr">
        <is>
          <t>H17</t>
        </is>
      </c>
      <c r="C205" t="n">
        <v>17</v>
      </c>
      <c r="D205" t="n">
        <v>8</v>
      </c>
      <c r="E205" t="inlineStr">
        <is>
          <t>Output</t>
        </is>
      </c>
      <c r="F205" t="inlineStr">
        <is>
          <t>'=INDIRECT("A"&amp;G32)</t>
        </is>
      </c>
      <c r="G205" t="inlineStr">
        <is>
          <t>July 01, 2011</t>
        </is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>
        <f>INDIRECT("A"&amp;R[15]C[-1])</f>
        <v/>
      </c>
    </row>
    <row r="206">
      <c r="A206" t="inlineStr">
        <is>
          <t>ATF fuel</t>
        </is>
      </c>
      <c r="B206" t="inlineStr">
        <is>
          <t>I17</t>
        </is>
      </c>
      <c r="C206" t="n">
        <v>17</v>
      </c>
      <c r="D206" t="n">
        <v>9</v>
      </c>
      <c r="E206" t="inlineStr">
        <is>
          <t>Output</t>
        </is>
      </c>
      <c r="F206" t="inlineStr">
        <is>
          <t>'=INDIRECT("F"&amp;G32)</t>
        </is>
      </c>
      <c r="G206" t="n">
        <v>59498.0825</v>
      </c>
      <c r="H206" t="inlineStr"/>
      <c r="I206" t="inlineStr">
        <is>
          <t xml:space="preserve">_ * #,##0_ ;_ * \-#,##0_ ;_ * "-"??_ ;_ @_ 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>
        <f>INDIRECT("F"&amp;R[15]C[-2])</f>
        <v/>
      </c>
    </row>
    <row r="207">
      <c r="A207" t="inlineStr">
        <is>
          <t>ATF fuel</t>
        </is>
      </c>
      <c r="B207" t="inlineStr">
        <is>
          <t>J17</t>
        </is>
      </c>
      <c r="C207" t="n">
        <v>17</v>
      </c>
      <c r="D207" t="n">
        <v>10</v>
      </c>
      <c r="E207" t="inlineStr">
        <is>
          <t>Input</t>
        </is>
      </c>
      <c r="F207" t="n">
        <v/>
      </c>
      <c r="G207" t="n">
        <v>113.55</v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ATF fuel</t>
        </is>
      </c>
      <c r="B208" t="inlineStr">
        <is>
          <t>K17</t>
        </is>
      </c>
      <c r="C208" t="n">
        <v>17</v>
      </c>
      <c r="D208" t="n">
        <v>11</v>
      </c>
      <c r="E208" t="inlineStr">
        <is>
          <t>Input</t>
        </is>
      </c>
      <c r="F208" t="n">
        <v/>
      </c>
      <c r="G208" t="n">
        <v>94.81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ATF fuel</t>
        </is>
      </c>
      <c r="B209" t="inlineStr">
        <is>
          <t>A18</t>
        </is>
      </c>
      <c r="C209" t="n">
        <v>18</v>
      </c>
      <c r="D209" t="n">
        <v>1</v>
      </c>
      <c r="E209" t="inlineStr">
        <is>
          <t>Input</t>
        </is>
      </c>
      <c r="F209" t="n">
        <v/>
      </c>
      <c r="G209" t="inlineStr">
        <is>
          <t>August 01,2016</t>
        </is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11</v>
      </c>
      <c r="M209" t="n">
        <v/>
      </c>
      <c r="N209" t="inlineStr">
        <is>
          <t>00000000</t>
        </is>
      </c>
      <c r="O209" t="n">
        <v/>
      </c>
      <c r="P209" t="n">
        <v/>
      </c>
      <c r="Q209" t="b">
        <v>1</v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ATF fuel</t>
        </is>
      </c>
      <c r="B210" t="inlineStr">
        <is>
          <t>B18</t>
        </is>
      </c>
      <c r="C210" t="n">
        <v>18</v>
      </c>
      <c r="D210" t="n">
        <v>2</v>
      </c>
      <c r="E210" t="inlineStr">
        <is>
          <t>Input</t>
        </is>
      </c>
      <c r="F210" t="n">
        <v/>
      </c>
      <c r="G210" t="n">
        <v>47206.68</v>
      </c>
      <c r="H210" t="inlineStr"/>
      <c r="I210" t="inlineStr">
        <is>
          <t>#,##0</t>
        </is>
      </c>
      <c r="J210" t="b">
        <v>0</v>
      </c>
      <c r="K210" t="b">
        <v>0</v>
      </c>
      <c r="L210" t="n">
        <v>11</v>
      </c>
      <c r="M210" t="n">
        <v/>
      </c>
      <c r="N210" t="inlineStr">
        <is>
          <t>00000000</t>
        </is>
      </c>
      <c r="O210" t="inlineStr">
        <is>
          <t>center</t>
        </is>
      </c>
      <c r="P210" t="n">
        <v/>
      </c>
      <c r="Q210" t="b">
        <v>1</v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ATF fuel</t>
        </is>
      </c>
      <c r="B211" t="inlineStr">
        <is>
          <t>C18</t>
        </is>
      </c>
      <c r="C211" t="n">
        <v>18</v>
      </c>
      <c r="D211" t="n">
        <v>3</v>
      </c>
      <c r="E211" t="inlineStr">
        <is>
          <t>Input</t>
        </is>
      </c>
      <c r="F211" t="n">
        <v/>
      </c>
      <c r="G211" t="n">
        <v>52089.7</v>
      </c>
      <c r="H211" t="inlineStr"/>
      <c r="I211" t="inlineStr">
        <is>
          <t>#,##0</t>
        </is>
      </c>
      <c r="J211" t="b">
        <v>0</v>
      </c>
      <c r="K211" t="b">
        <v>0</v>
      </c>
      <c r="L211" t="n">
        <v>11</v>
      </c>
      <c r="M211" t="n">
        <v/>
      </c>
      <c r="N211" t="inlineStr">
        <is>
          <t>00000000</t>
        </is>
      </c>
      <c r="O211" t="inlineStr">
        <is>
          <t>center</t>
        </is>
      </c>
      <c r="P211" t="n">
        <v/>
      </c>
      <c r="Q211" t="b">
        <v>1</v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ATF fuel</t>
        </is>
      </c>
      <c r="B212" t="inlineStr">
        <is>
          <t>D18</t>
        </is>
      </c>
      <c r="C212" t="n">
        <v>18</v>
      </c>
      <c r="D212" t="n">
        <v>4</v>
      </c>
      <c r="E212" t="inlineStr">
        <is>
          <t>Input</t>
        </is>
      </c>
      <c r="F212" t="n">
        <v/>
      </c>
      <c r="G212" t="n">
        <v>46242.05</v>
      </c>
      <c r="H212" t="inlineStr"/>
      <c r="I212" t="inlineStr">
        <is>
          <t>#,##0</t>
        </is>
      </c>
      <c r="J212" t="b">
        <v>0</v>
      </c>
      <c r="K212" t="b">
        <v>0</v>
      </c>
      <c r="L212" t="n">
        <v>11</v>
      </c>
      <c r="M212" t="n">
        <v/>
      </c>
      <c r="N212" t="inlineStr">
        <is>
          <t>00000000</t>
        </is>
      </c>
      <c r="O212" t="inlineStr">
        <is>
          <t>center</t>
        </is>
      </c>
      <c r="P212" t="n">
        <v/>
      </c>
      <c r="Q212" t="b">
        <v>1</v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ATF fuel</t>
        </is>
      </c>
      <c r="B213" t="inlineStr">
        <is>
          <t>E18</t>
        </is>
      </c>
      <c r="C213" t="n">
        <v>18</v>
      </c>
      <c r="D213" t="n">
        <v>5</v>
      </c>
      <c r="E213" t="inlineStr">
        <is>
          <t>Input</t>
        </is>
      </c>
      <c r="F213" t="n">
        <v/>
      </c>
      <c r="G213" t="n">
        <v>49991.32</v>
      </c>
      <c r="H213" t="inlineStr"/>
      <c r="I213" t="inlineStr">
        <is>
          <t>#,##0</t>
        </is>
      </c>
      <c r="J213" t="b">
        <v>0</v>
      </c>
      <c r="K213" t="b">
        <v>0</v>
      </c>
      <c r="L213" t="n">
        <v>11</v>
      </c>
      <c r="M213" t="n">
        <v/>
      </c>
      <c r="N213" t="inlineStr">
        <is>
          <t>00000000</t>
        </is>
      </c>
      <c r="O213" t="inlineStr">
        <is>
          <t>center</t>
        </is>
      </c>
      <c r="P213" t="n">
        <v/>
      </c>
      <c r="Q213" t="b">
        <v>1</v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ATF fuel</t>
        </is>
      </c>
      <c r="B214" t="inlineStr">
        <is>
          <t>F18</t>
        </is>
      </c>
      <c r="C214" t="n">
        <v>18</v>
      </c>
      <c r="D214" t="n">
        <v>6</v>
      </c>
      <c r="E214" t="inlineStr">
        <is>
          <t>Calculation</t>
        </is>
      </c>
      <c r="F214" t="inlineStr">
        <is>
          <t>'=AVERAGE(B18:E18)</t>
        </is>
      </c>
      <c r="G214" t="n">
        <v>48882.4375</v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inlineStr">
        <is>
          <t>center</t>
        </is>
      </c>
      <c r="P214" t="n">
        <v/>
      </c>
      <c r="R214" t="b">
        <v>1</v>
      </c>
      <c r="S214" t="inlineStr">
        <is>
          <t>G000284</t>
        </is>
      </c>
      <c r="T214" t="inlineStr">
        <is>
          <t>Vertical</t>
        </is>
      </c>
      <c r="U214" t="n">
        <v>130</v>
      </c>
      <c r="V214" t="b">
        <v>1</v>
      </c>
      <c r="W214" t="inlineStr">
        <is>
          <t>ATF fuel!F2:F131</t>
        </is>
      </c>
      <c r="X214">
        <f>AVERAGE(R[0]C[-4]:R[0]C[-1])</f>
        <v/>
      </c>
    </row>
    <row r="215">
      <c r="A215" t="inlineStr">
        <is>
          <t>ATF fuel</t>
        </is>
      </c>
      <c r="B215" t="inlineStr">
        <is>
          <t>G18</t>
        </is>
      </c>
      <c r="C215" t="n">
        <v>18</v>
      </c>
      <c r="D215" t="n">
        <v>7</v>
      </c>
      <c r="E215" t="inlineStr">
        <is>
          <t>Calculation</t>
        </is>
      </c>
      <c r="F215" t="inlineStr">
        <is>
          <t>'=G17-1</t>
        </is>
      </c>
      <c r="G215" t="n">
        <v>115</v>
      </c>
      <c r="H215" t="inlineStr"/>
      <c r="I215" t="inlineStr">
        <is>
          <t>#,##0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P215" t="n">
        <v/>
      </c>
      <c r="R215" t="b">
        <v>1</v>
      </c>
      <c r="S215" t="inlineStr">
        <is>
          <t>G000286</t>
        </is>
      </c>
      <c r="T215" t="inlineStr">
        <is>
          <t>Vertical</t>
        </is>
      </c>
      <c r="U215" t="n">
        <v>129</v>
      </c>
      <c r="V215" t="b">
        <v>1</v>
      </c>
      <c r="W215" t="inlineStr">
        <is>
          <t>ATF fuel!G3:G131</t>
        </is>
      </c>
      <c r="X215">
        <f>R[-1]C[0]-1</f>
        <v/>
      </c>
    </row>
    <row r="216">
      <c r="A216" t="inlineStr">
        <is>
          <t>ATF fuel</t>
        </is>
      </c>
      <c r="B216" t="inlineStr">
        <is>
          <t>H18</t>
        </is>
      </c>
      <c r="C216" t="n">
        <v>18</v>
      </c>
      <c r="D216" t="n">
        <v>8</v>
      </c>
      <c r="E216" t="inlineStr">
        <is>
          <t>Output</t>
        </is>
      </c>
      <c r="F216" t="inlineStr">
        <is>
          <t>'=INDIRECT("A"&amp;G34)</t>
        </is>
      </c>
      <c r="G216" t="inlineStr">
        <is>
          <t>August 01, 2011</t>
        </is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P216" t="n">
        <v/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>
        <f>INDIRECT("A"&amp;R[16]C[-1])</f>
        <v/>
      </c>
    </row>
    <row r="217">
      <c r="A217" t="inlineStr">
        <is>
          <t>ATF fuel</t>
        </is>
      </c>
      <c r="B217" t="inlineStr">
        <is>
          <t>I18</t>
        </is>
      </c>
      <c r="C217" t="n">
        <v>18</v>
      </c>
      <c r="D217" t="n">
        <v>9</v>
      </c>
      <c r="E217" t="inlineStr">
        <is>
          <t>Output</t>
        </is>
      </c>
      <c r="F217" t="inlineStr">
        <is>
          <t>'=INDIRECT("F"&amp;G34)</t>
        </is>
      </c>
      <c r="G217" t="n">
        <v>61142.5</v>
      </c>
      <c r="H217" t="inlineStr"/>
      <c r="I217" t="inlineStr">
        <is>
          <t xml:space="preserve">_ * #,##0_ ;_ * \-#,##0_ ;_ * "-"??_ ;_ @_ 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P217" t="n">
        <v/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>
        <f>INDIRECT("F"&amp;R[16]C[-2])</f>
        <v/>
      </c>
    </row>
    <row r="218">
      <c r="A218" t="inlineStr">
        <is>
          <t>ATF fuel</t>
        </is>
      </c>
      <c r="B218" t="inlineStr">
        <is>
          <t>J18</t>
        </is>
      </c>
      <c r="C218" t="n">
        <v>18</v>
      </c>
      <c r="D218" t="n">
        <v>10</v>
      </c>
      <c r="E218" t="inlineStr">
        <is>
          <t>Input</t>
        </is>
      </c>
      <c r="F218" t="n">
        <v/>
      </c>
      <c r="G218" t="n">
        <v>113.74</v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ATF fuel</t>
        </is>
      </c>
      <c r="B219" t="inlineStr">
        <is>
          <t>K18</t>
        </is>
      </c>
      <c r="C219" t="n">
        <v>18</v>
      </c>
      <c r="D219" t="n">
        <v>11</v>
      </c>
      <c r="E219" t="inlineStr">
        <is>
          <t>Input</t>
        </is>
      </c>
      <c r="F219" t="n">
        <v/>
      </c>
      <c r="G219" t="n">
        <v>94.98</v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ATF fuel</t>
        </is>
      </c>
      <c r="B220" t="inlineStr">
        <is>
          <t>A19</t>
        </is>
      </c>
      <c r="C220" t="n">
        <v>19</v>
      </c>
      <c r="D220" t="n">
        <v>1</v>
      </c>
      <c r="E220" t="inlineStr">
        <is>
          <t>Input</t>
        </is>
      </c>
      <c r="F220" t="n">
        <v/>
      </c>
      <c r="G220" t="inlineStr">
        <is>
          <t>July 01,2016</t>
        </is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11</v>
      </c>
      <c r="M220" t="n">
        <v/>
      </c>
      <c r="N220" t="inlineStr">
        <is>
          <t>00000000</t>
        </is>
      </c>
      <c r="O220" t="n">
        <v/>
      </c>
      <c r="P220" t="n">
        <v/>
      </c>
      <c r="Q220" t="b">
        <v>1</v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ATF fuel</t>
        </is>
      </c>
      <c r="B221" t="inlineStr">
        <is>
          <t>B19</t>
        </is>
      </c>
      <c r="C221" t="n">
        <v>19</v>
      </c>
      <c r="D221" t="n">
        <v>2</v>
      </c>
      <c r="E221" t="inlineStr">
        <is>
          <t>Input</t>
        </is>
      </c>
      <c r="F221" t="n">
        <v/>
      </c>
      <c r="G221" t="n">
        <v>49287.18</v>
      </c>
      <c r="H221" t="inlineStr"/>
      <c r="I221" t="inlineStr">
        <is>
          <t>#,##0</t>
        </is>
      </c>
      <c r="J221" t="b">
        <v>0</v>
      </c>
      <c r="K221" t="b">
        <v>0</v>
      </c>
      <c r="L221" t="n">
        <v>11</v>
      </c>
      <c r="M221" t="n">
        <v/>
      </c>
      <c r="N221" t="inlineStr">
        <is>
          <t>00000000</t>
        </is>
      </c>
      <c r="O221" t="inlineStr">
        <is>
          <t>center</t>
        </is>
      </c>
      <c r="P221" t="n">
        <v/>
      </c>
      <c r="Q221" t="b">
        <v>1</v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ATF fuel</t>
        </is>
      </c>
      <c r="B222" t="inlineStr">
        <is>
          <t>C19</t>
        </is>
      </c>
      <c r="C222" t="n">
        <v>19</v>
      </c>
      <c r="D222" t="n">
        <v>3</v>
      </c>
      <c r="E222" t="inlineStr">
        <is>
          <t>Input</t>
        </is>
      </c>
      <c r="F222" t="n">
        <v/>
      </c>
      <c r="G222" t="n">
        <v>54114.43</v>
      </c>
      <c r="H222" t="inlineStr"/>
      <c r="I222" t="inlineStr">
        <is>
          <t>#,##0</t>
        </is>
      </c>
      <c r="J222" t="b">
        <v>0</v>
      </c>
      <c r="K222" t="b">
        <v>0</v>
      </c>
      <c r="L222" t="n">
        <v>11</v>
      </c>
      <c r="M222" t="n">
        <v/>
      </c>
      <c r="N222" t="inlineStr">
        <is>
          <t>00000000</t>
        </is>
      </c>
      <c r="O222" t="inlineStr">
        <is>
          <t>center</t>
        </is>
      </c>
      <c r="P222" t="n">
        <v/>
      </c>
      <c r="Q222" t="b">
        <v>1</v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ATF fuel</t>
        </is>
      </c>
      <c r="B223" t="inlineStr">
        <is>
          <t>D19</t>
        </is>
      </c>
      <c r="C223" t="n">
        <v>19</v>
      </c>
      <c r="D223" t="n">
        <v>4</v>
      </c>
      <c r="E223" t="inlineStr">
        <is>
          <t>Input</t>
        </is>
      </c>
      <c r="F223" t="n">
        <v/>
      </c>
      <c r="G223" t="n">
        <v>48322.55</v>
      </c>
      <c r="H223" t="inlineStr"/>
      <c r="I223" t="inlineStr">
        <is>
          <t>#,##0</t>
        </is>
      </c>
      <c r="J223" t="b">
        <v>0</v>
      </c>
      <c r="K223" t="b">
        <v>0</v>
      </c>
      <c r="L223" t="n">
        <v>11</v>
      </c>
      <c r="M223" t="n">
        <v/>
      </c>
      <c r="N223" t="inlineStr">
        <is>
          <t>00000000</t>
        </is>
      </c>
      <c r="O223" t="inlineStr">
        <is>
          <t>center</t>
        </is>
      </c>
      <c r="P223" t="n">
        <v/>
      </c>
      <c r="Q223" t="b">
        <v>1</v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ATF fuel</t>
        </is>
      </c>
      <c r="B224" t="inlineStr">
        <is>
          <t>E19</t>
        </is>
      </c>
      <c r="C224" t="n">
        <v>19</v>
      </c>
      <c r="D224" t="n">
        <v>5</v>
      </c>
      <c r="E224" t="inlineStr">
        <is>
          <t>Input</t>
        </is>
      </c>
      <c r="F224" t="n">
        <v/>
      </c>
      <c r="G224" t="n">
        <v>52110.63</v>
      </c>
      <c r="H224" t="inlineStr"/>
      <c r="I224" t="inlineStr">
        <is>
          <t>#,##0</t>
        </is>
      </c>
      <c r="J224" t="b">
        <v>0</v>
      </c>
      <c r="K224" t="b">
        <v>0</v>
      </c>
      <c r="L224" t="n">
        <v>11</v>
      </c>
      <c r="M224" t="n">
        <v/>
      </c>
      <c r="N224" t="inlineStr">
        <is>
          <t>00000000</t>
        </is>
      </c>
      <c r="O224" t="inlineStr">
        <is>
          <t>center</t>
        </is>
      </c>
      <c r="P224" t="n">
        <v/>
      </c>
      <c r="Q224" t="b">
        <v>1</v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ATF fuel</t>
        </is>
      </c>
      <c r="B225" t="inlineStr">
        <is>
          <t>F19</t>
        </is>
      </c>
      <c r="C225" t="n">
        <v>19</v>
      </c>
      <c r="D225" t="n">
        <v>6</v>
      </c>
      <c r="E225" t="inlineStr">
        <is>
          <t>Calculation</t>
        </is>
      </c>
      <c r="F225" t="inlineStr">
        <is>
          <t>'=AVERAGE(B19:E19)</t>
        </is>
      </c>
      <c r="G225" t="n">
        <v>50958.6975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inlineStr">
        <is>
          <t>center</t>
        </is>
      </c>
      <c r="P225" t="n">
        <v/>
      </c>
      <c r="R225" t="b">
        <v>1</v>
      </c>
      <c r="S225" t="inlineStr">
        <is>
          <t>G000284</t>
        </is>
      </c>
      <c r="T225" t="inlineStr">
        <is>
          <t>Vertical</t>
        </is>
      </c>
      <c r="U225" t="n">
        <v>130</v>
      </c>
      <c r="V225" t="b">
        <v>1</v>
      </c>
      <c r="W225" t="inlineStr">
        <is>
          <t>ATF fuel!F2:F131</t>
        </is>
      </c>
      <c r="X225">
        <f>AVERAGE(R[0]C[-4]:R[0]C[-1])</f>
        <v/>
      </c>
    </row>
    <row r="226">
      <c r="A226" t="inlineStr">
        <is>
          <t>ATF fuel</t>
        </is>
      </c>
      <c r="B226" t="inlineStr">
        <is>
          <t>G19</t>
        </is>
      </c>
      <c r="C226" t="n">
        <v>19</v>
      </c>
      <c r="D226" t="n">
        <v>7</v>
      </c>
      <c r="E226" t="inlineStr">
        <is>
          <t>Calculation</t>
        </is>
      </c>
      <c r="F226" t="inlineStr">
        <is>
          <t>'=G18-1</t>
        </is>
      </c>
      <c r="G226" t="n">
        <v>114</v>
      </c>
      <c r="H226" t="inlineStr"/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G000286</t>
        </is>
      </c>
      <c r="T226" t="inlineStr">
        <is>
          <t>Vertical</t>
        </is>
      </c>
      <c r="U226" t="n">
        <v>129</v>
      </c>
      <c r="V226" t="b">
        <v>1</v>
      </c>
      <c r="W226" t="inlineStr">
        <is>
          <t>ATF fuel!G3:G131</t>
        </is>
      </c>
      <c r="X226">
        <f>R[-1]C[0]-1</f>
        <v/>
      </c>
    </row>
    <row r="227">
      <c r="A227" t="inlineStr">
        <is>
          <t>ATF fuel</t>
        </is>
      </c>
      <c r="B227" t="inlineStr">
        <is>
          <t>H19</t>
        </is>
      </c>
      <c r="C227" t="n">
        <v>19</v>
      </c>
      <c r="D227" t="n">
        <v>8</v>
      </c>
      <c r="E227" t="inlineStr">
        <is>
          <t>Output</t>
        </is>
      </c>
      <c r="F227" t="inlineStr">
        <is>
          <t>'=INDIRECT("A"&amp;G36)</t>
        </is>
      </c>
      <c r="G227" t="inlineStr">
        <is>
          <t>September 01, 2011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>
        <f>INDIRECT("A"&amp;R[17]C[-1])</f>
        <v/>
      </c>
    </row>
    <row r="228">
      <c r="A228" t="inlineStr">
        <is>
          <t>ATF fuel</t>
        </is>
      </c>
      <c r="B228" t="inlineStr">
        <is>
          <t>I19</t>
        </is>
      </c>
      <c r="C228" t="n">
        <v>19</v>
      </c>
      <c r="D228" t="n">
        <v>9</v>
      </c>
      <c r="E228" t="inlineStr">
        <is>
          <t>Output</t>
        </is>
      </c>
      <c r="F228" t="inlineStr">
        <is>
          <t>'=INDIRECT("F"&amp;G36)</t>
        </is>
      </c>
      <c r="G228" t="n">
        <v>59492</v>
      </c>
      <c r="H228" t="inlineStr"/>
      <c r="I228" t="inlineStr">
        <is>
          <t xml:space="preserve">_ * #,##0_ ;_ * \-#,##0_ ;_ * "-"??_ ;_ @_ 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>
        <f>INDIRECT("F"&amp;R[17]C[-2])</f>
        <v/>
      </c>
    </row>
    <row r="229">
      <c r="A229" t="inlineStr">
        <is>
          <t>ATF fuel</t>
        </is>
      </c>
      <c r="B229" t="inlineStr">
        <is>
          <t>J19</t>
        </is>
      </c>
      <c r="C229" t="n">
        <v>19</v>
      </c>
      <c r="D229" t="n">
        <v>10</v>
      </c>
      <c r="E229" t="inlineStr">
        <is>
          <t>Input</t>
        </is>
      </c>
      <c r="F229" t="n">
        <v/>
      </c>
      <c r="G229" t="n">
        <v>117.5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ATF fuel</t>
        </is>
      </c>
      <c r="B230" t="inlineStr">
        <is>
          <t>K19</t>
        </is>
      </c>
      <c r="C230" t="n">
        <v>19</v>
      </c>
      <c r="D230" t="n">
        <v>11</v>
      </c>
      <c r="E230" t="inlineStr">
        <is>
          <t>Input</t>
        </is>
      </c>
      <c r="F230" t="n">
        <v/>
      </c>
      <c r="G230" t="n">
        <v>88.93000000000001</v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ATF fuel</t>
        </is>
      </c>
      <c r="B231" t="inlineStr">
        <is>
          <t>A20</t>
        </is>
      </c>
      <c r="C231" t="n">
        <v>20</v>
      </c>
      <c r="D231" t="n">
        <v>1</v>
      </c>
      <c r="E231" t="inlineStr">
        <is>
          <t>Input</t>
        </is>
      </c>
      <c r="F231" t="n">
        <v/>
      </c>
      <c r="G231" t="inlineStr">
        <is>
          <t>June 01,2016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n">
        <v/>
      </c>
      <c r="N231" t="inlineStr">
        <is>
          <t>00000000</t>
        </is>
      </c>
      <c r="O231" t="n">
        <v/>
      </c>
      <c r="P231" t="n">
        <v/>
      </c>
      <c r="Q231" t="b">
        <v>1</v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ATF fuel</t>
        </is>
      </c>
      <c r="B232" t="inlineStr">
        <is>
          <t>B20</t>
        </is>
      </c>
      <c r="C232" t="n">
        <v>20</v>
      </c>
      <c r="D232" t="n">
        <v>2</v>
      </c>
      <c r="E232" t="inlineStr">
        <is>
          <t>Input</t>
        </is>
      </c>
      <c r="F232" t="n">
        <v/>
      </c>
      <c r="G232" t="n">
        <v>46729.48</v>
      </c>
      <c r="H232" t="inlineStr"/>
      <c r="I232" t="inlineStr">
        <is>
          <t>#,##0</t>
        </is>
      </c>
      <c r="J232" t="b">
        <v>0</v>
      </c>
      <c r="K232" t="b">
        <v>0</v>
      </c>
      <c r="L232" t="n">
        <v>11</v>
      </c>
      <c r="M232" t="n">
        <v/>
      </c>
      <c r="N232" t="inlineStr">
        <is>
          <t>00000000</t>
        </is>
      </c>
      <c r="O232" t="inlineStr">
        <is>
          <t>center</t>
        </is>
      </c>
      <c r="P232" t="n">
        <v/>
      </c>
      <c r="Q232" t="b">
        <v>1</v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ATF fuel</t>
        </is>
      </c>
      <c r="B233" t="inlineStr">
        <is>
          <t>C20</t>
        </is>
      </c>
      <c r="C233" t="n">
        <v>20</v>
      </c>
      <c r="D233" t="n">
        <v>3</v>
      </c>
      <c r="E233" t="inlineStr">
        <is>
          <t>Input</t>
        </is>
      </c>
      <c r="F233" t="n">
        <v/>
      </c>
      <c r="G233" t="n">
        <v>51492.43</v>
      </c>
      <c r="H233" t="inlineStr"/>
      <c r="I233" t="inlineStr">
        <is>
          <t>#,##0</t>
        </is>
      </c>
      <c r="J233" t="b">
        <v>0</v>
      </c>
      <c r="K233" t="b">
        <v>0</v>
      </c>
      <c r="L233" t="n">
        <v>11</v>
      </c>
      <c r="M233" t="n">
        <v/>
      </c>
      <c r="N233" t="inlineStr">
        <is>
          <t>00000000</t>
        </is>
      </c>
      <c r="O233" t="inlineStr">
        <is>
          <t>center</t>
        </is>
      </c>
      <c r="P233" t="n">
        <v/>
      </c>
      <c r="Q233" t="b">
        <v>1</v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ATF fuel</t>
        </is>
      </c>
      <c r="B234" t="inlineStr">
        <is>
          <t>D20</t>
        </is>
      </c>
      <c r="C234" t="n">
        <v>20</v>
      </c>
      <c r="D234" t="n">
        <v>4</v>
      </c>
      <c r="E234" t="inlineStr">
        <is>
          <t>Input</t>
        </is>
      </c>
      <c r="F234" t="n">
        <v/>
      </c>
      <c r="G234" t="n">
        <v>45700.55</v>
      </c>
      <c r="H234" t="inlineStr"/>
      <c r="I234" t="inlineStr">
        <is>
          <t>#,##0</t>
        </is>
      </c>
      <c r="J234" t="b">
        <v>0</v>
      </c>
      <c r="K234" t="b">
        <v>0</v>
      </c>
      <c r="L234" t="n">
        <v>11</v>
      </c>
      <c r="M234" t="n">
        <v/>
      </c>
      <c r="N234" t="inlineStr">
        <is>
          <t>00000000</t>
        </is>
      </c>
      <c r="O234" t="inlineStr">
        <is>
          <t>center</t>
        </is>
      </c>
      <c r="P234" t="n">
        <v/>
      </c>
      <c r="Q234" t="b">
        <v>1</v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ATF fuel</t>
        </is>
      </c>
      <c r="B235" t="inlineStr">
        <is>
          <t>E20</t>
        </is>
      </c>
      <c r="C235" t="n">
        <v>20</v>
      </c>
      <c r="D235" t="n">
        <v>5</v>
      </c>
      <c r="E235" t="inlineStr">
        <is>
          <t>Input</t>
        </is>
      </c>
      <c r="F235" t="n">
        <v/>
      </c>
      <c r="G235" t="n">
        <v>49404.73</v>
      </c>
      <c r="H235" t="inlineStr"/>
      <c r="I235" t="inlineStr">
        <is>
          <t>#,##0</t>
        </is>
      </c>
      <c r="J235" t="b">
        <v>0</v>
      </c>
      <c r="K235" t="b">
        <v>0</v>
      </c>
      <c r="L235" t="n">
        <v>11</v>
      </c>
      <c r="M235" t="n">
        <v/>
      </c>
      <c r="N235" t="inlineStr">
        <is>
          <t>00000000</t>
        </is>
      </c>
      <c r="O235" t="inlineStr">
        <is>
          <t>center</t>
        </is>
      </c>
      <c r="P235" t="n">
        <v/>
      </c>
      <c r="Q235" t="b">
        <v>1</v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ATF fuel</t>
        </is>
      </c>
      <c r="B236" t="inlineStr">
        <is>
          <t>F20</t>
        </is>
      </c>
      <c r="C236" t="n">
        <v>20</v>
      </c>
      <c r="D236" t="n">
        <v>6</v>
      </c>
      <c r="E236" t="inlineStr">
        <is>
          <t>Calculation</t>
        </is>
      </c>
      <c r="F236" t="inlineStr">
        <is>
          <t>'=AVERAGE(B20:E20)</t>
        </is>
      </c>
      <c r="G236" t="n">
        <v>48331.79750000001</v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inlineStr">
        <is>
          <t>center</t>
        </is>
      </c>
      <c r="P236" t="n">
        <v/>
      </c>
      <c r="R236" t="b">
        <v>1</v>
      </c>
      <c r="S236" t="inlineStr">
        <is>
          <t>G000284</t>
        </is>
      </c>
      <c r="T236" t="inlineStr">
        <is>
          <t>Vertical</t>
        </is>
      </c>
      <c r="U236" t="n">
        <v>130</v>
      </c>
      <c r="V236" t="b">
        <v>1</v>
      </c>
      <c r="W236" t="inlineStr">
        <is>
          <t>ATF fuel!F2:F131</t>
        </is>
      </c>
      <c r="X236">
        <f>AVERAGE(R[0]C[-4]:R[0]C[-1])</f>
        <v/>
      </c>
    </row>
    <row r="237">
      <c r="A237" t="inlineStr">
        <is>
          <t>ATF fuel</t>
        </is>
      </c>
      <c r="B237" t="inlineStr">
        <is>
          <t>G20</t>
        </is>
      </c>
      <c r="C237" t="n">
        <v>20</v>
      </c>
      <c r="D237" t="n">
        <v>7</v>
      </c>
      <c r="E237" t="inlineStr">
        <is>
          <t>Calculation</t>
        </is>
      </c>
      <c r="F237" t="inlineStr">
        <is>
          <t>'=G19-1</t>
        </is>
      </c>
      <c r="G237" t="n">
        <v>113</v>
      </c>
      <c r="H237" t="inlineStr"/>
      <c r="I237" t="inlineStr">
        <is>
          <t>#,##0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G000286</t>
        </is>
      </c>
      <c r="T237" t="inlineStr">
        <is>
          <t>Vertical</t>
        </is>
      </c>
      <c r="U237" t="n">
        <v>129</v>
      </c>
      <c r="V237" t="b">
        <v>1</v>
      </c>
      <c r="W237" t="inlineStr">
        <is>
          <t>ATF fuel!G3:G131</t>
        </is>
      </c>
      <c r="X237">
        <f>R[-1]C[0]-1</f>
        <v/>
      </c>
    </row>
    <row r="238">
      <c r="A238" t="inlineStr">
        <is>
          <t>ATF fuel</t>
        </is>
      </c>
      <c r="B238" t="inlineStr">
        <is>
          <t>H20</t>
        </is>
      </c>
      <c r="C238" t="n">
        <v>20</v>
      </c>
      <c r="D238" t="n">
        <v>8</v>
      </c>
      <c r="E238" t="inlineStr">
        <is>
          <t>Output</t>
        </is>
      </c>
      <c r="F238" t="inlineStr">
        <is>
          <t>'=INDIRECT("A"&amp;G38)</t>
        </is>
      </c>
      <c r="G238" t="inlineStr">
        <is>
          <t>October 01, 2011</t>
        </is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>
        <f>INDIRECT("A"&amp;R[18]C[-1])</f>
        <v/>
      </c>
    </row>
    <row r="239">
      <c r="A239" t="inlineStr">
        <is>
          <t>ATF fuel</t>
        </is>
      </c>
      <c r="B239" t="inlineStr">
        <is>
          <t>I20</t>
        </is>
      </c>
      <c r="C239" t="n">
        <v>20</v>
      </c>
      <c r="D239" t="n">
        <v>9</v>
      </c>
      <c r="E239" t="inlineStr">
        <is>
          <t>Output</t>
        </is>
      </c>
      <c r="F239" t="inlineStr">
        <is>
          <t>'=INDIRECT("F"&amp;G38)</t>
        </is>
      </c>
      <c r="G239" t="n">
        <v>61886.75</v>
      </c>
      <c r="H239" t="inlineStr"/>
      <c r="I239" t="inlineStr">
        <is>
          <t xml:space="preserve">_ * #,##0_ ;_ * \-#,##0_ ;_ * "-"??_ ;_ @_ 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>
        <f>INDIRECT("F"&amp;R[18]C[-2])</f>
        <v/>
      </c>
    </row>
    <row r="240">
      <c r="A240" t="inlineStr">
        <is>
          <t>ATF fuel</t>
        </is>
      </c>
      <c r="B240" t="inlineStr">
        <is>
          <t>J20</t>
        </is>
      </c>
      <c r="C240" t="n">
        <v>20</v>
      </c>
      <c r="D240" t="n">
        <v>10</v>
      </c>
      <c r="E240" t="inlineStr">
        <is>
          <t>Input</t>
        </is>
      </c>
      <c r="F240" t="n">
        <v/>
      </c>
      <c r="G240" t="n">
        <v>104.38</v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ATF fuel</t>
        </is>
      </c>
      <c r="B241" t="inlineStr">
        <is>
          <t>K20</t>
        </is>
      </c>
      <c r="C241" t="n">
        <v>20</v>
      </c>
      <c r="D241" t="n">
        <v>11</v>
      </c>
      <c r="E241" t="inlineStr">
        <is>
          <t>Input</t>
        </is>
      </c>
      <c r="F241" t="n">
        <v/>
      </c>
      <c r="G241" t="n">
        <v>77.34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ATF fuel</t>
        </is>
      </c>
      <c r="B242" t="inlineStr">
        <is>
          <t>A21</t>
        </is>
      </c>
      <c r="C242" t="n">
        <v>21</v>
      </c>
      <c r="D242" t="n">
        <v>1</v>
      </c>
      <c r="E242" t="inlineStr">
        <is>
          <t>Input</t>
        </is>
      </c>
      <c r="F242" t="n">
        <v/>
      </c>
      <c r="G242" t="inlineStr">
        <is>
          <t>May 01,2016</t>
        </is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n">
        <v/>
      </c>
      <c r="N242" t="inlineStr">
        <is>
          <t>00000000</t>
        </is>
      </c>
      <c r="O242" t="n">
        <v/>
      </c>
      <c r="P242" t="n">
        <v/>
      </c>
      <c r="Q242" t="b">
        <v>1</v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ATF fuel</t>
        </is>
      </c>
      <c r="B243" t="inlineStr">
        <is>
          <t>B21</t>
        </is>
      </c>
      <c r="C243" t="n">
        <v>21</v>
      </c>
      <c r="D243" t="n">
        <v>2</v>
      </c>
      <c r="E243" t="inlineStr">
        <is>
          <t>Input</t>
        </is>
      </c>
      <c r="F243" t="n">
        <v/>
      </c>
      <c r="G243" t="n">
        <v>42784.01</v>
      </c>
      <c r="H243" t="inlineStr"/>
      <c r="I243" t="inlineStr">
        <is>
          <t>#,##0</t>
        </is>
      </c>
      <c r="J243" t="b">
        <v>0</v>
      </c>
      <c r="K243" t="b">
        <v>0</v>
      </c>
      <c r="L243" t="n">
        <v>11</v>
      </c>
      <c r="M243" t="n">
        <v/>
      </c>
      <c r="N243" t="inlineStr">
        <is>
          <t>00000000</t>
        </is>
      </c>
      <c r="O243" t="inlineStr">
        <is>
          <t>center</t>
        </is>
      </c>
      <c r="P243" t="n">
        <v/>
      </c>
      <c r="Q243" t="b">
        <v>1</v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ATF fuel</t>
        </is>
      </c>
      <c r="B244" t="inlineStr">
        <is>
          <t>C21</t>
        </is>
      </c>
      <c r="C244" t="n">
        <v>21</v>
      </c>
      <c r="D244" t="n">
        <v>3</v>
      </c>
      <c r="E244" t="inlineStr">
        <is>
          <t>Input</t>
        </is>
      </c>
      <c r="F244" t="n">
        <v/>
      </c>
      <c r="G244" t="n">
        <v>47561.18</v>
      </c>
      <c r="H244" t="inlineStr"/>
      <c r="I244" t="inlineStr">
        <is>
          <t>#,##0</t>
        </is>
      </c>
      <c r="J244" t="b">
        <v>0</v>
      </c>
      <c r="K244" t="b">
        <v>0</v>
      </c>
      <c r="L244" t="n">
        <v>11</v>
      </c>
      <c r="M244" t="n">
        <v/>
      </c>
      <c r="N244" t="inlineStr">
        <is>
          <t>00000000</t>
        </is>
      </c>
      <c r="O244" t="inlineStr">
        <is>
          <t>center</t>
        </is>
      </c>
      <c r="P244" t="n">
        <v/>
      </c>
      <c r="Q244" t="b">
        <v>1</v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ATF fuel</t>
        </is>
      </c>
      <c r="B245" t="inlineStr">
        <is>
          <t>D21</t>
        </is>
      </c>
      <c r="C245" t="n">
        <v>21</v>
      </c>
      <c r="D245" t="n">
        <v>4</v>
      </c>
      <c r="E245" t="inlineStr">
        <is>
          <t>Input</t>
        </is>
      </c>
      <c r="F245" t="n">
        <v/>
      </c>
      <c r="G245" t="n">
        <v>41756.16</v>
      </c>
      <c r="H245" t="inlineStr"/>
      <c r="I245" t="inlineStr">
        <is>
          <t>#,##0</t>
        </is>
      </c>
      <c r="J245" t="b">
        <v>0</v>
      </c>
      <c r="K245" t="b">
        <v>0</v>
      </c>
      <c r="L245" t="n">
        <v>11</v>
      </c>
      <c r="M245" t="n">
        <v/>
      </c>
      <c r="N245" t="inlineStr">
        <is>
          <t>00000000</t>
        </is>
      </c>
      <c r="O245" t="inlineStr">
        <is>
          <t>center</t>
        </is>
      </c>
      <c r="P245" t="n">
        <v/>
      </c>
      <c r="Q245" t="b">
        <v>1</v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ATF fuel</t>
        </is>
      </c>
      <c r="B246" t="inlineStr">
        <is>
          <t>E21</t>
        </is>
      </c>
      <c r="C246" t="n">
        <v>21</v>
      </c>
      <c r="D246" t="n">
        <v>5</v>
      </c>
      <c r="E246" t="inlineStr">
        <is>
          <t>Input</t>
        </is>
      </c>
      <c r="F246" t="n">
        <v/>
      </c>
      <c r="G246" t="n">
        <v>45346.82</v>
      </c>
      <c r="H246" t="inlineStr"/>
      <c r="I246" t="inlineStr">
        <is>
          <t>#,##0</t>
        </is>
      </c>
      <c r="J246" t="b">
        <v>0</v>
      </c>
      <c r="K246" t="b">
        <v>0</v>
      </c>
      <c r="L246" t="n">
        <v>11</v>
      </c>
      <c r="M246" t="n">
        <v/>
      </c>
      <c r="N246" t="inlineStr">
        <is>
          <t>00000000</t>
        </is>
      </c>
      <c r="O246" t="inlineStr">
        <is>
          <t>center</t>
        </is>
      </c>
      <c r="P246" t="n">
        <v/>
      </c>
      <c r="Q246" t="b">
        <v>1</v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ATF fuel</t>
        </is>
      </c>
      <c r="B247" t="inlineStr">
        <is>
          <t>F21</t>
        </is>
      </c>
      <c r="C247" t="n">
        <v>21</v>
      </c>
      <c r="D247" t="n">
        <v>6</v>
      </c>
      <c r="E247" t="inlineStr">
        <is>
          <t>Calculation</t>
        </is>
      </c>
      <c r="F247" t="inlineStr">
        <is>
          <t>'=AVERAGE(B21:E21)</t>
        </is>
      </c>
      <c r="G247" t="n">
        <v>44362.0425</v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inlineStr">
        <is>
          <t>center</t>
        </is>
      </c>
      <c r="P247" t="n">
        <v/>
      </c>
      <c r="R247" t="b">
        <v>1</v>
      </c>
      <c r="S247" t="inlineStr">
        <is>
          <t>G000284</t>
        </is>
      </c>
      <c r="T247" t="inlineStr">
        <is>
          <t>Vertical</t>
        </is>
      </c>
      <c r="U247" t="n">
        <v>130</v>
      </c>
      <c r="V247" t="b">
        <v>1</v>
      </c>
      <c r="W247" t="inlineStr">
        <is>
          <t>ATF fuel!F2:F131</t>
        </is>
      </c>
      <c r="X247">
        <f>AVERAGE(R[0]C[-4]:R[0]C[-1])</f>
        <v/>
      </c>
    </row>
    <row r="248">
      <c r="A248" t="inlineStr">
        <is>
          <t>ATF fuel</t>
        </is>
      </c>
      <c r="B248" t="inlineStr">
        <is>
          <t>G21</t>
        </is>
      </c>
      <c r="C248" t="n">
        <v>21</v>
      </c>
      <c r="D248" t="n">
        <v>7</v>
      </c>
      <c r="E248" t="inlineStr">
        <is>
          <t>Calculation</t>
        </is>
      </c>
      <c r="F248" t="inlineStr">
        <is>
          <t>'=G20-1</t>
        </is>
      </c>
      <c r="G248" t="n">
        <v>112</v>
      </c>
      <c r="H248" t="inlineStr"/>
      <c r="I248" t="inlineStr">
        <is>
          <t>#,##0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G000286</t>
        </is>
      </c>
      <c r="T248" t="inlineStr">
        <is>
          <t>Vertical</t>
        </is>
      </c>
      <c r="U248" t="n">
        <v>129</v>
      </c>
      <c r="V248" t="b">
        <v>1</v>
      </c>
      <c r="W248" t="inlineStr">
        <is>
          <t>ATF fuel!G3:G131</t>
        </is>
      </c>
      <c r="X248">
        <f>R[-1]C[0]-1</f>
        <v/>
      </c>
    </row>
    <row r="249">
      <c r="A249" t="inlineStr">
        <is>
          <t>ATF fuel</t>
        </is>
      </c>
      <c r="B249" t="inlineStr">
        <is>
          <t>H21</t>
        </is>
      </c>
      <c r="C249" t="n">
        <v>21</v>
      </c>
      <c r="D249" t="n">
        <v>8</v>
      </c>
      <c r="E249" t="inlineStr">
        <is>
          <t>Output</t>
        </is>
      </c>
      <c r="F249" t="inlineStr">
        <is>
          <t>'=INDIRECT("A"&amp;G41)</t>
        </is>
      </c>
      <c r="G249" t="inlineStr">
        <is>
          <t>November 01, 2011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>
        <f>INDIRECT("A"&amp;R[20]C[-1])</f>
        <v/>
      </c>
    </row>
    <row r="250">
      <c r="A250" t="inlineStr">
        <is>
          <t>ATF fuel</t>
        </is>
      </c>
      <c r="B250" t="inlineStr">
        <is>
          <t>I21</t>
        </is>
      </c>
      <c r="C250" t="n">
        <v>21</v>
      </c>
      <c r="D250" t="n">
        <v>9</v>
      </c>
      <c r="E250" t="inlineStr">
        <is>
          <t>Output</t>
        </is>
      </c>
      <c r="F250" t="inlineStr">
        <is>
          <t>'=INDIRECT("F"&amp;G41)</t>
        </is>
      </c>
      <c r="G250" t="n">
        <v>64490.41500000001</v>
      </c>
      <c r="H250" t="inlineStr"/>
      <c r="I250" t="inlineStr">
        <is>
          <t xml:space="preserve">_ * #,##0_ ;_ * \-#,##0_ ;_ * "-"??_ ;_ @_ 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>
        <f>INDIRECT("F"&amp;R[20]C[-2])</f>
        <v/>
      </c>
    </row>
    <row r="251">
      <c r="A251" t="inlineStr">
        <is>
          <t>ATF fuel</t>
        </is>
      </c>
      <c r="B251" t="inlineStr">
        <is>
          <t>J21</t>
        </is>
      </c>
      <c r="C251" t="n">
        <v>21</v>
      </c>
      <c r="D251" t="n">
        <v>10</v>
      </c>
      <c r="E251" t="inlineStr">
        <is>
          <t>Input</t>
        </is>
      </c>
      <c r="F251" t="n">
        <v/>
      </c>
      <c r="G251" t="n">
        <v>112.22</v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ATF fuel</t>
        </is>
      </c>
      <c r="B252" t="inlineStr">
        <is>
          <t>K21</t>
        </is>
      </c>
      <c r="C252" t="n">
        <v>21</v>
      </c>
      <c r="D252" t="n">
        <v>11</v>
      </c>
      <c r="E252" t="inlineStr">
        <is>
          <t>Input</t>
        </is>
      </c>
      <c r="F252" t="n">
        <v/>
      </c>
      <c r="G252" t="n">
        <v>92.19</v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ATF fuel</t>
        </is>
      </c>
      <c r="B253" t="inlineStr">
        <is>
          <t>A22</t>
        </is>
      </c>
      <c r="C253" t="n">
        <v>22</v>
      </c>
      <c r="D253" t="n">
        <v>1</v>
      </c>
      <c r="E253" t="inlineStr">
        <is>
          <t>Input</t>
        </is>
      </c>
      <c r="F253" t="n">
        <v/>
      </c>
      <c r="G253" t="inlineStr">
        <is>
          <t>April 09,2016</t>
        </is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11</v>
      </c>
      <c r="M253" t="n">
        <v/>
      </c>
      <c r="N253" t="inlineStr">
        <is>
          <t>00000000</t>
        </is>
      </c>
      <c r="O253" t="n">
        <v/>
      </c>
      <c r="P253" t="n">
        <v/>
      </c>
      <c r="Q253" t="b">
        <v>1</v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ATF fuel</t>
        </is>
      </c>
      <c r="B254" t="inlineStr">
        <is>
          <t>B22</t>
        </is>
      </c>
      <c r="C254" t="n">
        <v>22</v>
      </c>
      <c r="D254" t="n">
        <v>2</v>
      </c>
      <c r="E254" t="inlineStr">
        <is>
          <t>Input</t>
        </is>
      </c>
      <c r="F254" t="n">
        <v/>
      </c>
      <c r="G254" t="inlineStr">
        <is>
          <t>-</t>
        </is>
      </c>
      <c r="H254" t="inlineStr"/>
      <c r="I254" t="inlineStr">
        <is>
          <t>#,##0</t>
        </is>
      </c>
      <c r="J254" t="b">
        <v>0</v>
      </c>
      <c r="K254" t="b">
        <v>0</v>
      </c>
      <c r="L254" t="n">
        <v>11</v>
      </c>
      <c r="M254" t="n">
        <v/>
      </c>
      <c r="N254" t="inlineStr">
        <is>
          <t>00000000</t>
        </is>
      </c>
      <c r="O254" t="inlineStr">
        <is>
          <t>center</t>
        </is>
      </c>
      <c r="P254" t="n">
        <v/>
      </c>
      <c r="Q254" t="b">
        <v>1</v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ATF fuel</t>
        </is>
      </c>
      <c r="B255" t="inlineStr">
        <is>
          <t>C22</t>
        </is>
      </c>
      <c r="C255" t="n">
        <v>22</v>
      </c>
      <c r="D255" t="n">
        <v>3</v>
      </c>
      <c r="E255" t="inlineStr">
        <is>
          <t>Input</t>
        </is>
      </c>
      <c r="F255" t="n">
        <v/>
      </c>
      <c r="G255" t="inlineStr">
        <is>
          <t>-</t>
        </is>
      </c>
      <c r="H255" t="inlineStr"/>
      <c r="I255" t="inlineStr">
        <is>
          <t>#,##0</t>
        </is>
      </c>
      <c r="J255" t="b">
        <v>0</v>
      </c>
      <c r="K255" t="b">
        <v>0</v>
      </c>
      <c r="L255" t="n">
        <v>11</v>
      </c>
      <c r="M255" t="n">
        <v/>
      </c>
      <c r="N255" t="inlineStr">
        <is>
          <t>00000000</t>
        </is>
      </c>
      <c r="O255" t="inlineStr">
        <is>
          <t>center</t>
        </is>
      </c>
      <c r="P255" t="n">
        <v/>
      </c>
      <c r="Q255" t="b">
        <v>1</v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ATF fuel</t>
        </is>
      </c>
      <c r="B256" t="inlineStr">
        <is>
          <t>D22</t>
        </is>
      </c>
      <c r="C256" t="n">
        <v>22</v>
      </c>
      <c r="D256" t="n">
        <v>4</v>
      </c>
      <c r="E256" t="inlineStr">
        <is>
          <t>Input</t>
        </is>
      </c>
      <c r="F256" t="n">
        <v/>
      </c>
      <c r="G256" t="n">
        <v>41171.91</v>
      </c>
      <c r="H256" t="inlineStr"/>
      <c r="I256" t="inlineStr">
        <is>
          <t>#,##0</t>
        </is>
      </c>
      <c r="J256" t="b">
        <v>0</v>
      </c>
      <c r="K256" t="b">
        <v>0</v>
      </c>
      <c r="L256" t="n">
        <v>11</v>
      </c>
      <c r="M256" t="n">
        <v/>
      </c>
      <c r="N256" t="inlineStr">
        <is>
          <t>00000000</t>
        </is>
      </c>
      <c r="O256" t="inlineStr">
        <is>
          <t>center</t>
        </is>
      </c>
      <c r="P256" t="n">
        <v/>
      </c>
      <c r="Q256" t="b">
        <v>1</v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ATF fuel</t>
        </is>
      </c>
      <c r="B257" t="inlineStr">
        <is>
          <t>E22</t>
        </is>
      </c>
      <c r="C257" t="n">
        <v>22</v>
      </c>
      <c r="D257" t="n">
        <v>5</v>
      </c>
      <c r="E257" t="inlineStr">
        <is>
          <t>Input</t>
        </is>
      </c>
      <c r="F257" t="n">
        <v/>
      </c>
      <c r="G257" t="inlineStr">
        <is>
          <t>-</t>
        </is>
      </c>
      <c r="H257" t="inlineStr"/>
      <c r="I257" t="inlineStr">
        <is>
          <t>#,##0</t>
        </is>
      </c>
      <c r="J257" t="b">
        <v>0</v>
      </c>
      <c r="K257" t="b">
        <v>0</v>
      </c>
      <c r="L257" t="n">
        <v>11</v>
      </c>
      <c r="M257" t="n">
        <v/>
      </c>
      <c r="N257" t="inlineStr">
        <is>
          <t>00000000</t>
        </is>
      </c>
      <c r="O257" t="inlineStr">
        <is>
          <t>center</t>
        </is>
      </c>
      <c r="P257" t="n">
        <v/>
      </c>
      <c r="Q257" t="b">
        <v>1</v>
      </c>
      <c r="R257" t="b">
        <v>1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ATF fuel</t>
        </is>
      </c>
      <c r="B258" t="inlineStr">
        <is>
          <t>F22</t>
        </is>
      </c>
      <c r="C258" t="n">
        <v>22</v>
      </c>
      <c r="D258" t="n">
        <v>6</v>
      </c>
      <c r="E258" t="inlineStr">
        <is>
          <t>Calculation</t>
        </is>
      </c>
      <c r="F258" t="inlineStr">
        <is>
          <t>'=AVERAGE(B22:E22)</t>
        </is>
      </c>
      <c r="G258" t="n">
        <v>41171.91</v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inlineStr">
        <is>
          <t>center</t>
        </is>
      </c>
      <c r="P258" t="n">
        <v/>
      </c>
      <c r="R258" t="b">
        <v>1</v>
      </c>
      <c r="S258" t="inlineStr">
        <is>
          <t>G000284</t>
        </is>
      </c>
      <c r="T258" t="inlineStr">
        <is>
          <t>Vertical</t>
        </is>
      </c>
      <c r="U258" t="n">
        <v>130</v>
      </c>
      <c r="V258" t="b">
        <v>1</v>
      </c>
      <c r="W258" t="inlineStr">
        <is>
          <t>ATF fuel!F2:F131</t>
        </is>
      </c>
      <c r="X258">
        <f>AVERAGE(R[0]C[-4]:R[0]C[-1])</f>
        <v/>
      </c>
    </row>
    <row r="259">
      <c r="A259" t="inlineStr">
        <is>
          <t>ATF fuel</t>
        </is>
      </c>
      <c r="B259" t="inlineStr">
        <is>
          <t>G22</t>
        </is>
      </c>
      <c r="C259" t="n">
        <v>22</v>
      </c>
      <c r="D259" t="n">
        <v>7</v>
      </c>
      <c r="E259" t="inlineStr">
        <is>
          <t>Calculation</t>
        </is>
      </c>
      <c r="F259" t="inlineStr">
        <is>
          <t>'=G21-1</t>
        </is>
      </c>
      <c r="G259" t="n">
        <v>111</v>
      </c>
      <c r="H259" t="inlineStr"/>
      <c r="I259" t="inlineStr">
        <is>
          <t>#,##0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inlineStr">
        <is>
          <t>G000286</t>
        </is>
      </c>
      <c r="T259" t="inlineStr">
        <is>
          <t>Vertical</t>
        </is>
      </c>
      <c r="U259" t="n">
        <v>129</v>
      </c>
      <c r="V259" t="b">
        <v>1</v>
      </c>
      <c r="W259" t="inlineStr">
        <is>
          <t>ATF fuel!G3:G131</t>
        </is>
      </c>
      <c r="X259">
        <f>R[-1]C[0]-1</f>
        <v/>
      </c>
    </row>
    <row r="260">
      <c r="A260" t="inlineStr">
        <is>
          <t>ATF fuel</t>
        </is>
      </c>
      <c r="B260" t="inlineStr">
        <is>
          <t>H22</t>
        </is>
      </c>
      <c r="C260" t="n">
        <v>22</v>
      </c>
      <c r="D260" t="n">
        <v>8</v>
      </c>
      <c r="E260" t="inlineStr">
        <is>
          <t>Output</t>
        </is>
      </c>
      <c r="F260" t="inlineStr">
        <is>
          <t>'=INDIRECT("A"&amp;G43)</t>
        </is>
      </c>
      <c r="G260" t="inlineStr">
        <is>
          <t>December 01, 2011</t>
        </is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>
        <f>INDIRECT("A"&amp;R[21]C[-1])</f>
        <v/>
      </c>
    </row>
    <row r="261">
      <c r="A261" t="inlineStr">
        <is>
          <t>ATF fuel</t>
        </is>
      </c>
      <c r="B261" t="inlineStr">
        <is>
          <t>I22</t>
        </is>
      </c>
      <c r="C261" t="n">
        <v>22</v>
      </c>
      <c r="D261" t="n">
        <v>9</v>
      </c>
      <c r="E261" t="inlineStr">
        <is>
          <t>Output</t>
        </is>
      </c>
      <c r="F261" t="inlineStr">
        <is>
          <t>'=INDIRECT("F"&amp;G43)</t>
        </is>
      </c>
      <c r="G261" t="n">
        <v>68172.64999999999</v>
      </c>
      <c r="H261" t="inlineStr"/>
      <c r="I261" t="inlineStr">
        <is>
          <t xml:space="preserve">_ * #,##0_ ;_ * \-#,##0_ ;_ * "-"??_ ;_ @_ 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>
        <f>INDIRECT("F"&amp;R[21]C[-2])</f>
        <v/>
      </c>
    </row>
    <row r="262">
      <c r="A262" t="inlineStr">
        <is>
          <t>ATF fuel</t>
        </is>
      </c>
      <c r="B262" t="inlineStr">
        <is>
          <t>J22</t>
        </is>
      </c>
      <c r="C262" t="n">
        <v>22</v>
      </c>
      <c r="D262" t="n">
        <v>10</v>
      </c>
      <c r="E262" t="inlineStr">
        <is>
          <t>Input</t>
        </is>
      </c>
      <c r="F262" t="n">
        <v/>
      </c>
      <c r="G262" t="n">
        <v>110.16</v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ATF fuel</t>
        </is>
      </c>
      <c r="B263" t="inlineStr">
        <is>
          <t>K22</t>
        </is>
      </c>
      <c r="C263" t="n">
        <v>22</v>
      </c>
      <c r="D263" t="n">
        <v>11</v>
      </c>
      <c r="E263" t="inlineStr">
        <is>
          <t>Input</t>
        </is>
      </c>
      <c r="F263" t="n">
        <v/>
      </c>
      <c r="G263" t="n">
        <v>100.2</v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ATF fuel</t>
        </is>
      </c>
      <c r="B264" t="inlineStr">
        <is>
          <t>A23</t>
        </is>
      </c>
      <c r="C264" t="n">
        <v>23</v>
      </c>
      <c r="D264" t="n">
        <v>1</v>
      </c>
      <c r="E264" t="inlineStr">
        <is>
          <t>Input</t>
        </is>
      </c>
      <c r="F264" t="n">
        <v/>
      </c>
      <c r="G264" t="inlineStr">
        <is>
          <t>April 01,2016</t>
        </is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11</v>
      </c>
      <c r="M264" t="n">
        <v/>
      </c>
      <c r="N264" t="inlineStr">
        <is>
          <t>00000000</t>
        </is>
      </c>
      <c r="O264" t="n">
        <v/>
      </c>
      <c r="P264" t="n">
        <v/>
      </c>
      <c r="Q264" t="b">
        <v>1</v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ATF fuel</t>
        </is>
      </c>
      <c r="B265" t="inlineStr">
        <is>
          <t>B23</t>
        </is>
      </c>
      <c r="C265" t="n">
        <v>23</v>
      </c>
      <c r="D265" t="n">
        <v>2</v>
      </c>
      <c r="E265" t="inlineStr">
        <is>
          <t>Input</t>
        </is>
      </c>
      <c r="F265" t="n">
        <v/>
      </c>
      <c r="G265" t="n">
        <v>42157.01</v>
      </c>
      <c r="H265" t="inlineStr"/>
      <c r="I265" t="inlineStr">
        <is>
          <t>#,##0</t>
        </is>
      </c>
      <c r="J265" t="b">
        <v>0</v>
      </c>
      <c r="K265" t="b">
        <v>0</v>
      </c>
      <c r="L265" t="n">
        <v>11</v>
      </c>
      <c r="M265" t="n">
        <v/>
      </c>
      <c r="N265" t="inlineStr">
        <is>
          <t>00000000</t>
        </is>
      </c>
      <c r="O265" t="inlineStr">
        <is>
          <t>center</t>
        </is>
      </c>
      <c r="P265" t="n">
        <v/>
      </c>
      <c r="Q265" t="b">
        <v>1</v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ATF fuel</t>
        </is>
      </c>
      <c r="B266" t="inlineStr">
        <is>
          <t>C23</t>
        </is>
      </c>
      <c r="C266" t="n">
        <v>23</v>
      </c>
      <c r="D266" t="n">
        <v>3</v>
      </c>
      <c r="E266" t="inlineStr">
        <is>
          <t>Input</t>
        </is>
      </c>
      <c r="F266" t="n">
        <v/>
      </c>
      <c r="G266" t="n">
        <v>47094.08</v>
      </c>
      <c r="H266" t="inlineStr"/>
      <c r="I266" t="inlineStr">
        <is>
          <t>#,##0</t>
        </is>
      </c>
      <c r="J266" t="b">
        <v>0</v>
      </c>
      <c r="K266" t="b">
        <v>0</v>
      </c>
      <c r="L266" t="n">
        <v>11</v>
      </c>
      <c r="M266" t="n">
        <v/>
      </c>
      <c r="N266" t="inlineStr">
        <is>
          <t>00000000</t>
        </is>
      </c>
      <c r="O266" t="inlineStr">
        <is>
          <t>center</t>
        </is>
      </c>
      <c r="P266" t="n">
        <v/>
      </c>
      <c r="Q266" t="b">
        <v>1</v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ATF fuel</t>
        </is>
      </c>
      <c r="B267" t="inlineStr">
        <is>
          <t>D23</t>
        </is>
      </c>
      <c r="C267" t="n">
        <v>23</v>
      </c>
      <c r="D267" t="n">
        <v>4</v>
      </c>
      <c r="E267" t="inlineStr">
        <is>
          <t>Input</t>
        </is>
      </c>
      <c r="F267" t="n">
        <v/>
      </c>
      <c r="G267" t="n">
        <v>41768.99</v>
      </c>
      <c r="H267" t="inlineStr"/>
      <c r="I267" t="inlineStr">
        <is>
          <t>#,##0</t>
        </is>
      </c>
      <c r="J267" t="b">
        <v>0</v>
      </c>
      <c r="K267" t="b">
        <v>0</v>
      </c>
      <c r="L267" t="n">
        <v>11</v>
      </c>
      <c r="M267" t="n">
        <v/>
      </c>
      <c r="N267" t="inlineStr">
        <is>
          <t>00000000</t>
        </is>
      </c>
      <c r="O267" t="inlineStr">
        <is>
          <t>center</t>
        </is>
      </c>
      <c r="P267" t="n">
        <v/>
      </c>
      <c r="Q267" t="b">
        <v>1</v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ATF fuel</t>
        </is>
      </c>
      <c r="B268" t="inlineStr">
        <is>
          <t>E23</t>
        </is>
      </c>
      <c r="C268" t="n">
        <v>23</v>
      </c>
      <c r="D268" t="n">
        <v>5</v>
      </c>
      <c r="E268" t="inlineStr">
        <is>
          <t>Input</t>
        </is>
      </c>
      <c r="F268" t="n">
        <v/>
      </c>
      <c r="G268" t="n">
        <v>44821.08</v>
      </c>
      <c r="H268" t="inlineStr"/>
      <c r="I268" t="inlineStr">
        <is>
          <t>#,##0</t>
        </is>
      </c>
      <c r="J268" t="b">
        <v>0</v>
      </c>
      <c r="K268" t="b">
        <v>0</v>
      </c>
      <c r="L268" t="n">
        <v>11</v>
      </c>
      <c r="M268" t="n">
        <v/>
      </c>
      <c r="N268" t="inlineStr">
        <is>
          <t>00000000</t>
        </is>
      </c>
      <c r="O268" t="inlineStr">
        <is>
          <t>center</t>
        </is>
      </c>
      <c r="P268" t="n">
        <v/>
      </c>
      <c r="Q268" t="b">
        <v>1</v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ATF fuel</t>
        </is>
      </c>
      <c r="B269" t="inlineStr">
        <is>
          <t>F23</t>
        </is>
      </c>
      <c r="C269" t="n">
        <v>23</v>
      </c>
      <c r="D269" t="n">
        <v>6</v>
      </c>
      <c r="E269" t="inlineStr">
        <is>
          <t>Calculation</t>
        </is>
      </c>
      <c r="F269" t="inlineStr">
        <is>
          <t>'=AVERAGE(B23:E23)</t>
        </is>
      </c>
      <c r="G269" t="n">
        <v>43960.28999999999</v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inlineStr">
        <is>
          <t>center</t>
        </is>
      </c>
      <c r="P269" t="n">
        <v/>
      </c>
      <c r="R269" t="b">
        <v>1</v>
      </c>
      <c r="S269" t="inlineStr">
        <is>
          <t>G000284</t>
        </is>
      </c>
      <c r="T269" t="inlineStr">
        <is>
          <t>Vertical</t>
        </is>
      </c>
      <c r="U269" t="n">
        <v>130</v>
      </c>
      <c r="V269" t="b">
        <v>1</v>
      </c>
      <c r="W269" t="inlineStr">
        <is>
          <t>ATF fuel!F2:F131</t>
        </is>
      </c>
      <c r="X269">
        <f>AVERAGE(R[0]C[-4]:R[0]C[-1])</f>
        <v/>
      </c>
    </row>
    <row r="270">
      <c r="A270" t="inlineStr">
        <is>
          <t>ATF fuel</t>
        </is>
      </c>
      <c r="B270" t="inlineStr">
        <is>
          <t>G23</t>
        </is>
      </c>
      <c r="C270" t="n">
        <v>23</v>
      </c>
      <c r="D270" t="n">
        <v>7</v>
      </c>
      <c r="E270" t="inlineStr">
        <is>
          <t>Calculation</t>
        </is>
      </c>
      <c r="F270" t="inlineStr">
        <is>
          <t>'=G22-1</t>
        </is>
      </c>
      <c r="G270" t="n">
        <v>110</v>
      </c>
      <c r="H270" t="inlineStr"/>
      <c r="I270" t="inlineStr">
        <is>
          <t>#,##0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G000286</t>
        </is>
      </c>
      <c r="T270" t="inlineStr">
        <is>
          <t>Vertical</t>
        </is>
      </c>
      <c r="U270" t="n">
        <v>129</v>
      </c>
      <c r="V270" t="b">
        <v>1</v>
      </c>
      <c r="W270" t="inlineStr">
        <is>
          <t>ATF fuel!G3:G131</t>
        </is>
      </c>
      <c r="X270">
        <f>R[-1]C[0]-1</f>
        <v/>
      </c>
    </row>
    <row r="271">
      <c r="A271" t="inlineStr">
        <is>
          <t>ATF fuel</t>
        </is>
      </c>
      <c r="B271" t="inlineStr">
        <is>
          <t>H23</t>
        </is>
      </c>
      <c r="C271" t="n">
        <v>23</v>
      </c>
      <c r="D271" t="n">
        <v>8</v>
      </c>
      <c r="E271" t="inlineStr">
        <is>
          <t>Output</t>
        </is>
      </c>
      <c r="F271" t="inlineStr">
        <is>
          <t>'=INDIRECT("A"&amp;G45)</t>
        </is>
      </c>
      <c r="G271" t="inlineStr">
        <is>
          <t>January 01, 2012</t>
        </is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>
        <f>INDIRECT("A"&amp;R[22]C[-1])</f>
        <v/>
      </c>
    </row>
    <row r="272">
      <c r="A272" t="inlineStr">
        <is>
          <t>ATF fuel</t>
        </is>
      </c>
      <c r="B272" t="inlineStr">
        <is>
          <t>I23</t>
        </is>
      </c>
      <c r="C272" t="n">
        <v>23</v>
      </c>
      <c r="D272" t="n">
        <v>9</v>
      </c>
      <c r="E272" t="inlineStr">
        <is>
          <t>Output</t>
        </is>
      </c>
      <c r="F272" t="inlineStr">
        <is>
          <t>'=INDIRECT("F"&amp;G45)</t>
        </is>
      </c>
      <c r="G272" t="n">
        <v>66600.0575</v>
      </c>
      <c r="H272" t="inlineStr"/>
      <c r="I272" t="inlineStr">
        <is>
          <t xml:space="preserve">_ * #,##0_ ;_ * \-#,##0_ ;_ * "-"??_ ;_ @_ 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>
        <f>INDIRECT("F"&amp;R[22]C[-2])</f>
        <v/>
      </c>
    </row>
    <row r="273">
      <c r="A273" t="inlineStr">
        <is>
          <t>ATF fuel</t>
        </is>
      </c>
      <c r="B273" t="inlineStr">
        <is>
          <t>J23</t>
        </is>
      </c>
      <c r="C273" t="n">
        <v>23</v>
      </c>
      <c r="D273" t="n">
        <v>10</v>
      </c>
      <c r="E273" t="inlineStr">
        <is>
          <t>Input</t>
        </is>
      </c>
      <c r="F273" t="n">
        <v/>
      </c>
      <c r="G273" t="n">
        <v>111.07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ATF fuel</t>
        </is>
      </c>
      <c r="B274" t="inlineStr">
        <is>
          <t>K23</t>
        </is>
      </c>
      <c r="C274" t="n">
        <v>23</v>
      </c>
      <c r="D274" t="n">
        <v>11</v>
      </c>
      <c r="E274" t="inlineStr">
        <is>
          <t>Input</t>
        </is>
      </c>
      <c r="F274" t="n">
        <v/>
      </c>
      <c r="G274" t="n">
        <v>102.96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ATF fuel</t>
        </is>
      </c>
      <c r="B275" t="inlineStr">
        <is>
          <t>A24</t>
        </is>
      </c>
      <c r="C275" t="n">
        <v>24</v>
      </c>
      <c r="D275" t="n">
        <v>1</v>
      </c>
      <c r="E275" t="inlineStr">
        <is>
          <t>Input</t>
        </is>
      </c>
      <c r="F275" t="n">
        <v/>
      </c>
      <c r="G275" t="inlineStr">
        <is>
          <t>March 10,2016</t>
        </is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n">
        <v/>
      </c>
      <c r="N275" t="inlineStr">
        <is>
          <t>00000000</t>
        </is>
      </c>
      <c r="O275" t="n">
        <v/>
      </c>
      <c r="P275" t="n">
        <v/>
      </c>
      <c r="Q275" t="b">
        <v>1</v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ATF fuel</t>
        </is>
      </c>
      <c r="B276" t="inlineStr">
        <is>
          <t>B24</t>
        </is>
      </c>
      <c r="C276" t="n">
        <v>24</v>
      </c>
      <c r="D276" t="n">
        <v>2</v>
      </c>
      <c r="E276" t="inlineStr">
        <is>
          <t>Input</t>
        </is>
      </c>
      <c r="F276" t="n">
        <v/>
      </c>
      <c r="G276" t="n">
        <v>38785.46</v>
      </c>
      <c r="H276" t="inlineStr"/>
      <c r="I276" t="inlineStr">
        <is>
          <t>#,##0</t>
        </is>
      </c>
      <c r="J276" t="b">
        <v>0</v>
      </c>
      <c r="K276" t="b">
        <v>0</v>
      </c>
      <c r="L276" t="n">
        <v>11</v>
      </c>
      <c r="M276" t="n">
        <v/>
      </c>
      <c r="N276" t="inlineStr">
        <is>
          <t>00000000</t>
        </is>
      </c>
      <c r="O276" t="inlineStr">
        <is>
          <t>center</t>
        </is>
      </c>
      <c r="P276" t="n">
        <v/>
      </c>
      <c r="Q276" t="b">
        <v>1</v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ATF fuel</t>
        </is>
      </c>
      <c r="B277" t="inlineStr">
        <is>
          <t>C24</t>
        </is>
      </c>
      <c r="C277" t="n">
        <v>24</v>
      </c>
      <c r="D277" t="n">
        <v>3</v>
      </c>
      <c r="E277" t="inlineStr">
        <is>
          <t>Input</t>
        </is>
      </c>
      <c r="F277" t="n">
        <v/>
      </c>
      <c r="G277" t="n">
        <v>43893.53</v>
      </c>
      <c r="H277" t="inlineStr"/>
      <c r="I277" t="inlineStr">
        <is>
          <t>#,##0</t>
        </is>
      </c>
      <c r="J277" t="b">
        <v>0</v>
      </c>
      <c r="K277" t="b">
        <v>0</v>
      </c>
      <c r="L277" t="n">
        <v>11</v>
      </c>
      <c r="M277" t="n">
        <v/>
      </c>
      <c r="N277" t="inlineStr">
        <is>
          <t>00000000</t>
        </is>
      </c>
      <c r="O277" t="inlineStr">
        <is>
          <t>center</t>
        </is>
      </c>
      <c r="P277" t="n">
        <v/>
      </c>
      <c r="Q277" t="b">
        <v>1</v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ATF fuel</t>
        </is>
      </c>
      <c r="B278" t="inlineStr">
        <is>
          <t>D24</t>
        </is>
      </c>
      <c r="C278" t="n">
        <v>24</v>
      </c>
      <c r="D278" t="n">
        <v>4</v>
      </c>
      <c r="E278" t="inlineStr">
        <is>
          <t>Input</t>
        </is>
      </c>
      <c r="F278" t="n">
        <v/>
      </c>
      <c r="G278" t="n">
        <v>38425.94</v>
      </c>
      <c r="H278" t="inlineStr"/>
      <c r="I278" t="inlineStr">
        <is>
          <t>#,##0</t>
        </is>
      </c>
      <c r="J278" t="b">
        <v>0</v>
      </c>
      <c r="K278" t="b">
        <v>0</v>
      </c>
      <c r="L278" t="n">
        <v>11</v>
      </c>
      <c r="M278" t="n">
        <v/>
      </c>
      <c r="N278" t="inlineStr">
        <is>
          <t>00000000</t>
        </is>
      </c>
      <c r="O278" t="inlineStr">
        <is>
          <t>center</t>
        </is>
      </c>
      <c r="P278" t="n">
        <v/>
      </c>
      <c r="Q278" t="b">
        <v>1</v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ATF fuel</t>
        </is>
      </c>
      <c r="B279" t="inlineStr">
        <is>
          <t>E24</t>
        </is>
      </c>
      <c r="C279" t="n">
        <v>24</v>
      </c>
      <c r="D279" t="n">
        <v>5</v>
      </c>
      <c r="E279" t="inlineStr">
        <is>
          <t>Input</t>
        </is>
      </c>
      <c r="F279" t="n">
        <v/>
      </c>
      <c r="G279" t="n">
        <v>41459.29</v>
      </c>
      <c r="H279" t="inlineStr"/>
      <c r="I279" t="inlineStr">
        <is>
          <t>#,##0</t>
        </is>
      </c>
      <c r="J279" t="b">
        <v>0</v>
      </c>
      <c r="K279" t="b">
        <v>0</v>
      </c>
      <c r="L279" t="n">
        <v>11</v>
      </c>
      <c r="M279" t="n">
        <v/>
      </c>
      <c r="N279" t="inlineStr">
        <is>
          <t>00000000</t>
        </is>
      </c>
      <c r="O279" t="inlineStr">
        <is>
          <t>center</t>
        </is>
      </c>
      <c r="P279" t="n">
        <v/>
      </c>
      <c r="Q279" t="b">
        <v>1</v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ATF fuel</t>
        </is>
      </c>
      <c r="B280" t="inlineStr">
        <is>
          <t>F24</t>
        </is>
      </c>
      <c r="C280" t="n">
        <v>24</v>
      </c>
      <c r="D280" t="n">
        <v>6</v>
      </c>
      <c r="E280" t="inlineStr">
        <is>
          <t>Output</t>
        </is>
      </c>
      <c r="F280" t="inlineStr">
        <is>
          <t>'=AVERAGE(B24:E24)</t>
        </is>
      </c>
      <c r="G280" t="n">
        <v>40641.055</v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00000000</t>
        </is>
      </c>
      <c r="O280" t="inlineStr">
        <is>
          <t>center</t>
        </is>
      </c>
      <c r="P280" t="n">
        <v/>
      </c>
      <c r="R280" t="b">
        <v>1</v>
      </c>
      <c r="S280" t="inlineStr">
        <is>
          <t>G000284</t>
        </is>
      </c>
      <c r="T280" t="inlineStr">
        <is>
          <t>Vertical</t>
        </is>
      </c>
      <c r="U280" t="n">
        <v>130</v>
      </c>
      <c r="V280" t="b">
        <v>1</v>
      </c>
      <c r="W280" t="inlineStr">
        <is>
          <t>ATF fuel!F2:F131</t>
        </is>
      </c>
      <c r="X280">
        <f>AVERAGE(R[0]C[-4]:R[0]C[-1])</f>
        <v/>
      </c>
    </row>
    <row r="281">
      <c r="A281" t="inlineStr">
        <is>
          <t>ATF fuel</t>
        </is>
      </c>
      <c r="B281" t="inlineStr">
        <is>
          <t>G24</t>
        </is>
      </c>
      <c r="C281" t="n">
        <v>24</v>
      </c>
      <c r="D281" t="n">
        <v>7</v>
      </c>
      <c r="E281" t="inlineStr">
        <is>
          <t>Calculation</t>
        </is>
      </c>
      <c r="F281" t="inlineStr">
        <is>
          <t>'=G23-1</t>
        </is>
      </c>
      <c r="G281" t="n">
        <v>109</v>
      </c>
      <c r="H281" t="inlineStr"/>
      <c r="I281" t="inlineStr">
        <is>
          <t>#,##0</t>
        </is>
      </c>
      <c r="J281" t="b">
        <v>0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G000286</t>
        </is>
      </c>
      <c r="T281" t="inlineStr">
        <is>
          <t>Vertical</t>
        </is>
      </c>
      <c r="U281" t="n">
        <v>129</v>
      </c>
      <c r="V281" t="b">
        <v>1</v>
      </c>
      <c r="W281" t="inlineStr">
        <is>
          <t>ATF fuel!G3:G131</t>
        </is>
      </c>
      <c r="X281">
        <f>R[-1]C[0]-1</f>
        <v/>
      </c>
    </row>
    <row r="282">
      <c r="A282" t="inlineStr">
        <is>
          <t>ATF fuel</t>
        </is>
      </c>
      <c r="B282" t="inlineStr">
        <is>
          <t>H24</t>
        </is>
      </c>
      <c r="C282" t="n">
        <v>24</v>
      </c>
      <c r="D282" t="n">
        <v>8</v>
      </c>
      <c r="E282" t="inlineStr">
        <is>
          <t>Output</t>
        </is>
      </c>
      <c r="F282" t="inlineStr">
        <is>
          <t>'=INDIRECT("A"&amp;G47)</t>
        </is>
      </c>
      <c r="G282" t="inlineStr">
        <is>
          <t>February 01, 2012</t>
        </is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>
        <f>INDIRECT("A"&amp;R[23]C[-1])</f>
        <v/>
      </c>
    </row>
    <row r="283">
      <c r="A283" t="inlineStr">
        <is>
          <t>ATF fuel</t>
        </is>
      </c>
      <c r="B283" t="inlineStr">
        <is>
          <t>I24</t>
        </is>
      </c>
      <c r="C283" t="n">
        <v>24</v>
      </c>
      <c r="D283" t="n">
        <v>9</v>
      </c>
      <c r="E283" t="inlineStr">
        <is>
          <t>Output</t>
        </is>
      </c>
      <c r="F283" t="inlineStr">
        <is>
          <t>'=INDIRECT("F"&amp;G47)</t>
        </is>
      </c>
      <c r="G283" t="n">
        <v>66407.39</v>
      </c>
      <c r="H283" t="inlineStr"/>
      <c r="I283" t="inlineStr">
        <is>
          <t xml:space="preserve">_ * #,##0_ ;_ * \-#,##0_ ;_ * "-"??_ ;_ @_ 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>
        <f>INDIRECT("F"&amp;R[23]C[-2])</f>
        <v/>
      </c>
    </row>
    <row r="284">
      <c r="A284" t="inlineStr">
        <is>
          <t>ATF fuel</t>
        </is>
      </c>
      <c r="B284" t="inlineStr">
        <is>
          <t>J24</t>
        </is>
      </c>
      <c r="C284" t="n">
        <v>24</v>
      </c>
      <c r="D284" t="n">
        <v>10</v>
      </c>
      <c r="E284" t="inlineStr">
        <is>
          <t>Input</t>
        </is>
      </c>
      <c r="F284" t="n">
        <v/>
      </c>
      <c r="G284" t="n">
        <v>116.86</v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ATF fuel</t>
        </is>
      </c>
      <c r="B285" t="inlineStr">
        <is>
          <t>K24</t>
        </is>
      </c>
      <c r="C285" t="n">
        <v>24</v>
      </c>
      <c r="D285" t="n">
        <v>11</v>
      </c>
      <c r="E285" t="inlineStr">
        <is>
          <t>Input</t>
        </is>
      </c>
      <c r="F285" t="n">
        <v/>
      </c>
      <c r="G285" t="n">
        <v>97.63</v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ATF fuel</t>
        </is>
      </c>
      <c r="B286" t="inlineStr">
        <is>
          <t>A25</t>
        </is>
      </c>
      <c r="C286" t="n">
        <v>25</v>
      </c>
      <c r="D286" t="n">
        <v>1</v>
      </c>
      <c r="E286" t="inlineStr">
        <is>
          <t>Input</t>
        </is>
      </c>
      <c r="F286" t="n">
        <v/>
      </c>
      <c r="G286" t="inlineStr">
        <is>
          <t>March 01,2016</t>
        </is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11</v>
      </c>
      <c r="M286" t="n">
        <v/>
      </c>
      <c r="N286" t="inlineStr">
        <is>
          <t>00000000</t>
        </is>
      </c>
      <c r="O286" t="n">
        <v/>
      </c>
      <c r="P286" t="n">
        <v/>
      </c>
      <c r="Q286" t="b">
        <v>1</v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ATF fuel</t>
        </is>
      </c>
      <c r="B287" t="inlineStr">
        <is>
          <t>B25</t>
        </is>
      </c>
      <c r="C287" t="n">
        <v>25</v>
      </c>
      <c r="D287" t="n">
        <v>2</v>
      </c>
      <c r="E287" t="inlineStr">
        <is>
          <t>Input</t>
        </is>
      </c>
      <c r="F287" t="n">
        <v/>
      </c>
      <c r="G287" t="n">
        <v>39301.31</v>
      </c>
      <c r="H287" t="inlineStr"/>
      <c r="I287" t="inlineStr">
        <is>
          <t>#,##0</t>
        </is>
      </c>
      <c r="J287" t="b">
        <v>0</v>
      </c>
      <c r="K287" t="b">
        <v>0</v>
      </c>
      <c r="L287" t="n">
        <v>11</v>
      </c>
      <c r="M287" t="n">
        <v/>
      </c>
      <c r="N287" t="inlineStr">
        <is>
          <t>00000000</t>
        </is>
      </c>
      <c r="O287" t="inlineStr">
        <is>
          <t>center</t>
        </is>
      </c>
      <c r="P287" t="n">
        <v/>
      </c>
      <c r="Q287" t="b">
        <v>1</v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ATF fuel</t>
        </is>
      </c>
      <c r="B288" t="inlineStr">
        <is>
          <t>C25</t>
        </is>
      </c>
      <c r="C288" t="n">
        <v>25</v>
      </c>
      <c r="D288" t="n">
        <v>3</v>
      </c>
      <c r="E288" t="inlineStr">
        <is>
          <t>Input</t>
        </is>
      </c>
      <c r="F288" t="n">
        <v/>
      </c>
      <c r="G288" t="n">
        <v>46038.16</v>
      </c>
      <c r="H288" t="inlineStr"/>
      <c r="I288" t="inlineStr">
        <is>
          <t>#,##0</t>
        </is>
      </c>
      <c r="J288" t="b">
        <v>0</v>
      </c>
      <c r="K288" t="b">
        <v>0</v>
      </c>
      <c r="L288" t="n">
        <v>11</v>
      </c>
      <c r="M288" t="n">
        <v/>
      </c>
      <c r="N288" t="inlineStr">
        <is>
          <t>00000000</t>
        </is>
      </c>
      <c r="O288" t="inlineStr">
        <is>
          <t>center</t>
        </is>
      </c>
      <c r="P288" t="n">
        <v/>
      </c>
      <c r="Q288" t="b">
        <v>1</v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ATF fuel</t>
        </is>
      </c>
      <c r="B289" t="inlineStr">
        <is>
          <t>D25</t>
        </is>
      </c>
      <c r="C289" t="n">
        <v>25</v>
      </c>
      <c r="D289" t="n">
        <v>4</v>
      </c>
      <c r="E289" t="inlineStr">
        <is>
          <t>Input</t>
        </is>
      </c>
      <c r="F289" t="n">
        <v/>
      </c>
      <c r="G289" t="n">
        <v>38425.94</v>
      </c>
      <c r="H289" t="inlineStr"/>
      <c r="I289" t="inlineStr">
        <is>
          <t>#,##0</t>
        </is>
      </c>
      <c r="J289" t="b">
        <v>0</v>
      </c>
      <c r="K289" t="b">
        <v>0</v>
      </c>
      <c r="L289" t="n">
        <v>11</v>
      </c>
      <c r="M289" t="n">
        <v/>
      </c>
      <c r="N289" t="inlineStr">
        <is>
          <t>00000000</t>
        </is>
      </c>
      <c r="O289" t="inlineStr">
        <is>
          <t>center</t>
        </is>
      </c>
      <c r="P289" t="n">
        <v/>
      </c>
      <c r="Q289" t="b">
        <v>1</v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ATF fuel</t>
        </is>
      </c>
      <c r="B290" t="inlineStr">
        <is>
          <t>E25</t>
        </is>
      </c>
      <c r="C290" t="n">
        <v>25</v>
      </c>
      <c r="D290" t="n">
        <v>5</v>
      </c>
      <c r="E290" t="inlineStr">
        <is>
          <t>Input</t>
        </is>
      </c>
      <c r="F290" t="n">
        <v/>
      </c>
      <c r="G290" t="n">
        <v>41991.65</v>
      </c>
      <c r="H290" t="inlineStr"/>
      <c r="I290" t="inlineStr">
        <is>
          <t>#,##0</t>
        </is>
      </c>
      <c r="J290" t="b">
        <v>0</v>
      </c>
      <c r="K290" t="b">
        <v>0</v>
      </c>
      <c r="L290" t="n">
        <v>11</v>
      </c>
      <c r="M290" t="n">
        <v/>
      </c>
      <c r="N290" t="inlineStr">
        <is>
          <t>00000000</t>
        </is>
      </c>
      <c r="O290" t="inlineStr">
        <is>
          <t>center</t>
        </is>
      </c>
      <c r="P290" t="n">
        <v/>
      </c>
      <c r="Q290" t="b">
        <v>1</v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ATF fuel</t>
        </is>
      </c>
      <c r="B291" t="inlineStr">
        <is>
          <t>F25</t>
        </is>
      </c>
      <c r="C291" t="n">
        <v>25</v>
      </c>
      <c r="D291" t="n">
        <v>6</v>
      </c>
      <c r="E291" t="inlineStr">
        <is>
          <t>Output</t>
        </is>
      </c>
      <c r="F291" t="inlineStr">
        <is>
          <t>'=AVERAGE(B25:E25)</t>
        </is>
      </c>
      <c r="G291" t="n">
        <v>41439.265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inlineStr">
        <is>
          <t>center</t>
        </is>
      </c>
      <c r="P291" t="n">
        <v/>
      </c>
      <c r="R291" t="b">
        <v>1</v>
      </c>
      <c r="S291" t="inlineStr">
        <is>
          <t>G000284</t>
        </is>
      </c>
      <c r="T291" t="inlineStr">
        <is>
          <t>Vertical</t>
        </is>
      </c>
      <c r="U291" t="n">
        <v>130</v>
      </c>
      <c r="V291" t="b">
        <v>1</v>
      </c>
      <c r="W291" t="inlineStr">
        <is>
          <t>ATF fuel!F2:F131</t>
        </is>
      </c>
      <c r="X291">
        <f>AVERAGE(R[0]C[-4]:R[0]C[-1])</f>
        <v/>
      </c>
    </row>
    <row r="292">
      <c r="A292" t="inlineStr">
        <is>
          <t>ATF fuel</t>
        </is>
      </c>
      <c r="B292" t="inlineStr">
        <is>
          <t>G25</t>
        </is>
      </c>
      <c r="C292" t="n">
        <v>25</v>
      </c>
      <c r="D292" t="n">
        <v>7</v>
      </c>
      <c r="E292" t="inlineStr">
        <is>
          <t>Calculation</t>
        </is>
      </c>
      <c r="F292" t="inlineStr">
        <is>
          <t>'=G24-1</t>
        </is>
      </c>
      <c r="G292" t="n">
        <v>108</v>
      </c>
      <c r="H292" t="inlineStr"/>
      <c r="I292" t="inlineStr">
        <is>
          <t>#,##0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G000286</t>
        </is>
      </c>
      <c r="T292" t="inlineStr">
        <is>
          <t>Vertical</t>
        </is>
      </c>
      <c r="U292" t="n">
        <v>129</v>
      </c>
      <c r="V292" t="b">
        <v>1</v>
      </c>
      <c r="W292" t="inlineStr">
        <is>
          <t>ATF fuel!G3:G131</t>
        </is>
      </c>
      <c r="X292">
        <f>R[-1]C[0]-1</f>
        <v/>
      </c>
    </row>
    <row r="293">
      <c r="A293" t="inlineStr">
        <is>
          <t>ATF fuel</t>
        </is>
      </c>
      <c r="B293" t="inlineStr">
        <is>
          <t>H25</t>
        </is>
      </c>
      <c r="C293" t="n">
        <v>25</v>
      </c>
      <c r="D293" t="n">
        <v>8</v>
      </c>
      <c r="E293" t="inlineStr">
        <is>
          <t>Output</t>
        </is>
      </c>
      <c r="F293" t="inlineStr">
        <is>
          <t>'=INDIRECT("A"&amp;G49)</t>
        </is>
      </c>
      <c r="G293" t="inlineStr">
        <is>
          <t>March 01, 2012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>
        <f>INDIRECT("A"&amp;R[24]C[-1])</f>
        <v/>
      </c>
    </row>
    <row r="294">
      <c r="A294" t="inlineStr">
        <is>
          <t>ATF fuel</t>
        </is>
      </c>
      <c r="B294" t="inlineStr">
        <is>
          <t>I25</t>
        </is>
      </c>
      <c r="C294" t="n">
        <v>25</v>
      </c>
      <c r="D294" t="n">
        <v>9</v>
      </c>
      <c r="E294" t="inlineStr">
        <is>
          <t>Output</t>
        </is>
      </c>
      <c r="F294" t="inlineStr">
        <is>
          <t>'=INDIRECT("F"&amp;G49)</t>
        </is>
      </c>
      <c r="G294" t="n">
        <v>68179.9025</v>
      </c>
      <c r="H294" t="inlineStr"/>
      <c r="I294" t="inlineStr">
        <is>
          <t xml:space="preserve">_ * #,##0_ ;_ * \-#,##0_ ;_ * "-"??_ ;_ @_ 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>
        <f>INDIRECT("F"&amp;R[24]C[-2])</f>
        <v/>
      </c>
    </row>
    <row r="295">
      <c r="A295" t="inlineStr">
        <is>
          <t>ATF fuel</t>
        </is>
      </c>
      <c r="B295" t="inlineStr">
        <is>
          <t>J25</t>
        </is>
      </c>
      <c r="C295" t="n">
        <v>25</v>
      </c>
      <c r="D295" t="n">
        <v>10</v>
      </c>
      <c r="E295" t="inlineStr">
        <is>
          <t>Input</t>
        </is>
      </c>
      <c r="F295" t="n">
        <v/>
      </c>
      <c r="G295" t="n">
        <v>125.37</v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ATF fuel</t>
        </is>
      </c>
      <c r="B296" t="inlineStr">
        <is>
          <t>K25</t>
        </is>
      </c>
      <c r="C296" t="n">
        <v>25</v>
      </c>
      <c r="D296" t="n">
        <v>11</v>
      </c>
      <c r="E296" t="inlineStr">
        <is>
          <t>Input</t>
        </is>
      </c>
      <c r="F296" t="n">
        <v/>
      </c>
      <c r="G296" t="n">
        <v>108.76</v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ATF fuel</t>
        </is>
      </c>
      <c r="B297" t="inlineStr">
        <is>
          <t>A26</t>
        </is>
      </c>
      <c r="C297" t="n">
        <v>26</v>
      </c>
      <c r="D297" t="n">
        <v>1</v>
      </c>
      <c r="E297" t="inlineStr">
        <is>
          <t>Input</t>
        </is>
      </c>
      <c r="F297" t="n">
        <v/>
      </c>
      <c r="G297" t="inlineStr">
        <is>
          <t>February 01,2016</t>
        </is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n">
        <v/>
      </c>
      <c r="N297" t="inlineStr">
        <is>
          <t>00000000</t>
        </is>
      </c>
      <c r="O297" t="n">
        <v/>
      </c>
      <c r="P297" t="n">
        <v/>
      </c>
      <c r="Q297" t="b">
        <v>1</v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ATF fuel</t>
        </is>
      </c>
      <c r="B298" t="inlineStr">
        <is>
          <t>B26</t>
        </is>
      </c>
      <c r="C298" t="n">
        <v>26</v>
      </c>
      <c r="D298" t="n">
        <v>2</v>
      </c>
      <c r="E298" t="inlineStr">
        <is>
          <t>Input</t>
        </is>
      </c>
      <c r="F298" t="n">
        <v/>
      </c>
      <c r="G298" t="n">
        <v>35126.82</v>
      </c>
      <c r="H298" t="inlineStr"/>
      <c r="I298" t="inlineStr">
        <is>
          <t>#,##0</t>
        </is>
      </c>
      <c r="J298" t="b">
        <v>0</v>
      </c>
      <c r="K298" t="b">
        <v>0</v>
      </c>
      <c r="L298" t="n">
        <v>11</v>
      </c>
      <c r="M298" t="n">
        <v/>
      </c>
      <c r="N298" t="inlineStr">
        <is>
          <t>00000000</t>
        </is>
      </c>
      <c r="O298" t="inlineStr">
        <is>
          <t>center</t>
        </is>
      </c>
      <c r="P298" t="n">
        <v/>
      </c>
      <c r="Q298" t="b">
        <v>1</v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ATF fuel</t>
        </is>
      </c>
      <c r="B299" t="inlineStr">
        <is>
          <t>C26</t>
        </is>
      </c>
      <c r="C299" t="n">
        <v>26</v>
      </c>
      <c r="D299" t="n">
        <v>3</v>
      </c>
      <c r="E299" t="inlineStr">
        <is>
          <t>Input</t>
        </is>
      </c>
      <c r="F299" t="n">
        <v/>
      </c>
      <c r="G299" t="n">
        <v>41482.09</v>
      </c>
      <c r="H299" t="inlineStr"/>
      <c r="I299" t="inlineStr">
        <is>
          <t>#,##0</t>
        </is>
      </c>
      <c r="J299" t="b">
        <v>0</v>
      </c>
      <c r="K299" t="b">
        <v>0</v>
      </c>
      <c r="L299" t="n">
        <v>11</v>
      </c>
      <c r="M299" t="n">
        <v/>
      </c>
      <c r="N299" t="inlineStr">
        <is>
          <t>00000000</t>
        </is>
      </c>
      <c r="O299" t="inlineStr">
        <is>
          <t>center</t>
        </is>
      </c>
      <c r="P299" t="n">
        <v/>
      </c>
      <c r="Q299" t="b">
        <v>1</v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ATF fuel</t>
        </is>
      </c>
      <c r="B300" t="inlineStr">
        <is>
          <t>D26</t>
        </is>
      </c>
      <c r="C300" t="n">
        <v>26</v>
      </c>
      <c r="D300" t="n">
        <v>4</v>
      </c>
      <c r="E300" t="inlineStr">
        <is>
          <t>Input</t>
        </is>
      </c>
      <c r="F300" t="n">
        <v/>
      </c>
      <c r="G300" t="n">
        <v>34284.02</v>
      </c>
      <c r="H300" t="inlineStr"/>
      <c r="I300" t="inlineStr">
        <is>
          <t>#,##0</t>
        </is>
      </c>
      <c r="J300" t="b">
        <v>0</v>
      </c>
      <c r="K300" t="b">
        <v>0</v>
      </c>
      <c r="L300" t="n">
        <v>11</v>
      </c>
      <c r="M300" t="n">
        <v/>
      </c>
      <c r="N300" t="inlineStr">
        <is>
          <t>00000000</t>
        </is>
      </c>
      <c r="O300" t="inlineStr">
        <is>
          <t>center</t>
        </is>
      </c>
      <c r="P300" t="n">
        <v/>
      </c>
      <c r="Q300" t="b">
        <v>1</v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ATF fuel</t>
        </is>
      </c>
      <c r="B301" t="inlineStr">
        <is>
          <t>E26</t>
        </is>
      </c>
      <c r="C301" t="n">
        <v>26</v>
      </c>
      <c r="D301" t="n">
        <v>5</v>
      </c>
      <c r="E301" t="inlineStr">
        <is>
          <t>Input</t>
        </is>
      </c>
      <c r="F301" t="n">
        <v/>
      </c>
      <c r="G301" t="n">
        <v>37594.24</v>
      </c>
      <c r="H301" t="inlineStr"/>
      <c r="I301" t="inlineStr">
        <is>
          <t>#,##0</t>
        </is>
      </c>
      <c r="J301" t="b">
        <v>0</v>
      </c>
      <c r="K301" t="b">
        <v>0</v>
      </c>
      <c r="L301" t="n">
        <v>11</v>
      </c>
      <c r="M301" t="n">
        <v/>
      </c>
      <c r="N301" t="inlineStr">
        <is>
          <t>00000000</t>
        </is>
      </c>
      <c r="O301" t="inlineStr">
        <is>
          <t>center</t>
        </is>
      </c>
      <c r="P301" t="n">
        <v/>
      </c>
      <c r="Q301" t="b">
        <v>1</v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ATF fuel</t>
        </is>
      </c>
      <c r="B302" t="inlineStr">
        <is>
          <t>F26</t>
        </is>
      </c>
      <c r="C302" t="n">
        <v>26</v>
      </c>
      <c r="D302" t="n">
        <v>6</v>
      </c>
      <c r="E302" t="inlineStr">
        <is>
          <t>Output</t>
        </is>
      </c>
      <c r="F302" t="inlineStr">
        <is>
          <t>'=AVERAGE(B26:E26)</t>
        </is>
      </c>
      <c r="G302" t="n">
        <v>37121.7925</v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00000000</t>
        </is>
      </c>
      <c r="O302" t="inlineStr">
        <is>
          <t>center</t>
        </is>
      </c>
      <c r="P302" t="n">
        <v/>
      </c>
      <c r="R302" t="b">
        <v>1</v>
      </c>
      <c r="S302" t="inlineStr">
        <is>
          <t>G000284</t>
        </is>
      </c>
      <c r="T302" t="inlineStr">
        <is>
          <t>Vertical</t>
        </is>
      </c>
      <c r="U302" t="n">
        <v>130</v>
      </c>
      <c r="V302" t="b">
        <v>1</v>
      </c>
      <c r="W302" t="inlineStr">
        <is>
          <t>ATF fuel!F2:F131</t>
        </is>
      </c>
      <c r="X302">
        <f>AVERAGE(R[0]C[-4]:R[0]C[-1])</f>
        <v/>
      </c>
    </row>
    <row r="303">
      <c r="A303" t="inlineStr">
        <is>
          <t>ATF fuel</t>
        </is>
      </c>
      <c r="B303" t="inlineStr">
        <is>
          <t>G26</t>
        </is>
      </c>
      <c r="C303" t="n">
        <v>26</v>
      </c>
      <c r="D303" t="n">
        <v>7</v>
      </c>
      <c r="E303" t="inlineStr">
        <is>
          <t>Calculation</t>
        </is>
      </c>
      <c r="F303" t="inlineStr">
        <is>
          <t>'=G25-1</t>
        </is>
      </c>
      <c r="G303" t="n">
        <v>107</v>
      </c>
      <c r="H303" t="inlineStr"/>
      <c r="I303" t="inlineStr">
        <is>
          <t>#,##0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G000286</t>
        </is>
      </c>
      <c r="T303" t="inlineStr">
        <is>
          <t>Vertical</t>
        </is>
      </c>
      <c r="U303" t="n">
        <v>129</v>
      </c>
      <c r="V303" t="b">
        <v>1</v>
      </c>
      <c r="W303" t="inlineStr">
        <is>
          <t>ATF fuel!G3:G131</t>
        </is>
      </c>
      <c r="X303">
        <f>R[-1]C[0]-1</f>
        <v/>
      </c>
    </row>
    <row r="304">
      <c r="A304" t="inlineStr">
        <is>
          <t>ATF fuel</t>
        </is>
      </c>
      <c r="B304" t="inlineStr">
        <is>
          <t>H26</t>
        </is>
      </c>
      <c r="C304" t="n">
        <v>26</v>
      </c>
      <c r="D304" t="n">
        <v>8</v>
      </c>
      <c r="E304" t="inlineStr">
        <is>
          <t>Output</t>
        </is>
      </c>
      <c r="F304" t="inlineStr">
        <is>
          <t>'=INDIRECT("A"&amp;G52)</t>
        </is>
      </c>
      <c r="G304" t="inlineStr">
        <is>
          <t>April 01, 2012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>
        <f>INDIRECT("A"&amp;R[26]C[-1])</f>
        <v/>
      </c>
    </row>
    <row r="305">
      <c r="A305" t="inlineStr">
        <is>
          <t>ATF fuel</t>
        </is>
      </c>
      <c r="B305" t="inlineStr">
        <is>
          <t>I26</t>
        </is>
      </c>
      <c r="C305" t="n">
        <v>26</v>
      </c>
      <c r="D305" t="n">
        <v>9</v>
      </c>
      <c r="E305" t="inlineStr">
        <is>
          <t>Output</t>
        </is>
      </c>
      <c r="F305" t="inlineStr">
        <is>
          <t>'=INDIRECT("F"&amp;G52)</t>
        </is>
      </c>
      <c r="G305" t="n">
        <v>71514.10250000001</v>
      </c>
      <c r="H305" t="inlineStr"/>
      <c r="I305" t="inlineStr">
        <is>
          <t xml:space="preserve">_ * #,##0_ ;_ * \-#,##0_ ;_ * "-"??_ ;_ @_ 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>
        <f>INDIRECT("F"&amp;R[26]C[-2])</f>
        <v/>
      </c>
    </row>
    <row r="306">
      <c r="A306" t="inlineStr">
        <is>
          <t>ATF fuel</t>
        </is>
      </c>
      <c r="B306" t="inlineStr">
        <is>
          <t>J26</t>
        </is>
      </c>
      <c r="C306" t="n">
        <v>26</v>
      </c>
      <c r="D306" t="n">
        <v>10</v>
      </c>
      <c r="E306" t="inlineStr">
        <is>
          <t>Input</t>
        </is>
      </c>
      <c r="F306" t="n">
        <v/>
      </c>
      <c r="G306" t="n">
        <v>121.89</v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ATF fuel</t>
        </is>
      </c>
      <c r="B307" t="inlineStr">
        <is>
          <t>K26</t>
        </is>
      </c>
      <c r="C307" t="n">
        <v>26</v>
      </c>
      <c r="D307" t="n">
        <v>11</v>
      </c>
      <c r="E307" t="inlineStr">
        <is>
          <t>Input</t>
        </is>
      </c>
      <c r="F307" t="n">
        <v/>
      </c>
      <c r="G307" t="n">
        <v>105.25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ATF fuel</t>
        </is>
      </c>
      <c r="B308" t="inlineStr">
        <is>
          <t>A27</t>
        </is>
      </c>
      <c r="C308" t="n">
        <v>27</v>
      </c>
      <c r="D308" t="n">
        <v>1</v>
      </c>
      <c r="E308" t="inlineStr">
        <is>
          <t>Input</t>
        </is>
      </c>
      <c r="F308" t="n">
        <v/>
      </c>
      <c r="G308" t="inlineStr">
        <is>
          <t>January 01, 2016</t>
        </is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11</v>
      </c>
      <c r="M308" t="n">
        <v/>
      </c>
      <c r="N308" t="inlineStr">
        <is>
          <t>00000000</t>
        </is>
      </c>
      <c r="O308" t="n">
        <v/>
      </c>
      <c r="P308" t="n">
        <v/>
      </c>
      <c r="Q308" t="b">
        <v>1</v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ATF fuel</t>
        </is>
      </c>
      <c r="B309" t="inlineStr">
        <is>
          <t>B27</t>
        </is>
      </c>
      <c r="C309" t="n">
        <v>27</v>
      </c>
      <c r="D309" t="n">
        <v>2</v>
      </c>
      <c r="E309" t="inlineStr">
        <is>
          <t>Input</t>
        </is>
      </c>
      <c r="F309" t="n">
        <v/>
      </c>
      <c r="G309" t="n">
        <v>39892.32</v>
      </c>
      <c r="H309" t="inlineStr"/>
      <c r="I309" t="inlineStr">
        <is>
          <t>#,##0</t>
        </is>
      </c>
      <c r="J309" t="b">
        <v>0</v>
      </c>
      <c r="K309" t="b">
        <v>0</v>
      </c>
      <c r="L309" t="n">
        <v>11</v>
      </c>
      <c r="M309" t="n">
        <v/>
      </c>
      <c r="N309" t="inlineStr">
        <is>
          <t>00000000</t>
        </is>
      </c>
      <c r="O309" t="inlineStr">
        <is>
          <t>center</t>
        </is>
      </c>
      <c r="P309" t="n">
        <v/>
      </c>
      <c r="Q309" t="b">
        <v>1</v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ATF fuel</t>
        </is>
      </c>
      <c r="B310" t="inlineStr">
        <is>
          <t>C27</t>
        </is>
      </c>
      <c r="C310" t="n">
        <v>27</v>
      </c>
      <c r="D310" t="n">
        <v>3</v>
      </c>
      <c r="E310" t="inlineStr">
        <is>
          <t>Input</t>
        </is>
      </c>
      <c r="F310" t="n">
        <v/>
      </c>
      <c r="G310" t="n">
        <v>46368.94</v>
      </c>
      <c r="H310" t="inlineStr"/>
      <c r="I310" t="inlineStr">
        <is>
          <t>#,##0</t>
        </is>
      </c>
      <c r="J310" t="b">
        <v>0</v>
      </c>
      <c r="K310" t="b">
        <v>0</v>
      </c>
      <c r="L310" t="n">
        <v>11</v>
      </c>
      <c r="M310" t="n">
        <v/>
      </c>
      <c r="N310" t="inlineStr">
        <is>
          <t>00000000</t>
        </is>
      </c>
      <c r="O310" t="inlineStr">
        <is>
          <t>center</t>
        </is>
      </c>
      <c r="P310" t="n">
        <v/>
      </c>
      <c r="Q310" t="b">
        <v>1</v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ATF fuel</t>
        </is>
      </c>
      <c r="B311" t="inlineStr">
        <is>
          <t>D27</t>
        </is>
      </c>
      <c r="C311" t="n">
        <v>27</v>
      </c>
      <c r="D311" t="n">
        <v>4</v>
      </c>
      <c r="E311" t="inlineStr">
        <is>
          <t>Input</t>
        </is>
      </c>
      <c r="F311" t="n">
        <v/>
      </c>
      <c r="G311" t="n">
        <v>39009.02</v>
      </c>
      <c r="H311" t="inlineStr"/>
      <c r="I311" t="inlineStr">
        <is>
          <t>#,##0</t>
        </is>
      </c>
      <c r="J311" t="b">
        <v>0</v>
      </c>
      <c r="K311" t="b">
        <v>0</v>
      </c>
      <c r="L311" t="n">
        <v>11</v>
      </c>
      <c r="M311" t="n">
        <v/>
      </c>
      <c r="N311" t="inlineStr">
        <is>
          <t>00000000</t>
        </is>
      </c>
      <c r="O311" t="inlineStr">
        <is>
          <t>center</t>
        </is>
      </c>
      <c r="P311" t="n">
        <v/>
      </c>
      <c r="Q311" t="b">
        <v>1</v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ATF fuel</t>
        </is>
      </c>
      <c r="B312" t="inlineStr">
        <is>
          <t>E27</t>
        </is>
      </c>
      <c r="C312" t="n">
        <v>27</v>
      </c>
      <c r="D312" t="n">
        <v>5</v>
      </c>
      <c r="E312" t="inlineStr">
        <is>
          <t>Input</t>
        </is>
      </c>
      <c r="F312" t="n">
        <v/>
      </c>
      <c r="G312" t="n">
        <v>42418.64</v>
      </c>
      <c r="H312" t="inlineStr"/>
      <c r="I312" t="inlineStr">
        <is>
          <t>#,##0</t>
        </is>
      </c>
      <c r="J312" t="b">
        <v>0</v>
      </c>
      <c r="K312" t="b">
        <v>0</v>
      </c>
      <c r="L312" t="n">
        <v>11</v>
      </c>
      <c r="M312" t="n">
        <v/>
      </c>
      <c r="N312" t="inlineStr">
        <is>
          <t>00000000</t>
        </is>
      </c>
      <c r="O312" t="inlineStr">
        <is>
          <t>center</t>
        </is>
      </c>
      <c r="P312" t="n">
        <v/>
      </c>
      <c r="Q312" t="b">
        <v>1</v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ATF fuel</t>
        </is>
      </c>
      <c r="B313" t="inlineStr">
        <is>
          <t>F27</t>
        </is>
      </c>
      <c r="C313" t="n">
        <v>27</v>
      </c>
      <c r="D313" t="n">
        <v>6</v>
      </c>
      <c r="E313" t="inlineStr">
        <is>
          <t>Output</t>
        </is>
      </c>
      <c r="F313" t="inlineStr">
        <is>
          <t>'=AVERAGE(B27:E27)</t>
        </is>
      </c>
      <c r="G313" t="n">
        <v>41922.23</v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inlineStr">
        <is>
          <t>center</t>
        </is>
      </c>
      <c r="P313" t="n">
        <v/>
      </c>
      <c r="R313" t="b">
        <v>1</v>
      </c>
      <c r="S313" t="inlineStr">
        <is>
          <t>G000284</t>
        </is>
      </c>
      <c r="T313" t="inlineStr">
        <is>
          <t>Vertical</t>
        </is>
      </c>
      <c r="U313" t="n">
        <v>130</v>
      </c>
      <c r="V313" t="b">
        <v>1</v>
      </c>
      <c r="W313" t="inlineStr">
        <is>
          <t>ATF fuel!F2:F131</t>
        </is>
      </c>
      <c r="X313">
        <f>AVERAGE(R[0]C[-4]:R[0]C[-1])</f>
        <v/>
      </c>
    </row>
    <row r="314">
      <c r="A314" t="inlineStr">
        <is>
          <t>ATF fuel</t>
        </is>
      </c>
      <c r="B314" t="inlineStr">
        <is>
          <t>G27</t>
        </is>
      </c>
      <c r="C314" t="n">
        <v>27</v>
      </c>
      <c r="D314" t="n">
        <v>7</v>
      </c>
      <c r="E314" t="inlineStr">
        <is>
          <t>Calculation</t>
        </is>
      </c>
      <c r="F314" t="inlineStr">
        <is>
          <t>'=G26-1</t>
        </is>
      </c>
      <c r="G314" t="n">
        <v>106</v>
      </c>
      <c r="H314" t="inlineStr"/>
      <c r="I314" t="inlineStr">
        <is>
          <t>#,##0</t>
        </is>
      </c>
      <c r="J314" t="b">
        <v>0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00000000</t>
        </is>
      </c>
      <c r="O314" t="n">
        <v/>
      </c>
      <c r="P314" t="n">
        <v/>
      </c>
      <c r="R314" t="b">
        <v>1</v>
      </c>
      <c r="S314" t="inlineStr">
        <is>
          <t>G000286</t>
        </is>
      </c>
      <c r="T314" t="inlineStr">
        <is>
          <t>Vertical</t>
        </is>
      </c>
      <c r="U314" t="n">
        <v>129</v>
      </c>
      <c r="V314" t="b">
        <v>1</v>
      </c>
      <c r="W314" t="inlineStr">
        <is>
          <t>ATF fuel!G3:G131</t>
        </is>
      </c>
      <c r="X314">
        <f>R[-1]C[0]-1</f>
        <v/>
      </c>
    </row>
    <row r="315">
      <c r="A315" t="inlineStr">
        <is>
          <t>ATF fuel</t>
        </is>
      </c>
      <c r="B315" t="inlineStr">
        <is>
          <t>H27</t>
        </is>
      </c>
      <c r="C315" t="n">
        <v>27</v>
      </c>
      <c r="D315" t="n">
        <v>8</v>
      </c>
      <c r="E315" t="inlineStr">
        <is>
          <t>Output</t>
        </is>
      </c>
      <c r="F315" t="inlineStr">
        <is>
          <t>'=INDIRECT("A"&amp;G54)</t>
        </is>
      </c>
      <c r="G315" t="inlineStr">
        <is>
          <t>May 01, 2012</t>
        </is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>
        <f>INDIRECT("A"&amp;R[27]C[-1])</f>
        <v/>
      </c>
    </row>
    <row r="316">
      <c r="A316" t="inlineStr">
        <is>
          <t>ATF fuel</t>
        </is>
      </c>
      <c r="B316" t="inlineStr">
        <is>
          <t>I27</t>
        </is>
      </c>
      <c r="C316" t="n">
        <v>27</v>
      </c>
      <c r="D316" t="n">
        <v>9</v>
      </c>
      <c r="E316" t="inlineStr">
        <is>
          <t>Output</t>
        </is>
      </c>
      <c r="F316" t="inlineStr">
        <is>
          <t>'=INDIRECT("F"&amp;G54)</t>
        </is>
      </c>
      <c r="G316" t="n">
        <v>71028.2375</v>
      </c>
      <c r="H316" t="inlineStr"/>
      <c r="I316" t="inlineStr">
        <is>
          <t xml:space="preserve">_ * #,##0_ ;_ * \-#,##0_ ;_ * "-"??_ ;_ @_ 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>
        <f>INDIRECT("F"&amp;R[27]C[-2])</f>
        <v/>
      </c>
    </row>
    <row r="317">
      <c r="A317" t="inlineStr">
        <is>
          <t>ATF fuel</t>
        </is>
      </c>
      <c r="B317" t="inlineStr">
        <is>
          <t>J27</t>
        </is>
      </c>
      <c r="C317" t="n">
        <v>27</v>
      </c>
      <c r="D317" t="n">
        <v>10</v>
      </c>
      <c r="E317" t="inlineStr">
        <is>
          <t>Input</t>
        </is>
      </c>
      <c r="F317" t="n">
        <v/>
      </c>
      <c r="G317" t="n">
        <v>111.89</v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ATF fuel</t>
        </is>
      </c>
      <c r="B318" t="inlineStr">
        <is>
          <t>K27</t>
        </is>
      </c>
      <c r="C318" t="n">
        <v>27</v>
      </c>
      <c r="D318" t="n">
        <v>11</v>
      </c>
      <c r="E318" t="inlineStr">
        <is>
          <t>Input</t>
        </is>
      </c>
      <c r="F318" t="n">
        <v/>
      </c>
      <c r="G318" t="n">
        <v>106.17</v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</row>
    <row r="319">
      <c r="A319" t="inlineStr">
        <is>
          <t>ATF fuel</t>
        </is>
      </c>
      <c r="B319" t="inlineStr">
        <is>
          <t>A28</t>
        </is>
      </c>
      <c r="C319" t="n">
        <v>28</v>
      </c>
      <c r="D319" t="n">
        <v>1</v>
      </c>
      <c r="E319" t="inlineStr">
        <is>
          <t>Input</t>
        </is>
      </c>
      <c r="F319" t="n">
        <v/>
      </c>
      <c r="G319" t="inlineStr">
        <is>
          <t>December 01, 2015</t>
        </is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n">
        <v/>
      </c>
      <c r="N319" t="inlineStr">
        <is>
          <t>00000000</t>
        </is>
      </c>
      <c r="O319" t="n">
        <v/>
      </c>
      <c r="P319" t="n">
        <v/>
      </c>
      <c r="Q319" t="b">
        <v>1</v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ATF fuel</t>
        </is>
      </c>
      <c r="B320" t="inlineStr">
        <is>
          <t>B28</t>
        </is>
      </c>
      <c r="C320" t="n">
        <v>28</v>
      </c>
      <c r="D320" t="n">
        <v>2</v>
      </c>
      <c r="E320" t="inlineStr">
        <is>
          <t>Input</t>
        </is>
      </c>
      <c r="F320" t="n">
        <v/>
      </c>
      <c r="G320" t="n">
        <v>44320.32</v>
      </c>
      <c r="H320" t="inlineStr"/>
      <c r="I320" t="inlineStr">
        <is>
          <t>#,##0</t>
        </is>
      </c>
      <c r="J320" t="b">
        <v>0</v>
      </c>
      <c r="K320" t="b">
        <v>0</v>
      </c>
      <c r="L320" t="n">
        <v>11</v>
      </c>
      <c r="M320" t="n">
        <v/>
      </c>
      <c r="N320" t="inlineStr">
        <is>
          <t>00000000</t>
        </is>
      </c>
      <c r="O320" t="inlineStr">
        <is>
          <t>center</t>
        </is>
      </c>
      <c r="P320" t="n">
        <v/>
      </c>
      <c r="Q320" t="b">
        <v>1</v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ATF fuel</t>
        </is>
      </c>
      <c r="B321" t="inlineStr">
        <is>
          <t>C28</t>
        </is>
      </c>
      <c r="C321" t="n">
        <v>28</v>
      </c>
      <c r="D321" t="n">
        <v>3</v>
      </c>
      <c r="E321" t="inlineStr">
        <is>
          <t>Input</t>
        </is>
      </c>
      <c r="F321" t="n">
        <v/>
      </c>
      <c r="G321" t="n">
        <v>50837.44</v>
      </c>
      <c r="H321" t="inlineStr"/>
      <c r="I321" t="inlineStr">
        <is>
          <t>#,##0</t>
        </is>
      </c>
      <c r="J321" t="b">
        <v>0</v>
      </c>
      <c r="K321" t="b">
        <v>0</v>
      </c>
      <c r="L321" t="n">
        <v>11</v>
      </c>
      <c r="M321" t="n">
        <v/>
      </c>
      <c r="N321" t="inlineStr">
        <is>
          <t>00000000</t>
        </is>
      </c>
      <c r="O321" t="inlineStr">
        <is>
          <t>center</t>
        </is>
      </c>
      <c r="P321" t="n">
        <v/>
      </c>
      <c r="Q321" t="b">
        <v>1</v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ATF fuel</t>
        </is>
      </c>
      <c r="B322" t="inlineStr">
        <is>
          <t>D28</t>
        </is>
      </c>
      <c r="C322" t="n">
        <v>28</v>
      </c>
      <c r="D322" t="n">
        <v>4</v>
      </c>
      <c r="E322" t="inlineStr">
        <is>
          <t>Input</t>
        </is>
      </c>
      <c r="F322" t="n">
        <v/>
      </c>
      <c r="G322" t="n">
        <v>43450.52</v>
      </c>
      <c r="H322" t="inlineStr"/>
      <c r="I322" t="inlineStr">
        <is>
          <t>#,##0</t>
        </is>
      </c>
      <c r="J322" t="b">
        <v>0</v>
      </c>
      <c r="K322" t="b">
        <v>0</v>
      </c>
      <c r="L322" t="n">
        <v>11</v>
      </c>
      <c r="M322" t="n">
        <v/>
      </c>
      <c r="N322" t="inlineStr">
        <is>
          <t>00000000</t>
        </is>
      </c>
      <c r="O322" t="inlineStr">
        <is>
          <t>center</t>
        </is>
      </c>
      <c r="P322" t="n">
        <v/>
      </c>
      <c r="Q322" t="b">
        <v>1</v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ATF fuel</t>
        </is>
      </c>
      <c r="B323" t="inlineStr">
        <is>
          <t>E28</t>
        </is>
      </c>
      <c r="C323" t="n">
        <v>28</v>
      </c>
      <c r="D323" t="n">
        <v>5</v>
      </c>
      <c r="E323" t="inlineStr">
        <is>
          <t>Input</t>
        </is>
      </c>
      <c r="F323" t="n">
        <v/>
      </c>
      <c r="G323" t="n">
        <v>47016.2</v>
      </c>
      <c r="H323" t="inlineStr"/>
      <c r="I323" t="inlineStr">
        <is>
          <t>#,##0</t>
        </is>
      </c>
      <c r="J323" t="b">
        <v>0</v>
      </c>
      <c r="K323" t="b">
        <v>0</v>
      </c>
      <c r="L323" t="n">
        <v>11</v>
      </c>
      <c r="M323" t="n">
        <v/>
      </c>
      <c r="N323" t="inlineStr">
        <is>
          <t>00000000</t>
        </is>
      </c>
      <c r="O323" t="inlineStr">
        <is>
          <t>center</t>
        </is>
      </c>
      <c r="P323" t="n">
        <v/>
      </c>
      <c r="Q323" t="b">
        <v>1</v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ATF fuel</t>
        </is>
      </c>
      <c r="B324" t="inlineStr">
        <is>
          <t>F28</t>
        </is>
      </c>
      <c r="C324" t="n">
        <v>28</v>
      </c>
      <c r="D324" t="n">
        <v>6</v>
      </c>
      <c r="E324" t="inlineStr">
        <is>
          <t>Output</t>
        </is>
      </c>
      <c r="F324" t="inlineStr">
        <is>
          <t>'=AVERAGE(B28:E28)</t>
        </is>
      </c>
      <c r="G324" t="n">
        <v>46406.12</v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inlineStr">
        <is>
          <t>center</t>
        </is>
      </c>
      <c r="P324" t="n">
        <v/>
      </c>
      <c r="R324" t="b">
        <v>1</v>
      </c>
      <c r="S324" t="inlineStr">
        <is>
          <t>G000284</t>
        </is>
      </c>
      <c r="T324" t="inlineStr">
        <is>
          <t>Vertical</t>
        </is>
      </c>
      <c r="U324" t="n">
        <v>130</v>
      </c>
      <c r="V324" t="b">
        <v>1</v>
      </c>
      <c r="W324" t="inlineStr">
        <is>
          <t>ATF fuel!F2:F131</t>
        </is>
      </c>
      <c r="X324">
        <f>AVERAGE(R[0]C[-4]:R[0]C[-1])</f>
        <v/>
      </c>
    </row>
    <row r="325">
      <c r="A325" t="inlineStr">
        <is>
          <t>ATF fuel</t>
        </is>
      </c>
      <c r="B325" t="inlineStr">
        <is>
          <t>G28</t>
        </is>
      </c>
      <c r="C325" t="n">
        <v>28</v>
      </c>
      <c r="D325" t="n">
        <v>7</v>
      </c>
      <c r="E325" t="inlineStr">
        <is>
          <t>Calculation</t>
        </is>
      </c>
      <c r="F325" t="inlineStr">
        <is>
          <t>'=G27-1</t>
        </is>
      </c>
      <c r="G325" t="n">
        <v>105</v>
      </c>
      <c r="H325" t="inlineStr"/>
      <c r="I325" t="inlineStr">
        <is>
          <t>#,##0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G000286</t>
        </is>
      </c>
      <c r="T325" t="inlineStr">
        <is>
          <t>Vertical</t>
        </is>
      </c>
      <c r="U325" t="n">
        <v>129</v>
      </c>
      <c r="V325" t="b">
        <v>1</v>
      </c>
      <c r="W325" t="inlineStr">
        <is>
          <t>ATF fuel!G3:G131</t>
        </is>
      </c>
      <c r="X325">
        <f>R[-1]C[0]-1</f>
        <v/>
      </c>
    </row>
    <row r="326">
      <c r="A326" t="inlineStr">
        <is>
          <t>ATF fuel</t>
        </is>
      </c>
      <c r="B326" t="inlineStr">
        <is>
          <t>H28</t>
        </is>
      </c>
      <c r="C326" t="n">
        <v>28</v>
      </c>
      <c r="D326" t="n">
        <v>8</v>
      </c>
      <c r="E326" t="inlineStr">
        <is>
          <t>Output</t>
        </is>
      </c>
      <c r="F326" t="inlineStr">
        <is>
          <t>'=INDIRECT("A"&amp;G56)</t>
        </is>
      </c>
      <c r="G326" t="inlineStr">
        <is>
          <t>June 01, 2012</t>
        </is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>
        <f>INDIRECT("A"&amp;R[28]C[-1])</f>
        <v/>
      </c>
    </row>
    <row r="327">
      <c r="A327" t="inlineStr">
        <is>
          <t>ATF fuel</t>
        </is>
      </c>
      <c r="B327" t="inlineStr">
        <is>
          <t>I28</t>
        </is>
      </c>
      <c r="C327" t="n">
        <v>28</v>
      </c>
      <c r="D327" t="n">
        <v>9</v>
      </c>
      <c r="E327" t="inlineStr">
        <is>
          <t>Output</t>
        </is>
      </c>
      <c r="F327" t="inlineStr">
        <is>
          <t>'=INDIRECT("F"&amp;G56)</t>
        </is>
      </c>
      <c r="G327" t="n">
        <v>69315.495</v>
      </c>
      <c r="H327" t="inlineStr"/>
      <c r="I327" t="inlineStr">
        <is>
          <t xml:space="preserve">_ * #,##0_ ;_ * \-#,##0_ ;_ * "-"??_ ;_ @_ 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>
        <f>INDIRECT("F"&amp;R[28]C[-2])</f>
        <v/>
      </c>
    </row>
    <row r="328">
      <c r="A328" t="inlineStr">
        <is>
          <t>ATF fuel</t>
        </is>
      </c>
      <c r="B328" t="inlineStr">
        <is>
          <t>J28</t>
        </is>
      </c>
      <c r="C328" t="n">
        <v>28</v>
      </c>
      <c r="D328" t="n">
        <v>10</v>
      </c>
      <c r="E328" t="inlineStr">
        <is>
          <t>Input</t>
        </is>
      </c>
      <c r="F328" t="n">
        <v/>
      </c>
      <c r="G328" t="n">
        <v>98.59999999999999</v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ATF fuel</t>
        </is>
      </c>
      <c r="B329" t="inlineStr">
        <is>
          <t>K28</t>
        </is>
      </c>
      <c r="C329" t="n">
        <v>28</v>
      </c>
      <c r="D329" t="n">
        <v>11</v>
      </c>
      <c r="E329" t="inlineStr">
        <is>
          <t>Input</t>
        </is>
      </c>
      <c r="F329" t="n">
        <v/>
      </c>
      <c r="G329" t="n">
        <v>83.17</v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ATF fuel</t>
        </is>
      </c>
      <c r="B330" t="inlineStr">
        <is>
          <t>A29</t>
        </is>
      </c>
      <c r="C330" t="n">
        <v>29</v>
      </c>
      <c r="D330" t="n">
        <v>1</v>
      </c>
      <c r="E330" t="inlineStr">
        <is>
          <t>Input</t>
        </is>
      </c>
      <c r="F330" t="n">
        <v/>
      </c>
      <c r="G330" t="inlineStr">
        <is>
          <t>November 16, 2015</t>
        </is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11</v>
      </c>
      <c r="M330" t="n">
        <v/>
      </c>
      <c r="N330" t="inlineStr">
        <is>
          <t>00000000</t>
        </is>
      </c>
      <c r="O330" t="n">
        <v/>
      </c>
      <c r="P330" t="n">
        <v/>
      </c>
      <c r="Q330" t="b">
        <v>1</v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ATF fuel</t>
        </is>
      </c>
      <c r="B331" t="inlineStr">
        <is>
          <t>B29</t>
        </is>
      </c>
      <c r="C331" t="n">
        <v>29</v>
      </c>
      <c r="D331" t="n">
        <v>2</v>
      </c>
      <c r="E331" t="inlineStr">
        <is>
          <t>Input</t>
        </is>
      </c>
      <c r="F331" t="n">
        <v/>
      </c>
      <c r="G331" t="n">
        <v>44846.82</v>
      </c>
      <c r="H331" t="inlineStr"/>
      <c r="I331" t="inlineStr">
        <is>
          <t>#,##0</t>
        </is>
      </c>
      <c r="J331" t="b">
        <v>0</v>
      </c>
      <c r="K331" t="b">
        <v>0</v>
      </c>
      <c r="L331" t="n">
        <v>11</v>
      </c>
      <c r="M331" t="n">
        <v/>
      </c>
      <c r="N331" t="inlineStr">
        <is>
          <t>00000000</t>
        </is>
      </c>
      <c r="O331" t="inlineStr">
        <is>
          <t>center</t>
        </is>
      </c>
      <c r="P331" t="n">
        <v/>
      </c>
      <c r="Q331" t="b">
        <v>1</v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</row>
    <row r="332">
      <c r="A332" t="inlineStr">
        <is>
          <t>ATF fuel</t>
        </is>
      </c>
      <c r="B332" t="inlineStr">
        <is>
          <t>C29</t>
        </is>
      </c>
      <c r="C332" t="n">
        <v>29</v>
      </c>
      <c r="D332" t="n">
        <v>3</v>
      </c>
      <c r="E332" t="inlineStr">
        <is>
          <t>Input</t>
        </is>
      </c>
      <c r="F332" t="n">
        <v/>
      </c>
      <c r="G332" t="n">
        <v>51404.44</v>
      </c>
      <c r="H332" t="inlineStr"/>
      <c r="I332" t="inlineStr">
        <is>
          <t>#,##0</t>
        </is>
      </c>
      <c r="J332" t="b">
        <v>0</v>
      </c>
      <c r="K332" t="b">
        <v>0</v>
      </c>
      <c r="L332" t="n">
        <v>11</v>
      </c>
      <c r="M332" t="n">
        <v/>
      </c>
      <c r="N332" t="inlineStr">
        <is>
          <t>00000000</t>
        </is>
      </c>
      <c r="O332" t="inlineStr">
        <is>
          <t>center</t>
        </is>
      </c>
      <c r="P332" t="n">
        <v/>
      </c>
      <c r="Q332" t="b">
        <v>1</v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ATF fuel</t>
        </is>
      </c>
      <c r="B333" t="inlineStr">
        <is>
          <t>D29</t>
        </is>
      </c>
      <c r="C333" t="n">
        <v>29</v>
      </c>
      <c r="D333" t="n">
        <v>4</v>
      </c>
      <c r="E333" t="inlineStr">
        <is>
          <t>Input</t>
        </is>
      </c>
      <c r="F333" t="n">
        <v/>
      </c>
      <c r="G333" t="n">
        <v>43977.02</v>
      </c>
      <c r="H333" t="inlineStr"/>
      <c r="I333" t="inlineStr">
        <is>
          <t>#,##0</t>
        </is>
      </c>
      <c r="J333" t="b">
        <v>0</v>
      </c>
      <c r="K333" t="b">
        <v>0</v>
      </c>
      <c r="L333" t="n">
        <v>11</v>
      </c>
      <c r="M333" t="n">
        <v/>
      </c>
      <c r="N333" t="inlineStr">
        <is>
          <t>00000000</t>
        </is>
      </c>
      <c r="O333" t="inlineStr">
        <is>
          <t>center</t>
        </is>
      </c>
      <c r="P333" t="n">
        <v/>
      </c>
      <c r="Q333" t="b">
        <v>1</v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ATF fuel</t>
        </is>
      </c>
      <c r="B334" t="inlineStr">
        <is>
          <t>E29</t>
        </is>
      </c>
      <c r="C334" t="n">
        <v>29</v>
      </c>
      <c r="D334" t="n">
        <v>5</v>
      </c>
      <c r="E334" t="inlineStr">
        <is>
          <t>Input</t>
        </is>
      </c>
      <c r="F334" t="n">
        <v/>
      </c>
      <c r="G334" t="n">
        <v>47587.41</v>
      </c>
      <c r="H334" t="inlineStr"/>
      <c r="I334" t="inlineStr">
        <is>
          <t>#,##0</t>
        </is>
      </c>
      <c r="J334" t="b">
        <v>0</v>
      </c>
      <c r="K334" t="b">
        <v>0</v>
      </c>
      <c r="L334" t="n">
        <v>11</v>
      </c>
      <c r="M334" t="n">
        <v/>
      </c>
      <c r="N334" t="inlineStr">
        <is>
          <t>00000000</t>
        </is>
      </c>
      <c r="O334" t="inlineStr">
        <is>
          <t>center</t>
        </is>
      </c>
      <c r="P334" t="n">
        <v/>
      </c>
      <c r="Q334" t="b">
        <v>1</v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ATF fuel</t>
        </is>
      </c>
      <c r="B335" t="inlineStr">
        <is>
          <t>F29</t>
        </is>
      </c>
      <c r="C335" t="n">
        <v>29</v>
      </c>
      <c r="D335" t="n">
        <v>6</v>
      </c>
      <c r="E335" t="inlineStr">
        <is>
          <t>Output</t>
        </is>
      </c>
      <c r="F335" t="inlineStr">
        <is>
          <t>'=AVERAGE(B29:E29)</t>
        </is>
      </c>
      <c r="G335" t="n">
        <v>46953.9225</v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inlineStr">
        <is>
          <t>center</t>
        </is>
      </c>
      <c r="P335" t="n">
        <v/>
      </c>
      <c r="R335" t="b">
        <v>1</v>
      </c>
      <c r="S335" t="inlineStr">
        <is>
          <t>G000284</t>
        </is>
      </c>
      <c r="T335" t="inlineStr">
        <is>
          <t>Vertical</t>
        </is>
      </c>
      <c r="U335" t="n">
        <v>130</v>
      </c>
      <c r="V335" t="b">
        <v>1</v>
      </c>
      <c r="W335" t="inlineStr">
        <is>
          <t>ATF fuel!F2:F131</t>
        </is>
      </c>
      <c r="X335">
        <f>AVERAGE(R[0]C[-4]:R[0]C[-1])</f>
        <v/>
      </c>
    </row>
    <row r="336">
      <c r="A336" t="inlineStr">
        <is>
          <t>ATF fuel</t>
        </is>
      </c>
      <c r="B336" t="inlineStr">
        <is>
          <t>G29</t>
        </is>
      </c>
      <c r="C336" t="n">
        <v>29</v>
      </c>
      <c r="D336" t="n">
        <v>7</v>
      </c>
      <c r="E336" t="inlineStr">
        <is>
          <t>Calculation</t>
        </is>
      </c>
      <c r="F336" t="inlineStr">
        <is>
          <t>'=G28-1</t>
        </is>
      </c>
      <c r="G336" t="n">
        <v>104</v>
      </c>
      <c r="H336" t="inlineStr"/>
      <c r="I336" t="inlineStr">
        <is>
          <t>#,##0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inlineStr">
        <is>
          <t>G000286</t>
        </is>
      </c>
      <c r="T336" t="inlineStr">
        <is>
          <t>Vertical</t>
        </is>
      </c>
      <c r="U336" t="n">
        <v>129</v>
      </c>
      <c r="V336" t="b">
        <v>1</v>
      </c>
      <c r="W336" t="inlineStr">
        <is>
          <t>ATF fuel!G3:G131</t>
        </is>
      </c>
      <c r="X336">
        <f>R[-1]C[0]-1</f>
        <v/>
      </c>
    </row>
    <row r="337">
      <c r="A337" t="inlineStr">
        <is>
          <t>ATF fuel</t>
        </is>
      </c>
      <c r="B337" t="inlineStr">
        <is>
          <t>H29</t>
        </is>
      </c>
      <c r="C337" t="n">
        <v>29</v>
      </c>
      <c r="D337" t="n">
        <v>8</v>
      </c>
      <c r="E337" t="inlineStr">
        <is>
          <t>Output</t>
        </is>
      </c>
      <c r="F337" t="inlineStr">
        <is>
          <t>'=INDIRECT("A"&amp;G58)</t>
        </is>
      </c>
      <c r="G337" t="inlineStr">
        <is>
          <t>July 01, 2012</t>
        </is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>
        <f>INDIRECT("A"&amp;R[29]C[-1])</f>
        <v/>
      </c>
    </row>
    <row r="338">
      <c r="A338" t="inlineStr">
        <is>
          <t>ATF fuel</t>
        </is>
      </c>
      <c r="B338" t="inlineStr">
        <is>
          <t>I29</t>
        </is>
      </c>
      <c r="C338" t="n">
        <v>29</v>
      </c>
      <c r="D338" t="n">
        <v>9</v>
      </c>
      <c r="E338" t="inlineStr">
        <is>
          <t>Output</t>
        </is>
      </c>
      <c r="F338" t="inlineStr">
        <is>
          <t>'=INDIRECT("F"&amp;G58)</t>
        </is>
      </c>
      <c r="G338" t="n">
        <v>64652</v>
      </c>
      <c r="H338" t="inlineStr"/>
      <c r="I338" t="inlineStr">
        <is>
          <t xml:space="preserve">_ * #,##0_ ;_ * \-#,##0_ ;_ * "-"??_ ;_ @_ </t>
        </is>
      </c>
      <c r="J338" t="b">
        <v>0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>
        <f>INDIRECT("F"&amp;R[29]C[-2])</f>
        <v/>
      </c>
    </row>
    <row r="339">
      <c r="A339" t="inlineStr">
        <is>
          <t>ATF fuel</t>
        </is>
      </c>
      <c r="B339" t="inlineStr">
        <is>
          <t>J29</t>
        </is>
      </c>
      <c r="C339" t="n">
        <v>29</v>
      </c>
      <c r="D339" t="n">
        <v>10</v>
      </c>
      <c r="E339" t="inlineStr">
        <is>
          <t>Input</t>
        </is>
      </c>
      <c r="F339" t="n">
        <v/>
      </c>
      <c r="G339" t="n">
        <v>99.23</v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ATF fuel</t>
        </is>
      </c>
      <c r="B340" t="inlineStr">
        <is>
          <t>K29</t>
        </is>
      </c>
      <c r="C340" t="n">
        <v>29</v>
      </c>
      <c r="D340" t="n">
        <v>11</v>
      </c>
      <c r="E340" t="inlineStr">
        <is>
          <t>Input</t>
        </is>
      </c>
      <c r="F340" t="n">
        <v/>
      </c>
      <c r="G340" t="n">
        <v>83.72</v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ATF fuel</t>
        </is>
      </c>
      <c r="B341" t="inlineStr">
        <is>
          <t>A30</t>
        </is>
      </c>
      <c r="C341" t="n">
        <v>30</v>
      </c>
      <c r="D341" t="n">
        <v>1</v>
      </c>
      <c r="E341" t="inlineStr">
        <is>
          <t>Input</t>
        </is>
      </c>
      <c r="F341" t="n">
        <v/>
      </c>
      <c r="G341" t="inlineStr">
        <is>
          <t>November 01, 2015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n">
        <v/>
      </c>
      <c r="N341" t="inlineStr">
        <is>
          <t>00000000</t>
        </is>
      </c>
      <c r="O341" t="n">
        <v/>
      </c>
      <c r="P341" t="n">
        <v/>
      </c>
      <c r="Q341" t="b">
        <v>1</v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ATF fuel</t>
        </is>
      </c>
      <c r="B342" t="inlineStr">
        <is>
          <t>B30</t>
        </is>
      </c>
      <c r="C342" t="n">
        <v>30</v>
      </c>
      <c r="D342" t="n">
        <v>2</v>
      </c>
      <c r="E342" t="inlineStr">
        <is>
          <t>Input</t>
        </is>
      </c>
      <c r="F342" t="n">
        <v/>
      </c>
      <c r="G342" t="n">
        <v>43041.61</v>
      </c>
      <c r="H342" t="inlineStr"/>
      <c r="I342" t="inlineStr">
        <is>
          <t>#,##0</t>
        </is>
      </c>
      <c r="J342" t="b">
        <v>0</v>
      </c>
      <c r="K342" t="b">
        <v>0</v>
      </c>
      <c r="L342" t="n">
        <v>11</v>
      </c>
      <c r="M342" t="n">
        <v/>
      </c>
      <c r="N342" t="inlineStr">
        <is>
          <t>00000000</t>
        </is>
      </c>
      <c r="O342" t="inlineStr">
        <is>
          <t>center</t>
        </is>
      </c>
      <c r="P342" t="n">
        <v/>
      </c>
      <c r="Q342" t="b">
        <v>1</v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ATF fuel</t>
        </is>
      </c>
      <c r="B343" t="inlineStr">
        <is>
          <t>C30</t>
        </is>
      </c>
      <c r="C343" t="n">
        <v>30</v>
      </c>
      <c r="D343" t="n">
        <v>3</v>
      </c>
      <c r="E343" t="inlineStr">
        <is>
          <t>Input</t>
        </is>
      </c>
      <c r="F343" t="n">
        <v/>
      </c>
      <c r="G343" t="n">
        <v>51392.23</v>
      </c>
      <c r="H343" t="inlineStr"/>
      <c r="I343" t="inlineStr">
        <is>
          <t>#,##0</t>
        </is>
      </c>
      <c r="J343" t="b">
        <v>0</v>
      </c>
      <c r="K343" t="b">
        <v>0</v>
      </c>
      <c r="L343" t="n">
        <v>11</v>
      </c>
      <c r="M343" t="n">
        <v/>
      </c>
      <c r="N343" t="inlineStr">
        <is>
          <t>00000000</t>
        </is>
      </c>
      <c r="O343" t="inlineStr">
        <is>
          <t>center</t>
        </is>
      </c>
      <c r="P343" t="n">
        <v/>
      </c>
      <c r="Q343" t="b">
        <v>1</v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ATF fuel</t>
        </is>
      </c>
      <c r="B344" t="inlineStr">
        <is>
          <t>D30</t>
        </is>
      </c>
      <c r="C344" t="n">
        <v>30</v>
      </c>
      <c r="D344" t="n">
        <v>4</v>
      </c>
      <c r="E344" t="inlineStr">
        <is>
          <t>Input</t>
        </is>
      </c>
      <c r="F344" t="n">
        <v/>
      </c>
      <c r="G344" t="n">
        <v>43966.25</v>
      </c>
      <c r="H344" t="inlineStr"/>
      <c r="I344" t="inlineStr">
        <is>
          <t>#,##0</t>
        </is>
      </c>
      <c r="J344" t="b">
        <v>0</v>
      </c>
      <c r="K344" t="b">
        <v>0</v>
      </c>
      <c r="L344" t="n">
        <v>11</v>
      </c>
      <c r="M344" t="n">
        <v/>
      </c>
      <c r="N344" t="inlineStr">
        <is>
          <t>00000000</t>
        </is>
      </c>
      <c r="O344" t="inlineStr">
        <is>
          <t>center</t>
        </is>
      </c>
      <c r="P344" t="n">
        <v/>
      </c>
      <c r="Q344" t="b">
        <v>1</v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ATF fuel</t>
        </is>
      </c>
      <c r="B345" t="inlineStr">
        <is>
          <t>E30</t>
        </is>
      </c>
      <c r="C345" t="n">
        <v>30</v>
      </c>
      <c r="D345" t="n">
        <v>5</v>
      </c>
      <c r="E345" t="inlineStr">
        <is>
          <t>Input</t>
        </is>
      </c>
      <c r="F345" t="n">
        <v/>
      </c>
      <c r="G345" t="n">
        <v>47574.35</v>
      </c>
      <c r="H345" t="inlineStr"/>
      <c r="I345" t="inlineStr">
        <is>
          <t>#,##0</t>
        </is>
      </c>
      <c r="J345" t="b">
        <v>0</v>
      </c>
      <c r="K345" t="b">
        <v>0</v>
      </c>
      <c r="L345" t="n">
        <v>11</v>
      </c>
      <c r="M345" t="n">
        <v/>
      </c>
      <c r="N345" t="inlineStr">
        <is>
          <t>00000000</t>
        </is>
      </c>
      <c r="O345" t="inlineStr">
        <is>
          <t>center</t>
        </is>
      </c>
      <c r="P345" t="n">
        <v/>
      </c>
      <c r="Q345" t="b">
        <v>1</v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ATF fuel</t>
        </is>
      </c>
      <c r="B346" t="inlineStr">
        <is>
          <t>F30</t>
        </is>
      </c>
      <c r="C346" t="n">
        <v>30</v>
      </c>
      <c r="D346" t="n">
        <v>6</v>
      </c>
      <c r="E346" t="inlineStr">
        <is>
          <t>Output</t>
        </is>
      </c>
      <c r="F346" t="inlineStr">
        <is>
          <t>'=AVERAGE(B30:E30)</t>
        </is>
      </c>
      <c r="G346" t="n">
        <v>46493.61</v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inlineStr">
        <is>
          <t>center</t>
        </is>
      </c>
      <c r="P346" t="n">
        <v/>
      </c>
      <c r="R346" t="b">
        <v>1</v>
      </c>
      <c r="S346" t="inlineStr">
        <is>
          <t>G000284</t>
        </is>
      </c>
      <c r="T346" t="inlineStr">
        <is>
          <t>Vertical</t>
        </is>
      </c>
      <c r="U346" t="n">
        <v>130</v>
      </c>
      <c r="V346" t="b">
        <v>1</v>
      </c>
      <c r="W346" t="inlineStr">
        <is>
          <t>ATF fuel!F2:F131</t>
        </is>
      </c>
      <c r="X346">
        <f>AVERAGE(R[0]C[-4]:R[0]C[-1])</f>
        <v/>
      </c>
    </row>
    <row r="347">
      <c r="A347" t="inlineStr">
        <is>
          <t>ATF fuel</t>
        </is>
      </c>
      <c r="B347" t="inlineStr">
        <is>
          <t>G30</t>
        </is>
      </c>
      <c r="C347" t="n">
        <v>30</v>
      </c>
      <c r="D347" t="n">
        <v>7</v>
      </c>
      <c r="E347" t="inlineStr">
        <is>
          <t>Calculation</t>
        </is>
      </c>
      <c r="F347" t="inlineStr">
        <is>
          <t>'=G29-1</t>
        </is>
      </c>
      <c r="G347" t="n">
        <v>103</v>
      </c>
      <c r="H347" t="inlineStr"/>
      <c r="I347" t="inlineStr">
        <is>
          <t>#,##0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G000286</t>
        </is>
      </c>
      <c r="T347" t="inlineStr">
        <is>
          <t>Vertical</t>
        </is>
      </c>
      <c r="U347" t="n">
        <v>129</v>
      </c>
      <c r="V347" t="b">
        <v>1</v>
      </c>
      <c r="W347" t="inlineStr">
        <is>
          <t>ATF fuel!G3:G131</t>
        </is>
      </c>
      <c r="X347">
        <f>R[-1]C[0]-1</f>
        <v/>
      </c>
    </row>
    <row r="348">
      <c r="A348" t="inlineStr">
        <is>
          <t>ATF fuel</t>
        </is>
      </c>
      <c r="B348" t="inlineStr">
        <is>
          <t>H30</t>
        </is>
      </c>
      <c r="C348" t="n">
        <v>30</v>
      </c>
      <c r="D348" t="n">
        <v>8</v>
      </c>
      <c r="E348" t="inlineStr">
        <is>
          <t>Output</t>
        </is>
      </c>
      <c r="F348" t="inlineStr">
        <is>
          <t>'=INDIRECT("A"&amp;G60)</t>
        </is>
      </c>
      <c r="G348" t="inlineStr">
        <is>
          <t>August 01, 2012</t>
        </is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>
        <f>INDIRECT("A"&amp;R[30]C[-1])</f>
        <v/>
      </c>
    </row>
    <row r="349">
      <c r="A349" t="inlineStr">
        <is>
          <t>ATF fuel</t>
        </is>
      </c>
      <c r="B349" t="inlineStr">
        <is>
          <t>I30</t>
        </is>
      </c>
      <c r="C349" t="n">
        <v>30</v>
      </c>
      <c r="D349" t="n">
        <v>9</v>
      </c>
      <c r="E349" t="inlineStr">
        <is>
          <t>Output</t>
        </is>
      </c>
      <c r="F349" t="inlineStr">
        <is>
          <t>'=INDIRECT("F"&amp;G60)</t>
        </is>
      </c>
      <c r="G349" t="n">
        <v>68561.29000000001</v>
      </c>
      <c r="H349" t="inlineStr"/>
      <c r="I349" t="inlineStr">
        <is>
          <t xml:space="preserve">_ * #,##0_ ;_ * \-#,##0_ ;_ * "-"??_ ;_ @_ 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>
        <f>INDIRECT("F"&amp;R[30]C[-2])</f>
        <v/>
      </c>
    </row>
    <row r="350">
      <c r="A350" t="inlineStr">
        <is>
          <t>ATF fuel</t>
        </is>
      </c>
      <c r="B350" t="inlineStr">
        <is>
          <t>J30</t>
        </is>
      </c>
      <c r="C350" t="n">
        <v>30</v>
      </c>
      <c r="D350" t="n">
        <v>10</v>
      </c>
      <c r="E350" t="inlineStr">
        <is>
          <t>Input</t>
        </is>
      </c>
      <c r="F350" t="n">
        <v/>
      </c>
      <c r="G350" t="n">
        <v>113.52</v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ATF fuel</t>
        </is>
      </c>
      <c r="B351" t="inlineStr">
        <is>
          <t>K30</t>
        </is>
      </c>
      <c r="C351" t="n">
        <v>30</v>
      </c>
      <c r="D351" t="n">
        <v>11</v>
      </c>
      <c r="E351" t="inlineStr">
        <is>
          <t>Input</t>
        </is>
      </c>
      <c r="F351" t="n">
        <v/>
      </c>
      <c r="G351" t="n">
        <v>88.98999999999999</v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ATF fuel</t>
        </is>
      </c>
      <c r="B352" t="inlineStr">
        <is>
          <t>A31</t>
        </is>
      </c>
      <c r="C352" t="n">
        <v>31</v>
      </c>
      <c r="D352" t="n">
        <v>1</v>
      </c>
      <c r="E352" t="inlineStr">
        <is>
          <t>Input</t>
        </is>
      </c>
      <c r="F352" t="n">
        <v/>
      </c>
      <c r="G352" t="inlineStr">
        <is>
          <t>October 01, 2015</t>
        </is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11</v>
      </c>
      <c r="M352" t="n">
        <v/>
      </c>
      <c r="N352" t="inlineStr">
        <is>
          <t>00000000</t>
        </is>
      </c>
      <c r="O352" t="n">
        <v/>
      </c>
      <c r="P352" t="n">
        <v/>
      </c>
      <c r="Q352" t="b">
        <v>1</v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ATF fuel</t>
        </is>
      </c>
      <c r="B353" t="inlineStr">
        <is>
          <t>B31</t>
        </is>
      </c>
      <c r="C353" t="n">
        <v>31</v>
      </c>
      <c r="D353" t="n">
        <v>2</v>
      </c>
      <c r="E353" t="inlineStr">
        <is>
          <t>Input</t>
        </is>
      </c>
      <c r="F353" t="n">
        <v/>
      </c>
      <c r="G353" t="n">
        <v>43184.17</v>
      </c>
      <c r="H353" t="inlineStr"/>
      <c r="I353" t="inlineStr">
        <is>
          <t>#,##0</t>
        </is>
      </c>
      <c r="J353" t="b">
        <v>0</v>
      </c>
      <c r="K353" t="b">
        <v>0</v>
      </c>
      <c r="L353" t="n">
        <v>11</v>
      </c>
      <c r="M353" t="n">
        <v/>
      </c>
      <c r="N353" t="inlineStr">
        <is>
          <t>00000000</t>
        </is>
      </c>
      <c r="O353" t="inlineStr">
        <is>
          <t>center</t>
        </is>
      </c>
      <c r="P353" t="n">
        <v/>
      </c>
      <c r="Q353" t="b">
        <v>1</v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ATF fuel</t>
        </is>
      </c>
      <c r="B354" t="inlineStr">
        <is>
          <t>C31</t>
        </is>
      </c>
      <c r="C354" t="n">
        <v>31</v>
      </c>
      <c r="D354" t="n">
        <v>3</v>
      </c>
      <c r="E354" t="inlineStr">
        <is>
          <t>Input</t>
        </is>
      </c>
      <c r="F354" t="n">
        <v/>
      </c>
      <c r="G354" t="n">
        <v>51681.42</v>
      </c>
      <c r="H354" t="inlineStr"/>
      <c r="I354" t="inlineStr">
        <is>
          <t>#,##0</t>
        </is>
      </c>
      <c r="J354" t="b">
        <v>0</v>
      </c>
      <c r="K354" t="b">
        <v>0</v>
      </c>
      <c r="L354" t="n">
        <v>11</v>
      </c>
      <c r="M354" t="n">
        <v/>
      </c>
      <c r="N354" t="inlineStr">
        <is>
          <t>00000000</t>
        </is>
      </c>
      <c r="O354" t="inlineStr">
        <is>
          <t>center</t>
        </is>
      </c>
      <c r="P354" t="n">
        <v/>
      </c>
      <c r="Q354" t="b">
        <v>1</v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ATF fuel</t>
        </is>
      </c>
      <c r="B355" t="inlineStr">
        <is>
          <t>D31</t>
        </is>
      </c>
      <c r="C355" t="n">
        <v>31</v>
      </c>
      <c r="D355" t="n">
        <v>4</v>
      </c>
      <c r="E355" t="inlineStr">
        <is>
          <t>Input</t>
        </is>
      </c>
      <c r="F355" t="n">
        <v/>
      </c>
      <c r="G355" t="n">
        <v>44141.75</v>
      </c>
      <c r="H355" t="inlineStr"/>
      <c r="I355" t="inlineStr">
        <is>
          <t>#,##0</t>
        </is>
      </c>
      <c r="J355" t="b">
        <v>0</v>
      </c>
      <c r="K355" t="b">
        <v>0</v>
      </c>
      <c r="L355" t="n">
        <v>11</v>
      </c>
      <c r="M355" t="n">
        <v/>
      </c>
      <c r="N355" t="inlineStr">
        <is>
          <t>00000000</t>
        </is>
      </c>
      <c r="O355" t="inlineStr">
        <is>
          <t>center</t>
        </is>
      </c>
      <c r="P355" t="n">
        <v/>
      </c>
      <c r="Q355" t="b">
        <v>1</v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ATF fuel</t>
        </is>
      </c>
      <c r="B356" t="inlineStr">
        <is>
          <t>E31</t>
        </is>
      </c>
      <c r="C356" t="n">
        <v>31</v>
      </c>
      <c r="D356" t="n">
        <v>5</v>
      </c>
      <c r="E356" t="inlineStr">
        <is>
          <t>Input</t>
        </is>
      </c>
      <c r="F356" t="n">
        <v/>
      </c>
      <c r="G356" t="n">
        <v>47858.56</v>
      </c>
      <c r="H356" t="inlineStr"/>
      <c r="I356" t="inlineStr">
        <is>
          <t>#,##0</t>
        </is>
      </c>
      <c r="J356" t="b">
        <v>0</v>
      </c>
      <c r="K356" t="b">
        <v>0</v>
      </c>
      <c r="L356" t="n">
        <v>11</v>
      </c>
      <c r="M356" t="n">
        <v/>
      </c>
      <c r="N356" t="inlineStr">
        <is>
          <t>00000000</t>
        </is>
      </c>
      <c r="O356" t="inlineStr">
        <is>
          <t>center</t>
        </is>
      </c>
      <c r="P356" t="n">
        <v/>
      </c>
      <c r="Q356" t="b">
        <v>1</v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ATF fuel</t>
        </is>
      </c>
      <c r="B357" t="inlineStr">
        <is>
          <t>F31</t>
        </is>
      </c>
      <c r="C357" t="n">
        <v>31</v>
      </c>
      <c r="D357" t="n">
        <v>6</v>
      </c>
      <c r="E357" t="inlineStr">
        <is>
          <t>Output</t>
        </is>
      </c>
      <c r="F357" t="inlineStr">
        <is>
          <t>'=AVERAGE(B31:E31)</t>
        </is>
      </c>
      <c r="G357" t="n">
        <v>46716.475</v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00000000</t>
        </is>
      </c>
      <c r="O357" t="inlineStr">
        <is>
          <t>center</t>
        </is>
      </c>
      <c r="P357" t="n">
        <v/>
      </c>
      <c r="R357" t="b">
        <v>1</v>
      </c>
      <c r="S357" t="inlineStr">
        <is>
          <t>G000284</t>
        </is>
      </c>
      <c r="T357" t="inlineStr">
        <is>
          <t>Vertical</t>
        </is>
      </c>
      <c r="U357" t="n">
        <v>130</v>
      </c>
      <c r="V357" t="b">
        <v>1</v>
      </c>
      <c r="W357" t="inlineStr">
        <is>
          <t>ATF fuel!F2:F131</t>
        </is>
      </c>
      <c r="X357">
        <f>AVERAGE(R[0]C[-4]:R[0]C[-1])</f>
        <v/>
      </c>
    </row>
    <row r="358">
      <c r="A358" t="inlineStr">
        <is>
          <t>ATF fuel</t>
        </is>
      </c>
      <c r="B358" t="inlineStr">
        <is>
          <t>G31</t>
        </is>
      </c>
      <c r="C358" t="n">
        <v>31</v>
      </c>
      <c r="D358" t="n">
        <v>7</v>
      </c>
      <c r="E358" t="inlineStr">
        <is>
          <t>Calculation</t>
        </is>
      </c>
      <c r="F358" t="inlineStr">
        <is>
          <t>'=G30-1</t>
        </is>
      </c>
      <c r="G358" t="n">
        <v>102</v>
      </c>
      <c r="H358" t="inlineStr"/>
      <c r="I358" t="inlineStr">
        <is>
          <t>#,##0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00000000</t>
        </is>
      </c>
      <c r="O358" t="n">
        <v/>
      </c>
      <c r="P358" t="n">
        <v/>
      </c>
      <c r="R358" t="b">
        <v>1</v>
      </c>
      <c r="S358" t="inlineStr">
        <is>
          <t>G000286</t>
        </is>
      </c>
      <c r="T358" t="inlineStr">
        <is>
          <t>Vertical</t>
        </is>
      </c>
      <c r="U358" t="n">
        <v>129</v>
      </c>
      <c r="V358" t="b">
        <v>1</v>
      </c>
      <c r="W358" t="inlineStr">
        <is>
          <t>ATF fuel!G3:G131</t>
        </is>
      </c>
      <c r="X358">
        <f>R[-1]C[0]-1</f>
        <v/>
      </c>
    </row>
    <row r="359">
      <c r="A359" t="inlineStr">
        <is>
          <t>ATF fuel</t>
        </is>
      </c>
      <c r="B359" t="inlineStr">
        <is>
          <t>H31</t>
        </is>
      </c>
      <c r="C359" t="n">
        <v>31</v>
      </c>
      <c r="D359" t="n">
        <v>8</v>
      </c>
      <c r="E359" t="inlineStr">
        <is>
          <t>Output</t>
        </is>
      </c>
      <c r="F359" t="inlineStr">
        <is>
          <t>'=INDIRECT("A"&amp;G62)</t>
        </is>
      </c>
      <c r="G359" t="inlineStr">
        <is>
          <t>September 01, 2012</t>
        </is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00000000</t>
        </is>
      </c>
      <c r="O359" t="n">
        <v/>
      </c>
      <c r="P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>
        <f>INDIRECT("A"&amp;R[31]C[-1])</f>
        <v/>
      </c>
    </row>
    <row r="360">
      <c r="A360" t="inlineStr">
        <is>
          <t>ATF fuel</t>
        </is>
      </c>
      <c r="B360" t="inlineStr">
        <is>
          <t>I31</t>
        </is>
      </c>
      <c r="C360" t="n">
        <v>31</v>
      </c>
      <c r="D360" t="n">
        <v>9</v>
      </c>
      <c r="E360" t="inlineStr">
        <is>
          <t>Output</t>
        </is>
      </c>
      <c r="F360" t="inlineStr">
        <is>
          <t>'=INDIRECT("F"&amp;G62)</t>
        </is>
      </c>
      <c r="G360" t="n">
        <v>75263.3425</v>
      </c>
      <c r="H360" t="inlineStr"/>
      <c r="I360" t="inlineStr">
        <is>
          <t xml:space="preserve">_ * #,##0_ ;_ * \-#,##0_ ;_ * "-"??_ ;_ @_ 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>
        <f>INDIRECT("F"&amp;R[31]C[-2])</f>
        <v/>
      </c>
    </row>
    <row r="361">
      <c r="A361" t="inlineStr">
        <is>
          <t>ATF fuel</t>
        </is>
      </c>
      <c r="B361" t="inlineStr">
        <is>
          <t>J31</t>
        </is>
      </c>
      <c r="C361" t="n">
        <v>31</v>
      </c>
      <c r="D361" t="n">
        <v>10</v>
      </c>
      <c r="E361" t="inlineStr">
        <is>
          <t>Input</t>
        </is>
      </c>
      <c r="F361" t="n">
        <v/>
      </c>
      <c r="G361" t="n">
        <v>114.86</v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ATF fuel</t>
        </is>
      </c>
      <c r="B362" t="inlineStr">
        <is>
          <t>K31</t>
        </is>
      </c>
      <c r="C362" t="n">
        <v>31</v>
      </c>
      <c r="D362" t="n">
        <v>11</v>
      </c>
      <c r="E362" t="inlineStr">
        <is>
          <t>Input</t>
        </is>
      </c>
      <c r="F362" t="n">
        <v/>
      </c>
      <c r="G362" t="n">
        <v>95.34</v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ATF fuel</t>
        </is>
      </c>
      <c r="B363" t="inlineStr">
        <is>
          <t>A32</t>
        </is>
      </c>
      <c r="C363" t="n">
        <v>32</v>
      </c>
      <c r="D363" t="n">
        <v>1</v>
      </c>
      <c r="E363" t="inlineStr">
        <is>
          <t>Input</t>
        </is>
      </c>
      <c r="F363" t="n">
        <v/>
      </c>
      <c r="G363" t="inlineStr">
        <is>
          <t>September 01, 2015</t>
        </is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n">
        <v/>
      </c>
      <c r="N363" t="inlineStr">
        <is>
          <t>00000000</t>
        </is>
      </c>
      <c r="O363" t="n">
        <v/>
      </c>
      <c r="P363" t="n">
        <v/>
      </c>
      <c r="Q363" t="b">
        <v>1</v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ATF fuel</t>
        </is>
      </c>
      <c r="B364" t="inlineStr">
        <is>
          <t>B32</t>
        </is>
      </c>
      <c r="C364" t="n">
        <v>32</v>
      </c>
      <c r="D364" t="n">
        <v>2</v>
      </c>
      <c r="E364" t="inlineStr">
        <is>
          <t>Input</t>
        </is>
      </c>
      <c r="F364" t="n">
        <v/>
      </c>
      <c r="G364" t="n">
        <v>40938.24</v>
      </c>
      <c r="H364" t="inlineStr"/>
      <c r="I364" t="inlineStr">
        <is>
          <t>#,##0</t>
        </is>
      </c>
      <c r="J364" t="b">
        <v>0</v>
      </c>
      <c r="K364" t="b">
        <v>0</v>
      </c>
      <c r="L364" t="n">
        <v>11</v>
      </c>
      <c r="M364" t="n">
        <v/>
      </c>
      <c r="N364" t="inlineStr">
        <is>
          <t>00000000</t>
        </is>
      </c>
      <c r="O364" t="inlineStr">
        <is>
          <t>center</t>
        </is>
      </c>
      <c r="P364" t="n">
        <v/>
      </c>
      <c r="Q364" t="b">
        <v>1</v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ATF fuel</t>
        </is>
      </c>
      <c r="B365" t="inlineStr">
        <is>
          <t>C32</t>
        </is>
      </c>
      <c r="C365" t="n">
        <v>32</v>
      </c>
      <c r="D365" t="n">
        <v>3</v>
      </c>
      <c r="E365" t="inlineStr">
        <is>
          <t>Input</t>
        </is>
      </c>
      <c r="F365" t="n">
        <v/>
      </c>
      <c r="G365" t="n">
        <v>49318.92</v>
      </c>
      <c r="H365" t="inlineStr"/>
      <c r="I365" t="inlineStr">
        <is>
          <t>#,##0</t>
        </is>
      </c>
      <c r="J365" t="b">
        <v>0</v>
      </c>
      <c r="K365" t="b">
        <v>0</v>
      </c>
      <c r="L365" t="n">
        <v>11</v>
      </c>
      <c r="M365" t="n">
        <v/>
      </c>
      <c r="N365" t="inlineStr">
        <is>
          <t>00000000</t>
        </is>
      </c>
      <c r="O365" t="inlineStr">
        <is>
          <t>center</t>
        </is>
      </c>
      <c r="P365" t="n">
        <v/>
      </c>
      <c r="Q365" t="b">
        <v>1</v>
      </c>
      <c r="R365" t="b">
        <v>1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ATF fuel</t>
        </is>
      </c>
      <c r="B366" t="inlineStr">
        <is>
          <t>D32</t>
        </is>
      </c>
      <c r="C366" t="n">
        <v>32</v>
      </c>
      <c r="D366" t="n">
        <v>4</v>
      </c>
      <c r="E366" t="inlineStr">
        <is>
          <t>Input</t>
        </is>
      </c>
      <c r="F366" t="n">
        <v/>
      </c>
      <c r="G366" t="n">
        <v>41846.75</v>
      </c>
      <c r="H366" t="inlineStr"/>
      <c r="I366" t="inlineStr">
        <is>
          <t>#,##0</t>
        </is>
      </c>
      <c r="J366" t="b">
        <v>0</v>
      </c>
      <c r="K366" t="b">
        <v>0</v>
      </c>
      <c r="L366" t="n">
        <v>11</v>
      </c>
      <c r="M366" t="n">
        <v/>
      </c>
      <c r="N366" t="inlineStr">
        <is>
          <t>00000000</t>
        </is>
      </c>
      <c r="O366" t="inlineStr">
        <is>
          <t>center</t>
        </is>
      </c>
      <c r="P366" t="n">
        <v/>
      </c>
      <c r="Q366" t="b">
        <v>1</v>
      </c>
      <c r="R366" t="b">
        <v>1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ATF fuel</t>
        </is>
      </c>
      <c r="B367" t="inlineStr">
        <is>
          <t>E32</t>
        </is>
      </c>
      <c r="C367" t="n">
        <v>32</v>
      </c>
      <c r="D367" t="n">
        <v>5</v>
      </c>
      <c r="E367" t="inlineStr">
        <is>
          <t>Input</t>
        </is>
      </c>
      <c r="F367" t="n">
        <v/>
      </c>
      <c r="G367" t="n">
        <v>45448.32</v>
      </c>
      <c r="H367" t="inlineStr"/>
      <c r="I367" t="inlineStr">
        <is>
          <t>#,##0</t>
        </is>
      </c>
      <c r="J367" t="b">
        <v>0</v>
      </c>
      <c r="K367" t="b">
        <v>0</v>
      </c>
      <c r="L367" t="n">
        <v>11</v>
      </c>
      <c r="M367" t="n">
        <v/>
      </c>
      <c r="N367" t="inlineStr">
        <is>
          <t>00000000</t>
        </is>
      </c>
      <c r="O367" t="inlineStr">
        <is>
          <t>center</t>
        </is>
      </c>
      <c r="P367" t="n">
        <v/>
      </c>
      <c r="Q367" t="b">
        <v>1</v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ATF fuel</t>
        </is>
      </c>
      <c r="B368" t="inlineStr">
        <is>
          <t>F32</t>
        </is>
      </c>
      <c r="C368" t="n">
        <v>32</v>
      </c>
      <c r="D368" t="n">
        <v>6</v>
      </c>
      <c r="E368" t="inlineStr">
        <is>
          <t>Output</t>
        </is>
      </c>
      <c r="F368" t="inlineStr">
        <is>
          <t>'=AVERAGE(B32:E32)</t>
        </is>
      </c>
      <c r="G368" t="n">
        <v>44388.0575</v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inlineStr">
        <is>
          <t>center</t>
        </is>
      </c>
      <c r="P368" t="n">
        <v/>
      </c>
      <c r="R368" t="b">
        <v>1</v>
      </c>
      <c r="S368" t="inlineStr">
        <is>
          <t>G000284</t>
        </is>
      </c>
      <c r="T368" t="inlineStr">
        <is>
          <t>Vertical</t>
        </is>
      </c>
      <c r="U368" t="n">
        <v>130</v>
      </c>
      <c r="V368" t="b">
        <v>1</v>
      </c>
      <c r="W368" t="inlineStr">
        <is>
          <t>ATF fuel!F2:F131</t>
        </is>
      </c>
      <c r="X368">
        <f>AVERAGE(R[0]C[-4]:R[0]C[-1])</f>
        <v/>
      </c>
    </row>
    <row r="369">
      <c r="A369" t="inlineStr">
        <is>
          <t>ATF fuel</t>
        </is>
      </c>
      <c r="B369" t="inlineStr">
        <is>
          <t>G32</t>
        </is>
      </c>
      <c r="C369" t="n">
        <v>32</v>
      </c>
      <c r="D369" t="n">
        <v>7</v>
      </c>
      <c r="E369" t="inlineStr">
        <is>
          <t>Calculation</t>
        </is>
      </c>
      <c r="F369" t="inlineStr">
        <is>
          <t>'=G31-1</t>
        </is>
      </c>
      <c r="G369" t="n">
        <v>101</v>
      </c>
      <c r="H369" t="inlineStr"/>
      <c r="I369" t="inlineStr">
        <is>
          <t>#,##0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G000286</t>
        </is>
      </c>
      <c r="T369" t="inlineStr">
        <is>
          <t>Vertical</t>
        </is>
      </c>
      <c r="U369" t="n">
        <v>129</v>
      </c>
      <c r="V369" t="b">
        <v>1</v>
      </c>
      <c r="W369" t="inlineStr">
        <is>
          <t>ATF fuel!G3:G131</t>
        </is>
      </c>
      <c r="X369">
        <f>R[-1]C[0]-1</f>
        <v/>
      </c>
    </row>
    <row r="370">
      <c r="A370" t="inlineStr">
        <is>
          <t>ATF fuel</t>
        </is>
      </c>
      <c r="B370" t="inlineStr">
        <is>
          <t>H32</t>
        </is>
      </c>
      <c r="C370" t="n">
        <v>32</v>
      </c>
      <c r="D370" t="n">
        <v>8</v>
      </c>
      <c r="E370" t="inlineStr">
        <is>
          <t>Output</t>
        </is>
      </c>
      <c r="F370" t="inlineStr">
        <is>
          <t>'=INDIRECT("A"&amp;G64)</t>
        </is>
      </c>
      <c r="G370" t="inlineStr">
        <is>
          <t>October 01, 2012</t>
        </is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n">
        <v/>
      </c>
      <c r="T370" t="n">
        <v/>
      </c>
      <c r="U370" t="n">
        <v/>
      </c>
      <c r="V370" t="b">
        <v>0</v>
      </c>
      <c r="W370" t="inlineStr"/>
      <c r="X370">
        <f>INDIRECT("A"&amp;R[32]C[-1])</f>
        <v/>
      </c>
    </row>
    <row r="371">
      <c r="A371" t="inlineStr">
        <is>
          <t>ATF fuel</t>
        </is>
      </c>
      <c r="B371" t="inlineStr">
        <is>
          <t>I32</t>
        </is>
      </c>
      <c r="C371" t="n">
        <v>32</v>
      </c>
      <c r="D371" t="n">
        <v>9</v>
      </c>
      <c r="E371" t="inlineStr">
        <is>
          <t>Output</t>
        </is>
      </c>
      <c r="F371" t="inlineStr">
        <is>
          <t>'=INDIRECT("F"&amp;G64)</t>
        </is>
      </c>
      <c r="G371" t="n">
        <v>73406.565</v>
      </c>
      <c r="H371" t="inlineStr"/>
      <c r="I371" t="inlineStr">
        <is>
          <t xml:space="preserve">_ * #,##0_ ;_ * \-#,##0_ ;_ * "-"??_ ;_ @_ </t>
        </is>
      </c>
      <c r="J371" t="b">
        <v>0</v>
      </c>
      <c r="K371" t="b">
        <v>0</v>
      </c>
      <c r="L371" t="n">
        <v>11</v>
      </c>
      <c r="M371" t="inlineStr">
        <is>
          <t>Values must be of type &lt;class 'str'&gt;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>
        <f>INDIRECT("F"&amp;R[32]C[-2])</f>
        <v/>
      </c>
    </row>
    <row r="372">
      <c r="A372" t="inlineStr">
        <is>
          <t>ATF fuel</t>
        </is>
      </c>
      <c r="B372" t="inlineStr">
        <is>
          <t>J32</t>
        </is>
      </c>
      <c r="C372" t="n">
        <v>32</v>
      </c>
      <c r="D372" t="n">
        <v>10</v>
      </c>
      <c r="E372" t="inlineStr">
        <is>
          <t>Input</t>
        </is>
      </c>
      <c r="F372" t="n">
        <v/>
      </c>
      <c r="G372" t="n">
        <v>114.32</v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11</v>
      </c>
      <c r="M372" t="inlineStr">
        <is>
          <t>Values must be of type &lt;class 'str'&gt;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ATF fuel</t>
        </is>
      </c>
      <c r="B373" t="inlineStr">
        <is>
          <t>K32</t>
        </is>
      </c>
      <c r="C373" t="n">
        <v>32</v>
      </c>
      <c r="D373" t="n">
        <v>11</v>
      </c>
      <c r="E373" t="inlineStr">
        <is>
          <t>Input</t>
        </is>
      </c>
      <c r="F373" t="n">
        <v/>
      </c>
      <c r="G373" t="n">
        <v>92.44</v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Values must be of type &lt;class 'str'&gt;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ATF fuel</t>
        </is>
      </c>
      <c r="B374" t="inlineStr">
        <is>
          <t>A33</t>
        </is>
      </c>
      <c r="C374" t="n">
        <v>33</v>
      </c>
      <c r="D374" t="n">
        <v>1</v>
      </c>
      <c r="E374" t="inlineStr">
        <is>
          <t>Input</t>
        </is>
      </c>
      <c r="F374" t="n">
        <v/>
      </c>
      <c r="G374" t="inlineStr">
        <is>
          <t>August 01, 2015</t>
        </is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n">
        <v/>
      </c>
      <c r="N374" t="inlineStr">
        <is>
          <t>00000000</t>
        </is>
      </c>
      <c r="O374" t="n">
        <v/>
      </c>
      <c r="P374" t="n">
        <v/>
      </c>
      <c r="Q374" t="b">
        <v>1</v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ATF fuel</t>
        </is>
      </c>
      <c r="B375" t="inlineStr">
        <is>
          <t>B33</t>
        </is>
      </c>
      <c r="C375" t="n">
        <v>33</v>
      </c>
      <c r="D375" t="n">
        <v>2</v>
      </c>
      <c r="E375" t="inlineStr">
        <is>
          <t>Input</t>
        </is>
      </c>
      <c r="F375" t="n">
        <v/>
      </c>
      <c r="G375" t="n">
        <v>46407.36</v>
      </c>
      <c r="H375" t="inlineStr"/>
      <c r="I375" t="inlineStr">
        <is>
          <t>#,##0</t>
        </is>
      </c>
      <c r="J375" t="b">
        <v>0</v>
      </c>
      <c r="K375" t="b">
        <v>0</v>
      </c>
      <c r="L375" t="n">
        <v>11</v>
      </c>
      <c r="M375" t="n">
        <v/>
      </c>
      <c r="N375" t="inlineStr">
        <is>
          <t>00000000</t>
        </is>
      </c>
      <c r="O375" t="inlineStr">
        <is>
          <t>center</t>
        </is>
      </c>
      <c r="P375" t="n">
        <v/>
      </c>
      <c r="Q375" t="b">
        <v>1</v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ATF fuel</t>
        </is>
      </c>
      <c r="B376" t="inlineStr">
        <is>
          <t>C33</t>
        </is>
      </c>
      <c r="C376" t="n">
        <v>33</v>
      </c>
      <c r="D376" t="n">
        <v>3</v>
      </c>
      <c r="E376" t="inlineStr">
        <is>
          <t>Input</t>
        </is>
      </c>
      <c r="F376" t="n">
        <v/>
      </c>
      <c r="G376" t="n">
        <v>55677.42</v>
      </c>
      <c r="H376" t="inlineStr"/>
      <c r="I376" t="inlineStr">
        <is>
          <t>#,##0</t>
        </is>
      </c>
      <c r="J376" t="b">
        <v>0</v>
      </c>
      <c r="K376" t="b">
        <v>0</v>
      </c>
      <c r="L376" t="n">
        <v>11</v>
      </c>
      <c r="M376" t="n">
        <v/>
      </c>
      <c r="N376" t="inlineStr">
        <is>
          <t>00000000</t>
        </is>
      </c>
      <c r="O376" t="inlineStr">
        <is>
          <t>center</t>
        </is>
      </c>
      <c r="P376" t="n">
        <v/>
      </c>
      <c r="Q376" t="b">
        <v>1</v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ATF fuel</t>
        </is>
      </c>
      <c r="B377" t="inlineStr">
        <is>
          <t>D33</t>
        </is>
      </c>
      <c r="C377" t="n">
        <v>33</v>
      </c>
      <c r="D377" t="n">
        <v>4</v>
      </c>
      <c r="E377" t="inlineStr">
        <is>
          <t>Input</t>
        </is>
      </c>
      <c r="F377" t="n">
        <v/>
      </c>
      <c r="G377" t="n">
        <v>47516.75</v>
      </c>
      <c r="H377" t="inlineStr"/>
      <c r="I377" t="inlineStr">
        <is>
          <t>#,##0</t>
        </is>
      </c>
      <c r="J377" t="b">
        <v>0</v>
      </c>
      <c r="K377" t="b">
        <v>0</v>
      </c>
      <c r="L377" t="n">
        <v>11</v>
      </c>
      <c r="M377" t="n">
        <v/>
      </c>
      <c r="N377" t="inlineStr">
        <is>
          <t>00000000</t>
        </is>
      </c>
      <c r="O377" t="inlineStr">
        <is>
          <t>center</t>
        </is>
      </c>
      <c r="P377" t="n">
        <v/>
      </c>
      <c r="Q377" t="b">
        <v>1</v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ATF fuel</t>
        </is>
      </c>
      <c r="B378" t="inlineStr">
        <is>
          <t>E33</t>
        </is>
      </c>
      <c r="C378" t="n">
        <v>33</v>
      </c>
      <c r="D378" t="n">
        <v>5</v>
      </c>
      <c r="E378" t="inlineStr">
        <is>
          <t>Input</t>
        </is>
      </c>
      <c r="F378" t="n">
        <v/>
      </c>
      <c r="G378" t="n">
        <v>51216.17</v>
      </c>
      <c r="H378" t="inlineStr"/>
      <c r="I378" t="inlineStr">
        <is>
          <t>#,##0</t>
        </is>
      </c>
      <c r="J378" t="b">
        <v>0</v>
      </c>
      <c r="K378" t="b">
        <v>0</v>
      </c>
      <c r="L378" t="n">
        <v>11</v>
      </c>
      <c r="M378" t="n">
        <v/>
      </c>
      <c r="N378" t="inlineStr">
        <is>
          <t>00000000</t>
        </is>
      </c>
      <c r="O378" t="inlineStr">
        <is>
          <t>center</t>
        </is>
      </c>
      <c r="P378" t="n">
        <v/>
      </c>
      <c r="Q378" t="b">
        <v>1</v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ATF fuel</t>
        </is>
      </c>
      <c r="B379" t="inlineStr">
        <is>
          <t>F33</t>
        </is>
      </c>
      <c r="C379" t="n">
        <v>33</v>
      </c>
      <c r="D379" t="n">
        <v>6</v>
      </c>
      <c r="E379" t="inlineStr">
        <is>
          <t>Output</t>
        </is>
      </c>
      <c r="F379" t="inlineStr">
        <is>
          <t>'=AVERAGE(B33:E33)</t>
        </is>
      </c>
      <c r="G379" t="n">
        <v>50204.425</v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00000000</t>
        </is>
      </c>
      <c r="O379" t="inlineStr">
        <is>
          <t>center</t>
        </is>
      </c>
      <c r="P379" t="n">
        <v/>
      </c>
      <c r="R379" t="b">
        <v>1</v>
      </c>
      <c r="S379" t="inlineStr">
        <is>
          <t>G000284</t>
        </is>
      </c>
      <c r="T379" t="inlineStr">
        <is>
          <t>Vertical</t>
        </is>
      </c>
      <c r="U379" t="n">
        <v>130</v>
      </c>
      <c r="V379" t="b">
        <v>1</v>
      </c>
      <c r="W379" t="inlineStr">
        <is>
          <t>ATF fuel!F2:F131</t>
        </is>
      </c>
      <c r="X379">
        <f>AVERAGE(R[0]C[-4]:R[0]C[-1])</f>
        <v/>
      </c>
    </row>
    <row r="380">
      <c r="A380" t="inlineStr">
        <is>
          <t>ATF fuel</t>
        </is>
      </c>
      <c r="B380" t="inlineStr">
        <is>
          <t>G33</t>
        </is>
      </c>
      <c r="C380" t="n">
        <v>33</v>
      </c>
      <c r="D380" t="n">
        <v>7</v>
      </c>
      <c r="E380" t="inlineStr">
        <is>
          <t>Calculation</t>
        </is>
      </c>
      <c r="F380" t="inlineStr">
        <is>
          <t>'=G32-1</t>
        </is>
      </c>
      <c r="G380" t="n">
        <v>100</v>
      </c>
      <c r="H380" t="inlineStr"/>
      <c r="I380" t="inlineStr">
        <is>
          <t>#,##0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inlineStr">
        <is>
          <t>G000286</t>
        </is>
      </c>
      <c r="T380" t="inlineStr">
        <is>
          <t>Vertical</t>
        </is>
      </c>
      <c r="U380" t="n">
        <v>129</v>
      </c>
      <c r="V380" t="b">
        <v>1</v>
      </c>
      <c r="W380" t="inlineStr">
        <is>
          <t>ATF fuel!G3:G131</t>
        </is>
      </c>
      <c r="X380">
        <f>R[-1]C[0]-1</f>
        <v/>
      </c>
    </row>
    <row r="381">
      <c r="A381" t="inlineStr">
        <is>
          <t>ATF fuel</t>
        </is>
      </c>
      <c r="B381" t="inlineStr">
        <is>
          <t>H33</t>
        </is>
      </c>
      <c r="C381" t="n">
        <v>33</v>
      </c>
      <c r="D381" t="n">
        <v>8</v>
      </c>
      <c r="E381" t="inlineStr">
        <is>
          <t>Output</t>
        </is>
      </c>
      <c r="F381" t="inlineStr">
        <is>
          <t>'=INDIRECT("A"&amp;G66)</t>
        </is>
      </c>
      <c r="G381" t="inlineStr">
        <is>
          <t>November 01, 2012</t>
        </is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inlineStr">
        <is>
          <t>G000287</t>
        </is>
      </c>
      <c r="T381" t="inlineStr">
        <is>
          <t>Vertical</t>
        </is>
      </c>
      <c r="U381" t="n">
        <v>20</v>
      </c>
      <c r="V381" t="b">
        <v>1</v>
      </c>
      <c r="W381" t="inlineStr">
        <is>
          <t>ATF fuel!H33:H52</t>
        </is>
      </c>
      <c r="X381">
        <f>INDIRECT("A"&amp;R[33]C[-1])</f>
        <v/>
      </c>
    </row>
    <row r="382">
      <c r="A382" t="inlineStr">
        <is>
          <t>ATF fuel</t>
        </is>
      </c>
      <c r="B382" t="inlineStr">
        <is>
          <t>I33</t>
        </is>
      </c>
      <c r="C382" t="n">
        <v>33</v>
      </c>
      <c r="D382" t="n">
        <v>9</v>
      </c>
      <c r="E382" t="inlineStr">
        <is>
          <t>Output</t>
        </is>
      </c>
      <c r="F382" t="inlineStr">
        <is>
          <t>'=INDIRECT("F"&amp;G66)</t>
        </is>
      </c>
      <c r="G382" t="n">
        <v>71455.92999999999</v>
      </c>
      <c r="H382" t="inlineStr"/>
      <c r="I382" t="inlineStr">
        <is>
          <t xml:space="preserve">_ * #,##0_ ;_ * \-#,##0_ ;_ * "-"??_ ;_ @_ </t>
        </is>
      </c>
      <c r="J382" t="b">
        <v>0</v>
      </c>
      <c r="K382" t="b">
        <v>0</v>
      </c>
      <c r="L382" t="n">
        <v>11</v>
      </c>
      <c r="M382" t="inlineStr">
        <is>
          <t>Values must be of type &lt;class 'str'&gt;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G000288</t>
        </is>
      </c>
      <c r="T382" t="inlineStr">
        <is>
          <t>Vertical</t>
        </is>
      </c>
      <c r="U382" t="n">
        <v>20</v>
      </c>
      <c r="V382" t="b">
        <v>1</v>
      </c>
      <c r="W382" t="inlineStr">
        <is>
          <t>ATF fuel!I33:I52</t>
        </is>
      </c>
      <c r="X382">
        <f>INDIRECT("F"&amp;R[33]C[-2])</f>
        <v/>
      </c>
    </row>
    <row r="383">
      <c r="A383" t="inlineStr">
        <is>
          <t>ATF fuel</t>
        </is>
      </c>
      <c r="B383" t="inlineStr">
        <is>
          <t>J33</t>
        </is>
      </c>
      <c r="C383" t="n">
        <v>33</v>
      </c>
      <c r="D383" t="n">
        <v>10</v>
      </c>
      <c r="E383" t="inlineStr">
        <is>
          <t>Input</t>
        </is>
      </c>
      <c r="F383" t="n">
        <v/>
      </c>
      <c r="G383" t="n">
        <v>108.61</v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ATF fuel</t>
        </is>
      </c>
      <c r="B384" t="inlineStr">
        <is>
          <t>K33</t>
        </is>
      </c>
      <c r="C384" t="n">
        <v>33</v>
      </c>
      <c r="D384" t="n">
        <v>11</v>
      </c>
      <c r="E384" t="inlineStr">
        <is>
          <t>Input</t>
        </is>
      </c>
      <c r="F384" t="n">
        <v/>
      </c>
      <c r="G384" t="n">
        <v>87.05</v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ATF fuel</t>
        </is>
      </c>
      <c r="B385" t="inlineStr">
        <is>
          <t>A34</t>
        </is>
      </c>
      <c r="C385" t="n">
        <v>34</v>
      </c>
      <c r="D385" t="n">
        <v>1</v>
      </c>
      <c r="E385" t="inlineStr">
        <is>
          <t>Input</t>
        </is>
      </c>
      <c r="F385" t="n">
        <v/>
      </c>
      <c r="G385" t="inlineStr">
        <is>
          <t>July 01, 2015</t>
        </is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11</v>
      </c>
      <c r="M385" t="n">
        <v/>
      </c>
      <c r="N385" t="inlineStr">
        <is>
          <t>00000000</t>
        </is>
      </c>
      <c r="O385" t="n">
        <v/>
      </c>
      <c r="P385" t="n">
        <v/>
      </c>
      <c r="Q385" t="b">
        <v>1</v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ATF fuel</t>
        </is>
      </c>
      <c r="B386" t="inlineStr">
        <is>
          <t>B34</t>
        </is>
      </c>
      <c r="C386" t="n">
        <v>34</v>
      </c>
      <c r="D386" t="n">
        <v>2</v>
      </c>
      <c r="E386" t="inlineStr">
        <is>
          <t>Input</t>
        </is>
      </c>
      <c r="F386" t="n">
        <v/>
      </c>
      <c r="G386" t="n">
        <v>51267.36</v>
      </c>
      <c r="H386" t="inlineStr"/>
      <c r="I386" t="inlineStr">
        <is>
          <t>#,##0</t>
        </is>
      </c>
      <c r="J386" t="b">
        <v>0</v>
      </c>
      <c r="K386" t="b">
        <v>0</v>
      </c>
      <c r="L386" t="n">
        <v>11</v>
      </c>
      <c r="M386" t="n">
        <v/>
      </c>
      <c r="N386" t="inlineStr">
        <is>
          <t>00000000</t>
        </is>
      </c>
      <c r="O386" t="inlineStr">
        <is>
          <t>center</t>
        </is>
      </c>
      <c r="P386" t="n">
        <v/>
      </c>
      <c r="Q386" t="b">
        <v>1</v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ATF fuel</t>
        </is>
      </c>
      <c r="B387" t="inlineStr">
        <is>
          <t>C34</t>
        </is>
      </c>
      <c r="C387" t="n">
        <v>34</v>
      </c>
      <c r="D387" t="n">
        <v>3</v>
      </c>
      <c r="E387" t="inlineStr">
        <is>
          <t>Input</t>
        </is>
      </c>
      <c r="F387" t="n">
        <v/>
      </c>
      <c r="G387" t="n">
        <v>60781.87</v>
      </c>
      <c r="H387" t="inlineStr"/>
      <c r="I387" t="inlineStr">
        <is>
          <t>#,##0</t>
        </is>
      </c>
      <c r="J387" t="b">
        <v>0</v>
      </c>
      <c r="K387" t="b">
        <v>0</v>
      </c>
      <c r="L387" t="n">
        <v>11</v>
      </c>
      <c r="M387" t="n">
        <v/>
      </c>
      <c r="N387" t="inlineStr">
        <is>
          <t>00000000</t>
        </is>
      </c>
      <c r="O387" t="inlineStr">
        <is>
          <t>center</t>
        </is>
      </c>
      <c r="P387" t="n">
        <v/>
      </c>
      <c r="Q387" t="b">
        <v>1</v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ATF fuel</t>
        </is>
      </c>
      <c r="B388" t="inlineStr">
        <is>
          <t>D34</t>
        </is>
      </c>
      <c r="C388" t="n">
        <v>34</v>
      </c>
      <c r="D388" t="n">
        <v>4</v>
      </c>
      <c r="E388" t="inlineStr">
        <is>
          <t>Input</t>
        </is>
      </c>
      <c r="F388" t="n">
        <v/>
      </c>
      <c r="G388" t="n">
        <v>52592.75</v>
      </c>
      <c r="H388" t="inlineStr"/>
      <c r="I388" t="inlineStr">
        <is>
          <t>#,##0</t>
        </is>
      </c>
      <c r="J388" t="b">
        <v>0</v>
      </c>
      <c r="K388" t="b">
        <v>0</v>
      </c>
      <c r="L388" t="n">
        <v>11</v>
      </c>
      <c r="M388" t="n">
        <v/>
      </c>
      <c r="N388" t="inlineStr">
        <is>
          <t>00000000</t>
        </is>
      </c>
      <c r="O388" t="inlineStr">
        <is>
          <t>center</t>
        </is>
      </c>
      <c r="P388" t="n">
        <v/>
      </c>
      <c r="Q388" t="b">
        <v>1</v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ATF fuel</t>
        </is>
      </c>
      <c r="B389" t="inlineStr">
        <is>
          <t>E34</t>
        </is>
      </c>
      <c r="C389" t="n">
        <v>34</v>
      </c>
      <c r="D389" t="n">
        <v>5</v>
      </c>
      <c r="E389" t="inlineStr">
        <is>
          <t>Input</t>
        </is>
      </c>
      <c r="F389" t="n">
        <v/>
      </c>
      <c r="G389" t="n">
        <v>56522.06</v>
      </c>
      <c r="H389" t="inlineStr"/>
      <c r="I389" t="inlineStr">
        <is>
          <t>#,##0</t>
        </is>
      </c>
      <c r="J389" t="b">
        <v>0</v>
      </c>
      <c r="K389" t="b">
        <v>0</v>
      </c>
      <c r="L389" t="n">
        <v>11</v>
      </c>
      <c r="M389" t="n">
        <v/>
      </c>
      <c r="N389" t="inlineStr">
        <is>
          <t>00000000</t>
        </is>
      </c>
      <c r="O389" t="inlineStr">
        <is>
          <t>center</t>
        </is>
      </c>
      <c r="P389" t="n">
        <v/>
      </c>
      <c r="Q389" t="b">
        <v>1</v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ATF fuel</t>
        </is>
      </c>
      <c r="B390" t="inlineStr">
        <is>
          <t>F34</t>
        </is>
      </c>
      <c r="C390" t="n">
        <v>34</v>
      </c>
      <c r="D390" t="n">
        <v>6</v>
      </c>
      <c r="E390" t="inlineStr">
        <is>
          <t>Output</t>
        </is>
      </c>
      <c r="F390" t="inlineStr">
        <is>
          <t>'=AVERAGE(B34:E34)</t>
        </is>
      </c>
      <c r="G390" t="n">
        <v>55291.01</v>
      </c>
      <c r="H390" t="inlineStr"/>
      <c r="I390" t="inlineStr">
        <is>
          <t>0.0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00000000</t>
        </is>
      </c>
      <c r="O390" t="inlineStr">
        <is>
          <t>center</t>
        </is>
      </c>
      <c r="P390" t="n">
        <v/>
      </c>
      <c r="R390" t="b">
        <v>1</v>
      </c>
      <c r="S390" t="inlineStr">
        <is>
          <t>G000284</t>
        </is>
      </c>
      <c r="T390" t="inlineStr">
        <is>
          <t>Vertical</t>
        </is>
      </c>
      <c r="U390" t="n">
        <v>130</v>
      </c>
      <c r="V390" t="b">
        <v>1</v>
      </c>
      <c r="W390" t="inlineStr">
        <is>
          <t>ATF fuel!F2:F131</t>
        </is>
      </c>
      <c r="X390">
        <f>AVERAGE(R[0]C[-4]:R[0]C[-1])</f>
        <v/>
      </c>
    </row>
    <row r="391">
      <c r="A391" t="inlineStr">
        <is>
          <t>ATF fuel</t>
        </is>
      </c>
      <c r="B391" t="inlineStr">
        <is>
          <t>G34</t>
        </is>
      </c>
      <c r="C391" t="n">
        <v>34</v>
      </c>
      <c r="D391" t="n">
        <v>7</v>
      </c>
      <c r="E391" t="inlineStr">
        <is>
          <t>Calculation</t>
        </is>
      </c>
      <c r="F391" t="inlineStr">
        <is>
          <t>'=G33-1</t>
        </is>
      </c>
      <c r="G391" t="n">
        <v>99</v>
      </c>
      <c r="H391" t="inlineStr"/>
      <c r="I391" t="inlineStr">
        <is>
          <t>#,##0</t>
        </is>
      </c>
      <c r="J391" t="b">
        <v>0</v>
      </c>
      <c r="K391" t="b">
        <v>0</v>
      </c>
      <c r="L391" t="n">
        <v>11</v>
      </c>
      <c r="M391" t="inlineStr">
        <is>
          <t>Values must be of type &lt;class 'str'&gt;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G000286</t>
        </is>
      </c>
      <c r="T391" t="inlineStr">
        <is>
          <t>Vertical</t>
        </is>
      </c>
      <c r="U391" t="n">
        <v>129</v>
      </c>
      <c r="V391" t="b">
        <v>1</v>
      </c>
      <c r="W391" t="inlineStr">
        <is>
          <t>ATF fuel!G3:G131</t>
        </is>
      </c>
      <c r="X391">
        <f>R[-1]C[0]-1</f>
        <v/>
      </c>
    </row>
    <row r="392">
      <c r="A392" t="inlineStr">
        <is>
          <t>ATF fuel</t>
        </is>
      </c>
      <c r="B392" t="inlineStr">
        <is>
          <t>H34</t>
        </is>
      </c>
      <c r="C392" t="n">
        <v>34</v>
      </c>
      <c r="D392" t="n">
        <v>8</v>
      </c>
      <c r="E392" t="inlineStr">
        <is>
          <t>Output</t>
        </is>
      </c>
      <c r="F392" t="inlineStr">
        <is>
          <t>'=INDIRECT("A"&amp;G67)</t>
        </is>
      </c>
      <c r="G392" t="inlineStr">
        <is>
          <t>December 01, 2012</t>
        </is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G000287</t>
        </is>
      </c>
      <c r="T392" t="inlineStr">
        <is>
          <t>Vertical</t>
        </is>
      </c>
      <c r="U392" t="n">
        <v>20</v>
      </c>
      <c r="V392" t="b">
        <v>1</v>
      </c>
      <c r="W392" t="inlineStr">
        <is>
          <t>ATF fuel!H33:H52</t>
        </is>
      </c>
      <c r="X392">
        <f>INDIRECT("A"&amp;R[33]C[-1])</f>
        <v/>
      </c>
    </row>
    <row r="393">
      <c r="A393" t="inlineStr">
        <is>
          <t>ATF fuel</t>
        </is>
      </c>
      <c r="B393" t="inlineStr">
        <is>
          <t>I34</t>
        </is>
      </c>
      <c r="C393" t="n">
        <v>34</v>
      </c>
      <c r="D393" t="n">
        <v>9</v>
      </c>
      <c r="E393" t="inlineStr">
        <is>
          <t>Output</t>
        </is>
      </c>
      <c r="F393" t="inlineStr">
        <is>
          <t>'=INDIRECT("F"&amp;G67)</t>
        </is>
      </c>
      <c r="G393" t="n">
        <v>70760.785</v>
      </c>
      <c r="H393" t="inlineStr"/>
      <c r="I393" t="inlineStr">
        <is>
          <t xml:space="preserve">_ * #,##0_ ;_ * \-#,##0_ ;_ * "-"??_ ;_ @_ 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G000288</t>
        </is>
      </c>
      <c r="T393" t="inlineStr">
        <is>
          <t>Vertical</t>
        </is>
      </c>
      <c r="U393" t="n">
        <v>20</v>
      </c>
      <c r="V393" t="b">
        <v>1</v>
      </c>
      <c r="W393" t="inlineStr">
        <is>
          <t>ATF fuel!I33:I52</t>
        </is>
      </c>
      <c r="X393">
        <f>INDIRECT("F"&amp;R[33]C[-2])</f>
        <v/>
      </c>
    </row>
    <row r="394">
      <c r="A394" t="inlineStr">
        <is>
          <t>ATF fuel</t>
        </is>
      </c>
      <c r="B394" t="inlineStr">
        <is>
          <t>J34</t>
        </is>
      </c>
      <c r="C394" t="n">
        <v>34</v>
      </c>
      <c r="D394" t="n">
        <v>10</v>
      </c>
      <c r="E394" t="inlineStr">
        <is>
          <t>Input</t>
        </is>
      </c>
      <c r="F394" t="n">
        <v/>
      </c>
      <c r="G394" t="n">
        <v>107.6</v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n">
        <v/>
      </c>
      <c r="P394" t="n">
        <v/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ATF fuel</t>
        </is>
      </c>
      <c r="B395" t="inlineStr">
        <is>
          <t>K34</t>
        </is>
      </c>
      <c r="C395" t="n">
        <v>34</v>
      </c>
      <c r="D395" t="n">
        <v>11</v>
      </c>
      <c r="E395" t="inlineStr">
        <is>
          <t>Input</t>
        </is>
      </c>
      <c r="F395" t="n">
        <v/>
      </c>
      <c r="G395" t="n">
        <v>88.69</v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00000000</t>
        </is>
      </c>
      <c r="O395" t="n">
        <v/>
      </c>
      <c r="P395" t="n">
        <v/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ATF fuel</t>
        </is>
      </c>
      <c r="B396" t="inlineStr">
        <is>
          <t>A35</t>
        </is>
      </c>
      <c r="C396" t="n">
        <v>35</v>
      </c>
      <c r="D396" t="n">
        <v>1</v>
      </c>
      <c r="E396" t="inlineStr">
        <is>
          <t>Input</t>
        </is>
      </c>
      <c r="F396" t="n">
        <v/>
      </c>
      <c r="G396" t="inlineStr">
        <is>
          <t>June 01, 2015</t>
        </is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n">
        <v/>
      </c>
      <c r="N396" t="inlineStr">
        <is>
          <t>00000000</t>
        </is>
      </c>
      <c r="O396" t="n">
        <v/>
      </c>
      <c r="P396" t="n">
        <v/>
      </c>
      <c r="Q396" t="b">
        <v>1</v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ATF fuel</t>
        </is>
      </c>
      <c r="B397" t="inlineStr">
        <is>
          <t>B35</t>
        </is>
      </c>
      <c r="C397" t="n">
        <v>35</v>
      </c>
      <c r="D397" t="n">
        <v>2</v>
      </c>
      <c r="E397" t="inlineStr">
        <is>
          <t>Input</t>
        </is>
      </c>
      <c r="F397" t="n">
        <v/>
      </c>
      <c r="G397" t="n">
        <v>53353.92</v>
      </c>
      <c r="H397" t="inlineStr"/>
      <c r="I397" t="inlineStr">
        <is>
          <t>#,##0</t>
        </is>
      </c>
      <c r="J397" t="b">
        <v>0</v>
      </c>
      <c r="K397" t="b">
        <v>0</v>
      </c>
      <c r="L397" t="n">
        <v>11</v>
      </c>
      <c r="M397" t="n">
        <v/>
      </c>
      <c r="N397" t="inlineStr">
        <is>
          <t>00000000</t>
        </is>
      </c>
      <c r="O397" t="inlineStr">
        <is>
          <t>center</t>
        </is>
      </c>
      <c r="P397" t="n">
        <v/>
      </c>
      <c r="Q397" t="b">
        <v>1</v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ATF fuel</t>
        </is>
      </c>
      <c r="B398" t="inlineStr">
        <is>
          <t>C35</t>
        </is>
      </c>
      <c r="C398" t="n">
        <v>35</v>
      </c>
      <c r="D398" t="n">
        <v>3</v>
      </c>
      <c r="E398" t="inlineStr">
        <is>
          <t>Input</t>
        </is>
      </c>
      <c r="F398" t="n">
        <v/>
      </c>
      <c r="G398" t="n">
        <v>62928.37</v>
      </c>
      <c r="H398" t="inlineStr"/>
      <c r="I398" t="inlineStr">
        <is>
          <t>#,##0</t>
        </is>
      </c>
      <c r="J398" t="b">
        <v>0</v>
      </c>
      <c r="K398" t="b">
        <v>0</v>
      </c>
      <c r="L398" t="n">
        <v>11</v>
      </c>
      <c r="M398" t="n">
        <v/>
      </c>
      <c r="N398" t="inlineStr">
        <is>
          <t>00000000</t>
        </is>
      </c>
      <c r="O398" t="inlineStr">
        <is>
          <t>center</t>
        </is>
      </c>
      <c r="P398" t="n">
        <v/>
      </c>
      <c r="Q398" t="b">
        <v>1</v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ATF fuel</t>
        </is>
      </c>
      <c r="B399" t="inlineStr">
        <is>
          <t>D35</t>
        </is>
      </c>
      <c r="C399" t="n">
        <v>35</v>
      </c>
      <c r="D399" t="n">
        <v>4</v>
      </c>
      <c r="E399" t="inlineStr">
        <is>
          <t>Input</t>
        </is>
      </c>
      <c r="F399" t="n">
        <v/>
      </c>
      <c r="G399" t="n">
        <v>54727.49</v>
      </c>
      <c r="H399" t="inlineStr"/>
      <c r="I399" t="inlineStr">
        <is>
          <t>#,##0</t>
        </is>
      </c>
      <c r="J399" t="b">
        <v>0</v>
      </c>
      <c r="K399" t="b">
        <v>0</v>
      </c>
      <c r="L399" t="n">
        <v>11</v>
      </c>
      <c r="M399" t="n">
        <v/>
      </c>
      <c r="N399" t="inlineStr">
        <is>
          <t>00000000</t>
        </is>
      </c>
      <c r="O399" t="inlineStr">
        <is>
          <t>center</t>
        </is>
      </c>
      <c r="P399" t="n">
        <v/>
      </c>
      <c r="Q399" t="b">
        <v>1</v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ATF fuel</t>
        </is>
      </c>
      <c r="B400" t="inlineStr">
        <is>
          <t>E35</t>
        </is>
      </c>
      <c r="C400" t="n">
        <v>35</v>
      </c>
      <c r="D400" t="n">
        <v>5</v>
      </c>
      <c r="E400" t="inlineStr">
        <is>
          <t>Input</t>
        </is>
      </c>
      <c r="F400" t="n">
        <v/>
      </c>
      <c r="G400" t="n">
        <v>58723.32</v>
      </c>
      <c r="H400" t="inlineStr"/>
      <c r="I400" t="inlineStr">
        <is>
          <t>#,##0</t>
        </is>
      </c>
      <c r="J400" t="b">
        <v>0</v>
      </c>
      <c r="K400" t="b">
        <v>0</v>
      </c>
      <c r="L400" t="n">
        <v>11</v>
      </c>
      <c r="M400" t="n">
        <v/>
      </c>
      <c r="N400" t="inlineStr">
        <is>
          <t>00000000</t>
        </is>
      </c>
      <c r="O400" t="inlineStr">
        <is>
          <t>center</t>
        </is>
      </c>
      <c r="P400" t="n">
        <v/>
      </c>
      <c r="Q400" t="b">
        <v>1</v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ATF fuel</t>
        </is>
      </c>
      <c r="B401" t="inlineStr">
        <is>
          <t>F35</t>
        </is>
      </c>
      <c r="C401" t="n">
        <v>35</v>
      </c>
      <c r="D401" t="n">
        <v>6</v>
      </c>
      <c r="E401" t="inlineStr">
        <is>
          <t>Output</t>
        </is>
      </c>
      <c r="F401" t="inlineStr">
        <is>
          <t>'=AVERAGE(B35:E35)</t>
        </is>
      </c>
      <c r="G401" t="n">
        <v>57433.275</v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inlineStr">
        <is>
          <t>center</t>
        </is>
      </c>
      <c r="P401" t="n">
        <v/>
      </c>
      <c r="R401" t="b">
        <v>1</v>
      </c>
      <c r="S401" t="inlineStr">
        <is>
          <t>G000284</t>
        </is>
      </c>
      <c r="T401" t="inlineStr">
        <is>
          <t>Vertical</t>
        </is>
      </c>
      <c r="U401" t="n">
        <v>130</v>
      </c>
      <c r="V401" t="b">
        <v>1</v>
      </c>
      <c r="W401" t="inlineStr">
        <is>
          <t>ATF fuel!F2:F131</t>
        </is>
      </c>
      <c r="X401">
        <f>AVERAGE(R[0]C[-4]:R[0]C[-1])</f>
        <v/>
      </c>
    </row>
    <row r="402">
      <c r="A402" t="inlineStr">
        <is>
          <t>ATF fuel</t>
        </is>
      </c>
      <c r="B402" t="inlineStr">
        <is>
          <t>G35</t>
        </is>
      </c>
      <c r="C402" t="n">
        <v>35</v>
      </c>
      <c r="D402" t="n">
        <v>7</v>
      </c>
      <c r="E402" t="inlineStr">
        <is>
          <t>Calculation</t>
        </is>
      </c>
      <c r="F402" t="inlineStr">
        <is>
          <t>'=G34-1</t>
        </is>
      </c>
      <c r="G402" t="n">
        <v>98</v>
      </c>
      <c r="H402" t="inlineStr"/>
      <c r="I402" t="inlineStr">
        <is>
          <t>#,##0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P402" t="n">
        <v/>
      </c>
      <c r="R402" t="b">
        <v>1</v>
      </c>
      <c r="S402" t="inlineStr">
        <is>
          <t>G000286</t>
        </is>
      </c>
      <c r="T402" t="inlineStr">
        <is>
          <t>Vertical</t>
        </is>
      </c>
      <c r="U402" t="n">
        <v>129</v>
      </c>
      <c r="V402" t="b">
        <v>1</v>
      </c>
      <c r="W402" t="inlineStr">
        <is>
          <t>ATF fuel!G3:G131</t>
        </is>
      </c>
      <c r="X402">
        <f>R[-1]C[0]-1</f>
        <v/>
      </c>
    </row>
    <row r="403">
      <c r="A403" t="inlineStr">
        <is>
          <t>ATF fuel</t>
        </is>
      </c>
      <c r="B403" t="inlineStr">
        <is>
          <t>H35</t>
        </is>
      </c>
      <c r="C403" t="n">
        <v>35</v>
      </c>
      <c r="D403" t="n">
        <v>8</v>
      </c>
      <c r="E403" t="inlineStr">
        <is>
          <t>Output</t>
        </is>
      </c>
      <c r="F403" t="inlineStr">
        <is>
          <t>'=INDIRECT("A"&amp;G68)</t>
        </is>
      </c>
      <c r="G403" t="inlineStr">
        <is>
          <t>January 01, 2013</t>
        </is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P403" t="n">
        <v/>
      </c>
      <c r="R403" t="b">
        <v>1</v>
      </c>
      <c r="S403" t="inlineStr">
        <is>
          <t>G000287</t>
        </is>
      </c>
      <c r="T403" t="inlineStr">
        <is>
          <t>Vertical</t>
        </is>
      </c>
      <c r="U403" t="n">
        <v>20</v>
      </c>
      <c r="V403" t="b">
        <v>1</v>
      </c>
      <c r="W403" t="inlineStr">
        <is>
          <t>ATF fuel!H33:H52</t>
        </is>
      </c>
      <c r="X403">
        <f>INDIRECT("A"&amp;R[33]C[-1])</f>
        <v/>
      </c>
    </row>
    <row r="404">
      <c r="A404" t="inlineStr">
        <is>
          <t>ATF fuel</t>
        </is>
      </c>
      <c r="B404" t="inlineStr">
        <is>
          <t>I35</t>
        </is>
      </c>
      <c r="C404" t="n">
        <v>35</v>
      </c>
      <c r="D404" t="n">
        <v>9</v>
      </c>
      <c r="E404" t="inlineStr">
        <is>
          <t>Output</t>
        </is>
      </c>
      <c r="F404" t="inlineStr">
        <is>
          <t>'=INDIRECT("F"&amp;G68)</t>
        </is>
      </c>
      <c r="G404" t="n">
        <v>70473.55</v>
      </c>
      <c r="H404" t="inlineStr"/>
      <c r="I404" t="inlineStr">
        <is>
          <t xml:space="preserve">_ * #,##0_ ;_ * \-#,##0_ ;_ * "-"??_ ;_ @_ 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P404" t="n">
        <v/>
      </c>
      <c r="R404" t="b">
        <v>1</v>
      </c>
      <c r="S404" t="inlineStr">
        <is>
          <t>G000288</t>
        </is>
      </c>
      <c r="T404" t="inlineStr">
        <is>
          <t>Vertical</t>
        </is>
      </c>
      <c r="U404" t="n">
        <v>20</v>
      </c>
      <c r="V404" t="b">
        <v>1</v>
      </c>
      <c r="W404" t="inlineStr">
        <is>
          <t>ATF fuel!I33:I52</t>
        </is>
      </c>
      <c r="X404">
        <f>INDIRECT("F"&amp;R[33]C[-2])</f>
        <v/>
      </c>
    </row>
    <row r="405">
      <c r="A405" t="inlineStr">
        <is>
          <t>ATF fuel</t>
        </is>
      </c>
      <c r="B405" t="inlineStr">
        <is>
          <t>J35</t>
        </is>
      </c>
      <c r="C405" t="n">
        <v>35</v>
      </c>
      <c r="D405" t="n">
        <v>10</v>
      </c>
      <c r="E405" t="inlineStr">
        <is>
          <t>Input</t>
        </is>
      </c>
      <c r="F405" t="n">
        <v/>
      </c>
      <c r="G405" t="n">
        <v>112.97</v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n">
        <v/>
      </c>
      <c r="P405" t="n">
        <v/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ATF fuel</t>
        </is>
      </c>
      <c r="B406" t="inlineStr">
        <is>
          <t>K35</t>
        </is>
      </c>
      <c r="C406" t="n">
        <v>35</v>
      </c>
      <c r="D406" t="n">
        <v>11</v>
      </c>
      <c r="E406" t="inlineStr">
        <is>
          <t>Input</t>
        </is>
      </c>
      <c r="F406" t="n">
        <v/>
      </c>
      <c r="G406" t="n">
        <v>93.14</v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n">
        <v/>
      </c>
      <c r="P406" t="n">
        <v/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ATF fuel</t>
        </is>
      </c>
      <c r="B407" t="inlineStr">
        <is>
          <t>A36</t>
        </is>
      </c>
      <c r="C407" t="n">
        <v>36</v>
      </c>
      <c r="D407" t="n">
        <v>1</v>
      </c>
      <c r="E407" t="inlineStr">
        <is>
          <t>Input</t>
        </is>
      </c>
      <c r="F407" t="n">
        <v/>
      </c>
      <c r="G407" t="inlineStr">
        <is>
          <t>May 01, 2015</t>
        </is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n">
        <v/>
      </c>
      <c r="N407" t="inlineStr">
        <is>
          <t>00000000</t>
        </is>
      </c>
      <c r="O407" t="n">
        <v/>
      </c>
      <c r="P407" t="n">
        <v/>
      </c>
      <c r="Q407" t="b">
        <v>1</v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ATF fuel</t>
        </is>
      </c>
      <c r="B408" t="inlineStr">
        <is>
          <t>B36</t>
        </is>
      </c>
      <c r="C408" t="n">
        <v>36</v>
      </c>
      <c r="D408" t="n">
        <v>2</v>
      </c>
      <c r="E408" t="inlineStr">
        <is>
          <t>Input</t>
        </is>
      </c>
      <c r="F408" t="n">
        <v/>
      </c>
      <c r="G408" t="n">
        <v>49609.84</v>
      </c>
      <c r="H408" t="inlineStr"/>
      <c r="I408" t="inlineStr">
        <is>
          <t>#,##0</t>
        </is>
      </c>
      <c r="J408" t="b">
        <v>0</v>
      </c>
      <c r="K408" t="b">
        <v>0</v>
      </c>
      <c r="L408" t="n">
        <v>11</v>
      </c>
      <c r="M408" t="n">
        <v/>
      </c>
      <c r="N408" t="inlineStr">
        <is>
          <t>00000000</t>
        </is>
      </c>
      <c r="O408" t="inlineStr">
        <is>
          <t>center</t>
        </is>
      </c>
      <c r="P408" t="n">
        <v/>
      </c>
      <c r="Q408" t="b">
        <v>1</v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ATF fuel</t>
        </is>
      </c>
      <c r="B409" t="inlineStr">
        <is>
          <t>C36</t>
        </is>
      </c>
      <c r="C409" t="n">
        <v>36</v>
      </c>
      <c r="D409" t="n">
        <v>3</v>
      </c>
      <c r="E409" t="inlineStr">
        <is>
          <t>Input</t>
        </is>
      </c>
      <c r="F409" t="n">
        <v/>
      </c>
      <c r="G409" t="n">
        <v>59122.8</v>
      </c>
      <c r="H409" t="inlineStr"/>
      <c r="I409" t="inlineStr">
        <is>
          <t>#,##0</t>
        </is>
      </c>
      <c r="J409" t="b">
        <v>0</v>
      </c>
      <c r="K409" t="b">
        <v>0</v>
      </c>
      <c r="L409" t="n">
        <v>11</v>
      </c>
      <c r="M409" t="n">
        <v/>
      </c>
      <c r="N409" t="inlineStr">
        <is>
          <t>00000000</t>
        </is>
      </c>
      <c r="O409" t="inlineStr">
        <is>
          <t>center</t>
        </is>
      </c>
      <c r="P409" t="n">
        <v/>
      </c>
      <c r="Q409" t="b">
        <v>1</v>
      </c>
      <c r="R409" t="b">
        <v>1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ATF fuel</t>
        </is>
      </c>
      <c r="B410" t="inlineStr">
        <is>
          <t>D36</t>
        </is>
      </c>
      <c r="C410" t="n">
        <v>36</v>
      </c>
      <c r="D410" t="n">
        <v>4</v>
      </c>
      <c r="E410" t="inlineStr">
        <is>
          <t>Input</t>
        </is>
      </c>
      <c r="F410" t="n">
        <v/>
      </c>
      <c r="G410" t="n">
        <v>50844.43</v>
      </c>
      <c r="H410" t="inlineStr"/>
      <c r="I410" t="inlineStr">
        <is>
          <t>#,##0</t>
        </is>
      </c>
      <c r="J410" t="b">
        <v>0</v>
      </c>
      <c r="K410" t="b">
        <v>0</v>
      </c>
      <c r="L410" t="n">
        <v>11</v>
      </c>
      <c r="M410" t="n">
        <v/>
      </c>
      <c r="N410" t="inlineStr">
        <is>
          <t>00000000</t>
        </is>
      </c>
      <c r="O410" t="inlineStr">
        <is>
          <t>center</t>
        </is>
      </c>
      <c r="P410" t="n">
        <v/>
      </c>
      <c r="Q410" t="b">
        <v>1</v>
      </c>
      <c r="R410" t="b">
        <v>1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ATF fuel</t>
        </is>
      </c>
      <c r="B411" t="inlineStr">
        <is>
          <t>E36</t>
        </is>
      </c>
      <c r="C411" t="n">
        <v>36</v>
      </c>
      <c r="D411" t="n">
        <v>5</v>
      </c>
      <c r="E411" t="inlineStr">
        <is>
          <t>Input</t>
        </is>
      </c>
      <c r="F411" t="n">
        <v/>
      </c>
      <c r="G411" t="n">
        <v>54779.66</v>
      </c>
      <c r="H411" t="inlineStr"/>
      <c r="I411" t="inlineStr">
        <is>
          <t>#,##0</t>
        </is>
      </c>
      <c r="J411" t="b">
        <v>0</v>
      </c>
      <c r="K411" t="b">
        <v>0</v>
      </c>
      <c r="L411" t="n">
        <v>11</v>
      </c>
      <c r="M411" t="n">
        <v/>
      </c>
      <c r="N411" t="inlineStr">
        <is>
          <t>00000000</t>
        </is>
      </c>
      <c r="O411" t="inlineStr">
        <is>
          <t>center</t>
        </is>
      </c>
      <c r="P411" t="n">
        <v/>
      </c>
      <c r="Q411" t="b">
        <v>1</v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ATF fuel</t>
        </is>
      </c>
      <c r="B412" t="inlineStr">
        <is>
          <t>F36</t>
        </is>
      </c>
      <c r="C412" t="n">
        <v>36</v>
      </c>
      <c r="D412" t="n">
        <v>6</v>
      </c>
      <c r="E412" t="inlineStr">
        <is>
          <t>Output</t>
        </is>
      </c>
      <c r="F412" t="inlineStr">
        <is>
          <t>'=AVERAGE(B36:E36)</t>
        </is>
      </c>
      <c r="G412" t="n">
        <v>53589.1825</v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00000000</t>
        </is>
      </c>
      <c r="O412" t="inlineStr">
        <is>
          <t>center</t>
        </is>
      </c>
      <c r="P412" t="n">
        <v/>
      </c>
      <c r="R412" t="b">
        <v>1</v>
      </c>
      <c r="S412" t="inlineStr">
        <is>
          <t>G000284</t>
        </is>
      </c>
      <c r="T412" t="inlineStr">
        <is>
          <t>Vertical</t>
        </is>
      </c>
      <c r="U412" t="n">
        <v>130</v>
      </c>
      <c r="V412" t="b">
        <v>1</v>
      </c>
      <c r="W412" t="inlineStr">
        <is>
          <t>ATF fuel!F2:F131</t>
        </is>
      </c>
      <c r="X412">
        <f>AVERAGE(R[0]C[-4]:R[0]C[-1])</f>
        <v/>
      </c>
    </row>
    <row r="413">
      <c r="A413" t="inlineStr">
        <is>
          <t>ATF fuel</t>
        </is>
      </c>
      <c r="B413" t="inlineStr">
        <is>
          <t>G36</t>
        </is>
      </c>
      <c r="C413" t="n">
        <v>36</v>
      </c>
      <c r="D413" t="n">
        <v>7</v>
      </c>
      <c r="E413" t="inlineStr">
        <is>
          <t>Calculation</t>
        </is>
      </c>
      <c r="F413" t="inlineStr">
        <is>
          <t>'=G35-1</t>
        </is>
      </c>
      <c r="G413" t="n">
        <v>97</v>
      </c>
      <c r="H413" t="inlineStr"/>
      <c r="I413" t="inlineStr">
        <is>
          <t>#,##0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00000000</t>
        </is>
      </c>
      <c r="O413" t="n">
        <v/>
      </c>
      <c r="P413" t="n">
        <v/>
      </c>
      <c r="R413" t="b">
        <v>1</v>
      </c>
      <c r="S413" t="inlineStr">
        <is>
          <t>G000286</t>
        </is>
      </c>
      <c r="T413" t="inlineStr">
        <is>
          <t>Vertical</t>
        </is>
      </c>
      <c r="U413" t="n">
        <v>129</v>
      </c>
      <c r="V413" t="b">
        <v>1</v>
      </c>
      <c r="W413" t="inlineStr">
        <is>
          <t>ATF fuel!G3:G131</t>
        </is>
      </c>
      <c r="X413">
        <f>R[-1]C[0]-1</f>
        <v/>
      </c>
    </row>
    <row r="414">
      <c r="A414" t="inlineStr">
        <is>
          <t>ATF fuel</t>
        </is>
      </c>
      <c r="B414" t="inlineStr">
        <is>
          <t>H36</t>
        </is>
      </c>
      <c r="C414" t="n">
        <v>36</v>
      </c>
      <c r="D414" t="n">
        <v>8</v>
      </c>
      <c r="E414" t="inlineStr">
        <is>
          <t>Output</t>
        </is>
      </c>
      <c r="F414" t="inlineStr">
        <is>
          <t>'=INDIRECT("A"&amp;G69)</t>
        </is>
      </c>
      <c r="G414" t="inlineStr">
        <is>
          <t>February 01, 2013</t>
        </is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00000000</t>
        </is>
      </c>
      <c r="O414" t="n">
        <v/>
      </c>
      <c r="P414" t="n">
        <v/>
      </c>
      <c r="R414" t="b">
        <v>1</v>
      </c>
      <c r="S414" t="inlineStr">
        <is>
          <t>G000287</t>
        </is>
      </c>
      <c r="T414" t="inlineStr">
        <is>
          <t>Vertical</t>
        </is>
      </c>
      <c r="U414" t="n">
        <v>20</v>
      </c>
      <c r="V414" t="b">
        <v>1</v>
      </c>
      <c r="W414" t="inlineStr">
        <is>
          <t>ATF fuel!H33:H52</t>
        </is>
      </c>
      <c r="X414">
        <f>INDIRECT("A"&amp;R[33]C[-1])</f>
        <v/>
      </c>
    </row>
    <row r="415">
      <c r="A415" t="inlineStr">
        <is>
          <t>ATF fuel</t>
        </is>
      </c>
      <c r="B415" t="inlineStr">
        <is>
          <t>I36</t>
        </is>
      </c>
      <c r="C415" t="n">
        <v>36</v>
      </c>
      <c r="D415" t="n">
        <v>9</v>
      </c>
      <c r="E415" t="inlineStr">
        <is>
          <t>Output</t>
        </is>
      </c>
      <c r="F415" t="inlineStr">
        <is>
          <t>'=INDIRECT("F"&amp;G69)</t>
        </is>
      </c>
      <c r="G415" t="n">
        <v>71872.72249999999</v>
      </c>
      <c r="H415" t="inlineStr"/>
      <c r="I415" t="inlineStr">
        <is>
          <t xml:space="preserve">_ * #,##0_ ;_ * \-#,##0_ ;_ * "-"??_ ;_ @_ 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00000000</t>
        </is>
      </c>
      <c r="O415" t="n">
        <v/>
      </c>
      <c r="P415" t="n">
        <v/>
      </c>
      <c r="R415" t="b">
        <v>1</v>
      </c>
      <c r="S415" t="inlineStr">
        <is>
          <t>G000288</t>
        </is>
      </c>
      <c r="T415" t="inlineStr">
        <is>
          <t>Vertical</t>
        </is>
      </c>
      <c r="U415" t="n">
        <v>20</v>
      </c>
      <c r="V415" t="b">
        <v>1</v>
      </c>
      <c r="W415" t="inlineStr">
        <is>
          <t>ATF fuel!I33:I52</t>
        </is>
      </c>
      <c r="X415">
        <f>INDIRECT("F"&amp;R[33]C[-2])</f>
        <v/>
      </c>
    </row>
    <row r="416">
      <c r="A416" t="inlineStr">
        <is>
          <t>ATF fuel</t>
        </is>
      </c>
      <c r="B416" t="inlineStr">
        <is>
          <t>J36</t>
        </is>
      </c>
      <c r="C416" t="n">
        <v>36</v>
      </c>
      <c r="D416" t="n">
        <v>10</v>
      </c>
      <c r="E416" t="inlineStr">
        <is>
          <t>Input</t>
        </is>
      </c>
      <c r="F416" t="n">
        <v/>
      </c>
      <c r="G416" t="n">
        <v>118.29</v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00000000</t>
        </is>
      </c>
      <c r="O416" t="n">
        <v/>
      </c>
      <c r="P416" t="n">
        <v/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ATF fuel</t>
        </is>
      </c>
      <c r="B417" t="inlineStr">
        <is>
          <t>K36</t>
        </is>
      </c>
      <c r="C417" t="n">
        <v>36</v>
      </c>
      <c r="D417" t="n">
        <v>11</v>
      </c>
      <c r="E417" t="inlineStr">
        <is>
          <t>Input</t>
        </is>
      </c>
      <c r="F417" t="n">
        <v/>
      </c>
      <c r="G417" t="n">
        <v>97.45999999999999</v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11</v>
      </c>
      <c r="M417" t="inlineStr">
        <is>
          <t>Values must be of type &lt;class 'str'&gt;</t>
        </is>
      </c>
      <c r="N417" t="inlineStr">
        <is>
          <t>00000000</t>
        </is>
      </c>
      <c r="O417" t="n">
        <v/>
      </c>
      <c r="P417" t="n">
        <v/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ATF fuel</t>
        </is>
      </c>
      <c r="B418" t="inlineStr">
        <is>
          <t>A37</t>
        </is>
      </c>
      <c r="C418" t="n">
        <v>37</v>
      </c>
      <c r="D418" t="n">
        <v>1</v>
      </c>
      <c r="E418" t="inlineStr">
        <is>
          <t>Input</t>
        </is>
      </c>
      <c r="F418" t="n">
        <v/>
      </c>
      <c r="G418" t="inlineStr">
        <is>
          <t>April 01, 2015</t>
        </is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11</v>
      </c>
      <c r="M418" t="n">
        <v/>
      </c>
      <c r="N418" t="inlineStr">
        <is>
          <t>00000000</t>
        </is>
      </c>
      <c r="O418" t="n">
        <v/>
      </c>
      <c r="P418" t="n">
        <v/>
      </c>
      <c r="Q418" t="b">
        <v>1</v>
      </c>
      <c r="R418" t="b">
        <v>1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ATF fuel</t>
        </is>
      </c>
      <c r="B419" t="inlineStr">
        <is>
          <t>B37</t>
        </is>
      </c>
      <c r="C419" t="n">
        <v>37</v>
      </c>
      <c r="D419" t="n">
        <v>2</v>
      </c>
      <c r="E419" t="inlineStr">
        <is>
          <t>Input</t>
        </is>
      </c>
      <c r="F419" t="n">
        <v/>
      </c>
      <c r="G419" t="n">
        <v>49338</v>
      </c>
      <c r="H419" t="inlineStr"/>
      <c r="I419" t="inlineStr">
        <is>
          <t>#,##0</t>
        </is>
      </c>
      <c r="J419" t="b">
        <v>0</v>
      </c>
      <c r="K419" t="b">
        <v>0</v>
      </c>
      <c r="L419" t="n">
        <v>11</v>
      </c>
      <c r="M419" t="n">
        <v/>
      </c>
      <c r="N419" t="inlineStr">
        <is>
          <t>00000000</t>
        </is>
      </c>
      <c r="O419" t="inlineStr">
        <is>
          <t>center</t>
        </is>
      </c>
      <c r="P419" t="n">
        <v/>
      </c>
      <c r="Q419" t="b">
        <v>1</v>
      </c>
      <c r="R419" t="b">
        <v>1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ATF fuel</t>
        </is>
      </c>
      <c r="B420" t="inlineStr">
        <is>
          <t>C37</t>
        </is>
      </c>
      <c r="C420" t="n">
        <v>37</v>
      </c>
      <c r="D420" t="n">
        <v>3</v>
      </c>
      <c r="E420" t="inlineStr">
        <is>
          <t>Input</t>
        </is>
      </c>
      <c r="F420" t="n">
        <v/>
      </c>
      <c r="G420" t="n">
        <v>58614</v>
      </c>
      <c r="H420" t="inlineStr"/>
      <c r="I420" t="inlineStr">
        <is>
          <t>#,##0</t>
        </is>
      </c>
      <c r="J420" t="b">
        <v>0</v>
      </c>
      <c r="K420" t="b">
        <v>0</v>
      </c>
      <c r="L420" t="n">
        <v>11</v>
      </c>
      <c r="M420" t="n">
        <v/>
      </c>
      <c r="N420" t="inlineStr">
        <is>
          <t>00000000</t>
        </is>
      </c>
      <c r="O420" t="inlineStr">
        <is>
          <t>center</t>
        </is>
      </c>
      <c r="P420" t="n">
        <v/>
      </c>
      <c r="Q420" t="b">
        <v>1</v>
      </c>
      <c r="R420" t="b">
        <v>1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ATF fuel</t>
        </is>
      </c>
      <c r="B421" t="inlineStr">
        <is>
          <t>D37</t>
        </is>
      </c>
      <c r="C421" t="n">
        <v>37</v>
      </c>
      <c r="D421" t="n">
        <v>4</v>
      </c>
      <c r="E421" t="inlineStr">
        <is>
          <t>Input</t>
        </is>
      </c>
      <c r="F421" t="n">
        <v/>
      </c>
      <c r="G421" t="n">
        <v>50713</v>
      </c>
      <c r="H421" t="inlineStr"/>
      <c r="I421" t="inlineStr">
        <is>
          <t>#,##0</t>
        </is>
      </c>
      <c r="J421" t="b">
        <v>0</v>
      </c>
      <c r="K421" t="b">
        <v>0</v>
      </c>
      <c r="L421" t="n">
        <v>11</v>
      </c>
      <c r="M421" t="n">
        <v/>
      </c>
      <c r="N421" t="inlineStr">
        <is>
          <t>00000000</t>
        </is>
      </c>
      <c r="O421" t="inlineStr">
        <is>
          <t>center</t>
        </is>
      </c>
      <c r="P421" t="n">
        <v/>
      </c>
      <c r="Q421" t="b">
        <v>1</v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</row>
    <row r="422">
      <c r="A422" t="inlineStr">
        <is>
          <t>ATF fuel</t>
        </is>
      </c>
      <c r="B422" t="inlineStr">
        <is>
          <t>E37</t>
        </is>
      </c>
      <c r="C422" t="n">
        <v>37</v>
      </c>
      <c r="D422" t="n">
        <v>5</v>
      </c>
      <c r="E422" t="inlineStr">
        <is>
          <t>Input</t>
        </is>
      </c>
      <c r="F422" t="n">
        <v/>
      </c>
      <c r="G422" t="n">
        <v>54457</v>
      </c>
      <c r="H422" t="inlineStr"/>
      <c r="I422" t="inlineStr">
        <is>
          <t>#,##0</t>
        </is>
      </c>
      <c r="J422" t="b">
        <v>0</v>
      </c>
      <c r="K422" t="b">
        <v>0</v>
      </c>
      <c r="L422" t="n">
        <v>11</v>
      </c>
      <c r="M422" t="n">
        <v/>
      </c>
      <c r="N422" t="inlineStr">
        <is>
          <t>00000000</t>
        </is>
      </c>
      <c r="O422" t="inlineStr">
        <is>
          <t>center</t>
        </is>
      </c>
      <c r="P422" t="n">
        <v/>
      </c>
      <c r="Q422" t="b">
        <v>1</v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</row>
    <row r="423">
      <c r="A423" t="inlineStr">
        <is>
          <t>ATF fuel</t>
        </is>
      </c>
      <c r="B423" t="inlineStr">
        <is>
          <t>F37</t>
        </is>
      </c>
      <c r="C423" t="n">
        <v>37</v>
      </c>
      <c r="D423" t="n">
        <v>6</v>
      </c>
      <c r="E423" t="inlineStr">
        <is>
          <t>Output</t>
        </is>
      </c>
      <c r="F423" t="inlineStr">
        <is>
          <t>'=AVERAGE(B37:E37)</t>
        </is>
      </c>
      <c r="G423" t="n">
        <v>53280.5</v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inlineStr">
        <is>
          <t>center</t>
        </is>
      </c>
      <c r="P423" t="n">
        <v/>
      </c>
      <c r="R423" t="b">
        <v>1</v>
      </c>
      <c r="S423" t="inlineStr">
        <is>
          <t>G000284</t>
        </is>
      </c>
      <c r="T423" t="inlineStr">
        <is>
          <t>Vertical</t>
        </is>
      </c>
      <c r="U423" t="n">
        <v>130</v>
      </c>
      <c r="V423" t="b">
        <v>1</v>
      </c>
      <c r="W423" t="inlineStr">
        <is>
          <t>ATF fuel!F2:F131</t>
        </is>
      </c>
      <c r="X423">
        <f>AVERAGE(R[0]C[-4]:R[0]C[-1])</f>
        <v/>
      </c>
    </row>
    <row r="424">
      <c r="A424" t="inlineStr">
        <is>
          <t>ATF fuel</t>
        </is>
      </c>
      <c r="B424" t="inlineStr">
        <is>
          <t>G37</t>
        </is>
      </c>
      <c r="C424" t="n">
        <v>37</v>
      </c>
      <c r="D424" t="n">
        <v>7</v>
      </c>
      <c r="E424" t="inlineStr">
        <is>
          <t>Calculation</t>
        </is>
      </c>
      <c r="F424" t="inlineStr">
        <is>
          <t>'=G36-1</t>
        </is>
      </c>
      <c r="G424" t="n">
        <v>96</v>
      </c>
      <c r="H424" t="inlineStr"/>
      <c r="I424" t="inlineStr">
        <is>
          <t>#,##0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n">
        <v/>
      </c>
      <c r="P424" t="n">
        <v/>
      </c>
      <c r="R424" t="b">
        <v>1</v>
      </c>
      <c r="S424" t="inlineStr">
        <is>
          <t>G000286</t>
        </is>
      </c>
      <c r="T424" t="inlineStr">
        <is>
          <t>Vertical</t>
        </is>
      </c>
      <c r="U424" t="n">
        <v>129</v>
      </c>
      <c r="V424" t="b">
        <v>1</v>
      </c>
      <c r="W424" t="inlineStr">
        <is>
          <t>ATF fuel!G3:G131</t>
        </is>
      </c>
      <c r="X424">
        <f>R[-1]C[0]-1</f>
        <v/>
      </c>
    </row>
    <row r="425">
      <c r="A425" t="inlineStr">
        <is>
          <t>ATF fuel</t>
        </is>
      </c>
      <c r="B425" t="inlineStr">
        <is>
          <t>H37</t>
        </is>
      </c>
      <c r="C425" t="n">
        <v>37</v>
      </c>
      <c r="D425" t="n">
        <v>8</v>
      </c>
      <c r="E425" t="inlineStr">
        <is>
          <t>Output</t>
        </is>
      </c>
      <c r="F425" t="inlineStr">
        <is>
          <t>'=INDIRECT("A"&amp;G70)</t>
        </is>
      </c>
      <c r="G425" t="inlineStr">
        <is>
          <t>March 01, 2013</t>
        </is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00000000</t>
        </is>
      </c>
      <c r="O425" t="n">
        <v/>
      </c>
      <c r="P425" t="n">
        <v/>
      </c>
      <c r="R425" t="b">
        <v>1</v>
      </c>
      <c r="S425" t="inlineStr">
        <is>
          <t>G000287</t>
        </is>
      </c>
      <c r="T425" t="inlineStr">
        <is>
          <t>Vertical</t>
        </is>
      </c>
      <c r="U425" t="n">
        <v>20</v>
      </c>
      <c r="V425" t="b">
        <v>1</v>
      </c>
      <c r="W425" t="inlineStr">
        <is>
          <t>ATF fuel!H33:H52</t>
        </is>
      </c>
      <c r="X425">
        <f>INDIRECT("A"&amp;R[33]C[-1])</f>
        <v/>
      </c>
    </row>
    <row r="426">
      <c r="A426" t="inlineStr">
        <is>
          <t>ATF fuel</t>
        </is>
      </c>
      <c r="B426" t="inlineStr">
        <is>
          <t>I37</t>
        </is>
      </c>
      <c r="C426" t="n">
        <v>37</v>
      </c>
      <c r="D426" t="n">
        <v>9</v>
      </c>
      <c r="E426" t="inlineStr">
        <is>
          <t>Output</t>
        </is>
      </c>
      <c r="F426" t="inlineStr">
        <is>
          <t>'=INDIRECT("F"&amp;G70)</t>
        </is>
      </c>
      <c r="G426" t="n">
        <v>74502.5475</v>
      </c>
      <c r="H426" t="inlineStr"/>
      <c r="I426" t="inlineStr">
        <is>
          <t xml:space="preserve">_ * #,##0_ ;_ * \-#,##0_ ;_ * "-"??_ ;_ @_ 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n">
        <v/>
      </c>
      <c r="P426" t="n">
        <v/>
      </c>
      <c r="R426" t="b">
        <v>1</v>
      </c>
      <c r="S426" t="inlineStr">
        <is>
          <t>G000288</t>
        </is>
      </c>
      <c r="T426" t="inlineStr">
        <is>
          <t>Vertical</t>
        </is>
      </c>
      <c r="U426" t="n">
        <v>20</v>
      </c>
      <c r="V426" t="b">
        <v>1</v>
      </c>
      <c r="W426" t="inlineStr">
        <is>
          <t>ATF fuel!I33:I52</t>
        </is>
      </c>
      <c r="X426">
        <f>INDIRECT("F"&amp;R[33]C[-2])</f>
        <v/>
      </c>
    </row>
    <row r="427">
      <c r="A427" t="inlineStr">
        <is>
          <t>ATF fuel</t>
        </is>
      </c>
      <c r="B427" t="inlineStr">
        <is>
          <t>J37</t>
        </is>
      </c>
      <c r="C427" t="n">
        <v>37</v>
      </c>
      <c r="D427" t="n">
        <v>10</v>
      </c>
      <c r="E427" t="inlineStr">
        <is>
          <t>Input</t>
        </is>
      </c>
      <c r="F427" t="n">
        <v/>
      </c>
      <c r="G427" t="n">
        <v>108.64</v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n">
        <v/>
      </c>
      <c r="P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</row>
    <row r="428">
      <c r="A428" t="inlineStr">
        <is>
          <t>ATF fuel</t>
        </is>
      </c>
      <c r="B428" t="inlineStr">
        <is>
          <t>K37</t>
        </is>
      </c>
      <c r="C428" t="n">
        <v>37</v>
      </c>
      <c r="D428" t="n">
        <v>11</v>
      </c>
      <c r="E428" t="inlineStr">
        <is>
          <t>Input</t>
        </is>
      </c>
      <c r="F428" t="n">
        <v/>
      </c>
      <c r="G428" t="n">
        <v>90.70999999999999</v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n">
        <v/>
      </c>
      <c r="P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</row>
    <row r="429">
      <c r="A429" t="inlineStr">
        <is>
          <t>ATF fuel</t>
        </is>
      </c>
      <c r="B429" t="inlineStr">
        <is>
          <t>A38</t>
        </is>
      </c>
      <c r="C429" t="n">
        <v>38</v>
      </c>
      <c r="D429" t="n">
        <v>1</v>
      </c>
      <c r="E429" t="inlineStr">
        <is>
          <t>Input</t>
        </is>
      </c>
      <c r="F429" t="n">
        <v/>
      </c>
      <c r="G429" t="inlineStr">
        <is>
          <t>March 01, 2015</t>
        </is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n">
        <v/>
      </c>
      <c r="N429" t="inlineStr">
        <is>
          <t>00000000</t>
        </is>
      </c>
      <c r="O429" t="n">
        <v/>
      </c>
      <c r="P429" t="n">
        <v/>
      </c>
      <c r="Q429" t="b">
        <v>1</v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ATF fuel</t>
        </is>
      </c>
      <c r="B430" t="inlineStr">
        <is>
          <t>B38</t>
        </is>
      </c>
      <c r="C430" t="n">
        <v>38</v>
      </c>
      <c r="D430" t="n">
        <v>2</v>
      </c>
      <c r="E430" t="inlineStr">
        <is>
          <t>Input</t>
        </is>
      </c>
      <c r="F430" t="n">
        <v/>
      </c>
      <c r="G430" t="n">
        <v>50363</v>
      </c>
      <c r="H430" t="inlineStr"/>
      <c r="I430" t="inlineStr">
        <is>
          <t>#,##0</t>
        </is>
      </c>
      <c r="J430" t="b">
        <v>0</v>
      </c>
      <c r="K430" t="b">
        <v>0</v>
      </c>
      <c r="L430" t="n">
        <v>11</v>
      </c>
      <c r="M430" t="n">
        <v/>
      </c>
      <c r="N430" t="inlineStr">
        <is>
          <t>00000000</t>
        </is>
      </c>
      <c r="O430" t="inlineStr">
        <is>
          <t>center</t>
        </is>
      </c>
      <c r="P430" t="n">
        <v/>
      </c>
      <c r="Q430" t="b">
        <v>1</v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ATF fuel</t>
        </is>
      </c>
      <c r="B431" t="inlineStr">
        <is>
          <t>C38</t>
        </is>
      </c>
      <c r="C431" t="n">
        <v>38</v>
      </c>
      <c r="D431" t="n">
        <v>3</v>
      </c>
      <c r="E431" t="inlineStr">
        <is>
          <t>Input</t>
        </is>
      </c>
      <c r="F431" t="n">
        <v/>
      </c>
      <c r="G431" t="n">
        <v>59479</v>
      </c>
      <c r="H431" t="inlineStr"/>
      <c r="I431" t="inlineStr">
        <is>
          <t>#,##0</t>
        </is>
      </c>
      <c r="J431" t="b">
        <v>0</v>
      </c>
      <c r="K431" t="b">
        <v>0</v>
      </c>
      <c r="L431" t="n">
        <v>11</v>
      </c>
      <c r="M431" t="n">
        <v/>
      </c>
      <c r="N431" t="inlineStr">
        <is>
          <t>00000000</t>
        </is>
      </c>
      <c r="O431" t="inlineStr">
        <is>
          <t>center</t>
        </is>
      </c>
      <c r="P431" t="n">
        <v/>
      </c>
      <c r="Q431" t="b">
        <v>1</v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ATF fuel</t>
        </is>
      </c>
      <c r="B432" t="inlineStr">
        <is>
          <t>D38</t>
        </is>
      </c>
      <c r="C432" t="n">
        <v>38</v>
      </c>
      <c r="D432" t="n">
        <v>4</v>
      </c>
      <c r="E432" t="inlineStr">
        <is>
          <t>Input</t>
        </is>
      </c>
      <c r="F432" t="n">
        <v/>
      </c>
      <c r="G432" t="n">
        <v>51704</v>
      </c>
      <c r="H432" t="inlineStr"/>
      <c r="I432" t="inlineStr">
        <is>
          <t>#,##0</t>
        </is>
      </c>
      <c r="J432" t="b">
        <v>0</v>
      </c>
      <c r="K432" t="b">
        <v>0</v>
      </c>
      <c r="L432" t="n">
        <v>11</v>
      </c>
      <c r="M432" t="n">
        <v/>
      </c>
      <c r="N432" t="inlineStr">
        <is>
          <t>00000000</t>
        </is>
      </c>
      <c r="O432" t="inlineStr">
        <is>
          <t>center</t>
        </is>
      </c>
      <c r="P432" t="n">
        <v/>
      </c>
      <c r="Q432" t="b">
        <v>1</v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ATF fuel</t>
        </is>
      </c>
      <c r="B433" t="inlineStr">
        <is>
          <t>E38</t>
        </is>
      </c>
      <c r="C433" t="n">
        <v>38</v>
      </c>
      <c r="D433" t="n">
        <v>5</v>
      </c>
      <c r="E433" t="inlineStr">
        <is>
          <t>Input</t>
        </is>
      </c>
      <c r="F433" t="n">
        <v/>
      </c>
      <c r="G433" t="n">
        <v>55346</v>
      </c>
      <c r="H433" t="inlineStr"/>
      <c r="I433" t="inlineStr">
        <is>
          <t>#,##0</t>
        </is>
      </c>
      <c r="J433" t="b">
        <v>0</v>
      </c>
      <c r="K433" t="b">
        <v>0</v>
      </c>
      <c r="L433" t="n">
        <v>11</v>
      </c>
      <c r="M433" t="n">
        <v/>
      </c>
      <c r="N433" t="inlineStr">
        <is>
          <t>00000000</t>
        </is>
      </c>
      <c r="O433" t="inlineStr">
        <is>
          <t>center</t>
        </is>
      </c>
      <c r="P433" t="n">
        <v/>
      </c>
      <c r="Q433" t="b">
        <v>1</v>
      </c>
      <c r="R433" t="b">
        <v>1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ATF fuel</t>
        </is>
      </c>
      <c r="B434" t="inlineStr">
        <is>
          <t>F38</t>
        </is>
      </c>
      <c r="C434" t="n">
        <v>38</v>
      </c>
      <c r="D434" t="n">
        <v>6</v>
      </c>
      <c r="E434" t="inlineStr">
        <is>
          <t>Output</t>
        </is>
      </c>
      <c r="F434" t="inlineStr">
        <is>
          <t>'=AVERAGE(B38:E38)</t>
        </is>
      </c>
      <c r="G434" t="n">
        <v>54223</v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inlineStr">
        <is>
          <t>center</t>
        </is>
      </c>
      <c r="P434" t="n">
        <v/>
      </c>
      <c r="R434" t="b">
        <v>1</v>
      </c>
      <c r="S434" t="inlineStr">
        <is>
          <t>G000284</t>
        </is>
      </c>
      <c r="T434" t="inlineStr">
        <is>
          <t>Vertical</t>
        </is>
      </c>
      <c r="U434" t="n">
        <v>130</v>
      </c>
      <c r="V434" t="b">
        <v>1</v>
      </c>
      <c r="W434" t="inlineStr">
        <is>
          <t>ATF fuel!F2:F131</t>
        </is>
      </c>
      <c r="X434">
        <f>AVERAGE(R[0]C[-4]:R[0]C[-1])</f>
        <v/>
      </c>
    </row>
    <row r="435">
      <c r="A435" t="inlineStr">
        <is>
          <t>ATF fuel</t>
        </is>
      </c>
      <c r="B435" t="inlineStr">
        <is>
          <t>G38</t>
        </is>
      </c>
      <c r="C435" t="n">
        <v>38</v>
      </c>
      <c r="D435" t="n">
        <v>7</v>
      </c>
      <c r="E435" t="inlineStr">
        <is>
          <t>Calculation</t>
        </is>
      </c>
      <c r="F435" t="inlineStr">
        <is>
          <t>'=G37-1</t>
        </is>
      </c>
      <c r="G435" t="n">
        <v>95</v>
      </c>
      <c r="H435" t="inlineStr"/>
      <c r="I435" t="inlineStr">
        <is>
          <t>#,##0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n">
        <v/>
      </c>
      <c r="P435" t="n">
        <v/>
      </c>
      <c r="R435" t="b">
        <v>1</v>
      </c>
      <c r="S435" t="inlineStr">
        <is>
          <t>G000286</t>
        </is>
      </c>
      <c r="T435" t="inlineStr">
        <is>
          <t>Vertical</t>
        </is>
      </c>
      <c r="U435" t="n">
        <v>129</v>
      </c>
      <c r="V435" t="b">
        <v>1</v>
      </c>
      <c r="W435" t="inlineStr">
        <is>
          <t>ATF fuel!G3:G131</t>
        </is>
      </c>
      <c r="X435">
        <f>R[-1]C[0]-1</f>
        <v/>
      </c>
    </row>
    <row r="436">
      <c r="A436" t="inlineStr">
        <is>
          <t>ATF fuel</t>
        </is>
      </c>
      <c r="B436" t="inlineStr">
        <is>
          <t>H38</t>
        </is>
      </c>
      <c r="C436" t="n">
        <v>38</v>
      </c>
      <c r="D436" t="n">
        <v>8</v>
      </c>
      <c r="E436" t="inlineStr">
        <is>
          <t>Output</t>
        </is>
      </c>
      <c r="F436" t="inlineStr">
        <is>
          <t>'=INDIRECT("A"&amp;G71)</t>
        </is>
      </c>
      <c r="G436" t="inlineStr">
        <is>
          <t>April 01, 2013</t>
        </is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n">
        <v/>
      </c>
      <c r="P436" t="n">
        <v/>
      </c>
      <c r="R436" t="b">
        <v>1</v>
      </c>
      <c r="S436" t="inlineStr">
        <is>
          <t>G000287</t>
        </is>
      </c>
      <c r="T436" t="inlineStr">
        <is>
          <t>Vertical</t>
        </is>
      </c>
      <c r="U436" t="n">
        <v>20</v>
      </c>
      <c r="V436" t="b">
        <v>1</v>
      </c>
      <c r="W436" t="inlineStr">
        <is>
          <t>ATF fuel!H33:H52</t>
        </is>
      </c>
      <c r="X436">
        <f>INDIRECT("A"&amp;R[33]C[-1])</f>
        <v/>
      </c>
    </row>
    <row r="437">
      <c r="A437" t="inlineStr">
        <is>
          <t>ATF fuel</t>
        </is>
      </c>
      <c r="B437" t="inlineStr">
        <is>
          <t>I38</t>
        </is>
      </c>
      <c r="C437" t="n">
        <v>38</v>
      </c>
      <c r="D437" t="n">
        <v>9</v>
      </c>
      <c r="E437" t="inlineStr">
        <is>
          <t>Output</t>
        </is>
      </c>
      <c r="F437" t="inlineStr">
        <is>
          <t>'=INDIRECT("F"&amp;G71)</t>
        </is>
      </c>
      <c r="G437" t="n">
        <v>70671.505</v>
      </c>
      <c r="H437" t="inlineStr"/>
      <c r="I437" t="inlineStr">
        <is>
          <t xml:space="preserve">_ * #,##0_ ;_ * \-#,##0_ ;_ * "-"??_ ;_ @_ 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n">
        <v/>
      </c>
      <c r="P437" t="n">
        <v/>
      </c>
      <c r="R437" t="b">
        <v>1</v>
      </c>
      <c r="S437" t="inlineStr">
        <is>
          <t>G000288</t>
        </is>
      </c>
      <c r="T437" t="inlineStr">
        <is>
          <t>Vertical</t>
        </is>
      </c>
      <c r="U437" t="n">
        <v>20</v>
      </c>
      <c r="V437" t="b">
        <v>1</v>
      </c>
      <c r="W437" t="inlineStr">
        <is>
          <t>ATF fuel!I33:I52</t>
        </is>
      </c>
      <c r="X437">
        <f>INDIRECT("F"&amp;R[33]C[-2])</f>
        <v/>
      </c>
    </row>
    <row r="438">
      <c r="A438" t="inlineStr">
        <is>
          <t>ATF fuel</t>
        </is>
      </c>
      <c r="B438" t="inlineStr">
        <is>
          <t>J38</t>
        </is>
      </c>
      <c r="C438" t="n">
        <v>38</v>
      </c>
      <c r="D438" t="n">
        <v>10</v>
      </c>
      <c r="E438" t="inlineStr">
        <is>
          <t>Input</t>
        </is>
      </c>
      <c r="F438" t="n">
        <v/>
      </c>
      <c r="G438" t="n">
        <v>104.08</v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00000000</t>
        </is>
      </c>
      <c r="O438" t="n">
        <v/>
      </c>
      <c r="P438" t="n">
        <v/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ATF fuel</t>
        </is>
      </c>
      <c r="B439" t="inlineStr">
        <is>
          <t>K38</t>
        </is>
      </c>
      <c r="C439" t="n">
        <v>38</v>
      </c>
      <c r="D439" t="n">
        <v>11</v>
      </c>
      <c r="E439" t="inlineStr">
        <is>
          <t>Input</t>
        </is>
      </c>
      <c r="F439" t="n">
        <v/>
      </c>
      <c r="G439" t="n">
        <v>97.09999999999999</v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11</v>
      </c>
      <c r="M439" t="inlineStr">
        <is>
          <t>Values must be of type &lt;class 'str'&gt;</t>
        </is>
      </c>
      <c r="N439" t="inlineStr">
        <is>
          <t>00000000</t>
        </is>
      </c>
      <c r="O439" t="n">
        <v/>
      </c>
      <c r="P439" t="n">
        <v/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</row>
    <row r="440">
      <c r="A440" t="inlineStr">
        <is>
          <t>ATF fuel</t>
        </is>
      </c>
      <c r="B440" t="inlineStr">
        <is>
          <t>A39</t>
        </is>
      </c>
      <c r="C440" t="n">
        <v>39</v>
      </c>
      <c r="D440" t="n">
        <v>1</v>
      </c>
      <c r="E440" t="inlineStr">
        <is>
          <t>Input</t>
        </is>
      </c>
      <c r="F440" t="n">
        <v/>
      </c>
      <c r="G440" t="inlineStr">
        <is>
          <t>February 01, 2015</t>
        </is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11</v>
      </c>
      <c r="M440" t="n">
        <v/>
      </c>
      <c r="N440" t="inlineStr">
        <is>
          <t>00000000</t>
        </is>
      </c>
      <c r="O440" t="n">
        <v/>
      </c>
      <c r="P440" t="n">
        <v/>
      </c>
      <c r="Q440" t="b">
        <v>1</v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ATF fuel</t>
        </is>
      </c>
      <c r="B441" t="inlineStr">
        <is>
          <t>B39</t>
        </is>
      </c>
      <c r="C441" t="n">
        <v>39</v>
      </c>
      <c r="D441" t="n">
        <v>2</v>
      </c>
      <c r="E441" t="inlineStr">
        <is>
          <t>Input</t>
        </is>
      </c>
      <c r="F441" t="n">
        <v/>
      </c>
      <c r="G441" t="n">
        <v>46513.03</v>
      </c>
      <c r="H441" t="inlineStr"/>
      <c r="I441" t="inlineStr">
        <is>
          <t>#,##0</t>
        </is>
      </c>
      <c r="J441" t="b">
        <v>0</v>
      </c>
      <c r="K441" t="b">
        <v>0</v>
      </c>
      <c r="L441" t="n">
        <v>11</v>
      </c>
      <c r="M441" t="n">
        <v/>
      </c>
      <c r="N441" t="inlineStr">
        <is>
          <t>00000000</t>
        </is>
      </c>
      <c r="O441" t="inlineStr">
        <is>
          <t>center</t>
        </is>
      </c>
      <c r="P441" t="n">
        <v/>
      </c>
      <c r="Q441" t="b">
        <v>1</v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ATF fuel</t>
        </is>
      </c>
      <c r="B442" t="inlineStr">
        <is>
          <t>C39</t>
        </is>
      </c>
      <c r="C442" t="n">
        <v>39</v>
      </c>
      <c r="D442" t="n">
        <v>3</v>
      </c>
      <c r="E442" t="inlineStr">
        <is>
          <t>Input</t>
        </is>
      </c>
      <c r="F442" t="n">
        <v/>
      </c>
      <c r="G442" t="n">
        <v>55444.15</v>
      </c>
      <c r="H442" t="inlineStr"/>
      <c r="I442" t="inlineStr">
        <is>
          <t>#,##0</t>
        </is>
      </c>
      <c r="J442" t="b">
        <v>0</v>
      </c>
      <c r="K442" t="b">
        <v>0</v>
      </c>
      <c r="L442" t="n">
        <v>11</v>
      </c>
      <c r="M442" t="n">
        <v/>
      </c>
      <c r="N442" t="inlineStr">
        <is>
          <t>00000000</t>
        </is>
      </c>
      <c r="O442" t="inlineStr">
        <is>
          <t>center</t>
        </is>
      </c>
      <c r="P442" t="n">
        <v/>
      </c>
      <c r="Q442" t="b">
        <v>1</v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ATF fuel</t>
        </is>
      </c>
      <c r="B443" t="inlineStr">
        <is>
          <t>D39</t>
        </is>
      </c>
      <c r="C443" t="n">
        <v>39</v>
      </c>
      <c r="D443" t="n">
        <v>4</v>
      </c>
      <c r="E443" t="inlineStr">
        <is>
          <t>Input</t>
        </is>
      </c>
      <c r="F443" t="n">
        <v/>
      </c>
      <c r="G443" t="n">
        <v>47691.9</v>
      </c>
      <c r="H443" t="inlineStr"/>
      <c r="I443" t="inlineStr">
        <is>
          <t>#,##0</t>
        </is>
      </c>
      <c r="J443" t="b">
        <v>0</v>
      </c>
      <c r="K443" t="b">
        <v>0</v>
      </c>
      <c r="L443" t="n">
        <v>11</v>
      </c>
      <c r="M443" t="n">
        <v/>
      </c>
      <c r="N443" t="inlineStr">
        <is>
          <t>00000000</t>
        </is>
      </c>
      <c r="O443" t="inlineStr">
        <is>
          <t>center</t>
        </is>
      </c>
      <c r="P443" t="n">
        <v/>
      </c>
      <c r="Q443" t="b">
        <v>1</v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</row>
    <row r="444">
      <c r="A444" t="inlineStr">
        <is>
          <t>ATF fuel</t>
        </is>
      </c>
      <c r="B444" t="inlineStr">
        <is>
          <t>E39</t>
        </is>
      </c>
      <c r="C444" t="n">
        <v>39</v>
      </c>
      <c r="D444" t="n">
        <v>5</v>
      </c>
      <c r="E444" t="inlineStr">
        <is>
          <t>Input</t>
        </is>
      </c>
      <c r="F444" t="n">
        <v/>
      </c>
      <c r="G444" t="n">
        <v>51182.36</v>
      </c>
      <c r="H444" t="inlineStr"/>
      <c r="I444" t="inlineStr">
        <is>
          <t>#,##0</t>
        </is>
      </c>
      <c r="J444" t="b">
        <v>0</v>
      </c>
      <c r="K444" t="b">
        <v>0</v>
      </c>
      <c r="L444" t="n">
        <v>11</v>
      </c>
      <c r="M444" t="n">
        <v/>
      </c>
      <c r="N444" t="inlineStr">
        <is>
          <t>00000000</t>
        </is>
      </c>
      <c r="O444" t="inlineStr">
        <is>
          <t>center</t>
        </is>
      </c>
      <c r="P444" t="n">
        <v/>
      </c>
      <c r="Q444" t="b">
        <v>1</v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ATF fuel</t>
        </is>
      </c>
      <c r="B445" t="inlineStr">
        <is>
          <t>F39</t>
        </is>
      </c>
      <c r="C445" t="n">
        <v>39</v>
      </c>
      <c r="D445" t="n">
        <v>6</v>
      </c>
      <c r="E445" t="inlineStr">
        <is>
          <t>Output</t>
        </is>
      </c>
      <c r="F445" t="inlineStr">
        <is>
          <t>'=AVERAGE(B39:E39)</t>
        </is>
      </c>
      <c r="G445" t="n">
        <v>50207.86</v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inlineStr">
        <is>
          <t>center</t>
        </is>
      </c>
      <c r="P445" t="n">
        <v/>
      </c>
      <c r="R445" t="b">
        <v>1</v>
      </c>
      <c r="S445" t="inlineStr">
        <is>
          <t>G000284</t>
        </is>
      </c>
      <c r="T445" t="inlineStr">
        <is>
          <t>Vertical</t>
        </is>
      </c>
      <c r="U445" t="n">
        <v>130</v>
      </c>
      <c r="V445" t="b">
        <v>1</v>
      </c>
      <c r="W445" t="inlineStr">
        <is>
          <t>ATF fuel!F2:F131</t>
        </is>
      </c>
      <c r="X445">
        <f>AVERAGE(R[0]C[-4]:R[0]C[-1])</f>
        <v/>
      </c>
    </row>
    <row r="446">
      <c r="A446" t="inlineStr">
        <is>
          <t>ATF fuel</t>
        </is>
      </c>
      <c r="B446" t="inlineStr">
        <is>
          <t>G39</t>
        </is>
      </c>
      <c r="C446" t="n">
        <v>39</v>
      </c>
      <c r="D446" t="n">
        <v>7</v>
      </c>
      <c r="E446" t="inlineStr">
        <is>
          <t>Calculation</t>
        </is>
      </c>
      <c r="F446" t="inlineStr">
        <is>
          <t>'=G38-1</t>
        </is>
      </c>
      <c r="G446" t="n">
        <v>94</v>
      </c>
      <c r="H446" t="inlineStr"/>
      <c r="I446" t="inlineStr">
        <is>
          <t>#,##0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n">
        <v/>
      </c>
      <c r="P446" t="n">
        <v/>
      </c>
      <c r="R446" t="b">
        <v>1</v>
      </c>
      <c r="S446" t="inlineStr">
        <is>
          <t>G000286</t>
        </is>
      </c>
      <c r="T446" t="inlineStr">
        <is>
          <t>Vertical</t>
        </is>
      </c>
      <c r="U446" t="n">
        <v>129</v>
      </c>
      <c r="V446" t="b">
        <v>1</v>
      </c>
      <c r="W446" t="inlineStr">
        <is>
          <t>ATF fuel!G3:G131</t>
        </is>
      </c>
      <c r="X446">
        <f>R[-1]C[0]-1</f>
        <v/>
      </c>
    </row>
    <row r="447">
      <c r="A447" t="inlineStr">
        <is>
          <t>ATF fuel</t>
        </is>
      </c>
      <c r="B447" t="inlineStr">
        <is>
          <t>H39</t>
        </is>
      </c>
      <c r="C447" t="n">
        <v>39</v>
      </c>
      <c r="D447" t="n">
        <v>8</v>
      </c>
      <c r="E447" t="inlineStr">
        <is>
          <t>Output</t>
        </is>
      </c>
      <c r="F447" t="inlineStr">
        <is>
          <t>'=INDIRECT("A"&amp;G72)</t>
        </is>
      </c>
      <c r="G447" t="inlineStr">
        <is>
          <t>May 01, 2013</t>
        </is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n">
        <v/>
      </c>
      <c r="P447" t="n">
        <v/>
      </c>
      <c r="R447" t="b">
        <v>1</v>
      </c>
      <c r="S447" t="inlineStr">
        <is>
          <t>G000287</t>
        </is>
      </c>
      <c r="T447" t="inlineStr">
        <is>
          <t>Vertical</t>
        </is>
      </c>
      <c r="U447" t="n">
        <v>20</v>
      </c>
      <c r="V447" t="b">
        <v>1</v>
      </c>
      <c r="W447" t="inlineStr">
        <is>
          <t>ATF fuel!H33:H52</t>
        </is>
      </c>
      <c r="X447">
        <f>INDIRECT("A"&amp;R[33]C[-1])</f>
        <v/>
      </c>
    </row>
    <row r="448">
      <c r="A448" t="inlineStr">
        <is>
          <t>ATF fuel</t>
        </is>
      </c>
      <c r="B448" t="inlineStr">
        <is>
          <t>I39</t>
        </is>
      </c>
      <c r="C448" t="n">
        <v>39</v>
      </c>
      <c r="D448" t="n">
        <v>9</v>
      </c>
      <c r="E448" t="inlineStr">
        <is>
          <t>Output</t>
        </is>
      </c>
      <c r="F448" t="inlineStr">
        <is>
          <t>'=INDIRECT("F"&amp;G72)</t>
        </is>
      </c>
      <c r="G448" t="n">
        <v>66995.0975</v>
      </c>
      <c r="H448" t="inlineStr"/>
      <c r="I448" t="inlineStr">
        <is>
          <t xml:space="preserve">_ * #,##0_ ;_ * \-#,##0_ ;_ * "-"??_ ;_ @_ 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n">
        <v/>
      </c>
      <c r="P448" t="n">
        <v/>
      </c>
      <c r="R448" t="b">
        <v>1</v>
      </c>
      <c r="S448" t="inlineStr">
        <is>
          <t>G000288</t>
        </is>
      </c>
      <c r="T448" t="inlineStr">
        <is>
          <t>Vertical</t>
        </is>
      </c>
      <c r="U448" t="n">
        <v>20</v>
      </c>
      <c r="V448" t="b">
        <v>1</v>
      </c>
      <c r="W448" t="inlineStr">
        <is>
          <t>ATF fuel!I33:I52</t>
        </is>
      </c>
      <c r="X448">
        <f>INDIRECT("F"&amp;R[33]C[-2])</f>
        <v/>
      </c>
    </row>
    <row r="449">
      <c r="A449" t="inlineStr">
        <is>
          <t>ATF fuel</t>
        </is>
      </c>
      <c r="B449" t="inlineStr">
        <is>
          <t>J39</t>
        </is>
      </c>
      <c r="C449" t="n">
        <v>39</v>
      </c>
      <c r="D449" t="n">
        <v>10</v>
      </c>
      <c r="E449" t="inlineStr">
        <is>
          <t>Input</t>
        </is>
      </c>
      <c r="F449" t="n">
        <v/>
      </c>
      <c r="G449" t="n">
        <v>103.59</v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n">
        <v/>
      </c>
      <c r="P449" t="n">
        <v/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ATF fuel</t>
        </is>
      </c>
      <c r="B450" t="inlineStr">
        <is>
          <t>K39</t>
        </is>
      </c>
      <c r="C450" t="n">
        <v>39</v>
      </c>
      <c r="D450" t="n">
        <v>11</v>
      </c>
      <c r="E450" t="inlineStr">
        <is>
          <t>Input</t>
        </is>
      </c>
      <c r="F450" t="n">
        <v/>
      </c>
      <c r="G450" t="n">
        <v>90.73999999999999</v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n">
        <v/>
      </c>
      <c r="P450" t="n">
        <v/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ATF fuel</t>
        </is>
      </c>
      <c r="B451" t="inlineStr">
        <is>
          <t>A40</t>
        </is>
      </c>
      <c r="C451" t="n">
        <v>40</v>
      </c>
      <c r="D451" t="n">
        <v>1</v>
      </c>
      <c r="E451" t="inlineStr">
        <is>
          <t>Input</t>
        </is>
      </c>
      <c r="F451" t="n">
        <v/>
      </c>
      <c r="G451" t="inlineStr">
        <is>
          <t>January 01, 2015</t>
        </is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11</v>
      </c>
      <c r="M451" t="n">
        <v/>
      </c>
      <c r="N451" t="inlineStr">
        <is>
          <t>00000000</t>
        </is>
      </c>
      <c r="O451" t="n">
        <v/>
      </c>
      <c r="P451" t="n">
        <v/>
      </c>
      <c r="Q451" t="b">
        <v>1</v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ATF fuel</t>
        </is>
      </c>
      <c r="B452" t="inlineStr">
        <is>
          <t>B40</t>
        </is>
      </c>
      <c r="C452" t="n">
        <v>40</v>
      </c>
      <c r="D452" t="n">
        <v>2</v>
      </c>
      <c r="E452" t="inlineStr">
        <is>
          <t>Input</t>
        </is>
      </c>
      <c r="F452" t="n">
        <v/>
      </c>
      <c r="G452" t="n">
        <v>52423</v>
      </c>
      <c r="H452" t="inlineStr"/>
      <c r="I452" t="inlineStr">
        <is>
          <t>#,##0</t>
        </is>
      </c>
      <c r="J452" t="b">
        <v>0</v>
      </c>
      <c r="K452" t="b">
        <v>0</v>
      </c>
      <c r="L452" t="n">
        <v>11</v>
      </c>
      <c r="M452" t="n">
        <v/>
      </c>
      <c r="N452" t="inlineStr">
        <is>
          <t>00000000</t>
        </is>
      </c>
      <c r="O452" t="inlineStr">
        <is>
          <t>center</t>
        </is>
      </c>
      <c r="P452" t="n">
        <v/>
      </c>
      <c r="Q452" t="b">
        <v>1</v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ATF fuel</t>
        </is>
      </c>
      <c r="B453" t="inlineStr">
        <is>
          <t>C40</t>
        </is>
      </c>
      <c r="C453" t="n">
        <v>40</v>
      </c>
      <c r="D453" t="n">
        <v>3</v>
      </c>
      <c r="E453" t="inlineStr">
        <is>
          <t>Input</t>
        </is>
      </c>
      <c r="F453" t="n">
        <v/>
      </c>
      <c r="G453" t="n">
        <v>61525</v>
      </c>
      <c r="H453" t="inlineStr"/>
      <c r="I453" t="inlineStr">
        <is>
          <t>#,##0</t>
        </is>
      </c>
      <c r="J453" t="b">
        <v>0</v>
      </c>
      <c r="K453" t="b">
        <v>0</v>
      </c>
      <c r="L453" t="n">
        <v>11</v>
      </c>
      <c r="M453" t="n">
        <v/>
      </c>
      <c r="N453" t="inlineStr">
        <is>
          <t>00000000</t>
        </is>
      </c>
      <c r="O453" t="inlineStr">
        <is>
          <t>center</t>
        </is>
      </c>
      <c r="P453" t="n">
        <v/>
      </c>
      <c r="Q453" t="b">
        <v>1</v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ATF fuel</t>
        </is>
      </c>
      <c r="B454" t="inlineStr">
        <is>
          <t>D40</t>
        </is>
      </c>
      <c r="C454" t="n">
        <v>40</v>
      </c>
      <c r="D454" t="n">
        <v>4</v>
      </c>
      <c r="E454" t="inlineStr">
        <is>
          <t>Input</t>
        </is>
      </c>
      <c r="F454" t="n">
        <v/>
      </c>
      <c r="G454" t="n">
        <v>53862</v>
      </c>
      <c r="H454" t="inlineStr"/>
      <c r="I454" t="inlineStr">
        <is>
          <t>#,##0</t>
        </is>
      </c>
      <c r="J454" t="b">
        <v>0</v>
      </c>
      <c r="K454" t="b">
        <v>0</v>
      </c>
      <c r="L454" t="n">
        <v>11</v>
      </c>
      <c r="M454" t="n">
        <v/>
      </c>
      <c r="N454" t="inlineStr">
        <is>
          <t>00000000</t>
        </is>
      </c>
      <c r="O454" t="inlineStr">
        <is>
          <t>center</t>
        </is>
      </c>
      <c r="P454" t="n">
        <v/>
      </c>
      <c r="Q454" t="b">
        <v>1</v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ATF fuel</t>
        </is>
      </c>
      <c r="B455" t="inlineStr">
        <is>
          <t>E40</t>
        </is>
      </c>
      <c r="C455" t="n">
        <v>40</v>
      </c>
      <c r="D455" t="n">
        <v>5</v>
      </c>
      <c r="E455" t="inlineStr">
        <is>
          <t>Input</t>
        </is>
      </c>
      <c r="F455" t="n">
        <v/>
      </c>
      <c r="G455" t="n">
        <v>57457</v>
      </c>
      <c r="H455" t="inlineStr"/>
      <c r="I455" t="inlineStr">
        <is>
          <t>#,##0</t>
        </is>
      </c>
      <c r="J455" t="b">
        <v>0</v>
      </c>
      <c r="K455" t="b">
        <v>0</v>
      </c>
      <c r="L455" t="n">
        <v>11</v>
      </c>
      <c r="M455" t="n">
        <v/>
      </c>
      <c r="N455" t="inlineStr">
        <is>
          <t>00000000</t>
        </is>
      </c>
      <c r="O455" t="inlineStr">
        <is>
          <t>center</t>
        </is>
      </c>
      <c r="P455" t="n">
        <v/>
      </c>
      <c r="Q455" t="b">
        <v>1</v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ATF fuel</t>
        </is>
      </c>
      <c r="B456" t="inlineStr">
        <is>
          <t>F40</t>
        </is>
      </c>
      <c r="C456" t="n">
        <v>40</v>
      </c>
      <c r="D456" t="n">
        <v>6</v>
      </c>
      <c r="E456" t="inlineStr">
        <is>
          <t>Output</t>
        </is>
      </c>
      <c r="F456" t="inlineStr">
        <is>
          <t>'=AVERAGE(B40:E40)</t>
        </is>
      </c>
      <c r="G456" t="n">
        <v>56316.75</v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inlineStr">
        <is>
          <t>center</t>
        </is>
      </c>
      <c r="P456" t="n">
        <v/>
      </c>
      <c r="R456" t="b">
        <v>1</v>
      </c>
      <c r="S456" t="inlineStr">
        <is>
          <t>G000284</t>
        </is>
      </c>
      <c r="T456" t="inlineStr">
        <is>
          <t>Vertical</t>
        </is>
      </c>
      <c r="U456" t="n">
        <v>130</v>
      </c>
      <c r="V456" t="b">
        <v>1</v>
      </c>
      <c r="W456" t="inlineStr">
        <is>
          <t>ATF fuel!F2:F131</t>
        </is>
      </c>
      <c r="X456">
        <f>AVERAGE(R[0]C[-4]:R[0]C[-1])</f>
        <v/>
      </c>
    </row>
    <row r="457">
      <c r="A457" t="inlineStr">
        <is>
          <t>ATF fuel</t>
        </is>
      </c>
      <c r="B457" t="inlineStr">
        <is>
          <t>G40</t>
        </is>
      </c>
      <c r="C457" t="n">
        <v>40</v>
      </c>
      <c r="D457" t="n">
        <v>7</v>
      </c>
      <c r="E457" t="inlineStr">
        <is>
          <t>Calculation</t>
        </is>
      </c>
      <c r="F457" t="inlineStr">
        <is>
          <t>'=G39-1</t>
        </is>
      </c>
      <c r="G457" t="n">
        <v>93</v>
      </c>
      <c r="H457" t="inlineStr"/>
      <c r="I457" t="inlineStr">
        <is>
          <t>#,##0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P457" t="n">
        <v/>
      </c>
      <c r="R457" t="b">
        <v>1</v>
      </c>
      <c r="S457" t="inlineStr">
        <is>
          <t>G000286</t>
        </is>
      </c>
      <c r="T457" t="inlineStr">
        <is>
          <t>Vertical</t>
        </is>
      </c>
      <c r="U457" t="n">
        <v>129</v>
      </c>
      <c r="V457" t="b">
        <v>1</v>
      </c>
      <c r="W457" t="inlineStr">
        <is>
          <t>ATF fuel!G3:G131</t>
        </is>
      </c>
      <c r="X457">
        <f>R[-1]C[0]-1</f>
        <v/>
      </c>
    </row>
    <row r="458">
      <c r="A458" t="inlineStr">
        <is>
          <t>ATF fuel</t>
        </is>
      </c>
      <c r="B458" t="inlineStr">
        <is>
          <t>H40</t>
        </is>
      </c>
      <c r="C458" t="n">
        <v>40</v>
      </c>
      <c r="D458" t="n">
        <v>8</v>
      </c>
      <c r="E458" t="inlineStr">
        <is>
          <t>Output</t>
        </is>
      </c>
      <c r="F458" t="inlineStr">
        <is>
          <t>'=INDIRECT("A"&amp;G73)</t>
        </is>
      </c>
      <c r="G458" t="inlineStr">
        <is>
          <t>June 01, 2013</t>
        </is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n">
        <v/>
      </c>
      <c r="P458" t="n">
        <v/>
      </c>
      <c r="R458" t="b">
        <v>1</v>
      </c>
      <c r="S458" t="inlineStr">
        <is>
          <t>G000287</t>
        </is>
      </c>
      <c r="T458" t="inlineStr">
        <is>
          <t>Vertical</t>
        </is>
      </c>
      <c r="U458" t="n">
        <v>20</v>
      </c>
      <c r="V458" t="b">
        <v>1</v>
      </c>
      <c r="W458" t="inlineStr">
        <is>
          <t>ATF fuel!H33:H52</t>
        </is>
      </c>
      <c r="X458">
        <f>INDIRECT("A"&amp;R[33]C[-1])</f>
        <v/>
      </c>
    </row>
    <row r="459">
      <c r="A459" t="inlineStr">
        <is>
          <t>ATF fuel</t>
        </is>
      </c>
      <c r="B459" t="inlineStr">
        <is>
          <t>I40</t>
        </is>
      </c>
      <c r="C459" t="n">
        <v>40</v>
      </c>
      <c r="D459" t="n">
        <v>9</v>
      </c>
      <c r="E459" t="inlineStr">
        <is>
          <t>Output</t>
        </is>
      </c>
      <c r="F459" t="inlineStr">
        <is>
          <t>'=INDIRECT("F"&amp;G73)</t>
        </is>
      </c>
      <c r="G459" t="n">
        <v>66745.17249999999</v>
      </c>
      <c r="H459" t="inlineStr"/>
      <c r="I459" t="inlineStr">
        <is>
          <t xml:space="preserve">_ * #,##0_ ;_ * \-#,##0_ ;_ * "-"??_ ;_ @_ 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n">
        <v/>
      </c>
      <c r="P459" t="n">
        <v/>
      </c>
      <c r="R459" t="b">
        <v>1</v>
      </c>
      <c r="S459" t="inlineStr">
        <is>
          <t>G000288</t>
        </is>
      </c>
      <c r="T459" t="inlineStr">
        <is>
          <t>Vertical</t>
        </is>
      </c>
      <c r="U459" t="n">
        <v>20</v>
      </c>
      <c r="V459" t="b">
        <v>1</v>
      </c>
      <c r="W459" t="inlineStr">
        <is>
          <t>ATF fuel!I33:I52</t>
        </is>
      </c>
      <c r="X459">
        <f>INDIRECT("F"&amp;R[33]C[-2])</f>
        <v/>
      </c>
    </row>
    <row r="460">
      <c r="A460" t="inlineStr">
        <is>
          <t>ATF fuel</t>
        </is>
      </c>
      <c r="B460" t="inlineStr">
        <is>
          <t>J40</t>
        </is>
      </c>
      <c r="C460" t="n">
        <v>40</v>
      </c>
      <c r="D460" t="n">
        <v>10</v>
      </c>
      <c r="E460" t="inlineStr">
        <is>
          <t>Input</t>
        </is>
      </c>
      <c r="F460" t="n">
        <v/>
      </c>
      <c r="G460" t="n">
        <v>101.5</v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n">
        <v/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ATF fuel</t>
        </is>
      </c>
      <c r="B461" t="inlineStr">
        <is>
          <t>K40</t>
        </is>
      </c>
      <c r="C461" t="n">
        <v>40</v>
      </c>
      <c r="D461" t="n">
        <v>11</v>
      </c>
      <c r="E461" t="inlineStr">
        <is>
          <t>Input</t>
        </is>
      </c>
      <c r="F461" t="n">
        <v/>
      </c>
      <c r="G461" t="n">
        <v>93.41</v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n">
        <v/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ATF fuel</t>
        </is>
      </c>
      <c r="B462" t="inlineStr">
        <is>
          <t>A41</t>
        </is>
      </c>
      <c r="C462" t="n">
        <v>41</v>
      </c>
      <c r="D462" t="n">
        <v>1</v>
      </c>
      <c r="E462" t="inlineStr">
        <is>
          <t>Input</t>
        </is>
      </c>
      <c r="F462" t="n">
        <v/>
      </c>
      <c r="G462" t="inlineStr">
        <is>
          <t>December 01, 2014</t>
        </is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11</v>
      </c>
      <c r="M462" t="n">
        <v/>
      </c>
      <c r="N462" t="inlineStr">
        <is>
          <t>00000000</t>
        </is>
      </c>
      <c r="O462" t="n">
        <v/>
      </c>
      <c r="P462" t="n">
        <v/>
      </c>
      <c r="Q462" t="b">
        <v>1</v>
      </c>
      <c r="R462" t="b">
        <v>1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ATF fuel</t>
        </is>
      </c>
      <c r="B463" t="inlineStr">
        <is>
          <t>B41</t>
        </is>
      </c>
      <c r="C463" t="n">
        <v>41</v>
      </c>
      <c r="D463" t="n">
        <v>2</v>
      </c>
      <c r="E463" t="inlineStr">
        <is>
          <t>Input</t>
        </is>
      </c>
      <c r="F463" t="n">
        <v/>
      </c>
      <c r="G463" t="n">
        <v>59943</v>
      </c>
      <c r="H463" t="inlineStr"/>
      <c r="I463" t="inlineStr">
        <is>
          <t>#,##0</t>
        </is>
      </c>
      <c r="J463" t="b">
        <v>0</v>
      </c>
      <c r="K463" t="b">
        <v>0</v>
      </c>
      <c r="L463" t="n">
        <v>11</v>
      </c>
      <c r="M463" t="n">
        <v/>
      </c>
      <c r="N463" t="inlineStr">
        <is>
          <t>00000000</t>
        </is>
      </c>
      <c r="O463" t="inlineStr">
        <is>
          <t>center</t>
        </is>
      </c>
      <c r="P463" t="n">
        <v/>
      </c>
      <c r="Q463" t="b">
        <v>1</v>
      </c>
      <c r="R463" t="b">
        <v>1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ATF fuel</t>
        </is>
      </c>
      <c r="B464" t="inlineStr">
        <is>
          <t>C41</t>
        </is>
      </c>
      <c r="C464" t="n">
        <v>41</v>
      </c>
      <c r="D464" t="n">
        <v>3</v>
      </c>
      <c r="E464" t="inlineStr">
        <is>
          <t>Input</t>
        </is>
      </c>
      <c r="F464" t="n">
        <v/>
      </c>
      <c r="G464" t="n">
        <v>69386</v>
      </c>
      <c r="H464" t="inlineStr"/>
      <c r="I464" t="inlineStr">
        <is>
          <t>#,##0</t>
        </is>
      </c>
      <c r="J464" t="b">
        <v>0</v>
      </c>
      <c r="K464" t="b">
        <v>0</v>
      </c>
      <c r="L464" t="n">
        <v>11</v>
      </c>
      <c r="M464" t="n">
        <v/>
      </c>
      <c r="N464" t="inlineStr">
        <is>
          <t>00000000</t>
        </is>
      </c>
      <c r="O464" t="inlineStr">
        <is>
          <t>center</t>
        </is>
      </c>
      <c r="P464" t="n">
        <v/>
      </c>
      <c r="Q464" t="b">
        <v>1</v>
      </c>
      <c r="R464" t="b">
        <v>1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ATF fuel</t>
        </is>
      </c>
      <c r="B465" t="inlineStr">
        <is>
          <t>D41</t>
        </is>
      </c>
      <c r="C465" t="n">
        <v>41</v>
      </c>
      <c r="D465" t="n">
        <v>4</v>
      </c>
      <c r="E465" t="inlineStr">
        <is>
          <t>Input</t>
        </is>
      </c>
      <c r="F465" t="n">
        <v/>
      </c>
      <c r="G465" t="n">
        <v>61695</v>
      </c>
      <c r="H465" t="inlineStr"/>
      <c r="I465" t="inlineStr">
        <is>
          <t>#,##0</t>
        </is>
      </c>
      <c r="J465" t="b">
        <v>0</v>
      </c>
      <c r="K465" t="b">
        <v>0</v>
      </c>
      <c r="L465" t="n">
        <v>11</v>
      </c>
      <c r="M465" t="n">
        <v/>
      </c>
      <c r="N465" t="inlineStr">
        <is>
          <t>00000000</t>
        </is>
      </c>
      <c r="O465" t="inlineStr">
        <is>
          <t>center</t>
        </is>
      </c>
      <c r="P465" t="n">
        <v/>
      </c>
      <c r="Q465" t="b">
        <v>1</v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ATF fuel</t>
        </is>
      </c>
      <c r="B466" t="inlineStr">
        <is>
          <t>E41</t>
        </is>
      </c>
      <c r="C466" t="n">
        <v>41</v>
      </c>
      <c r="D466" t="n">
        <v>5</v>
      </c>
      <c r="E466" t="inlineStr">
        <is>
          <t>Input</t>
        </is>
      </c>
      <c r="F466" t="n">
        <v/>
      </c>
      <c r="G466" t="n">
        <v>65556</v>
      </c>
      <c r="H466" t="inlineStr"/>
      <c r="I466" t="inlineStr">
        <is>
          <t>#,##0</t>
        </is>
      </c>
      <c r="J466" t="b">
        <v>0</v>
      </c>
      <c r="K466" t="b">
        <v>0</v>
      </c>
      <c r="L466" t="n">
        <v>11</v>
      </c>
      <c r="M466" t="n">
        <v/>
      </c>
      <c r="N466" t="inlineStr">
        <is>
          <t>00000000</t>
        </is>
      </c>
      <c r="O466" t="inlineStr">
        <is>
          <t>center</t>
        </is>
      </c>
      <c r="P466" t="n">
        <v/>
      </c>
      <c r="Q466" t="b">
        <v>1</v>
      </c>
      <c r="R466" t="b">
        <v>1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ATF fuel</t>
        </is>
      </c>
      <c r="B467" t="inlineStr">
        <is>
          <t>F41</t>
        </is>
      </c>
      <c r="C467" t="n">
        <v>41</v>
      </c>
      <c r="D467" t="n">
        <v>6</v>
      </c>
      <c r="E467" t="inlineStr">
        <is>
          <t>Output</t>
        </is>
      </c>
      <c r="F467" t="inlineStr">
        <is>
          <t>'=AVERAGE(B41:E41)</t>
        </is>
      </c>
      <c r="G467" t="n">
        <v>64145</v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11</v>
      </c>
      <c r="M467" t="inlineStr">
        <is>
          <t>Values must be of type &lt;class 'str'&gt;</t>
        </is>
      </c>
      <c r="N467" t="inlineStr">
        <is>
          <t>00000000</t>
        </is>
      </c>
      <c r="O467" t="inlineStr">
        <is>
          <t>center</t>
        </is>
      </c>
      <c r="P467" t="n">
        <v/>
      </c>
      <c r="R467" t="b">
        <v>1</v>
      </c>
      <c r="S467" t="inlineStr">
        <is>
          <t>G000284</t>
        </is>
      </c>
      <c r="T467" t="inlineStr">
        <is>
          <t>Vertical</t>
        </is>
      </c>
      <c r="U467" t="n">
        <v>130</v>
      </c>
      <c r="V467" t="b">
        <v>1</v>
      </c>
      <c r="W467" t="inlineStr">
        <is>
          <t>ATF fuel!F2:F131</t>
        </is>
      </c>
      <c r="X467">
        <f>AVERAGE(R[0]C[-4]:R[0]C[-1])</f>
        <v/>
      </c>
    </row>
    <row r="468">
      <c r="A468" t="inlineStr">
        <is>
          <t>ATF fuel</t>
        </is>
      </c>
      <c r="B468" t="inlineStr">
        <is>
          <t>G41</t>
        </is>
      </c>
      <c r="C468" t="n">
        <v>41</v>
      </c>
      <c r="D468" t="n">
        <v>7</v>
      </c>
      <c r="E468" t="inlineStr">
        <is>
          <t>Calculation</t>
        </is>
      </c>
      <c r="F468" t="inlineStr">
        <is>
          <t>'=G40-1</t>
        </is>
      </c>
      <c r="G468" t="n">
        <v>92</v>
      </c>
      <c r="H468" t="inlineStr"/>
      <c r="I468" t="inlineStr">
        <is>
          <t>#,##0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00000000</t>
        </is>
      </c>
      <c r="O468" t="n">
        <v/>
      </c>
      <c r="P468" t="n">
        <v/>
      </c>
      <c r="R468" t="b">
        <v>1</v>
      </c>
      <c r="S468" t="inlineStr">
        <is>
          <t>G000286</t>
        </is>
      </c>
      <c r="T468" t="inlineStr">
        <is>
          <t>Vertical</t>
        </is>
      </c>
      <c r="U468" t="n">
        <v>129</v>
      </c>
      <c r="V468" t="b">
        <v>1</v>
      </c>
      <c r="W468" t="inlineStr">
        <is>
          <t>ATF fuel!G3:G131</t>
        </is>
      </c>
      <c r="X468">
        <f>R[-1]C[0]-1</f>
        <v/>
      </c>
    </row>
    <row r="469">
      <c r="A469" t="inlineStr">
        <is>
          <t>ATF fuel</t>
        </is>
      </c>
      <c r="B469" t="inlineStr">
        <is>
          <t>H41</t>
        </is>
      </c>
      <c r="C469" t="n">
        <v>41</v>
      </c>
      <c r="D469" t="n">
        <v>8</v>
      </c>
      <c r="E469" t="inlineStr">
        <is>
          <t>Output</t>
        </is>
      </c>
      <c r="F469" t="inlineStr">
        <is>
          <t>'=INDIRECT("A"&amp;G74)</t>
        </is>
      </c>
      <c r="G469" t="inlineStr">
        <is>
          <t>July 01, 2013</t>
        </is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00000000</t>
        </is>
      </c>
      <c r="O469" t="n">
        <v/>
      </c>
      <c r="P469" t="n">
        <v/>
      </c>
      <c r="R469" t="b">
        <v>1</v>
      </c>
      <c r="S469" t="inlineStr">
        <is>
          <t>G000287</t>
        </is>
      </c>
      <c r="T469" t="inlineStr">
        <is>
          <t>Vertical</t>
        </is>
      </c>
      <c r="U469" t="n">
        <v>20</v>
      </c>
      <c r="V469" t="b">
        <v>1</v>
      </c>
      <c r="W469" t="inlineStr">
        <is>
          <t>ATF fuel!H33:H52</t>
        </is>
      </c>
      <c r="X469">
        <f>INDIRECT("A"&amp;R[33]C[-1])</f>
        <v/>
      </c>
    </row>
    <row r="470">
      <c r="A470" t="inlineStr">
        <is>
          <t>ATF fuel</t>
        </is>
      </c>
      <c r="B470" t="inlineStr">
        <is>
          <t>I41</t>
        </is>
      </c>
      <c r="C470" t="n">
        <v>41</v>
      </c>
      <c r="D470" t="n">
        <v>9</v>
      </c>
      <c r="E470" t="inlineStr">
        <is>
          <t>Output</t>
        </is>
      </c>
      <c r="F470" t="inlineStr">
        <is>
          <t>'=INDIRECT("F"&amp;G74)</t>
        </is>
      </c>
      <c r="G470" t="n">
        <v>70506.75</v>
      </c>
      <c r="H470" t="inlineStr"/>
      <c r="I470" t="inlineStr">
        <is>
          <t xml:space="preserve">_ * #,##0_ ;_ * \-#,##0_ ;_ * "-"??_ ;_ @_ </t>
        </is>
      </c>
      <c r="J470" t="b">
        <v>0</v>
      </c>
      <c r="K470" t="b">
        <v>0</v>
      </c>
      <c r="L470" t="n">
        <v>11</v>
      </c>
      <c r="M470" t="inlineStr">
        <is>
          <t>Values must be of type &lt;class 'str'&gt;</t>
        </is>
      </c>
      <c r="N470" t="inlineStr">
        <is>
          <t>00000000</t>
        </is>
      </c>
      <c r="O470" t="n">
        <v/>
      </c>
      <c r="P470" t="n">
        <v/>
      </c>
      <c r="R470" t="b">
        <v>1</v>
      </c>
      <c r="S470" t="inlineStr">
        <is>
          <t>G000288</t>
        </is>
      </c>
      <c r="T470" t="inlineStr">
        <is>
          <t>Vertical</t>
        </is>
      </c>
      <c r="U470" t="n">
        <v>20</v>
      </c>
      <c r="V470" t="b">
        <v>1</v>
      </c>
      <c r="W470" t="inlineStr">
        <is>
          <t>ATF fuel!I33:I52</t>
        </is>
      </c>
      <c r="X470">
        <f>INDIRECT("F"&amp;R[33]C[-2])</f>
        <v/>
      </c>
    </row>
    <row r="471">
      <c r="A471" t="inlineStr">
        <is>
          <t>ATF fuel</t>
        </is>
      </c>
      <c r="B471" t="inlineStr">
        <is>
          <t>J41</t>
        </is>
      </c>
      <c r="C471" t="n">
        <v>41</v>
      </c>
      <c r="D471" t="n">
        <v>10</v>
      </c>
      <c r="E471" t="inlineStr">
        <is>
          <t>Input</t>
        </is>
      </c>
      <c r="F471" t="n">
        <v/>
      </c>
      <c r="G471" t="n">
        <v>108.43</v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P471" t="n">
        <v/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</row>
    <row r="472">
      <c r="A472" t="inlineStr">
        <is>
          <t>ATF fuel</t>
        </is>
      </c>
      <c r="B472" t="inlineStr">
        <is>
          <t>K41</t>
        </is>
      </c>
      <c r="C472" t="n">
        <v>41</v>
      </c>
      <c r="D472" t="n">
        <v>11</v>
      </c>
      <c r="E472" t="inlineStr">
        <is>
          <t>Input</t>
        </is>
      </c>
      <c r="F472" t="n">
        <v/>
      </c>
      <c r="G472" t="n">
        <v>97.94</v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n">
        <v/>
      </c>
      <c r="P472" t="n">
        <v/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</row>
    <row r="473">
      <c r="A473" t="inlineStr">
        <is>
          <t>ATF fuel</t>
        </is>
      </c>
      <c r="B473" t="inlineStr">
        <is>
          <t>A42</t>
        </is>
      </c>
      <c r="C473" t="n">
        <v>42</v>
      </c>
      <c r="D473" t="n">
        <v>1</v>
      </c>
      <c r="E473" t="inlineStr">
        <is>
          <t>Input</t>
        </is>
      </c>
      <c r="F473" t="n">
        <v/>
      </c>
      <c r="G473" t="inlineStr">
        <is>
          <t>November 01, 2014</t>
        </is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11</v>
      </c>
      <c r="M473" t="n">
        <v/>
      </c>
      <c r="N473" t="inlineStr">
        <is>
          <t>00000000</t>
        </is>
      </c>
      <c r="O473" t="n">
        <v/>
      </c>
      <c r="P473" t="n">
        <v/>
      </c>
      <c r="Q473" t="b">
        <v>1</v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</row>
    <row r="474">
      <c r="A474" t="inlineStr">
        <is>
          <t>ATF fuel</t>
        </is>
      </c>
      <c r="B474" t="inlineStr">
        <is>
          <t>B42</t>
        </is>
      </c>
      <c r="C474" t="n">
        <v>42</v>
      </c>
      <c r="D474" t="n">
        <v>2</v>
      </c>
      <c r="E474" t="inlineStr">
        <is>
          <t>Input</t>
        </is>
      </c>
      <c r="F474" t="n">
        <v/>
      </c>
      <c r="G474" t="n">
        <v>62537.93</v>
      </c>
      <c r="H474" t="inlineStr"/>
      <c r="I474" t="inlineStr">
        <is>
          <t>#,##0</t>
        </is>
      </c>
      <c r="J474" t="b">
        <v>0</v>
      </c>
      <c r="K474" t="b">
        <v>0</v>
      </c>
      <c r="L474" t="n">
        <v>11</v>
      </c>
      <c r="M474" t="n">
        <v/>
      </c>
      <c r="N474" t="inlineStr">
        <is>
          <t>00000000</t>
        </is>
      </c>
      <c r="O474" t="inlineStr">
        <is>
          <t>center</t>
        </is>
      </c>
      <c r="P474" t="n">
        <v/>
      </c>
      <c r="Q474" t="b">
        <v>1</v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</row>
    <row r="475">
      <c r="A475" t="inlineStr">
        <is>
          <t>ATF fuel</t>
        </is>
      </c>
      <c r="B475" t="inlineStr">
        <is>
          <t>C42</t>
        </is>
      </c>
      <c r="C475" t="n">
        <v>42</v>
      </c>
      <c r="D475" t="n">
        <v>3</v>
      </c>
      <c r="E475" t="inlineStr">
        <is>
          <t>Input</t>
        </is>
      </c>
      <c r="F475" t="n">
        <v/>
      </c>
      <c r="G475" t="n">
        <v>72214.17</v>
      </c>
      <c r="H475" t="inlineStr"/>
      <c r="I475" t="inlineStr">
        <is>
          <t>#,##0</t>
        </is>
      </c>
      <c r="J475" t="b">
        <v>0</v>
      </c>
      <c r="K475" t="b">
        <v>0</v>
      </c>
      <c r="L475" t="n">
        <v>11</v>
      </c>
      <c r="M475" t="n">
        <v/>
      </c>
      <c r="N475" t="inlineStr">
        <is>
          <t>00000000</t>
        </is>
      </c>
      <c r="O475" t="inlineStr">
        <is>
          <t>center</t>
        </is>
      </c>
      <c r="P475" t="n">
        <v/>
      </c>
      <c r="Q475" t="b">
        <v>1</v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</row>
    <row r="476">
      <c r="A476" t="inlineStr">
        <is>
          <t>ATF fuel</t>
        </is>
      </c>
      <c r="B476" t="inlineStr">
        <is>
          <t>D42</t>
        </is>
      </c>
      <c r="C476" t="n">
        <v>42</v>
      </c>
      <c r="D476" t="n">
        <v>4</v>
      </c>
      <c r="E476" t="inlineStr">
        <is>
          <t>Input</t>
        </is>
      </c>
      <c r="F476" t="n">
        <v/>
      </c>
      <c r="G476" t="n">
        <v>64414.98</v>
      </c>
      <c r="H476" t="inlineStr"/>
      <c r="I476" t="inlineStr">
        <is>
          <t>#,##0</t>
        </is>
      </c>
      <c r="J476" t="b">
        <v>0</v>
      </c>
      <c r="K476" t="b">
        <v>0</v>
      </c>
      <c r="L476" t="n">
        <v>11</v>
      </c>
      <c r="M476" t="n">
        <v/>
      </c>
      <c r="N476" t="inlineStr">
        <is>
          <t>00000000</t>
        </is>
      </c>
      <c r="O476" t="inlineStr">
        <is>
          <t>center</t>
        </is>
      </c>
      <c r="P476" t="n">
        <v/>
      </c>
      <c r="Q476" t="b">
        <v>1</v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ATF fuel</t>
        </is>
      </c>
      <c r="B477" t="inlineStr">
        <is>
          <t>E42</t>
        </is>
      </c>
      <c r="C477" t="n">
        <v>42</v>
      </c>
      <c r="D477" t="n">
        <v>5</v>
      </c>
      <c r="E477" t="inlineStr">
        <is>
          <t>Input</t>
        </is>
      </c>
      <c r="F477" t="n">
        <v/>
      </c>
      <c r="G477" t="n">
        <v>68432.11</v>
      </c>
      <c r="H477" t="inlineStr"/>
      <c r="I477" t="inlineStr">
        <is>
          <t>#,##0</t>
        </is>
      </c>
      <c r="J477" t="b">
        <v>0</v>
      </c>
      <c r="K477" t="b">
        <v>0</v>
      </c>
      <c r="L477" t="n">
        <v>11</v>
      </c>
      <c r="M477" t="n">
        <v/>
      </c>
      <c r="N477" t="inlineStr">
        <is>
          <t>00000000</t>
        </is>
      </c>
      <c r="O477" t="inlineStr">
        <is>
          <t>center</t>
        </is>
      </c>
      <c r="P477" t="n">
        <v/>
      </c>
      <c r="Q477" t="b">
        <v>1</v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ATF fuel</t>
        </is>
      </c>
      <c r="B478" t="inlineStr">
        <is>
          <t>F42</t>
        </is>
      </c>
      <c r="C478" t="n">
        <v>42</v>
      </c>
      <c r="D478" t="n">
        <v>6</v>
      </c>
      <c r="E478" t="inlineStr">
        <is>
          <t>Output</t>
        </is>
      </c>
      <c r="F478" t="inlineStr">
        <is>
          <t>'=AVERAGE(B42:E42)</t>
        </is>
      </c>
      <c r="G478" t="n">
        <v>66899.7975</v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00000000</t>
        </is>
      </c>
      <c r="O478" t="inlineStr">
        <is>
          <t>center</t>
        </is>
      </c>
      <c r="P478" t="n">
        <v/>
      </c>
      <c r="R478" t="b">
        <v>1</v>
      </c>
      <c r="S478" t="inlineStr">
        <is>
          <t>G000284</t>
        </is>
      </c>
      <c r="T478" t="inlineStr">
        <is>
          <t>Vertical</t>
        </is>
      </c>
      <c r="U478" t="n">
        <v>130</v>
      </c>
      <c r="V478" t="b">
        <v>1</v>
      </c>
      <c r="W478" t="inlineStr">
        <is>
          <t>ATF fuel!F2:F131</t>
        </is>
      </c>
      <c r="X478">
        <f>AVERAGE(R[0]C[-4]:R[0]C[-1])</f>
        <v/>
      </c>
    </row>
    <row r="479">
      <c r="A479" t="inlineStr">
        <is>
          <t>ATF fuel</t>
        </is>
      </c>
      <c r="B479" t="inlineStr">
        <is>
          <t>G42</t>
        </is>
      </c>
      <c r="C479" t="n">
        <v>42</v>
      </c>
      <c r="D479" t="n">
        <v>7</v>
      </c>
      <c r="E479" t="inlineStr">
        <is>
          <t>Calculation</t>
        </is>
      </c>
      <c r="F479" t="inlineStr">
        <is>
          <t>'=G41-1</t>
        </is>
      </c>
      <c r="G479" t="n">
        <v>91</v>
      </c>
      <c r="H479" t="inlineStr"/>
      <c r="I479" t="inlineStr">
        <is>
          <t>#,##0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00000000</t>
        </is>
      </c>
      <c r="O479" t="n">
        <v/>
      </c>
      <c r="P479" t="n">
        <v/>
      </c>
      <c r="R479" t="b">
        <v>1</v>
      </c>
      <c r="S479" t="inlineStr">
        <is>
          <t>G000286</t>
        </is>
      </c>
      <c r="T479" t="inlineStr">
        <is>
          <t>Vertical</t>
        </is>
      </c>
      <c r="U479" t="n">
        <v>129</v>
      </c>
      <c r="V479" t="b">
        <v>1</v>
      </c>
      <c r="W479" t="inlineStr">
        <is>
          <t>ATF fuel!G3:G131</t>
        </is>
      </c>
      <c r="X479">
        <f>R[-1]C[0]-1</f>
        <v/>
      </c>
    </row>
    <row r="480">
      <c r="A480" t="inlineStr">
        <is>
          <t>ATF fuel</t>
        </is>
      </c>
      <c r="B480" t="inlineStr">
        <is>
          <t>H42</t>
        </is>
      </c>
      <c r="C480" t="n">
        <v>42</v>
      </c>
      <c r="D480" t="n">
        <v>8</v>
      </c>
      <c r="E480" t="inlineStr">
        <is>
          <t>Output</t>
        </is>
      </c>
      <c r="F480" t="inlineStr">
        <is>
          <t>'=INDIRECT("A"&amp;G75)</t>
        </is>
      </c>
      <c r="G480" t="inlineStr">
        <is>
          <t>August 01, 2013</t>
        </is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n">
        <v/>
      </c>
      <c r="P480" t="n">
        <v/>
      </c>
      <c r="R480" t="b">
        <v>1</v>
      </c>
      <c r="S480" t="inlineStr">
        <is>
          <t>G000287</t>
        </is>
      </c>
      <c r="T480" t="inlineStr">
        <is>
          <t>Vertical</t>
        </is>
      </c>
      <c r="U480" t="n">
        <v>20</v>
      </c>
      <c r="V480" t="b">
        <v>1</v>
      </c>
      <c r="W480" t="inlineStr">
        <is>
          <t>ATF fuel!H33:H52</t>
        </is>
      </c>
      <c r="X480">
        <f>INDIRECT("A"&amp;R[33]C[-1])</f>
        <v/>
      </c>
    </row>
    <row r="481">
      <c r="A481" t="inlineStr">
        <is>
          <t>ATF fuel</t>
        </is>
      </c>
      <c r="B481" t="inlineStr">
        <is>
          <t>I42</t>
        </is>
      </c>
      <c r="C481" t="n">
        <v>42</v>
      </c>
      <c r="D481" t="n">
        <v>9</v>
      </c>
      <c r="E481" t="inlineStr">
        <is>
          <t>Output</t>
        </is>
      </c>
      <c r="F481" t="inlineStr">
        <is>
          <t>'=INDIRECT("F"&amp;G75)</t>
        </is>
      </c>
      <c r="G481" t="n">
        <v>74827.64499999999</v>
      </c>
      <c r="H481" t="inlineStr"/>
      <c r="I481" t="inlineStr">
        <is>
          <t xml:space="preserve">_ * #,##0_ ;_ * \-#,##0_ ;_ * "-"??_ ;_ @_ 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00000000</t>
        </is>
      </c>
      <c r="O481" t="n">
        <v/>
      </c>
      <c r="P481" t="n">
        <v/>
      </c>
      <c r="R481" t="b">
        <v>1</v>
      </c>
      <c r="S481" t="inlineStr">
        <is>
          <t>G000288</t>
        </is>
      </c>
      <c r="T481" t="inlineStr">
        <is>
          <t>Vertical</t>
        </is>
      </c>
      <c r="U481" t="n">
        <v>20</v>
      </c>
      <c r="V481" t="b">
        <v>1</v>
      </c>
      <c r="W481" t="inlineStr">
        <is>
          <t>ATF fuel!I33:I52</t>
        </is>
      </c>
      <c r="X481">
        <f>INDIRECT("F"&amp;R[33]C[-2])</f>
        <v/>
      </c>
    </row>
    <row r="482">
      <c r="A482" t="inlineStr">
        <is>
          <t>ATF fuel</t>
        </is>
      </c>
      <c r="B482" t="inlineStr">
        <is>
          <t>J42</t>
        </is>
      </c>
      <c r="C482" t="n">
        <v>42</v>
      </c>
      <c r="D482" t="n">
        <v>10</v>
      </c>
      <c r="E482" t="inlineStr">
        <is>
          <t>Input</t>
        </is>
      </c>
      <c r="F482" t="n">
        <v/>
      </c>
      <c r="G482" t="n">
        <v>108.49</v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n">
        <v/>
      </c>
      <c r="P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</row>
    <row r="483">
      <c r="A483" t="inlineStr">
        <is>
          <t>ATF fuel</t>
        </is>
      </c>
      <c r="B483" t="inlineStr">
        <is>
          <t>K42</t>
        </is>
      </c>
      <c r="C483" t="n">
        <v>42</v>
      </c>
      <c r="D483" t="n">
        <v>11</v>
      </c>
      <c r="E483" t="inlineStr">
        <is>
          <t>Input</t>
        </is>
      </c>
      <c r="F483" t="n">
        <v/>
      </c>
      <c r="G483" t="n">
        <v>107.93</v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n">
        <v/>
      </c>
      <c r="P483" t="n">
        <v/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</row>
    <row r="484">
      <c r="A484" t="inlineStr">
        <is>
          <t>ATF fuel</t>
        </is>
      </c>
      <c r="B484" t="inlineStr">
        <is>
          <t>A43</t>
        </is>
      </c>
      <c r="C484" t="n">
        <v>43</v>
      </c>
      <c r="D484" t="n">
        <v>1</v>
      </c>
      <c r="E484" t="inlineStr">
        <is>
          <t>Input</t>
        </is>
      </c>
      <c r="F484" t="n">
        <v/>
      </c>
      <c r="G484" t="inlineStr">
        <is>
          <t>October 01, 2014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11</v>
      </c>
      <c r="M484" t="n">
        <v/>
      </c>
      <c r="N484" t="inlineStr">
        <is>
          <t>00000000</t>
        </is>
      </c>
      <c r="O484" t="n">
        <v/>
      </c>
      <c r="P484" t="n">
        <v/>
      </c>
      <c r="Q484" t="b">
        <v>1</v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ATF fuel</t>
        </is>
      </c>
      <c r="B485" t="inlineStr">
        <is>
          <t>B43</t>
        </is>
      </c>
      <c r="C485" t="n">
        <v>43</v>
      </c>
      <c r="D485" t="n">
        <v>2</v>
      </c>
      <c r="E485" t="inlineStr">
        <is>
          <t>Input</t>
        </is>
      </c>
      <c r="F485" t="n">
        <v/>
      </c>
      <c r="G485" t="n">
        <v>67525.63</v>
      </c>
      <c r="H485" t="inlineStr"/>
      <c r="I485" t="inlineStr">
        <is>
          <t>#,##0</t>
        </is>
      </c>
      <c r="J485" t="b">
        <v>0</v>
      </c>
      <c r="K485" t="b">
        <v>0</v>
      </c>
      <c r="L485" t="n">
        <v>11</v>
      </c>
      <c r="M485" t="n">
        <v/>
      </c>
      <c r="N485" t="inlineStr">
        <is>
          <t>00000000</t>
        </is>
      </c>
      <c r="O485" t="inlineStr">
        <is>
          <t>center</t>
        </is>
      </c>
      <c r="P485" t="n">
        <v/>
      </c>
      <c r="Q485" t="b">
        <v>1</v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ATF fuel</t>
        </is>
      </c>
      <c r="B486" t="inlineStr">
        <is>
          <t>C43</t>
        </is>
      </c>
      <c r="C486" t="n">
        <v>43</v>
      </c>
      <c r="D486" t="n">
        <v>3</v>
      </c>
      <c r="E486" t="inlineStr">
        <is>
          <t>Input</t>
        </is>
      </c>
      <c r="F486" t="n">
        <v/>
      </c>
      <c r="G486" t="n">
        <v>77372.56</v>
      </c>
      <c r="H486" t="inlineStr"/>
      <c r="I486" t="inlineStr">
        <is>
          <t>#,##0</t>
        </is>
      </c>
      <c r="J486" t="b">
        <v>0</v>
      </c>
      <c r="K486" t="b">
        <v>0</v>
      </c>
      <c r="L486" t="n">
        <v>11</v>
      </c>
      <c r="M486" t="n">
        <v/>
      </c>
      <c r="N486" t="inlineStr">
        <is>
          <t>00000000</t>
        </is>
      </c>
      <c r="O486" t="inlineStr">
        <is>
          <t>center</t>
        </is>
      </c>
      <c r="P486" t="n">
        <v/>
      </c>
      <c r="Q486" t="b">
        <v>1</v>
      </c>
      <c r="R486" t="b">
        <v>1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ATF fuel</t>
        </is>
      </c>
      <c r="B487" t="inlineStr">
        <is>
          <t>D43</t>
        </is>
      </c>
      <c r="C487" t="n">
        <v>43</v>
      </c>
      <c r="D487" t="n">
        <v>4</v>
      </c>
      <c r="E487" t="inlineStr">
        <is>
          <t>Input</t>
        </is>
      </c>
      <c r="F487" t="n">
        <v/>
      </c>
      <c r="G487" t="n">
        <v>69610.5</v>
      </c>
      <c r="H487" t="inlineStr"/>
      <c r="I487" t="inlineStr">
        <is>
          <t>#,##0</t>
        </is>
      </c>
      <c r="J487" t="b">
        <v>0</v>
      </c>
      <c r="K487" t="b">
        <v>0</v>
      </c>
      <c r="L487" t="n">
        <v>11</v>
      </c>
      <c r="M487" t="n">
        <v/>
      </c>
      <c r="N487" t="inlineStr">
        <is>
          <t>00000000</t>
        </is>
      </c>
      <c r="O487" t="inlineStr">
        <is>
          <t>center</t>
        </is>
      </c>
      <c r="P487" t="n">
        <v/>
      </c>
      <c r="Q487" t="b">
        <v>1</v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ATF fuel</t>
        </is>
      </c>
      <c r="B488" t="inlineStr">
        <is>
          <t>E43</t>
        </is>
      </c>
      <c r="C488" t="n">
        <v>43</v>
      </c>
      <c r="D488" t="n">
        <v>5</v>
      </c>
      <c r="E488" t="inlineStr">
        <is>
          <t>Input</t>
        </is>
      </c>
      <c r="F488" t="n">
        <v/>
      </c>
      <c r="G488" t="n">
        <v>73775.91</v>
      </c>
      <c r="H488" t="inlineStr"/>
      <c r="I488" t="inlineStr">
        <is>
          <t>#,##0</t>
        </is>
      </c>
      <c r="J488" t="b">
        <v>0</v>
      </c>
      <c r="K488" t="b">
        <v>0</v>
      </c>
      <c r="L488" t="n">
        <v>11</v>
      </c>
      <c r="M488" t="n">
        <v/>
      </c>
      <c r="N488" t="inlineStr">
        <is>
          <t>00000000</t>
        </is>
      </c>
      <c r="O488" t="inlineStr">
        <is>
          <t>center</t>
        </is>
      </c>
      <c r="P488" t="n">
        <v/>
      </c>
      <c r="Q488" t="b">
        <v>1</v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</row>
    <row r="489">
      <c r="A489" t="inlineStr">
        <is>
          <t>ATF fuel</t>
        </is>
      </c>
      <c r="B489" t="inlineStr">
        <is>
          <t>F43</t>
        </is>
      </c>
      <c r="C489" t="n">
        <v>43</v>
      </c>
      <c r="D489" t="n">
        <v>6</v>
      </c>
      <c r="E489" t="inlineStr">
        <is>
          <t>Output</t>
        </is>
      </c>
      <c r="F489" t="inlineStr">
        <is>
          <t>'=AVERAGE(B43:E43)</t>
        </is>
      </c>
      <c r="G489" t="n">
        <v>72071.14999999999</v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00000000</t>
        </is>
      </c>
      <c r="O489" t="inlineStr">
        <is>
          <t>center</t>
        </is>
      </c>
      <c r="P489" t="n">
        <v/>
      </c>
      <c r="R489" t="b">
        <v>1</v>
      </c>
      <c r="S489" t="inlineStr">
        <is>
          <t>G000284</t>
        </is>
      </c>
      <c r="T489" t="inlineStr">
        <is>
          <t>Vertical</t>
        </is>
      </c>
      <c r="U489" t="n">
        <v>130</v>
      </c>
      <c r="V489" t="b">
        <v>1</v>
      </c>
      <c r="W489" t="inlineStr">
        <is>
          <t>ATF fuel!F2:F131</t>
        </is>
      </c>
      <c r="X489">
        <f>AVERAGE(R[0]C[-4]:R[0]C[-1])</f>
        <v/>
      </c>
    </row>
    <row r="490">
      <c r="A490" t="inlineStr">
        <is>
          <t>ATF fuel</t>
        </is>
      </c>
      <c r="B490" t="inlineStr">
        <is>
          <t>G43</t>
        </is>
      </c>
      <c r="C490" t="n">
        <v>43</v>
      </c>
      <c r="D490" t="n">
        <v>7</v>
      </c>
      <c r="E490" t="inlineStr">
        <is>
          <t>Calculation</t>
        </is>
      </c>
      <c r="F490" t="inlineStr">
        <is>
          <t>'=G42-1</t>
        </is>
      </c>
      <c r="G490" t="n">
        <v>90</v>
      </c>
      <c r="H490" t="inlineStr"/>
      <c r="I490" t="inlineStr">
        <is>
          <t>#,##0</t>
        </is>
      </c>
      <c r="J490" t="b">
        <v>0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00000000</t>
        </is>
      </c>
      <c r="O490" t="n">
        <v/>
      </c>
      <c r="P490" t="n">
        <v/>
      </c>
      <c r="R490" t="b">
        <v>1</v>
      </c>
      <c r="S490" t="inlineStr">
        <is>
          <t>G000286</t>
        </is>
      </c>
      <c r="T490" t="inlineStr">
        <is>
          <t>Vertical</t>
        </is>
      </c>
      <c r="U490" t="n">
        <v>129</v>
      </c>
      <c r="V490" t="b">
        <v>1</v>
      </c>
      <c r="W490" t="inlineStr">
        <is>
          <t>ATF fuel!G3:G131</t>
        </is>
      </c>
      <c r="X490">
        <f>R[-1]C[0]-1</f>
        <v/>
      </c>
    </row>
    <row r="491">
      <c r="A491" t="inlineStr">
        <is>
          <t>ATF fuel</t>
        </is>
      </c>
      <c r="B491" t="inlineStr">
        <is>
          <t>H43</t>
        </is>
      </c>
      <c r="C491" t="n">
        <v>43</v>
      </c>
      <c r="D491" t="n">
        <v>8</v>
      </c>
      <c r="E491" t="inlineStr">
        <is>
          <t>Output</t>
        </is>
      </c>
      <c r="F491" t="inlineStr">
        <is>
          <t>'=INDIRECT("A"&amp;G76)</t>
        </is>
      </c>
      <c r="G491" t="inlineStr">
        <is>
          <t>September 01, 2013</t>
        </is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00000000</t>
        </is>
      </c>
      <c r="O491" t="n">
        <v/>
      </c>
      <c r="P491" t="n">
        <v/>
      </c>
      <c r="R491" t="b">
        <v>1</v>
      </c>
      <c r="S491" t="inlineStr">
        <is>
          <t>G000287</t>
        </is>
      </c>
      <c r="T491" t="inlineStr">
        <is>
          <t>Vertical</t>
        </is>
      </c>
      <c r="U491" t="n">
        <v>20</v>
      </c>
      <c r="V491" t="b">
        <v>1</v>
      </c>
      <c r="W491" t="inlineStr">
        <is>
          <t>ATF fuel!H33:H52</t>
        </is>
      </c>
      <c r="X491">
        <f>INDIRECT("A"&amp;R[33]C[-1])</f>
        <v/>
      </c>
    </row>
    <row r="492">
      <c r="A492" t="inlineStr">
        <is>
          <t>ATF fuel</t>
        </is>
      </c>
      <c r="B492" t="inlineStr">
        <is>
          <t>I43</t>
        </is>
      </c>
      <c r="C492" t="n">
        <v>43</v>
      </c>
      <c r="D492" t="n">
        <v>9</v>
      </c>
      <c r="E492" t="inlineStr">
        <is>
          <t>Output</t>
        </is>
      </c>
      <c r="F492" t="inlineStr">
        <is>
          <t>'=INDIRECT("F"&amp;G76)</t>
        </is>
      </c>
      <c r="G492" t="n">
        <v>80012.23999999999</v>
      </c>
      <c r="H492" t="inlineStr"/>
      <c r="I492" t="inlineStr">
        <is>
          <t xml:space="preserve">_ * #,##0_ ;_ * \-#,##0_ ;_ * "-"??_ ;_ @_ 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00000000</t>
        </is>
      </c>
      <c r="O492" t="n">
        <v/>
      </c>
      <c r="P492" t="n">
        <v/>
      </c>
      <c r="R492" t="b">
        <v>1</v>
      </c>
      <c r="S492" t="inlineStr">
        <is>
          <t>G000288</t>
        </is>
      </c>
      <c r="T492" t="inlineStr">
        <is>
          <t>Vertical</t>
        </is>
      </c>
      <c r="U492" t="n">
        <v>20</v>
      </c>
      <c r="V492" t="b">
        <v>1</v>
      </c>
      <c r="W492" t="inlineStr">
        <is>
          <t>ATF fuel!I33:I52</t>
        </is>
      </c>
      <c r="X492">
        <f>INDIRECT("F"&amp;R[33]C[-2])</f>
        <v/>
      </c>
    </row>
    <row r="493">
      <c r="A493" t="inlineStr">
        <is>
          <t>ATF fuel</t>
        </is>
      </c>
      <c r="B493" t="inlineStr">
        <is>
          <t>J43</t>
        </is>
      </c>
      <c r="C493" t="n">
        <v>43</v>
      </c>
      <c r="D493" t="n">
        <v>10</v>
      </c>
      <c r="E493" t="inlineStr">
        <is>
          <t>Input</t>
        </is>
      </c>
      <c r="F493" t="n">
        <v/>
      </c>
      <c r="G493" t="n">
        <v>112.37</v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00000000</t>
        </is>
      </c>
      <c r="O493" t="n">
        <v/>
      </c>
      <c r="P493" t="n">
        <v/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</row>
    <row r="494">
      <c r="A494" t="inlineStr">
        <is>
          <t>ATF fuel</t>
        </is>
      </c>
      <c r="B494" t="inlineStr">
        <is>
          <t>K43</t>
        </is>
      </c>
      <c r="C494" t="n">
        <v>43</v>
      </c>
      <c r="D494" t="n">
        <v>11</v>
      </c>
      <c r="E494" t="inlineStr">
        <is>
          <t>Input</t>
        </is>
      </c>
      <c r="F494" t="n">
        <v/>
      </c>
      <c r="G494" t="n">
        <v>108.67</v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00000000</t>
        </is>
      </c>
      <c r="O494" t="n">
        <v/>
      </c>
      <c r="P494" t="n">
        <v/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</row>
    <row r="495">
      <c r="A495" t="inlineStr">
        <is>
          <t>ATF fuel</t>
        </is>
      </c>
      <c r="B495" t="inlineStr">
        <is>
          <t>A44</t>
        </is>
      </c>
      <c r="C495" t="n">
        <v>44</v>
      </c>
      <c r="D495" t="n">
        <v>1</v>
      </c>
      <c r="E495" t="inlineStr">
        <is>
          <t>Input</t>
        </is>
      </c>
      <c r="F495" t="n">
        <v/>
      </c>
      <c r="G495" t="inlineStr">
        <is>
          <t>September 01, 2014</t>
        </is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11</v>
      </c>
      <c r="M495" t="n">
        <v/>
      </c>
      <c r="N495" t="inlineStr">
        <is>
          <t>00000000</t>
        </is>
      </c>
      <c r="O495" t="n">
        <v/>
      </c>
      <c r="P495" t="n">
        <v/>
      </c>
      <c r="Q495" t="b">
        <v>1</v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</row>
    <row r="496">
      <c r="A496" t="inlineStr">
        <is>
          <t>ATF fuel</t>
        </is>
      </c>
      <c r="B496" t="inlineStr">
        <is>
          <t>B44</t>
        </is>
      </c>
      <c r="C496" t="n">
        <v>44</v>
      </c>
      <c r="D496" t="n">
        <v>2</v>
      </c>
      <c r="E496" t="inlineStr">
        <is>
          <t>Input</t>
        </is>
      </c>
      <c r="F496" t="n">
        <v/>
      </c>
      <c r="G496" t="n">
        <v>69603.25</v>
      </c>
      <c r="H496" t="inlineStr"/>
      <c r="I496" t="inlineStr">
        <is>
          <t>#,##0</t>
        </is>
      </c>
      <c r="J496" t="b">
        <v>0</v>
      </c>
      <c r="K496" t="b">
        <v>0</v>
      </c>
      <c r="L496" t="n">
        <v>11</v>
      </c>
      <c r="M496" t="n">
        <v/>
      </c>
      <c r="N496" t="inlineStr">
        <is>
          <t>00000000</t>
        </is>
      </c>
      <c r="O496" t="inlineStr">
        <is>
          <t>center</t>
        </is>
      </c>
      <c r="P496" t="n">
        <v/>
      </c>
      <c r="Q496" t="b">
        <v>1</v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ATF fuel</t>
        </is>
      </c>
      <c r="B497" t="inlineStr">
        <is>
          <t>C44</t>
        </is>
      </c>
      <c r="C497" t="n">
        <v>44</v>
      </c>
      <c r="D497" t="n">
        <v>3</v>
      </c>
      <c r="E497" t="inlineStr">
        <is>
          <t>Input</t>
        </is>
      </c>
      <c r="F497" t="n">
        <v/>
      </c>
      <c r="G497" t="n">
        <v>79537.36</v>
      </c>
      <c r="H497" t="inlineStr"/>
      <c r="I497" t="inlineStr">
        <is>
          <t>#,##0</t>
        </is>
      </c>
      <c r="J497" t="b">
        <v>0</v>
      </c>
      <c r="K497" t="b">
        <v>0</v>
      </c>
      <c r="L497" t="n">
        <v>11</v>
      </c>
      <c r="M497" t="n">
        <v/>
      </c>
      <c r="N497" t="inlineStr">
        <is>
          <t>00000000</t>
        </is>
      </c>
      <c r="O497" t="inlineStr">
        <is>
          <t>center</t>
        </is>
      </c>
      <c r="P497" t="n">
        <v/>
      </c>
      <c r="Q497" t="b">
        <v>1</v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</row>
    <row r="498">
      <c r="A498" t="inlineStr">
        <is>
          <t>ATF fuel</t>
        </is>
      </c>
      <c r="B498" t="inlineStr">
        <is>
          <t>D44</t>
        </is>
      </c>
      <c r="C498" t="n">
        <v>44</v>
      </c>
      <c r="D498" t="n">
        <v>4</v>
      </c>
      <c r="E498" t="inlineStr">
        <is>
          <t>Input</t>
        </is>
      </c>
      <c r="F498" t="n">
        <v/>
      </c>
      <c r="G498" t="n">
        <v>71829.42</v>
      </c>
      <c r="H498" t="inlineStr"/>
      <c r="I498" t="inlineStr">
        <is>
          <t>#,##0</t>
        </is>
      </c>
      <c r="J498" t="b">
        <v>0</v>
      </c>
      <c r="K498" t="b">
        <v>0</v>
      </c>
      <c r="L498" t="n">
        <v>11</v>
      </c>
      <c r="M498" t="n">
        <v/>
      </c>
      <c r="N498" t="inlineStr">
        <is>
          <t>00000000</t>
        </is>
      </c>
      <c r="O498" t="inlineStr">
        <is>
          <t>center</t>
        </is>
      </c>
      <c r="P498" t="n">
        <v/>
      </c>
      <c r="Q498" t="b">
        <v>1</v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</row>
    <row r="499">
      <c r="A499" t="inlineStr">
        <is>
          <t>ATF fuel</t>
        </is>
      </c>
      <c r="B499" t="inlineStr">
        <is>
          <t>E44</t>
        </is>
      </c>
      <c r="C499" t="n">
        <v>44</v>
      </c>
      <c r="D499" t="n">
        <v>5</v>
      </c>
      <c r="E499" t="inlineStr">
        <is>
          <t>Input</t>
        </is>
      </c>
      <c r="F499" t="n">
        <v/>
      </c>
      <c r="G499" t="n">
        <v>76023.95</v>
      </c>
      <c r="H499" t="inlineStr"/>
      <c r="I499" t="inlineStr">
        <is>
          <t>#,##0</t>
        </is>
      </c>
      <c r="J499" t="b">
        <v>0</v>
      </c>
      <c r="K499" t="b">
        <v>0</v>
      </c>
      <c r="L499" t="n">
        <v>11</v>
      </c>
      <c r="M499" t="n">
        <v/>
      </c>
      <c r="N499" t="inlineStr">
        <is>
          <t>00000000</t>
        </is>
      </c>
      <c r="O499" t="inlineStr">
        <is>
          <t>center</t>
        </is>
      </c>
      <c r="P499" t="n">
        <v/>
      </c>
      <c r="Q499" t="b">
        <v>1</v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</row>
    <row r="500">
      <c r="A500" t="inlineStr">
        <is>
          <t>ATF fuel</t>
        </is>
      </c>
      <c r="B500" t="inlineStr">
        <is>
          <t>F44</t>
        </is>
      </c>
      <c r="C500" t="n">
        <v>44</v>
      </c>
      <c r="D500" t="n">
        <v>6</v>
      </c>
      <c r="E500" t="inlineStr">
        <is>
          <t>Output</t>
        </is>
      </c>
      <c r="F500" t="inlineStr">
        <is>
          <t>'=AVERAGE(B44:E44)</t>
        </is>
      </c>
      <c r="G500" t="n">
        <v>74248.495</v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Values must be of type &lt;class 'str'&gt;</t>
        </is>
      </c>
      <c r="N500" t="inlineStr">
        <is>
          <t>00000000</t>
        </is>
      </c>
      <c r="O500" t="inlineStr">
        <is>
          <t>center</t>
        </is>
      </c>
      <c r="P500" t="n">
        <v/>
      </c>
      <c r="R500" t="b">
        <v>1</v>
      </c>
      <c r="S500" t="inlineStr">
        <is>
          <t>G000284</t>
        </is>
      </c>
      <c r="T500" t="inlineStr">
        <is>
          <t>Vertical</t>
        </is>
      </c>
      <c r="U500" t="n">
        <v>130</v>
      </c>
      <c r="V500" t="b">
        <v>1</v>
      </c>
      <c r="W500" t="inlineStr">
        <is>
          <t>ATF fuel!F2:F131</t>
        </is>
      </c>
      <c r="X500">
        <f>AVERAGE(R[0]C[-4]:R[0]C[-1])</f>
        <v/>
      </c>
    </row>
    <row r="501">
      <c r="A501" t="inlineStr">
        <is>
          <t>ATF fuel</t>
        </is>
      </c>
      <c r="B501" t="inlineStr">
        <is>
          <t>G44</t>
        </is>
      </c>
      <c r="C501" t="n">
        <v>44</v>
      </c>
      <c r="D501" t="n">
        <v>7</v>
      </c>
      <c r="E501" t="inlineStr">
        <is>
          <t>Calculation</t>
        </is>
      </c>
      <c r="F501" t="inlineStr">
        <is>
          <t>'=G43-1</t>
        </is>
      </c>
      <c r="G501" t="n">
        <v>89</v>
      </c>
      <c r="H501" t="inlineStr"/>
      <c r="I501" t="inlineStr">
        <is>
          <t>#,##0</t>
        </is>
      </c>
      <c r="J501" t="b">
        <v>0</v>
      </c>
      <c r="K501" t="b">
        <v>0</v>
      </c>
      <c r="L501" t="n">
        <v>11</v>
      </c>
      <c r="M501" t="inlineStr">
        <is>
          <t>Values must be of type &lt;class 'str'&gt;</t>
        </is>
      </c>
      <c r="N501" t="inlineStr">
        <is>
          <t>00000000</t>
        </is>
      </c>
      <c r="O501" t="n">
        <v/>
      </c>
      <c r="P501" t="n">
        <v/>
      </c>
      <c r="R501" t="b">
        <v>1</v>
      </c>
      <c r="S501" t="inlineStr">
        <is>
          <t>G000286</t>
        </is>
      </c>
      <c r="T501" t="inlineStr">
        <is>
          <t>Vertical</t>
        </is>
      </c>
      <c r="U501" t="n">
        <v>129</v>
      </c>
      <c r="V501" t="b">
        <v>1</v>
      </c>
      <c r="W501" t="inlineStr">
        <is>
          <t>ATF fuel!G3:G131</t>
        </is>
      </c>
      <c r="X501">
        <f>R[-1]C[0]-1</f>
        <v/>
      </c>
    </row>
    <row r="502">
      <c r="A502" t="inlineStr">
        <is>
          <t>ATF fuel</t>
        </is>
      </c>
      <c r="B502" t="inlineStr">
        <is>
          <t>H44</t>
        </is>
      </c>
      <c r="C502" t="n">
        <v>44</v>
      </c>
      <c r="D502" t="n">
        <v>8</v>
      </c>
      <c r="E502" t="inlineStr">
        <is>
          <t>Output</t>
        </is>
      </c>
      <c r="F502" t="inlineStr">
        <is>
          <t>'=INDIRECT("A"&amp;G77)</t>
        </is>
      </c>
      <c r="G502" t="inlineStr">
        <is>
          <t>October 01, 2013</t>
        </is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n">
        <v/>
      </c>
      <c r="P502" t="n">
        <v/>
      </c>
      <c r="R502" t="b">
        <v>1</v>
      </c>
      <c r="S502" t="inlineStr">
        <is>
          <t>G000287</t>
        </is>
      </c>
      <c r="T502" t="inlineStr">
        <is>
          <t>Vertical</t>
        </is>
      </c>
      <c r="U502" t="n">
        <v>20</v>
      </c>
      <c r="V502" t="b">
        <v>1</v>
      </c>
      <c r="W502" t="inlineStr">
        <is>
          <t>ATF fuel!H33:H52</t>
        </is>
      </c>
      <c r="X502">
        <f>INDIRECT("A"&amp;R[33]C[-1])</f>
        <v/>
      </c>
    </row>
    <row r="503">
      <c r="A503" t="inlineStr">
        <is>
          <t>ATF fuel</t>
        </is>
      </c>
      <c r="B503" t="inlineStr">
        <is>
          <t>I44</t>
        </is>
      </c>
      <c r="C503" t="n">
        <v>44</v>
      </c>
      <c r="D503" t="n">
        <v>9</v>
      </c>
      <c r="E503" t="inlineStr">
        <is>
          <t>Output</t>
        </is>
      </c>
      <c r="F503" t="inlineStr">
        <is>
          <t>'=INDIRECT("F"&amp;G77)</t>
        </is>
      </c>
      <c r="G503" t="n">
        <v>82073.53749999999</v>
      </c>
      <c r="H503" t="inlineStr"/>
      <c r="I503" t="inlineStr">
        <is>
          <t xml:space="preserve">_ * #,##0_ ;_ * \-#,##0_ ;_ * "-"??_ ;_ @_ </t>
        </is>
      </c>
      <c r="J503" t="b">
        <v>0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n">
        <v/>
      </c>
      <c r="P503" t="n">
        <v/>
      </c>
      <c r="R503" t="b">
        <v>1</v>
      </c>
      <c r="S503" t="inlineStr">
        <is>
          <t>G000288</t>
        </is>
      </c>
      <c r="T503" t="inlineStr">
        <is>
          <t>Vertical</t>
        </is>
      </c>
      <c r="U503" t="n">
        <v>20</v>
      </c>
      <c r="V503" t="b">
        <v>1</v>
      </c>
      <c r="W503" t="inlineStr">
        <is>
          <t>ATF fuel!I33:I52</t>
        </is>
      </c>
      <c r="X503">
        <f>INDIRECT("F"&amp;R[33]C[-2])</f>
        <v/>
      </c>
    </row>
    <row r="504">
      <c r="A504" t="inlineStr">
        <is>
          <t>ATF fuel</t>
        </is>
      </c>
      <c r="B504" t="inlineStr">
        <is>
          <t>J44</t>
        </is>
      </c>
      <c r="C504" t="n">
        <v>44</v>
      </c>
      <c r="D504" t="n">
        <v>10</v>
      </c>
      <c r="E504" t="inlineStr">
        <is>
          <t>Input</t>
        </is>
      </c>
      <c r="F504" t="n">
        <v/>
      </c>
      <c r="G504" t="n">
        <v>109.02</v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n">
        <v/>
      </c>
      <c r="P504" t="n">
        <v/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</row>
    <row r="505">
      <c r="A505" t="inlineStr">
        <is>
          <t>ATF fuel</t>
        </is>
      </c>
      <c r="B505" t="inlineStr">
        <is>
          <t>K44</t>
        </is>
      </c>
      <c r="C505" t="n">
        <v>44</v>
      </c>
      <c r="D505" t="n">
        <v>11</v>
      </c>
      <c r="E505" t="inlineStr">
        <is>
          <t>Input</t>
        </is>
      </c>
      <c r="F505" t="n">
        <v/>
      </c>
      <c r="G505" t="n">
        <v>102.09</v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n">
        <v/>
      </c>
      <c r="P505" t="n">
        <v/>
      </c>
      <c r="R505" t="b">
        <v>1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</row>
    <row r="506">
      <c r="A506" t="inlineStr">
        <is>
          <t>ATF fuel</t>
        </is>
      </c>
      <c r="B506" t="inlineStr">
        <is>
          <t>A45</t>
        </is>
      </c>
      <c r="C506" t="n">
        <v>45</v>
      </c>
      <c r="D506" t="n">
        <v>1</v>
      </c>
      <c r="E506" t="inlineStr">
        <is>
          <t>Input</t>
        </is>
      </c>
      <c r="F506" t="n">
        <v/>
      </c>
      <c r="G506" t="inlineStr">
        <is>
          <t>August 01, 2014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11</v>
      </c>
      <c r="M506" t="n">
        <v/>
      </c>
      <c r="N506" t="inlineStr">
        <is>
          <t>00000000</t>
        </is>
      </c>
      <c r="O506" t="n">
        <v/>
      </c>
      <c r="P506" t="n">
        <v/>
      </c>
      <c r="Q506" t="b">
        <v>1</v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</row>
    <row r="507">
      <c r="A507" t="inlineStr">
        <is>
          <t>ATF fuel</t>
        </is>
      </c>
      <c r="B507" t="inlineStr">
        <is>
          <t>B45</t>
        </is>
      </c>
      <c r="C507" t="n">
        <v>45</v>
      </c>
      <c r="D507" t="n">
        <v>2</v>
      </c>
      <c r="E507" t="inlineStr">
        <is>
          <t>Input</t>
        </is>
      </c>
      <c r="F507" t="n">
        <v/>
      </c>
      <c r="G507" t="n">
        <v>70044.87</v>
      </c>
      <c r="H507" t="inlineStr"/>
      <c r="I507" t="inlineStr">
        <is>
          <t>#,##0</t>
        </is>
      </c>
      <c r="J507" t="b">
        <v>0</v>
      </c>
      <c r="K507" t="b">
        <v>0</v>
      </c>
      <c r="L507" t="n">
        <v>11</v>
      </c>
      <c r="M507" t="n">
        <v/>
      </c>
      <c r="N507" t="inlineStr">
        <is>
          <t>00000000</t>
        </is>
      </c>
      <c r="O507" t="inlineStr">
        <is>
          <t>center</t>
        </is>
      </c>
      <c r="P507" t="n">
        <v/>
      </c>
      <c r="Q507" t="b">
        <v>1</v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</row>
    <row r="508">
      <c r="A508" t="inlineStr">
        <is>
          <t>ATF fuel</t>
        </is>
      </c>
      <c r="B508" t="inlineStr">
        <is>
          <t>C45</t>
        </is>
      </c>
      <c r="C508" t="n">
        <v>45</v>
      </c>
      <c r="D508" t="n">
        <v>3</v>
      </c>
      <c r="E508" t="inlineStr">
        <is>
          <t>Input</t>
        </is>
      </c>
      <c r="F508" t="n">
        <v/>
      </c>
      <c r="G508" t="n">
        <v>79956.78999999999</v>
      </c>
      <c r="H508" t="inlineStr"/>
      <c r="I508" t="inlineStr">
        <is>
          <t>#,##0</t>
        </is>
      </c>
      <c r="J508" t="b">
        <v>0</v>
      </c>
      <c r="K508" t="b">
        <v>0</v>
      </c>
      <c r="L508" t="n">
        <v>11</v>
      </c>
      <c r="M508" t="n">
        <v/>
      </c>
      <c r="N508" t="inlineStr">
        <is>
          <t>00000000</t>
        </is>
      </c>
      <c r="O508" t="inlineStr">
        <is>
          <t>center</t>
        </is>
      </c>
      <c r="P508" t="n">
        <v/>
      </c>
      <c r="Q508" t="b">
        <v>1</v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</row>
    <row r="509">
      <c r="A509" t="inlineStr">
        <is>
          <t>ATF fuel</t>
        </is>
      </c>
      <c r="B509" t="inlineStr">
        <is>
          <t>D45</t>
        </is>
      </c>
      <c r="C509" t="n">
        <v>45</v>
      </c>
      <c r="D509" t="n">
        <v>4</v>
      </c>
      <c r="E509" t="inlineStr">
        <is>
          <t>Input</t>
        </is>
      </c>
      <c r="F509" t="n">
        <v/>
      </c>
      <c r="G509" t="n">
        <v>72289.44</v>
      </c>
      <c r="H509" t="inlineStr"/>
      <c r="I509" t="inlineStr">
        <is>
          <t>#,##0</t>
        </is>
      </c>
      <c r="J509" t="b">
        <v>0</v>
      </c>
      <c r="K509" t="b">
        <v>0</v>
      </c>
      <c r="L509" t="n">
        <v>11</v>
      </c>
      <c r="M509" t="n">
        <v/>
      </c>
      <c r="N509" t="inlineStr">
        <is>
          <t>00000000</t>
        </is>
      </c>
      <c r="O509" t="inlineStr">
        <is>
          <t>center</t>
        </is>
      </c>
      <c r="P509" t="n">
        <v/>
      </c>
      <c r="Q509" t="b">
        <v>1</v>
      </c>
      <c r="R509" t="b">
        <v>1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</row>
    <row r="510">
      <c r="A510" t="inlineStr">
        <is>
          <t>ATF fuel</t>
        </is>
      </c>
      <c r="B510" t="inlineStr">
        <is>
          <t>E45</t>
        </is>
      </c>
      <c r="C510" t="n">
        <v>45</v>
      </c>
      <c r="D510" t="n">
        <v>5</v>
      </c>
      <c r="E510" t="inlineStr">
        <is>
          <t>Input</t>
        </is>
      </c>
      <c r="F510" t="n">
        <v/>
      </c>
      <c r="G510" t="n">
        <v>76470.75999999999</v>
      </c>
      <c r="H510" t="inlineStr"/>
      <c r="I510" t="inlineStr">
        <is>
          <t>#,##0</t>
        </is>
      </c>
      <c r="J510" t="b">
        <v>0</v>
      </c>
      <c r="K510" t="b">
        <v>0</v>
      </c>
      <c r="L510" t="n">
        <v>11</v>
      </c>
      <c r="M510" t="n">
        <v/>
      </c>
      <c r="N510" t="inlineStr">
        <is>
          <t>00000000</t>
        </is>
      </c>
      <c r="O510" t="inlineStr">
        <is>
          <t>center</t>
        </is>
      </c>
      <c r="P510" t="n">
        <v/>
      </c>
      <c r="Q510" t="b">
        <v>1</v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ATF fuel</t>
        </is>
      </c>
      <c r="B511" t="inlineStr">
        <is>
          <t>F45</t>
        </is>
      </c>
      <c r="C511" t="n">
        <v>45</v>
      </c>
      <c r="D511" t="n">
        <v>6</v>
      </c>
      <c r="E511" t="inlineStr">
        <is>
          <t>Output</t>
        </is>
      </c>
      <c r="F511" t="inlineStr">
        <is>
          <t>'=AVERAGE(B45:E45)</t>
        </is>
      </c>
      <c r="G511" t="n">
        <v>74690.465</v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00000000</t>
        </is>
      </c>
      <c r="O511" t="inlineStr">
        <is>
          <t>center</t>
        </is>
      </c>
      <c r="P511" t="n">
        <v/>
      </c>
      <c r="R511" t="b">
        <v>1</v>
      </c>
      <c r="S511" t="inlineStr">
        <is>
          <t>G000284</t>
        </is>
      </c>
      <c r="T511" t="inlineStr">
        <is>
          <t>Vertical</t>
        </is>
      </c>
      <c r="U511" t="n">
        <v>130</v>
      </c>
      <c r="V511" t="b">
        <v>1</v>
      </c>
      <c r="W511" t="inlineStr">
        <is>
          <t>ATF fuel!F2:F131</t>
        </is>
      </c>
      <c r="X511">
        <f>AVERAGE(R[0]C[-4]:R[0]C[-1])</f>
        <v/>
      </c>
    </row>
    <row r="512">
      <c r="A512" t="inlineStr">
        <is>
          <t>ATF fuel</t>
        </is>
      </c>
      <c r="B512" t="inlineStr">
        <is>
          <t>G45</t>
        </is>
      </c>
      <c r="C512" t="n">
        <v>45</v>
      </c>
      <c r="D512" t="n">
        <v>7</v>
      </c>
      <c r="E512" t="inlineStr">
        <is>
          <t>Calculation</t>
        </is>
      </c>
      <c r="F512" t="inlineStr">
        <is>
          <t>'=G44-1</t>
        </is>
      </c>
      <c r="G512" t="n">
        <v>88</v>
      </c>
      <c r="H512" t="inlineStr"/>
      <c r="I512" t="inlineStr">
        <is>
          <t>#,##0</t>
        </is>
      </c>
      <c r="J512" t="b">
        <v>0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00000000</t>
        </is>
      </c>
      <c r="O512" t="n">
        <v/>
      </c>
      <c r="P512" t="n">
        <v/>
      </c>
      <c r="R512" t="b">
        <v>1</v>
      </c>
      <c r="S512" t="inlineStr">
        <is>
          <t>G000286</t>
        </is>
      </c>
      <c r="T512" t="inlineStr">
        <is>
          <t>Vertical</t>
        </is>
      </c>
      <c r="U512" t="n">
        <v>129</v>
      </c>
      <c r="V512" t="b">
        <v>1</v>
      </c>
      <c r="W512" t="inlineStr">
        <is>
          <t>ATF fuel!G3:G131</t>
        </is>
      </c>
      <c r="X512">
        <f>R[-1]C[0]-1</f>
        <v/>
      </c>
    </row>
    <row r="513">
      <c r="A513" t="inlineStr">
        <is>
          <t>ATF fuel</t>
        </is>
      </c>
      <c r="B513" t="inlineStr">
        <is>
          <t>H45</t>
        </is>
      </c>
      <c r="C513" t="n">
        <v>45</v>
      </c>
      <c r="D513" t="n">
        <v>8</v>
      </c>
      <c r="E513" t="inlineStr">
        <is>
          <t>Output</t>
        </is>
      </c>
      <c r="F513" t="inlineStr">
        <is>
          <t>'=INDIRECT("A"&amp;G78)</t>
        </is>
      </c>
      <c r="G513" t="inlineStr">
        <is>
          <t>November 01, 2013</t>
        </is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00000000</t>
        </is>
      </c>
      <c r="O513" t="n">
        <v/>
      </c>
      <c r="P513" t="n">
        <v/>
      </c>
      <c r="R513" t="b">
        <v>1</v>
      </c>
      <c r="S513" t="inlineStr">
        <is>
          <t>G000287</t>
        </is>
      </c>
      <c r="T513" t="inlineStr">
        <is>
          <t>Vertical</t>
        </is>
      </c>
      <c r="U513" t="n">
        <v>20</v>
      </c>
      <c r="V513" t="b">
        <v>1</v>
      </c>
      <c r="W513" t="inlineStr">
        <is>
          <t>ATF fuel!H33:H52</t>
        </is>
      </c>
      <c r="X513">
        <f>INDIRECT("A"&amp;R[33]C[-1])</f>
        <v/>
      </c>
    </row>
    <row r="514">
      <c r="A514" t="inlineStr">
        <is>
          <t>ATF fuel</t>
        </is>
      </c>
      <c r="B514" t="inlineStr">
        <is>
          <t>I45</t>
        </is>
      </c>
      <c r="C514" t="n">
        <v>45</v>
      </c>
      <c r="D514" t="n">
        <v>9</v>
      </c>
      <c r="E514" t="inlineStr">
        <is>
          <t>Output</t>
        </is>
      </c>
      <c r="F514" t="inlineStr">
        <is>
          <t>'=INDIRECT("F"&amp;G78)</t>
        </is>
      </c>
      <c r="G514" t="n">
        <v>78427.93000000001</v>
      </c>
      <c r="H514" t="inlineStr"/>
      <c r="I514" t="inlineStr">
        <is>
          <t xml:space="preserve">_ * #,##0_ ;_ * \-#,##0_ ;_ * "-"??_ ;_ @_ 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00000000</t>
        </is>
      </c>
      <c r="O514" t="n">
        <v/>
      </c>
      <c r="P514" t="n">
        <v/>
      </c>
      <c r="R514" t="b">
        <v>1</v>
      </c>
      <c r="S514" t="inlineStr">
        <is>
          <t>G000288</t>
        </is>
      </c>
      <c r="T514" t="inlineStr">
        <is>
          <t>Vertical</t>
        </is>
      </c>
      <c r="U514" t="n">
        <v>20</v>
      </c>
      <c r="V514" t="b">
        <v>1</v>
      </c>
      <c r="W514" t="inlineStr">
        <is>
          <t>ATF fuel!I33:I52</t>
        </is>
      </c>
      <c r="X514">
        <f>INDIRECT("F"&amp;R[33]C[-2])</f>
        <v/>
      </c>
    </row>
    <row r="515">
      <c r="A515" t="inlineStr">
        <is>
          <t>ATF fuel</t>
        </is>
      </c>
      <c r="B515" t="inlineStr">
        <is>
          <t>J45</t>
        </is>
      </c>
      <c r="C515" t="n">
        <v>45</v>
      </c>
      <c r="D515" t="n">
        <v>10</v>
      </c>
      <c r="E515" t="inlineStr">
        <is>
          <t>Input</t>
        </is>
      </c>
      <c r="F515" t="n">
        <v/>
      </c>
      <c r="G515" t="n">
        <v>105.76</v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00000000</t>
        </is>
      </c>
      <c r="O515" t="n">
        <v/>
      </c>
      <c r="P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</row>
    <row r="516">
      <c r="A516" t="inlineStr">
        <is>
          <t>ATF fuel</t>
        </is>
      </c>
      <c r="B516" t="inlineStr">
        <is>
          <t>K45</t>
        </is>
      </c>
      <c r="C516" t="n">
        <v>45</v>
      </c>
      <c r="D516" t="n">
        <v>11</v>
      </c>
      <c r="E516" t="inlineStr">
        <is>
          <t>Input</t>
        </is>
      </c>
      <c r="F516" t="n">
        <v/>
      </c>
      <c r="G516" t="n">
        <v>94.56</v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00000000</t>
        </is>
      </c>
      <c r="O516" t="n">
        <v/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</row>
    <row r="517">
      <c r="A517" t="inlineStr">
        <is>
          <t>ATF fuel</t>
        </is>
      </c>
      <c r="B517" t="inlineStr">
        <is>
          <t>A46</t>
        </is>
      </c>
      <c r="C517" t="n">
        <v>46</v>
      </c>
      <c r="D517" t="n">
        <v>1</v>
      </c>
      <c r="E517" t="inlineStr">
        <is>
          <t>Input</t>
        </is>
      </c>
      <c r="F517" t="n">
        <v/>
      </c>
      <c r="G517" t="inlineStr">
        <is>
          <t>July 01, 2014</t>
        </is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n">
        <v/>
      </c>
      <c r="N517" t="inlineStr">
        <is>
          <t>00000000</t>
        </is>
      </c>
      <c r="O517" t="n">
        <v/>
      </c>
      <c r="P517" t="n">
        <v/>
      </c>
      <c r="Q517" t="b">
        <v>1</v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</row>
    <row r="518">
      <c r="A518" t="inlineStr">
        <is>
          <t>ATF fuel</t>
        </is>
      </c>
      <c r="B518" t="inlineStr">
        <is>
          <t>B46</t>
        </is>
      </c>
      <c r="C518" t="n">
        <v>46</v>
      </c>
      <c r="D518" t="n">
        <v>2</v>
      </c>
      <c r="E518" t="inlineStr">
        <is>
          <t>Input</t>
        </is>
      </c>
      <c r="F518" t="n">
        <v/>
      </c>
      <c r="G518" t="n">
        <v>70161.75999999999</v>
      </c>
      <c r="H518" t="inlineStr"/>
      <c r="I518" t="inlineStr">
        <is>
          <t>#,##0</t>
        </is>
      </c>
      <c r="J518" t="b">
        <v>0</v>
      </c>
      <c r="K518" t="b">
        <v>0</v>
      </c>
      <c r="L518" t="n">
        <v>11</v>
      </c>
      <c r="M518" t="n">
        <v/>
      </c>
      <c r="N518" t="inlineStr">
        <is>
          <t>00000000</t>
        </is>
      </c>
      <c r="O518" t="inlineStr">
        <is>
          <t>center</t>
        </is>
      </c>
      <c r="P518" t="n">
        <v/>
      </c>
      <c r="Q518" t="b">
        <v>1</v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</row>
    <row r="519">
      <c r="A519" t="inlineStr">
        <is>
          <t>ATF fuel</t>
        </is>
      </c>
      <c r="B519" t="inlineStr">
        <is>
          <t>C46</t>
        </is>
      </c>
      <c r="C519" t="n">
        <v>46</v>
      </c>
      <c r="D519" t="n">
        <v>3</v>
      </c>
      <c r="E519" t="inlineStr">
        <is>
          <t>Input</t>
        </is>
      </c>
      <c r="F519" t="n">
        <v/>
      </c>
      <c r="G519" t="n">
        <v>80076.09</v>
      </c>
      <c r="H519" t="inlineStr"/>
      <c r="I519" t="inlineStr">
        <is>
          <t>#,##0</t>
        </is>
      </c>
      <c r="J519" t="b">
        <v>0</v>
      </c>
      <c r="K519" t="b">
        <v>0</v>
      </c>
      <c r="L519" t="n">
        <v>11</v>
      </c>
      <c r="M519" t="n">
        <v/>
      </c>
      <c r="N519" t="inlineStr">
        <is>
          <t>00000000</t>
        </is>
      </c>
      <c r="O519" t="inlineStr">
        <is>
          <t>center</t>
        </is>
      </c>
      <c r="P519" t="n">
        <v/>
      </c>
      <c r="Q519" t="b">
        <v>1</v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</row>
    <row r="520">
      <c r="A520" t="inlineStr">
        <is>
          <t>ATF fuel</t>
        </is>
      </c>
      <c r="B520" t="inlineStr">
        <is>
          <t>D46</t>
        </is>
      </c>
      <c r="C520" t="n">
        <v>46</v>
      </c>
      <c r="D520" t="n">
        <v>4</v>
      </c>
      <c r="E520" t="inlineStr">
        <is>
          <t>Input</t>
        </is>
      </c>
      <c r="F520" t="n">
        <v/>
      </c>
      <c r="G520" t="n">
        <v>72411.21000000001</v>
      </c>
      <c r="H520" t="inlineStr"/>
      <c r="I520" t="inlineStr">
        <is>
          <t>#,##0</t>
        </is>
      </c>
      <c r="J520" t="b">
        <v>0</v>
      </c>
      <c r="K520" t="b">
        <v>0</v>
      </c>
      <c r="L520" t="n">
        <v>11</v>
      </c>
      <c r="M520" t="n">
        <v/>
      </c>
      <c r="N520" t="inlineStr">
        <is>
          <t>00000000</t>
        </is>
      </c>
      <c r="O520" t="inlineStr">
        <is>
          <t>center</t>
        </is>
      </c>
      <c r="P520" t="n">
        <v/>
      </c>
      <c r="Q520" t="b">
        <v>1</v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</row>
    <row r="521">
      <c r="A521" t="inlineStr">
        <is>
          <t>ATF fuel</t>
        </is>
      </c>
      <c r="B521" t="inlineStr">
        <is>
          <t>E46</t>
        </is>
      </c>
      <c r="C521" t="n">
        <v>46</v>
      </c>
      <c r="D521" t="n">
        <v>5</v>
      </c>
      <c r="E521" t="inlineStr">
        <is>
          <t>Input</t>
        </is>
      </c>
      <c r="F521" t="n">
        <v/>
      </c>
      <c r="G521" t="n">
        <v>76527.22</v>
      </c>
      <c r="H521" t="inlineStr"/>
      <c r="I521" t="inlineStr">
        <is>
          <t>#,##0</t>
        </is>
      </c>
      <c r="J521" t="b">
        <v>0</v>
      </c>
      <c r="K521" t="b">
        <v>0</v>
      </c>
      <c r="L521" t="n">
        <v>11</v>
      </c>
      <c r="M521" t="n">
        <v/>
      </c>
      <c r="N521" t="inlineStr">
        <is>
          <t>00000000</t>
        </is>
      </c>
      <c r="O521" t="inlineStr">
        <is>
          <t>center</t>
        </is>
      </c>
      <c r="P521" t="n">
        <v/>
      </c>
      <c r="Q521" t="b">
        <v>1</v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</row>
    <row r="522">
      <c r="A522" t="inlineStr">
        <is>
          <t>ATF fuel</t>
        </is>
      </c>
      <c r="B522" t="inlineStr">
        <is>
          <t>F46</t>
        </is>
      </c>
      <c r="C522" t="n">
        <v>46</v>
      </c>
      <c r="D522" t="n">
        <v>6</v>
      </c>
      <c r="E522" t="inlineStr">
        <is>
          <t>Output</t>
        </is>
      </c>
      <c r="F522" t="inlineStr">
        <is>
          <t>'=AVERAGE(B46:E46)</t>
        </is>
      </c>
      <c r="G522" t="n">
        <v>74794.07000000001</v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00000000</t>
        </is>
      </c>
      <c r="O522" t="inlineStr">
        <is>
          <t>center</t>
        </is>
      </c>
      <c r="P522" t="n">
        <v/>
      </c>
      <c r="R522" t="b">
        <v>1</v>
      </c>
      <c r="S522" t="inlineStr">
        <is>
          <t>G000284</t>
        </is>
      </c>
      <c r="T522" t="inlineStr">
        <is>
          <t>Vertical</t>
        </is>
      </c>
      <c r="U522" t="n">
        <v>130</v>
      </c>
      <c r="V522" t="b">
        <v>1</v>
      </c>
      <c r="W522" t="inlineStr">
        <is>
          <t>ATF fuel!F2:F131</t>
        </is>
      </c>
      <c r="X522">
        <f>AVERAGE(R[0]C[-4]:R[0]C[-1])</f>
        <v/>
      </c>
    </row>
    <row r="523">
      <c r="A523" t="inlineStr">
        <is>
          <t>ATF fuel</t>
        </is>
      </c>
      <c r="B523" t="inlineStr">
        <is>
          <t>G46</t>
        </is>
      </c>
      <c r="C523" t="n">
        <v>46</v>
      </c>
      <c r="D523" t="n">
        <v>7</v>
      </c>
      <c r="E523" t="inlineStr">
        <is>
          <t>Calculation</t>
        </is>
      </c>
      <c r="F523" t="inlineStr">
        <is>
          <t>'=G45-1</t>
        </is>
      </c>
      <c r="G523" t="n">
        <v>87</v>
      </c>
      <c r="H523" t="inlineStr"/>
      <c r="I523" t="inlineStr">
        <is>
          <t>#,##0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00000000</t>
        </is>
      </c>
      <c r="O523" t="n">
        <v/>
      </c>
      <c r="P523" t="n">
        <v/>
      </c>
      <c r="R523" t="b">
        <v>1</v>
      </c>
      <c r="S523" t="inlineStr">
        <is>
          <t>G000286</t>
        </is>
      </c>
      <c r="T523" t="inlineStr">
        <is>
          <t>Vertical</t>
        </is>
      </c>
      <c r="U523" t="n">
        <v>129</v>
      </c>
      <c r="V523" t="b">
        <v>1</v>
      </c>
      <c r="W523" t="inlineStr">
        <is>
          <t>ATF fuel!G3:G131</t>
        </is>
      </c>
      <c r="X523">
        <f>R[-1]C[0]-1</f>
        <v/>
      </c>
    </row>
    <row r="524">
      <c r="A524" t="inlineStr">
        <is>
          <t>ATF fuel</t>
        </is>
      </c>
      <c r="B524" t="inlineStr">
        <is>
          <t>H46</t>
        </is>
      </c>
      <c r="C524" t="n">
        <v>46</v>
      </c>
      <c r="D524" t="n">
        <v>8</v>
      </c>
      <c r="E524" t="inlineStr">
        <is>
          <t>Output</t>
        </is>
      </c>
      <c r="F524" t="inlineStr">
        <is>
          <t>'=INDIRECT("A"&amp;G79)</t>
        </is>
      </c>
      <c r="G524" t="inlineStr">
        <is>
          <t>December 01, 2013</t>
        </is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11</v>
      </c>
      <c r="M524" t="inlineStr">
        <is>
          <t>Values must be of type &lt;class 'str'&gt;</t>
        </is>
      </c>
      <c r="N524" t="inlineStr">
        <is>
          <t>00000000</t>
        </is>
      </c>
      <c r="O524" t="n">
        <v/>
      </c>
      <c r="P524" t="n">
        <v/>
      </c>
      <c r="R524" t="b">
        <v>1</v>
      </c>
      <c r="S524" t="inlineStr">
        <is>
          <t>G000287</t>
        </is>
      </c>
      <c r="T524" t="inlineStr">
        <is>
          <t>Vertical</t>
        </is>
      </c>
      <c r="U524" t="n">
        <v>20</v>
      </c>
      <c r="V524" t="b">
        <v>1</v>
      </c>
      <c r="W524" t="inlineStr">
        <is>
          <t>ATF fuel!H33:H52</t>
        </is>
      </c>
      <c r="X524">
        <f>INDIRECT("A"&amp;R[33]C[-1])</f>
        <v/>
      </c>
    </row>
    <row r="525">
      <c r="A525" t="inlineStr">
        <is>
          <t>ATF fuel</t>
        </is>
      </c>
      <c r="B525" t="inlineStr">
        <is>
          <t>I46</t>
        </is>
      </c>
      <c r="C525" t="n">
        <v>46</v>
      </c>
      <c r="D525" t="n">
        <v>9</v>
      </c>
      <c r="E525" t="inlineStr">
        <is>
          <t>Output</t>
        </is>
      </c>
      <c r="F525" t="inlineStr">
        <is>
          <t>'=INDIRECT("F"&amp;G79)</t>
        </is>
      </c>
      <c r="G525" t="n">
        <v>79031.935</v>
      </c>
      <c r="H525" t="inlineStr"/>
      <c r="I525" t="inlineStr">
        <is>
          <t xml:space="preserve">_ * #,##0_ ;_ * \-#,##0_ ;_ * "-"??_ ;_ @_ </t>
        </is>
      </c>
      <c r="J525" t="b">
        <v>0</v>
      </c>
      <c r="K525" t="b">
        <v>0</v>
      </c>
      <c r="L525" t="n">
        <v>11</v>
      </c>
      <c r="M525" t="inlineStr">
        <is>
          <t>Values must be of type &lt;class 'str'&gt;</t>
        </is>
      </c>
      <c r="N525" t="inlineStr">
        <is>
          <t>00000000</t>
        </is>
      </c>
      <c r="O525" t="n">
        <v/>
      </c>
      <c r="P525" t="n">
        <v/>
      </c>
      <c r="R525" t="b">
        <v>1</v>
      </c>
      <c r="S525" t="inlineStr">
        <is>
          <t>G000288</t>
        </is>
      </c>
      <c r="T525" t="inlineStr">
        <is>
          <t>Vertical</t>
        </is>
      </c>
      <c r="U525" t="n">
        <v>20</v>
      </c>
      <c r="V525" t="b">
        <v>1</v>
      </c>
      <c r="W525" t="inlineStr">
        <is>
          <t>ATF fuel!I33:I52</t>
        </is>
      </c>
      <c r="X525">
        <f>INDIRECT("F"&amp;R[33]C[-2])</f>
        <v/>
      </c>
    </row>
    <row r="526">
      <c r="A526" t="inlineStr">
        <is>
          <t>ATF fuel</t>
        </is>
      </c>
      <c r="B526" t="inlineStr">
        <is>
          <t>J46</t>
        </is>
      </c>
      <c r="C526" t="n">
        <v>46</v>
      </c>
      <c r="D526" t="n">
        <v>10</v>
      </c>
      <c r="E526" t="inlineStr">
        <is>
          <t>Input</t>
        </is>
      </c>
      <c r="F526" t="n">
        <v/>
      </c>
      <c r="G526" t="n">
        <v>108.91</v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11</v>
      </c>
      <c r="M526" t="inlineStr">
        <is>
          <t>Values must be of type &lt;class 'str'&gt;</t>
        </is>
      </c>
      <c r="N526" t="inlineStr">
        <is>
          <t>00000000</t>
        </is>
      </c>
      <c r="O526" t="n">
        <v/>
      </c>
      <c r="P526" t="n">
        <v/>
      </c>
      <c r="R526" t="b">
        <v>1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</row>
    <row r="527">
      <c r="A527" t="inlineStr">
        <is>
          <t>ATF fuel</t>
        </is>
      </c>
      <c r="B527" t="inlineStr">
        <is>
          <t>K46</t>
        </is>
      </c>
      <c r="C527" t="n">
        <v>46</v>
      </c>
      <c r="D527" t="n">
        <v>11</v>
      </c>
      <c r="E527" t="inlineStr">
        <is>
          <t>Input</t>
        </is>
      </c>
      <c r="F527" t="n">
        <v/>
      </c>
      <c r="G527" t="n">
        <v>93.61</v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Values must be of type &lt;class 'str'&gt;</t>
        </is>
      </c>
      <c r="N527" t="inlineStr">
        <is>
          <t>00000000</t>
        </is>
      </c>
      <c r="O527" t="n">
        <v/>
      </c>
      <c r="P527" t="n">
        <v/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</row>
    <row r="528">
      <c r="A528" t="inlineStr">
        <is>
          <t>ATF fuel</t>
        </is>
      </c>
      <c r="B528" t="inlineStr">
        <is>
          <t>A47</t>
        </is>
      </c>
      <c r="C528" t="n">
        <v>47</v>
      </c>
      <c r="D528" t="n">
        <v>1</v>
      </c>
      <c r="E528" t="inlineStr">
        <is>
          <t>Input</t>
        </is>
      </c>
      <c r="F528" t="n">
        <v/>
      </c>
      <c r="G528" t="inlineStr">
        <is>
          <t>June 25, 2014</t>
        </is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n">
        <v/>
      </c>
      <c r="N528" t="inlineStr">
        <is>
          <t>00000000</t>
        </is>
      </c>
      <c r="O528" t="n">
        <v/>
      </c>
      <c r="P528" t="n">
        <v/>
      </c>
      <c r="Q528" t="b">
        <v>1</v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</row>
    <row r="529">
      <c r="A529" t="inlineStr">
        <is>
          <t>ATF fuel</t>
        </is>
      </c>
      <c r="B529" t="inlineStr">
        <is>
          <t>B47</t>
        </is>
      </c>
      <c r="C529" t="n">
        <v>47</v>
      </c>
      <c r="D529" t="n">
        <v>2</v>
      </c>
      <c r="E529" t="inlineStr">
        <is>
          <t>Input</t>
        </is>
      </c>
      <c r="F529" t="n">
        <v/>
      </c>
      <c r="G529" t="n">
        <v>69779.91</v>
      </c>
      <c r="H529" t="inlineStr"/>
      <c r="I529" t="inlineStr">
        <is>
          <t>#,##0</t>
        </is>
      </c>
      <c r="J529" t="b">
        <v>0</v>
      </c>
      <c r="K529" t="b">
        <v>0</v>
      </c>
      <c r="L529" t="n">
        <v>11</v>
      </c>
      <c r="M529" t="n">
        <v/>
      </c>
      <c r="N529" t="inlineStr">
        <is>
          <t>00000000</t>
        </is>
      </c>
      <c r="O529" t="inlineStr">
        <is>
          <t>center</t>
        </is>
      </c>
      <c r="P529" t="n">
        <v/>
      </c>
      <c r="Q529" t="b">
        <v>1</v>
      </c>
      <c r="R529" t="b">
        <v>1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</row>
    <row r="530">
      <c r="A530" t="inlineStr">
        <is>
          <t>ATF fuel</t>
        </is>
      </c>
      <c r="B530" t="inlineStr">
        <is>
          <t>C47</t>
        </is>
      </c>
      <c r="C530" t="n">
        <v>47</v>
      </c>
      <c r="D530" t="n">
        <v>3</v>
      </c>
      <c r="E530" t="inlineStr">
        <is>
          <t>Input</t>
        </is>
      </c>
      <c r="F530" t="n">
        <v/>
      </c>
      <c r="G530" t="n">
        <v>79869.08</v>
      </c>
      <c r="H530" t="inlineStr"/>
      <c r="I530" t="inlineStr">
        <is>
          <t>#,##0</t>
        </is>
      </c>
      <c r="J530" t="b">
        <v>0</v>
      </c>
      <c r="K530" t="b">
        <v>0</v>
      </c>
      <c r="L530" t="n">
        <v>11</v>
      </c>
      <c r="M530" t="n">
        <v/>
      </c>
      <c r="N530" t="inlineStr">
        <is>
          <t>00000000</t>
        </is>
      </c>
      <c r="O530" t="inlineStr">
        <is>
          <t>center</t>
        </is>
      </c>
      <c r="P530" t="n">
        <v/>
      </c>
      <c r="Q530" t="b">
        <v>1</v>
      </c>
      <c r="R530" t="b">
        <v>1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</row>
    <row r="531">
      <c r="A531" t="inlineStr">
        <is>
          <t>ATF fuel</t>
        </is>
      </c>
      <c r="B531" t="inlineStr">
        <is>
          <t>D47</t>
        </is>
      </c>
      <c r="C531" t="n">
        <v>47</v>
      </c>
      <c r="D531" t="n">
        <v>4</v>
      </c>
      <c r="E531" t="inlineStr">
        <is>
          <t>Input</t>
        </is>
      </c>
      <c r="F531" t="n">
        <v/>
      </c>
      <c r="G531" t="n">
        <v>71940.36</v>
      </c>
      <c r="H531" t="inlineStr"/>
      <c r="I531" t="inlineStr">
        <is>
          <t>#,##0</t>
        </is>
      </c>
      <c r="J531" t="b">
        <v>0</v>
      </c>
      <c r="K531" t="b">
        <v>0</v>
      </c>
      <c r="L531" t="n">
        <v>11</v>
      </c>
      <c r="M531" t="n">
        <v/>
      </c>
      <c r="N531" t="inlineStr">
        <is>
          <t>00000000</t>
        </is>
      </c>
      <c r="O531" t="inlineStr">
        <is>
          <t>center</t>
        </is>
      </c>
      <c r="P531" t="n">
        <v/>
      </c>
      <c r="Q531" t="b">
        <v>1</v>
      </c>
      <c r="R531" t="b">
        <v>1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</row>
    <row r="532">
      <c r="A532" t="inlineStr">
        <is>
          <t>ATF fuel</t>
        </is>
      </c>
      <c r="B532" t="inlineStr">
        <is>
          <t>E47</t>
        </is>
      </c>
      <c r="C532" t="n">
        <v>47</v>
      </c>
      <c r="D532" t="n">
        <v>5</v>
      </c>
      <c r="E532" t="inlineStr">
        <is>
          <t>Input</t>
        </is>
      </c>
      <c r="F532" t="n">
        <v/>
      </c>
      <c r="G532" t="n">
        <v>76049.69</v>
      </c>
      <c r="H532" t="inlineStr"/>
      <c r="I532" t="inlineStr">
        <is>
          <t>#,##0</t>
        </is>
      </c>
      <c r="J532" t="b">
        <v>0</v>
      </c>
      <c r="K532" t="b">
        <v>0</v>
      </c>
      <c r="L532" t="n">
        <v>11</v>
      </c>
      <c r="M532" t="n">
        <v/>
      </c>
      <c r="N532" t="inlineStr">
        <is>
          <t>00000000</t>
        </is>
      </c>
      <c r="O532" t="inlineStr">
        <is>
          <t>center</t>
        </is>
      </c>
      <c r="P532" t="n">
        <v/>
      </c>
      <c r="Q532" t="b">
        <v>1</v>
      </c>
      <c r="R532" t="b">
        <v>1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</row>
    <row r="533">
      <c r="A533" t="inlineStr">
        <is>
          <t>ATF fuel</t>
        </is>
      </c>
      <c r="B533" t="inlineStr">
        <is>
          <t>F47</t>
        </is>
      </c>
      <c r="C533" t="n">
        <v>47</v>
      </c>
      <c r="D533" t="n">
        <v>6</v>
      </c>
      <c r="E533" t="inlineStr">
        <is>
          <t>Output</t>
        </is>
      </c>
      <c r="F533" t="inlineStr">
        <is>
          <t>'=AVERAGE(B47:E47)</t>
        </is>
      </c>
      <c r="G533" t="n">
        <v>74409.75999999999</v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inlineStr">
        <is>
          <t>center</t>
        </is>
      </c>
      <c r="P533" t="n">
        <v/>
      </c>
      <c r="R533" t="b">
        <v>1</v>
      </c>
      <c r="S533" t="inlineStr">
        <is>
          <t>G000284</t>
        </is>
      </c>
      <c r="T533" t="inlineStr">
        <is>
          <t>Vertical</t>
        </is>
      </c>
      <c r="U533" t="n">
        <v>130</v>
      </c>
      <c r="V533" t="b">
        <v>1</v>
      </c>
      <c r="W533" t="inlineStr">
        <is>
          <t>ATF fuel!F2:F131</t>
        </is>
      </c>
      <c r="X533">
        <f>AVERAGE(R[0]C[-4]:R[0]C[-1])</f>
        <v/>
      </c>
    </row>
    <row r="534">
      <c r="A534" t="inlineStr">
        <is>
          <t>ATF fuel</t>
        </is>
      </c>
      <c r="B534" t="inlineStr">
        <is>
          <t>G47</t>
        </is>
      </c>
      <c r="C534" t="n">
        <v>47</v>
      </c>
      <c r="D534" t="n">
        <v>7</v>
      </c>
      <c r="E534" t="inlineStr">
        <is>
          <t>Calculation</t>
        </is>
      </c>
      <c r="F534" t="inlineStr">
        <is>
          <t>'=G46-1</t>
        </is>
      </c>
      <c r="G534" t="n">
        <v>86</v>
      </c>
      <c r="H534" t="inlineStr"/>
      <c r="I534" t="inlineStr">
        <is>
          <t>#,##0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n">
        <v/>
      </c>
      <c r="P534" t="n">
        <v/>
      </c>
      <c r="R534" t="b">
        <v>1</v>
      </c>
      <c r="S534" t="inlineStr">
        <is>
          <t>G000286</t>
        </is>
      </c>
      <c r="T534" t="inlineStr">
        <is>
          <t>Vertical</t>
        </is>
      </c>
      <c r="U534" t="n">
        <v>129</v>
      </c>
      <c r="V534" t="b">
        <v>1</v>
      </c>
      <c r="W534" t="inlineStr">
        <is>
          <t>ATF fuel!G3:G131</t>
        </is>
      </c>
      <c r="X534">
        <f>R[-1]C[0]-1</f>
        <v/>
      </c>
    </row>
    <row r="535">
      <c r="A535" t="inlineStr">
        <is>
          <t>ATF fuel</t>
        </is>
      </c>
      <c r="B535" t="inlineStr">
        <is>
          <t>H47</t>
        </is>
      </c>
      <c r="C535" t="n">
        <v>47</v>
      </c>
      <c r="D535" t="n">
        <v>8</v>
      </c>
      <c r="E535" t="inlineStr">
        <is>
          <t>Output</t>
        </is>
      </c>
      <c r="F535" t="inlineStr">
        <is>
          <t>'=INDIRECT("A"&amp;G80)</t>
        </is>
      </c>
      <c r="G535" t="inlineStr">
        <is>
          <t>January 01, 2014</t>
        </is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00000000</t>
        </is>
      </c>
      <c r="O535" t="n">
        <v/>
      </c>
      <c r="P535" t="n">
        <v/>
      </c>
      <c r="R535" t="b">
        <v>1</v>
      </c>
      <c r="S535" t="inlineStr">
        <is>
          <t>G000287</t>
        </is>
      </c>
      <c r="T535" t="inlineStr">
        <is>
          <t>Vertical</t>
        </is>
      </c>
      <c r="U535" t="n">
        <v>20</v>
      </c>
      <c r="V535" t="b">
        <v>1</v>
      </c>
      <c r="W535" t="inlineStr">
        <is>
          <t>ATF fuel!H33:H52</t>
        </is>
      </c>
      <c r="X535">
        <f>INDIRECT("A"&amp;R[33]C[-1])</f>
        <v/>
      </c>
    </row>
    <row r="536">
      <c r="A536" t="inlineStr">
        <is>
          <t>ATF fuel</t>
        </is>
      </c>
      <c r="B536" t="inlineStr">
        <is>
          <t>I47</t>
        </is>
      </c>
      <c r="C536" t="n">
        <v>47</v>
      </c>
      <c r="D536" t="n">
        <v>9</v>
      </c>
      <c r="E536" t="inlineStr">
        <is>
          <t>Output</t>
        </is>
      </c>
      <c r="F536" t="inlineStr">
        <is>
          <t>'=INDIRECT("F"&amp;G80)</t>
        </is>
      </c>
      <c r="G536" t="n">
        <v>81109.5325</v>
      </c>
      <c r="H536" t="inlineStr"/>
      <c r="I536" t="inlineStr">
        <is>
          <t xml:space="preserve">_ * #,##0_ ;_ * \-#,##0_ ;_ * "-"??_ ;_ @_ 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00000000</t>
        </is>
      </c>
      <c r="O536" t="n">
        <v/>
      </c>
      <c r="P536" t="n">
        <v/>
      </c>
      <c r="R536" t="b">
        <v>1</v>
      </c>
      <c r="S536" t="inlineStr">
        <is>
          <t>G000288</t>
        </is>
      </c>
      <c r="T536" t="inlineStr">
        <is>
          <t>Vertical</t>
        </is>
      </c>
      <c r="U536" t="n">
        <v>20</v>
      </c>
      <c r="V536" t="b">
        <v>1</v>
      </c>
      <c r="W536" t="inlineStr">
        <is>
          <t>ATF fuel!I33:I52</t>
        </is>
      </c>
      <c r="X536">
        <f>INDIRECT("F"&amp;R[33]C[-2])</f>
        <v/>
      </c>
    </row>
    <row r="537">
      <c r="A537" t="inlineStr">
        <is>
          <t>ATF fuel</t>
        </is>
      </c>
      <c r="B537" t="inlineStr">
        <is>
          <t>J47</t>
        </is>
      </c>
      <c r="C537" t="n">
        <v>47</v>
      </c>
      <c r="D537" t="n">
        <v>10</v>
      </c>
      <c r="E537" t="inlineStr">
        <is>
          <t>Input</t>
        </is>
      </c>
      <c r="F537" t="n">
        <v/>
      </c>
      <c r="G537" t="n">
        <v>106.44</v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00000000</t>
        </is>
      </c>
      <c r="O537" t="n">
        <v/>
      </c>
      <c r="P537" t="n">
        <v/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</row>
    <row r="538">
      <c r="A538" t="inlineStr">
        <is>
          <t>ATF fuel</t>
        </is>
      </c>
      <c r="B538" t="inlineStr">
        <is>
          <t>K47</t>
        </is>
      </c>
      <c r="C538" t="n">
        <v>47</v>
      </c>
      <c r="D538" t="n">
        <v>11</v>
      </c>
      <c r="E538" t="inlineStr">
        <is>
          <t>Input</t>
        </is>
      </c>
      <c r="F538" t="n">
        <v/>
      </c>
      <c r="G538" t="n">
        <v>95.14</v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00000000</t>
        </is>
      </c>
      <c r="O538" t="n">
        <v/>
      </c>
      <c r="P538" t="n">
        <v/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ATF fuel</t>
        </is>
      </c>
      <c r="B539" t="inlineStr">
        <is>
          <t>A48</t>
        </is>
      </c>
      <c r="C539" t="n">
        <v>48</v>
      </c>
      <c r="D539" t="n">
        <v>1</v>
      </c>
      <c r="E539" t="inlineStr">
        <is>
          <t>Input</t>
        </is>
      </c>
      <c r="F539" t="n">
        <v/>
      </c>
      <c r="G539" t="inlineStr">
        <is>
          <t>June 01, 2014</t>
        </is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11</v>
      </c>
      <c r="M539" t="n">
        <v/>
      </c>
      <c r="N539" t="inlineStr">
        <is>
          <t>00000000</t>
        </is>
      </c>
      <c r="O539" t="n">
        <v/>
      </c>
      <c r="P539" t="n">
        <v/>
      </c>
      <c r="Q539" t="b">
        <v>1</v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ATF fuel</t>
        </is>
      </c>
      <c r="B540" t="inlineStr">
        <is>
          <t>B48</t>
        </is>
      </c>
      <c r="C540" t="n">
        <v>48</v>
      </c>
      <c r="D540" t="n">
        <v>2</v>
      </c>
      <c r="E540" t="inlineStr">
        <is>
          <t>Input</t>
        </is>
      </c>
      <c r="F540" t="n">
        <v/>
      </c>
      <c r="G540" t="n">
        <v>69747.98</v>
      </c>
      <c r="H540" t="inlineStr"/>
      <c r="I540" t="inlineStr">
        <is>
          <t>#,##0</t>
        </is>
      </c>
      <c r="J540" t="b">
        <v>0</v>
      </c>
      <c r="K540" t="b">
        <v>0</v>
      </c>
      <c r="L540" t="n">
        <v>11</v>
      </c>
      <c r="M540" t="n">
        <v/>
      </c>
      <c r="N540" t="inlineStr">
        <is>
          <t>00000000</t>
        </is>
      </c>
      <c r="O540" t="inlineStr">
        <is>
          <t>center</t>
        </is>
      </c>
      <c r="P540" t="n">
        <v/>
      </c>
      <c r="Q540" t="b">
        <v>1</v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ATF fuel</t>
        </is>
      </c>
      <c r="B541" t="inlineStr">
        <is>
          <t>C48</t>
        </is>
      </c>
      <c r="C541" t="n">
        <v>48</v>
      </c>
      <c r="D541" t="n">
        <v>3</v>
      </c>
      <c r="E541" t="inlineStr">
        <is>
          <t>Input</t>
        </is>
      </c>
      <c r="F541" t="n">
        <v/>
      </c>
      <c r="G541" t="n">
        <v>79869.08</v>
      </c>
      <c r="H541" t="inlineStr"/>
      <c r="I541" t="inlineStr">
        <is>
          <t>#,##0</t>
        </is>
      </c>
      <c r="J541" t="b">
        <v>0</v>
      </c>
      <c r="K541" t="b">
        <v>0</v>
      </c>
      <c r="L541" t="n">
        <v>11</v>
      </c>
      <c r="M541" t="n">
        <v/>
      </c>
      <c r="N541" t="inlineStr">
        <is>
          <t>00000000</t>
        </is>
      </c>
      <c r="O541" t="inlineStr">
        <is>
          <t>center</t>
        </is>
      </c>
      <c r="P541" t="n">
        <v/>
      </c>
      <c r="Q541" t="b">
        <v>1</v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ATF fuel</t>
        </is>
      </c>
      <c r="B542" t="inlineStr">
        <is>
          <t>D48</t>
        </is>
      </c>
      <c r="C542" t="n">
        <v>48</v>
      </c>
      <c r="D542" t="n">
        <v>4</v>
      </c>
      <c r="E542" t="inlineStr">
        <is>
          <t>Input</t>
        </is>
      </c>
      <c r="F542" t="n">
        <v/>
      </c>
      <c r="G542" t="n">
        <v>71940.36</v>
      </c>
      <c r="H542" t="inlineStr"/>
      <c r="I542" t="inlineStr">
        <is>
          <t>#,##0</t>
        </is>
      </c>
      <c r="J542" t="b">
        <v>0</v>
      </c>
      <c r="K542" t="b">
        <v>0</v>
      </c>
      <c r="L542" t="n">
        <v>11</v>
      </c>
      <c r="M542" t="n">
        <v/>
      </c>
      <c r="N542" t="inlineStr">
        <is>
          <t>00000000</t>
        </is>
      </c>
      <c r="O542" t="inlineStr">
        <is>
          <t>center</t>
        </is>
      </c>
      <c r="P542" t="n">
        <v/>
      </c>
      <c r="Q542" t="b">
        <v>1</v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ATF fuel</t>
        </is>
      </c>
      <c r="B543" t="inlineStr">
        <is>
          <t>E48</t>
        </is>
      </c>
      <c r="C543" t="n">
        <v>48</v>
      </c>
      <c r="D543" t="n">
        <v>5</v>
      </c>
      <c r="E543" t="inlineStr">
        <is>
          <t>Input</t>
        </is>
      </c>
      <c r="F543" t="n">
        <v/>
      </c>
      <c r="G543" t="n">
        <v>76049.69</v>
      </c>
      <c r="H543" t="inlineStr"/>
      <c r="I543" t="inlineStr">
        <is>
          <t>#,##0</t>
        </is>
      </c>
      <c r="J543" t="b">
        <v>0</v>
      </c>
      <c r="K543" t="b">
        <v>0</v>
      </c>
      <c r="L543" t="n">
        <v>11</v>
      </c>
      <c r="M543" t="n">
        <v/>
      </c>
      <c r="N543" t="inlineStr">
        <is>
          <t>00000000</t>
        </is>
      </c>
      <c r="O543" t="inlineStr">
        <is>
          <t>center</t>
        </is>
      </c>
      <c r="P543" t="n">
        <v/>
      </c>
      <c r="Q543" t="b">
        <v>1</v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</row>
    <row r="544">
      <c r="A544" t="inlineStr">
        <is>
          <t>ATF fuel</t>
        </is>
      </c>
      <c r="B544" t="inlineStr">
        <is>
          <t>F48</t>
        </is>
      </c>
      <c r="C544" t="n">
        <v>48</v>
      </c>
      <c r="D544" t="n">
        <v>6</v>
      </c>
      <c r="E544" t="inlineStr">
        <is>
          <t>Output</t>
        </is>
      </c>
      <c r="F544" t="inlineStr">
        <is>
          <t>'=AVERAGE(B48:E48)</t>
        </is>
      </c>
      <c r="G544" t="n">
        <v>74401.7775</v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inlineStr">
        <is>
          <t>center</t>
        </is>
      </c>
      <c r="P544" t="n">
        <v/>
      </c>
      <c r="R544" t="b">
        <v>1</v>
      </c>
      <c r="S544" t="inlineStr">
        <is>
          <t>G000284</t>
        </is>
      </c>
      <c r="T544" t="inlineStr">
        <is>
          <t>Vertical</t>
        </is>
      </c>
      <c r="U544" t="n">
        <v>130</v>
      </c>
      <c r="V544" t="b">
        <v>1</v>
      </c>
      <c r="W544" t="inlineStr">
        <is>
          <t>ATF fuel!F2:F131</t>
        </is>
      </c>
      <c r="X544">
        <f>AVERAGE(R[0]C[-4]:R[0]C[-1])</f>
        <v/>
      </c>
    </row>
    <row r="545">
      <c r="A545" t="inlineStr">
        <is>
          <t>ATF fuel</t>
        </is>
      </c>
      <c r="B545" t="inlineStr">
        <is>
          <t>G48</t>
        </is>
      </c>
      <c r="C545" t="n">
        <v>48</v>
      </c>
      <c r="D545" t="n">
        <v>7</v>
      </c>
      <c r="E545" t="inlineStr">
        <is>
          <t>Calculation</t>
        </is>
      </c>
      <c r="F545" t="inlineStr">
        <is>
          <t>'=G47-1</t>
        </is>
      </c>
      <c r="G545" t="n">
        <v>85</v>
      </c>
      <c r="H545" t="inlineStr"/>
      <c r="I545" t="inlineStr">
        <is>
          <t>#,##0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00000000</t>
        </is>
      </c>
      <c r="O545" t="n">
        <v/>
      </c>
      <c r="P545" t="n">
        <v/>
      </c>
      <c r="R545" t="b">
        <v>1</v>
      </c>
      <c r="S545" t="inlineStr">
        <is>
          <t>G000286</t>
        </is>
      </c>
      <c r="T545" t="inlineStr">
        <is>
          <t>Vertical</t>
        </is>
      </c>
      <c r="U545" t="n">
        <v>129</v>
      </c>
      <c r="V545" t="b">
        <v>1</v>
      </c>
      <c r="W545" t="inlineStr">
        <is>
          <t>ATF fuel!G3:G131</t>
        </is>
      </c>
      <c r="X545">
        <f>R[-1]C[0]-1</f>
        <v/>
      </c>
    </row>
    <row r="546">
      <c r="A546" t="inlineStr">
        <is>
          <t>ATF fuel</t>
        </is>
      </c>
      <c r="B546" t="inlineStr">
        <is>
          <t>H48</t>
        </is>
      </c>
      <c r="C546" t="n">
        <v>48</v>
      </c>
      <c r="D546" t="n">
        <v>8</v>
      </c>
      <c r="E546" t="inlineStr">
        <is>
          <t>Output</t>
        </is>
      </c>
      <c r="F546" t="inlineStr">
        <is>
          <t>'=INDIRECT("A"&amp;G81)</t>
        </is>
      </c>
      <c r="G546" t="inlineStr">
        <is>
          <t>February 01, 2014</t>
        </is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00000000</t>
        </is>
      </c>
      <c r="O546" t="n">
        <v/>
      </c>
      <c r="P546" t="n">
        <v/>
      </c>
      <c r="R546" t="b">
        <v>1</v>
      </c>
      <c r="S546" t="inlineStr">
        <is>
          <t>G000287</t>
        </is>
      </c>
      <c r="T546" t="inlineStr">
        <is>
          <t>Vertical</t>
        </is>
      </c>
      <c r="U546" t="n">
        <v>20</v>
      </c>
      <c r="V546" t="b">
        <v>1</v>
      </c>
      <c r="W546" t="inlineStr">
        <is>
          <t>ATF fuel!H33:H52</t>
        </is>
      </c>
      <c r="X546">
        <f>INDIRECT("A"&amp;R[33]C[-1])</f>
        <v/>
      </c>
    </row>
    <row r="547">
      <c r="A547" t="inlineStr">
        <is>
          <t>ATF fuel</t>
        </is>
      </c>
      <c r="B547" t="inlineStr">
        <is>
          <t>I48</t>
        </is>
      </c>
      <c r="C547" t="n">
        <v>48</v>
      </c>
      <c r="D547" t="n">
        <v>9</v>
      </c>
      <c r="E547" t="inlineStr">
        <is>
          <t>Output</t>
        </is>
      </c>
      <c r="F547" t="inlineStr">
        <is>
          <t>'=INDIRECT("F"&amp;G81)</t>
        </is>
      </c>
      <c r="G547" t="n">
        <v>78878.30499999999</v>
      </c>
      <c r="H547" t="inlineStr"/>
      <c r="I547" t="inlineStr">
        <is>
          <t xml:space="preserve">_ * #,##0_ ;_ * \-#,##0_ ;_ * "-"??_ ;_ @_ 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n">
        <v/>
      </c>
      <c r="P547" t="n">
        <v/>
      </c>
      <c r="R547" t="b">
        <v>1</v>
      </c>
      <c r="S547" t="inlineStr">
        <is>
          <t>G000288</t>
        </is>
      </c>
      <c r="T547" t="inlineStr">
        <is>
          <t>Vertical</t>
        </is>
      </c>
      <c r="U547" t="n">
        <v>20</v>
      </c>
      <c r="V547" t="b">
        <v>1</v>
      </c>
      <c r="W547" t="inlineStr">
        <is>
          <t>ATF fuel!I33:I52</t>
        </is>
      </c>
      <c r="X547">
        <f>INDIRECT("F"&amp;R[33]C[-2])</f>
        <v/>
      </c>
    </row>
    <row r="548">
      <c r="A548" t="inlineStr">
        <is>
          <t>ATF fuel</t>
        </is>
      </c>
      <c r="B548" t="inlineStr">
        <is>
          <t>J48</t>
        </is>
      </c>
      <c r="C548" t="n">
        <v>48</v>
      </c>
      <c r="D548" t="n">
        <v>10</v>
      </c>
      <c r="E548" t="inlineStr">
        <is>
          <t>Input</t>
        </is>
      </c>
      <c r="F548" t="n">
        <v/>
      </c>
      <c r="G548" t="n">
        <v>110.18</v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n">
        <v/>
      </c>
      <c r="P548" t="n">
        <v/>
      </c>
      <c r="R548" t="b">
        <v>1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</row>
    <row r="549">
      <c r="A549" t="inlineStr">
        <is>
          <t>ATF fuel</t>
        </is>
      </c>
      <c r="B549" t="inlineStr">
        <is>
          <t>K48</t>
        </is>
      </c>
      <c r="C549" t="n">
        <v>48</v>
      </c>
      <c r="D549" t="n">
        <v>11</v>
      </c>
      <c r="E549" t="inlineStr">
        <is>
          <t>Input</t>
        </is>
      </c>
      <c r="F549" t="n">
        <v/>
      </c>
      <c r="G549" t="n">
        <v>96.44</v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00000000</t>
        </is>
      </c>
      <c r="O549" t="n">
        <v/>
      </c>
      <c r="P549" t="n">
        <v/>
      </c>
      <c r="R549" t="b">
        <v>1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ATF fuel</t>
        </is>
      </c>
      <c r="B550" t="inlineStr">
        <is>
          <t>A49</t>
        </is>
      </c>
      <c r="C550" t="n">
        <v>49</v>
      </c>
      <c r="D550" t="n">
        <v>1</v>
      </c>
      <c r="E550" t="inlineStr">
        <is>
          <t>Input</t>
        </is>
      </c>
      <c r="F550" t="n">
        <v/>
      </c>
      <c r="G550" t="inlineStr">
        <is>
          <t>May 01, 2014</t>
        </is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n">
        <v/>
      </c>
      <c r="N550" t="inlineStr">
        <is>
          <t>00000000</t>
        </is>
      </c>
      <c r="O550" t="n">
        <v/>
      </c>
      <c r="P550" t="n">
        <v/>
      </c>
      <c r="Q550" t="b">
        <v>1</v>
      </c>
      <c r="R550" t="b">
        <v>1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ATF fuel</t>
        </is>
      </c>
      <c r="B551" t="inlineStr">
        <is>
          <t>B49</t>
        </is>
      </c>
      <c r="C551" t="n">
        <v>49</v>
      </c>
      <c r="D551" t="n">
        <v>2</v>
      </c>
      <c r="E551" t="inlineStr">
        <is>
          <t>Input</t>
        </is>
      </c>
      <c r="F551" t="n">
        <v/>
      </c>
      <c r="G551" t="n">
        <v>71033.87</v>
      </c>
      <c r="H551" t="inlineStr"/>
      <c r="I551" t="inlineStr">
        <is>
          <t>#,##0</t>
        </is>
      </c>
      <c r="J551" t="b">
        <v>0</v>
      </c>
      <c r="K551" t="b">
        <v>0</v>
      </c>
      <c r="L551" t="n">
        <v>11</v>
      </c>
      <c r="M551" t="n">
        <v/>
      </c>
      <c r="N551" t="inlineStr">
        <is>
          <t>00000000</t>
        </is>
      </c>
      <c r="O551" t="inlineStr">
        <is>
          <t>center</t>
        </is>
      </c>
      <c r="P551" t="n">
        <v/>
      </c>
      <c r="Q551" t="b">
        <v>1</v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</row>
    <row r="552">
      <c r="A552" t="inlineStr">
        <is>
          <t>ATF fuel</t>
        </is>
      </c>
      <c r="B552" t="inlineStr">
        <is>
          <t>C49</t>
        </is>
      </c>
      <c r="C552" t="n">
        <v>49</v>
      </c>
      <c r="D552" t="n">
        <v>3</v>
      </c>
      <c r="E552" t="inlineStr">
        <is>
          <t>Input</t>
        </is>
      </c>
      <c r="F552" t="n">
        <v/>
      </c>
      <c r="G552" t="n">
        <v>81316.78999999999</v>
      </c>
      <c r="H552" t="inlineStr"/>
      <c r="I552" t="inlineStr">
        <is>
          <t>#,##0</t>
        </is>
      </c>
      <c r="J552" t="b">
        <v>0</v>
      </c>
      <c r="K552" t="b">
        <v>0</v>
      </c>
      <c r="L552" t="n">
        <v>11</v>
      </c>
      <c r="M552" t="n">
        <v/>
      </c>
      <c r="N552" t="inlineStr">
        <is>
          <t>00000000</t>
        </is>
      </c>
      <c r="O552" t="inlineStr">
        <is>
          <t>center</t>
        </is>
      </c>
      <c r="P552" t="n">
        <v/>
      </c>
      <c r="Q552" t="b">
        <v>1</v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</row>
    <row r="553">
      <c r="A553" t="inlineStr">
        <is>
          <t>ATF fuel</t>
        </is>
      </c>
      <c r="B553" t="inlineStr">
        <is>
          <t>D49</t>
        </is>
      </c>
      <c r="C553" t="n">
        <v>49</v>
      </c>
      <c r="D553" t="n">
        <v>4</v>
      </c>
      <c r="E553" t="inlineStr">
        <is>
          <t>Input</t>
        </is>
      </c>
      <c r="F553" t="n">
        <v/>
      </c>
      <c r="G553" t="n">
        <v>73306.89</v>
      </c>
      <c r="H553" t="inlineStr"/>
      <c r="I553" t="inlineStr">
        <is>
          <t>#,##0</t>
        </is>
      </c>
      <c r="J553" t="b">
        <v>0</v>
      </c>
      <c r="K553" t="b">
        <v>0</v>
      </c>
      <c r="L553" t="n">
        <v>11</v>
      </c>
      <c r="M553" t="n">
        <v/>
      </c>
      <c r="N553" t="inlineStr">
        <is>
          <t>00000000</t>
        </is>
      </c>
      <c r="O553" t="inlineStr">
        <is>
          <t>center</t>
        </is>
      </c>
      <c r="P553" t="n">
        <v/>
      </c>
      <c r="Q553" t="b">
        <v>1</v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</row>
    <row r="554">
      <c r="A554" t="inlineStr">
        <is>
          <t>ATF fuel</t>
        </is>
      </c>
      <c r="B554" t="inlineStr">
        <is>
          <t>E49</t>
        </is>
      </c>
      <c r="C554" t="n">
        <v>49</v>
      </c>
      <c r="D554" t="n">
        <v>5</v>
      </c>
      <c r="E554" t="inlineStr">
        <is>
          <t>Input</t>
        </is>
      </c>
      <c r="F554" t="n">
        <v/>
      </c>
      <c r="G554" t="n">
        <v>77529.75999999999</v>
      </c>
      <c r="H554" t="inlineStr"/>
      <c r="I554" t="inlineStr">
        <is>
          <t>#,##0</t>
        </is>
      </c>
      <c r="J554" t="b">
        <v>0</v>
      </c>
      <c r="K554" t="b">
        <v>0</v>
      </c>
      <c r="L554" t="n">
        <v>11</v>
      </c>
      <c r="M554" t="n">
        <v/>
      </c>
      <c r="N554" t="inlineStr">
        <is>
          <t>00000000</t>
        </is>
      </c>
      <c r="O554" t="inlineStr">
        <is>
          <t>center</t>
        </is>
      </c>
      <c r="P554" t="n">
        <v/>
      </c>
      <c r="Q554" t="b">
        <v>1</v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</row>
    <row r="555">
      <c r="A555" t="inlineStr">
        <is>
          <t>ATF fuel</t>
        </is>
      </c>
      <c r="B555" t="inlineStr">
        <is>
          <t>F49</t>
        </is>
      </c>
      <c r="C555" t="n">
        <v>49</v>
      </c>
      <c r="D555" t="n">
        <v>6</v>
      </c>
      <c r="E555" t="inlineStr">
        <is>
          <t>Output</t>
        </is>
      </c>
      <c r="F555" t="inlineStr">
        <is>
          <t>'=AVERAGE(B49:E49)</t>
        </is>
      </c>
      <c r="G555" t="n">
        <v>75796.8275</v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11</v>
      </c>
      <c r="M555" t="inlineStr">
        <is>
          <t>Values must be of type &lt;class 'str'&gt;</t>
        </is>
      </c>
      <c r="N555" t="inlineStr">
        <is>
          <t>00000000</t>
        </is>
      </c>
      <c r="O555" t="inlineStr">
        <is>
          <t>center</t>
        </is>
      </c>
      <c r="P555" t="n">
        <v/>
      </c>
      <c r="R555" t="b">
        <v>1</v>
      </c>
      <c r="S555" t="inlineStr">
        <is>
          <t>G000284</t>
        </is>
      </c>
      <c r="T555" t="inlineStr">
        <is>
          <t>Vertical</t>
        </is>
      </c>
      <c r="U555" t="n">
        <v>130</v>
      </c>
      <c r="V555" t="b">
        <v>1</v>
      </c>
      <c r="W555" t="inlineStr">
        <is>
          <t>ATF fuel!F2:F131</t>
        </is>
      </c>
      <c r="X555">
        <f>AVERAGE(R[0]C[-4]:R[0]C[-1])</f>
        <v/>
      </c>
    </row>
    <row r="556">
      <c r="A556" t="inlineStr">
        <is>
          <t>ATF fuel</t>
        </is>
      </c>
      <c r="B556" t="inlineStr">
        <is>
          <t>G49</t>
        </is>
      </c>
      <c r="C556" t="n">
        <v>49</v>
      </c>
      <c r="D556" t="n">
        <v>7</v>
      </c>
      <c r="E556" t="inlineStr">
        <is>
          <t>Calculation</t>
        </is>
      </c>
      <c r="F556" t="inlineStr">
        <is>
          <t>'=G48-1</t>
        </is>
      </c>
      <c r="G556" t="n">
        <v>84</v>
      </c>
      <c r="H556" t="inlineStr"/>
      <c r="I556" t="inlineStr">
        <is>
          <t>#,##0</t>
        </is>
      </c>
      <c r="J556" t="b">
        <v>0</v>
      </c>
      <c r="K556" t="b">
        <v>0</v>
      </c>
      <c r="L556" t="n">
        <v>11</v>
      </c>
      <c r="M556" t="inlineStr">
        <is>
          <t>Values must be of type &lt;class 'str'&gt;</t>
        </is>
      </c>
      <c r="N556" t="inlineStr">
        <is>
          <t>00000000</t>
        </is>
      </c>
      <c r="O556" t="n">
        <v/>
      </c>
      <c r="P556" t="n">
        <v/>
      </c>
      <c r="R556" t="b">
        <v>1</v>
      </c>
      <c r="S556" t="inlineStr">
        <is>
          <t>G000286</t>
        </is>
      </c>
      <c r="T556" t="inlineStr">
        <is>
          <t>Vertical</t>
        </is>
      </c>
      <c r="U556" t="n">
        <v>129</v>
      </c>
      <c r="V556" t="b">
        <v>1</v>
      </c>
      <c r="W556" t="inlineStr">
        <is>
          <t>ATF fuel!G3:G131</t>
        </is>
      </c>
      <c r="X556">
        <f>R[-1]C[0]-1</f>
        <v/>
      </c>
    </row>
    <row r="557">
      <c r="A557" t="inlineStr">
        <is>
          <t>ATF fuel</t>
        </is>
      </c>
      <c r="B557" t="inlineStr">
        <is>
          <t>H49</t>
        </is>
      </c>
      <c r="C557" t="n">
        <v>49</v>
      </c>
      <c r="D557" t="n">
        <v>8</v>
      </c>
      <c r="E557" t="inlineStr">
        <is>
          <t>Output</t>
        </is>
      </c>
      <c r="F557" t="inlineStr">
        <is>
          <t>'=INDIRECT("A"&amp;G82)</t>
        </is>
      </c>
      <c r="G557" t="inlineStr">
        <is>
          <t>March 01, 2014</t>
        </is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n">
        <v/>
      </c>
      <c r="P557" t="n">
        <v/>
      </c>
      <c r="R557" t="b">
        <v>1</v>
      </c>
      <c r="S557" t="inlineStr">
        <is>
          <t>G000287</t>
        </is>
      </c>
      <c r="T557" t="inlineStr">
        <is>
          <t>Vertical</t>
        </is>
      </c>
      <c r="U557" t="n">
        <v>20</v>
      </c>
      <c r="V557" t="b">
        <v>1</v>
      </c>
      <c r="W557" t="inlineStr">
        <is>
          <t>ATF fuel!H33:H52</t>
        </is>
      </c>
      <c r="X557">
        <f>INDIRECT("A"&amp;R[33]C[-1])</f>
        <v/>
      </c>
    </row>
    <row r="558">
      <c r="A558" t="inlineStr">
        <is>
          <t>ATF fuel</t>
        </is>
      </c>
      <c r="B558" t="inlineStr">
        <is>
          <t>I49</t>
        </is>
      </c>
      <c r="C558" t="n">
        <v>49</v>
      </c>
      <c r="D558" t="n">
        <v>9</v>
      </c>
      <c r="E558" t="inlineStr">
        <is>
          <t>Output</t>
        </is>
      </c>
      <c r="F558" t="inlineStr">
        <is>
          <t>'=INDIRECT("F"&amp;G82)</t>
        </is>
      </c>
      <c r="G558" t="n">
        <v>79712.8625</v>
      </c>
      <c r="H558" t="inlineStr"/>
      <c r="I558" t="inlineStr">
        <is>
          <t xml:space="preserve">_ * #,##0_ ;_ * \-#,##0_ ;_ * "-"??_ ;_ @_ 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00000000</t>
        </is>
      </c>
      <c r="O558" t="n">
        <v/>
      </c>
      <c r="P558" t="n">
        <v/>
      </c>
      <c r="R558" t="b">
        <v>1</v>
      </c>
      <c r="S558" t="inlineStr">
        <is>
          <t>G000288</t>
        </is>
      </c>
      <c r="T558" t="inlineStr">
        <is>
          <t>Vertical</t>
        </is>
      </c>
      <c r="U558" t="n">
        <v>20</v>
      </c>
      <c r="V558" t="b">
        <v>1</v>
      </c>
      <c r="W558" t="inlineStr">
        <is>
          <t>ATF fuel!I33:I52</t>
        </is>
      </c>
      <c r="X558">
        <f>INDIRECT("F"&amp;R[33]C[-2])</f>
        <v/>
      </c>
    </row>
    <row r="559">
      <c r="A559" t="inlineStr">
        <is>
          <t>ATF fuel</t>
        </is>
      </c>
      <c r="B559" t="inlineStr">
        <is>
          <t>J49</t>
        </is>
      </c>
      <c r="C559" t="n">
        <v>49</v>
      </c>
      <c r="D559" t="n">
        <v>10</v>
      </c>
      <c r="E559" t="inlineStr">
        <is>
          <t>Input</t>
        </is>
      </c>
      <c r="F559" t="n">
        <v/>
      </c>
      <c r="G559" t="n">
        <v>108.27</v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n">
        <v/>
      </c>
      <c r="P559" t="n">
        <v/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</row>
    <row r="560">
      <c r="A560" t="inlineStr">
        <is>
          <t>ATF fuel</t>
        </is>
      </c>
      <c r="B560" t="inlineStr">
        <is>
          <t>K49</t>
        </is>
      </c>
      <c r="C560" t="n">
        <v>49</v>
      </c>
      <c r="D560" t="n">
        <v>11</v>
      </c>
      <c r="E560" t="inlineStr">
        <is>
          <t>Input</t>
        </is>
      </c>
      <c r="F560" t="n">
        <v/>
      </c>
      <c r="G560" t="n">
        <v>105.34</v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n">
        <v/>
      </c>
      <c r="P560" t="n">
        <v/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</row>
    <row r="561">
      <c r="A561" t="inlineStr">
        <is>
          <t>ATF fuel</t>
        </is>
      </c>
      <c r="B561" t="inlineStr">
        <is>
          <t>A50</t>
        </is>
      </c>
      <c r="C561" t="n">
        <v>50</v>
      </c>
      <c r="D561" t="n">
        <v>1</v>
      </c>
      <c r="E561" t="inlineStr">
        <is>
          <t>Input</t>
        </is>
      </c>
      <c r="F561" t="n">
        <v/>
      </c>
      <c r="G561" t="inlineStr">
        <is>
          <t>April 01, 2014</t>
        </is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n">
        <v/>
      </c>
      <c r="N561" t="inlineStr">
        <is>
          <t>00000000</t>
        </is>
      </c>
      <c r="O561" t="n">
        <v/>
      </c>
      <c r="P561" t="n">
        <v/>
      </c>
      <c r="Q561" t="b">
        <v>1</v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</row>
    <row r="562">
      <c r="A562" t="inlineStr">
        <is>
          <t>ATF fuel</t>
        </is>
      </c>
      <c r="B562" t="inlineStr">
        <is>
          <t>B50</t>
        </is>
      </c>
      <c r="C562" t="n">
        <v>50</v>
      </c>
      <c r="D562" t="n">
        <v>2</v>
      </c>
      <c r="E562" t="inlineStr">
        <is>
          <t>Input</t>
        </is>
      </c>
      <c r="F562" t="n">
        <v/>
      </c>
      <c r="G562" t="n">
        <v>71800.21000000001</v>
      </c>
      <c r="H562" t="inlineStr"/>
      <c r="I562" t="inlineStr">
        <is>
          <t>#,##0</t>
        </is>
      </c>
      <c r="J562" t="b">
        <v>0</v>
      </c>
      <c r="K562" t="b">
        <v>0</v>
      </c>
      <c r="L562" t="n">
        <v>11</v>
      </c>
      <c r="M562" t="n">
        <v/>
      </c>
      <c r="N562" t="inlineStr">
        <is>
          <t>00000000</t>
        </is>
      </c>
      <c r="O562" t="inlineStr">
        <is>
          <t>center</t>
        </is>
      </c>
      <c r="P562" t="n">
        <v/>
      </c>
      <c r="Q562" t="b">
        <v>1</v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ATF fuel</t>
        </is>
      </c>
      <c r="B563" t="inlineStr">
        <is>
          <t>C50</t>
        </is>
      </c>
      <c r="C563" t="n">
        <v>50</v>
      </c>
      <c r="D563" t="n">
        <v>3</v>
      </c>
      <c r="E563" t="inlineStr">
        <is>
          <t>Input</t>
        </is>
      </c>
      <c r="F563" t="n">
        <v/>
      </c>
      <c r="G563" t="n">
        <v>82162.12</v>
      </c>
      <c r="H563" t="inlineStr"/>
      <c r="I563" t="inlineStr">
        <is>
          <t>#,##0</t>
        </is>
      </c>
      <c r="J563" t="b">
        <v>0</v>
      </c>
      <c r="K563" t="b">
        <v>0</v>
      </c>
      <c r="L563" t="n">
        <v>11</v>
      </c>
      <c r="M563" t="n">
        <v/>
      </c>
      <c r="N563" t="inlineStr">
        <is>
          <t>00000000</t>
        </is>
      </c>
      <c r="O563" t="inlineStr">
        <is>
          <t>center</t>
        </is>
      </c>
      <c r="P563" t="n">
        <v/>
      </c>
      <c r="Q563" t="b">
        <v>1</v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ATF fuel</t>
        </is>
      </c>
      <c r="B564" t="inlineStr">
        <is>
          <t>D50</t>
        </is>
      </c>
      <c r="C564" t="n">
        <v>50</v>
      </c>
      <c r="D564" t="n">
        <v>4</v>
      </c>
      <c r="E564" t="inlineStr">
        <is>
          <t>Input</t>
        </is>
      </c>
      <c r="F564" t="n">
        <v/>
      </c>
      <c r="G564" t="n">
        <v>74105.16</v>
      </c>
      <c r="H564" t="inlineStr"/>
      <c r="I564" t="inlineStr">
        <is>
          <t>#,##0</t>
        </is>
      </c>
      <c r="J564" t="b">
        <v>0</v>
      </c>
      <c r="K564" t="b">
        <v>0</v>
      </c>
      <c r="L564" t="n">
        <v>11</v>
      </c>
      <c r="M564" t="n">
        <v/>
      </c>
      <c r="N564" t="inlineStr">
        <is>
          <t>00000000</t>
        </is>
      </c>
      <c r="O564" t="inlineStr">
        <is>
          <t>center</t>
        </is>
      </c>
      <c r="P564" t="n">
        <v/>
      </c>
      <c r="Q564" t="b">
        <v>1</v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</row>
    <row r="565">
      <c r="A565" t="inlineStr">
        <is>
          <t>ATF fuel</t>
        </is>
      </c>
      <c r="B565" t="inlineStr">
        <is>
          <t>E50</t>
        </is>
      </c>
      <c r="C565" t="n">
        <v>50</v>
      </c>
      <c r="D565" t="n">
        <v>5</v>
      </c>
      <c r="E565" t="inlineStr">
        <is>
          <t>Input</t>
        </is>
      </c>
      <c r="F565" t="n">
        <v/>
      </c>
      <c r="G565" t="n">
        <v>78375.96000000001</v>
      </c>
      <c r="H565" t="inlineStr"/>
      <c r="I565" t="inlineStr">
        <is>
          <t>#,##0</t>
        </is>
      </c>
      <c r="J565" t="b">
        <v>0</v>
      </c>
      <c r="K565" t="b">
        <v>0</v>
      </c>
      <c r="L565" t="n">
        <v>11</v>
      </c>
      <c r="M565" t="n">
        <v/>
      </c>
      <c r="N565" t="inlineStr">
        <is>
          <t>00000000</t>
        </is>
      </c>
      <c r="O565" t="inlineStr">
        <is>
          <t>center</t>
        </is>
      </c>
      <c r="P565" t="n">
        <v/>
      </c>
      <c r="Q565" t="b">
        <v>1</v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ATF fuel</t>
        </is>
      </c>
      <c r="B566" t="inlineStr">
        <is>
          <t>F50</t>
        </is>
      </c>
      <c r="C566" t="n">
        <v>50</v>
      </c>
      <c r="D566" t="n">
        <v>6</v>
      </c>
      <c r="E566" t="inlineStr">
        <is>
          <t>Output</t>
        </is>
      </c>
      <c r="F566" t="inlineStr">
        <is>
          <t>'=AVERAGE(B50:E50)</t>
        </is>
      </c>
      <c r="G566" t="n">
        <v>76610.8625</v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00000000</t>
        </is>
      </c>
      <c r="O566" t="inlineStr">
        <is>
          <t>center</t>
        </is>
      </c>
      <c r="P566" t="n">
        <v/>
      </c>
      <c r="R566" t="b">
        <v>1</v>
      </c>
      <c r="S566" t="inlineStr">
        <is>
          <t>G000284</t>
        </is>
      </c>
      <c r="T566" t="inlineStr">
        <is>
          <t>Vertical</t>
        </is>
      </c>
      <c r="U566" t="n">
        <v>130</v>
      </c>
      <c r="V566" t="b">
        <v>1</v>
      </c>
      <c r="W566" t="inlineStr">
        <is>
          <t>ATF fuel!F2:F131</t>
        </is>
      </c>
      <c r="X566">
        <f>AVERAGE(R[0]C[-4]:R[0]C[-1])</f>
        <v/>
      </c>
    </row>
    <row r="567">
      <c r="A567" t="inlineStr">
        <is>
          <t>ATF fuel</t>
        </is>
      </c>
      <c r="B567" t="inlineStr">
        <is>
          <t>G50</t>
        </is>
      </c>
      <c r="C567" t="n">
        <v>50</v>
      </c>
      <c r="D567" t="n">
        <v>7</v>
      </c>
      <c r="E567" t="inlineStr">
        <is>
          <t>Calculation</t>
        </is>
      </c>
      <c r="F567" t="inlineStr">
        <is>
          <t>'=G49-1</t>
        </is>
      </c>
      <c r="G567" t="n">
        <v>83</v>
      </c>
      <c r="H567" t="inlineStr"/>
      <c r="I567" t="inlineStr">
        <is>
          <t>#,##0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00000000</t>
        </is>
      </c>
      <c r="O567" t="n">
        <v/>
      </c>
      <c r="P567" t="n">
        <v/>
      </c>
      <c r="R567" t="b">
        <v>1</v>
      </c>
      <c r="S567" t="inlineStr">
        <is>
          <t>G000286</t>
        </is>
      </c>
      <c r="T567" t="inlineStr">
        <is>
          <t>Vertical</t>
        </is>
      </c>
      <c r="U567" t="n">
        <v>129</v>
      </c>
      <c r="V567" t="b">
        <v>1</v>
      </c>
      <c r="W567" t="inlineStr">
        <is>
          <t>ATF fuel!G3:G131</t>
        </is>
      </c>
      <c r="X567">
        <f>R[-1]C[0]-1</f>
        <v/>
      </c>
    </row>
    <row r="568">
      <c r="A568" t="inlineStr">
        <is>
          <t>ATF fuel</t>
        </is>
      </c>
      <c r="B568" t="inlineStr">
        <is>
          <t>H50</t>
        </is>
      </c>
      <c r="C568" t="n">
        <v>50</v>
      </c>
      <c r="D568" t="n">
        <v>8</v>
      </c>
      <c r="E568" t="inlineStr">
        <is>
          <t>Output</t>
        </is>
      </c>
      <c r="F568" t="inlineStr">
        <is>
          <t>'=INDIRECT("A"&amp;G83)</t>
        </is>
      </c>
      <c r="G568" t="inlineStr">
        <is>
          <t>April 01, 2014</t>
        </is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00000000</t>
        </is>
      </c>
      <c r="O568" t="n">
        <v/>
      </c>
      <c r="P568" t="n">
        <v/>
      </c>
      <c r="R568" t="b">
        <v>1</v>
      </c>
      <c r="S568" t="inlineStr">
        <is>
          <t>G000287</t>
        </is>
      </c>
      <c r="T568" t="inlineStr">
        <is>
          <t>Vertical</t>
        </is>
      </c>
      <c r="U568" t="n">
        <v>20</v>
      </c>
      <c r="V568" t="b">
        <v>1</v>
      </c>
      <c r="W568" t="inlineStr">
        <is>
          <t>ATF fuel!H33:H52</t>
        </is>
      </c>
      <c r="X568">
        <f>INDIRECT("A"&amp;R[33]C[-1])</f>
        <v/>
      </c>
    </row>
    <row r="569">
      <c r="A569" t="inlineStr">
        <is>
          <t>ATF fuel</t>
        </is>
      </c>
      <c r="B569" t="inlineStr">
        <is>
          <t>I50</t>
        </is>
      </c>
      <c r="C569" t="n">
        <v>50</v>
      </c>
      <c r="D569" t="n">
        <v>9</v>
      </c>
      <c r="E569" t="inlineStr">
        <is>
          <t>Output</t>
        </is>
      </c>
      <c r="F569" t="inlineStr">
        <is>
          <t>'=INDIRECT("F"&amp;G83)</t>
        </is>
      </c>
      <c r="G569" t="n">
        <v>76610.8625</v>
      </c>
      <c r="H569" t="inlineStr"/>
      <c r="I569" t="inlineStr">
        <is>
          <t xml:space="preserve">_ * #,##0_ ;_ * \-#,##0_ ;_ * "-"??_ ;_ @_ </t>
        </is>
      </c>
      <c r="J569" t="b">
        <v>0</v>
      </c>
      <c r="K569" t="b">
        <v>0</v>
      </c>
      <c r="L569" t="n">
        <v>11</v>
      </c>
      <c r="M569" t="inlineStr">
        <is>
          <t>Values must be of type &lt;class 'str'&gt;</t>
        </is>
      </c>
      <c r="N569" t="inlineStr">
        <is>
          <t>00000000</t>
        </is>
      </c>
      <c r="O569" t="n">
        <v/>
      </c>
      <c r="P569" t="n">
        <v/>
      </c>
      <c r="R569" t="b">
        <v>1</v>
      </c>
      <c r="S569" t="inlineStr">
        <is>
          <t>G000288</t>
        </is>
      </c>
      <c r="T569" t="inlineStr">
        <is>
          <t>Vertical</t>
        </is>
      </c>
      <c r="U569" t="n">
        <v>20</v>
      </c>
      <c r="V569" t="b">
        <v>1</v>
      </c>
      <c r="W569" t="inlineStr">
        <is>
          <t>ATF fuel!I33:I52</t>
        </is>
      </c>
      <c r="X569">
        <f>INDIRECT("F"&amp;R[33]C[-2])</f>
        <v/>
      </c>
    </row>
    <row r="570">
      <c r="A570" t="inlineStr">
        <is>
          <t>ATF fuel</t>
        </is>
      </c>
      <c r="B570" t="inlineStr">
        <is>
          <t>J50</t>
        </is>
      </c>
      <c r="C570" t="n">
        <v>50</v>
      </c>
      <c r="D570" t="n">
        <v>10</v>
      </c>
      <c r="E570" t="inlineStr">
        <is>
          <t>Input</t>
        </is>
      </c>
      <c r="F570" t="n">
        <v/>
      </c>
      <c r="G570" t="n">
        <v>105.83</v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n">
        <v/>
      </c>
      <c r="P570" t="n">
        <v/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</row>
    <row r="571">
      <c r="A571" t="inlineStr">
        <is>
          <t>ATF fuel</t>
        </is>
      </c>
      <c r="B571" t="inlineStr">
        <is>
          <t>K50</t>
        </is>
      </c>
      <c r="C571" t="n">
        <v>50</v>
      </c>
      <c r="D571" t="n">
        <v>11</v>
      </c>
      <c r="E571" t="inlineStr">
        <is>
          <t>Input</t>
        </is>
      </c>
      <c r="F571" t="n">
        <v/>
      </c>
      <c r="G571" t="n">
        <v>99.69</v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n">
        <v/>
      </c>
      <c r="P571" t="n">
        <v/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</row>
    <row r="572">
      <c r="A572" t="inlineStr">
        <is>
          <t>ATF fuel</t>
        </is>
      </c>
      <c r="B572" t="inlineStr">
        <is>
          <t>A51</t>
        </is>
      </c>
      <c r="C572" t="n">
        <v>51</v>
      </c>
      <c r="D572" t="n">
        <v>1</v>
      </c>
      <c r="E572" t="inlineStr">
        <is>
          <t>Input</t>
        </is>
      </c>
      <c r="F572" t="n">
        <v/>
      </c>
      <c r="G572" t="inlineStr">
        <is>
          <t>March 01, 2014</t>
        </is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11</v>
      </c>
      <c r="M572" t="n">
        <v/>
      </c>
      <c r="N572" t="inlineStr">
        <is>
          <t>00000000</t>
        </is>
      </c>
      <c r="O572" t="n">
        <v/>
      </c>
      <c r="P572" t="n">
        <v/>
      </c>
      <c r="Q572" t="b">
        <v>1</v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</row>
    <row r="573">
      <c r="A573" t="inlineStr">
        <is>
          <t>ATF fuel</t>
        </is>
      </c>
      <c r="B573" t="inlineStr">
        <is>
          <t>B51</t>
        </is>
      </c>
      <c r="C573" t="n">
        <v>51</v>
      </c>
      <c r="D573" t="n">
        <v>2</v>
      </c>
      <c r="E573" t="inlineStr">
        <is>
          <t>Input</t>
        </is>
      </c>
      <c r="F573" t="n">
        <v/>
      </c>
      <c r="G573" t="n">
        <v>74825.55</v>
      </c>
      <c r="H573" t="inlineStr"/>
      <c r="I573" t="inlineStr">
        <is>
          <t>#,##0</t>
        </is>
      </c>
      <c r="J573" t="b">
        <v>0</v>
      </c>
      <c r="K573" t="b">
        <v>0</v>
      </c>
      <c r="L573" t="n">
        <v>11</v>
      </c>
      <c r="M573" t="n">
        <v/>
      </c>
      <c r="N573" t="inlineStr">
        <is>
          <t>00000000</t>
        </is>
      </c>
      <c r="O573" t="inlineStr">
        <is>
          <t>center</t>
        </is>
      </c>
      <c r="P573" t="n">
        <v/>
      </c>
      <c r="Q573" t="b">
        <v>1</v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</row>
    <row r="574">
      <c r="A574" t="inlineStr">
        <is>
          <t>ATF fuel</t>
        </is>
      </c>
      <c r="B574" t="inlineStr">
        <is>
          <t>C51</t>
        </is>
      </c>
      <c r="C574" t="n">
        <v>51</v>
      </c>
      <c r="D574" t="n">
        <v>3</v>
      </c>
      <c r="E574" t="inlineStr">
        <is>
          <t>Input</t>
        </is>
      </c>
      <c r="F574" t="n">
        <v/>
      </c>
      <c r="G574" t="n">
        <v>85251.88</v>
      </c>
      <c r="H574" t="inlineStr"/>
      <c r="I574" t="inlineStr">
        <is>
          <t>#,##0</t>
        </is>
      </c>
      <c r="J574" t="b">
        <v>0</v>
      </c>
      <c r="K574" t="b">
        <v>0</v>
      </c>
      <c r="L574" t="n">
        <v>11</v>
      </c>
      <c r="M574" t="n">
        <v/>
      </c>
      <c r="N574" t="inlineStr">
        <is>
          <t>00000000</t>
        </is>
      </c>
      <c r="O574" t="inlineStr">
        <is>
          <t>center</t>
        </is>
      </c>
      <c r="P574" t="n">
        <v/>
      </c>
      <c r="Q574" t="b">
        <v>1</v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</row>
    <row r="575">
      <c r="A575" t="inlineStr">
        <is>
          <t>ATF fuel</t>
        </is>
      </c>
      <c r="B575" t="inlineStr">
        <is>
          <t>D51</t>
        </is>
      </c>
      <c r="C575" t="n">
        <v>51</v>
      </c>
      <c r="D575" t="n">
        <v>4</v>
      </c>
      <c r="E575" t="inlineStr">
        <is>
          <t>Input</t>
        </is>
      </c>
      <c r="F575" t="n">
        <v/>
      </c>
      <c r="G575" t="n">
        <v>77322.60000000001</v>
      </c>
      <c r="H575" t="inlineStr"/>
      <c r="I575" t="inlineStr">
        <is>
          <t>#,##0</t>
        </is>
      </c>
      <c r="J575" t="b">
        <v>0</v>
      </c>
      <c r="K575" t="b">
        <v>0</v>
      </c>
      <c r="L575" t="n">
        <v>11</v>
      </c>
      <c r="M575" t="n">
        <v/>
      </c>
      <c r="N575" t="inlineStr">
        <is>
          <t>00000000</t>
        </is>
      </c>
      <c r="O575" t="inlineStr">
        <is>
          <t>center</t>
        </is>
      </c>
      <c r="P575" t="n">
        <v/>
      </c>
      <c r="Q575" t="b">
        <v>1</v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</row>
    <row r="576">
      <c r="A576" t="inlineStr">
        <is>
          <t>ATF fuel</t>
        </is>
      </c>
      <c r="B576" t="inlineStr">
        <is>
          <t>E51</t>
        </is>
      </c>
      <c r="C576" t="n">
        <v>51</v>
      </c>
      <c r="D576" t="n">
        <v>5</v>
      </c>
      <c r="E576" t="inlineStr">
        <is>
          <t>Input</t>
        </is>
      </c>
      <c r="F576" t="n">
        <v/>
      </c>
      <c r="G576" t="n">
        <v>81451.42</v>
      </c>
      <c r="H576" t="inlineStr"/>
      <c r="I576" t="inlineStr">
        <is>
          <t>#,##0</t>
        </is>
      </c>
      <c r="J576" t="b">
        <v>0</v>
      </c>
      <c r="K576" t="b">
        <v>0</v>
      </c>
      <c r="L576" t="n">
        <v>11</v>
      </c>
      <c r="M576" t="n">
        <v/>
      </c>
      <c r="N576" t="inlineStr">
        <is>
          <t>00000000</t>
        </is>
      </c>
      <c r="O576" t="inlineStr">
        <is>
          <t>center</t>
        </is>
      </c>
      <c r="P576" t="n">
        <v/>
      </c>
      <c r="Q576" t="b">
        <v>1</v>
      </c>
      <c r="R576" t="b">
        <v>1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</row>
    <row r="577">
      <c r="A577" t="inlineStr">
        <is>
          <t>ATF fuel</t>
        </is>
      </c>
      <c r="B577" t="inlineStr">
        <is>
          <t>F51</t>
        </is>
      </c>
      <c r="C577" t="n">
        <v>51</v>
      </c>
      <c r="D577" t="n">
        <v>6</v>
      </c>
      <c r="E577" t="inlineStr">
        <is>
          <t>Output</t>
        </is>
      </c>
      <c r="F577" t="inlineStr">
        <is>
          <t>'=AVERAGE(B51:E51)</t>
        </is>
      </c>
      <c r="G577" t="n">
        <v>79712.8625</v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inlineStr">
        <is>
          <t>center</t>
        </is>
      </c>
      <c r="P577" t="n">
        <v/>
      </c>
      <c r="R577" t="b">
        <v>1</v>
      </c>
      <c r="S577" t="inlineStr">
        <is>
          <t>G000284</t>
        </is>
      </c>
      <c r="T577" t="inlineStr">
        <is>
          <t>Vertical</t>
        </is>
      </c>
      <c r="U577" t="n">
        <v>130</v>
      </c>
      <c r="V577" t="b">
        <v>1</v>
      </c>
      <c r="W577" t="inlineStr">
        <is>
          <t>ATF fuel!F2:F131</t>
        </is>
      </c>
      <c r="X577">
        <f>AVERAGE(R[0]C[-4]:R[0]C[-1])</f>
        <v/>
      </c>
    </row>
    <row r="578">
      <c r="A578" t="inlineStr">
        <is>
          <t>ATF fuel</t>
        </is>
      </c>
      <c r="B578" t="inlineStr">
        <is>
          <t>G51</t>
        </is>
      </c>
      <c r="C578" t="n">
        <v>51</v>
      </c>
      <c r="D578" t="n">
        <v>7</v>
      </c>
      <c r="E578" t="inlineStr">
        <is>
          <t>Calculation</t>
        </is>
      </c>
      <c r="F578" t="inlineStr">
        <is>
          <t>'=G50-1</t>
        </is>
      </c>
      <c r="G578" t="n">
        <v>82</v>
      </c>
      <c r="H578" t="inlineStr"/>
      <c r="I578" t="inlineStr">
        <is>
          <t>#,##0</t>
        </is>
      </c>
      <c r="J578" t="b">
        <v>0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00000000</t>
        </is>
      </c>
      <c r="O578" t="n">
        <v/>
      </c>
      <c r="P578" t="n">
        <v/>
      </c>
      <c r="R578" t="b">
        <v>1</v>
      </c>
      <c r="S578" t="inlineStr">
        <is>
          <t>G000286</t>
        </is>
      </c>
      <c r="T578" t="inlineStr">
        <is>
          <t>Vertical</t>
        </is>
      </c>
      <c r="U578" t="n">
        <v>129</v>
      </c>
      <c r="V578" t="b">
        <v>1</v>
      </c>
      <c r="W578" t="inlineStr">
        <is>
          <t>ATF fuel!G3:G131</t>
        </is>
      </c>
      <c r="X578">
        <f>R[-1]C[0]-1</f>
        <v/>
      </c>
    </row>
    <row r="579">
      <c r="A579" t="inlineStr">
        <is>
          <t>ATF fuel</t>
        </is>
      </c>
      <c r="B579" t="inlineStr">
        <is>
          <t>H51</t>
        </is>
      </c>
      <c r="C579" t="n">
        <v>51</v>
      </c>
      <c r="D579" t="n">
        <v>8</v>
      </c>
      <c r="E579" t="inlineStr">
        <is>
          <t>Output</t>
        </is>
      </c>
      <c r="F579" t="inlineStr">
        <is>
          <t>'=INDIRECT("A"&amp;G84)</t>
        </is>
      </c>
      <c r="G579" t="inlineStr">
        <is>
          <t>May 01, 2014</t>
        </is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00000000</t>
        </is>
      </c>
      <c r="O579" t="n">
        <v/>
      </c>
      <c r="P579" t="n">
        <v/>
      </c>
      <c r="R579" t="b">
        <v>1</v>
      </c>
      <c r="S579" t="inlineStr">
        <is>
          <t>G000287</t>
        </is>
      </c>
      <c r="T579" t="inlineStr">
        <is>
          <t>Vertical</t>
        </is>
      </c>
      <c r="U579" t="n">
        <v>20</v>
      </c>
      <c r="V579" t="b">
        <v>1</v>
      </c>
      <c r="W579" t="inlineStr">
        <is>
          <t>ATF fuel!H33:H52</t>
        </is>
      </c>
      <c r="X579">
        <f>INDIRECT("A"&amp;R[33]C[-1])</f>
        <v/>
      </c>
    </row>
    <row r="580">
      <c r="A580" t="inlineStr">
        <is>
          <t>ATF fuel</t>
        </is>
      </c>
      <c r="B580" t="inlineStr">
        <is>
          <t>I51</t>
        </is>
      </c>
      <c r="C580" t="n">
        <v>51</v>
      </c>
      <c r="D580" t="n">
        <v>9</v>
      </c>
      <c r="E580" t="inlineStr">
        <is>
          <t>Output</t>
        </is>
      </c>
      <c r="F580" t="inlineStr">
        <is>
          <t>'=INDIRECT("F"&amp;G84)</t>
        </is>
      </c>
      <c r="G580" t="n">
        <v>75796.8275</v>
      </c>
      <c r="H580" t="inlineStr"/>
      <c r="I580" t="inlineStr">
        <is>
          <t xml:space="preserve">_ * #,##0_ ;_ * \-#,##0_ ;_ * "-"??_ ;_ @_ 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n">
        <v/>
      </c>
      <c r="P580" t="n">
        <v/>
      </c>
      <c r="R580" t="b">
        <v>1</v>
      </c>
      <c r="S580" t="inlineStr">
        <is>
          <t>G000288</t>
        </is>
      </c>
      <c r="T580" t="inlineStr">
        <is>
          <t>Vertical</t>
        </is>
      </c>
      <c r="U580" t="n">
        <v>20</v>
      </c>
      <c r="V580" t="b">
        <v>1</v>
      </c>
      <c r="W580" t="inlineStr">
        <is>
          <t>ATF fuel!I33:I52</t>
        </is>
      </c>
      <c r="X580">
        <f>INDIRECT("F"&amp;R[33]C[-2])</f>
        <v/>
      </c>
    </row>
    <row r="581">
      <c r="A581" t="inlineStr">
        <is>
          <t>ATF fuel</t>
        </is>
      </c>
      <c r="B581" t="inlineStr">
        <is>
          <t>J51</t>
        </is>
      </c>
      <c r="C581" t="n">
        <v>51</v>
      </c>
      <c r="D581" t="n">
        <v>10</v>
      </c>
      <c r="E581" t="inlineStr">
        <is>
          <t>Input</t>
        </is>
      </c>
      <c r="F581" t="n">
        <v/>
      </c>
      <c r="G581" t="n">
        <v>108.19</v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n">
        <v/>
      </c>
      <c r="P581" t="n">
        <v/>
      </c>
      <c r="R581" t="b">
        <v>1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</row>
    <row r="582">
      <c r="A582" t="inlineStr">
        <is>
          <t>ATF fuel</t>
        </is>
      </c>
      <c r="B582" t="inlineStr">
        <is>
          <t>K51</t>
        </is>
      </c>
      <c r="C582" t="n">
        <v>51</v>
      </c>
      <c r="D582" t="n">
        <v>11</v>
      </c>
      <c r="E582" t="inlineStr">
        <is>
          <t>Input</t>
        </is>
      </c>
      <c r="F582" t="n">
        <v/>
      </c>
      <c r="G582" t="n">
        <v>99.69</v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n">
        <v/>
      </c>
      <c r="P582" t="n">
        <v/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</row>
    <row r="583">
      <c r="A583" t="inlineStr">
        <is>
          <t>ATF fuel</t>
        </is>
      </c>
      <c r="B583" t="inlineStr">
        <is>
          <t>A52</t>
        </is>
      </c>
      <c r="C583" t="n">
        <v>52</v>
      </c>
      <c r="D583" t="n">
        <v>1</v>
      </c>
      <c r="E583" t="inlineStr">
        <is>
          <t>Input</t>
        </is>
      </c>
      <c r="F583" t="n">
        <v/>
      </c>
      <c r="G583" t="inlineStr">
        <is>
          <t>February 01, 2014</t>
        </is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11</v>
      </c>
      <c r="M583" t="n">
        <v/>
      </c>
      <c r="N583" t="inlineStr">
        <is>
          <t>00000000</t>
        </is>
      </c>
      <c r="O583" t="n">
        <v/>
      </c>
      <c r="P583" t="n">
        <v/>
      </c>
      <c r="Q583" t="b">
        <v>1</v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</row>
    <row r="584">
      <c r="A584" t="inlineStr">
        <is>
          <t>ATF fuel</t>
        </is>
      </c>
      <c r="B584" t="inlineStr">
        <is>
          <t>B52</t>
        </is>
      </c>
      <c r="C584" t="n">
        <v>52</v>
      </c>
      <c r="D584" t="n">
        <v>2</v>
      </c>
      <c r="E584" t="inlineStr">
        <is>
          <t>Input</t>
        </is>
      </c>
      <c r="F584" t="n">
        <v/>
      </c>
      <c r="G584" t="n">
        <v>74072.2</v>
      </c>
      <c r="H584" t="inlineStr"/>
      <c r="I584" t="inlineStr">
        <is>
          <t>#,##0</t>
        </is>
      </c>
      <c r="J584" t="b">
        <v>0</v>
      </c>
      <c r="K584" t="b">
        <v>0</v>
      </c>
      <c r="L584" t="n">
        <v>11</v>
      </c>
      <c r="M584" t="n">
        <v/>
      </c>
      <c r="N584" t="inlineStr">
        <is>
          <t>00000000</t>
        </is>
      </c>
      <c r="O584" t="inlineStr">
        <is>
          <t>center</t>
        </is>
      </c>
      <c r="P584" t="n">
        <v/>
      </c>
      <c r="Q584" t="b">
        <v>1</v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</row>
    <row r="585">
      <c r="A585" t="inlineStr">
        <is>
          <t>ATF fuel</t>
        </is>
      </c>
      <c r="B585" t="inlineStr">
        <is>
          <t>C52</t>
        </is>
      </c>
      <c r="C585" t="n">
        <v>52</v>
      </c>
      <c r="D585" t="n">
        <v>3</v>
      </c>
      <c r="E585" t="inlineStr">
        <is>
          <t>Input</t>
        </is>
      </c>
      <c r="F585" t="n">
        <v/>
      </c>
      <c r="G585" t="n">
        <v>84358.89999999999</v>
      </c>
      <c r="H585" t="inlineStr"/>
      <c r="I585" t="inlineStr">
        <is>
          <t>#,##0</t>
        </is>
      </c>
      <c r="J585" t="b">
        <v>0</v>
      </c>
      <c r="K585" t="b">
        <v>0</v>
      </c>
      <c r="L585" t="n">
        <v>11</v>
      </c>
      <c r="M585" t="n">
        <v/>
      </c>
      <c r="N585" t="inlineStr">
        <is>
          <t>00000000</t>
        </is>
      </c>
      <c r="O585" t="inlineStr">
        <is>
          <t>center</t>
        </is>
      </c>
      <c r="P585" t="n">
        <v/>
      </c>
      <c r="Q585" t="b">
        <v>1</v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</row>
    <row r="586">
      <c r="A586" t="inlineStr">
        <is>
          <t>ATF fuel</t>
        </is>
      </c>
      <c r="B586" t="inlineStr">
        <is>
          <t>D52</t>
        </is>
      </c>
      <c r="C586" t="n">
        <v>52</v>
      </c>
      <c r="D586" t="n">
        <v>4</v>
      </c>
      <c r="E586" t="inlineStr">
        <is>
          <t>Input</t>
        </is>
      </c>
      <c r="F586" t="n">
        <v/>
      </c>
      <c r="G586" t="n">
        <v>76524.33</v>
      </c>
      <c r="H586" t="inlineStr"/>
      <c r="I586" t="inlineStr">
        <is>
          <t>#,##0</t>
        </is>
      </c>
      <c r="J586" t="b">
        <v>0</v>
      </c>
      <c r="K586" t="b">
        <v>0</v>
      </c>
      <c r="L586" t="n">
        <v>11</v>
      </c>
      <c r="M586" t="n">
        <v/>
      </c>
      <c r="N586" t="inlineStr">
        <is>
          <t>00000000</t>
        </is>
      </c>
      <c r="O586" t="inlineStr">
        <is>
          <t>center</t>
        </is>
      </c>
      <c r="P586" t="n">
        <v/>
      </c>
      <c r="Q586" t="b">
        <v>1</v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</row>
    <row r="587">
      <c r="A587" t="inlineStr">
        <is>
          <t>ATF fuel</t>
        </is>
      </c>
      <c r="B587" t="inlineStr">
        <is>
          <t>E52</t>
        </is>
      </c>
      <c r="C587" t="n">
        <v>52</v>
      </c>
      <c r="D587" t="n">
        <v>5</v>
      </c>
      <c r="E587" t="inlineStr">
        <is>
          <t>Input</t>
        </is>
      </c>
      <c r="F587" t="n">
        <v/>
      </c>
      <c r="G587" t="n">
        <v>80557.78999999999</v>
      </c>
      <c r="H587" t="inlineStr"/>
      <c r="I587" t="inlineStr">
        <is>
          <t>#,##0</t>
        </is>
      </c>
      <c r="J587" t="b">
        <v>0</v>
      </c>
      <c r="K587" t="b">
        <v>0</v>
      </c>
      <c r="L587" t="n">
        <v>11</v>
      </c>
      <c r="M587" t="n">
        <v/>
      </c>
      <c r="N587" t="inlineStr">
        <is>
          <t>00000000</t>
        </is>
      </c>
      <c r="O587" t="inlineStr">
        <is>
          <t>center</t>
        </is>
      </c>
      <c r="P587" t="n">
        <v/>
      </c>
      <c r="Q587" t="b">
        <v>1</v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</row>
    <row r="588">
      <c r="A588" t="inlineStr">
        <is>
          <t>ATF fuel</t>
        </is>
      </c>
      <c r="B588" t="inlineStr">
        <is>
          <t>F52</t>
        </is>
      </c>
      <c r="C588" t="n">
        <v>52</v>
      </c>
      <c r="D588" t="n">
        <v>6</v>
      </c>
      <c r="E588" t="inlineStr">
        <is>
          <t>Output</t>
        </is>
      </c>
      <c r="F588" t="inlineStr">
        <is>
          <t>'=AVERAGE(B52:E52)</t>
        </is>
      </c>
      <c r="G588" t="n">
        <v>78878.30499999999</v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00000000</t>
        </is>
      </c>
      <c r="O588" t="inlineStr">
        <is>
          <t>center</t>
        </is>
      </c>
      <c r="P588" t="n">
        <v/>
      </c>
      <c r="R588" t="b">
        <v>1</v>
      </c>
      <c r="S588" t="inlineStr">
        <is>
          <t>G000284</t>
        </is>
      </c>
      <c r="T588" t="inlineStr">
        <is>
          <t>Vertical</t>
        </is>
      </c>
      <c r="U588" t="n">
        <v>130</v>
      </c>
      <c r="V588" t="b">
        <v>1</v>
      </c>
      <c r="W588" t="inlineStr">
        <is>
          <t>ATF fuel!F2:F131</t>
        </is>
      </c>
      <c r="X588">
        <f>AVERAGE(R[0]C[-4]:R[0]C[-1])</f>
        <v/>
      </c>
    </row>
    <row r="589">
      <c r="A589" t="inlineStr">
        <is>
          <t>ATF fuel</t>
        </is>
      </c>
      <c r="B589" t="inlineStr">
        <is>
          <t>G52</t>
        </is>
      </c>
      <c r="C589" t="n">
        <v>52</v>
      </c>
      <c r="D589" t="n">
        <v>7</v>
      </c>
      <c r="E589" t="inlineStr">
        <is>
          <t>Calculation</t>
        </is>
      </c>
      <c r="F589" t="inlineStr">
        <is>
          <t>'=G51-1</t>
        </is>
      </c>
      <c r="G589" t="n">
        <v>81</v>
      </c>
      <c r="H589" t="inlineStr"/>
      <c r="I589" t="inlineStr">
        <is>
          <t>#,##0</t>
        </is>
      </c>
      <c r="J589" t="b">
        <v>0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00000000</t>
        </is>
      </c>
      <c r="O589" t="n">
        <v/>
      </c>
      <c r="P589" t="n">
        <v/>
      </c>
      <c r="R589" t="b">
        <v>1</v>
      </c>
      <c r="S589" t="inlineStr">
        <is>
          <t>G000286</t>
        </is>
      </c>
      <c r="T589" t="inlineStr">
        <is>
          <t>Vertical</t>
        </is>
      </c>
      <c r="U589" t="n">
        <v>129</v>
      </c>
      <c r="V589" t="b">
        <v>1</v>
      </c>
      <c r="W589" t="inlineStr">
        <is>
          <t>ATF fuel!G3:G131</t>
        </is>
      </c>
      <c r="X589">
        <f>R[-1]C[0]-1</f>
        <v/>
      </c>
    </row>
    <row r="590">
      <c r="A590" t="inlineStr">
        <is>
          <t>ATF fuel</t>
        </is>
      </c>
      <c r="B590" t="inlineStr">
        <is>
          <t>H52</t>
        </is>
      </c>
      <c r="C590" t="n">
        <v>52</v>
      </c>
      <c r="D590" t="n">
        <v>8</v>
      </c>
      <c r="E590" t="inlineStr">
        <is>
          <t>Output</t>
        </is>
      </c>
      <c r="F590" t="inlineStr">
        <is>
          <t>'=INDIRECT("A"&amp;G85)</t>
        </is>
      </c>
      <c r="G590" t="inlineStr">
        <is>
          <t>June 01, 2014</t>
        </is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00000000</t>
        </is>
      </c>
      <c r="O590" t="n">
        <v/>
      </c>
      <c r="P590" t="n">
        <v/>
      </c>
      <c r="R590" t="b">
        <v>1</v>
      </c>
      <c r="S590" t="inlineStr">
        <is>
          <t>G000287</t>
        </is>
      </c>
      <c r="T590" t="inlineStr">
        <is>
          <t>Vertical</t>
        </is>
      </c>
      <c r="U590" t="n">
        <v>20</v>
      </c>
      <c r="V590" t="b">
        <v>1</v>
      </c>
      <c r="W590" t="inlineStr">
        <is>
          <t>ATF fuel!H33:H52</t>
        </is>
      </c>
      <c r="X590">
        <f>INDIRECT("A"&amp;R[33]C[-1])</f>
        <v/>
      </c>
    </row>
    <row r="591">
      <c r="A591" t="inlineStr">
        <is>
          <t>ATF fuel</t>
        </is>
      </c>
      <c r="B591" t="inlineStr">
        <is>
          <t>I52</t>
        </is>
      </c>
      <c r="C591" t="n">
        <v>52</v>
      </c>
      <c r="D591" t="n">
        <v>9</v>
      </c>
      <c r="E591" t="inlineStr">
        <is>
          <t>Output</t>
        </is>
      </c>
      <c r="F591" t="inlineStr">
        <is>
          <t>'=INDIRECT("F"&amp;G85)</t>
        </is>
      </c>
      <c r="G591" t="n">
        <v>74401.7775</v>
      </c>
      <c r="H591" t="inlineStr"/>
      <c r="I591" t="inlineStr">
        <is>
          <t xml:space="preserve">_ * #,##0_ ;_ * \-#,##0_ ;_ * "-"??_ ;_ @_ 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00000000</t>
        </is>
      </c>
      <c r="O591" t="n">
        <v/>
      </c>
      <c r="P591" t="n">
        <v/>
      </c>
      <c r="R591" t="b">
        <v>1</v>
      </c>
      <c r="S591" t="inlineStr">
        <is>
          <t>G000288</t>
        </is>
      </c>
      <c r="T591" t="inlineStr">
        <is>
          <t>Vertical</t>
        </is>
      </c>
      <c r="U591" t="n">
        <v>20</v>
      </c>
      <c r="V591" t="b">
        <v>1</v>
      </c>
      <c r="W591" t="inlineStr">
        <is>
          <t>ATF fuel!I33:I52</t>
        </is>
      </c>
      <c r="X591">
        <f>INDIRECT("F"&amp;R[33]C[-2])</f>
        <v/>
      </c>
    </row>
    <row r="592">
      <c r="A592" t="inlineStr">
        <is>
          <t>ATF fuel</t>
        </is>
      </c>
      <c r="B592" t="inlineStr">
        <is>
          <t>J52</t>
        </is>
      </c>
      <c r="C592" t="n">
        <v>52</v>
      </c>
      <c r="D592" t="n">
        <v>10</v>
      </c>
      <c r="E592" t="inlineStr">
        <is>
          <t>Input</t>
        </is>
      </c>
      <c r="F592" t="n">
        <v/>
      </c>
      <c r="G592" t="n">
        <v>109.21</v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00000000</t>
        </is>
      </c>
      <c r="O592" t="n">
        <v/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</row>
    <row r="593">
      <c r="A593" t="inlineStr">
        <is>
          <t>ATF fuel</t>
        </is>
      </c>
      <c r="B593" t="inlineStr">
        <is>
          <t>K52</t>
        </is>
      </c>
      <c r="C593" t="n">
        <v>52</v>
      </c>
      <c r="D593" t="n">
        <v>11</v>
      </c>
      <c r="E593" t="inlineStr">
        <is>
          <t>Input</t>
        </is>
      </c>
      <c r="F593" t="n">
        <v/>
      </c>
      <c r="G593" t="n">
        <v>103.07</v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n">
        <v/>
      </c>
      <c r="P593" t="n">
        <v/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</row>
    <row r="594">
      <c r="A594" t="inlineStr">
        <is>
          <t>ATF fuel</t>
        </is>
      </c>
      <c r="B594" t="inlineStr">
        <is>
          <t>A53</t>
        </is>
      </c>
      <c r="C594" t="n">
        <v>53</v>
      </c>
      <c r="D594" t="n">
        <v>1</v>
      </c>
      <c r="E594" t="inlineStr">
        <is>
          <t>Input</t>
        </is>
      </c>
      <c r="F594" t="n">
        <v/>
      </c>
      <c r="G594" t="inlineStr">
        <is>
          <t>January 01, 2014</t>
        </is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n">
        <v/>
      </c>
      <c r="N594" t="inlineStr">
        <is>
          <t>00000000</t>
        </is>
      </c>
      <c r="O594" t="n">
        <v/>
      </c>
      <c r="P594" t="n">
        <v/>
      </c>
      <c r="Q594" t="b">
        <v>1</v>
      </c>
      <c r="R594" t="b">
        <v>1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</row>
    <row r="595">
      <c r="A595" t="inlineStr">
        <is>
          <t>ATF fuel</t>
        </is>
      </c>
      <c r="B595" t="inlineStr">
        <is>
          <t>B53</t>
        </is>
      </c>
      <c r="C595" t="n">
        <v>53</v>
      </c>
      <c r="D595" t="n">
        <v>2</v>
      </c>
      <c r="E595" t="inlineStr">
        <is>
          <t>Input</t>
        </is>
      </c>
      <c r="F595" t="n">
        <v/>
      </c>
      <c r="G595" t="n">
        <v>76241.33</v>
      </c>
      <c r="H595" t="inlineStr"/>
      <c r="I595" t="inlineStr">
        <is>
          <t>#,##0</t>
        </is>
      </c>
      <c r="J595" t="b">
        <v>0</v>
      </c>
      <c r="K595" t="b">
        <v>0</v>
      </c>
      <c r="L595" t="n">
        <v>11</v>
      </c>
      <c r="M595" t="n">
        <v/>
      </c>
      <c r="N595" t="inlineStr">
        <is>
          <t>00000000</t>
        </is>
      </c>
      <c r="O595" t="inlineStr">
        <is>
          <t>center</t>
        </is>
      </c>
      <c r="P595" t="n">
        <v/>
      </c>
      <c r="Q595" t="b">
        <v>1</v>
      </c>
      <c r="R595" t="b">
        <v>1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</row>
    <row r="596">
      <c r="A596" t="inlineStr">
        <is>
          <t>ATF fuel</t>
        </is>
      </c>
      <c r="B596" t="inlineStr">
        <is>
          <t>C53</t>
        </is>
      </c>
      <c r="C596" t="n">
        <v>53</v>
      </c>
      <c r="D596" t="n">
        <v>3</v>
      </c>
      <c r="E596" t="inlineStr">
        <is>
          <t>Input</t>
        </is>
      </c>
      <c r="F596" t="n">
        <v/>
      </c>
      <c r="G596" t="n">
        <v>86559.23</v>
      </c>
      <c r="H596" t="inlineStr"/>
      <c r="I596" t="inlineStr">
        <is>
          <t>#,##0</t>
        </is>
      </c>
      <c r="J596" t="b">
        <v>0</v>
      </c>
      <c r="K596" t="b">
        <v>0</v>
      </c>
      <c r="L596" t="n">
        <v>11</v>
      </c>
      <c r="M596" t="n">
        <v/>
      </c>
      <c r="N596" t="inlineStr">
        <is>
          <t>00000000</t>
        </is>
      </c>
      <c r="O596" t="inlineStr">
        <is>
          <t>center</t>
        </is>
      </c>
      <c r="P596" t="n">
        <v/>
      </c>
      <c r="Q596" t="b">
        <v>1</v>
      </c>
      <c r="R596" t="b">
        <v>1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</row>
    <row r="597">
      <c r="A597" t="inlineStr">
        <is>
          <t>ATF fuel</t>
        </is>
      </c>
      <c r="B597" t="inlineStr">
        <is>
          <t>D53</t>
        </is>
      </c>
      <c r="C597" t="n">
        <v>53</v>
      </c>
      <c r="D597" t="n">
        <v>4</v>
      </c>
      <c r="E597" t="inlineStr">
        <is>
          <t>Input</t>
        </is>
      </c>
      <c r="F597" t="n">
        <v/>
      </c>
      <c r="G597" t="n">
        <v>78783.84</v>
      </c>
      <c r="H597" t="inlineStr"/>
      <c r="I597" t="inlineStr">
        <is>
          <t>#,##0</t>
        </is>
      </c>
      <c r="J597" t="b">
        <v>0</v>
      </c>
      <c r="K597" t="b">
        <v>0</v>
      </c>
      <c r="L597" t="n">
        <v>11</v>
      </c>
      <c r="M597" t="n">
        <v/>
      </c>
      <c r="N597" t="inlineStr">
        <is>
          <t>00000000</t>
        </is>
      </c>
      <c r="O597" t="inlineStr">
        <is>
          <t>center</t>
        </is>
      </c>
      <c r="P597" t="n">
        <v/>
      </c>
      <c r="Q597" t="b">
        <v>1</v>
      </c>
      <c r="R597" t="b">
        <v>1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</row>
    <row r="598">
      <c r="A598" t="inlineStr">
        <is>
          <t>ATF fuel</t>
        </is>
      </c>
      <c r="B598" t="inlineStr">
        <is>
          <t>E53</t>
        </is>
      </c>
      <c r="C598" t="n">
        <v>53</v>
      </c>
      <c r="D598" t="n">
        <v>5</v>
      </c>
      <c r="E598" t="inlineStr">
        <is>
          <t>Input</t>
        </is>
      </c>
      <c r="F598" t="n">
        <v/>
      </c>
      <c r="G598" t="n">
        <v>82853.73</v>
      </c>
      <c r="H598" t="inlineStr"/>
      <c r="I598" t="inlineStr">
        <is>
          <t>#,##0</t>
        </is>
      </c>
      <c r="J598" t="b">
        <v>0</v>
      </c>
      <c r="K598" t="b">
        <v>0</v>
      </c>
      <c r="L598" t="n">
        <v>11</v>
      </c>
      <c r="M598" t="n">
        <v/>
      </c>
      <c r="N598" t="inlineStr">
        <is>
          <t>00000000</t>
        </is>
      </c>
      <c r="O598" t="inlineStr">
        <is>
          <t>center</t>
        </is>
      </c>
      <c r="P598" t="n">
        <v/>
      </c>
      <c r="Q598" t="b">
        <v>1</v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</row>
    <row r="599">
      <c r="A599" t="inlineStr">
        <is>
          <t>ATF fuel</t>
        </is>
      </c>
      <c r="B599" t="inlineStr">
        <is>
          <t>F53</t>
        </is>
      </c>
      <c r="C599" t="n">
        <v>53</v>
      </c>
      <c r="D599" t="n">
        <v>6</v>
      </c>
      <c r="E599" t="inlineStr">
        <is>
          <t>Output</t>
        </is>
      </c>
      <c r="F599" t="inlineStr">
        <is>
          <t>'=AVERAGE(B53:E53)</t>
        </is>
      </c>
      <c r="G599" t="n">
        <v>81109.5325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inlineStr">
        <is>
          <t>center</t>
        </is>
      </c>
      <c r="P599" t="n">
        <v/>
      </c>
      <c r="R599" t="b">
        <v>1</v>
      </c>
      <c r="S599" t="inlineStr">
        <is>
          <t>G000284</t>
        </is>
      </c>
      <c r="T599" t="inlineStr">
        <is>
          <t>Vertical</t>
        </is>
      </c>
      <c r="U599" t="n">
        <v>130</v>
      </c>
      <c r="V599" t="b">
        <v>1</v>
      </c>
      <c r="W599" t="inlineStr">
        <is>
          <t>ATF fuel!F2:F131</t>
        </is>
      </c>
      <c r="X599">
        <f>AVERAGE(R[0]C[-4]:R[0]C[-1])</f>
        <v/>
      </c>
    </row>
    <row r="600">
      <c r="A600" t="inlineStr">
        <is>
          <t>ATF fuel</t>
        </is>
      </c>
      <c r="B600" t="inlineStr">
        <is>
          <t>G53</t>
        </is>
      </c>
      <c r="C600" t="n">
        <v>53</v>
      </c>
      <c r="D600" t="n">
        <v>7</v>
      </c>
      <c r="E600" t="inlineStr">
        <is>
          <t>Calculation</t>
        </is>
      </c>
      <c r="F600" t="inlineStr">
        <is>
          <t>'=G52-1</t>
        </is>
      </c>
      <c r="G600" t="n">
        <v>80</v>
      </c>
      <c r="H600" t="inlineStr"/>
      <c r="I600" t="inlineStr">
        <is>
          <t>#,##0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P600" t="n">
        <v/>
      </c>
      <c r="R600" t="b">
        <v>1</v>
      </c>
      <c r="S600" t="inlineStr">
        <is>
          <t>G000286</t>
        </is>
      </c>
      <c r="T600" t="inlineStr">
        <is>
          <t>Vertical</t>
        </is>
      </c>
      <c r="U600" t="n">
        <v>129</v>
      </c>
      <c r="V600" t="b">
        <v>1</v>
      </c>
      <c r="W600" t="inlineStr">
        <is>
          <t>ATF fuel!G3:G131</t>
        </is>
      </c>
      <c r="X600">
        <f>R[-1]C[0]-1</f>
        <v/>
      </c>
    </row>
    <row r="601">
      <c r="A601" t="inlineStr">
        <is>
          <t>ATF fuel</t>
        </is>
      </c>
      <c r="B601" t="inlineStr">
        <is>
          <t>H53</t>
        </is>
      </c>
      <c r="C601" t="n">
        <v>53</v>
      </c>
      <c r="D601" t="n">
        <v>8</v>
      </c>
      <c r="E601" t="inlineStr">
        <is>
          <t>Output</t>
        </is>
      </c>
      <c r="F601" t="inlineStr">
        <is>
          <t>'=INDIRECT("A"&amp;G87)</t>
        </is>
      </c>
      <c r="G601" t="inlineStr">
        <is>
          <t>July 01, 2014</t>
        </is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n">
        <v/>
      </c>
      <c r="P601" t="n">
        <v/>
      </c>
      <c r="R601" t="b">
        <v>1</v>
      </c>
      <c r="S601" t="inlineStr">
        <is>
          <t>G000289</t>
        </is>
      </c>
      <c r="T601" t="inlineStr">
        <is>
          <t>Vertical</t>
        </is>
      </c>
      <c r="U601" t="n">
        <v>17</v>
      </c>
      <c r="V601" t="b">
        <v>1</v>
      </c>
      <c r="W601" t="inlineStr">
        <is>
          <t>ATF fuel!H53:H69</t>
        </is>
      </c>
      <c r="X601">
        <f>INDIRECT("A"&amp;R[34]C[-1])</f>
        <v/>
      </c>
    </row>
    <row r="602">
      <c r="A602" t="inlineStr">
        <is>
          <t>ATF fuel</t>
        </is>
      </c>
      <c r="B602" t="inlineStr">
        <is>
          <t>I53</t>
        </is>
      </c>
      <c r="C602" t="n">
        <v>53</v>
      </c>
      <c r="D602" t="n">
        <v>9</v>
      </c>
      <c r="E602" t="inlineStr">
        <is>
          <t>Output</t>
        </is>
      </c>
      <c r="F602" t="inlineStr">
        <is>
          <t>'=INDIRECT("F"&amp;G87)</t>
        </is>
      </c>
      <c r="G602" t="n">
        <v>74794.07000000001</v>
      </c>
      <c r="H602" t="inlineStr"/>
      <c r="I602" t="inlineStr">
        <is>
          <t xml:space="preserve">_ * #,##0_ ;_ * \-#,##0_ ;_ * "-"??_ ;_ @_ </t>
        </is>
      </c>
      <c r="J602" t="b">
        <v>0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n">
        <v/>
      </c>
      <c r="P602" t="n">
        <v/>
      </c>
      <c r="R602" t="b">
        <v>1</v>
      </c>
      <c r="S602" t="inlineStr">
        <is>
          <t>G000290</t>
        </is>
      </c>
      <c r="T602" t="inlineStr">
        <is>
          <t>Vertical</t>
        </is>
      </c>
      <c r="U602" t="n">
        <v>17</v>
      </c>
      <c r="V602" t="b">
        <v>1</v>
      </c>
      <c r="W602" t="inlineStr">
        <is>
          <t>ATF fuel!I53:I69</t>
        </is>
      </c>
      <c r="X602">
        <f>INDIRECT("F"&amp;R[34]C[-2])</f>
        <v/>
      </c>
    </row>
    <row r="603">
      <c r="A603" t="inlineStr">
        <is>
          <t>ATF fuel</t>
        </is>
      </c>
      <c r="B603" t="inlineStr">
        <is>
          <t>J53</t>
        </is>
      </c>
      <c r="C603" t="n">
        <v>53</v>
      </c>
      <c r="D603" t="n">
        <v>10</v>
      </c>
      <c r="E603" t="inlineStr">
        <is>
          <t>Input</t>
        </is>
      </c>
      <c r="F603" t="n">
        <v/>
      </c>
      <c r="G603" t="n">
        <v>107.65</v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11</v>
      </c>
      <c r="M603" t="inlineStr">
        <is>
          <t>Values must be of type &lt;class 'str'&gt;</t>
        </is>
      </c>
      <c r="N603" t="inlineStr">
        <is>
          <t>00000000</t>
        </is>
      </c>
      <c r="O603" t="n">
        <v/>
      </c>
      <c r="P603" t="n">
        <v/>
      </c>
      <c r="R603" t="b">
        <v>1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</row>
    <row r="604">
      <c r="A604" t="inlineStr">
        <is>
          <t>ATF fuel</t>
        </is>
      </c>
      <c r="B604" t="inlineStr">
        <is>
          <t>K53</t>
        </is>
      </c>
      <c r="C604" t="n">
        <v>53</v>
      </c>
      <c r="D604" t="n">
        <v>11</v>
      </c>
      <c r="E604" t="inlineStr">
        <is>
          <t>Input</t>
        </is>
      </c>
      <c r="F604" t="n">
        <v/>
      </c>
      <c r="G604" t="n">
        <v>106.06</v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00000000</t>
        </is>
      </c>
      <c r="O604" t="n">
        <v/>
      </c>
      <c r="P604" t="n">
        <v/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</row>
    <row r="605">
      <c r="A605" t="inlineStr">
        <is>
          <t>ATF fuel</t>
        </is>
      </c>
      <c r="B605" t="inlineStr">
        <is>
          <t>A54</t>
        </is>
      </c>
      <c r="C605" t="n">
        <v>54</v>
      </c>
      <c r="D605" t="n">
        <v>1</v>
      </c>
      <c r="E605" t="inlineStr">
        <is>
          <t>Input</t>
        </is>
      </c>
      <c r="F605" t="n">
        <v/>
      </c>
      <c r="G605" t="inlineStr">
        <is>
          <t>December 01, 2013</t>
        </is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n">
        <v/>
      </c>
      <c r="N605" t="inlineStr">
        <is>
          <t>00000000</t>
        </is>
      </c>
      <c r="O605" t="n">
        <v/>
      </c>
      <c r="P605" t="n">
        <v/>
      </c>
      <c r="Q605" t="b">
        <v>1</v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</row>
    <row r="606">
      <c r="A606" t="inlineStr">
        <is>
          <t>ATF fuel</t>
        </is>
      </c>
      <c r="B606" t="inlineStr">
        <is>
          <t>B54</t>
        </is>
      </c>
      <c r="C606" t="n">
        <v>54</v>
      </c>
      <c r="D606" t="n">
        <v>2</v>
      </c>
      <c r="E606" t="inlineStr">
        <is>
          <t>Input</t>
        </is>
      </c>
      <c r="F606" t="n">
        <v/>
      </c>
      <c r="G606" t="n">
        <v>74204.74000000001</v>
      </c>
      <c r="H606" t="inlineStr"/>
      <c r="I606" t="inlineStr">
        <is>
          <t>#,##0</t>
        </is>
      </c>
      <c r="J606" t="b">
        <v>0</v>
      </c>
      <c r="K606" t="b">
        <v>0</v>
      </c>
      <c r="L606" t="n">
        <v>11</v>
      </c>
      <c r="M606" t="n">
        <v/>
      </c>
      <c r="N606" t="inlineStr">
        <is>
          <t>00000000</t>
        </is>
      </c>
      <c r="O606" t="inlineStr">
        <is>
          <t>center</t>
        </is>
      </c>
      <c r="P606" t="n">
        <v/>
      </c>
      <c r="Q606" t="b">
        <v>1</v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</row>
    <row r="607">
      <c r="A607" t="inlineStr">
        <is>
          <t>ATF fuel</t>
        </is>
      </c>
      <c r="B607" t="inlineStr">
        <is>
          <t>C54</t>
        </is>
      </c>
      <c r="C607" t="n">
        <v>54</v>
      </c>
      <c r="D607" t="n">
        <v>3</v>
      </c>
      <c r="E607" t="inlineStr">
        <is>
          <t>Input</t>
        </is>
      </c>
      <c r="F607" t="n">
        <v/>
      </c>
      <c r="G607" t="n">
        <v>84516.61</v>
      </c>
      <c r="H607" t="inlineStr"/>
      <c r="I607" t="inlineStr">
        <is>
          <t>#,##0</t>
        </is>
      </c>
      <c r="J607" t="b">
        <v>0</v>
      </c>
      <c r="K607" t="b">
        <v>0</v>
      </c>
      <c r="L607" t="n">
        <v>11</v>
      </c>
      <c r="M607" t="n">
        <v/>
      </c>
      <c r="N607" t="inlineStr">
        <is>
          <t>00000000</t>
        </is>
      </c>
      <c r="O607" t="inlineStr">
        <is>
          <t>center</t>
        </is>
      </c>
      <c r="P607" t="n">
        <v/>
      </c>
      <c r="Q607" t="b">
        <v>1</v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</row>
    <row r="608">
      <c r="A608" t="inlineStr">
        <is>
          <t>ATF fuel</t>
        </is>
      </c>
      <c r="B608" t="inlineStr">
        <is>
          <t>D54</t>
        </is>
      </c>
      <c r="C608" t="n">
        <v>54</v>
      </c>
      <c r="D608" t="n">
        <v>4</v>
      </c>
      <c r="E608" t="inlineStr">
        <is>
          <t>Input</t>
        </is>
      </c>
      <c r="F608" t="n">
        <v/>
      </c>
      <c r="G608" t="n">
        <v>76658.27</v>
      </c>
      <c r="H608" t="inlineStr"/>
      <c r="I608" t="inlineStr">
        <is>
          <t>#,##0</t>
        </is>
      </c>
      <c r="J608" t="b">
        <v>0</v>
      </c>
      <c r="K608" t="b">
        <v>0</v>
      </c>
      <c r="L608" t="n">
        <v>11</v>
      </c>
      <c r="M608" t="n">
        <v/>
      </c>
      <c r="N608" t="inlineStr">
        <is>
          <t>00000000</t>
        </is>
      </c>
      <c r="O608" t="inlineStr">
        <is>
          <t>center</t>
        </is>
      </c>
      <c r="P608" t="n">
        <v/>
      </c>
      <c r="Q608" t="b">
        <v>1</v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</row>
    <row r="609">
      <c r="A609" t="inlineStr">
        <is>
          <t>ATF fuel</t>
        </is>
      </c>
      <c r="B609" t="inlineStr">
        <is>
          <t>E54</t>
        </is>
      </c>
      <c r="C609" t="n">
        <v>54</v>
      </c>
      <c r="D609" t="n">
        <v>5</v>
      </c>
      <c r="E609" t="inlineStr">
        <is>
          <t>Input</t>
        </is>
      </c>
      <c r="F609" t="n">
        <v/>
      </c>
      <c r="G609" t="n">
        <v>80748.12</v>
      </c>
      <c r="H609" t="inlineStr"/>
      <c r="I609" t="inlineStr">
        <is>
          <t>#,##0</t>
        </is>
      </c>
      <c r="J609" t="b">
        <v>0</v>
      </c>
      <c r="K609" t="b">
        <v>0</v>
      </c>
      <c r="L609" t="n">
        <v>11</v>
      </c>
      <c r="M609" t="n">
        <v/>
      </c>
      <c r="N609" t="inlineStr">
        <is>
          <t>00000000</t>
        </is>
      </c>
      <c r="O609" t="inlineStr">
        <is>
          <t>center</t>
        </is>
      </c>
      <c r="P609" t="n">
        <v/>
      </c>
      <c r="Q609" t="b">
        <v>1</v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</row>
    <row r="610">
      <c r="A610" t="inlineStr">
        <is>
          <t>ATF fuel</t>
        </is>
      </c>
      <c r="B610" t="inlineStr">
        <is>
          <t>F54</t>
        </is>
      </c>
      <c r="C610" t="n">
        <v>54</v>
      </c>
      <c r="D610" t="n">
        <v>6</v>
      </c>
      <c r="E610" t="inlineStr">
        <is>
          <t>Output</t>
        </is>
      </c>
      <c r="F610" t="inlineStr">
        <is>
          <t>'=AVERAGE(B54:E54)</t>
        </is>
      </c>
      <c r="G610" t="n">
        <v>79031.935</v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inlineStr">
        <is>
          <t>center</t>
        </is>
      </c>
      <c r="P610" t="n">
        <v/>
      </c>
      <c r="R610" t="b">
        <v>1</v>
      </c>
      <c r="S610" t="inlineStr">
        <is>
          <t>G000284</t>
        </is>
      </c>
      <c r="T610" t="inlineStr">
        <is>
          <t>Vertical</t>
        </is>
      </c>
      <c r="U610" t="n">
        <v>130</v>
      </c>
      <c r="V610" t="b">
        <v>1</v>
      </c>
      <c r="W610" t="inlineStr">
        <is>
          <t>ATF fuel!F2:F131</t>
        </is>
      </c>
      <c r="X610">
        <f>AVERAGE(R[0]C[-4]:R[0]C[-1])</f>
        <v/>
      </c>
    </row>
    <row r="611">
      <c r="A611" t="inlineStr">
        <is>
          <t>ATF fuel</t>
        </is>
      </c>
      <c r="B611" t="inlineStr">
        <is>
          <t>G54</t>
        </is>
      </c>
      <c r="C611" t="n">
        <v>54</v>
      </c>
      <c r="D611" t="n">
        <v>7</v>
      </c>
      <c r="E611" t="inlineStr">
        <is>
          <t>Calculation</t>
        </is>
      </c>
      <c r="F611" t="inlineStr">
        <is>
          <t>'=G53-1</t>
        </is>
      </c>
      <c r="G611" t="n">
        <v>79</v>
      </c>
      <c r="H611" t="inlineStr"/>
      <c r="I611" t="inlineStr">
        <is>
          <t>#,##0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n">
        <v/>
      </c>
      <c r="P611" t="n">
        <v/>
      </c>
      <c r="R611" t="b">
        <v>1</v>
      </c>
      <c r="S611" t="inlineStr">
        <is>
          <t>G000286</t>
        </is>
      </c>
      <c r="T611" t="inlineStr">
        <is>
          <t>Vertical</t>
        </is>
      </c>
      <c r="U611" t="n">
        <v>129</v>
      </c>
      <c r="V611" t="b">
        <v>1</v>
      </c>
      <c r="W611" t="inlineStr">
        <is>
          <t>ATF fuel!G3:G131</t>
        </is>
      </c>
      <c r="X611">
        <f>R[-1]C[0]-1</f>
        <v/>
      </c>
    </row>
    <row r="612">
      <c r="A612" t="inlineStr">
        <is>
          <t>ATF fuel</t>
        </is>
      </c>
      <c r="B612" t="inlineStr">
        <is>
          <t>H54</t>
        </is>
      </c>
      <c r="C612" t="n">
        <v>54</v>
      </c>
      <c r="D612" t="n">
        <v>8</v>
      </c>
      <c r="E612" t="inlineStr">
        <is>
          <t>Output</t>
        </is>
      </c>
      <c r="F612" t="inlineStr">
        <is>
          <t>'=INDIRECT("A"&amp;G88)</t>
        </is>
      </c>
      <c r="G612" t="inlineStr">
        <is>
          <t>August 01, 2014</t>
        </is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n">
        <v/>
      </c>
      <c r="P612" t="n">
        <v/>
      </c>
      <c r="R612" t="b">
        <v>1</v>
      </c>
      <c r="S612" t="inlineStr">
        <is>
          <t>G000289</t>
        </is>
      </c>
      <c r="T612" t="inlineStr">
        <is>
          <t>Vertical</t>
        </is>
      </c>
      <c r="U612" t="n">
        <v>17</v>
      </c>
      <c r="V612" t="b">
        <v>1</v>
      </c>
      <c r="W612" t="inlineStr">
        <is>
          <t>ATF fuel!H53:H69</t>
        </is>
      </c>
      <c r="X612">
        <f>INDIRECT("A"&amp;R[34]C[-1])</f>
        <v/>
      </c>
    </row>
    <row r="613">
      <c r="A613" t="inlineStr">
        <is>
          <t>ATF fuel</t>
        </is>
      </c>
      <c r="B613" t="inlineStr">
        <is>
          <t>I54</t>
        </is>
      </c>
      <c r="C613" t="n">
        <v>54</v>
      </c>
      <c r="D613" t="n">
        <v>9</v>
      </c>
      <c r="E613" t="inlineStr">
        <is>
          <t>Output</t>
        </is>
      </c>
      <c r="F613" t="inlineStr">
        <is>
          <t>'=INDIRECT("F"&amp;G88)</t>
        </is>
      </c>
      <c r="G613" t="n">
        <v>74690.465</v>
      </c>
      <c r="H613" t="inlineStr"/>
      <c r="I613" t="inlineStr">
        <is>
          <t xml:space="preserve">_ * #,##0_ ;_ * \-#,##0_ ;_ * "-"??_ ;_ @_ 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n">
        <v/>
      </c>
      <c r="P613" t="n">
        <v/>
      </c>
      <c r="R613" t="b">
        <v>1</v>
      </c>
      <c r="S613" t="inlineStr">
        <is>
          <t>G000290</t>
        </is>
      </c>
      <c r="T613" t="inlineStr">
        <is>
          <t>Vertical</t>
        </is>
      </c>
      <c r="U613" t="n">
        <v>17</v>
      </c>
      <c r="V613" t="b">
        <v>1</v>
      </c>
      <c r="W613" t="inlineStr">
        <is>
          <t>ATF fuel!I53:I69</t>
        </is>
      </c>
      <c r="X613">
        <f>INDIRECT("F"&amp;R[34]C[-2])</f>
        <v/>
      </c>
    </row>
    <row r="614">
      <c r="A614" t="inlineStr">
        <is>
          <t>ATF fuel</t>
        </is>
      </c>
      <c r="B614" t="inlineStr">
        <is>
          <t>J54</t>
        </is>
      </c>
      <c r="C614" t="n">
        <v>54</v>
      </c>
      <c r="D614" t="n">
        <v>10</v>
      </c>
      <c r="E614" t="inlineStr">
        <is>
          <t>Input</t>
        </is>
      </c>
      <c r="F614" t="n">
        <v/>
      </c>
      <c r="G614" t="n">
        <v>104.02</v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11</v>
      </c>
      <c r="M614" t="inlineStr">
        <is>
          <t>Values must be of type &lt;class 'str'&gt;</t>
        </is>
      </c>
      <c r="N614" t="inlineStr">
        <is>
          <t>00000000</t>
        </is>
      </c>
      <c r="O614" t="n">
        <v/>
      </c>
      <c r="P614" t="n">
        <v/>
      </c>
      <c r="R614" t="b">
        <v>1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</row>
    <row r="615">
      <c r="A615" t="inlineStr">
        <is>
          <t>ATF fuel</t>
        </is>
      </c>
      <c r="B615" t="inlineStr">
        <is>
          <t>K54</t>
        </is>
      </c>
      <c r="C615" t="n">
        <v>54</v>
      </c>
      <c r="D615" t="n">
        <v>11</v>
      </c>
      <c r="E615" t="inlineStr">
        <is>
          <t>Input</t>
        </is>
      </c>
      <c r="F615" t="n">
        <v/>
      </c>
      <c r="G615" t="n">
        <v>97.86</v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n">
        <v/>
      </c>
      <c r="P615" t="n">
        <v/>
      </c>
      <c r="R615" t="b">
        <v>1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</row>
    <row r="616">
      <c r="A616" t="inlineStr">
        <is>
          <t>ATF fuel</t>
        </is>
      </c>
      <c r="B616" t="inlineStr">
        <is>
          <t>A55</t>
        </is>
      </c>
      <c r="C616" t="n">
        <v>55</v>
      </c>
      <c r="D616" t="n">
        <v>1</v>
      </c>
      <c r="E616" t="inlineStr">
        <is>
          <t>Input</t>
        </is>
      </c>
      <c r="F616" t="n">
        <v/>
      </c>
      <c r="G616" t="inlineStr">
        <is>
          <t>November 01, 2013</t>
        </is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11</v>
      </c>
      <c r="M616" t="n">
        <v/>
      </c>
      <c r="N616" t="inlineStr">
        <is>
          <t>00000000</t>
        </is>
      </c>
      <c r="O616" t="n">
        <v/>
      </c>
      <c r="P616" t="n">
        <v/>
      </c>
      <c r="Q616" t="b">
        <v>1</v>
      </c>
      <c r="R616" t="b">
        <v>1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</row>
    <row r="617">
      <c r="A617" t="inlineStr">
        <is>
          <t>ATF fuel</t>
        </is>
      </c>
      <c r="B617" t="inlineStr">
        <is>
          <t>B55</t>
        </is>
      </c>
      <c r="C617" t="n">
        <v>55</v>
      </c>
      <c r="D617" t="n">
        <v>2</v>
      </c>
      <c r="E617" t="inlineStr">
        <is>
          <t>Input</t>
        </is>
      </c>
      <c r="F617" t="n">
        <v/>
      </c>
      <c r="G617" t="n">
        <v>73607.25999999999</v>
      </c>
      <c r="H617" t="inlineStr"/>
      <c r="I617" t="inlineStr">
        <is>
          <t>#,##0</t>
        </is>
      </c>
      <c r="J617" t="b">
        <v>0</v>
      </c>
      <c r="K617" t="b">
        <v>0</v>
      </c>
      <c r="L617" t="n">
        <v>11</v>
      </c>
      <c r="M617" t="n">
        <v/>
      </c>
      <c r="N617" t="inlineStr">
        <is>
          <t>00000000</t>
        </is>
      </c>
      <c r="O617" t="inlineStr">
        <is>
          <t>center</t>
        </is>
      </c>
      <c r="P617" t="n">
        <v/>
      </c>
      <c r="Q617" t="b">
        <v>1</v>
      </c>
      <c r="R617" t="b">
        <v>1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</row>
    <row r="618">
      <c r="A618" t="inlineStr">
        <is>
          <t>ATF fuel</t>
        </is>
      </c>
      <c r="B618" t="inlineStr">
        <is>
          <t>C55</t>
        </is>
      </c>
      <c r="C618" t="n">
        <v>55</v>
      </c>
      <c r="D618" t="n">
        <v>3</v>
      </c>
      <c r="E618" t="inlineStr">
        <is>
          <t>Input</t>
        </is>
      </c>
      <c r="F618" t="n">
        <v/>
      </c>
      <c r="G618" t="n">
        <v>83934.82000000001</v>
      </c>
      <c r="H618" t="inlineStr"/>
      <c r="I618" t="inlineStr">
        <is>
          <t>#,##0</t>
        </is>
      </c>
      <c r="J618" t="b">
        <v>0</v>
      </c>
      <c r="K618" t="b">
        <v>0</v>
      </c>
      <c r="L618" t="n">
        <v>11</v>
      </c>
      <c r="M618" t="n">
        <v/>
      </c>
      <c r="N618" t="inlineStr">
        <is>
          <t>00000000</t>
        </is>
      </c>
      <c r="O618" t="inlineStr">
        <is>
          <t>center</t>
        </is>
      </c>
      <c r="P618" t="n">
        <v/>
      </c>
      <c r="Q618" t="b">
        <v>1</v>
      </c>
      <c r="R618" t="b">
        <v>1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</row>
    <row r="619">
      <c r="A619" t="inlineStr">
        <is>
          <t>ATF fuel</t>
        </is>
      </c>
      <c r="B619" t="inlineStr">
        <is>
          <t>D55</t>
        </is>
      </c>
      <c r="C619" t="n">
        <v>55</v>
      </c>
      <c r="D619" t="n">
        <v>4</v>
      </c>
      <c r="E619" t="inlineStr">
        <is>
          <t>Input</t>
        </is>
      </c>
      <c r="F619" t="n">
        <v/>
      </c>
      <c r="G619" t="n">
        <v>76035.89</v>
      </c>
      <c r="H619" t="inlineStr"/>
      <c r="I619" t="inlineStr">
        <is>
          <t>#,##0</t>
        </is>
      </c>
      <c r="J619" t="b">
        <v>0</v>
      </c>
      <c r="K619" t="b">
        <v>0</v>
      </c>
      <c r="L619" t="n">
        <v>11</v>
      </c>
      <c r="M619" t="n">
        <v/>
      </c>
      <c r="N619" t="inlineStr">
        <is>
          <t>00000000</t>
        </is>
      </c>
      <c r="O619" t="inlineStr">
        <is>
          <t>center</t>
        </is>
      </c>
      <c r="P619" t="n">
        <v/>
      </c>
      <c r="Q619" t="b">
        <v>1</v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</row>
    <row r="620">
      <c r="A620" t="inlineStr">
        <is>
          <t>ATF fuel</t>
        </is>
      </c>
      <c r="B620" t="inlineStr">
        <is>
          <t>E55</t>
        </is>
      </c>
      <c r="C620" t="n">
        <v>55</v>
      </c>
      <c r="D620" t="n">
        <v>5</v>
      </c>
      <c r="E620" t="inlineStr">
        <is>
          <t>Input</t>
        </is>
      </c>
      <c r="F620" t="n">
        <v/>
      </c>
      <c r="G620" t="n">
        <v>80133.75</v>
      </c>
      <c r="H620" t="inlineStr"/>
      <c r="I620" t="inlineStr">
        <is>
          <t>#,##0</t>
        </is>
      </c>
      <c r="J620" t="b">
        <v>0</v>
      </c>
      <c r="K620" t="b">
        <v>0</v>
      </c>
      <c r="L620" t="n">
        <v>11</v>
      </c>
      <c r="M620" t="n">
        <v/>
      </c>
      <c r="N620" t="inlineStr">
        <is>
          <t>00000000</t>
        </is>
      </c>
      <c r="O620" t="inlineStr">
        <is>
          <t>center</t>
        </is>
      </c>
      <c r="P620" t="n">
        <v/>
      </c>
      <c r="Q620" t="b">
        <v>1</v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</row>
    <row r="621">
      <c r="A621" t="inlineStr">
        <is>
          <t>ATF fuel</t>
        </is>
      </c>
      <c r="B621" t="inlineStr">
        <is>
          <t>F55</t>
        </is>
      </c>
      <c r="C621" t="n">
        <v>55</v>
      </c>
      <c r="D621" t="n">
        <v>6</v>
      </c>
      <c r="E621" t="inlineStr">
        <is>
          <t>Output</t>
        </is>
      </c>
      <c r="F621" t="inlineStr">
        <is>
          <t>'=AVERAGE(B55:E55)</t>
        </is>
      </c>
      <c r="G621" t="n">
        <v>78427.93000000001</v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inlineStr">
        <is>
          <t>center</t>
        </is>
      </c>
      <c r="P621" t="n">
        <v/>
      </c>
      <c r="R621" t="b">
        <v>1</v>
      </c>
      <c r="S621" t="inlineStr">
        <is>
          <t>G000284</t>
        </is>
      </c>
      <c r="T621" t="inlineStr">
        <is>
          <t>Vertical</t>
        </is>
      </c>
      <c r="U621" t="n">
        <v>130</v>
      </c>
      <c r="V621" t="b">
        <v>1</v>
      </c>
      <c r="W621" t="inlineStr">
        <is>
          <t>ATF fuel!F2:F131</t>
        </is>
      </c>
      <c r="X621">
        <f>AVERAGE(R[0]C[-4]:R[0]C[-1])</f>
        <v/>
      </c>
    </row>
    <row r="622">
      <c r="A622" t="inlineStr">
        <is>
          <t>ATF fuel</t>
        </is>
      </c>
      <c r="B622" t="inlineStr">
        <is>
          <t>G55</t>
        </is>
      </c>
      <c r="C622" t="n">
        <v>55</v>
      </c>
      <c r="D622" t="n">
        <v>7</v>
      </c>
      <c r="E622" t="inlineStr">
        <is>
          <t>Calculation</t>
        </is>
      </c>
      <c r="F622" t="inlineStr">
        <is>
          <t>'=G54-1</t>
        </is>
      </c>
      <c r="G622" t="n">
        <v>78</v>
      </c>
      <c r="H622" t="inlineStr"/>
      <c r="I622" t="inlineStr">
        <is>
          <t>#,##0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n">
        <v/>
      </c>
      <c r="P622" t="n">
        <v/>
      </c>
      <c r="R622" t="b">
        <v>1</v>
      </c>
      <c r="S622" t="inlineStr">
        <is>
          <t>G000286</t>
        </is>
      </c>
      <c r="T622" t="inlineStr">
        <is>
          <t>Vertical</t>
        </is>
      </c>
      <c r="U622" t="n">
        <v>129</v>
      </c>
      <c r="V622" t="b">
        <v>1</v>
      </c>
      <c r="W622" t="inlineStr">
        <is>
          <t>ATF fuel!G3:G131</t>
        </is>
      </c>
      <c r="X622">
        <f>R[-1]C[0]-1</f>
        <v/>
      </c>
    </row>
    <row r="623">
      <c r="A623" t="inlineStr">
        <is>
          <t>ATF fuel</t>
        </is>
      </c>
      <c r="B623" t="inlineStr">
        <is>
          <t>H55</t>
        </is>
      </c>
      <c r="C623" t="n">
        <v>55</v>
      </c>
      <c r="D623" t="n">
        <v>8</v>
      </c>
      <c r="E623" t="inlineStr">
        <is>
          <t>Output</t>
        </is>
      </c>
      <c r="F623" t="inlineStr">
        <is>
          <t>'=INDIRECT("A"&amp;G89)</t>
        </is>
      </c>
      <c r="G623" t="inlineStr">
        <is>
          <t>September 01, 2014</t>
        </is>
      </c>
      <c r="H623" t="inlineStr"/>
      <c r="I623" t="inlineStr">
        <is>
          <t>General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n">
        <v/>
      </c>
      <c r="P623" t="n">
        <v/>
      </c>
      <c r="R623" t="b">
        <v>1</v>
      </c>
      <c r="S623" t="inlineStr">
        <is>
          <t>G000289</t>
        </is>
      </c>
      <c r="T623" t="inlineStr">
        <is>
          <t>Vertical</t>
        </is>
      </c>
      <c r="U623" t="n">
        <v>17</v>
      </c>
      <c r="V623" t="b">
        <v>1</v>
      </c>
      <c r="W623" t="inlineStr">
        <is>
          <t>ATF fuel!H53:H69</t>
        </is>
      </c>
      <c r="X623">
        <f>INDIRECT("A"&amp;R[34]C[-1])</f>
        <v/>
      </c>
    </row>
    <row r="624">
      <c r="A624" t="inlineStr">
        <is>
          <t>ATF fuel</t>
        </is>
      </c>
      <c r="B624" t="inlineStr">
        <is>
          <t>I55</t>
        </is>
      </c>
      <c r="C624" t="n">
        <v>55</v>
      </c>
      <c r="D624" t="n">
        <v>9</v>
      </c>
      <c r="E624" t="inlineStr">
        <is>
          <t>Output</t>
        </is>
      </c>
      <c r="F624" t="inlineStr">
        <is>
          <t>'=INDIRECT("F"&amp;G89)</t>
        </is>
      </c>
      <c r="G624" t="n">
        <v>74248.495</v>
      </c>
      <c r="H624" t="inlineStr"/>
      <c r="I624" t="inlineStr">
        <is>
          <t xml:space="preserve">_ * #,##0_ ;_ * \-#,##0_ ;_ * "-"??_ ;_ @_ 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P624" t="n">
        <v/>
      </c>
      <c r="R624" t="b">
        <v>1</v>
      </c>
      <c r="S624" t="inlineStr">
        <is>
          <t>G000290</t>
        </is>
      </c>
      <c r="T624" t="inlineStr">
        <is>
          <t>Vertical</t>
        </is>
      </c>
      <c r="U624" t="n">
        <v>17</v>
      </c>
      <c r="V624" t="b">
        <v>1</v>
      </c>
      <c r="W624" t="inlineStr">
        <is>
          <t>ATF fuel!I53:I69</t>
        </is>
      </c>
      <c r="X624">
        <f>INDIRECT("F"&amp;R[34]C[-2])</f>
        <v/>
      </c>
    </row>
    <row r="625">
      <c r="A625" t="inlineStr">
        <is>
          <t>ATF fuel</t>
        </is>
      </c>
      <c r="B625" t="inlineStr">
        <is>
          <t>J55</t>
        </is>
      </c>
      <c r="C625" t="n">
        <v>55</v>
      </c>
      <c r="D625" t="n">
        <v>10</v>
      </c>
      <c r="E625" t="inlineStr">
        <is>
          <t>Input</t>
        </is>
      </c>
      <c r="F625" t="n">
        <v/>
      </c>
      <c r="G625" t="n">
        <v>99.53</v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n">
        <v/>
      </c>
      <c r="P625" t="n">
        <v/>
      </c>
      <c r="R625" t="b">
        <v>1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</row>
    <row r="626">
      <c r="A626" t="inlineStr">
        <is>
          <t>ATF fuel</t>
        </is>
      </c>
      <c r="B626" t="inlineStr">
        <is>
          <t>K55</t>
        </is>
      </c>
      <c r="C626" t="n">
        <v>55</v>
      </c>
      <c r="D626" t="n">
        <v>11</v>
      </c>
      <c r="E626" t="inlineStr">
        <is>
          <t>Input</t>
        </is>
      </c>
      <c r="F626" t="n">
        <v/>
      </c>
      <c r="G626" t="n">
        <v>92.92</v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00000000</t>
        </is>
      </c>
      <c r="O626" t="n">
        <v/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</row>
    <row r="627">
      <c r="A627" t="inlineStr">
        <is>
          <t>ATF fuel</t>
        </is>
      </c>
      <c r="B627" t="inlineStr">
        <is>
          <t>A56</t>
        </is>
      </c>
      <c r="C627" t="n">
        <v>56</v>
      </c>
      <c r="D627" t="n">
        <v>1</v>
      </c>
      <c r="E627" t="inlineStr">
        <is>
          <t>Input</t>
        </is>
      </c>
      <c r="F627" t="n">
        <v/>
      </c>
      <c r="G627" t="inlineStr">
        <is>
          <t>October 01, 2013</t>
        </is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11</v>
      </c>
      <c r="M627" t="n">
        <v/>
      </c>
      <c r="N627" t="inlineStr">
        <is>
          <t>00000000</t>
        </is>
      </c>
      <c r="O627" t="n">
        <v/>
      </c>
      <c r="P627" t="n">
        <v/>
      </c>
      <c r="Q627" t="b">
        <v>1</v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</row>
    <row r="628">
      <c r="A628" t="inlineStr">
        <is>
          <t>ATF fuel</t>
        </is>
      </c>
      <c r="B628" t="inlineStr">
        <is>
          <t>B56</t>
        </is>
      </c>
      <c r="C628" t="n">
        <v>56</v>
      </c>
      <c r="D628" t="n">
        <v>2</v>
      </c>
      <c r="E628" t="inlineStr">
        <is>
          <t>Input</t>
        </is>
      </c>
      <c r="F628" t="n">
        <v/>
      </c>
      <c r="G628" t="n">
        <v>77089.42</v>
      </c>
      <c r="H628" t="inlineStr"/>
      <c r="I628" t="inlineStr">
        <is>
          <t>#,##0</t>
        </is>
      </c>
      <c r="J628" t="b">
        <v>0</v>
      </c>
      <c r="K628" t="b">
        <v>0</v>
      </c>
      <c r="L628" t="n">
        <v>11</v>
      </c>
      <c r="M628" t="n">
        <v/>
      </c>
      <c r="N628" t="inlineStr">
        <is>
          <t>00000000</t>
        </is>
      </c>
      <c r="O628" t="inlineStr">
        <is>
          <t>center</t>
        </is>
      </c>
      <c r="P628" t="n">
        <v/>
      </c>
      <c r="Q628" t="b">
        <v>1</v>
      </c>
      <c r="R628" t="b">
        <v>1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</row>
    <row r="629">
      <c r="A629" t="inlineStr">
        <is>
          <t>ATF fuel</t>
        </is>
      </c>
      <c r="B629" t="inlineStr">
        <is>
          <t>C56</t>
        </is>
      </c>
      <c r="C629" t="n">
        <v>56</v>
      </c>
      <c r="D629" t="n">
        <v>3</v>
      </c>
      <c r="E629" t="inlineStr">
        <is>
          <t>Input</t>
        </is>
      </c>
      <c r="F629" t="n">
        <v/>
      </c>
      <c r="G629" t="n">
        <v>87579.92999999999</v>
      </c>
      <c r="H629" t="inlineStr"/>
      <c r="I629" t="inlineStr">
        <is>
          <t>#,##0</t>
        </is>
      </c>
      <c r="J629" t="b">
        <v>0</v>
      </c>
      <c r="K629" t="b">
        <v>0</v>
      </c>
      <c r="L629" t="n">
        <v>11</v>
      </c>
      <c r="M629" t="n">
        <v/>
      </c>
      <c r="N629" t="inlineStr">
        <is>
          <t>00000000</t>
        </is>
      </c>
      <c r="O629" t="inlineStr">
        <is>
          <t>center</t>
        </is>
      </c>
      <c r="P629" t="n">
        <v/>
      </c>
      <c r="Q629" t="b">
        <v>1</v>
      </c>
      <c r="R629" t="b">
        <v>1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</row>
    <row r="630">
      <c r="A630" t="inlineStr">
        <is>
          <t>ATF fuel</t>
        </is>
      </c>
      <c r="B630" t="inlineStr">
        <is>
          <t>D56</t>
        </is>
      </c>
      <c r="C630" t="n">
        <v>56</v>
      </c>
      <c r="D630" t="n">
        <v>4</v>
      </c>
      <c r="E630" t="inlineStr">
        <is>
          <t>Input</t>
        </is>
      </c>
      <c r="F630" t="n">
        <v/>
      </c>
      <c r="G630" t="n">
        <v>79716.05</v>
      </c>
      <c r="H630" t="inlineStr"/>
      <c r="I630" t="inlineStr">
        <is>
          <t>#,##0</t>
        </is>
      </c>
      <c r="J630" t="b">
        <v>0</v>
      </c>
      <c r="K630" t="b">
        <v>0</v>
      </c>
      <c r="L630" t="n">
        <v>11</v>
      </c>
      <c r="M630" t="n">
        <v/>
      </c>
      <c r="N630" t="inlineStr">
        <is>
          <t>00000000</t>
        </is>
      </c>
      <c r="O630" t="inlineStr">
        <is>
          <t>center</t>
        </is>
      </c>
      <c r="P630" t="n">
        <v/>
      </c>
      <c r="Q630" t="b">
        <v>1</v>
      </c>
      <c r="R630" t="b">
        <v>1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</row>
    <row r="631">
      <c r="A631" t="inlineStr">
        <is>
          <t>ATF fuel</t>
        </is>
      </c>
      <c r="B631" t="inlineStr">
        <is>
          <t>E56</t>
        </is>
      </c>
      <c r="C631" t="n">
        <v>56</v>
      </c>
      <c r="D631" t="n">
        <v>5</v>
      </c>
      <c r="E631" t="inlineStr">
        <is>
          <t>Input</t>
        </is>
      </c>
      <c r="F631" t="n">
        <v/>
      </c>
      <c r="G631" t="n">
        <v>83908.75</v>
      </c>
      <c r="H631" t="inlineStr"/>
      <c r="I631" t="inlineStr">
        <is>
          <t>#,##0</t>
        </is>
      </c>
      <c r="J631" t="b">
        <v>0</v>
      </c>
      <c r="K631" t="b">
        <v>0</v>
      </c>
      <c r="L631" t="n">
        <v>11</v>
      </c>
      <c r="M631" t="n">
        <v/>
      </c>
      <c r="N631" t="inlineStr">
        <is>
          <t>00000000</t>
        </is>
      </c>
      <c r="O631" t="inlineStr">
        <is>
          <t>center</t>
        </is>
      </c>
      <c r="P631" t="n">
        <v/>
      </c>
      <c r="Q631" t="b">
        <v>1</v>
      </c>
      <c r="R631" t="b">
        <v>1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</row>
    <row r="632">
      <c r="A632" t="inlineStr">
        <is>
          <t>ATF fuel</t>
        </is>
      </c>
      <c r="B632" t="inlineStr">
        <is>
          <t>F56</t>
        </is>
      </c>
      <c r="C632" t="n">
        <v>56</v>
      </c>
      <c r="D632" t="n">
        <v>6</v>
      </c>
      <c r="E632" t="inlineStr">
        <is>
          <t>Output</t>
        </is>
      </c>
      <c r="F632" t="inlineStr">
        <is>
          <t>'=AVERAGE(B56:E56)</t>
        </is>
      </c>
      <c r="G632" t="n">
        <v>82073.53749999999</v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11</v>
      </c>
      <c r="M632" t="inlineStr">
        <is>
          <t>Values must be of type &lt;class 'str'&gt;</t>
        </is>
      </c>
      <c r="N632" t="inlineStr">
        <is>
          <t>00000000</t>
        </is>
      </c>
      <c r="O632" t="inlineStr">
        <is>
          <t>center</t>
        </is>
      </c>
      <c r="P632" t="n">
        <v/>
      </c>
      <c r="R632" t="b">
        <v>1</v>
      </c>
      <c r="S632" t="inlineStr">
        <is>
          <t>G000284</t>
        </is>
      </c>
      <c r="T632" t="inlineStr">
        <is>
          <t>Vertical</t>
        </is>
      </c>
      <c r="U632" t="n">
        <v>130</v>
      </c>
      <c r="V632" t="b">
        <v>1</v>
      </c>
      <c r="W632" t="inlineStr">
        <is>
          <t>ATF fuel!F2:F131</t>
        </is>
      </c>
      <c r="X632">
        <f>AVERAGE(R[0]C[-4]:R[0]C[-1])</f>
        <v/>
      </c>
    </row>
    <row r="633">
      <c r="A633" t="inlineStr">
        <is>
          <t>ATF fuel</t>
        </is>
      </c>
      <c r="B633" t="inlineStr">
        <is>
          <t>G56</t>
        </is>
      </c>
      <c r="C633" t="n">
        <v>56</v>
      </c>
      <c r="D633" t="n">
        <v>7</v>
      </c>
      <c r="E633" t="inlineStr">
        <is>
          <t>Calculation</t>
        </is>
      </c>
      <c r="F633" t="inlineStr">
        <is>
          <t>'=G55-1</t>
        </is>
      </c>
      <c r="G633" t="n">
        <v>77</v>
      </c>
      <c r="H633" t="inlineStr"/>
      <c r="I633" t="inlineStr">
        <is>
          <t>#,##0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00000000</t>
        </is>
      </c>
      <c r="O633" t="n">
        <v/>
      </c>
      <c r="P633" t="n">
        <v/>
      </c>
      <c r="R633" t="b">
        <v>1</v>
      </c>
      <c r="S633" t="inlineStr">
        <is>
          <t>G000286</t>
        </is>
      </c>
      <c r="T633" t="inlineStr">
        <is>
          <t>Vertical</t>
        </is>
      </c>
      <c r="U633" t="n">
        <v>129</v>
      </c>
      <c r="V633" t="b">
        <v>1</v>
      </c>
      <c r="W633" t="inlineStr">
        <is>
          <t>ATF fuel!G3:G131</t>
        </is>
      </c>
      <c r="X633">
        <f>R[-1]C[0]-1</f>
        <v/>
      </c>
    </row>
    <row r="634">
      <c r="A634" t="inlineStr">
        <is>
          <t>ATF fuel</t>
        </is>
      </c>
      <c r="B634" t="inlineStr">
        <is>
          <t>H56</t>
        </is>
      </c>
      <c r="C634" t="n">
        <v>56</v>
      </c>
      <c r="D634" t="n">
        <v>8</v>
      </c>
      <c r="E634" t="inlineStr">
        <is>
          <t>Output</t>
        </is>
      </c>
      <c r="F634" t="inlineStr">
        <is>
          <t>'=INDIRECT("A"&amp;G90)</t>
        </is>
      </c>
      <c r="G634" t="inlineStr">
        <is>
          <t>October 01, 2014</t>
        </is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n">
        <v/>
      </c>
      <c r="P634" t="n">
        <v/>
      </c>
      <c r="R634" t="b">
        <v>1</v>
      </c>
      <c r="S634" t="inlineStr">
        <is>
          <t>G000289</t>
        </is>
      </c>
      <c r="T634" t="inlineStr">
        <is>
          <t>Vertical</t>
        </is>
      </c>
      <c r="U634" t="n">
        <v>17</v>
      </c>
      <c r="V634" t="b">
        <v>1</v>
      </c>
      <c r="W634" t="inlineStr">
        <is>
          <t>ATF fuel!H53:H69</t>
        </is>
      </c>
      <c r="X634">
        <f>INDIRECT("A"&amp;R[34]C[-1])</f>
        <v/>
      </c>
    </row>
    <row r="635">
      <c r="A635" t="inlineStr">
        <is>
          <t>ATF fuel</t>
        </is>
      </c>
      <c r="B635" t="inlineStr">
        <is>
          <t>I56</t>
        </is>
      </c>
      <c r="C635" t="n">
        <v>56</v>
      </c>
      <c r="D635" t="n">
        <v>9</v>
      </c>
      <c r="E635" t="inlineStr">
        <is>
          <t>Output</t>
        </is>
      </c>
      <c r="F635" t="inlineStr">
        <is>
          <t>'=INDIRECT("F"&amp;G90)</t>
        </is>
      </c>
      <c r="G635" t="n">
        <v>72071.14999999999</v>
      </c>
      <c r="H635" t="inlineStr"/>
      <c r="I635" t="inlineStr">
        <is>
          <t xml:space="preserve">_ * #,##0_ ;_ * \-#,##0_ ;_ * "-"??_ ;_ @_ 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n">
        <v/>
      </c>
      <c r="P635" t="n">
        <v/>
      </c>
      <c r="R635" t="b">
        <v>1</v>
      </c>
      <c r="S635" t="inlineStr">
        <is>
          <t>G000290</t>
        </is>
      </c>
      <c r="T635" t="inlineStr">
        <is>
          <t>Vertical</t>
        </is>
      </c>
      <c r="U635" t="n">
        <v>17</v>
      </c>
      <c r="V635" t="b">
        <v>1</v>
      </c>
      <c r="W635" t="inlineStr">
        <is>
          <t>ATF fuel!I53:I69</t>
        </is>
      </c>
      <c r="X635">
        <f>INDIRECT("F"&amp;R[34]C[-2])</f>
        <v/>
      </c>
    </row>
    <row r="636">
      <c r="A636" t="inlineStr">
        <is>
          <t>ATF fuel</t>
        </is>
      </c>
      <c r="B636" t="inlineStr">
        <is>
          <t>J56</t>
        </is>
      </c>
      <c r="C636" t="n">
        <v>56</v>
      </c>
      <c r="D636" t="n">
        <v>10</v>
      </c>
      <c r="E636" t="inlineStr">
        <is>
          <t>Input</t>
        </is>
      </c>
      <c r="F636" t="n">
        <v/>
      </c>
      <c r="G636" t="n">
        <v>90.90000000000001</v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n">
        <v/>
      </c>
      <c r="P636" t="n">
        <v/>
      </c>
      <c r="R636" t="b">
        <v>1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</row>
    <row r="637">
      <c r="A637" t="inlineStr">
        <is>
          <t>ATF fuel</t>
        </is>
      </c>
      <c r="B637" t="inlineStr">
        <is>
          <t>K56</t>
        </is>
      </c>
      <c r="C637" t="n">
        <v>56</v>
      </c>
      <c r="D637" t="n">
        <v>11</v>
      </c>
      <c r="E637" t="inlineStr">
        <is>
          <t>Input</t>
        </is>
      </c>
      <c r="F637" t="n">
        <v/>
      </c>
      <c r="G637" t="n">
        <v>90.73999999999999</v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00000000</t>
        </is>
      </c>
      <c r="O637" t="n">
        <v/>
      </c>
      <c r="P637" t="n">
        <v/>
      </c>
      <c r="R637" t="b">
        <v>1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</row>
    <row r="638">
      <c r="A638" t="inlineStr">
        <is>
          <t>ATF fuel</t>
        </is>
      </c>
      <c r="B638" t="inlineStr">
        <is>
          <t>A57</t>
        </is>
      </c>
      <c r="C638" t="n">
        <v>57</v>
      </c>
      <c r="D638" t="n">
        <v>1</v>
      </c>
      <c r="E638" t="inlineStr">
        <is>
          <t>Input</t>
        </is>
      </c>
      <c r="F638" t="n">
        <v/>
      </c>
      <c r="G638" t="inlineStr">
        <is>
          <t>September 01, 2013</t>
        </is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11</v>
      </c>
      <c r="M638" t="n">
        <v/>
      </c>
      <c r="N638" t="inlineStr">
        <is>
          <t>00000000</t>
        </is>
      </c>
      <c r="O638" t="n">
        <v/>
      </c>
      <c r="P638" t="n">
        <v/>
      </c>
      <c r="Q638" t="b">
        <v>1</v>
      </c>
      <c r="R638" t="b">
        <v>1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</row>
    <row r="639">
      <c r="A639" t="inlineStr">
        <is>
          <t>ATF fuel</t>
        </is>
      </c>
      <c r="B639" t="inlineStr">
        <is>
          <t>B57</t>
        </is>
      </c>
      <c r="C639" t="n">
        <v>57</v>
      </c>
      <c r="D639" t="n">
        <v>2</v>
      </c>
      <c r="E639" t="inlineStr">
        <is>
          <t>Input</t>
        </is>
      </c>
      <c r="F639" t="n">
        <v/>
      </c>
      <c r="G639" t="n">
        <v>75031.09</v>
      </c>
      <c r="H639" t="inlineStr"/>
      <c r="I639" t="inlineStr">
        <is>
          <t>#,##0</t>
        </is>
      </c>
      <c r="J639" t="b">
        <v>0</v>
      </c>
      <c r="K639" t="b">
        <v>0</v>
      </c>
      <c r="L639" t="n">
        <v>11</v>
      </c>
      <c r="M639" t="n">
        <v/>
      </c>
      <c r="N639" t="inlineStr">
        <is>
          <t>00000000</t>
        </is>
      </c>
      <c r="O639" t="inlineStr">
        <is>
          <t>center</t>
        </is>
      </c>
      <c r="P639" t="n">
        <v/>
      </c>
      <c r="Q639" t="b">
        <v>1</v>
      </c>
      <c r="R639" t="b">
        <v>1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</row>
    <row r="640">
      <c r="A640" t="inlineStr">
        <is>
          <t>ATF fuel</t>
        </is>
      </c>
      <c r="B640" t="inlineStr">
        <is>
          <t>C57</t>
        </is>
      </c>
      <c r="C640" t="n">
        <v>57</v>
      </c>
      <c r="D640" t="n">
        <v>3</v>
      </c>
      <c r="E640" t="inlineStr">
        <is>
          <t>Input</t>
        </is>
      </c>
      <c r="F640" t="n">
        <v/>
      </c>
      <c r="G640" t="n">
        <v>85645.14</v>
      </c>
      <c r="H640" t="inlineStr"/>
      <c r="I640" t="inlineStr">
        <is>
          <t>#,##0</t>
        </is>
      </c>
      <c r="J640" t="b">
        <v>0</v>
      </c>
      <c r="K640" t="b">
        <v>0</v>
      </c>
      <c r="L640" t="n">
        <v>11</v>
      </c>
      <c r="M640" t="n">
        <v/>
      </c>
      <c r="N640" t="inlineStr">
        <is>
          <t>00000000</t>
        </is>
      </c>
      <c r="O640" t="inlineStr">
        <is>
          <t>center</t>
        </is>
      </c>
      <c r="P640" t="n">
        <v/>
      </c>
      <c r="Q640" t="b">
        <v>1</v>
      </c>
      <c r="R640" t="b">
        <v>1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</row>
    <row r="641">
      <c r="A641" t="inlineStr">
        <is>
          <t>ATF fuel</t>
        </is>
      </c>
      <c r="B641" t="inlineStr">
        <is>
          <t>D57</t>
        </is>
      </c>
      <c r="C641" t="n">
        <v>57</v>
      </c>
      <c r="D641" t="n">
        <v>4</v>
      </c>
      <c r="E641" t="inlineStr">
        <is>
          <t>Input</t>
        </is>
      </c>
      <c r="F641" t="n">
        <v/>
      </c>
      <c r="G641" t="n">
        <v>77632.42999999999</v>
      </c>
      <c r="H641" t="inlineStr"/>
      <c r="I641" t="inlineStr">
        <is>
          <t>#,##0</t>
        </is>
      </c>
      <c r="J641" t="b">
        <v>0</v>
      </c>
      <c r="K641" t="b">
        <v>0</v>
      </c>
      <c r="L641" t="n">
        <v>11</v>
      </c>
      <c r="M641" t="n">
        <v/>
      </c>
      <c r="N641" t="inlineStr">
        <is>
          <t>00000000</t>
        </is>
      </c>
      <c r="O641" t="inlineStr">
        <is>
          <t>center</t>
        </is>
      </c>
      <c r="P641" t="n">
        <v/>
      </c>
      <c r="Q641" t="b">
        <v>1</v>
      </c>
      <c r="R641" t="b">
        <v>1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</row>
    <row r="642">
      <c r="A642" t="inlineStr">
        <is>
          <t>ATF fuel</t>
        </is>
      </c>
      <c r="B642" t="inlineStr">
        <is>
          <t>E57</t>
        </is>
      </c>
      <c r="C642" t="n">
        <v>57</v>
      </c>
      <c r="D642" t="n">
        <v>5</v>
      </c>
      <c r="E642" t="inlineStr">
        <is>
          <t>Input</t>
        </is>
      </c>
      <c r="F642" t="n">
        <v/>
      </c>
      <c r="G642" t="n">
        <v>81740.3</v>
      </c>
      <c r="H642" t="inlineStr"/>
      <c r="I642" t="inlineStr">
        <is>
          <t>#,##0</t>
        </is>
      </c>
      <c r="J642" t="b">
        <v>0</v>
      </c>
      <c r="K642" t="b">
        <v>0</v>
      </c>
      <c r="L642" t="n">
        <v>11</v>
      </c>
      <c r="M642" t="n">
        <v/>
      </c>
      <c r="N642" t="inlineStr">
        <is>
          <t>00000000</t>
        </is>
      </c>
      <c r="O642" t="inlineStr">
        <is>
          <t>center</t>
        </is>
      </c>
      <c r="P642" t="n">
        <v/>
      </c>
      <c r="Q642" t="b">
        <v>1</v>
      </c>
      <c r="R642" t="b">
        <v>1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</row>
    <row r="643">
      <c r="A643" t="inlineStr">
        <is>
          <t>ATF fuel</t>
        </is>
      </c>
      <c r="B643" t="inlineStr">
        <is>
          <t>F57</t>
        </is>
      </c>
      <c r="C643" t="n">
        <v>57</v>
      </c>
      <c r="D643" t="n">
        <v>6</v>
      </c>
      <c r="E643" t="inlineStr">
        <is>
          <t>Output</t>
        </is>
      </c>
      <c r="F643" t="inlineStr">
        <is>
          <t>'=AVERAGE(B57:E57)</t>
        </is>
      </c>
      <c r="G643" t="n">
        <v>80012.23999999999</v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00000000</t>
        </is>
      </c>
      <c r="O643" t="inlineStr">
        <is>
          <t>center</t>
        </is>
      </c>
      <c r="P643" t="n">
        <v/>
      </c>
      <c r="R643" t="b">
        <v>1</v>
      </c>
      <c r="S643" t="inlineStr">
        <is>
          <t>G000284</t>
        </is>
      </c>
      <c r="T643" t="inlineStr">
        <is>
          <t>Vertical</t>
        </is>
      </c>
      <c r="U643" t="n">
        <v>130</v>
      </c>
      <c r="V643" t="b">
        <v>1</v>
      </c>
      <c r="W643" t="inlineStr">
        <is>
          <t>ATF fuel!F2:F131</t>
        </is>
      </c>
      <c r="X643">
        <f>AVERAGE(R[0]C[-4]:R[0]C[-1])</f>
        <v/>
      </c>
    </row>
    <row r="644">
      <c r="A644" t="inlineStr">
        <is>
          <t>ATF fuel</t>
        </is>
      </c>
      <c r="B644" t="inlineStr">
        <is>
          <t>G57</t>
        </is>
      </c>
      <c r="C644" t="n">
        <v>57</v>
      </c>
      <c r="D644" t="n">
        <v>7</v>
      </c>
      <c r="E644" t="inlineStr">
        <is>
          <t>Calculation</t>
        </is>
      </c>
      <c r="F644" t="inlineStr">
        <is>
          <t>'=G56-1</t>
        </is>
      </c>
      <c r="G644" t="n">
        <v>76</v>
      </c>
      <c r="H644" t="inlineStr"/>
      <c r="I644" t="inlineStr">
        <is>
          <t>#,##0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n">
        <v/>
      </c>
      <c r="P644" t="n">
        <v/>
      </c>
      <c r="R644" t="b">
        <v>1</v>
      </c>
      <c r="S644" t="inlineStr">
        <is>
          <t>G000286</t>
        </is>
      </c>
      <c r="T644" t="inlineStr">
        <is>
          <t>Vertical</t>
        </is>
      </c>
      <c r="U644" t="n">
        <v>129</v>
      </c>
      <c r="V644" t="b">
        <v>1</v>
      </c>
      <c r="W644" t="inlineStr">
        <is>
          <t>ATF fuel!G3:G131</t>
        </is>
      </c>
      <c r="X644">
        <f>R[-1]C[0]-1</f>
        <v/>
      </c>
    </row>
    <row r="645">
      <c r="A645" t="inlineStr">
        <is>
          <t>ATF fuel</t>
        </is>
      </c>
      <c r="B645" t="inlineStr">
        <is>
          <t>H57</t>
        </is>
      </c>
      <c r="C645" t="n">
        <v>57</v>
      </c>
      <c r="D645" t="n">
        <v>8</v>
      </c>
      <c r="E645" t="inlineStr">
        <is>
          <t>Output</t>
        </is>
      </c>
      <c r="F645" t="inlineStr">
        <is>
          <t>'=INDIRECT("A"&amp;G91)</t>
        </is>
      </c>
      <c r="G645" t="inlineStr">
        <is>
          <t>November 01, 2014</t>
        </is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n">
        <v/>
      </c>
      <c r="P645" t="n">
        <v/>
      </c>
      <c r="R645" t="b">
        <v>1</v>
      </c>
      <c r="S645" t="inlineStr">
        <is>
          <t>G000289</t>
        </is>
      </c>
      <c r="T645" t="inlineStr">
        <is>
          <t>Vertical</t>
        </is>
      </c>
      <c r="U645" t="n">
        <v>17</v>
      </c>
      <c r="V645" t="b">
        <v>1</v>
      </c>
      <c r="W645" t="inlineStr">
        <is>
          <t>ATF fuel!H53:H69</t>
        </is>
      </c>
      <c r="X645">
        <f>INDIRECT("A"&amp;R[34]C[-1])</f>
        <v/>
      </c>
    </row>
    <row r="646">
      <c r="A646" t="inlineStr">
        <is>
          <t>ATF fuel</t>
        </is>
      </c>
      <c r="B646" t="inlineStr">
        <is>
          <t>I57</t>
        </is>
      </c>
      <c r="C646" t="n">
        <v>57</v>
      </c>
      <c r="D646" t="n">
        <v>9</v>
      </c>
      <c r="E646" t="inlineStr">
        <is>
          <t>Output</t>
        </is>
      </c>
      <c r="F646" t="inlineStr">
        <is>
          <t>'=INDIRECT("F"&amp;G91)</t>
        </is>
      </c>
      <c r="G646" t="n">
        <v>66899.7975</v>
      </c>
      <c r="H646" t="inlineStr"/>
      <c r="I646" t="inlineStr">
        <is>
          <t xml:space="preserve">_ * #,##0_ ;_ * \-#,##0_ ;_ * "-"??_ ;_ @_ 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n">
        <v/>
      </c>
      <c r="P646" t="n">
        <v/>
      </c>
      <c r="R646" t="b">
        <v>1</v>
      </c>
      <c r="S646" t="inlineStr">
        <is>
          <t>G000290</t>
        </is>
      </c>
      <c r="T646" t="inlineStr">
        <is>
          <t>Vertical</t>
        </is>
      </c>
      <c r="U646" t="n">
        <v>17</v>
      </c>
      <c r="V646" t="b">
        <v>1</v>
      </c>
      <c r="W646" t="inlineStr">
        <is>
          <t>ATF fuel!I53:I69</t>
        </is>
      </c>
      <c r="X646">
        <f>INDIRECT("F"&amp;R[34]C[-2])</f>
        <v/>
      </c>
    </row>
    <row r="647">
      <c r="A647" t="inlineStr">
        <is>
          <t>ATF fuel</t>
        </is>
      </c>
      <c r="B647" t="inlineStr">
        <is>
          <t>J57</t>
        </is>
      </c>
      <c r="C647" t="n">
        <v>57</v>
      </c>
      <c r="D647" t="n">
        <v>10</v>
      </c>
      <c r="E647" t="inlineStr">
        <is>
          <t>Input</t>
        </is>
      </c>
      <c r="F647" t="n">
        <v/>
      </c>
      <c r="G647" t="n">
        <v>83.2</v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n">
        <v/>
      </c>
      <c r="P647" t="n">
        <v/>
      </c>
      <c r="R647" t="b">
        <v>1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</row>
    <row r="648">
      <c r="A648" t="inlineStr">
        <is>
          <t>ATF fuel</t>
        </is>
      </c>
      <c r="B648" t="inlineStr">
        <is>
          <t>K57</t>
        </is>
      </c>
      <c r="C648" t="n">
        <v>57</v>
      </c>
      <c r="D648" t="n">
        <v>11</v>
      </c>
      <c r="E648" t="inlineStr">
        <is>
          <t>Input</t>
        </is>
      </c>
      <c r="F648" t="n">
        <v/>
      </c>
      <c r="G648" t="n">
        <v>78.77</v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n">
        <v/>
      </c>
      <c r="P648" t="n">
        <v/>
      </c>
      <c r="R648" t="b">
        <v>1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</row>
    <row r="649">
      <c r="A649" t="inlineStr">
        <is>
          <t>ATF fuel</t>
        </is>
      </c>
      <c r="B649" t="inlineStr">
        <is>
          <t>A58</t>
        </is>
      </c>
      <c r="C649" t="n">
        <v>58</v>
      </c>
      <c r="D649" t="n">
        <v>1</v>
      </c>
      <c r="E649" t="inlineStr">
        <is>
          <t>Input</t>
        </is>
      </c>
      <c r="F649" t="n">
        <v/>
      </c>
      <c r="G649" t="inlineStr">
        <is>
          <t>August 01, 2013</t>
        </is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n">
        <v/>
      </c>
      <c r="N649" t="inlineStr">
        <is>
          <t>00000000</t>
        </is>
      </c>
      <c r="O649" t="n">
        <v/>
      </c>
      <c r="P649" t="n">
        <v/>
      </c>
      <c r="Q649" t="b">
        <v>1</v>
      </c>
      <c r="R649" t="b">
        <v>1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</row>
    <row r="650">
      <c r="A650" t="inlineStr">
        <is>
          <t>ATF fuel</t>
        </is>
      </c>
      <c r="B650" t="inlineStr">
        <is>
          <t>B58</t>
        </is>
      </c>
      <c r="C650" t="n">
        <v>58</v>
      </c>
      <c r="D650" t="n">
        <v>2</v>
      </c>
      <c r="E650" t="inlineStr">
        <is>
          <t>Input</t>
        </is>
      </c>
      <c r="F650" t="n">
        <v/>
      </c>
      <c r="G650" t="n">
        <v>70203.14999999999</v>
      </c>
      <c r="H650" t="inlineStr"/>
      <c r="I650" t="inlineStr">
        <is>
          <t>#,##0</t>
        </is>
      </c>
      <c r="J650" t="b">
        <v>0</v>
      </c>
      <c r="K650" t="b">
        <v>0</v>
      </c>
      <c r="L650" t="n">
        <v>11</v>
      </c>
      <c r="M650" t="n">
        <v/>
      </c>
      <c r="N650" t="inlineStr">
        <is>
          <t>00000000</t>
        </is>
      </c>
      <c r="O650" t="inlineStr">
        <is>
          <t>center</t>
        </is>
      </c>
      <c r="P650" t="n">
        <v/>
      </c>
      <c r="Q650" t="b">
        <v>1</v>
      </c>
      <c r="R650" t="b">
        <v>1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</row>
    <row r="651">
      <c r="A651" t="inlineStr">
        <is>
          <t>ATF fuel</t>
        </is>
      </c>
      <c r="B651" t="inlineStr">
        <is>
          <t>C58</t>
        </is>
      </c>
      <c r="C651" t="n">
        <v>58</v>
      </c>
      <c r="D651" t="n">
        <v>3</v>
      </c>
      <c r="E651" t="inlineStr">
        <is>
          <t>Input</t>
        </is>
      </c>
      <c r="F651" t="n">
        <v/>
      </c>
      <c r="G651" t="n">
        <v>80317.03</v>
      </c>
      <c r="H651" t="inlineStr"/>
      <c r="I651" t="inlineStr">
        <is>
          <t>#,##0</t>
        </is>
      </c>
      <c r="J651" t="b">
        <v>0</v>
      </c>
      <c r="K651" t="b">
        <v>0</v>
      </c>
      <c r="L651" t="n">
        <v>11</v>
      </c>
      <c r="M651" t="n">
        <v/>
      </c>
      <c r="N651" t="inlineStr">
        <is>
          <t>00000000</t>
        </is>
      </c>
      <c r="O651" t="inlineStr">
        <is>
          <t>center</t>
        </is>
      </c>
      <c r="P651" t="n">
        <v/>
      </c>
      <c r="Q651" t="b">
        <v>1</v>
      </c>
      <c r="R651" t="b">
        <v>1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</row>
    <row r="652">
      <c r="A652" t="inlineStr">
        <is>
          <t>ATF fuel</t>
        </is>
      </c>
      <c r="B652" t="inlineStr">
        <is>
          <t>D58</t>
        </is>
      </c>
      <c r="C652" t="n">
        <v>58</v>
      </c>
      <c r="D652" t="n">
        <v>4</v>
      </c>
      <c r="E652" t="inlineStr">
        <is>
          <t>Input</t>
        </is>
      </c>
      <c r="F652" t="n">
        <v/>
      </c>
      <c r="G652" t="n">
        <v>72477.5</v>
      </c>
      <c r="H652" t="inlineStr"/>
      <c r="I652" t="inlineStr">
        <is>
          <t>#,##0</t>
        </is>
      </c>
      <c r="J652" t="b">
        <v>0</v>
      </c>
      <c r="K652" t="b">
        <v>0</v>
      </c>
      <c r="L652" t="n">
        <v>11</v>
      </c>
      <c r="M652" t="n">
        <v/>
      </c>
      <c r="N652" t="inlineStr">
        <is>
          <t>00000000</t>
        </is>
      </c>
      <c r="O652" t="inlineStr">
        <is>
          <t>center</t>
        </is>
      </c>
      <c r="P652" t="n">
        <v/>
      </c>
      <c r="Q652" t="b">
        <v>1</v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</row>
    <row r="653">
      <c r="A653" t="inlineStr">
        <is>
          <t>ATF fuel</t>
        </is>
      </c>
      <c r="B653" t="inlineStr">
        <is>
          <t>E58</t>
        </is>
      </c>
      <c r="C653" t="n">
        <v>58</v>
      </c>
      <c r="D653" t="n">
        <v>5</v>
      </c>
      <c r="E653" t="inlineStr">
        <is>
          <t>Input</t>
        </is>
      </c>
      <c r="F653" t="n">
        <v/>
      </c>
      <c r="G653" t="n">
        <v>76312.89999999999</v>
      </c>
      <c r="H653" t="inlineStr"/>
      <c r="I653" t="inlineStr">
        <is>
          <t>#,##0</t>
        </is>
      </c>
      <c r="J653" t="b">
        <v>0</v>
      </c>
      <c r="K653" t="b">
        <v>0</v>
      </c>
      <c r="L653" t="n">
        <v>11</v>
      </c>
      <c r="M653" t="n">
        <v/>
      </c>
      <c r="N653" t="inlineStr">
        <is>
          <t>00000000</t>
        </is>
      </c>
      <c r="O653" t="inlineStr">
        <is>
          <t>center</t>
        </is>
      </c>
      <c r="P653" t="n">
        <v/>
      </c>
      <c r="Q653" t="b">
        <v>1</v>
      </c>
      <c r="R653" t="b">
        <v>1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</row>
    <row r="654">
      <c r="A654" t="inlineStr">
        <is>
          <t>ATF fuel</t>
        </is>
      </c>
      <c r="B654" t="inlineStr">
        <is>
          <t>F58</t>
        </is>
      </c>
      <c r="C654" t="n">
        <v>58</v>
      </c>
      <c r="D654" t="n">
        <v>6</v>
      </c>
      <c r="E654" t="inlineStr">
        <is>
          <t>Output</t>
        </is>
      </c>
      <c r="F654" t="inlineStr">
        <is>
          <t>'=AVERAGE(B58:E58)</t>
        </is>
      </c>
      <c r="G654" t="n">
        <v>74827.64499999999</v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11</v>
      </c>
      <c r="M654" t="inlineStr">
        <is>
          <t>Values must be of type &lt;class 'str'&gt;</t>
        </is>
      </c>
      <c r="N654" t="inlineStr">
        <is>
          <t>00000000</t>
        </is>
      </c>
      <c r="O654" t="inlineStr">
        <is>
          <t>center</t>
        </is>
      </c>
      <c r="P654" t="n">
        <v/>
      </c>
      <c r="R654" t="b">
        <v>1</v>
      </c>
      <c r="S654" t="inlineStr">
        <is>
          <t>G000284</t>
        </is>
      </c>
      <c r="T654" t="inlineStr">
        <is>
          <t>Vertical</t>
        </is>
      </c>
      <c r="U654" t="n">
        <v>130</v>
      </c>
      <c r="V654" t="b">
        <v>1</v>
      </c>
      <c r="W654" t="inlineStr">
        <is>
          <t>ATF fuel!F2:F131</t>
        </is>
      </c>
      <c r="X654">
        <f>AVERAGE(R[0]C[-4]:R[0]C[-1])</f>
        <v/>
      </c>
    </row>
    <row r="655">
      <c r="A655" t="inlineStr">
        <is>
          <t>ATF fuel</t>
        </is>
      </c>
      <c r="B655" t="inlineStr">
        <is>
          <t>G58</t>
        </is>
      </c>
      <c r="C655" t="n">
        <v>58</v>
      </c>
      <c r="D655" t="n">
        <v>7</v>
      </c>
      <c r="E655" t="inlineStr">
        <is>
          <t>Calculation</t>
        </is>
      </c>
      <c r="F655" t="inlineStr">
        <is>
          <t>'=G57-1</t>
        </is>
      </c>
      <c r="G655" t="n">
        <v>75</v>
      </c>
      <c r="H655" t="inlineStr"/>
      <c r="I655" t="inlineStr">
        <is>
          <t>#,##0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00000000</t>
        </is>
      </c>
      <c r="O655" t="n">
        <v/>
      </c>
      <c r="P655" t="n">
        <v/>
      </c>
      <c r="R655" t="b">
        <v>1</v>
      </c>
      <c r="S655" t="inlineStr">
        <is>
          <t>G000286</t>
        </is>
      </c>
      <c r="T655" t="inlineStr">
        <is>
          <t>Vertical</t>
        </is>
      </c>
      <c r="U655" t="n">
        <v>129</v>
      </c>
      <c r="V655" t="b">
        <v>1</v>
      </c>
      <c r="W655" t="inlineStr">
        <is>
          <t>ATF fuel!G3:G131</t>
        </is>
      </c>
      <c r="X655">
        <f>R[-1]C[0]-1</f>
        <v/>
      </c>
    </row>
    <row r="656">
      <c r="A656" t="inlineStr">
        <is>
          <t>ATF fuel</t>
        </is>
      </c>
      <c r="B656" t="inlineStr">
        <is>
          <t>H58</t>
        </is>
      </c>
      <c r="C656" t="n">
        <v>58</v>
      </c>
      <c r="D656" t="n">
        <v>8</v>
      </c>
      <c r="E656" t="inlineStr">
        <is>
          <t>Output</t>
        </is>
      </c>
      <c r="F656" t="inlineStr">
        <is>
          <t>'=INDIRECT("A"&amp;G92)</t>
        </is>
      </c>
      <c r="G656" t="inlineStr">
        <is>
          <t>December 01, 2014</t>
        </is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00000000</t>
        </is>
      </c>
      <c r="O656" t="n">
        <v/>
      </c>
      <c r="P656" t="n">
        <v/>
      </c>
      <c r="R656" t="b">
        <v>1</v>
      </c>
      <c r="S656" t="inlineStr">
        <is>
          <t>G000289</t>
        </is>
      </c>
      <c r="T656" t="inlineStr">
        <is>
          <t>Vertical</t>
        </is>
      </c>
      <c r="U656" t="n">
        <v>17</v>
      </c>
      <c r="V656" t="b">
        <v>1</v>
      </c>
      <c r="W656" t="inlineStr">
        <is>
          <t>ATF fuel!H53:H69</t>
        </is>
      </c>
      <c r="X656">
        <f>INDIRECT("A"&amp;R[34]C[-1])</f>
        <v/>
      </c>
    </row>
    <row r="657">
      <c r="A657" t="inlineStr">
        <is>
          <t>ATF fuel</t>
        </is>
      </c>
      <c r="B657" t="inlineStr">
        <is>
          <t>I58</t>
        </is>
      </c>
      <c r="C657" t="n">
        <v>58</v>
      </c>
      <c r="D657" t="n">
        <v>9</v>
      </c>
      <c r="E657" t="inlineStr">
        <is>
          <t>Output</t>
        </is>
      </c>
      <c r="F657" t="inlineStr">
        <is>
          <t>'=INDIRECT("F"&amp;G92)</t>
        </is>
      </c>
      <c r="G657" t="n">
        <v>64145</v>
      </c>
      <c r="H657" t="inlineStr"/>
      <c r="I657" t="inlineStr">
        <is>
          <t xml:space="preserve">_ * #,##0_ ;_ * \-#,##0_ ;_ * "-"??_ ;_ @_ 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00000000</t>
        </is>
      </c>
      <c r="O657" t="n">
        <v/>
      </c>
      <c r="P657" t="n">
        <v/>
      </c>
      <c r="R657" t="b">
        <v>1</v>
      </c>
      <c r="S657" t="inlineStr">
        <is>
          <t>G000290</t>
        </is>
      </c>
      <c r="T657" t="inlineStr">
        <is>
          <t>Vertical</t>
        </is>
      </c>
      <c r="U657" t="n">
        <v>17</v>
      </c>
      <c r="V657" t="b">
        <v>1</v>
      </c>
      <c r="W657" t="inlineStr">
        <is>
          <t>ATF fuel!I53:I69</t>
        </is>
      </c>
      <c r="X657">
        <f>INDIRECT("F"&amp;R[34]C[-2])</f>
        <v/>
      </c>
    </row>
    <row r="658">
      <c r="A658" t="inlineStr">
        <is>
          <t>ATF fuel</t>
        </is>
      </c>
      <c r="B658" t="inlineStr">
        <is>
          <t>J58</t>
        </is>
      </c>
      <c r="C658" t="n">
        <v>58</v>
      </c>
      <c r="D658" t="n">
        <v>10</v>
      </c>
      <c r="E658" t="inlineStr">
        <is>
          <t>Input</t>
        </is>
      </c>
      <c r="F658" t="n">
        <v/>
      </c>
      <c r="G658" t="n">
        <v>68</v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00000000</t>
        </is>
      </c>
      <c r="O658" t="n">
        <v/>
      </c>
      <c r="P658" t="n">
        <v/>
      </c>
      <c r="R658" t="b">
        <v>1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</row>
    <row r="659">
      <c r="A659" t="inlineStr">
        <is>
          <t>ATF fuel</t>
        </is>
      </c>
      <c r="B659" t="inlineStr">
        <is>
          <t>K58</t>
        </is>
      </c>
      <c r="C659" t="n">
        <v>58</v>
      </c>
      <c r="D659" t="n">
        <v>11</v>
      </c>
      <c r="E659" t="inlineStr">
        <is>
          <t>Input</t>
        </is>
      </c>
      <c r="F659" t="n">
        <v/>
      </c>
      <c r="G659" t="n">
        <v>68.98</v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00000000</t>
        </is>
      </c>
      <c r="O659" t="n">
        <v/>
      </c>
      <c r="P659" t="n">
        <v/>
      </c>
      <c r="R659" t="b">
        <v>1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</row>
    <row r="660">
      <c r="A660" t="inlineStr">
        <is>
          <t>ATF fuel</t>
        </is>
      </c>
      <c r="B660" t="inlineStr">
        <is>
          <t>A59</t>
        </is>
      </c>
      <c r="C660" t="n">
        <v>59</v>
      </c>
      <c r="D660" t="n">
        <v>1</v>
      </c>
      <c r="E660" t="inlineStr">
        <is>
          <t>Input</t>
        </is>
      </c>
      <c r="F660" t="n">
        <v/>
      </c>
      <c r="G660" t="inlineStr">
        <is>
          <t>July 01, 2013</t>
        </is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11</v>
      </c>
      <c r="M660" t="n">
        <v/>
      </c>
      <c r="N660" t="inlineStr">
        <is>
          <t>00000000</t>
        </is>
      </c>
      <c r="O660" t="n">
        <v/>
      </c>
      <c r="P660" t="n">
        <v/>
      </c>
      <c r="Q660" t="b">
        <v>1</v>
      </c>
      <c r="R660" t="b">
        <v>1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</row>
    <row r="661">
      <c r="A661" t="inlineStr">
        <is>
          <t>ATF fuel</t>
        </is>
      </c>
      <c r="B661" t="inlineStr">
        <is>
          <t>B59</t>
        </is>
      </c>
      <c r="C661" t="n">
        <v>59</v>
      </c>
      <c r="D661" t="n">
        <v>2</v>
      </c>
      <c r="E661" t="inlineStr">
        <is>
          <t>Input</t>
        </is>
      </c>
      <c r="F661" t="n">
        <v/>
      </c>
      <c r="G661" t="n">
        <v>66033.75</v>
      </c>
      <c r="H661" t="inlineStr"/>
      <c r="I661" t="inlineStr">
        <is>
          <t>#,##0</t>
        </is>
      </c>
      <c r="J661" t="b">
        <v>0</v>
      </c>
      <c r="K661" t="b">
        <v>0</v>
      </c>
      <c r="L661" t="n">
        <v>11</v>
      </c>
      <c r="M661" t="n">
        <v/>
      </c>
      <c r="N661" t="inlineStr">
        <is>
          <t>00000000</t>
        </is>
      </c>
      <c r="O661" t="inlineStr">
        <is>
          <t>center</t>
        </is>
      </c>
      <c r="P661" t="n">
        <v/>
      </c>
      <c r="Q661" t="b">
        <v>1</v>
      </c>
      <c r="R661" t="b">
        <v>1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</row>
    <row r="662">
      <c r="A662" t="inlineStr">
        <is>
          <t>ATF fuel</t>
        </is>
      </c>
      <c r="B662" t="inlineStr">
        <is>
          <t>C59</t>
        </is>
      </c>
      <c r="C662" t="n">
        <v>59</v>
      </c>
      <c r="D662" t="n">
        <v>3</v>
      </c>
      <c r="E662" t="inlineStr">
        <is>
          <t>Input</t>
        </is>
      </c>
      <c r="F662" t="n">
        <v/>
      </c>
      <c r="G662" t="n">
        <v>75993.92999999999</v>
      </c>
      <c r="H662" t="inlineStr"/>
      <c r="I662" t="inlineStr">
        <is>
          <t>#,##0</t>
        </is>
      </c>
      <c r="J662" t="b">
        <v>0</v>
      </c>
      <c r="K662" t="b">
        <v>0</v>
      </c>
      <c r="L662" t="n">
        <v>11</v>
      </c>
      <c r="M662" t="n">
        <v/>
      </c>
      <c r="N662" t="inlineStr">
        <is>
          <t>00000000</t>
        </is>
      </c>
      <c r="O662" t="inlineStr">
        <is>
          <t>center</t>
        </is>
      </c>
      <c r="P662" t="n">
        <v/>
      </c>
      <c r="Q662" t="b">
        <v>1</v>
      </c>
      <c r="R662" t="b">
        <v>1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</row>
    <row r="663">
      <c r="A663" t="inlineStr">
        <is>
          <t>ATF fuel</t>
        </is>
      </c>
      <c r="B663" t="inlineStr">
        <is>
          <t>D59</t>
        </is>
      </c>
      <c r="C663" t="n">
        <v>59</v>
      </c>
      <c r="D663" t="n">
        <v>4</v>
      </c>
      <c r="E663" t="inlineStr">
        <is>
          <t>Input</t>
        </is>
      </c>
      <c r="F663" t="n">
        <v/>
      </c>
      <c r="G663" t="n">
        <v>68147.89999999999</v>
      </c>
      <c r="H663" t="inlineStr"/>
      <c r="I663" t="inlineStr">
        <is>
          <t>#,##0</t>
        </is>
      </c>
      <c r="J663" t="b">
        <v>0</v>
      </c>
      <c r="K663" t="b">
        <v>0</v>
      </c>
      <c r="L663" t="n">
        <v>11</v>
      </c>
      <c r="M663" t="n">
        <v/>
      </c>
      <c r="N663" t="inlineStr">
        <is>
          <t>00000000</t>
        </is>
      </c>
      <c r="O663" t="inlineStr">
        <is>
          <t>center</t>
        </is>
      </c>
      <c r="P663" t="n">
        <v/>
      </c>
      <c r="Q663" t="b">
        <v>1</v>
      </c>
      <c r="R663" t="b">
        <v>1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</row>
    <row r="664">
      <c r="A664" t="inlineStr">
        <is>
          <t>ATF fuel</t>
        </is>
      </c>
      <c r="B664" t="inlineStr">
        <is>
          <t>E59</t>
        </is>
      </c>
      <c r="C664" t="n">
        <v>59</v>
      </c>
      <c r="D664" t="n">
        <v>5</v>
      </c>
      <c r="E664" t="inlineStr">
        <is>
          <t>Input</t>
        </is>
      </c>
      <c r="F664" t="n">
        <v/>
      </c>
      <c r="G664" t="n">
        <v>71851.42</v>
      </c>
      <c r="H664" t="inlineStr"/>
      <c r="I664" t="inlineStr">
        <is>
          <t>#,##0</t>
        </is>
      </c>
      <c r="J664" t="b">
        <v>0</v>
      </c>
      <c r="K664" t="b">
        <v>0</v>
      </c>
      <c r="L664" t="n">
        <v>11</v>
      </c>
      <c r="M664" t="n">
        <v/>
      </c>
      <c r="N664" t="inlineStr">
        <is>
          <t>00000000</t>
        </is>
      </c>
      <c r="O664" t="inlineStr">
        <is>
          <t>center</t>
        </is>
      </c>
      <c r="P664" t="n">
        <v/>
      </c>
      <c r="Q664" t="b">
        <v>1</v>
      </c>
      <c r="R664" t="b">
        <v>1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</row>
    <row r="665">
      <c r="A665" t="inlineStr">
        <is>
          <t>ATF fuel</t>
        </is>
      </c>
      <c r="B665" t="inlineStr">
        <is>
          <t>F59</t>
        </is>
      </c>
      <c r="C665" t="n">
        <v>59</v>
      </c>
      <c r="D665" t="n">
        <v>6</v>
      </c>
      <c r="E665" t="inlineStr">
        <is>
          <t>Output</t>
        </is>
      </c>
      <c r="F665" t="inlineStr">
        <is>
          <t>'=AVERAGE(B59:E59)</t>
        </is>
      </c>
      <c r="G665" t="n">
        <v>70506.75</v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11</v>
      </c>
      <c r="M665" t="inlineStr">
        <is>
          <t>Values must be of type &lt;class 'str'&gt;</t>
        </is>
      </c>
      <c r="N665" t="inlineStr">
        <is>
          <t>00000000</t>
        </is>
      </c>
      <c r="O665" t="inlineStr">
        <is>
          <t>center</t>
        </is>
      </c>
      <c r="P665" t="n">
        <v/>
      </c>
      <c r="R665" t="b">
        <v>1</v>
      </c>
      <c r="S665" t="inlineStr">
        <is>
          <t>G000284</t>
        </is>
      </c>
      <c r="T665" t="inlineStr">
        <is>
          <t>Vertical</t>
        </is>
      </c>
      <c r="U665" t="n">
        <v>130</v>
      </c>
      <c r="V665" t="b">
        <v>1</v>
      </c>
      <c r="W665" t="inlineStr">
        <is>
          <t>ATF fuel!F2:F131</t>
        </is>
      </c>
      <c r="X665">
        <f>AVERAGE(R[0]C[-4]:R[0]C[-1])</f>
        <v/>
      </c>
    </row>
    <row r="666">
      <c r="A666" t="inlineStr">
        <is>
          <t>ATF fuel</t>
        </is>
      </c>
      <c r="B666" t="inlineStr">
        <is>
          <t>G59</t>
        </is>
      </c>
      <c r="C666" t="n">
        <v>59</v>
      </c>
      <c r="D666" t="n">
        <v>7</v>
      </c>
      <c r="E666" t="inlineStr">
        <is>
          <t>Calculation</t>
        </is>
      </c>
      <c r="F666" t="inlineStr">
        <is>
          <t>'=G58-1</t>
        </is>
      </c>
      <c r="G666" t="n">
        <v>74</v>
      </c>
      <c r="H666" t="inlineStr"/>
      <c r="I666" t="inlineStr">
        <is>
          <t>#,##0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00000000</t>
        </is>
      </c>
      <c r="O666" t="n">
        <v/>
      </c>
      <c r="P666" t="n">
        <v/>
      </c>
      <c r="R666" t="b">
        <v>1</v>
      </c>
      <c r="S666" t="inlineStr">
        <is>
          <t>G000286</t>
        </is>
      </c>
      <c r="T666" t="inlineStr">
        <is>
          <t>Vertical</t>
        </is>
      </c>
      <c r="U666" t="n">
        <v>129</v>
      </c>
      <c r="V666" t="b">
        <v>1</v>
      </c>
      <c r="W666" t="inlineStr">
        <is>
          <t>ATF fuel!G3:G131</t>
        </is>
      </c>
      <c r="X666">
        <f>R[-1]C[0]-1</f>
        <v/>
      </c>
    </row>
    <row r="667">
      <c r="A667" t="inlineStr">
        <is>
          <t>ATF fuel</t>
        </is>
      </c>
      <c r="B667" t="inlineStr">
        <is>
          <t>H59</t>
        </is>
      </c>
      <c r="C667" t="n">
        <v>59</v>
      </c>
      <c r="D667" t="n">
        <v>8</v>
      </c>
      <c r="E667" t="inlineStr">
        <is>
          <t>Output</t>
        </is>
      </c>
      <c r="F667" t="inlineStr">
        <is>
          <t>'=INDIRECT("A"&amp;G93)</t>
        </is>
      </c>
      <c r="G667" t="inlineStr">
        <is>
          <t>January 01, 2015</t>
        </is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00000000</t>
        </is>
      </c>
      <c r="O667" t="n">
        <v/>
      </c>
      <c r="P667" t="n">
        <v/>
      </c>
      <c r="R667" t="b">
        <v>1</v>
      </c>
      <c r="S667" t="inlineStr">
        <is>
          <t>G000289</t>
        </is>
      </c>
      <c r="T667" t="inlineStr">
        <is>
          <t>Vertical</t>
        </is>
      </c>
      <c r="U667" t="n">
        <v>17</v>
      </c>
      <c r="V667" t="b">
        <v>1</v>
      </c>
      <c r="W667" t="inlineStr">
        <is>
          <t>ATF fuel!H53:H69</t>
        </is>
      </c>
      <c r="X667">
        <f>INDIRECT("A"&amp;R[34]C[-1])</f>
        <v/>
      </c>
    </row>
    <row r="668">
      <c r="A668" t="inlineStr">
        <is>
          <t>ATF fuel</t>
        </is>
      </c>
      <c r="B668" t="inlineStr">
        <is>
          <t>I59</t>
        </is>
      </c>
      <c r="C668" t="n">
        <v>59</v>
      </c>
      <c r="D668" t="n">
        <v>9</v>
      </c>
      <c r="E668" t="inlineStr">
        <is>
          <t>Output</t>
        </is>
      </c>
      <c r="F668" t="inlineStr">
        <is>
          <t>'=INDIRECT("F"&amp;G93)</t>
        </is>
      </c>
      <c r="G668" t="n">
        <v>56316.75</v>
      </c>
      <c r="H668" t="inlineStr"/>
      <c r="I668" t="inlineStr">
        <is>
          <t xml:space="preserve">_ * #,##0_ ;_ * \-#,##0_ ;_ * "-"??_ ;_ @_ </t>
        </is>
      </c>
      <c r="J668" t="b">
        <v>0</v>
      </c>
      <c r="K668" t="b">
        <v>0</v>
      </c>
      <c r="L668" t="n">
        <v>11</v>
      </c>
      <c r="M668" t="inlineStr">
        <is>
          <t>Values must be of type &lt;class 'str'&gt;</t>
        </is>
      </c>
      <c r="N668" t="inlineStr">
        <is>
          <t>00000000</t>
        </is>
      </c>
      <c r="O668" t="n">
        <v/>
      </c>
      <c r="P668" t="n">
        <v/>
      </c>
      <c r="R668" t="b">
        <v>1</v>
      </c>
      <c r="S668" t="inlineStr">
        <is>
          <t>G000290</t>
        </is>
      </c>
      <c r="T668" t="inlineStr">
        <is>
          <t>Vertical</t>
        </is>
      </c>
      <c r="U668" t="n">
        <v>17</v>
      </c>
      <c r="V668" t="b">
        <v>1</v>
      </c>
      <c r="W668" t="inlineStr">
        <is>
          <t>ATF fuel!I53:I69</t>
        </is>
      </c>
      <c r="X668">
        <f>INDIRECT("F"&amp;R[34]C[-2])</f>
        <v/>
      </c>
    </row>
    <row r="669">
      <c r="A669" t="inlineStr">
        <is>
          <t>ATF fuel</t>
        </is>
      </c>
      <c r="B669" t="inlineStr">
        <is>
          <t>J59</t>
        </is>
      </c>
      <c r="C669" t="n">
        <v>59</v>
      </c>
      <c r="D669" t="n">
        <v>10</v>
      </c>
      <c r="E669" t="inlineStr">
        <is>
          <t>Input</t>
        </is>
      </c>
      <c r="F669" t="n">
        <v/>
      </c>
      <c r="G669" t="n">
        <v>49.43</v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11</v>
      </c>
      <c r="M669" t="inlineStr">
        <is>
          <t>Values must be of type &lt;class 'str'&gt;</t>
        </is>
      </c>
      <c r="N669" t="inlineStr">
        <is>
          <t>00000000</t>
        </is>
      </c>
      <c r="O669" t="n">
        <v/>
      </c>
      <c r="P669" t="n">
        <v/>
      </c>
      <c r="R669" t="b">
        <v>1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</row>
    <row r="670">
      <c r="A670" t="inlineStr">
        <is>
          <t>ATF fuel</t>
        </is>
      </c>
      <c r="B670" t="inlineStr">
        <is>
          <t>K59</t>
        </is>
      </c>
      <c r="C670" t="n">
        <v>59</v>
      </c>
      <c r="D670" t="n">
        <v>11</v>
      </c>
      <c r="E670" t="inlineStr">
        <is>
          <t>Input</t>
        </is>
      </c>
      <c r="F670" t="n">
        <v/>
      </c>
      <c r="G670" t="n">
        <v>53.45</v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11</v>
      </c>
      <c r="M670" t="inlineStr">
        <is>
          <t>Values must be of type &lt;class 'str'&gt;</t>
        </is>
      </c>
      <c r="N670" t="inlineStr">
        <is>
          <t>00000000</t>
        </is>
      </c>
      <c r="O670" t="n">
        <v/>
      </c>
      <c r="P670" t="n">
        <v/>
      </c>
      <c r="R670" t="b">
        <v>1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</row>
    <row r="671">
      <c r="A671" t="inlineStr">
        <is>
          <t>ATF fuel</t>
        </is>
      </c>
      <c r="B671" t="inlineStr">
        <is>
          <t>A60</t>
        </is>
      </c>
      <c r="C671" t="n">
        <v>60</v>
      </c>
      <c r="D671" t="n">
        <v>1</v>
      </c>
      <c r="E671" t="inlineStr">
        <is>
          <t>Input</t>
        </is>
      </c>
      <c r="F671" t="n">
        <v/>
      </c>
      <c r="G671" t="inlineStr">
        <is>
          <t>June 01, 2013</t>
        </is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11</v>
      </c>
      <c r="M671" t="n">
        <v/>
      </c>
      <c r="N671" t="inlineStr">
        <is>
          <t>00000000</t>
        </is>
      </c>
      <c r="O671" t="n">
        <v/>
      </c>
      <c r="P671" t="n">
        <v/>
      </c>
      <c r="Q671" t="b">
        <v>1</v>
      </c>
      <c r="R671" t="b">
        <v>1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</row>
    <row r="672">
      <c r="A672" t="inlineStr">
        <is>
          <t>ATF fuel</t>
        </is>
      </c>
      <c r="B672" t="inlineStr">
        <is>
          <t>B60</t>
        </is>
      </c>
      <c r="C672" t="n">
        <v>60</v>
      </c>
      <c r="D672" t="n">
        <v>2</v>
      </c>
      <c r="E672" t="inlineStr">
        <is>
          <t>Input</t>
        </is>
      </c>
      <c r="F672" t="n">
        <v/>
      </c>
      <c r="G672" t="n">
        <v>62416.16</v>
      </c>
      <c r="H672" t="inlineStr"/>
      <c r="I672" t="inlineStr">
        <is>
          <t>#,##0</t>
        </is>
      </c>
      <c r="J672" t="b">
        <v>0</v>
      </c>
      <c r="K672" t="b">
        <v>0</v>
      </c>
      <c r="L672" t="n">
        <v>11</v>
      </c>
      <c r="M672" t="n">
        <v/>
      </c>
      <c r="N672" t="inlineStr">
        <is>
          <t>00000000</t>
        </is>
      </c>
      <c r="O672" t="inlineStr">
        <is>
          <t>center</t>
        </is>
      </c>
      <c r="P672" t="n">
        <v/>
      </c>
      <c r="Q672" t="b">
        <v>1</v>
      </c>
      <c r="R672" t="b">
        <v>1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</row>
    <row r="673">
      <c r="A673" t="inlineStr">
        <is>
          <t>ATF fuel</t>
        </is>
      </c>
      <c r="B673" t="inlineStr">
        <is>
          <t>C60</t>
        </is>
      </c>
      <c r="C673" t="n">
        <v>60</v>
      </c>
      <c r="D673" t="n">
        <v>3</v>
      </c>
      <c r="E673" t="inlineStr">
        <is>
          <t>Input</t>
        </is>
      </c>
      <c r="F673" t="n">
        <v/>
      </c>
      <c r="G673" t="n">
        <v>72256.95</v>
      </c>
      <c r="H673" t="inlineStr"/>
      <c r="I673" t="inlineStr">
        <is>
          <t>#,##0</t>
        </is>
      </c>
      <c r="J673" t="b">
        <v>0</v>
      </c>
      <c r="K673" t="b">
        <v>0</v>
      </c>
      <c r="L673" t="n">
        <v>11</v>
      </c>
      <c r="M673" t="n">
        <v/>
      </c>
      <c r="N673" t="inlineStr">
        <is>
          <t>00000000</t>
        </is>
      </c>
      <c r="O673" t="inlineStr">
        <is>
          <t>center</t>
        </is>
      </c>
      <c r="P673" t="n">
        <v/>
      </c>
      <c r="Q673" t="b">
        <v>1</v>
      </c>
      <c r="R673" t="b">
        <v>1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</row>
    <row r="674">
      <c r="A674" t="inlineStr">
        <is>
          <t>ATF fuel</t>
        </is>
      </c>
      <c r="B674" t="inlineStr">
        <is>
          <t>D60</t>
        </is>
      </c>
      <c r="C674" t="n">
        <v>60</v>
      </c>
      <c r="D674" t="n">
        <v>4</v>
      </c>
      <c r="E674" t="inlineStr">
        <is>
          <t>Input</t>
        </is>
      </c>
      <c r="F674" t="n">
        <v/>
      </c>
      <c r="G674" t="n">
        <v>64381.15</v>
      </c>
      <c r="H674" t="inlineStr"/>
      <c r="I674" t="inlineStr">
        <is>
          <t>#,##0</t>
        </is>
      </c>
      <c r="J674" t="b">
        <v>0</v>
      </c>
      <c r="K674" t="b">
        <v>0</v>
      </c>
      <c r="L674" t="n">
        <v>11</v>
      </c>
      <c r="M674" t="n">
        <v/>
      </c>
      <c r="N674" t="inlineStr">
        <is>
          <t>00000000</t>
        </is>
      </c>
      <c r="O674" t="inlineStr">
        <is>
          <t>center</t>
        </is>
      </c>
      <c r="P674" t="n">
        <v/>
      </c>
      <c r="Q674" t="b">
        <v>1</v>
      </c>
      <c r="R674" t="b">
        <v>1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</row>
    <row r="675">
      <c r="A675" t="inlineStr">
        <is>
          <t>ATF fuel</t>
        </is>
      </c>
      <c r="B675" t="inlineStr">
        <is>
          <t>E60</t>
        </is>
      </c>
      <c r="C675" t="n">
        <v>60</v>
      </c>
      <c r="D675" t="n">
        <v>5</v>
      </c>
      <c r="E675" t="inlineStr">
        <is>
          <t>Input</t>
        </is>
      </c>
      <c r="F675" t="n">
        <v/>
      </c>
      <c r="G675" t="n">
        <v>67926.42999999999</v>
      </c>
      <c r="H675" t="inlineStr"/>
      <c r="I675" t="inlineStr">
        <is>
          <t>#,##0</t>
        </is>
      </c>
      <c r="J675" t="b">
        <v>0</v>
      </c>
      <c r="K675" t="b">
        <v>0</v>
      </c>
      <c r="L675" t="n">
        <v>11</v>
      </c>
      <c r="M675" t="n">
        <v/>
      </c>
      <c r="N675" t="inlineStr">
        <is>
          <t>00000000</t>
        </is>
      </c>
      <c r="O675" t="inlineStr">
        <is>
          <t>center</t>
        </is>
      </c>
      <c r="P675" t="n">
        <v/>
      </c>
      <c r="Q675" t="b">
        <v>1</v>
      </c>
      <c r="R675" t="b">
        <v>1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</row>
    <row r="676">
      <c r="A676" t="inlineStr">
        <is>
          <t>ATF fuel</t>
        </is>
      </c>
      <c r="B676" t="inlineStr">
        <is>
          <t>F60</t>
        </is>
      </c>
      <c r="C676" t="n">
        <v>60</v>
      </c>
      <c r="D676" t="n">
        <v>6</v>
      </c>
      <c r="E676" t="inlineStr">
        <is>
          <t>Output</t>
        </is>
      </c>
      <c r="F676" t="inlineStr">
        <is>
          <t>'=AVERAGE(B60:E60)</t>
        </is>
      </c>
      <c r="G676" t="n">
        <v>66745.17249999999</v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00000000</t>
        </is>
      </c>
      <c r="O676" t="inlineStr">
        <is>
          <t>center</t>
        </is>
      </c>
      <c r="P676" t="n">
        <v/>
      </c>
      <c r="R676" t="b">
        <v>1</v>
      </c>
      <c r="S676" t="inlineStr">
        <is>
          <t>G000284</t>
        </is>
      </c>
      <c r="T676" t="inlineStr">
        <is>
          <t>Vertical</t>
        </is>
      </c>
      <c r="U676" t="n">
        <v>130</v>
      </c>
      <c r="V676" t="b">
        <v>1</v>
      </c>
      <c r="W676" t="inlineStr">
        <is>
          <t>ATF fuel!F2:F131</t>
        </is>
      </c>
      <c r="X676">
        <f>AVERAGE(R[0]C[-4]:R[0]C[-1])</f>
        <v/>
      </c>
    </row>
    <row r="677">
      <c r="A677" t="inlineStr">
        <is>
          <t>ATF fuel</t>
        </is>
      </c>
      <c r="B677" t="inlineStr">
        <is>
          <t>G60</t>
        </is>
      </c>
      <c r="C677" t="n">
        <v>60</v>
      </c>
      <c r="D677" t="n">
        <v>7</v>
      </c>
      <c r="E677" t="inlineStr">
        <is>
          <t>Calculation</t>
        </is>
      </c>
      <c r="F677" t="inlineStr">
        <is>
          <t>'=G59-1</t>
        </is>
      </c>
      <c r="G677" t="n">
        <v>73</v>
      </c>
      <c r="H677" t="inlineStr"/>
      <c r="I677" t="inlineStr">
        <is>
          <t>#,##0</t>
        </is>
      </c>
      <c r="J677" t="b">
        <v>0</v>
      </c>
      <c r="K677" t="b">
        <v>0</v>
      </c>
      <c r="L677" t="n">
        <v>11</v>
      </c>
      <c r="M677" t="inlineStr">
        <is>
          <t>Values must be of type &lt;class 'str'&gt;</t>
        </is>
      </c>
      <c r="N677" t="inlineStr">
        <is>
          <t>00000000</t>
        </is>
      </c>
      <c r="O677" t="n">
        <v/>
      </c>
      <c r="P677" t="n">
        <v/>
      </c>
      <c r="R677" t="b">
        <v>1</v>
      </c>
      <c r="S677" t="inlineStr">
        <is>
          <t>G000286</t>
        </is>
      </c>
      <c r="T677" t="inlineStr">
        <is>
          <t>Vertical</t>
        </is>
      </c>
      <c r="U677" t="n">
        <v>129</v>
      </c>
      <c r="V677" t="b">
        <v>1</v>
      </c>
      <c r="W677" t="inlineStr">
        <is>
          <t>ATF fuel!G3:G131</t>
        </is>
      </c>
      <c r="X677">
        <f>R[-1]C[0]-1</f>
        <v/>
      </c>
    </row>
    <row r="678">
      <c r="A678" t="inlineStr">
        <is>
          <t>ATF fuel</t>
        </is>
      </c>
      <c r="B678" t="inlineStr">
        <is>
          <t>H60</t>
        </is>
      </c>
      <c r="C678" t="n">
        <v>60</v>
      </c>
      <c r="D678" t="n">
        <v>8</v>
      </c>
      <c r="E678" t="inlineStr">
        <is>
          <t>Output</t>
        </is>
      </c>
      <c r="F678" t="inlineStr">
        <is>
          <t>'=INDIRECT("A"&amp;G94)</t>
        </is>
      </c>
      <c r="G678" t="inlineStr">
        <is>
          <t>February 01, 2015</t>
        </is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00000000</t>
        </is>
      </c>
      <c r="O678" t="n">
        <v/>
      </c>
      <c r="P678" t="n">
        <v/>
      </c>
      <c r="R678" t="b">
        <v>1</v>
      </c>
      <c r="S678" t="inlineStr">
        <is>
          <t>G000289</t>
        </is>
      </c>
      <c r="T678" t="inlineStr">
        <is>
          <t>Vertical</t>
        </is>
      </c>
      <c r="U678" t="n">
        <v>17</v>
      </c>
      <c r="V678" t="b">
        <v>1</v>
      </c>
      <c r="W678" t="inlineStr">
        <is>
          <t>ATF fuel!H53:H69</t>
        </is>
      </c>
      <c r="X678">
        <f>INDIRECT("A"&amp;R[34]C[-1])</f>
        <v/>
      </c>
    </row>
    <row r="679">
      <c r="A679" t="inlineStr">
        <is>
          <t>ATF fuel</t>
        </is>
      </c>
      <c r="B679" t="inlineStr">
        <is>
          <t>I60</t>
        </is>
      </c>
      <c r="C679" t="n">
        <v>60</v>
      </c>
      <c r="D679" t="n">
        <v>9</v>
      </c>
      <c r="E679" t="inlineStr">
        <is>
          <t>Output</t>
        </is>
      </c>
      <c r="F679" t="inlineStr">
        <is>
          <t>'=INDIRECT("F"&amp;G94)</t>
        </is>
      </c>
      <c r="G679" t="n">
        <v>50207.86</v>
      </c>
      <c r="H679" t="inlineStr"/>
      <c r="I679" t="inlineStr">
        <is>
          <t xml:space="preserve">_ * #,##0_ ;_ * \-#,##0_ ;_ * "-"??_ ;_ @_ 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00000000</t>
        </is>
      </c>
      <c r="O679" t="n">
        <v/>
      </c>
      <c r="P679" t="n">
        <v/>
      </c>
      <c r="R679" t="b">
        <v>1</v>
      </c>
      <c r="S679" t="inlineStr">
        <is>
          <t>G000290</t>
        </is>
      </c>
      <c r="T679" t="inlineStr">
        <is>
          <t>Vertical</t>
        </is>
      </c>
      <c r="U679" t="n">
        <v>17</v>
      </c>
      <c r="V679" t="b">
        <v>1</v>
      </c>
      <c r="W679" t="inlineStr">
        <is>
          <t>ATF fuel!I53:I69</t>
        </is>
      </c>
      <c r="X679">
        <f>INDIRECT("F"&amp;R[34]C[-2])</f>
        <v/>
      </c>
    </row>
    <row r="680">
      <c r="A680" t="inlineStr">
        <is>
          <t>ATF fuel</t>
        </is>
      </c>
      <c r="B680" t="inlineStr">
        <is>
          <t>J60</t>
        </is>
      </c>
      <c r="C680" t="n">
        <v>60</v>
      </c>
      <c r="D680" t="n">
        <v>10</v>
      </c>
      <c r="E680" t="inlineStr">
        <is>
          <t>Input</t>
        </is>
      </c>
      <c r="F680" t="n">
        <v/>
      </c>
      <c r="G680" t="n">
        <v>57</v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00000000</t>
        </is>
      </c>
      <c r="O680" t="n">
        <v/>
      </c>
      <c r="P680" t="n">
        <v/>
      </c>
      <c r="R680" t="b">
        <v>1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</row>
    <row r="681">
      <c r="A681" t="inlineStr">
        <is>
          <t>ATF fuel</t>
        </is>
      </c>
      <c r="B681" t="inlineStr">
        <is>
          <t>K60</t>
        </is>
      </c>
      <c r="C681" t="n">
        <v>60</v>
      </c>
      <c r="D681" t="n">
        <v>11</v>
      </c>
      <c r="E681" t="inlineStr">
        <is>
          <t>Input</t>
        </is>
      </c>
      <c r="F681" t="n">
        <v/>
      </c>
      <c r="G681" t="n">
        <v>49.25</v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00000000</t>
        </is>
      </c>
      <c r="O681" t="n">
        <v/>
      </c>
      <c r="P681" t="n">
        <v/>
      </c>
      <c r="R681" t="b">
        <v>1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</row>
    <row r="682">
      <c r="A682" t="inlineStr">
        <is>
          <t>ATF fuel</t>
        </is>
      </c>
      <c r="B682" t="inlineStr">
        <is>
          <t>A61</t>
        </is>
      </c>
      <c r="C682" t="n">
        <v>61</v>
      </c>
      <c r="D682" t="n">
        <v>1</v>
      </c>
      <c r="E682" t="inlineStr">
        <is>
          <t>Input</t>
        </is>
      </c>
      <c r="F682" t="n">
        <v/>
      </c>
      <c r="G682" t="inlineStr">
        <is>
          <t>May 01, 2013</t>
        </is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11</v>
      </c>
      <c r="M682" t="n">
        <v/>
      </c>
      <c r="N682" t="inlineStr">
        <is>
          <t>00000000</t>
        </is>
      </c>
      <c r="O682" t="n">
        <v/>
      </c>
      <c r="P682" t="n">
        <v/>
      </c>
      <c r="Q682" t="b">
        <v>1</v>
      </c>
      <c r="R682" t="b">
        <v>1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</row>
    <row r="683">
      <c r="A683" t="inlineStr">
        <is>
          <t>ATF fuel</t>
        </is>
      </c>
      <c r="B683" t="inlineStr">
        <is>
          <t>B61</t>
        </is>
      </c>
      <c r="C683" t="n">
        <v>61</v>
      </c>
      <c r="D683" t="n">
        <v>2</v>
      </c>
      <c r="E683" t="inlineStr">
        <is>
          <t>Input</t>
        </is>
      </c>
      <c r="F683" t="n">
        <v/>
      </c>
      <c r="G683" t="n">
        <v>62649.95</v>
      </c>
      <c r="H683" t="inlineStr"/>
      <c r="I683" t="inlineStr">
        <is>
          <t>#,##0</t>
        </is>
      </c>
      <c r="J683" t="b">
        <v>0</v>
      </c>
      <c r="K683" t="b">
        <v>0</v>
      </c>
      <c r="L683" t="n">
        <v>11</v>
      </c>
      <c r="M683" t="n">
        <v/>
      </c>
      <c r="N683" t="inlineStr">
        <is>
          <t>00000000</t>
        </is>
      </c>
      <c r="O683" t="inlineStr">
        <is>
          <t>center</t>
        </is>
      </c>
      <c r="P683" t="n">
        <v/>
      </c>
      <c r="Q683" t="b">
        <v>1</v>
      </c>
      <c r="R683" t="b">
        <v>1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</row>
    <row r="684">
      <c r="A684" t="inlineStr">
        <is>
          <t>ATF fuel</t>
        </is>
      </c>
      <c r="B684" t="inlineStr">
        <is>
          <t>C61</t>
        </is>
      </c>
      <c r="C684" t="n">
        <v>61</v>
      </c>
      <c r="D684" t="n">
        <v>3</v>
      </c>
      <c r="E684" t="inlineStr">
        <is>
          <t>Input</t>
        </is>
      </c>
      <c r="F684" t="n">
        <v/>
      </c>
      <c r="G684" t="n">
        <v>72514.02</v>
      </c>
      <c r="H684" t="inlineStr"/>
      <c r="I684" t="inlineStr">
        <is>
          <t>#,##0</t>
        </is>
      </c>
      <c r="J684" t="b">
        <v>0</v>
      </c>
      <c r="K684" t="b">
        <v>0</v>
      </c>
      <c r="L684" t="n">
        <v>11</v>
      </c>
      <c r="M684" t="n">
        <v/>
      </c>
      <c r="N684" t="inlineStr">
        <is>
          <t>00000000</t>
        </is>
      </c>
      <c r="O684" t="inlineStr">
        <is>
          <t>center</t>
        </is>
      </c>
      <c r="P684" t="n">
        <v/>
      </c>
      <c r="Q684" t="b">
        <v>1</v>
      </c>
      <c r="R684" t="b">
        <v>1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</row>
    <row r="685">
      <c r="A685" t="inlineStr">
        <is>
          <t>ATF fuel</t>
        </is>
      </c>
      <c r="B685" t="inlineStr">
        <is>
          <t>D61</t>
        </is>
      </c>
      <c r="C685" t="n">
        <v>61</v>
      </c>
      <c r="D685" t="n">
        <v>4</v>
      </c>
      <c r="E685" t="inlineStr">
        <is>
          <t>Input</t>
        </is>
      </c>
      <c r="F685" t="n">
        <v/>
      </c>
      <c r="G685" t="n">
        <v>64624.69</v>
      </c>
      <c r="H685" t="inlineStr"/>
      <c r="I685" t="inlineStr">
        <is>
          <t>#,##0</t>
        </is>
      </c>
      <c r="J685" t="b">
        <v>0</v>
      </c>
      <c r="K685" t="b">
        <v>0</v>
      </c>
      <c r="L685" t="n">
        <v>11</v>
      </c>
      <c r="M685" t="n">
        <v/>
      </c>
      <c r="N685" t="inlineStr">
        <is>
          <t>00000000</t>
        </is>
      </c>
      <c r="O685" t="inlineStr">
        <is>
          <t>center</t>
        </is>
      </c>
      <c r="P685" t="n">
        <v/>
      </c>
      <c r="Q685" t="b">
        <v>1</v>
      </c>
      <c r="R685" t="b">
        <v>1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</row>
    <row r="686">
      <c r="A686" t="inlineStr">
        <is>
          <t>ATF fuel</t>
        </is>
      </c>
      <c r="B686" t="inlineStr">
        <is>
          <t>E61</t>
        </is>
      </c>
      <c r="C686" t="n">
        <v>61</v>
      </c>
      <c r="D686" t="n">
        <v>5</v>
      </c>
      <c r="E686" t="inlineStr">
        <is>
          <t>Input</t>
        </is>
      </c>
      <c r="F686" t="n">
        <v/>
      </c>
      <c r="G686" t="n">
        <v>68191.73</v>
      </c>
      <c r="H686" t="inlineStr"/>
      <c r="I686" t="inlineStr">
        <is>
          <t>#,##0</t>
        </is>
      </c>
      <c r="J686" t="b">
        <v>0</v>
      </c>
      <c r="K686" t="b">
        <v>0</v>
      </c>
      <c r="L686" t="n">
        <v>11</v>
      </c>
      <c r="M686" t="n">
        <v/>
      </c>
      <c r="N686" t="inlineStr">
        <is>
          <t>00000000</t>
        </is>
      </c>
      <c r="O686" t="inlineStr">
        <is>
          <t>center</t>
        </is>
      </c>
      <c r="P686" t="n">
        <v/>
      </c>
      <c r="Q686" t="b">
        <v>1</v>
      </c>
      <c r="R686" t="b">
        <v>1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</row>
    <row r="687">
      <c r="A687" t="inlineStr">
        <is>
          <t>ATF fuel</t>
        </is>
      </c>
      <c r="B687" t="inlineStr">
        <is>
          <t>F61</t>
        </is>
      </c>
      <c r="C687" t="n">
        <v>61</v>
      </c>
      <c r="D687" t="n">
        <v>6</v>
      </c>
      <c r="E687" t="inlineStr">
        <is>
          <t>Output</t>
        </is>
      </c>
      <c r="F687" t="inlineStr">
        <is>
          <t>'=AVERAGE(B61:E61)</t>
        </is>
      </c>
      <c r="G687" t="n">
        <v>66995.0975</v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11</v>
      </c>
      <c r="M687" t="inlineStr">
        <is>
          <t>Values must be of type &lt;class 'str'&gt;</t>
        </is>
      </c>
      <c r="N687" t="inlineStr">
        <is>
          <t>00000000</t>
        </is>
      </c>
      <c r="O687" t="inlineStr">
        <is>
          <t>center</t>
        </is>
      </c>
      <c r="P687" t="n">
        <v/>
      </c>
      <c r="R687" t="b">
        <v>1</v>
      </c>
      <c r="S687" t="inlineStr">
        <is>
          <t>G000284</t>
        </is>
      </c>
      <c r="T687" t="inlineStr">
        <is>
          <t>Vertical</t>
        </is>
      </c>
      <c r="U687" t="n">
        <v>130</v>
      </c>
      <c r="V687" t="b">
        <v>1</v>
      </c>
      <c r="W687" t="inlineStr">
        <is>
          <t>ATF fuel!F2:F131</t>
        </is>
      </c>
      <c r="X687">
        <f>AVERAGE(R[0]C[-4]:R[0]C[-1])</f>
        <v/>
      </c>
    </row>
    <row r="688">
      <c r="A688" t="inlineStr">
        <is>
          <t>ATF fuel</t>
        </is>
      </c>
      <c r="B688" t="inlineStr">
        <is>
          <t>G61</t>
        </is>
      </c>
      <c r="C688" t="n">
        <v>61</v>
      </c>
      <c r="D688" t="n">
        <v>7</v>
      </c>
      <c r="E688" t="inlineStr">
        <is>
          <t>Calculation</t>
        </is>
      </c>
      <c r="F688" t="inlineStr">
        <is>
          <t>'=G60-1</t>
        </is>
      </c>
      <c r="G688" t="n">
        <v>72</v>
      </c>
      <c r="H688" t="inlineStr"/>
      <c r="I688" t="inlineStr">
        <is>
          <t>#,##0</t>
        </is>
      </c>
      <c r="J688" t="b">
        <v>0</v>
      </c>
      <c r="K688" t="b">
        <v>0</v>
      </c>
      <c r="L688" t="n">
        <v>11</v>
      </c>
      <c r="M688" t="inlineStr">
        <is>
          <t>Values must be of type &lt;class 'str'&gt;</t>
        </is>
      </c>
      <c r="N688" t="inlineStr">
        <is>
          <t>00000000</t>
        </is>
      </c>
      <c r="O688" t="n">
        <v/>
      </c>
      <c r="P688" t="n">
        <v/>
      </c>
      <c r="R688" t="b">
        <v>1</v>
      </c>
      <c r="S688" t="inlineStr">
        <is>
          <t>G000286</t>
        </is>
      </c>
      <c r="T688" t="inlineStr">
        <is>
          <t>Vertical</t>
        </is>
      </c>
      <c r="U688" t="n">
        <v>129</v>
      </c>
      <c r="V688" t="b">
        <v>1</v>
      </c>
      <c r="W688" t="inlineStr">
        <is>
          <t>ATF fuel!G3:G131</t>
        </is>
      </c>
      <c r="X688">
        <f>R[-1]C[0]-1</f>
        <v/>
      </c>
    </row>
    <row r="689">
      <c r="A689" t="inlineStr">
        <is>
          <t>ATF fuel</t>
        </is>
      </c>
      <c r="B689" t="inlineStr">
        <is>
          <t>H61</t>
        </is>
      </c>
      <c r="C689" t="n">
        <v>61</v>
      </c>
      <c r="D689" t="n">
        <v>8</v>
      </c>
      <c r="E689" t="inlineStr">
        <is>
          <t>Output</t>
        </is>
      </c>
      <c r="F689" t="inlineStr">
        <is>
          <t>'=INDIRECT("A"&amp;G95)</t>
        </is>
      </c>
      <c r="G689" t="inlineStr">
        <is>
          <t>March 01, 2015</t>
        </is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00000000</t>
        </is>
      </c>
      <c r="O689" t="n">
        <v/>
      </c>
      <c r="P689" t="n">
        <v/>
      </c>
      <c r="R689" t="b">
        <v>1</v>
      </c>
      <c r="S689" t="inlineStr">
        <is>
          <t>G000289</t>
        </is>
      </c>
      <c r="T689" t="inlineStr">
        <is>
          <t>Vertical</t>
        </is>
      </c>
      <c r="U689" t="n">
        <v>17</v>
      </c>
      <c r="V689" t="b">
        <v>1</v>
      </c>
      <c r="W689" t="inlineStr">
        <is>
          <t>ATF fuel!H53:H69</t>
        </is>
      </c>
      <c r="X689">
        <f>INDIRECT("A"&amp;R[34]C[-1])</f>
        <v/>
      </c>
    </row>
    <row r="690">
      <c r="A690" t="inlineStr">
        <is>
          <t>ATF fuel</t>
        </is>
      </c>
      <c r="B690" t="inlineStr">
        <is>
          <t>I61</t>
        </is>
      </c>
      <c r="C690" t="n">
        <v>61</v>
      </c>
      <c r="D690" t="n">
        <v>9</v>
      </c>
      <c r="E690" t="inlineStr">
        <is>
          <t>Output</t>
        </is>
      </c>
      <c r="F690" t="inlineStr">
        <is>
          <t>'=INDIRECT("F"&amp;G95)</t>
        </is>
      </c>
      <c r="G690" t="n">
        <v>54223</v>
      </c>
      <c r="H690" t="inlineStr"/>
      <c r="I690" t="inlineStr">
        <is>
          <t xml:space="preserve">_ * #,##0_ ;_ * \-#,##0_ ;_ * "-"??_ ;_ @_ 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00000000</t>
        </is>
      </c>
      <c r="O690" t="n">
        <v/>
      </c>
      <c r="P690" t="n">
        <v/>
      </c>
      <c r="R690" t="b">
        <v>1</v>
      </c>
      <c r="S690" t="inlineStr">
        <is>
          <t>G000290</t>
        </is>
      </c>
      <c r="T690" t="inlineStr">
        <is>
          <t>Vertical</t>
        </is>
      </c>
      <c r="U690" t="n">
        <v>17</v>
      </c>
      <c r="V690" t="b">
        <v>1</v>
      </c>
      <c r="W690" t="inlineStr">
        <is>
          <t>ATF fuel!I53:I69</t>
        </is>
      </c>
      <c r="X690">
        <f>INDIRECT("F"&amp;R[34]C[-2])</f>
        <v/>
      </c>
    </row>
    <row r="691">
      <c r="A691" t="inlineStr">
        <is>
          <t>ATF fuel</t>
        </is>
      </c>
      <c r="B691" t="inlineStr">
        <is>
          <t>J61</t>
        </is>
      </c>
      <c r="C691" t="n">
        <v>61</v>
      </c>
      <c r="D691" t="n">
        <v>10</v>
      </c>
      <c r="E691" t="inlineStr">
        <is>
          <t>Input</t>
        </is>
      </c>
      <c r="F691" t="n">
        <v/>
      </c>
      <c r="G691" t="n">
        <v>59.15</v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00000000</t>
        </is>
      </c>
      <c r="O691" t="n">
        <v/>
      </c>
      <c r="P691" t="n">
        <v/>
      </c>
      <c r="R691" t="b">
        <v>1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</row>
    <row r="692">
      <c r="A692" t="inlineStr">
        <is>
          <t>ATF fuel</t>
        </is>
      </c>
      <c r="B692" t="inlineStr">
        <is>
          <t>K61</t>
        </is>
      </c>
      <c r="C692" t="n">
        <v>61</v>
      </c>
      <c r="D692" t="n">
        <v>11</v>
      </c>
      <c r="E692" t="inlineStr">
        <is>
          <t>Input</t>
        </is>
      </c>
      <c r="F692" t="n">
        <v/>
      </c>
      <c r="G692" t="n">
        <v>49.59</v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00000000</t>
        </is>
      </c>
      <c r="O692" t="n">
        <v/>
      </c>
      <c r="P692" t="n">
        <v/>
      </c>
      <c r="R692" t="b">
        <v>1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</row>
    <row r="693">
      <c r="A693" t="inlineStr">
        <is>
          <t>ATF fuel</t>
        </is>
      </c>
      <c r="B693" t="inlineStr">
        <is>
          <t>A62</t>
        </is>
      </c>
      <c r="C693" t="n">
        <v>62</v>
      </c>
      <c r="D693" t="n">
        <v>1</v>
      </c>
      <c r="E693" t="inlineStr">
        <is>
          <t>Input</t>
        </is>
      </c>
      <c r="F693" t="n">
        <v/>
      </c>
      <c r="G693" t="inlineStr">
        <is>
          <t>April 01, 2013</t>
        </is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11</v>
      </c>
      <c r="M693" t="n">
        <v/>
      </c>
      <c r="N693" t="inlineStr">
        <is>
          <t>00000000</t>
        </is>
      </c>
      <c r="O693" t="n">
        <v/>
      </c>
      <c r="P693" t="n">
        <v/>
      </c>
      <c r="Q693" t="b">
        <v>1</v>
      </c>
      <c r="R693" t="b">
        <v>1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</row>
    <row r="694">
      <c r="A694" t="inlineStr">
        <is>
          <t>ATF fuel</t>
        </is>
      </c>
      <c r="B694" t="inlineStr">
        <is>
          <t>B62</t>
        </is>
      </c>
      <c r="C694" t="n">
        <v>62</v>
      </c>
      <c r="D694" t="n">
        <v>2</v>
      </c>
      <c r="E694" t="inlineStr">
        <is>
          <t>Input</t>
        </is>
      </c>
      <c r="F694" t="n">
        <v/>
      </c>
      <c r="G694" t="n">
        <v>66195.89</v>
      </c>
      <c r="H694" t="inlineStr"/>
      <c r="I694" t="inlineStr">
        <is>
          <t>#,##0</t>
        </is>
      </c>
      <c r="J694" t="b">
        <v>0</v>
      </c>
      <c r="K694" t="b">
        <v>0</v>
      </c>
      <c r="L694" t="n">
        <v>11</v>
      </c>
      <c r="M694" t="n">
        <v/>
      </c>
      <c r="N694" t="inlineStr">
        <is>
          <t>00000000</t>
        </is>
      </c>
      <c r="O694" t="inlineStr">
        <is>
          <t>center</t>
        </is>
      </c>
      <c r="P694" t="n">
        <v/>
      </c>
      <c r="Q694" t="b">
        <v>1</v>
      </c>
      <c r="R694" t="b">
        <v>1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</row>
    <row r="695">
      <c r="A695" t="inlineStr">
        <is>
          <t>ATF fuel</t>
        </is>
      </c>
      <c r="B695" t="inlineStr">
        <is>
          <t>C62</t>
        </is>
      </c>
      <c r="C695" t="n">
        <v>62</v>
      </c>
      <c r="D695" t="n">
        <v>3</v>
      </c>
      <c r="E695" t="inlineStr">
        <is>
          <t>Input</t>
        </is>
      </c>
      <c r="F695" t="n">
        <v/>
      </c>
      <c r="G695" t="n">
        <v>76171.89999999999</v>
      </c>
      <c r="H695" t="inlineStr"/>
      <c r="I695" t="inlineStr">
        <is>
          <t>#,##0</t>
        </is>
      </c>
      <c r="J695" t="b">
        <v>0</v>
      </c>
      <c r="K695" t="b">
        <v>0</v>
      </c>
      <c r="L695" t="n">
        <v>11</v>
      </c>
      <c r="M695" t="n">
        <v/>
      </c>
      <c r="N695" t="inlineStr">
        <is>
          <t>00000000</t>
        </is>
      </c>
      <c r="O695" t="inlineStr">
        <is>
          <t>center</t>
        </is>
      </c>
      <c r="P695" t="n">
        <v/>
      </c>
      <c r="Q695" t="b">
        <v>1</v>
      </c>
      <c r="R695" t="b">
        <v>1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</row>
    <row r="696">
      <c r="A696" t="inlineStr">
        <is>
          <t>ATF fuel</t>
        </is>
      </c>
      <c r="B696" t="inlineStr">
        <is>
          <t>D62</t>
        </is>
      </c>
      <c r="C696" t="n">
        <v>62</v>
      </c>
      <c r="D696" t="n">
        <v>4</v>
      </c>
      <c r="E696" t="inlineStr">
        <is>
          <t>Input</t>
        </is>
      </c>
      <c r="F696" t="n">
        <v/>
      </c>
      <c r="G696" t="n">
        <v>68331.91</v>
      </c>
      <c r="H696" t="inlineStr"/>
      <c r="I696" t="inlineStr">
        <is>
          <t>#,##0</t>
        </is>
      </c>
      <c r="J696" t="b">
        <v>0</v>
      </c>
      <c r="K696" t="b">
        <v>0</v>
      </c>
      <c r="L696" t="n">
        <v>11</v>
      </c>
      <c r="M696" t="n">
        <v/>
      </c>
      <c r="N696" t="inlineStr">
        <is>
          <t>00000000</t>
        </is>
      </c>
      <c r="O696" t="inlineStr">
        <is>
          <t>center</t>
        </is>
      </c>
      <c r="P696" t="n">
        <v/>
      </c>
      <c r="Q696" t="b">
        <v>1</v>
      </c>
      <c r="R696" t="b">
        <v>1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</row>
    <row r="697">
      <c r="A697" t="inlineStr">
        <is>
          <t>ATF fuel</t>
        </is>
      </c>
      <c r="B697" t="inlineStr">
        <is>
          <t>E62</t>
        </is>
      </c>
      <c r="C697" t="n">
        <v>62</v>
      </c>
      <c r="D697" t="n">
        <v>5</v>
      </c>
      <c r="E697" t="inlineStr">
        <is>
          <t>Input</t>
        </is>
      </c>
      <c r="F697" t="n">
        <v/>
      </c>
      <c r="G697" t="n">
        <v>71986.32000000001</v>
      </c>
      <c r="H697" t="inlineStr"/>
      <c r="I697" t="inlineStr">
        <is>
          <t>#,##0</t>
        </is>
      </c>
      <c r="J697" t="b">
        <v>0</v>
      </c>
      <c r="K697" t="b">
        <v>0</v>
      </c>
      <c r="L697" t="n">
        <v>11</v>
      </c>
      <c r="M697" t="n">
        <v/>
      </c>
      <c r="N697" t="inlineStr">
        <is>
          <t>00000000</t>
        </is>
      </c>
      <c r="O697" t="inlineStr">
        <is>
          <t>center</t>
        </is>
      </c>
      <c r="P697" t="n">
        <v/>
      </c>
      <c r="Q697" t="b">
        <v>1</v>
      </c>
      <c r="R697" t="b">
        <v>1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</row>
    <row r="698">
      <c r="A698" t="inlineStr">
        <is>
          <t>ATF fuel</t>
        </is>
      </c>
      <c r="B698" t="inlineStr">
        <is>
          <t>F62</t>
        </is>
      </c>
      <c r="C698" t="n">
        <v>62</v>
      </c>
      <c r="D698" t="n">
        <v>6</v>
      </c>
      <c r="E698" t="inlineStr">
        <is>
          <t>Output</t>
        </is>
      </c>
      <c r="F698" t="inlineStr">
        <is>
          <t>'=AVERAGE(B62:E62)</t>
        </is>
      </c>
      <c r="G698" t="n">
        <v>70671.505</v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11</v>
      </c>
      <c r="M698" t="inlineStr">
        <is>
          <t>Values must be of type &lt;class 'str'&gt;</t>
        </is>
      </c>
      <c r="N698" t="inlineStr">
        <is>
          <t>00000000</t>
        </is>
      </c>
      <c r="O698" t="inlineStr">
        <is>
          <t>center</t>
        </is>
      </c>
      <c r="P698" t="n">
        <v/>
      </c>
      <c r="R698" t="b">
        <v>1</v>
      </c>
      <c r="S698" t="inlineStr">
        <is>
          <t>G000284</t>
        </is>
      </c>
      <c r="T698" t="inlineStr">
        <is>
          <t>Vertical</t>
        </is>
      </c>
      <c r="U698" t="n">
        <v>130</v>
      </c>
      <c r="V698" t="b">
        <v>1</v>
      </c>
      <c r="W698" t="inlineStr">
        <is>
          <t>ATF fuel!F2:F131</t>
        </is>
      </c>
      <c r="X698">
        <f>AVERAGE(R[0]C[-4]:R[0]C[-1])</f>
        <v/>
      </c>
    </row>
    <row r="699">
      <c r="A699" t="inlineStr">
        <is>
          <t>ATF fuel</t>
        </is>
      </c>
      <c r="B699" t="inlineStr">
        <is>
          <t>G62</t>
        </is>
      </c>
      <c r="C699" t="n">
        <v>62</v>
      </c>
      <c r="D699" t="n">
        <v>7</v>
      </c>
      <c r="E699" t="inlineStr">
        <is>
          <t>Calculation</t>
        </is>
      </c>
      <c r="F699" t="inlineStr">
        <is>
          <t>'=G61-1</t>
        </is>
      </c>
      <c r="G699" t="n">
        <v>71</v>
      </c>
      <c r="H699" t="inlineStr"/>
      <c r="I699" t="inlineStr">
        <is>
          <t>#,##0</t>
        </is>
      </c>
      <c r="J699" t="b">
        <v>0</v>
      </c>
      <c r="K699" t="b">
        <v>0</v>
      </c>
      <c r="L699" t="n">
        <v>11</v>
      </c>
      <c r="M699" t="inlineStr">
        <is>
          <t>Values must be of type &lt;class 'str'&gt;</t>
        </is>
      </c>
      <c r="N699" t="inlineStr">
        <is>
          <t>00000000</t>
        </is>
      </c>
      <c r="O699" t="n">
        <v/>
      </c>
      <c r="P699" t="n">
        <v/>
      </c>
      <c r="R699" t="b">
        <v>1</v>
      </c>
      <c r="S699" t="inlineStr">
        <is>
          <t>G000286</t>
        </is>
      </c>
      <c r="T699" t="inlineStr">
        <is>
          <t>Vertical</t>
        </is>
      </c>
      <c r="U699" t="n">
        <v>129</v>
      </c>
      <c r="V699" t="b">
        <v>1</v>
      </c>
      <c r="W699" t="inlineStr">
        <is>
          <t>ATF fuel!G3:G131</t>
        </is>
      </c>
      <c r="X699">
        <f>R[-1]C[0]-1</f>
        <v/>
      </c>
    </row>
    <row r="700">
      <c r="A700" t="inlineStr">
        <is>
          <t>ATF fuel</t>
        </is>
      </c>
      <c r="B700" t="inlineStr">
        <is>
          <t>H62</t>
        </is>
      </c>
      <c r="C700" t="n">
        <v>62</v>
      </c>
      <c r="D700" t="n">
        <v>8</v>
      </c>
      <c r="E700" t="inlineStr">
        <is>
          <t>Output</t>
        </is>
      </c>
      <c r="F700" t="inlineStr">
        <is>
          <t>'=INDIRECT("A"&amp;G96)</t>
        </is>
      </c>
      <c r="G700" t="inlineStr">
        <is>
          <t>April 01, 2015</t>
        </is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11</v>
      </c>
      <c r="M700" t="inlineStr">
        <is>
          <t>Values must be of type &lt;class 'str'&gt;</t>
        </is>
      </c>
      <c r="N700" t="inlineStr">
        <is>
          <t>00000000</t>
        </is>
      </c>
      <c r="O700" t="n">
        <v/>
      </c>
      <c r="P700" t="n">
        <v/>
      </c>
      <c r="R700" t="b">
        <v>1</v>
      </c>
      <c r="S700" t="inlineStr">
        <is>
          <t>G000289</t>
        </is>
      </c>
      <c r="T700" t="inlineStr">
        <is>
          <t>Vertical</t>
        </is>
      </c>
      <c r="U700" t="n">
        <v>17</v>
      </c>
      <c r="V700" t="b">
        <v>1</v>
      </c>
      <c r="W700" t="inlineStr">
        <is>
          <t>ATF fuel!H53:H69</t>
        </is>
      </c>
      <c r="X700">
        <f>INDIRECT("A"&amp;R[34]C[-1])</f>
        <v/>
      </c>
    </row>
    <row r="701">
      <c r="A701" t="inlineStr">
        <is>
          <t>ATF fuel</t>
        </is>
      </c>
      <c r="B701" t="inlineStr">
        <is>
          <t>I62</t>
        </is>
      </c>
      <c r="C701" t="n">
        <v>62</v>
      </c>
      <c r="D701" t="n">
        <v>9</v>
      </c>
      <c r="E701" t="inlineStr">
        <is>
          <t>Output</t>
        </is>
      </c>
      <c r="F701" t="inlineStr">
        <is>
          <t>'=INDIRECT("F"&amp;G96)</t>
        </is>
      </c>
      <c r="G701" t="n">
        <v>53280.5</v>
      </c>
      <c r="H701" t="inlineStr"/>
      <c r="I701" t="inlineStr">
        <is>
          <t xml:space="preserve">_ * #,##0_ ;_ * \-#,##0_ ;_ * "-"??_ ;_ @_ 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00000000</t>
        </is>
      </c>
      <c r="O701" t="n">
        <v/>
      </c>
      <c r="P701" t="n">
        <v/>
      </c>
      <c r="R701" t="b">
        <v>1</v>
      </c>
      <c r="S701" t="inlineStr">
        <is>
          <t>G000290</t>
        </is>
      </c>
      <c r="T701" t="inlineStr">
        <is>
          <t>Vertical</t>
        </is>
      </c>
      <c r="U701" t="n">
        <v>17</v>
      </c>
      <c r="V701" t="b">
        <v>1</v>
      </c>
      <c r="W701" t="inlineStr">
        <is>
          <t>ATF fuel!I53:I69</t>
        </is>
      </c>
      <c r="X701">
        <f>INDIRECT("F"&amp;R[34]C[-2])</f>
        <v/>
      </c>
    </row>
    <row r="702">
      <c r="A702" t="inlineStr">
        <is>
          <t>ATF fuel</t>
        </is>
      </c>
      <c r="B702" t="inlineStr">
        <is>
          <t>J62</t>
        </is>
      </c>
      <c r="C702" t="n">
        <v>62</v>
      </c>
      <c r="D702" t="n">
        <v>10</v>
      </c>
      <c r="E702" t="inlineStr">
        <is>
          <t>Input</t>
        </is>
      </c>
      <c r="F702" t="n">
        <v/>
      </c>
      <c r="G702" t="n">
        <v>57.55</v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00000000</t>
        </is>
      </c>
      <c r="O702" t="n">
        <v/>
      </c>
      <c r="P702" t="n">
        <v/>
      </c>
      <c r="R702" t="b">
        <v>1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</row>
    <row r="703">
      <c r="A703" t="inlineStr">
        <is>
          <t>ATF fuel</t>
        </is>
      </c>
      <c r="B703" t="inlineStr">
        <is>
          <t>K62</t>
        </is>
      </c>
      <c r="C703" t="n">
        <v>62</v>
      </c>
      <c r="D703" t="n">
        <v>11</v>
      </c>
      <c r="E703" t="inlineStr">
        <is>
          <t>Input</t>
        </is>
      </c>
      <c r="F703" t="n">
        <v/>
      </c>
      <c r="G703" t="n">
        <v>50.12</v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00000000</t>
        </is>
      </c>
      <c r="O703" t="n">
        <v/>
      </c>
      <c r="P703" t="n">
        <v/>
      </c>
      <c r="R703" t="b">
        <v>1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</row>
    <row r="704">
      <c r="A704" t="inlineStr">
        <is>
          <t>ATF fuel</t>
        </is>
      </c>
      <c r="B704" t="inlineStr">
        <is>
          <t>A63</t>
        </is>
      </c>
      <c r="C704" t="n">
        <v>63</v>
      </c>
      <c r="D704" t="n">
        <v>1</v>
      </c>
      <c r="E704" t="inlineStr">
        <is>
          <t>Input</t>
        </is>
      </c>
      <c r="F704" t="n">
        <v/>
      </c>
      <c r="G704" t="inlineStr">
        <is>
          <t>March 01, 2013</t>
        </is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11</v>
      </c>
      <c r="M704" t="inlineStr">
        <is>
          <t>Values must be of type &lt;class 'str'&gt;</t>
        </is>
      </c>
      <c r="N704" t="inlineStr">
        <is>
          <t>00000000</t>
        </is>
      </c>
      <c r="O704" t="n">
        <v/>
      </c>
      <c r="P704" t="n">
        <v/>
      </c>
      <c r="R704" t="b">
        <v>1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</row>
    <row r="705">
      <c r="A705" t="inlineStr">
        <is>
          <t>ATF fuel</t>
        </is>
      </c>
      <c r="B705" t="inlineStr">
        <is>
          <t>B63</t>
        </is>
      </c>
      <c r="C705" t="n">
        <v>63</v>
      </c>
      <c r="D705" t="n">
        <v>2</v>
      </c>
      <c r="E705" t="inlineStr">
        <is>
          <t>Input</t>
        </is>
      </c>
      <c r="F705" t="n">
        <v/>
      </c>
      <c r="G705" t="n">
        <v>70080.87</v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11</v>
      </c>
      <c r="M705" t="inlineStr">
        <is>
          <t>Values must be of type &lt;class 'str'&gt;</t>
        </is>
      </c>
      <c r="N705" t="inlineStr">
        <is>
          <t>00000000</t>
        </is>
      </c>
      <c r="O705" t="inlineStr">
        <is>
          <t>center</t>
        </is>
      </c>
      <c r="P705" t="n">
        <v/>
      </c>
      <c r="R705" t="b">
        <v>1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</row>
    <row r="706">
      <c r="A706" t="inlineStr">
        <is>
          <t>ATF fuel</t>
        </is>
      </c>
      <c r="B706" t="inlineStr">
        <is>
          <t>C63</t>
        </is>
      </c>
      <c r="C706" t="n">
        <v>63</v>
      </c>
      <c r="D706" t="n">
        <v>3</v>
      </c>
      <c r="E706" t="inlineStr">
        <is>
          <t>Input</t>
        </is>
      </c>
      <c r="F706" t="n">
        <v/>
      </c>
      <c r="G706" t="n">
        <v>79238.07000000001</v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11</v>
      </c>
      <c r="M706" t="inlineStr">
        <is>
          <t>Values must be of type &lt;class 'str'&gt;</t>
        </is>
      </c>
      <c r="N706" t="inlineStr">
        <is>
          <t>00000000</t>
        </is>
      </c>
      <c r="O706" t="inlineStr">
        <is>
          <t>center</t>
        </is>
      </c>
      <c r="P706" t="n">
        <v/>
      </c>
      <c r="R706" t="b">
        <v>1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</row>
    <row r="707">
      <c r="A707" t="inlineStr">
        <is>
          <t>ATF fuel</t>
        </is>
      </c>
      <c r="B707" t="inlineStr">
        <is>
          <t>D63</t>
        </is>
      </c>
      <c r="C707" t="n">
        <v>63</v>
      </c>
      <c r="D707" t="n">
        <v>4</v>
      </c>
      <c r="E707" t="inlineStr">
        <is>
          <t>Input</t>
        </is>
      </c>
      <c r="F707" t="n">
        <v/>
      </c>
      <c r="G707" t="n">
        <v>72451.8</v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11</v>
      </c>
      <c r="M707" t="inlineStr">
        <is>
          <t>Values must be of type &lt;class 'str'&gt;</t>
        </is>
      </c>
      <c r="N707" t="inlineStr">
        <is>
          <t>00000000</t>
        </is>
      </c>
      <c r="O707" t="inlineStr">
        <is>
          <t>center</t>
        </is>
      </c>
      <c r="P707" t="n">
        <v/>
      </c>
      <c r="R707" t="b">
        <v>1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</row>
    <row r="708">
      <c r="A708" t="inlineStr">
        <is>
          <t>ATF fuel</t>
        </is>
      </c>
      <c r="B708" t="inlineStr">
        <is>
          <t>E63</t>
        </is>
      </c>
      <c r="C708" t="n">
        <v>63</v>
      </c>
      <c r="D708" t="n">
        <v>5</v>
      </c>
      <c r="E708" t="inlineStr">
        <is>
          <t>Input</t>
        </is>
      </c>
      <c r="F708" t="n">
        <v/>
      </c>
      <c r="G708" t="n">
        <v>76239.45</v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11</v>
      </c>
      <c r="M708" t="inlineStr">
        <is>
          <t>Values must be of type &lt;class 'str'&gt;</t>
        </is>
      </c>
      <c r="N708" t="inlineStr">
        <is>
          <t>00000000</t>
        </is>
      </c>
      <c r="O708" t="inlineStr">
        <is>
          <t>center</t>
        </is>
      </c>
      <c r="P708" t="n">
        <v/>
      </c>
      <c r="R708" t="b">
        <v>1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</row>
    <row r="709">
      <c r="A709" t="inlineStr">
        <is>
          <t>ATF fuel</t>
        </is>
      </c>
      <c r="B709" t="inlineStr">
        <is>
          <t>F63</t>
        </is>
      </c>
      <c r="C709" t="n">
        <v>63</v>
      </c>
      <c r="D709" t="n">
        <v>6</v>
      </c>
      <c r="E709" t="inlineStr">
        <is>
          <t>Output</t>
        </is>
      </c>
      <c r="F709" t="inlineStr">
        <is>
          <t>'=AVERAGE(B63:E63)</t>
        </is>
      </c>
      <c r="G709" t="n">
        <v>74502.5475</v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11</v>
      </c>
      <c r="M709" t="inlineStr">
        <is>
          <t>Values must be of type &lt;class 'str'&gt;</t>
        </is>
      </c>
      <c r="N709" t="inlineStr">
        <is>
          <t>00000000</t>
        </is>
      </c>
      <c r="O709" t="inlineStr">
        <is>
          <t>center</t>
        </is>
      </c>
      <c r="P709" t="n">
        <v/>
      </c>
      <c r="R709" t="b">
        <v>1</v>
      </c>
      <c r="S709" t="inlineStr">
        <is>
          <t>G000284</t>
        </is>
      </c>
      <c r="T709" t="inlineStr">
        <is>
          <t>Vertical</t>
        </is>
      </c>
      <c r="U709" t="n">
        <v>130</v>
      </c>
      <c r="V709" t="b">
        <v>1</v>
      </c>
      <c r="W709" t="inlineStr">
        <is>
          <t>ATF fuel!F2:F131</t>
        </is>
      </c>
      <c r="X709">
        <f>AVERAGE(R[0]C[-4]:R[0]C[-1])</f>
        <v/>
      </c>
    </row>
    <row r="710">
      <c r="A710" t="inlineStr">
        <is>
          <t>ATF fuel</t>
        </is>
      </c>
      <c r="B710" t="inlineStr">
        <is>
          <t>G63</t>
        </is>
      </c>
      <c r="C710" t="n">
        <v>63</v>
      </c>
      <c r="D710" t="n">
        <v>7</v>
      </c>
      <c r="E710" t="inlineStr">
        <is>
          <t>Calculation</t>
        </is>
      </c>
      <c r="F710" t="inlineStr">
        <is>
          <t>'=G62-1</t>
        </is>
      </c>
      <c r="G710" t="n">
        <v>70</v>
      </c>
      <c r="H710" t="inlineStr"/>
      <c r="I710" t="inlineStr">
        <is>
          <t>#,##0</t>
        </is>
      </c>
      <c r="J710" t="b">
        <v>0</v>
      </c>
      <c r="K710" t="b">
        <v>0</v>
      </c>
      <c r="L710" t="n">
        <v>11</v>
      </c>
      <c r="M710" t="inlineStr">
        <is>
          <t>Values must be of type &lt;class 'str'&gt;</t>
        </is>
      </c>
      <c r="N710" t="inlineStr">
        <is>
          <t>00000000</t>
        </is>
      </c>
      <c r="O710" t="n">
        <v/>
      </c>
      <c r="P710" t="n">
        <v/>
      </c>
      <c r="R710" t="b">
        <v>1</v>
      </c>
      <c r="S710" t="inlineStr">
        <is>
          <t>G000286</t>
        </is>
      </c>
      <c r="T710" t="inlineStr">
        <is>
          <t>Vertical</t>
        </is>
      </c>
      <c r="U710" t="n">
        <v>129</v>
      </c>
      <c r="V710" t="b">
        <v>1</v>
      </c>
      <c r="W710" t="inlineStr">
        <is>
          <t>ATF fuel!G3:G131</t>
        </is>
      </c>
      <c r="X710">
        <f>R[-1]C[0]-1</f>
        <v/>
      </c>
    </row>
    <row r="711">
      <c r="A711" t="inlineStr">
        <is>
          <t>ATF fuel</t>
        </is>
      </c>
      <c r="B711" t="inlineStr">
        <is>
          <t>H63</t>
        </is>
      </c>
      <c r="C711" t="n">
        <v>63</v>
      </c>
      <c r="D711" t="n">
        <v>8</v>
      </c>
      <c r="E711" t="inlineStr">
        <is>
          <t>Output</t>
        </is>
      </c>
      <c r="F711" t="inlineStr">
        <is>
          <t>'=INDIRECT("A"&amp;G97)</t>
        </is>
      </c>
      <c r="G711" t="inlineStr">
        <is>
          <t>May 01, 2015</t>
        </is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11</v>
      </c>
      <c r="M711" t="inlineStr">
        <is>
          <t>Values must be of type &lt;class 'str'&gt;</t>
        </is>
      </c>
      <c r="N711" t="inlineStr">
        <is>
          <t>00000000</t>
        </is>
      </c>
      <c r="O711" t="n">
        <v/>
      </c>
      <c r="P711" t="n">
        <v/>
      </c>
      <c r="R711" t="b">
        <v>1</v>
      </c>
      <c r="S711" t="inlineStr">
        <is>
          <t>G000289</t>
        </is>
      </c>
      <c r="T711" t="inlineStr">
        <is>
          <t>Vertical</t>
        </is>
      </c>
      <c r="U711" t="n">
        <v>17</v>
      </c>
      <c r="V711" t="b">
        <v>1</v>
      </c>
      <c r="W711" t="inlineStr">
        <is>
          <t>ATF fuel!H53:H69</t>
        </is>
      </c>
      <c r="X711">
        <f>INDIRECT("A"&amp;R[34]C[-1])</f>
        <v/>
      </c>
    </row>
    <row r="712">
      <c r="A712" t="inlineStr">
        <is>
          <t>ATF fuel</t>
        </is>
      </c>
      <c r="B712" t="inlineStr">
        <is>
          <t>I63</t>
        </is>
      </c>
      <c r="C712" t="n">
        <v>63</v>
      </c>
      <c r="D712" t="n">
        <v>9</v>
      </c>
      <c r="E712" t="inlineStr">
        <is>
          <t>Output</t>
        </is>
      </c>
      <c r="F712" t="inlineStr">
        <is>
          <t>'=INDIRECT("F"&amp;G97)</t>
        </is>
      </c>
      <c r="G712" t="n">
        <v>53589.1825</v>
      </c>
      <c r="H712" t="inlineStr"/>
      <c r="I712" t="inlineStr">
        <is>
          <t xml:space="preserve">_ * #,##0_ ;_ * \-#,##0_ ;_ * "-"??_ ;_ @_ </t>
        </is>
      </c>
      <c r="J712" t="b">
        <v>0</v>
      </c>
      <c r="K712" t="b">
        <v>0</v>
      </c>
      <c r="L712" t="n">
        <v>11</v>
      </c>
      <c r="M712" t="inlineStr">
        <is>
          <t>Values must be of type &lt;class 'str'&gt;</t>
        </is>
      </c>
      <c r="N712" t="inlineStr">
        <is>
          <t>00000000</t>
        </is>
      </c>
      <c r="O712" t="n">
        <v/>
      </c>
      <c r="P712" t="n">
        <v/>
      </c>
      <c r="R712" t="b">
        <v>1</v>
      </c>
      <c r="S712" t="inlineStr">
        <is>
          <t>G000290</t>
        </is>
      </c>
      <c r="T712" t="inlineStr">
        <is>
          <t>Vertical</t>
        </is>
      </c>
      <c r="U712" t="n">
        <v>17</v>
      </c>
      <c r="V712" t="b">
        <v>1</v>
      </c>
      <c r="W712" t="inlineStr">
        <is>
          <t>ATF fuel!I53:I69</t>
        </is>
      </c>
      <c r="X712">
        <f>INDIRECT("F"&amp;R[34]C[-2])</f>
        <v/>
      </c>
    </row>
    <row r="713">
      <c r="A713" t="inlineStr">
        <is>
          <t>ATF fuel</t>
        </is>
      </c>
      <c r="B713" t="inlineStr">
        <is>
          <t>J63</t>
        </is>
      </c>
      <c r="C713" t="n">
        <v>63</v>
      </c>
      <c r="D713" t="n">
        <v>10</v>
      </c>
      <c r="E713" t="inlineStr">
        <is>
          <t>Input</t>
        </is>
      </c>
      <c r="F713" t="n">
        <v/>
      </c>
      <c r="G713" t="n">
        <v>64.93000000000001</v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11</v>
      </c>
      <c r="M713" t="inlineStr">
        <is>
          <t>Values must be of type &lt;class 'str'&gt;</t>
        </is>
      </c>
      <c r="N713" t="inlineStr">
        <is>
          <t>00000000</t>
        </is>
      </c>
      <c r="O713" t="n">
        <v/>
      </c>
      <c r="P713" t="n">
        <v/>
      </c>
      <c r="R713" t="b">
        <v>1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</row>
    <row r="714">
      <c r="A714" t="inlineStr">
        <is>
          <t>ATF fuel</t>
        </is>
      </c>
      <c r="B714" t="inlineStr">
        <is>
          <t>K63</t>
        </is>
      </c>
      <c r="C714" t="n">
        <v>63</v>
      </c>
      <c r="D714" t="n">
        <v>11</v>
      </c>
      <c r="E714" t="inlineStr">
        <is>
          <t>Input</t>
        </is>
      </c>
      <c r="F714" t="n">
        <v/>
      </c>
      <c r="G714" t="n">
        <v>59.1</v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11</v>
      </c>
      <c r="M714" t="inlineStr">
        <is>
          <t>Values must be of type &lt;class 'str'&gt;</t>
        </is>
      </c>
      <c r="N714" t="inlineStr">
        <is>
          <t>00000000</t>
        </is>
      </c>
      <c r="O714" t="n">
        <v/>
      </c>
      <c r="P714" t="n">
        <v/>
      </c>
      <c r="R714" t="b">
        <v>1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</row>
    <row r="715">
      <c r="A715" t="inlineStr">
        <is>
          <t>ATF fuel</t>
        </is>
      </c>
      <c r="B715" t="inlineStr">
        <is>
          <t>A64</t>
        </is>
      </c>
      <c r="C715" t="n">
        <v>64</v>
      </c>
      <c r="D715" t="n">
        <v>1</v>
      </c>
      <c r="E715" t="inlineStr">
        <is>
          <t>Input</t>
        </is>
      </c>
      <c r="F715" t="n">
        <v/>
      </c>
      <c r="G715" t="inlineStr">
        <is>
          <t>February 01, 2013</t>
        </is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11</v>
      </c>
      <c r="M715" t="inlineStr">
        <is>
          <t>Values must be of type &lt;class 'str'&gt;</t>
        </is>
      </c>
      <c r="N715" t="inlineStr">
        <is>
          <t>00000000</t>
        </is>
      </c>
      <c r="O715" t="n">
        <v/>
      </c>
      <c r="P715" t="n">
        <v/>
      </c>
      <c r="R715" t="b">
        <v>1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</row>
    <row r="716">
      <c r="A716" t="inlineStr">
        <is>
          <t>ATF fuel</t>
        </is>
      </c>
      <c r="B716" t="inlineStr">
        <is>
          <t>B64</t>
        </is>
      </c>
      <c r="C716" t="n">
        <v>64</v>
      </c>
      <c r="D716" t="n">
        <v>2</v>
      </c>
      <c r="E716" t="inlineStr">
        <is>
          <t>Input</t>
        </is>
      </c>
      <c r="F716" t="n">
        <v/>
      </c>
      <c r="G716" t="n">
        <v>67561.03999999999</v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11</v>
      </c>
      <c r="M716" t="inlineStr">
        <is>
          <t>Values must be of type &lt;class 'str'&gt;</t>
        </is>
      </c>
      <c r="N716" t="inlineStr">
        <is>
          <t>00000000</t>
        </is>
      </c>
      <c r="O716" t="inlineStr">
        <is>
          <t>center</t>
        </is>
      </c>
      <c r="P716" t="n">
        <v/>
      </c>
      <c r="R716" t="b">
        <v>1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</row>
    <row r="717">
      <c r="A717" t="inlineStr">
        <is>
          <t>ATF fuel</t>
        </is>
      </c>
      <c r="B717" t="inlineStr">
        <is>
          <t>C64</t>
        </is>
      </c>
      <c r="C717" t="n">
        <v>64</v>
      </c>
      <c r="D717" t="n">
        <v>3</v>
      </c>
      <c r="E717" t="inlineStr">
        <is>
          <t>Input</t>
        </is>
      </c>
      <c r="F717" t="n">
        <v/>
      </c>
      <c r="G717" t="n">
        <v>76586.2</v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11</v>
      </c>
      <c r="M717" t="inlineStr">
        <is>
          <t>Values must be of type &lt;class 'str'&gt;</t>
        </is>
      </c>
      <c r="N717" t="inlineStr">
        <is>
          <t>00000000</t>
        </is>
      </c>
      <c r="O717" t="inlineStr">
        <is>
          <t>center</t>
        </is>
      </c>
      <c r="P717" t="n">
        <v/>
      </c>
      <c r="R717" t="b">
        <v>1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</row>
    <row r="718">
      <c r="A718" t="inlineStr">
        <is>
          <t>ATF fuel</t>
        </is>
      </c>
      <c r="B718" t="inlineStr">
        <is>
          <t>D64</t>
        </is>
      </c>
      <c r="C718" t="n">
        <v>64</v>
      </c>
      <c r="D718" t="n">
        <v>4</v>
      </c>
      <c r="E718" t="inlineStr">
        <is>
          <t>Input</t>
        </is>
      </c>
      <c r="F718" t="n">
        <v/>
      </c>
      <c r="G718" t="n">
        <v>69826.98</v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11</v>
      </c>
      <c r="M718" t="inlineStr">
        <is>
          <t>Values must be of type &lt;class 'str'&gt;</t>
        </is>
      </c>
      <c r="N718" t="inlineStr">
        <is>
          <t>00000000</t>
        </is>
      </c>
      <c r="O718" t="inlineStr">
        <is>
          <t>center</t>
        </is>
      </c>
      <c r="P718" t="n">
        <v/>
      </c>
      <c r="R718" t="b">
        <v>1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</row>
    <row r="719">
      <c r="A719" t="inlineStr">
        <is>
          <t>ATF fuel</t>
        </is>
      </c>
      <c r="B719" t="inlineStr">
        <is>
          <t>E64</t>
        </is>
      </c>
      <c r="C719" t="n">
        <v>64</v>
      </c>
      <c r="D719" t="n">
        <v>5</v>
      </c>
      <c r="E719" t="inlineStr">
        <is>
          <t>Input</t>
        </is>
      </c>
      <c r="F719" t="n">
        <v/>
      </c>
      <c r="G719" t="n">
        <v>73516.67</v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11</v>
      </c>
      <c r="M719" t="inlineStr">
        <is>
          <t>Values must be of type &lt;class 'str'&gt;</t>
        </is>
      </c>
      <c r="N719" t="inlineStr">
        <is>
          <t>00000000</t>
        </is>
      </c>
      <c r="O719" t="inlineStr">
        <is>
          <t>center</t>
        </is>
      </c>
      <c r="P719" t="n">
        <v/>
      </c>
      <c r="R719" t="b">
        <v>1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</row>
    <row r="720">
      <c r="A720" t="inlineStr">
        <is>
          <t>ATF fuel</t>
        </is>
      </c>
      <c r="B720" t="inlineStr">
        <is>
          <t>F64</t>
        </is>
      </c>
      <c r="C720" t="n">
        <v>64</v>
      </c>
      <c r="D720" t="n">
        <v>6</v>
      </c>
      <c r="E720" t="inlineStr">
        <is>
          <t>Output</t>
        </is>
      </c>
      <c r="F720" t="inlineStr">
        <is>
          <t>'=AVERAGE(B64:E64)</t>
        </is>
      </c>
      <c r="G720" t="n">
        <v>71872.72249999999</v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00000000</t>
        </is>
      </c>
      <c r="O720" t="inlineStr">
        <is>
          <t>center</t>
        </is>
      </c>
      <c r="P720" t="n">
        <v/>
      </c>
      <c r="R720" t="b">
        <v>1</v>
      </c>
      <c r="S720" t="inlineStr">
        <is>
          <t>G000284</t>
        </is>
      </c>
      <c r="T720" t="inlineStr">
        <is>
          <t>Vertical</t>
        </is>
      </c>
      <c r="U720" t="n">
        <v>130</v>
      </c>
      <c r="V720" t="b">
        <v>1</v>
      </c>
      <c r="W720" t="inlineStr">
        <is>
          <t>ATF fuel!F2:F131</t>
        </is>
      </c>
      <c r="X720">
        <f>AVERAGE(R[0]C[-4]:R[0]C[-1])</f>
        <v/>
      </c>
    </row>
    <row r="721">
      <c r="A721" t="inlineStr">
        <is>
          <t>ATF fuel</t>
        </is>
      </c>
      <c r="B721" t="inlineStr">
        <is>
          <t>G64</t>
        </is>
      </c>
      <c r="C721" t="n">
        <v>64</v>
      </c>
      <c r="D721" t="n">
        <v>7</v>
      </c>
      <c r="E721" t="inlineStr">
        <is>
          <t>Calculation</t>
        </is>
      </c>
      <c r="F721" t="inlineStr">
        <is>
          <t>'=G63-1</t>
        </is>
      </c>
      <c r="G721" t="n">
        <v>69</v>
      </c>
      <c r="H721" t="inlineStr"/>
      <c r="I721" t="inlineStr">
        <is>
          <t>#,##0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00000000</t>
        </is>
      </c>
      <c r="O721" t="n">
        <v/>
      </c>
      <c r="P721" t="n">
        <v/>
      </c>
      <c r="R721" t="b">
        <v>1</v>
      </c>
      <c r="S721" t="inlineStr">
        <is>
          <t>G000286</t>
        </is>
      </c>
      <c r="T721" t="inlineStr">
        <is>
          <t>Vertical</t>
        </is>
      </c>
      <c r="U721" t="n">
        <v>129</v>
      </c>
      <c r="V721" t="b">
        <v>1</v>
      </c>
      <c r="W721" t="inlineStr">
        <is>
          <t>ATF fuel!G3:G131</t>
        </is>
      </c>
      <c r="X721">
        <f>R[-1]C[0]-1</f>
        <v/>
      </c>
    </row>
    <row r="722">
      <c r="A722" t="inlineStr">
        <is>
          <t>ATF fuel</t>
        </is>
      </c>
      <c r="B722" t="inlineStr">
        <is>
          <t>H64</t>
        </is>
      </c>
      <c r="C722" t="n">
        <v>64</v>
      </c>
      <c r="D722" t="n">
        <v>8</v>
      </c>
      <c r="E722" t="inlineStr">
        <is>
          <t>Output</t>
        </is>
      </c>
      <c r="F722" t="inlineStr">
        <is>
          <t>'=INDIRECT("A"&amp;G98)</t>
        </is>
      </c>
      <c r="G722" t="inlineStr">
        <is>
          <t>June 01, 2015</t>
        </is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11</v>
      </c>
      <c r="M722" t="inlineStr">
        <is>
          <t>Values must be of type &lt;class 'str'&gt;</t>
        </is>
      </c>
      <c r="N722" t="inlineStr">
        <is>
          <t>00000000</t>
        </is>
      </c>
      <c r="O722" t="n">
        <v/>
      </c>
      <c r="P722" t="n">
        <v/>
      </c>
      <c r="R722" t="b">
        <v>1</v>
      </c>
      <c r="S722" t="inlineStr">
        <is>
          <t>G000289</t>
        </is>
      </c>
      <c r="T722" t="inlineStr">
        <is>
          <t>Vertical</t>
        </is>
      </c>
      <c r="U722" t="n">
        <v>17</v>
      </c>
      <c r="V722" t="b">
        <v>1</v>
      </c>
      <c r="W722" t="inlineStr">
        <is>
          <t>ATF fuel!H53:H69</t>
        </is>
      </c>
      <c r="X722">
        <f>INDIRECT("A"&amp;R[34]C[-1])</f>
        <v/>
      </c>
    </row>
    <row r="723">
      <c r="A723" t="inlineStr">
        <is>
          <t>ATF fuel</t>
        </is>
      </c>
      <c r="B723" t="inlineStr">
        <is>
          <t>I64</t>
        </is>
      </c>
      <c r="C723" t="n">
        <v>64</v>
      </c>
      <c r="D723" t="n">
        <v>9</v>
      </c>
      <c r="E723" t="inlineStr">
        <is>
          <t>Output</t>
        </is>
      </c>
      <c r="F723" t="inlineStr">
        <is>
          <t>'=INDIRECT("F"&amp;G98)</t>
        </is>
      </c>
      <c r="G723" t="n">
        <v>57433.275</v>
      </c>
      <c r="H723" t="inlineStr"/>
      <c r="I723" t="inlineStr">
        <is>
          <t xml:space="preserve">_ * #,##0_ ;_ * \-#,##0_ ;_ * "-"??_ ;_ @_ </t>
        </is>
      </c>
      <c r="J723" t="b">
        <v>0</v>
      </c>
      <c r="K723" t="b">
        <v>0</v>
      </c>
      <c r="L723" t="n">
        <v>11</v>
      </c>
      <c r="M723" t="inlineStr">
        <is>
          <t>Values must be of type &lt;class 'str'&gt;</t>
        </is>
      </c>
      <c r="N723" t="inlineStr">
        <is>
          <t>00000000</t>
        </is>
      </c>
      <c r="O723" t="n">
        <v/>
      </c>
      <c r="P723" t="n">
        <v/>
      </c>
      <c r="R723" t="b">
        <v>1</v>
      </c>
      <c r="S723" t="inlineStr">
        <is>
          <t>G000290</t>
        </is>
      </c>
      <c r="T723" t="inlineStr">
        <is>
          <t>Vertical</t>
        </is>
      </c>
      <c r="U723" t="n">
        <v>17</v>
      </c>
      <c r="V723" t="b">
        <v>1</v>
      </c>
      <c r="W723" t="inlineStr">
        <is>
          <t>ATF fuel!I53:I69</t>
        </is>
      </c>
      <c r="X723">
        <f>INDIRECT("F"&amp;R[34]C[-2])</f>
        <v/>
      </c>
    </row>
    <row r="724">
      <c r="A724" t="inlineStr">
        <is>
          <t>ATF fuel</t>
        </is>
      </c>
      <c r="B724" t="inlineStr">
        <is>
          <t>J64</t>
        </is>
      </c>
      <c r="C724" t="n">
        <v>64</v>
      </c>
      <c r="D724" t="n">
        <v>10</v>
      </c>
      <c r="E724" t="inlineStr">
        <is>
          <t>Input</t>
        </is>
      </c>
      <c r="F724" t="n">
        <v/>
      </c>
      <c r="G724" t="n">
        <v>60.36</v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11</v>
      </c>
      <c r="M724" t="inlineStr">
        <is>
          <t>Values must be of type &lt;class 'str'&gt;</t>
        </is>
      </c>
      <c r="N724" t="inlineStr">
        <is>
          <t>00000000</t>
        </is>
      </c>
      <c r="O724" t="n">
        <v/>
      </c>
      <c r="P724" t="n">
        <v/>
      </c>
      <c r="R724" t="b">
        <v>1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</row>
    <row r="725">
      <c r="A725" t="inlineStr">
        <is>
          <t>ATF fuel</t>
        </is>
      </c>
      <c r="B725" t="inlineStr">
        <is>
          <t>K64</t>
        </is>
      </c>
      <c r="C725" t="n">
        <v>64</v>
      </c>
      <c r="D725" t="n">
        <v>11</v>
      </c>
      <c r="E725" t="inlineStr">
        <is>
          <t>Input</t>
        </is>
      </c>
      <c r="F725" t="n">
        <v/>
      </c>
      <c r="G725" t="n">
        <v>60.24</v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11</v>
      </c>
      <c r="M725" t="inlineStr">
        <is>
          <t>Values must be of type &lt;class 'str'&gt;</t>
        </is>
      </c>
      <c r="N725" t="inlineStr">
        <is>
          <t>00000000</t>
        </is>
      </c>
      <c r="O725" t="n">
        <v/>
      </c>
      <c r="P725" t="n">
        <v/>
      </c>
      <c r="R725" t="b">
        <v>1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</row>
    <row r="726">
      <c r="A726" t="inlineStr">
        <is>
          <t>ATF fuel</t>
        </is>
      </c>
      <c r="B726" t="inlineStr">
        <is>
          <t>A65</t>
        </is>
      </c>
      <c r="C726" t="n">
        <v>65</v>
      </c>
      <c r="D726" t="n">
        <v>1</v>
      </c>
      <c r="E726" t="inlineStr">
        <is>
          <t>Input</t>
        </is>
      </c>
      <c r="F726" t="n">
        <v/>
      </c>
      <c r="G726" t="inlineStr">
        <is>
          <t>January 01, 2013</t>
        </is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11</v>
      </c>
      <c r="M726" t="inlineStr">
        <is>
          <t>Values must be of type &lt;class 'str'&gt;</t>
        </is>
      </c>
      <c r="N726" t="inlineStr">
        <is>
          <t>00000000</t>
        </is>
      </c>
      <c r="O726" t="n">
        <v/>
      </c>
      <c r="P726" t="n">
        <v/>
      </c>
      <c r="R726" t="b">
        <v>1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</row>
    <row r="727">
      <c r="A727" t="inlineStr">
        <is>
          <t>ATF fuel</t>
        </is>
      </c>
      <c r="B727" t="inlineStr">
        <is>
          <t>B65</t>
        </is>
      </c>
      <c r="C727" t="n">
        <v>65</v>
      </c>
      <c r="D727" t="n">
        <v>2</v>
      </c>
      <c r="E727" t="inlineStr">
        <is>
          <t>Input</t>
        </is>
      </c>
      <c r="F727" t="n">
        <v/>
      </c>
      <c r="G727" t="n">
        <v>66236.2</v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11</v>
      </c>
      <c r="M727" t="inlineStr">
        <is>
          <t>Values must be of type &lt;class 'str'&gt;</t>
        </is>
      </c>
      <c r="N727" t="inlineStr">
        <is>
          <t>00000000</t>
        </is>
      </c>
      <c r="O727" t="inlineStr">
        <is>
          <t>center</t>
        </is>
      </c>
      <c r="P727" t="n">
        <v/>
      </c>
      <c r="R727" t="b">
        <v>1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</row>
    <row r="728">
      <c r="A728" t="inlineStr">
        <is>
          <t>ATF fuel</t>
        </is>
      </c>
      <c r="B728" t="inlineStr">
        <is>
          <t>C65</t>
        </is>
      </c>
      <c r="C728" t="n">
        <v>65</v>
      </c>
      <c r="D728" t="n">
        <v>3</v>
      </c>
      <c r="E728" t="inlineStr">
        <is>
          <t>Input</t>
        </is>
      </c>
      <c r="F728" t="n">
        <v/>
      </c>
      <c r="G728" t="n">
        <v>75154.00999999999</v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11</v>
      </c>
      <c r="M728" t="inlineStr">
        <is>
          <t>Values must be of type &lt;class 'str'&gt;</t>
        </is>
      </c>
      <c r="N728" t="inlineStr">
        <is>
          <t>00000000</t>
        </is>
      </c>
      <c r="O728" t="inlineStr">
        <is>
          <t>center</t>
        </is>
      </c>
      <c r="P728" t="n">
        <v/>
      </c>
      <c r="R728" t="b">
        <v>1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</row>
    <row r="729">
      <c r="A729" t="inlineStr">
        <is>
          <t>ATF fuel</t>
        </is>
      </c>
      <c r="B729" t="inlineStr">
        <is>
          <t>D65</t>
        </is>
      </c>
      <c r="C729" t="n">
        <v>65</v>
      </c>
      <c r="D729" t="n">
        <v>4</v>
      </c>
      <c r="E729" t="inlineStr">
        <is>
          <t>Input</t>
        </is>
      </c>
      <c r="F729" t="n">
        <v/>
      </c>
      <c r="G729" t="n">
        <v>68446.91</v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00000000</t>
        </is>
      </c>
      <c r="O729" t="inlineStr">
        <is>
          <t>center</t>
        </is>
      </c>
      <c r="P729" t="n">
        <v/>
      </c>
      <c r="R729" t="b">
        <v>1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</row>
    <row r="730">
      <c r="A730" t="inlineStr">
        <is>
          <t>ATF fuel</t>
        </is>
      </c>
      <c r="B730" t="inlineStr">
        <is>
          <t>E65</t>
        </is>
      </c>
      <c r="C730" t="n">
        <v>65</v>
      </c>
      <c r="D730" t="n">
        <v>5</v>
      </c>
      <c r="E730" t="inlineStr">
        <is>
          <t>Input</t>
        </is>
      </c>
      <c r="F730" t="n">
        <v/>
      </c>
      <c r="G730" t="n">
        <v>72057.08</v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00000000</t>
        </is>
      </c>
      <c r="O730" t="inlineStr">
        <is>
          <t>center</t>
        </is>
      </c>
      <c r="P730" t="n">
        <v/>
      </c>
      <c r="R730" t="b">
        <v>1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</row>
    <row r="731">
      <c r="A731" t="inlineStr">
        <is>
          <t>ATF fuel</t>
        </is>
      </c>
      <c r="B731" t="inlineStr">
        <is>
          <t>F65</t>
        </is>
      </c>
      <c r="C731" t="n">
        <v>65</v>
      </c>
      <c r="D731" t="n">
        <v>6</v>
      </c>
      <c r="E731" t="inlineStr">
        <is>
          <t>Output</t>
        </is>
      </c>
      <c r="F731" t="inlineStr">
        <is>
          <t>'=AVERAGE(B65:E65)</t>
        </is>
      </c>
      <c r="G731" t="n">
        <v>70473.55</v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11</v>
      </c>
      <c r="M731" t="inlineStr">
        <is>
          <t>Values must be of type &lt;class 'str'&gt;</t>
        </is>
      </c>
      <c r="N731" t="inlineStr">
        <is>
          <t>00000000</t>
        </is>
      </c>
      <c r="O731" t="inlineStr">
        <is>
          <t>center</t>
        </is>
      </c>
      <c r="P731" t="n">
        <v/>
      </c>
      <c r="R731" t="b">
        <v>1</v>
      </c>
      <c r="S731" t="inlineStr">
        <is>
          <t>G000284</t>
        </is>
      </c>
      <c r="T731" t="inlineStr">
        <is>
          <t>Vertical</t>
        </is>
      </c>
      <c r="U731" t="n">
        <v>130</v>
      </c>
      <c r="V731" t="b">
        <v>1</v>
      </c>
      <c r="W731" t="inlineStr">
        <is>
          <t>ATF fuel!F2:F131</t>
        </is>
      </c>
      <c r="X731">
        <f>AVERAGE(R[0]C[-4]:R[0]C[-1])</f>
        <v/>
      </c>
    </row>
    <row r="732">
      <c r="A732" t="inlineStr">
        <is>
          <t>ATF fuel</t>
        </is>
      </c>
      <c r="B732" t="inlineStr">
        <is>
          <t>G65</t>
        </is>
      </c>
      <c r="C732" t="n">
        <v>65</v>
      </c>
      <c r="D732" t="n">
        <v>7</v>
      </c>
      <c r="E732" t="inlineStr">
        <is>
          <t>Calculation</t>
        </is>
      </c>
      <c r="F732" t="inlineStr">
        <is>
          <t>'=G64-1</t>
        </is>
      </c>
      <c r="G732" t="n">
        <v>68</v>
      </c>
      <c r="H732" t="inlineStr"/>
      <c r="I732" t="inlineStr">
        <is>
          <t>#,##0</t>
        </is>
      </c>
      <c r="J732" t="b">
        <v>0</v>
      </c>
      <c r="K732" t="b">
        <v>0</v>
      </c>
      <c r="L732" t="n">
        <v>11</v>
      </c>
      <c r="M732" t="inlineStr">
        <is>
          <t>Values must be of type &lt;class 'str'&gt;</t>
        </is>
      </c>
      <c r="N732" t="inlineStr">
        <is>
          <t>00000000</t>
        </is>
      </c>
      <c r="O732" t="n">
        <v/>
      </c>
      <c r="P732" t="n">
        <v/>
      </c>
      <c r="R732" t="b">
        <v>1</v>
      </c>
      <c r="S732" t="inlineStr">
        <is>
          <t>G000286</t>
        </is>
      </c>
      <c r="T732" t="inlineStr">
        <is>
          <t>Vertical</t>
        </is>
      </c>
      <c r="U732" t="n">
        <v>129</v>
      </c>
      <c r="V732" t="b">
        <v>1</v>
      </c>
      <c r="W732" t="inlineStr">
        <is>
          <t>ATF fuel!G3:G131</t>
        </is>
      </c>
      <c r="X732">
        <f>R[-1]C[0]-1</f>
        <v/>
      </c>
    </row>
    <row r="733">
      <c r="A733" t="inlineStr">
        <is>
          <t>ATF fuel</t>
        </is>
      </c>
      <c r="B733" t="inlineStr">
        <is>
          <t>H65</t>
        </is>
      </c>
      <c r="C733" t="n">
        <v>65</v>
      </c>
      <c r="D733" t="n">
        <v>8</v>
      </c>
      <c r="E733" t="inlineStr">
        <is>
          <t>Output</t>
        </is>
      </c>
      <c r="F733" t="inlineStr">
        <is>
          <t>'=INDIRECT("A"&amp;G99)</t>
        </is>
      </c>
      <c r="G733" t="inlineStr">
        <is>
          <t>July 01, 2015</t>
        </is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11</v>
      </c>
      <c r="M733" t="inlineStr">
        <is>
          <t>Values must be of type &lt;class 'str'&gt;</t>
        </is>
      </c>
      <c r="N733" t="inlineStr">
        <is>
          <t>00000000</t>
        </is>
      </c>
      <c r="O733" t="n">
        <v/>
      </c>
      <c r="P733" t="n">
        <v/>
      </c>
      <c r="R733" t="b">
        <v>1</v>
      </c>
      <c r="S733" t="inlineStr">
        <is>
          <t>G000289</t>
        </is>
      </c>
      <c r="T733" t="inlineStr">
        <is>
          <t>Vertical</t>
        </is>
      </c>
      <c r="U733" t="n">
        <v>17</v>
      </c>
      <c r="V733" t="b">
        <v>1</v>
      </c>
      <c r="W733" t="inlineStr">
        <is>
          <t>ATF fuel!H53:H69</t>
        </is>
      </c>
      <c r="X733">
        <f>INDIRECT("A"&amp;R[34]C[-1])</f>
        <v/>
      </c>
    </row>
    <row r="734">
      <c r="A734" t="inlineStr">
        <is>
          <t>ATF fuel</t>
        </is>
      </c>
      <c r="B734" t="inlineStr">
        <is>
          <t>I65</t>
        </is>
      </c>
      <c r="C734" t="n">
        <v>65</v>
      </c>
      <c r="D734" t="n">
        <v>9</v>
      </c>
      <c r="E734" t="inlineStr">
        <is>
          <t>Output</t>
        </is>
      </c>
      <c r="F734" t="inlineStr">
        <is>
          <t>'=INDIRECT("F"&amp;G99)</t>
        </is>
      </c>
      <c r="G734" t="n">
        <v>55291.01</v>
      </c>
      <c r="H734" t="inlineStr"/>
      <c r="I734" t="inlineStr">
        <is>
          <t xml:space="preserve">_ * #,##0_ ;_ * \-#,##0_ ;_ * "-"??_ ;_ @_ </t>
        </is>
      </c>
      <c r="J734" t="b">
        <v>0</v>
      </c>
      <c r="K734" t="b">
        <v>0</v>
      </c>
      <c r="L734" t="n">
        <v>11</v>
      </c>
      <c r="M734" t="inlineStr">
        <is>
          <t>Values must be of type &lt;class 'str'&gt;</t>
        </is>
      </c>
      <c r="N734" t="inlineStr">
        <is>
          <t>00000000</t>
        </is>
      </c>
      <c r="O734" t="n">
        <v/>
      </c>
      <c r="P734" t="n">
        <v/>
      </c>
      <c r="R734" t="b">
        <v>1</v>
      </c>
      <c r="S734" t="inlineStr">
        <is>
          <t>G000290</t>
        </is>
      </c>
      <c r="T734" t="inlineStr">
        <is>
          <t>Vertical</t>
        </is>
      </c>
      <c r="U734" t="n">
        <v>17</v>
      </c>
      <c r="V734" t="b">
        <v>1</v>
      </c>
      <c r="W734" t="inlineStr">
        <is>
          <t>ATF fuel!I53:I69</t>
        </is>
      </c>
      <c r="X734">
        <f>INDIRECT("F"&amp;R[34]C[-2])</f>
        <v/>
      </c>
    </row>
    <row r="735">
      <c r="A735" t="inlineStr">
        <is>
          <t>ATF fuel</t>
        </is>
      </c>
      <c r="B735" t="inlineStr">
        <is>
          <t>J65</t>
        </is>
      </c>
      <c r="C735" t="n">
        <v>65</v>
      </c>
      <c r="D735" t="n">
        <v>10</v>
      </c>
      <c r="E735" t="inlineStr">
        <is>
          <t>Input</t>
        </is>
      </c>
      <c r="F735" t="n">
        <v/>
      </c>
      <c r="G735" t="n">
        <v>54.72</v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11</v>
      </c>
      <c r="M735" t="inlineStr">
        <is>
          <t>Values must be of type &lt;class 'str'&gt;</t>
        </is>
      </c>
      <c r="N735" t="inlineStr">
        <is>
          <t>00000000</t>
        </is>
      </c>
      <c r="O735" t="n">
        <v/>
      </c>
      <c r="P735" t="n">
        <v/>
      </c>
      <c r="R735" t="b">
        <v>1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</row>
    <row r="736">
      <c r="A736" t="inlineStr">
        <is>
          <t>ATF fuel</t>
        </is>
      </c>
      <c r="B736" t="inlineStr">
        <is>
          <t>K65</t>
        </is>
      </c>
      <c r="C736" t="n">
        <v>65</v>
      </c>
      <c r="D736" t="n">
        <v>11</v>
      </c>
      <c r="E736" t="inlineStr">
        <is>
          <t>Input</t>
        </is>
      </c>
      <c r="F736" t="n">
        <v/>
      </c>
      <c r="G736" t="n">
        <v>56.94</v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11</v>
      </c>
      <c r="M736" t="inlineStr">
        <is>
          <t>Values must be of type &lt;class 'str'&gt;</t>
        </is>
      </c>
      <c r="N736" t="inlineStr">
        <is>
          <t>00000000</t>
        </is>
      </c>
      <c r="O736" t="n">
        <v/>
      </c>
      <c r="P736" t="n">
        <v/>
      </c>
      <c r="R736" t="b">
        <v>1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</row>
    <row r="737">
      <c r="A737" t="inlineStr">
        <is>
          <t>ATF fuel</t>
        </is>
      </c>
      <c r="B737" t="inlineStr">
        <is>
          <t>A66</t>
        </is>
      </c>
      <c r="C737" t="n">
        <v>66</v>
      </c>
      <c r="D737" t="n">
        <v>1</v>
      </c>
      <c r="E737" t="inlineStr">
        <is>
          <t>Input</t>
        </is>
      </c>
      <c r="F737" t="n">
        <v/>
      </c>
      <c r="G737" t="inlineStr">
        <is>
          <t>December 01, 2012</t>
        </is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11</v>
      </c>
      <c r="M737" t="inlineStr">
        <is>
          <t>Values must be of type &lt;class 'str'&gt;</t>
        </is>
      </c>
      <c r="N737" t="inlineStr">
        <is>
          <t>00000000</t>
        </is>
      </c>
      <c r="O737" t="n">
        <v/>
      </c>
      <c r="P737" t="n">
        <v/>
      </c>
      <c r="R737" t="b">
        <v>1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</row>
    <row r="738">
      <c r="A738" t="inlineStr">
        <is>
          <t>ATF fuel</t>
        </is>
      </c>
      <c r="B738" t="inlineStr">
        <is>
          <t>B66</t>
        </is>
      </c>
      <c r="C738" t="n">
        <v>66</v>
      </c>
      <c r="D738" t="n">
        <v>2</v>
      </c>
      <c r="E738" t="inlineStr">
        <is>
          <t>Input</t>
        </is>
      </c>
      <c r="F738" t="n">
        <v/>
      </c>
      <c r="G738" t="n">
        <v>67709.12</v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11</v>
      </c>
      <c r="M738" t="inlineStr">
        <is>
          <t>Values must be of type &lt;class 'str'&gt;</t>
        </is>
      </c>
      <c r="N738" t="inlineStr">
        <is>
          <t>00000000</t>
        </is>
      </c>
      <c r="O738" t="inlineStr">
        <is>
          <t>center</t>
        </is>
      </c>
      <c r="P738" t="n">
        <v/>
      </c>
      <c r="R738" t="b">
        <v>1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</row>
    <row r="739">
      <c r="A739" t="inlineStr">
        <is>
          <t>ATF fuel</t>
        </is>
      </c>
      <c r="B739" t="inlineStr">
        <is>
          <t>C66</t>
        </is>
      </c>
      <c r="C739" t="n">
        <v>66</v>
      </c>
      <c r="D739" t="n">
        <v>3</v>
      </c>
      <c r="E739" t="inlineStr">
        <is>
          <t>Input</t>
        </is>
      </c>
      <c r="F739" t="n">
        <v/>
      </c>
      <c r="G739" t="n">
        <v>75166.19</v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11</v>
      </c>
      <c r="M739" t="inlineStr">
        <is>
          <t>Values must be of type &lt;class 'str'&gt;</t>
        </is>
      </c>
      <c r="N739" t="inlineStr">
        <is>
          <t>00000000</t>
        </is>
      </c>
      <c r="O739" t="inlineStr">
        <is>
          <t>center</t>
        </is>
      </c>
      <c r="P739" t="n">
        <v/>
      </c>
      <c r="R739" t="b">
        <v>1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</row>
    <row r="740">
      <c r="A740" t="inlineStr">
        <is>
          <t>ATF fuel</t>
        </is>
      </c>
      <c r="B740" t="inlineStr">
        <is>
          <t>D66</t>
        </is>
      </c>
      <c r="C740" t="n">
        <v>66</v>
      </c>
      <c r="D740" t="n">
        <v>4</v>
      </c>
      <c r="E740" t="inlineStr">
        <is>
          <t>Input</t>
        </is>
      </c>
      <c r="F740" t="n">
        <v/>
      </c>
      <c r="G740" t="n">
        <v>68392.8</v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11</v>
      </c>
      <c r="M740" t="inlineStr">
        <is>
          <t>Values must be of type &lt;class 'str'&gt;</t>
        </is>
      </c>
      <c r="N740" t="inlineStr">
        <is>
          <t>00000000</t>
        </is>
      </c>
      <c r="O740" t="inlineStr">
        <is>
          <t>center</t>
        </is>
      </c>
      <c r="P740" t="n">
        <v/>
      </c>
      <c r="R740" t="b">
        <v>1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</row>
    <row r="741">
      <c r="A741" t="inlineStr">
        <is>
          <t>ATF fuel</t>
        </is>
      </c>
      <c r="B741" t="inlineStr">
        <is>
          <t>E66</t>
        </is>
      </c>
      <c r="C741" t="n">
        <v>66</v>
      </c>
      <c r="D741" t="n">
        <v>5</v>
      </c>
      <c r="E741" t="inlineStr">
        <is>
          <t>Input</t>
        </is>
      </c>
      <c r="F741" t="n">
        <v/>
      </c>
      <c r="G741" t="n">
        <v>71775.03</v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11</v>
      </c>
      <c r="M741" t="inlineStr">
        <is>
          <t>Values must be of type &lt;class 'str'&gt;</t>
        </is>
      </c>
      <c r="N741" t="inlineStr">
        <is>
          <t>00000000</t>
        </is>
      </c>
      <c r="O741" t="inlineStr">
        <is>
          <t>center</t>
        </is>
      </c>
      <c r="P741" t="n">
        <v/>
      </c>
      <c r="R741" t="b">
        <v>1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</row>
    <row r="742">
      <c r="A742" t="inlineStr">
        <is>
          <t>ATF fuel</t>
        </is>
      </c>
      <c r="B742" t="inlineStr">
        <is>
          <t>F66</t>
        </is>
      </c>
      <c r="C742" t="n">
        <v>66</v>
      </c>
      <c r="D742" t="n">
        <v>6</v>
      </c>
      <c r="E742" t="inlineStr">
        <is>
          <t>Output</t>
        </is>
      </c>
      <c r="F742" t="inlineStr">
        <is>
          <t>'=AVERAGE(B66:E66)</t>
        </is>
      </c>
      <c r="G742" t="n">
        <v>70760.785</v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11</v>
      </c>
      <c r="M742" t="inlineStr">
        <is>
          <t>Values must be of type &lt;class 'str'&gt;</t>
        </is>
      </c>
      <c r="N742" t="inlineStr">
        <is>
          <t>00000000</t>
        </is>
      </c>
      <c r="O742" t="inlineStr">
        <is>
          <t>center</t>
        </is>
      </c>
      <c r="P742" t="n">
        <v/>
      </c>
      <c r="R742" t="b">
        <v>1</v>
      </c>
      <c r="S742" t="inlineStr">
        <is>
          <t>G000284</t>
        </is>
      </c>
      <c r="T742" t="inlineStr">
        <is>
          <t>Vertical</t>
        </is>
      </c>
      <c r="U742" t="n">
        <v>130</v>
      </c>
      <c r="V742" t="b">
        <v>1</v>
      </c>
      <c r="W742" t="inlineStr">
        <is>
          <t>ATF fuel!F2:F131</t>
        </is>
      </c>
      <c r="X742">
        <f>AVERAGE(R[0]C[-4]:R[0]C[-1])</f>
        <v/>
      </c>
    </row>
    <row r="743">
      <c r="A743" t="inlineStr">
        <is>
          <t>ATF fuel</t>
        </is>
      </c>
      <c r="B743" t="inlineStr">
        <is>
          <t>G66</t>
        </is>
      </c>
      <c r="C743" t="n">
        <v>66</v>
      </c>
      <c r="D743" t="n">
        <v>7</v>
      </c>
      <c r="E743" t="inlineStr">
        <is>
          <t>Calculation</t>
        </is>
      </c>
      <c r="F743" t="inlineStr">
        <is>
          <t>'=G65-1</t>
        </is>
      </c>
      <c r="G743" t="n">
        <v>67</v>
      </c>
      <c r="H743" t="inlineStr"/>
      <c r="I743" t="inlineStr">
        <is>
          <t>#,##0</t>
        </is>
      </c>
      <c r="J743" t="b">
        <v>0</v>
      </c>
      <c r="K743" t="b">
        <v>0</v>
      </c>
      <c r="L743" t="n">
        <v>11</v>
      </c>
      <c r="M743" t="inlineStr">
        <is>
          <t>Values must be of type &lt;class 'str'&gt;</t>
        </is>
      </c>
      <c r="N743" t="inlineStr">
        <is>
          <t>00000000</t>
        </is>
      </c>
      <c r="O743" t="n">
        <v/>
      </c>
      <c r="P743" t="n">
        <v/>
      </c>
      <c r="R743" t="b">
        <v>1</v>
      </c>
      <c r="S743" t="inlineStr">
        <is>
          <t>G000286</t>
        </is>
      </c>
      <c r="T743" t="inlineStr">
        <is>
          <t>Vertical</t>
        </is>
      </c>
      <c r="U743" t="n">
        <v>129</v>
      </c>
      <c r="V743" t="b">
        <v>1</v>
      </c>
      <c r="W743" t="inlineStr">
        <is>
          <t>ATF fuel!G3:G131</t>
        </is>
      </c>
      <c r="X743">
        <f>R[-1]C[0]-1</f>
        <v/>
      </c>
    </row>
    <row r="744">
      <c r="A744" t="inlineStr">
        <is>
          <t>ATF fuel</t>
        </is>
      </c>
      <c r="B744" t="inlineStr">
        <is>
          <t>H66</t>
        </is>
      </c>
      <c r="C744" t="n">
        <v>66</v>
      </c>
      <c r="D744" t="n">
        <v>8</v>
      </c>
      <c r="E744" t="inlineStr">
        <is>
          <t>Output</t>
        </is>
      </c>
      <c r="F744" t="inlineStr">
        <is>
          <t>'=INDIRECT("A"&amp;G100)</t>
        </is>
      </c>
      <c r="G744" t="inlineStr">
        <is>
          <t>August 01, 2015</t>
        </is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11</v>
      </c>
      <c r="M744" t="inlineStr">
        <is>
          <t>Values must be of type &lt;class 'str'&gt;</t>
        </is>
      </c>
      <c r="N744" t="inlineStr">
        <is>
          <t>00000000</t>
        </is>
      </c>
      <c r="O744" t="n">
        <v/>
      </c>
      <c r="P744" t="n">
        <v/>
      </c>
      <c r="R744" t="b">
        <v>1</v>
      </c>
      <c r="S744" t="inlineStr">
        <is>
          <t>G000289</t>
        </is>
      </c>
      <c r="T744" t="inlineStr">
        <is>
          <t>Vertical</t>
        </is>
      </c>
      <c r="U744" t="n">
        <v>17</v>
      </c>
      <c r="V744" t="b">
        <v>1</v>
      </c>
      <c r="W744" t="inlineStr">
        <is>
          <t>ATF fuel!H53:H69</t>
        </is>
      </c>
      <c r="X744">
        <f>INDIRECT("A"&amp;R[34]C[-1])</f>
        <v/>
      </c>
    </row>
    <row r="745">
      <c r="A745" t="inlineStr">
        <is>
          <t>ATF fuel</t>
        </is>
      </c>
      <c r="B745" t="inlineStr">
        <is>
          <t>I66</t>
        </is>
      </c>
      <c r="C745" t="n">
        <v>66</v>
      </c>
      <c r="D745" t="n">
        <v>9</v>
      </c>
      <c r="E745" t="inlineStr">
        <is>
          <t>Output</t>
        </is>
      </c>
      <c r="F745" t="inlineStr">
        <is>
          <t>'=INDIRECT("F"&amp;G100)</t>
        </is>
      </c>
      <c r="G745" t="n">
        <v>50204.425</v>
      </c>
      <c r="H745" t="inlineStr"/>
      <c r="I745" t="inlineStr">
        <is>
          <t xml:space="preserve">_ * #,##0_ ;_ * \-#,##0_ ;_ * "-"??_ ;_ @_ </t>
        </is>
      </c>
      <c r="J745" t="b">
        <v>0</v>
      </c>
      <c r="K745" t="b">
        <v>0</v>
      </c>
      <c r="L745" t="n">
        <v>11</v>
      </c>
      <c r="M745" t="inlineStr">
        <is>
          <t>Values must be of type &lt;class 'str'&gt;</t>
        </is>
      </c>
      <c r="N745" t="inlineStr">
        <is>
          <t>00000000</t>
        </is>
      </c>
      <c r="O745" t="n">
        <v/>
      </c>
      <c r="P745" t="n">
        <v/>
      </c>
      <c r="R745" t="b">
        <v>1</v>
      </c>
      <c r="S745" t="inlineStr">
        <is>
          <t>G000290</t>
        </is>
      </c>
      <c r="T745" t="inlineStr">
        <is>
          <t>Vertical</t>
        </is>
      </c>
      <c r="U745" t="n">
        <v>17</v>
      </c>
      <c r="V745" t="b">
        <v>1</v>
      </c>
      <c r="W745" t="inlineStr">
        <is>
          <t>ATF fuel!I53:I69</t>
        </is>
      </c>
      <c r="X745">
        <f>INDIRECT("F"&amp;R[34]C[-2])</f>
        <v/>
      </c>
    </row>
    <row r="746">
      <c r="A746" t="inlineStr">
        <is>
          <t>ATF fuel</t>
        </is>
      </c>
      <c r="B746" t="inlineStr">
        <is>
          <t>J66</t>
        </is>
      </c>
      <c r="C746" t="n">
        <v>66</v>
      </c>
      <c r="D746" t="n">
        <v>10</v>
      </c>
      <c r="E746" t="inlineStr">
        <is>
          <t>Input</t>
        </is>
      </c>
      <c r="F746" t="n">
        <v/>
      </c>
      <c r="G746" t="n">
        <v>47.54</v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11</v>
      </c>
      <c r="M746" t="inlineStr">
        <is>
          <t>Values must be of type &lt;class 'str'&gt;</t>
        </is>
      </c>
      <c r="N746" t="inlineStr">
        <is>
          <t>00000000</t>
        </is>
      </c>
      <c r="O746" t="n">
        <v/>
      </c>
      <c r="P746" t="n">
        <v/>
      </c>
      <c r="R746" t="b">
        <v>1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</row>
    <row r="747">
      <c r="A747" t="inlineStr">
        <is>
          <t>ATF fuel</t>
        </is>
      </c>
      <c r="B747" t="inlineStr">
        <is>
          <t>K66</t>
        </is>
      </c>
      <c r="C747" t="n">
        <v>66</v>
      </c>
      <c r="D747" t="n">
        <v>11</v>
      </c>
      <c r="E747" t="inlineStr">
        <is>
          <t>Input</t>
        </is>
      </c>
      <c r="F747" t="n">
        <v/>
      </c>
      <c r="G747" t="n">
        <v>45.25</v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11</v>
      </c>
      <c r="M747" t="inlineStr">
        <is>
          <t>Values must be of type &lt;class 'str'&gt;</t>
        </is>
      </c>
      <c r="N747" t="inlineStr">
        <is>
          <t>00000000</t>
        </is>
      </c>
      <c r="O747" t="n">
        <v/>
      </c>
      <c r="P747" t="n">
        <v/>
      </c>
      <c r="R747" t="b">
        <v>1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</row>
    <row r="748">
      <c r="A748" t="inlineStr">
        <is>
          <t>ATF fuel</t>
        </is>
      </c>
      <c r="B748" t="inlineStr">
        <is>
          <t>A67</t>
        </is>
      </c>
      <c r="C748" t="n">
        <v>67</v>
      </c>
      <c r="D748" t="n">
        <v>1</v>
      </c>
      <c r="E748" t="inlineStr">
        <is>
          <t>Input</t>
        </is>
      </c>
      <c r="F748" t="n">
        <v/>
      </c>
      <c r="G748" t="inlineStr">
        <is>
          <t>November 01, 2012</t>
        </is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11</v>
      </c>
      <c r="M748" t="inlineStr">
        <is>
          <t>Values must be of type &lt;class 'str'&gt;</t>
        </is>
      </c>
      <c r="N748" t="inlineStr">
        <is>
          <t>00000000</t>
        </is>
      </c>
      <c r="O748" t="n">
        <v/>
      </c>
      <c r="P748" t="n">
        <v/>
      </c>
      <c r="R748" t="b">
        <v>1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</row>
    <row r="749">
      <c r="A749" t="inlineStr">
        <is>
          <t>ATF fuel</t>
        </is>
      </c>
      <c r="B749" t="inlineStr">
        <is>
          <t>B67</t>
        </is>
      </c>
      <c r="C749" t="n">
        <v>67</v>
      </c>
      <c r="D749" t="n">
        <v>2</v>
      </c>
      <c r="E749" t="inlineStr">
        <is>
          <t>Input</t>
        </is>
      </c>
      <c r="F749" t="n">
        <v/>
      </c>
      <c r="G749" t="n">
        <v>68397.52</v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11</v>
      </c>
      <c r="M749" t="inlineStr">
        <is>
          <t>Values must be of type &lt;class 'str'&gt;</t>
        </is>
      </c>
      <c r="N749" t="inlineStr">
        <is>
          <t>00000000</t>
        </is>
      </c>
      <c r="O749" t="inlineStr">
        <is>
          <t>center</t>
        </is>
      </c>
      <c r="P749" t="n">
        <v/>
      </c>
      <c r="R749" t="b">
        <v>1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</row>
    <row r="750">
      <c r="A750" t="inlineStr">
        <is>
          <t>ATF fuel</t>
        </is>
      </c>
      <c r="B750" t="inlineStr">
        <is>
          <t>C67</t>
        </is>
      </c>
      <c r="C750" t="n">
        <v>67</v>
      </c>
      <c r="D750" t="n">
        <v>3</v>
      </c>
      <c r="E750" t="inlineStr">
        <is>
          <t>Input</t>
        </is>
      </c>
      <c r="F750" t="n">
        <v/>
      </c>
      <c r="G750" t="n">
        <v>75842.69</v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11</v>
      </c>
      <c r="M750" t="inlineStr">
        <is>
          <t>Values must be of type &lt;class 'str'&gt;</t>
        </is>
      </c>
      <c r="N750" t="inlineStr">
        <is>
          <t>00000000</t>
        </is>
      </c>
      <c r="O750" t="inlineStr">
        <is>
          <t>center</t>
        </is>
      </c>
      <c r="P750" t="n">
        <v/>
      </c>
      <c r="R750" t="b">
        <v>1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</row>
    <row r="751">
      <c r="A751" t="inlineStr">
        <is>
          <t>ATF fuel</t>
        </is>
      </c>
      <c r="B751" t="inlineStr">
        <is>
          <t>D67</t>
        </is>
      </c>
      <c r="C751" t="n">
        <v>67</v>
      </c>
      <c r="D751" t="n">
        <v>4</v>
      </c>
      <c r="E751" t="inlineStr">
        <is>
          <t>Input</t>
        </is>
      </c>
      <c r="F751" t="n">
        <v/>
      </c>
      <c r="G751" t="n">
        <v>69096.36</v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11</v>
      </c>
      <c r="M751" t="inlineStr">
        <is>
          <t>Values must be of type &lt;class 'str'&gt;</t>
        </is>
      </c>
      <c r="N751" t="inlineStr">
        <is>
          <t>00000000</t>
        </is>
      </c>
      <c r="O751" t="inlineStr">
        <is>
          <t>center</t>
        </is>
      </c>
      <c r="P751" t="n">
        <v/>
      </c>
      <c r="R751" t="b">
        <v>1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</row>
    <row r="752">
      <c r="A752" t="inlineStr">
        <is>
          <t>ATF fuel</t>
        </is>
      </c>
      <c r="B752" t="inlineStr">
        <is>
          <t>E67</t>
        </is>
      </c>
      <c r="C752" t="n">
        <v>67</v>
      </c>
      <c r="D752" t="n">
        <v>5</v>
      </c>
      <c r="E752" t="inlineStr">
        <is>
          <t>Input</t>
        </is>
      </c>
      <c r="F752" t="n">
        <v/>
      </c>
      <c r="G752" t="n">
        <v>72487.14999999999</v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11</v>
      </c>
      <c r="M752" t="inlineStr">
        <is>
          <t>Values must be of type &lt;class 'str'&gt;</t>
        </is>
      </c>
      <c r="N752" t="inlineStr">
        <is>
          <t>00000000</t>
        </is>
      </c>
      <c r="O752" t="inlineStr">
        <is>
          <t>center</t>
        </is>
      </c>
      <c r="P752" t="n">
        <v/>
      </c>
      <c r="R752" t="b">
        <v>1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</row>
    <row r="753">
      <c r="A753" t="inlineStr">
        <is>
          <t>ATF fuel</t>
        </is>
      </c>
      <c r="B753" t="inlineStr">
        <is>
          <t>F67</t>
        </is>
      </c>
      <c r="C753" t="n">
        <v>67</v>
      </c>
      <c r="D753" t="n">
        <v>6</v>
      </c>
      <c r="E753" t="inlineStr">
        <is>
          <t>Output</t>
        </is>
      </c>
      <c r="F753" t="inlineStr">
        <is>
          <t>'=AVERAGE(B67:E67)</t>
        </is>
      </c>
      <c r="G753" t="n">
        <v>71455.92999999999</v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11</v>
      </c>
      <c r="M753" t="inlineStr">
        <is>
          <t>Values must be of type &lt;class 'str'&gt;</t>
        </is>
      </c>
      <c r="N753" t="inlineStr">
        <is>
          <t>00000000</t>
        </is>
      </c>
      <c r="O753" t="inlineStr">
        <is>
          <t>center</t>
        </is>
      </c>
      <c r="P753" t="n">
        <v/>
      </c>
      <c r="R753" t="b">
        <v>1</v>
      </c>
      <c r="S753" t="inlineStr">
        <is>
          <t>G000284</t>
        </is>
      </c>
      <c r="T753" t="inlineStr">
        <is>
          <t>Vertical</t>
        </is>
      </c>
      <c r="U753" t="n">
        <v>130</v>
      </c>
      <c r="V753" t="b">
        <v>1</v>
      </c>
      <c r="W753" t="inlineStr">
        <is>
          <t>ATF fuel!F2:F131</t>
        </is>
      </c>
      <c r="X753">
        <f>AVERAGE(R[0]C[-4]:R[0]C[-1])</f>
        <v/>
      </c>
    </row>
    <row r="754">
      <c r="A754" t="inlineStr">
        <is>
          <t>ATF fuel</t>
        </is>
      </c>
      <c r="B754" t="inlineStr">
        <is>
          <t>G67</t>
        </is>
      </c>
      <c r="C754" t="n">
        <v>67</v>
      </c>
      <c r="D754" t="n">
        <v>7</v>
      </c>
      <c r="E754" t="inlineStr">
        <is>
          <t>Calculation</t>
        </is>
      </c>
      <c r="F754" t="inlineStr">
        <is>
          <t>'=G66-1</t>
        </is>
      </c>
      <c r="G754" t="n">
        <v>66</v>
      </c>
      <c r="H754" t="inlineStr"/>
      <c r="I754" t="inlineStr">
        <is>
          <t>#,##0</t>
        </is>
      </c>
      <c r="J754" t="b">
        <v>0</v>
      </c>
      <c r="K754" t="b">
        <v>0</v>
      </c>
      <c r="L754" t="n">
        <v>11</v>
      </c>
      <c r="M754" t="inlineStr">
        <is>
          <t>Values must be of type &lt;class 'str'&gt;</t>
        </is>
      </c>
      <c r="N754" t="inlineStr">
        <is>
          <t>00000000</t>
        </is>
      </c>
      <c r="O754" t="n">
        <v/>
      </c>
      <c r="P754" t="n">
        <v/>
      </c>
      <c r="R754" t="b">
        <v>1</v>
      </c>
      <c r="S754" t="inlineStr">
        <is>
          <t>G000286</t>
        </is>
      </c>
      <c r="T754" t="inlineStr">
        <is>
          <t>Vertical</t>
        </is>
      </c>
      <c r="U754" t="n">
        <v>129</v>
      </c>
      <c r="V754" t="b">
        <v>1</v>
      </c>
      <c r="W754" t="inlineStr">
        <is>
          <t>ATF fuel!G3:G131</t>
        </is>
      </c>
      <c r="X754">
        <f>R[-1]C[0]-1</f>
        <v/>
      </c>
    </row>
    <row r="755">
      <c r="A755" t="inlineStr">
        <is>
          <t>ATF fuel</t>
        </is>
      </c>
      <c r="B755" t="inlineStr">
        <is>
          <t>H67</t>
        </is>
      </c>
      <c r="C755" t="n">
        <v>67</v>
      </c>
      <c r="D755" t="n">
        <v>8</v>
      </c>
      <c r="E755" t="inlineStr">
        <is>
          <t>Output</t>
        </is>
      </c>
      <c r="F755" t="inlineStr">
        <is>
          <t>'=INDIRECT("A"&amp;G101)</t>
        </is>
      </c>
      <c r="G755" t="inlineStr">
        <is>
          <t>September 01, 2015</t>
        </is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11</v>
      </c>
      <c r="M755" t="inlineStr">
        <is>
          <t>Values must be of type &lt;class 'str'&gt;</t>
        </is>
      </c>
      <c r="N755" t="inlineStr">
        <is>
          <t>00000000</t>
        </is>
      </c>
      <c r="O755" t="n">
        <v/>
      </c>
      <c r="P755" t="n">
        <v/>
      </c>
      <c r="R755" t="b">
        <v>1</v>
      </c>
      <c r="S755" t="inlineStr">
        <is>
          <t>G000289</t>
        </is>
      </c>
      <c r="T755" t="inlineStr">
        <is>
          <t>Vertical</t>
        </is>
      </c>
      <c r="U755" t="n">
        <v>17</v>
      </c>
      <c r="V755" t="b">
        <v>1</v>
      </c>
      <c r="W755" t="inlineStr">
        <is>
          <t>ATF fuel!H53:H69</t>
        </is>
      </c>
      <c r="X755">
        <f>INDIRECT("A"&amp;R[34]C[-1])</f>
        <v/>
      </c>
    </row>
    <row r="756">
      <c r="A756" t="inlineStr">
        <is>
          <t>ATF fuel</t>
        </is>
      </c>
      <c r="B756" t="inlineStr">
        <is>
          <t>I67</t>
        </is>
      </c>
      <c r="C756" t="n">
        <v>67</v>
      </c>
      <c r="D756" t="n">
        <v>9</v>
      </c>
      <c r="E756" t="inlineStr">
        <is>
          <t>Output</t>
        </is>
      </c>
      <c r="F756" t="inlineStr">
        <is>
          <t>'=INDIRECT("F"&amp;G101)</t>
        </is>
      </c>
      <c r="G756" t="n">
        <v>44388.0575</v>
      </c>
      <c r="H756" t="inlineStr"/>
      <c r="I756" t="inlineStr">
        <is>
          <t xml:space="preserve">_ * #,##0_ ;_ * \-#,##0_ ;_ * "-"??_ ;_ @_ </t>
        </is>
      </c>
      <c r="J756" t="b">
        <v>0</v>
      </c>
      <c r="K756" t="b">
        <v>0</v>
      </c>
      <c r="L756" t="n">
        <v>11</v>
      </c>
      <c r="M756" t="inlineStr">
        <is>
          <t>Values must be of type &lt;class 'str'&gt;</t>
        </is>
      </c>
      <c r="N756" t="inlineStr">
        <is>
          <t>00000000</t>
        </is>
      </c>
      <c r="O756" t="n">
        <v/>
      </c>
      <c r="P756" t="n">
        <v/>
      </c>
      <c r="R756" t="b">
        <v>1</v>
      </c>
      <c r="S756" t="inlineStr">
        <is>
          <t>G000290</t>
        </is>
      </c>
      <c r="T756" t="inlineStr">
        <is>
          <t>Vertical</t>
        </is>
      </c>
      <c r="U756" t="n">
        <v>17</v>
      </c>
      <c r="V756" t="b">
        <v>1</v>
      </c>
      <c r="W756" t="inlineStr">
        <is>
          <t>ATF fuel!I53:I69</t>
        </is>
      </c>
      <c r="X756">
        <f>INDIRECT("F"&amp;R[34]C[-2])</f>
        <v/>
      </c>
    </row>
    <row r="757">
      <c r="A757" t="inlineStr">
        <is>
          <t>ATF fuel</t>
        </is>
      </c>
      <c r="B757" t="inlineStr">
        <is>
          <t>J67</t>
        </is>
      </c>
      <c r="C757" t="n">
        <v>67</v>
      </c>
      <c r="D757" t="n">
        <v>10</v>
      </c>
      <c r="E757" t="inlineStr">
        <is>
          <t>Input</t>
        </is>
      </c>
      <c r="F757" t="n">
        <v/>
      </c>
      <c r="G757" t="n">
        <v>46.42</v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11</v>
      </c>
      <c r="M757" t="inlineStr">
        <is>
          <t>Values must be of type &lt;class 'str'&gt;</t>
        </is>
      </c>
      <c r="N757" t="inlineStr">
        <is>
          <t>00000000</t>
        </is>
      </c>
      <c r="O757" t="n">
        <v/>
      </c>
      <c r="P757" t="n">
        <v/>
      </c>
      <c r="R757" t="b">
        <v>1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</row>
    <row r="758">
      <c r="A758" t="inlineStr">
        <is>
          <t>ATF fuel</t>
        </is>
      </c>
      <c r="B758" t="inlineStr">
        <is>
          <t>K67</t>
        </is>
      </c>
      <c r="C758" t="n">
        <v>67</v>
      </c>
      <c r="D758" t="n">
        <v>11</v>
      </c>
      <c r="E758" t="inlineStr">
        <is>
          <t>Input</t>
        </is>
      </c>
      <c r="F758" t="n">
        <v/>
      </c>
      <c r="G758" t="n">
        <v>45.38</v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11</v>
      </c>
      <c r="M758" t="inlineStr">
        <is>
          <t>Values must be of type &lt;class 'str'&gt;</t>
        </is>
      </c>
      <c r="N758" t="inlineStr">
        <is>
          <t>00000000</t>
        </is>
      </c>
      <c r="O758" t="n">
        <v/>
      </c>
      <c r="P758" t="n">
        <v/>
      </c>
      <c r="R758" t="b">
        <v>1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</row>
    <row r="759">
      <c r="A759" t="inlineStr">
        <is>
          <t>ATF fuel</t>
        </is>
      </c>
      <c r="B759" t="inlineStr">
        <is>
          <t>A68</t>
        </is>
      </c>
      <c r="C759" t="n">
        <v>68</v>
      </c>
      <c r="D759" t="n">
        <v>1</v>
      </c>
      <c r="E759" t="inlineStr">
        <is>
          <t>Input</t>
        </is>
      </c>
      <c r="F759" t="n">
        <v/>
      </c>
      <c r="G759" t="inlineStr">
        <is>
          <t>October 16, 2012</t>
        </is>
      </c>
      <c r="H759" t="inlineStr"/>
      <c r="I759" t="inlineStr">
        <is>
          <t>General</t>
        </is>
      </c>
      <c r="J759" t="b">
        <v>0</v>
      </c>
      <c r="K759" t="b">
        <v>0</v>
      </c>
      <c r="L759" t="n">
        <v>11</v>
      </c>
      <c r="M759" t="inlineStr">
        <is>
          <t>Values must be of type &lt;class 'str'&gt;</t>
        </is>
      </c>
      <c r="N759" t="inlineStr">
        <is>
          <t>00000000</t>
        </is>
      </c>
      <c r="O759" t="n">
        <v/>
      </c>
      <c r="P759" t="n">
        <v/>
      </c>
      <c r="R759" t="b">
        <v>1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</row>
    <row r="760">
      <c r="A760" t="inlineStr">
        <is>
          <t>ATF fuel</t>
        </is>
      </c>
      <c r="B760" t="inlineStr">
        <is>
          <t>B68</t>
        </is>
      </c>
      <c r="C760" t="n">
        <v>68</v>
      </c>
      <c r="D760" t="n">
        <v>2</v>
      </c>
      <c r="E760" t="inlineStr">
        <is>
          <t>Input</t>
        </is>
      </c>
      <c r="F760" t="n">
        <v/>
      </c>
      <c r="G760" t="n">
        <v>68398.78999999999</v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11</v>
      </c>
      <c r="M760" t="inlineStr">
        <is>
          <t>Values must be of type &lt;class 'str'&gt;</t>
        </is>
      </c>
      <c r="N760" t="inlineStr">
        <is>
          <t>00000000</t>
        </is>
      </c>
      <c r="O760" t="inlineStr">
        <is>
          <t>center</t>
        </is>
      </c>
      <c r="P760" t="n">
        <v/>
      </c>
      <c r="R760" t="b">
        <v>1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</row>
    <row r="761">
      <c r="A761" t="inlineStr">
        <is>
          <t>ATF fuel</t>
        </is>
      </c>
      <c r="B761" t="inlineStr">
        <is>
          <t>C68</t>
        </is>
      </c>
      <c r="C761" t="n">
        <v>68</v>
      </c>
      <c r="D761" t="n">
        <v>3</v>
      </c>
      <c r="E761" t="inlineStr">
        <is>
          <t>Input</t>
        </is>
      </c>
      <c r="F761" t="n">
        <v/>
      </c>
      <c r="G761" t="n">
        <v>75490.91</v>
      </c>
      <c r="H761" t="inlineStr"/>
      <c r="I761" t="inlineStr">
        <is>
          <t>General</t>
        </is>
      </c>
      <c r="J761" t="b">
        <v>0</v>
      </c>
      <c r="K761" t="b">
        <v>0</v>
      </c>
      <c r="L761" t="n">
        <v>11</v>
      </c>
      <c r="M761" t="inlineStr">
        <is>
          <t>Values must be of type &lt;class 'str'&gt;</t>
        </is>
      </c>
      <c r="N761" t="inlineStr">
        <is>
          <t>00000000</t>
        </is>
      </c>
      <c r="O761" t="inlineStr">
        <is>
          <t>center</t>
        </is>
      </c>
      <c r="P761" t="n">
        <v/>
      </c>
      <c r="R761" t="b">
        <v>1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</row>
    <row r="762">
      <c r="A762" t="inlineStr">
        <is>
          <t>ATF fuel</t>
        </is>
      </c>
      <c r="B762" t="inlineStr">
        <is>
          <t>D68</t>
        </is>
      </c>
      <c r="C762" t="n">
        <v>68</v>
      </c>
      <c r="D762" t="n">
        <v>4</v>
      </c>
      <c r="E762" t="inlineStr">
        <is>
          <t>Input</t>
        </is>
      </c>
      <c r="F762" t="n">
        <v/>
      </c>
      <c r="G762" t="n">
        <v>68731.05</v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11</v>
      </c>
      <c r="M762" t="inlineStr">
        <is>
          <t>Values must be of type &lt;class 'str'&gt;</t>
        </is>
      </c>
      <c r="N762" t="inlineStr">
        <is>
          <t>00000000</t>
        </is>
      </c>
      <c r="O762" t="inlineStr">
        <is>
          <t>center</t>
        </is>
      </c>
      <c r="P762" t="n">
        <v/>
      </c>
      <c r="R762" t="b">
        <v>1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</row>
    <row r="763">
      <c r="A763" t="inlineStr">
        <is>
          <t>ATF fuel</t>
        </is>
      </c>
      <c r="B763" t="inlineStr">
        <is>
          <t>E68</t>
        </is>
      </c>
      <c r="C763" t="n">
        <v>68</v>
      </c>
      <c r="D763" t="n">
        <v>5</v>
      </c>
      <c r="E763" t="inlineStr">
        <is>
          <t>Input</t>
        </is>
      </c>
      <c r="F763" t="n">
        <v/>
      </c>
      <c r="G763" t="n">
        <v>72119.53999999999</v>
      </c>
      <c r="H763" t="inlineStr"/>
      <c r="I763" t="inlineStr">
        <is>
          <t>General</t>
        </is>
      </c>
      <c r="J763" t="b">
        <v>0</v>
      </c>
      <c r="K763" t="b">
        <v>0</v>
      </c>
      <c r="L763" t="n">
        <v>11</v>
      </c>
      <c r="M763" t="inlineStr">
        <is>
          <t>Values must be of type &lt;class 'str'&gt;</t>
        </is>
      </c>
      <c r="N763" t="inlineStr">
        <is>
          <t>00000000</t>
        </is>
      </c>
      <c r="O763" t="inlineStr">
        <is>
          <t>center</t>
        </is>
      </c>
      <c r="P763" t="n">
        <v/>
      </c>
      <c r="R763" t="b">
        <v>1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</row>
    <row r="764">
      <c r="A764" t="inlineStr">
        <is>
          <t>ATF fuel</t>
        </is>
      </c>
      <c r="B764" t="inlineStr">
        <is>
          <t>F68</t>
        </is>
      </c>
      <c r="C764" t="n">
        <v>68</v>
      </c>
      <c r="D764" t="n">
        <v>6</v>
      </c>
      <c r="E764" t="inlineStr">
        <is>
          <t>Output</t>
        </is>
      </c>
      <c r="F764" t="inlineStr">
        <is>
          <t>'=AVERAGE(B68:E68)</t>
        </is>
      </c>
      <c r="G764" t="n">
        <v>71185.07249999999</v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11</v>
      </c>
      <c r="M764" t="inlineStr">
        <is>
          <t>Values must be of type &lt;class 'str'&gt;</t>
        </is>
      </c>
      <c r="N764" t="inlineStr">
        <is>
          <t>00000000</t>
        </is>
      </c>
      <c r="O764" t="inlineStr">
        <is>
          <t>center</t>
        </is>
      </c>
      <c r="P764" t="n">
        <v/>
      </c>
      <c r="R764" t="b">
        <v>1</v>
      </c>
      <c r="S764" t="inlineStr">
        <is>
          <t>G000284</t>
        </is>
      </c>
      <c r="T764" t="inlineStr">
        <is>
          <t>Vertical</t>
        </is>
      </c>
      <c r="U764" t="n">
        <v>130</v>
      </c>
      <c r="V764" t="b">
        <v>1</v>
      </c>
      <c r="W764" t="inlineStr">
        <is>
          <t>ATF fuel!F2:F131</t>
        </is>
      </c>
      <c r="X764">
        <f>AVERAGE(R[0]C[-4]:R[0]C[-1])</f>
        <v/>
      </c>
    </row>
    <row r="765">
      <c r="A765" t="inlineStr">
        <is>
          <t>ATF fuel</t>
        </is>
      </c>
      <c r="B765" t="inlineStr">
        <is>
          <t>G68</t>
        </is>
      </c>
      <c r="C765" t="n">
        <v>68</v>
      </c>
      <c r="D765" t="n">
        <v>7</v>
      </c>
      <c r="E765" t="inlineStr">
        <is>
          <t>Calculation</t>
        </is>
      </c>
      <c r="F765" t="inlineStr">
        <is>
          <t>'=G67-1</t>
        </is>
      </c>
      <c r="G765" t="n">
        <v>65</v>
      </c>
      <c r="H765" t="inlineStr"/>
      <c r="I765" t="inlineStr">
        <is>
          <t>#,##0</t>
        </is>
      </c>
      <c r="J765" t="b">
        <v>0</v>
      </c>
      <c r="K765" t="b">
        <v>0</v>
      </c>
      <c r="L765" t="n">
        <v>11</v>
      </c>
      <c r="M765" t="inlineStr">
        <is>
          <t>Values must be of type &lt;class 'str'&gt;</t>
        </is>
      </c>
      <c r="N765" t="inlineStr">
        <is>
          <t>00000000</t>
        </is>
      </c>
      <c r="O765" t="n">
        <v/>
      </c>
      <c r="P765" t="n">
        <v/>
      </c>
      <c r="R765" t="b">
        <v>1</v>
      </c>
      <c r="S765" t="inlineStr">
        <is>
          <t>G000286</t>
        </is>
      </c>
      <c r="T765" t="inlineStr">
        <is>
          <t>Vertical</t>
        </is>
      </c>
      <c r="U765" t="n">
        <v>129</v>
      </c>
      <c r="V765" t="b">
        <v>1</v>
      </c>
      <c r="W765" t="inlineStr">
        <is>
          <t>ATF fuel!G3:G131</t>
        </is>
      </c>
      <c r="X765">
        <f>R[-1]C[0]-1</f>
        <v/>
      </c>
    </row>
    <row r="766">
      <c r="A766" t="inlineStr">
        <is>
          <t>ATF fuel</t>
        </is>
      </c>
      <c r="B766" t="inlineStr">
        <is>
          <t>H68</t>
        </is>
      </c>
      <c r="C766" t="n">
        <v>68</v>
      </c>
      <c r="D766" t="n">
        <v>8</v>
      </c>
      <c r="E766" t="inlineStr">
        <is>
          <t>Output</t>
        </is>
      </c>
      <c r="F766" t="inlineStr">
        <is>
          <t>'=INDIRECT("A"&amp;G102)</t>
        </is>
      </c>
      <c r="G766" t="inlineStr">
        <is>
          <t>October 01, 2015</t>
        </is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11</v>
      </c>
      <c r="M766" t="inlineStr">
        <is>
          <t>Values must be of type &lt;class 'str'&gt;</t>
        </is>
      </c>
      <c r="N766" t="inlineStr">
        <is>
          <t>00000000</t>
        </is>
      </c>
      <c r="O766" t="n">
        <v/>
      </c>
      <c r="P766" t="n">
        <v/>
      </c>
      <c r="R766" t="b">
        <v>1</v>
      </c>
      <c r="S766" t="inlineStr">
        <is>
          <t>G000289</t>
        </is>
      </c>
      <c r="T766" t="inlineStr">
        <is>
          <t>Vertical</t>
        </is>
      </c>
      <c r="U766" t="n">
        <v>17</v>
      </c>
      <c r="V766" t="b">
        <v>1</v>
      </c>
      <c r="W766" t="inlineStr">
        <is>
          <t>ATF fuel!H53:H69</t>
        </is>
      </c>
      <c r="X766">
        <f>INDIRECT("A"&amp;R[34]C[-1])</f>
        <v/>
      </c>
    </row>
    <row r="767">
      <c r="A767" t="inlineStr">
        <is>
          <t>ATF fuel</t>
        </is>
      </c>
      <c r="B767" t="inlineStr">
        <is>
          <t>I68</t>
        </is>
      </c>
      <c r="C767" t="n">
        <v>68</v>
      </c>
      <c r="D767" t="n">
        <v>9</v>
      </c>
      <c r="E767" t="inlineStr">
        <is>
          <t>Output</t>
        </is>
      </c>
      <c r="F767" t="inlineStr">
        <is>
          <t>'=INDIRECT("F"&amp;G102)</t>
        </is>
      </c>
      <c r="G767" t="n">
        <v>46716.475</v>
      </c>
      <c r="H767" t="inlineStr"/>
      <c r="I767" t="inlineStr">
        <is>
          <t xml:space="preserve">_ * #,##0_ ;_ * \-#,##0_ ;_ * "-"??_ ;_ @_ </t>
        </is>
      </c>
      <c r="J767" t="b">
        <v>0</v>
      </c>
      <c r="K767" t="b">
        <v>0</v>
      </c>
      <c r="L767" t="n">
        <v>11</v>
      </c>
      <c r="M767" t="inlineStr">
        <is>
          <t>Values must be of type &lt;class 'str'&gt;</t>
        </is>
      </c>
      <c r="N767" t="inlineStr">
        <is>
          <t>00000000</t>
        </is>
      </c>
      <c r="O767" t="n">
        <v/>
      </c>
      <c r="P767" t="n">
        <v/>
      </c>
      <c r="R767" t="b">
        <v>1</v>
      </c>
      <c r="S767" t="inlineStr">
        <is>
          <t>G000290</t>
        </is>
      </c>
      <c r="T767" t="inlineStr">
        <is>
          <t>Vertical</t>
        </is>
      </c>
      <c r="U767" t="n">
        <v>17</v>
      </c>
      <c r="V767" t="b">
        <v>1</v>
      </c>
      <c r="W767" t="inlineStr">
        <is>
          <t>ATF fuel!I53:I69</t>
        </is>
      </c>
      <c r="X767">
        <f>INDIRECT("F"&amp;R[34]C[-2])</f>
        <v/>
      </c>
    </row>
    <row r="768">
      <c r="A768" t="inlineStr">
        <is>
          <t>ATF fuel</t>
        </is>
      </c>
      <c r="B768" t="inlineStr">
        <is>
          <t>J68</t>
        </is>
      </c>
      <c r="C768" t="n">
        <v>68</v>
      </c>
      <c r="D768" t="n">
        <v>10</v>
      </c>
      <c r="E768" t="inlineStr">
        <is>
          <t>Input</t>
        </is>
      </c>
      <c r="F768" t="n">
        <v/>
      </c>
      <c r="G768" t="n">
        <v>51.66</v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11</v>
      </c>
      <c r="M768" t="inlineStr">
        <is>
          <t>Values must be of type &lt;class 'str'&gt;</t>
        </is>
      </c>
      <c r="N768" t="inlineStr">
        <is>
          <t>00000000</t>
        </is>
      </c>
      <c r="O768" t="n">
        <v/>
      </c>
      <c r="P768" t="n">
        <v/>
      </c>
      <c r="R768" t="b">
        <v>1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</row>
    <row r="769">
      <c r="A769" t="inlineStr">
        <is>
          <t>ATF fuel</t>
        </is>
      </c>
      <c r="B769" t="inlineStr">
        <is>
          <t>K68</t>
        </is>
      </c>
      <c r="C769" t="n">
        <v>68</v>
      </c>
      <c r="D769" t="n">
        <v>11</v>
      </c>
      <c r="E769" t="inlineStr">
        <is>
          <t>Input</t>
        </is>
      </c>
      <c r="F769" t="n">
        <v/>
      </c>
      <c r="G769" t="n">
        <v>44.75</v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11</v>
      </c>
      <c r="M769" t="inlineStr">
        <is>
          <t>Values must be of type &lt;class 'str'&gt;</t>
        </is>
      </c>
      <c r="N769" t="inlineStr">
        <is>
          <t>00000000</t>
        </is>
      </c>
      <c r="O769" t="n">
        <v/>
      </c>
      <c r="P769" t="n">
        <v/>
      </c>
      <c r="R769" t="b">
        <v>1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</row>
    <row r="770">
      <c r="A770" t="inlineStr">
        <is>
          <t>ATF fuel</t>
        </is>
      </c>
      <c r="B770" t="inlineStr">
        <is>
          <t>A69</t>
        </is>
      </c>
      <c r="C770" t="n">
        <v>69</v>
      </c>
      <c r="D770" t="n">
        <v>1</v>
      </c>
      <c r="E770" t="inlineStr">
        <is>
          <t>Input</t>
        </is>
      </c>
      <c r="F770" t="n">
        <v/>
      </c>
      <c r="G770" t="inlineStr">
        <is>
          <t>October 01, 2012</t>
        </is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11</v>
      </c>
      <c r="M770" t="inlineStr">
        <is>
          <t>Values must be of type &lt;class 'str'&gt;</t>
        </is>
      </c>
      <c r="N770" t="inlineStr">
        <is>
          <t>00000000</t>
        </is>
      </c>
      <c r="O770" t="n">
        <v/>
      </c>
      <c r="P770" t="n">
        <v/>
      </c>
      <c r="R770" t="b">
        <v>1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</row>
    <row r="771">
      <c r="A771" t="inlineStr">
        <is>
          <t>ATF fuel</t>
        </is>
      </c>
      <c r="B771" t="inlineStr">
        <is>
          <t>B69</t>
        </is>
      </c>
      <c r="C771" t="n">
        <v>69</v>
      </c>
      <c r="D771" t="n">
        <v>2</v>
      </c>
      <c r="E771" t="inlineStr">
        <is>
          <t>Input</t>
        </is>
      </c>
      <c r="F771" t="n">
        <v/>
      </c>
      <c r="G771" t="n">
        <v>70515.97</v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11</v>
      </c>
      <c r="M771" t="inlineStr">
        <is>
          <t>Values must be of type &lt;class 'str'&gt;</t>
        </is>
      </c>
      <c r="N771" t="inlineStr">
        <is>
          <t>00000000</t>
        </is>
      </c>
      <c r="O771" t="inlineStr">
        <is>
          <t>center</t>
        </is>
      </c>
      <c r="P771" t="n">
        <v/>
      </c>
      <c r="R771" t="b">
        <v>1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</row>
    <row r="772">
      <c r="A772" t="inlineStr">
        <is>
          <t>ATF fuel</t>
        </is>
      </c>
      <c r="B772" t="inlineStr">
        <is>
          <t>C69</t>
        </is>
      </c>
      <c r="C772" t="n">
        <v>69</v>
      </c>
      <c r="D772" t="n">
        <v>3</v>
      </c>
      <c r="E772" t="inlineStr">
        <is>
          <t>Input</t>
        </is>
      </c>
      <c r="F772" t="n">
        <v/>
      </c>
      <c r="G772" t="n">
        <v>77736.89</v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11</v>
      </c>
      <c r="M772" t="inlineStr">
        <is>
          <t>Values must be of type &lt;class 'str'&gt;</t>
        </is>
      </c>
      <c r="N772" t="inlineStr">
        <is>
          <t>00000000</t>
        </is>
      </c>
      <c r="O772" t="inlineStr">
        <is>
          <t>center</t>
        </is>
      </c>
      <c r="P772" t="n">
        <v/>
      </c>
      <c r="R772" t="b">
        <v>1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</row>
    <row r="773">
      <c r="A773" t="inlineStr">
        <is>
          <t>ATF fuel</t>
        </is>
      </c>
      <c r="B773" t="inlineStr">
        <is>
          <t>D69</t>
        </is>
      </c>
      <c r="C773" t="n">
        <v>69</v>
      </c>
      <c r="D773" t="n">
        <v>4</v>
      </c>
      <c r="E773" t="inlineStr">
        <is>
          <t>Input</t>
        </is>
      </c>
      <c r="F773" t="n">
        <v/>
      </c>
      <c r="G773" t="n">
        <v>70949.97</v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11</v>
      </c>
      <c r="M773" t="inlineStr">
        <is>
          <t>Values must be of type &lt;class 'str'&gt;</t>
        </is>
      </c>
      <c r="N773" t="inlineStr">
        <is>
          <t>00000000</t>
        </is>
      </c>
      <c r="O773" t="inlineStr">
        <is>
          <t>center</t>
        </is>
      </c>
      <c r="P773" t="n">
        <v/>
      </c>
      <c r="R773" t="b">
        <v>1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</row>
    <row r="774">
      <c r="A774" t="inlineStr">
        <is>
          <t>ATF fuel</t>
        </is>
      </c>
      <c r="B774" t="inlineStr">
        <is>
          <t>E69</t>
        </is>
      </c>
      <c r="C774" t="n">
        <v>69</v>
      </c>
      <c r="D774" t="n">
        <v>5</v>
      </c>
      <c r="E774" t="inlineStr">
        <is>
          <t>Input</t>
        </is>
      </c>
      <c r="F774" t="n">
        <v/>
      </c>
      <c r="G774" t="n">
        <v>74423.42999999999</v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11</v>
      </c>
      <c r="M774" t="inlineStr">
        <is>
          <t>Values must be of type &lt;class 'str'&gt;</t>
        </is>
      </c>
      <c r="N774" t="inlineStr">
        <is>
          <t>00000000</t>
        </is>
      </c>
      <c r="O774" t="inlineStr">
        <is>
          <t>center</t>
        </is>
      </c>
      <c r="P774" t="n">
        <v/>
      </c>
      <c r="R774" t="b">
        <v>1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</row>
    <row r="775">
      <c r="A775" t="inlineStr">
        <is>
          <t>ATF fuel</t>
        </is>
      </c>
      <c r="B775" t="inlineStr">
        <is>
          <t>F69</t>
        </is>
      </c>
      <c r="C775" t="n">
        <v>69</v>
      </c>
      <c r="D775" t="n">
        <v>6</v>
      </c>
      <c r="E775" t="inlineStr">
        <is>
          <t>Output</t>
        </is>
      </c>
      <c r="F775" t="inlineStr">
        <is>
          <t>'=AVERAGE(B69:E69)</t>
        </is>
      </c>
      <c r="G775" t="n">
        <v>73406.565</v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11</v>
      </c>
      <c r="M775" t="inlineStr">
        <is>
          <t>Values must be of type &lt;class 'str'&gt;</t>
        </is>
      </c>
      <c r="N775" t="inlineStr">
        <is>
          <t>00000000</t>
        </is>
      </c>
      <c r="O775" t="inlineStr">
        <is>
          <t>center</t>
        </is>
      </c>
      <c r="P775" t="n">
        <v/>
      </c>
      <c r="R775" t="b">
        <v>1</v>
      </c>
      <c r="S775" t="inlineStr">
        <is>
          <t>G000284</t>
        </is>
      </c>
      <c r="T775" t="inlineStr">
        <is>
          <t>Vertical</t>
        </is>
      </c>
      <c r="U775" t="n">
        <v>130</v>
      </c>
      <c r="V775" t="b">
        <v>1</v>
      </c>
      <c r="W775" t="inlineStr">
        <is>
          <t>ATF fuel!F2:F131</t>
        </is>
      </c>
      <c r="X775">
        <f>AVERAGE(R[0]C[-4]:R[0]C[-1])</f>
        <v/>
      </c>
    </row>
    <row r="776">
      <c r="A776" t="inlineStr">
        <is>
          <t>ATF fuel</t>
        </is>
      </c>
      <c r="B776" t="inlineStr">
        <is>
          <t>G69</t>
        </is>
      </c>
      <c r="C776" t="n">
        <v>69</v>
      </c>
      <c r="D776" t="n">
        <v>7</v>
      </c>
      <c r="E776" t="inlineStr">
        <is>
          <t>Calculation</t>
        </is>
      </c>
      <c r="F776" t="inlineStr">
        <is>
          <t>'=G68-1</t>
        </is>
      </c>
      <c r="G776" t="n">
        <v>64</v>
      </c>
      <c r="H776" t="inlineStr"/>
      <c r="I776" t="inlineStr">
        <is>
          <t>#,##0</t>
        </is>
      </c>
      <c r="J776" t="b">
        <v>0</v>
      </c>
      <c r="K776" t="b">
        <v>0</v>
      </c>
      <c r="L776" t="n">
        <v>11</v>
      </c>
      <c r="M776" t="inlineStr">
        <is>
          <t>Values must be of type &lt;class 'str'&gt;</t>
        </is>
      </c>
      <c r="N776" t="inlineStr">
        <is>
          <t>00000000</t>
        </is>
      </c>
      <c r="O776" t="n">
        <v/>
      </c>
      <c r="P776" t="n">
        <v/>
      </c>
      <c r="R776" t="b">
        <v>1</v>
      </c>
      <c r="S776" t="inlineStr">
        <is>
          <t>G000286</t>
        </is>
      </c>
      <c r="T776" t="inlineStr">
        <is>
          <t>Vertical</t>
        </is>
      </c>
      <c r="U776" t="n">
        <v>129</v>
      </c>
      <c r="V776" t="b">
        <v>1</v>
      </c>
      <c r="W776" t="inlineStr">
        <is>
          <t>ATF fuel!G3:G131</t>
        </is>
      </c>
      <c r="X776">
        <f>R[-1]C[0]-1</f>
        <v/>
      </c>
    </row>
    <row r="777">
      <c r="A777" t="inlineStr">
        <is>
          <t>ATF fuel</t>
        </is>
      </c>
      <c r="B777" t="inlineStr">
        <is>
          <t>H69</t>
        </is>
      </c>
      <c r="C777" t="n">
        <v>69</v>
      </c>
      <c r="D777" t="n">
        <v>8</v>
      </c>
      <c r="E777" t="inlineStr">
        <is>
          <t>Output</t>
        </is>
      </c>
      <c r="F777" t="inlineStr">
        <is>
          <t>'=INDIRECT("A"&amp;G103)</t>
        </is>
      </c>
      <c r="G777" t="inlineStr">
        <is>
          <t>November 01, 2015</t>
        </is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11</v>
      </c>
      <c r="M777" t="inlineStr">
        <is>
          <t>Values must be of type &lt;class 'str'&gt;</t>
        </is>
      </c>
      <c r="N777" t="inlineStr">
        <is>
          <t>00000000</t>
        </is>
      </c>
      <c r="O777" t="n">
        <v/>
      </c>
      <c r="P777" t="n">
        <v/>
      </c>
      <c r="R777" t="b">
        <v>1</v>
      </c>
      <c r="S777" t="inlineStr">
        <is>
          <t>G000289</t>
        </is>
      </c>
      <c r="T777" t="inlineStr">
        <is>
          <t>Vertical</t>
        </is>
      </c>
      <c r="U777" t="n">
        <v>17</v>
      </c>
      <c r="V777" t="b">
        <v>1</v>
      </c>
      <c r="W777" t="inlineStr">
        <is>
          <t>ATF fuel!H53:H69</t>
        </is>
      </c>
      <c r="X777">
        <f>INDIRECT("A"&amp;R[34]C[-1])</f>
        <v/>
      </c>
    </row>
    <row r="778">
      <c r="A778" t="inlineStr">
        <is>
          <t>ATF fuel</t>
        </is>
      </c>
      <c r="B778" t="inlineStr">
        <is>
          <t>I69</t>
        </is>
      </c>
      <c r="C778" t="n">
        <v>69</v>
      </c>
      <c r="D778" t="n">
        <v>9</v>
      </c>
      <c r="E778" t="inlineStr">
        <is>
          <t>Output</t>
        </is>
      </c>
      <c r="F778" t="inlineStr">
        <is>
          <t>'=INDIRECT("F"&amp;G103)</t>
        </is>
      </c>
      <c r="G778" t="n">
        <v>46493.61</v>
      </c>
      <c r="H778" t="inlineStr"/>
      <c r="I778" t="inlineStr">
        <is>
          <t xml:space="preserve">_ * #,##0_ ;_ * \-#,##0_ ;_ * "-"??_ ;_ @_ </t>
        </is>
      </c>
      <c r="J778" t="b">
        <v>0</v>
      </c>
      <c r="K778" t="b">
        <v>0</v>
      </c>
      <c r="L778" t="n">
        <v>11</v>
      </c>
      <c r="M778" t="inlineStr">
        <is>
          <t>Values must be of type &lt;class 'str'&gt;</t>
        </is>
      </c>
      <c r="N778" t="inlineStr">
        <is>
          <t>00000000</t>
        </is>
      </c>
      <c r="O778" t="n">
        <v/>
      </c>
      <c r="P778" t="n">
        <v/>
      </c>
      <c r="R778" t="b">
        <v>1</v>
      </c>
      <c r="S778" t="inlineStr">
        <is>
          <t>G000290</t>
        </is>
      </c>
      <c r="T778" t="inlineStr">
        <is>
          <t>Vertical</t>
        </is>
      </c>
      <c r="U778" t="n">
        <v>17</v>
      </c>
      <c r="V778" t="b">
        <v>1</v>
      </c>
      <c r="W778" t="inlineStr">
        <is>
          <t>ATF fuel!I53:I69</t>
        </is>
      </c>
      <c r="X778">
        <f>INDIRECT("F"&amp;R[34]C[-2])</f>
        <v/>
      </c>
    </row>
    <row r="779">
      <c r="A779" t="inlineStr">
        <is>
          <t>ATF fuel</t>
        </is>
      </c>
      <c r="B779" t="inlineStr">
        <is>
          <t>J69</t>
        </is>
      </c>
      <c r="C779" t="n">
        <v>69</v>
      </c>
      <c r="D779" t="n">
        <v>10</v>
      </c>
      <c r="E779" t="inlineStr">
        <is>
          <t>Input</t>
        </is>
      </c>
      <c r="F779" t="n">
        <v/>
      </c>
      <c r="G779" t="n">
        <v>46.09</v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11</v>
      </c>
      <c r="M779" t="inlineStr">
        <is>
          <t>Values must be of type &lt;class 'str'&gt;</t>
        </is>
      </c>
      <c r="N779" t="inlineStr">
        <is>
          <t>00000000</t>
        </is>
      </c>
      <c r="O779" t="n">
        <v/>
      </c>
      <c r="P779" t="n">
        <v/>
      </c>
      <c r="R779" t="b">
        <v>1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</row>
    <row r="780">
      <c r="A780" t="inlineStr">
        <is>
          <t>ATF fuel</t>
        </is>
      </c>
      <c r="B780" t="inlineStr">
        <is>
          <t>K69</t>
        </is>
      </c>
      <c r="C780" t="n">
        <v>69</v>
      </c>
      <c r="D780" t="n">
        <v>11</v>
      </c>
      <c r="E780" t="inlineStr">
        <is>
          <t>Input</t>
        </is>
      </c>
      <c r="F780" t="n">
        <v/>
      </c>
      <c r="G780" t="n">
        <v>46.12</v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11</v>
      </c>
      <c r="M780" t="inlineStr">
        <is>
          <t>Values must be of type &lt;class 'str'&gt;</t>
        </is>
      </c>
      <c r="N780" t="inlineStr">
        <is>
          <t>00000000</t>
        </is>
      </c>
      <c r="O780" t="n">
        <v/>
      </c>
      <c r="P780" t="n">
        <v/>
      </c>
      <c r="R780" t="b">
        <v>1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</row>
    <row r="781">
      <c r="A781" t="inlineStr">
        <is>
          <t>ATF fuel</t>
        </is>
      </c>
      <c r="B781" t="inlineStr">
        <is>
          <t>A70</t>
        </is>
      </c>
      <c r="C781" t="n">
        <v>70</v>
      </c>
      <c r="D781" t="n">
        <v>1</v>
      </c>
      <c r="E781" t="inlineStr">
        <is>
          <t>Input</t>
        </is>
      </c>
      <c r="F781" t="n">
        <v/>
      </c>
      <c r="G781" t="inlineStr">
        <is>
          <t>September 16, 2012</t>
        </is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11</v>
      </c>
      <c r="M781" t="inlineStr">
        <is>
          <t>Values must be of type &lt;class 'str'&gt;</t>
        </is>
      </c>
      <c r="N781" t="inlineStr">
        <is>
          <t>00000000</t>
        </is>
      </c>
      <c r="O781" t="n">
        <v/>
      </c>
      <c r="P781" t="n">
        <v/>
      </c>
      <c r="R781" t="b">
        <v>1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</row>
    <row r="782">
      <c r="A782" t="inlineStr">
        <is>
          <t>ATF fuel</t>
        </is>
      </c>
      <c r="B782" t="inlineStr">
        <is>
          <t>B70</t>
        </is>
      </c>
      <c r="C782" t="n">
        <v>70</v>
      </c>
      <c r="D782" t="n">
        <v>2</v>
      </c>
      <c r="E782" t="inlineStr">
        <is>
          <t>Input</t>
        </is>
      </c>
      <c r="F782" t="n">
        <v/>
      </c>
      <c r="G782" t="n">
        <v>73710.69</v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11</v>
      </c>
      <c r="M782" t="inlineStr">
        <is>
          <t>Values must be of type &lt;class 'str'&gt;</t>
        </is>
      </c>
      <c r="N782" t="inlineStr">
        <is>
          <t>00000000</t>
        </is>
      </c>
      <c r="O782" t="inlineStr">
        <is>
          <t>center</t>
        </is>
      </c>
      <c r="P782" t="n">
        <v/>
      </c>
      <c r="R782" t="b">
        <v>1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</row>
    <row r="783">
      <c r="A783" t="inlineStr">
        <is>
          <t>ATF fuel</t>
        </is>
      </c>
      <c r="B783" t="inlineStr">
        <is>
          <t>C70</t>
        </is>
      </c>
      <c r="C783" t="n">
        <v>70</v>
      </c>
      <c r="D783" t="n">
        <v>3</v>
      </c>
      <c r="E783" t="inlineStr">
        <is>
          <t>Input</t>
        </is>
      </c>
      <c r="F783" t="n">
        <v/>
      </c>
      <c r="G783" t="n">
        <v>81119.39</v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11</v>
      </c>
      <c r="M783" t="inlineStr">
        <is>
          <t>Values must be of type &lt;class 'str'&gt;</t>
        </is>
      </c>
      <c r="N783" t="inlineStr">
        <is>
          <t>00000000</t>
        </is>
      </c>
      <c r="O783" t="inlineStr">
        <is>
          <t>center</t>
        </is>
      </c>
      <c r="P783" t="n">
        <v/>
      </c>
      <c r="R783" t="b">
        <v>1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</row>
    <row r="784">
      <c r="A784" t="inlineStr">
        <is>
          <t>ATF fuel</t>
        </is>
      </c>
      <c r="B784" t="inlineStr">
        <is>
          <t>D70</t>
        </is>
      </c>
      <c r="C784" t="n">
        <v>70</v>
      </c>
      <c r="D784" t="n">
        <v>4</v>
      </c>
      <c r="E784" t="inlineStr">
        <is>
          <t>Input</t>
        </is>
      </c>
      <c r="F784" t="n">
        <v/>
      </c>
      <c r="G784" t="n">
        <v>74332.47</v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11</v>
      </c>
      <c r="M784" t="inlineStr">
        <is>
          <t>Values must be of type &lt;class 'str'&gt;</t>
        </is>
      </c>
      <c r="N784" t="inlineStr">
        <is>
          <t>00000000</t>
        </is>
      </c>
      <c r="O784" t="inlineStr">
        <is>
          <t>center</t>
        </is>
      </c>
      <c r="P784" t="n">
        <v/>
      </c>
      <c r="R784" t="b">
        <v>1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</row>
    <row r="785">
      <c r="A785" t="inlineStr">
        <is>
          <t>ATF fuel</t>
        </is>
      </c>
      <c r="B785" t="inlineStr">
        <is>
          <t>E70</t>
        </is>
      </c>
      <c r="C785" t="n">
        <v>70</v>
      </c>
      <c r="D785" t="n">
        <v>5</v>
      </c>
      <c r="E785" t="inlineStr">
        <is>
          <t>Input</t>
        </is>
      </c>
      <c r="F785" t="n">
        <v/>
      </c>
      <c r="G785" t="n">
        <v>77914.17</v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11</v>
      </c>
      <c r="M785" t="inlineStr">
        <is>
          <t>Values must be of type &lt;class 'str'&gt;</t>
        </is>
      </c>
      <c r="N785" t="inlineStr">
        <is>
          <t>00000000</t>
        </is>
      </c>
      <c r="O785" t="inlineStr">
        <is>
          <t>center</t>
        </is>
      </c>
      <c r="P785" t="n">
        <v/>
      </c>
      <c r="R785" t="b">
        <v>1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</row>
    <row r="786">
      <c r="A786" t="inlineStr">
        <is>
          <t>ATF fuel</t>
        </is>
      </c>
      <c r="B786" t="inlineStr">
        <is>
          <t>F70</t>
        </is>
      </c>
      <c r="C786" t="n">
        <v>70</v>
      </c>
      <c r="D786" t="n">
        <v>6</v>
      </c>
      <c r="E786" t="inlineStr">
        <is>
          <t>Output</t>
        </is>
      </c>
      <c r="F786" t="inlineStr">
        <is>
          <t>'=AVERAGE(B70:E70)</t>
        </is>
      </c>
      <c r="G786" t="n">
        <v>76769.18000000001</v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11</v>
      </c>
      <c r="M786" t="inlineStr">
        <is>
          <t>Values must be of type &lt;class 'str'&gt;</t>
        </is>
      </c>
      <c r="N786" t="inlineStr">
        <is>
          <t>00000000</t>
        </is>
      </c>
      <c r="O786" t="inlineStr">
        <is>
          <t>center</t>
        </is>
      </c>
      <c r="P786" t="n">
        <v/>
      </c>
      <c r="R786" t="b">
        <v>1</v>
      </c>
      <c r="S786" t="inlineStr">
        <is>
          <t>G000284</t>
        </is>
      </c>
      <c r="T786" t="inlineStr">
        <is>
          <t>Vertical</t>
        </is>
      </c>
      <c r="U786" t="n">
        <v>130</v>
      </c>
      <c r="V786" t="b">
        <v>1</v>
      </c>
      <c r="W786" t="inlineStr">
        <is>
          <t>ATF fuel!F2:F131</t>
        </is>
      </c>
      <c r="X786">
        <f>AVERAGE(R[0]C[-4]:R[0]C[-1])</f>
        <v/>
      </c>
    </row>
    <row r="787">
      <c r="A787" t="inlineStr">
        <is>
          <t>ATF fuel</t>
        </is>
      </c>
      <c r="B787" t="inlineStr">
        <is>
          <t>G70</t>
        </is>
      </c>
      <c r="C787" t="n">
        <v>70</v>
      </c>
      <c r="D787" t="n">
        <v>7</v>
      </c>
      <c r="E787" t="inlineStr">
        <is>
          <t>Calculation</t>
        </is>
      </c>
      <c r="F787" t="inlineStr">
        <is>
          <t>'=G69-1</t>
        </is>
      </c>
      <c r="G787" t="n">
        <v>63</v>
      </c>
      <c r="H787" t="inlineStr"/>
      <c r="I787" t="inlineStr">
        <is>
          <t>#,##0</t>
        </is>
      </c>
      <c r="J787" t="b">
        <v>0</v>
      </c>
      <c r="K787" t="b">
        <v>0</v>
      </c>
      <c r="L787" t="n">
        <v>11</v>
      </c>
      <c r="M787" t="inlineStr">
        <is>
          <t>Values must be of type &lt;class 'str'&gt;</t>
        </is>
      </c>
      <c r="N787" t="inlineStr">
        <is>
          <t>00000000</t>
        </is>
      </c>
      <c r="O787" t="n">
        <v/>
      </c>
      <c r="P787" t="n">
        <v/>
      </c>
      <c r="R787" t="b">
        <v>1</v>
      </c>
      <c r="S787" t="inlineStr">
        <is>
          <t>G000286</t>
        </is>
      </c>
      <c r="T787" t="inlineStr">
        <is>
          <t>Vertical</t>
        </is>
      </c>
      <c r="U787" t="n">
        <v>129</v>
      </c>
      <c r="V787" t="b">
        <v>1</v>
      </c>
      <c r="W787" t="inlineStr">
        <is>
          <t>ATF fuel!G3:G131</t>
        </is>
      </c>
      <c r="X787">
        <f>R[-1]C[0]-1</f>
        <v/>
      </c>
    </row>
    <row r="788">
      <c r="A788" t="inlineStr">
        <is>
          <t>ATF fuel</t>
        </is>
      </c>
      <c r="B788" t="inlineStr">
        <is>
          <t>H70</t>
        </is>
      </c>
      <c r="C788" t="n">
        <v>70</v>
      </c>
      <c r="D788" t="n">
        <v>8</v>
      </c>
      <c r="E788" t="inlineStr">
        <is>
          <t>Output</t>
        </is>
      </c>
      <c r="F788" t="inlineStr">
        <is>
          <t>'=INDIRECT("A"&amp;G105)</t>
        </is>
      </c>
      <c r="G788" t="inlineStr">
        <is>
          <t>December 01, 2015</t>
        </is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11</v>
      </c>
      <c r="M788" t="inlineStr">
        <is>
          <t>Values must be of type &lt;class 'str'&gt;</t>
        </is>
      </c>
      <c r="N788" t="inlineStr">
        <is>
          <t>00000000</t>
        </is>
      </c>
      <c r="O788" t="n">
        <v/>
      </c>
      <c r="P788" t="n">
        <v/>
      </c>
      <c r="R788" t="b">
        <v>1</v>
      </c>
      <c r="S788" t="inlineStr">
        <is>
          <t>G000291</t>
        </is>
      </c>
      <c r="T788" t="inlineStr">
        <is>
          <t>Vertical</t>
        </is>
      </c>
      <c r="U788" t="n">
        <v>4</v>
      </c>
      <c r="V788" t="b">
        <v>1</v>
      </c>
      <c r="W788" t="inlineStr">
        <is>
          <t>ATF fuel!H70:H73</t>
        </is>
      </c>
      <c r="X788">
        <f>INDIRECT("A"&amp;R[35]C[-1])</f>
        <v/>
      </c>
    </row>
    <row r="789">
      <c r="A789" t="inlineStr">
        <is>
          <t>ATF fuel</t>
        </is>
      </c>
      <c r="B789" t="inlineStr">
        <is>
          <t>I70</t>
        </is>
      </c>
      <c r="C789" t="n">
        <v>70</v>
      </c>
      <c r="D789" t="n">
        <v>9</v>
      </c>
      <c r="E789" t="inlineStr">
        <is>
          <t>Output</t>
        </is>
      </c>
      <c r="F789" t="inlineStr">
        <is>
          <t>'=INDIRECT("F"&amp;G105)</t>
        </is>
      </c>
      <c r="G789" t="n">
        <v>46406.12</v>
      </c>
      <c r="H789" t="inlineStr"/>
      <c r="I789" t="inlineStr">
        <is>
          <t xml:space="preserve">_ * #,##0_ ;_ * \-#,##0_ ;_ * "-"??_ ;_ @_ </t>
        </is>
      </c>
      <c r="J789" t="b">
        <v>0</v>
      </c>
      <c r="K789" t="b">
        <v>0</v>
      </c>
      <c r="L789" t="n">
        <v>11</v>
      </c>
      <c r="M789" t="inlineStr">
        <is>
          <t>Values must be of type &lt;class 'str'&gt;</t>
        </is>
      </c>
      <c r="N789" t="inlineStr">
        <is>
          <t>00000000</t>
        </is>
      </c>
      <c r="O789" t="n">
        <v/>
      </c>
      <c r="P789" t="n">
        <v/>
      </c>
      <c r="R789" t="b">
        <v>1</v>
      </c>
      <c r="S789" t="inlineStr">
        <is>
          <t>G000292</t>
        </is>
      </c>
      <c r="T789" t="inlineStr">
        <is>
          <t>Vertical</t>
        </is>
      </c>
      <c r="U789" t="n">
        <v>4</v>
      </c>
      <c r="V789" t="b">
        <v>1</v>
      </c>
      <c r="W789" t="inlineStr">
        <is>
          <t>ATF fuel!I70:I73</t>
        </is>
      </c>
      <c r="X789">
        <f>INDIRECT("F"&amp;R[35]C[-2])</f>
        <v/>
      </c>
    </row>
    <row r="790">
      <c r="A790" t="inlineStr">
        <is>
          <t>ATF fuel</t>
        </is>
      </c>
      <c r="B790" t="inlineStr">
        <is>
          <t>J70</t>
        </is>
      </c>
      <c r="C790" t="n">
        <v>70</v>
      </c>
      <c r="D790" t="n">
        <v>10</v>
      </c>
      <c r="E790" t="inlineStr">
        <is>
          <t>Input</t>
        </is>
      </c>
      <c r="F790" t="n">
        <v/>
      </c>
      <c r="G790" t="n">
        <v>39.69</v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11</v>
      </c>
      <c r="M790" t="inlineStr">
        <is>
          <t>Values must be of type &lt;class 'str'&gt;</t>
        </is>
      </c>
      <c r="N790" t="inlineStr">
        <is>
          <t>00000000</t>
        </is>
      </c>
      <c r="O790" t="n">
        <v/>
      </c>
      <c r="P790" t="n">
        <v/>
      </c>
      <c r="R790" t="b">
        <v>1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</row>
    <row r="791">
      <c r="A791" t="inlineStr">
        <is>
          <t>ATF fuel</t>
        </is>
      </c>
      <c r="B791" t="inlineStr">
        <is>
          <t>K70</t>
        </is>
      </c>
      <c r="C791" t="n">
        <v>70</v>
      </c>
      <c r="D791" t="n">
        <v>11</v>
      </c>
      <c r="E791" t="inlineStr">
        <is>
          <t>Input</t>
        </is>
      </c>
      <c r="F791" t="n">
        <v/>
      </c>
      <c r="G791" t="n">
        <v>40.58</v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11</v>
      </c>
      <c r="M791" t="inlineStr">
        <is>
          <t>Values must be of type &lt;class 'str'&gt;</t>
        </is>
      </c>
      <c r="N791" t="inlineStr">
        <is>
          <t>00000000</t>
        </is>
      </c>
      <c r="O791" t="n">
        <v/>
      </c>
      <c r="P791" t="n">
        <v/>
      </c>
      <c r="R791" t="b">
        <v>1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</row>
    <row r="792">
      <c r="A792" t="inlineStr">
        <is>
          <t>ATF fuel</t>
        </is>
      </c>
      <c r="B792" t="inlineStr">
        <is>
          <t>A71</t>
        </is>
      </c>
      <c r="C792" t="n">
        <v>71</v>
      </c>
      <c r="D792" t="n">
        <v>1</v>
      </c>
      <c r="E792" t="inlineStr">
        <is>
          <t>Input</t>
        </is>
      </c>
      <c r="F792" t="n">
        <v/>
      </c>
      <c r="G792" t="inlineStr">
        <is>
          <t>September 01, 2012</t>
        </is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11</v>
      </c>
      <c r="M792" t="inlineStr">
        <is>
          <t>Values must be of type &lt;class 'str'&gt;</t>
        </is>
      </c>
      <c r="N792" t="inlineStr">
        <is>
          <t>00000000</t>
        </is>
      </c>
      <c r="O792" t="n">
        <v/>
      </c>
      <c r="P792" t="n">
        <v/>
      </c>
      <c r="R792" t="b">
        <v>1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</row>
    <row r="793">
      <c r="A793" t="inlineStr">
        <is>
          <t>ATF fuel</t>
        </is>
      </c>
      <c r="B793" t="inlineStr">
        <is>
          <t>B71</t>
        </is>
      </c>
      <c r="C793" t="n">
        <v>71</v>
      </c>
      <c r="D793" t="n">
        <v>2</v>
      </c>
      <c r="E793" t="inlineStr">
        <is>
          <t>Input</t>
        </is>
      </c>
      <c r="F793" t="n">
        <v/>
      </c>
      <c r="G793" t="n">
        <v>72281.92</v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11</v>
      </c>
      <c r="M793" t="inlineStr">
        <is>
          <t>Values must be of type &lt;class 'str'&gt;</t>
        </is>
      </c>
      <c r="N793" t="inlineStr">
        <is>
          <t>00000000</t>
        </is>
      </c>
      <c r="O793" t="inlineStr">
        <is>
          <t>center</t>
        </is>
      </c>
      <c r="P793" t="n">
        <v/>
      </c>
      <c r="R793" t="b">
        <v>1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</row>
    <row r="794">
      <c r="A794" t="inlineStr">
        <is>
          <t>ATF fuel</t>
        </is>
      </c>
      <c r="B794" t="inlineStr">
        <is>
          <t>C71</t>
        </is>
      </c>
      <c r="C794" t="n">
        <v>71</v>
      </c>
      <c r="D794" t="n">
        <v>3</v>
      </c>
      <c r="E794" t="inlineStr">
        <is>
          <t>Input</t>
        </is>
      </c>
      <c r="F794" t="n">
        <v/>
      </c>
      <c r="G794" t="n">
        <v>79590.5</v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11</v>
      </c>
      <c r="M794" t="inlineStr">
        <is>
          <t>Values must be of type &lt;class 'str'&gt;</t>
        </is>
      </c>
      <c r="N794" t="inlineStr">
        <is>
          <t>00000000</t>
        </is>
      </c>
      <c r="O794" t="inlineStr">
        <is>
          <t>center</t>
        </is>
      </c>
      <c r="P794" t="n">
        <v/>
      </c>
      <c r="R794" t="b">
        <v>1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</row>
    <row r="795">
      <c r="A795" t="inlineStr">
        <is>
          <t>ATF fuel</t>
        </is>
      </c>
      <c r="B795" t="inlineStr">
        <is>
          <t>D71</t>
        </is>
      </c>
      <c r="C795" t="n">
        <v>71</v>
      </c>
      <c r="D795" t="n">
        <v>4</v>
      </c>
      <c r="E795" t="inlineStr">
        <is>
          <t>Input</t>
        </is>
      </c>
      <c r="F795" t="n">
        <v/>
      </c>
      <c r="G795" t="n">
        <v>72830.64</v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11</v>
      </c>
      <c r="M795" t="inlineStr">
        <is>
          <t>Values must be of type &lt;class 'str'&gt;</t>
        </is>
      </c>
      <c r="N795" t="inlineStr">
        <is>
          <t>00000000</t>
        </is>
      </c>
      <c r="O795" t="inlineStr">
        <is>
          <t>center</t>
        </is>
      </c>
      <c r="P795" t="n">
        <v/>
      </c>
      <c r="R795" t="b">
        <v>1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</row>
    <row r="796">
      <c r="A796" t="inlineStr">
        <is>
          <t>ATF fuel</t>
        </is>
      </c>
      <c r="B796" t="inlineStr">
        <is>
          <t>E71</t>
        </is>
      </c>
      <c r="C796" t="n">
        <v>71</v>
      </c>
      <c r="D796" t="n">
        <v>5</v>
      </c>
      <c r="E796" t="inlineStr">
        <is>
          <t>Input</t>
        </is>
      </c>
      <c r="F796" t="n">
        <v/>
      </c>
      <c r="G796" t="n">
        <v>76350.31</v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11</v>
      </c>
      <c r="M796" t="inlineStr">
        <is>
          <t>Values must be of type &lt;class 'str'&gt;</t>
        </is>
      </c>
      <c r="N796" t="inlineStr">
        <is>
          <t>00000000</t>
        </is>
      </c>
      <c r="O796" t="inlineStr">
        <is>
          <t>center</t>
        </is>
      </c>
      <c r="P796" t="n">
        <v/>
      </c>
      <c r="R796" t="b">
        <v>1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</row>
    <row r="797">
      <c r="A797" t="inlineStr">
        <is>
          <t>ATF fuel</t>
        </is>
      </c>
      <c r="B797" t="inlineStr">
        <is>
          <t>F71</t>
        </is>
      </c>
      <c r="C797" t="n">
        <v>71</v>
      </c>
      <c r="D797" t="n">
        <v>6</v>
      </c>
      <c r="E797" t="inlineStr">
        <is>
          <t>Output</t>
        </is>
      </c>
      <c r="F797" t="inlineStr">
        <is>
          <t>'=AVERAGE(B71:E71)</t>
        </is>
      </c>
      <c r="G797" t="n">
        <v>75263.3425</v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11</v>
      </c>
      <c r="M797" t="inlineStr">
        <is>
          <t>Values must be of type &lt;class 'str'&gt;</t>
        </is>
      </c>
      <c r="N797" t="inlineStr">
        <is>
          <t>00000000</t>
        </is>
      </c>
      <c r="O797" t="inlineStr">
        <is>
          <t>center</t>
        </is>
      </c>
      <c r="P797" t="n">
        <v/>
      </c>
      <c r="R797" t="b">
        <v>1</v>
      </c>
      <c r="S797" t="inlineStr">
        <is>
          <t>G000284</t>
        </is>
      </c>
      <c r="T797" t="inlineStr">
        <is>
          <t>Vertical</t>
        </is>
      </c>
      <c r="U797" t="n">
        <v>130</v>
      </c>
      <c r="V797" t="b">
        <v>1</v>
      </c>
      <c r="W797" t="inlineStr">
        <is>
          <t>ATF fuel!F2:F131</t>
        </is>
      </c>
      <c r="X797">
        <f>AVERAGE(R[0]C[-4]:R[0]C[-1])</f>
        <v/>
      </c>
    </row>
    <row r="798">
      <c r="A798" t="inlineStr">
        <is>
          <t>ATF fuel</t>
        </is>
      </c>
      <c r="B798" t="inlineStr">
        <is>
          <t>G71</t>
        </is>
      </c>
      <c r="C798" t="n">
        <v>71</v>
      </c>
      <c r="D798" t="n">
        <v>7</v>
      </c>
      <c r="E798" t="inlineStr">
        <is>
          <t>Calculation</t>
        </is>
      </c>
      <c r="F798" t="inlineStr">
        <is>
          <t>'=G70-1</t>
        </is>
      </c>
      <c r="G798" t="n">
        <v>62</v>
      </c>
      <c r="H798" t="inlineStr"/>
      <c r="I798" t="inlineStr">
        <is>
          <t>#,##0</t>
        </is>
      </c>
      <c r="J798" t="b">
        <v>0</v>
      </c>
      <c r="K798" t="b">
        <v>0</v>
      </c>
      <c r="L798" t="n">
        <v>11</v>
      </c>
      <c r="M798" t="inlineStr">
        <is>
          <t>Values must be of type &lt;class 'str'&gt;</t>
        </is>
      </c>
      <c r="N798" t="inlineStr">
        <is>
          <t>00000000</t>
        </is>
      </c>
      <c r="O798" t="n">
        <v/>
      </c>
      <c r="P798" t="n">
        <v/>
      </c>
      <c r="R798" t="b">
        <v>1</v>
      </c>
      <c r="S798" t="inlineStr">
        <is>
          <t>G000286</t>
        </is>
      </c>
      <c r="T798" t="inlineStr">
        <is>
          <t>Vertical</t>
        </is>
      </c>
      <c r="U798" t="n">
        <v>129</v>
      </c>
      <c r="V798" t="b">
        <v>1</v>
      </c>
      <c r="W798" t="inlineStr">
        <is>
          <t>ATF fuel!G3:G131</t>
        </is>
      </c>
      <c r="X798">
        <f>R[-1]C[0]-1</f>
        <v/>
      </c>
    </row>
    <row r="799">
      <c r="A799" t="inlineStr">
        <is>
          <t>ATF fuel</t>
        </is>
      </c>
      <c r="B799" t="inlineStr">
        <is>
          <t>H71</t>
        </is>
      </c>
      <c r="C799" t="n">
        <v>71</v>
      </c>
      <c r="D799" t="n">
        <v>8</v>
      </c>
      <c r="E799" t="inlineStr">
        <is>
          <t>Output</t>
        </is>
      </c>
      <c r="F799" t="inlineStr">
        <is>
          <t>'=INDIRECT("A"&amp;G106)</t>
        </is>
      </c>
      <c r="G799" t="inlineStr">
        <is>
          <t>January 01, 2016</t>
        </is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11</v>
      </c>
      <c r="M799" t="inlineStr">
        <is>
          <t>Values must be of type &lt;class 'str'&gt;</t>
        </is>
      </c>
      <c r="N799" t="inlineStr">
        <is>
          <t>00000000</t>
        </is>
      </c>
      <c r="O799" t="n">
        <v/>
      </c>
      <c r="P799" t="n">
        <v/>
      </c>
      <c r="R799" t="b">
        <v>1</v>
      </c>
      <c r="S799" t="inlineStr">
        <is>
          <t>G000291</t>
        </is>
      </c>
      <c r="T799" t="inlineStr">
        <is>
          <t>Vertical</t>
        </is>
      </c>
      <c r="U799" t="n">
        <v>4</v>
      </c>
      <c r="V799" t="b">
        <v>1</v>
      </c>
      <c r="W799" t="inlineStr">
        <is>
          <t>ATF fuel!H70:H73</t>
        </is>
      </c>
      <c r="X799">
        <f>INDIRECT("A"&amp;R[35]C[-1])</f>
        <v/>
      </c>
    </row>
    <row r="800">
      <c r="A800" t="inlineStr">
        <is>
          <t>ATF fuel</t>
        </is>
      </c>
      <c r="B800" t="inlineStr">
        <is>
          <t>I71</t>
        </is>
      </c>
      <c r="C800" t="n">
        <v>71</v>
      </c>
      <c r="D800" t="n">
        <v>9</v>
      </c>
      <c r="E800" t="inlineStr">
        <is>
          <t>Output</t>
        </is>
      </c>
      <c r="F800" t="inlineStr">
        <is>
          <t>'=INDIRECT("F"&amp;G106)</t>
        </is>
      </c>
      <c r="G800" t="n">
        <v>41922.23</v>
      </c>
      <c r="H800" t="inlineStr"/>
      <c r="I800" t="inlineStr">
        <is>
          <t xml:space="preserve">_ * #,##0_ ;_ * \-#,##0_ ;_ * "-"??_ ;_ @_ </t>
        </is>
      </c>
      <c r="J800" t="b">
        <v>0</v>
      </c>
      <c r="K800" t="b">
        <v>0</v>
      </c>
      <c r="L800" t="n">
        <v>11</v>
      </c>
      <c r="M800" t="inlineStr">
        <is>
          <t>Values must be of type &lt;class 'str'&gt;</t>
        </is>
      </c>
      <c r="N800" t="inlineStr">
        <is>
          <t>00000000</t>
        </is>
      </c>
      <c r="O800" t="n">
        <v/>
      </c>
      <c r="P800" t="n">
        <v/>
      </c>
      <c r="R800" t="b">
        <v>1</v>
      </c>
      <c r="S800" t="inlineStr">
        <is>
          <t>G000292</t>
        </is>
      </c>
      <c r="T800" t="inlineStr">
        <is>
          <t>Vertical</t>
        </is>
      </c>
      <c r="U800" t="n">
        <v>4</v>
      </c>
      <c r="V800" t="b">
        <v>1</v>
      </c>
      <c r="W800" t="inlineStr">
        <is>
          <t>ATF fuel!I70:I73</t>
        </is>
      </c>
      <c r="X800">
        <f>INDIRECT("F"&amp;R[35]C[-2])</f>
        <v/>
      </c>
    </row>
    <row r="801">
      <c r="A801" t="inlineStr">
        <is>
          <t>ATF fuel</t>
        </is>
      </c>
      <c r="B801" t="inlineStr">
        <is>
          <t>J71</t>
        </is>
      </c>
      <c r="C801" t="n">
        <v>71</v>
      </c>
      <c r="D801" t="n">
        <v>10</v>
      </c>
      <c r="E801" t="inlineStr">
        <is>
          <t>Input</t>
        </is>
      </c>
      <c r="F801" t="n">
        <v/>
      </c>
      <c r="G801" t="n">
        <v>33.57</v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11</v>
      </c>
      <c r="M801" t="inlineStr">
        <is>
          <t>Values must be of type &lt;class 'str'&gt;</t>
        </is>
      </c>
      <c r="N801" t="inlineStr">
        <is>
          <t>00000000</t>
        </is>
      </c>
      <c r="O801" t="n">
        <v/>
      </c>
      <c r="P801" t="n">
        <v/>
      </c>
      <c r="R801" t="b">
        <v>1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</row>
    <row r="802">
      <c r="A802" t="inlineStr">
        <is>
          <t>ATF fuel</t>
        </is>
      </c>
      <c r="B802" t="inlineStr">
        <is>
          <t>K71</t>
        </is>
      </c>
      <c r="C802" t="n">
        <v>71</v>
      </c>
      <c r="D802" t="n">
        <v>11</v>
      </c>
      <c r="E802" t="inlineStr">
        <is>
          <t>Input</t>
        </is>
      </c>
      <c r="F802" t="n">
        <v/>
      </c>
      <c r="G802" t="n">
        <v>37.13</v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11</v>
      </c>
      <c r="M802" t="inlineStr">
        <is>
          <t>Values must be of type &lt;class 'str'&gt;</t>
        </is>
      </c>
      <c r="N802" t="inlineStr">
        <is>
          <t>00000000</t>
        </is>
      </c>
      <c r="O802" t="n">
        <v/>
      </c>
      <c r="P802" t="n">
        <v/>
      </c>
      <c r="R802" t="b">
        <v>1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</row>
    <row r="803">
      <c r="A803" t="inlineStr">
        <is>
          <t>ATF fuel</t>
        </is>
      </c>
      <c r="B803" t="inlineStr">
        <is>
          <t>A72</t>
        </is>
      </c>
      <c r="C803" t="n">
        <v>72</v>
      </c>
      <c r="D803" t="n">
        <v>1</v>
      </c>
      <c r="E803" t="inlineStr">
        <is>
          <t>Input</t>
        </is>
      </c>
      <c r="F803" t="n">
        <v/>
      </c>
      <c r="G803" t="inlineStr">
        <is>
          <t>August 16, 2012</t>
        </is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11</v>
      </c>
      <c r="M803" t="inlineStr">
        <is>
          <t>Values must be of type &lt;class 'str'&gt;</t>
        </is>
      </c>
      <c r="N803" t="inlineStr">
        <is>
          <t>00000000</t>
        </is>
      </c>
      <c r="O803" t="n">
        <v/>
      </c>
      <c r="P803" t="n">
        <v/>
      </c>
      <c r="R803" t="b">
        <v>1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</row>
    <row r="804">
      <c r="A804" t="inlineStr">
        <is>
          <t>ATF fuel</t>
        </is>
      </c>
      <c r="B804" t="inlineStr">
        <is>
          <t>B72</t>
        </is>
      </c>
      <c r="C804" t="n">
        <v>72</v>
      </c>
      <c r="D804" t="n">
        <v>2</v>
      </c>
      <c r="E804" t="inlineStr">
        <is>
          <t>Input</t>
        </is>
      </c>
      <c r="F804" t="n">
        <v/>
      </c>
      <c r="G804" t="n">
        <v>67135.75999999999</v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11</v>
      </c>
      <c r="M804" t="inlineStr">
        <is>
          <t>Values must be of type &lt;class 'str'&gt;</t>
        </is>
      </c>
      <c r="N804" t="inlineStr">
        <is>
          <t>00000000</t>
        </is>
      </c>
      <c r="O804" t="inlineStr">
        <is>
          <t>center</t>
        </is>
      </c>
      <c r="P804" t="n">
        <v/>
      </c>
      <c r="R804" t="b">
        <v>1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</row>
    <row r="805">
      <c r="A805" t="inlineStr">
        <is>
          <t>ATF fuel</t>
        </is>
      </c>
      <c r="B805" t="inlineStr">
        <is>
          <t>C72</t>
        </is>
      </c>
      <c r="C805" t="n">
        <v>72</v>
      </c>
      <c r="D805" t="n">
        <v>3</v>
      </c>
      <c r="E805" t="inlineStr">
        <is>
          <t>Input</t>
        </is>
      </c>
      <c r="F805" t="n">
        <v/>
      </c>
      <c r="G805" t="n">
        <v>75566.67999999999</v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11</v>
      </c>
      <c r="M805" t="inlineStr">
        <is>
          <t>Values must be of type &lt;class 'str'&gt;</t>
        </is>
      </c>
      <c r="N805" t="inlineStr">
        <is>
          <t>00000000</t>
        </is>
      </c>
      <c r="O805" t="inlineStr">
        <is>
          <t>center</t>
        </is>
      </c>
      <c r="P805" t="n">
        <v/>
      </c>
      <c r="R805" t="b">
        <v>1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</row>
    <row r="806">
      <c r="A806" t="inlineStr">
        <is>
          <t>ATF fuel</t>
        </is>
      </c>
      <c r="B806" t="inlineStr">
        <is>
          <t>D72</t>
        </is>
      </c>
      <c r="C806" t="n">
        <v>72</v>
      </c>
      <c r="D806" t="n">
        <v>4</v>
      </c>
      <c r="E806" t="inlineStr">
        <is>
          <t>Input</t>
        </is>
      </c>
      <c r="F806" t="n">
        <v/>
      </c>
      <c r="G806" t="n">
        <v>68103.25999999999</v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11</v>
      </c>
      <c r="M806" t="inlineStr">
        <is>
          <t>Values must be of type &lt;class 'str'&gt;</t>
        </is>
      </c>
      <c r="N806" t="inlineStr">
        <is>
          <t>00000000</t>
        </is>
      </c>
      <c r="O806" t="inlineStr">
        <is>
          <t>center</t>
        </is>
      </c>
      <c r="P806" t="n">
        <v/>
      </c>
      <c r="R806" t="b">
        <v>1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</row>
    <row r="807">
      <c r="A807" t="inlineStr">
        <is>
          <t>ATF fuel</t>
        </is>
      </c>
      <c r="B807" t="inlineStr">
        <is>
          <t>E72</t>
        </is>
      </c>
      <c r="C807" t="n">
        <v>72</v>
      </c>
      <c r="D807" t="n">
        <v>5</v>
      </c>
      <c r="E807" t="inlineStr">
        <is>
          <t>Input</t>
        </is>
      </c>
      <c r="F807" t="n">
        <v/>
      </c>
      <c r="G807" t="n">
        <v>72256.37</v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11</v>
      </c>
      <c r="M807" t="inlineStr">
        <is>
          <t>Values must be of type &lt;class 'str'&gt;</t>
        </is>
      </c>
      <c r="N807" t="inlineStr">
        <is>
          <t>00000000</t>
        </is>
      </c>
      <c r="O807" t="inlineStr">
        <is>
          <t>center</t>
        </is>
      </c>
      <c r="P807" t="n">
        <v/>
      </c>
      <c r="R807" t="b">
        <v>1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</row>
    <row r="808">
      <c r="A808" t="inlineStr">
        <is>
          <t>ATF fuel</t>
        </is>
      </c>
      <c r="B808" t="inlineStr">
        <is>
          <t>F72</t>
        </is>
      </c>
      <c r="C808" t="n">
        <v>72</v>
      </c>
      <c r="D808" t="n">
        <v>6</v>
      </c>
      <c r="E808" t="inlineStr">
        <is>
          <t>Output</t>
        </is>
      </c>
      <c r="F808" t="inlineStr">
        <is>
          <t>'=AVERAGE(B72:E72)</t>
        </is>
      </c>
      <c r="G808" t="n">
        <v>70765.5175</v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11</v>
      </c>
      <c r="M808" t="inlineStr">
        <is>
          <t>Values must be of type &lt;class 'str'&gt;</t>
        </is>
      </c>
      <c r="N808" t="inlineStr">
        <is>
          <t>00000000</t>
        </is>
      </c>
      <c r="O808" t="inlineStr">
        <is>
          <t>center</t>
        </is>
      </c>
      <c r="P808" t="n">
        <v/>
      </c>
      <c r="R808" t="b">
        <v>1</v>
      </c>
      <c r="S808" t="inlineStr">
        <is>
          <t>G000284</t>
        </is>
      </c>
      <c r="T808" t="inlineStr">
        <is>
          <t>Vertical</t>
        </is>
      </c>
      <c r="U808" t="n">
        <v>130</v>
      </c>
      <c r="V808" t="b">
        <v>1</v>
      </c>
      <c r="W808" t="inlineStr">
        <is>
          <t>ATF fuel!F2:F131</t>
        </is>
      </c>
      <c r="X808">
        <f>AVERAGE(R[0]C[-4]:R[0]C[-1])</f>
        <v/>
      </c>
    </row>
    <row r="809">
      <c r="A809" t="inlineStr">
        <is>
          <t>ATF fuel</t>
        </is>
      </c>
      <c r="B809" t="inlineStr">
        <is>
          <t>G72</t>
        </is>
      </c>
      <c r="C809" t="n">
        <v>72</v>
      </c>
      <c r="D809" t="n">
        <v>7</v>
      </c>
      <c r="E809" t="inlineStr">
        <is>
          <t>Calculation</t>
        </is>
      </c>
      <c r="F809" t="inlineStr">
        <is>
          <t>'=G71-1</t>
        </is>
      </c>
      <c r="G809" t="n">
        <v>61</v>
      </c>
      <c r="H809" t="inlineStr"/>
      <c r="I809" t="inlineStr">
        <is>
          <t>#,##0</t>
        </is>
      </c>
      <c r="J809" t="b">
        <v>0</v>
      </c>
      <c r="K809" t="b">
        <v>0</v>
      </c>
      <c r="L809" t="n">
        <v>11</v>
      </c>
      <c r="M809" t="inlineStr">
        <is>
          <t>Values must be of type &lt;class 'str'&gt;</t>
        </is>
      </c>
      <c r="N809" t="inlineStr">
        <is>
          <t>00000000</t>
        </is>
      </c>
      <c r="O809" t="n">
        <v/>
      </c>
      <c r="P809" t="n">
        <v/>
      </c>
      <c r="R809" t="b">
        <v>1</v>
      </c>
      <c r="S809" t="inlineStr">
        <is>
          <t>G000286</t>
        </is>
      </c>
      <c r="T809" t="inlineStr">
        <is>
          <t>Vertical</t>
        </is>
      </c>
      <c r="U809" t="n">
        <v>129</v>
      </c>
      <c r="V809" t="b">
        <v>1</v>
      </c>
      <c r="W809" t="inlineStr">
        <is>
          <t>ATF fuel!G3:G131</t>
        </is>
      </c>
      <c r="X809">
        <f>R[-1]C[0]-1</f>
        <v/>
      </c>
    </row>
    <row r="810">
      <c r="A810" t="inlineStr">
        <is>
          <t>ATF fuel</t>
        </is>
      </c>
      <c r="B810" t="inlineStr">
        <is>
          <t>H72</t>
        </is>
      </c>
      <c r="C810" t="n">
        <v>72</v>
      </c>
      <c r="D810" t="n">
        <v>8</v>
      </c>
      <c r="E810" t="inlineStr">
        <is>
          <t>Output</t>
        </is>
      </c>
      <c r="F810" t="inlineStr">
        <is>
          <t>'=INDIRECT("A"&amp;G107)</t>
        </is>
      </c>
      <c r="G810" t="inlineStr">
        <is>
          <t>February 01,2016</t>
        </is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11</v>
      </c>
      <c r="M810" t="inlineStr">
        <is>
          <t>Values must be of type &lt;class 'str'&gt;</t>
        </is>
      </c>
      <c r="N810" t="inlineStr">
        <is>
          <t>00000000</t>
        </is>
      </c>
      <c r="O810" t="n">
        <v/>
      </c>
      <c r="P810" t="n">
        <v/>
      </c>
      <c r="R810" t="b">
        <v>1</v>
      </c>
      <c r="S810" t="inlineStr">
        <is>
          <t>G000291</t>
        </is>
      </c>
      <c r="T810" t="inlineStr">
        <is>
          <t>Vertical</t>
        </is>
      </c>
      <c r="U810" t="n">
        <v>4</v>
      </c>
      <c r="V810" t="b">
        <v>1</v>
      </c>
      <c r="W810" t="inlineStr">
        <is>
          <t>ATF fuel!H70:H73</t>
        </is>
      </c>
      <c r="X810">
        <f>INDIRECT("A"&amp;R[35]C[-1])</f>
        <v/>
      </c>
    </row>
    <row r="811">
      <c r="A811" t="inlineStr">
        <is>
          <t>ATF fuel</t>
        </is>
      </c>
      <c r="B811" t="inlineStr">
        <is>
          <t>I72</t>
        </is>
      </c>
      <c r="C811" t="n">
        <v>72</v>
      </c>
      <c r="D811" t="n">
        <v>9</v>
      </c>
      <c r="E811" t="inlineStr">
        <is>
          <t>Output</t>
        </is>
      </c>
      <c r="F811" t="inlineStr">
        <is>
          <t>'=INDIRECT("F"&amp;G107)</t>
        </is>
      </c>
      <c r="G811" t="n">
        <v>37121.7925</v>
      </c>
      <c r="H811" t="inlineStr"/>
      <c r="I811" t="inlineStr">
        <is>
          <t xml:space="preserve">_ * #,##0_ ;_ * \-#,##0_ ;_ * "-"??_ ;_ @_ </t>
        </is>
      </c>
      <c r="J811" t="b">
        <v>0</v>
      </c>
      <c r="K811" t="b">
        <v>0</v>
      </c>
      <c r="L811" t="n">
        <v>11</v>
      </c>
      <c r="M811" t="inlineStr">
        <is>
          <t>Values must be of type &lt;class 'str'&gt;</t>
        </is>
      </c>
      <c r="N811" t="inlineStr">
        <is>
          <t>00000000</t>
        </is>
      </c>
      <c r="O811" t="n">
        <v/>
      </c>
      <c r="P811" t="n">
        <v/>
      </c>
      <c r="R811" t="b">
        <v>1</v>
      </c>
      <c r="S811" t="inlineStr">
        <is>
          <t>G000292</t>
        </is>
      </c>
      <c r="T811" t="inlineStr">
        <is>
          <t>Vertical</t>
        </is>
      </c>
      <c r="U811" t="n">
        <v>4</v>
      </c>
      <c r="V811" t="b">
        <v>1</v>
      </c>
      <c r="W811" t="inlineStr">
        <is>
          <t>ATF fuel!I70:I73</t>
        </is>
      </c>
      <c r="X811">
        <f>INDIRECT("F"&amp;R[35]C[-2])</f>
        <v/>
      </c>
    </row>
    <row r="812">
      <c r="A812" t="inlineStr">
        <is>
          <t>ATF fuel</t>
        </is>
      </c>
      <c r="B812" t="inlineStr">
        <is>
          <t>J72</t>
        </is>
      </c>
      <c r="C812" t="n">
        <v>72</v>
      </c>
      <c r="D812" t="n">
        <v>10</v>
      </c>
      <c r="E812" t="inlineStr">
        <is>
          <t>Input</t>
        </is>
      </c>
      <c r="F812" t="n">
        <v/>
      </c>
      <c r="G812" t="n">
        <v>32.76</v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11</v>
      </c>
      <c r="M812" t="inlineStr">
        <is>
          <t>Values must be of type &lt;class 'str'&gt;</t>
        </is>
      </c>
      <c r="N812" t="inlineStr">
        <is>
          <t>00000000</t>
        </is>
      </c>
      <c r="O812" t="n">
        <v/>
      </c>
      <c r="P812" t="n">
        <v/>
      </c>
      <c r="R812" t="b">
        <v>1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</row>
    <row r="813">
      <c r="A813" t="inlineStr">
        <is>
          <t>ATF fuel</t>
        </is>
      </c>
      <c r="B813" t="inlineStr">
        <is>
          <t>K72</t>
        </is>
      </c>
      <c r="C813" t="n">
        <v>72</v>
      </c>
      <c r="D813" t="n">
        <v>11</v>
      </c>
      <c r="E813" t="inlineStr">
        <is>
          <t>Input</t>
        </is>
      </c>
      <c r="F813" t="n">
        <v/>
      </c>
      <c r="G813" t="n">
        <v>31.62</v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11</v>
      </c>
      <c r="M813" t="inlineStr">
        <is>
          <t>Values must be of type &lt;class 'str'&gt;</t>
        </is>
      </c>
      <c r="N813" t="inlineStr">
        <is>
          <t>00000000</t>
        </is>
      </c>
      <c r="O813" t="n">
        <v/>
      </c>
      <c r="P813" t="n">
        <v/>
      </c>
      <c r="R813" t="b">
        <v>1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</row>
    <row r="814">
      <c r="A814" t="inlineStr">
        <is>
          <t>ATF fuel</t>
        </is>
      </c>
      <c r="B814" t="inlineStr">
        <is>
          <t>A73</t>
        </is>
      </c>
      <c r="C814" t="n">
        <v>73</v>
      </c>
      <c r="D814" t="n">
        <v>1</v>
      </c>
      <c r="E814" t="inlineStr">
        <is>
          <t>Input</t>
        </is>
      </c>
      <c r="F814" t="n">
        <v/>
      </c>
      <c r="G814" t="inlineStr">
        <is>
          <t>August 01, 2012</t>
        </is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11</v>
      </c>
      <c r="M814" t="inlineStr">
        <is>
          <t>Values must be of type &lt;class 'str'&gt;</t>
        </is>
      </c>
      <c r="N814" t="inlineStr">
        <is>
          <t>00000000</t>
        </is>
      </c>
      <c r="O814" t="n">
        <v/>
      </c>
      <c r="P814" t="n">
        <v/>
      </c>
      <c r="R814" t="b">
        <v>1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</row>
    <row r="815">
      <c r="A815" t="inlineStr">
        <is>
          <t>ATF fuel</t>
        </is>
      </c>
      <c r="B815" t="inlineStr">
        <is>
          <t>B73</t>
        </is>
      </c>
      <c r="C815" t="n">
        <v>73</v>
      </c>
      <c r="D815" t="n">
        <v>2</v>
      </c>
      <c r="E815" t="inlineStr">
        <is>
          <t>Input</t>
        </is>
      </c>
      <c r="F815" t="n">
        <v/>
      </c>
      <c r="G815" t="n">
        <v>65005.59</v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11</v>
      </c>
      <c r="M815" t="inlineStr">
        <is>
          <t>Values must be of type &lt;class 'str'&gt;</t>
        </is>
      </c>
      <c r="N815" t="inlineStr">
        <is>
          <t>00000000</t>
        </is>
      </c>
      <c r="O815" t="inlineStr">
        <is>
          <t>center</t>
        </is>
      </c>
      <c r="P815" t="n">
        <v/>
      </c>
      <c r="R815" t="b">
        <v>1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</row>
    <row r="816">
      <c r="A816" t="inlineStr">
        <is>
          <t>ATF fuel</t>
        </is>
      </c>
      <c r="B816" t="inlineStr">
        <is>
          <t>C73</t>
        </is>
      </c>
      <c r="C816" t="n">
        <v>73</v>
      </c>
      <c r="D816" t="n">
        <v>3</v>
      </c>
      <c r="E816" t="inlineStr">
        <is>
          <t>Input</t>
        </is>
      </c>
      <c r="F816" t="n">
        <v/>
      </c>
      <c r="G816" t="n">
        <v>73374.82000000001</v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11</v>
      </c>
      <c r="M816" t="inlineStr">
        <is>
          <t>Values must be of type &lt;class 'str'&gt;</t>
        </is>
      </c>
      <c r="N816" t="inlineStr">
        <is>
          <t>00000000</t>
        </is>
      </c>
      <c r="O816" t="inlineStr">
        <is>
          <t>center</t>
        </is>
      </c>
      <c r="P816" t="n">
        <v/>
      </c>
      <c r="R816" t="b">
        <v>1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</row>
    <row r="817">
      <c r="A817" t="inlineStr">
        <is>
          <t>ATF fuel</t>
        </is>
      </c>
      <c r="B817" t="inlineStr">
        <is>
          <t>D73</t>
        </is>
      </c>
      <c r="C817" t="n">
        <v>73</v>
      </c>
      <c r="D817" t="n">
        <v>4</v>
      </c>
      <c r="E817" t="inlineStr">
        <is>
          <t>Input</t>
        </is>
      </c>
      <c r="F817" t="n">
        <v/>
      </c>
      <c r="G817" t="n">
        <v>65884.34</v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11</v>
      </c>
      <c r="M817" t="inlineStr">
        <is>
          <t>Values must be of type &lt;class 'str'&gt;</t>
        </is>
      </c>
      <c r="N817" t="inlineStr">
        <is>
          <t>00000000</t>
        </is>
      </c>
      <c r="O817" t="inlineStr">
        <is>
          <t>center</t>
        </is>
      </c>
      <c r="P817" t="n">
        <v/>
      </c>
      <c r="R817" t="b">
        <v>1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</row>
    <row r="818">
      <c r="A818" t="inlineStr">
        <is>
          <t>ATF fuel</t>
        </is>
      </c>
      <c r="B818" t="inlineStr">
        <is>
          <t>E73</t>
        </is>
      </c>
      <c r="C818" t="n">
        <v>73</v>
      </c>
      <c r="D818" t="n">
        <v>5</v>
      </c>
      <c r="E818" t="inlineStr">
        <is>
          <t>Input</t>
        </is>
      </c>
      <c r="F818" t="n">
        <v/>
      </c>
      <c r="G818" t="n">
        <v>69980.41</v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11</v>
      </c>
      <c r="M818" t="inlineStr">
        <is>
          <t>Values must be of type &lt;class 'str'&gt;</t>
        </is>
      </c>
      <c r="N818" t="inlineStr">
        <is>
          <t>00000000</t>
        </is>
      </c>
      <c r="O818" t="inlineStr">
        <is>
          <t>center</t>
        </is>
      </c>
      <c r="P818" t="n">
        <v/>
      </c>
      <c r="R818" t="b">
        <v>1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</row>
    <row r="819">
      <c r="A819" t="inlineStr">
        <is>
          <t>ATF fuel</t>
        </is>
      </c>
      <c r="B819" t="inlineStr">
        <is>
          <t>F73</t>
        </is>
      </c>
      <c r="C819" t="n">
        <v>73</v>
      </c>
      <c r="D819" t="n">
        <v>6</v>
      </c>
      <c r="E819" t="inlineStr">
        <is>
          <t>Output</t>
        </is>
      </c>
      <c r="F819" t="inlineStr">
        <is>
          <t>'=AVERAGE(B73:E73)</t>
        </is>
      </c>
      <c r="G819" t="n">
        <v>68561.29000000001</v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11</v>
      </c>
      <c r="M819" t="inlineStr">
        <is>
          <t>Values must be of type &lt;class 'str'&gt;</t>
        </is>
      </c>
      <c r="N819" t="inlineStr">
        <is>
          <t>00000000</t>
        </is>
      </c>
      <c r="O819" t="inlineStr">
        <is>
          <t>center</t>
        </is>
      </c>
      <c r="P819" t="n">
        <v/>
      </c>
      <c r="R819" t="b">
        <v>1</v>
      </c>
      <c r="S819" t="inlineStr">
        <is>
          <t>G000284</t>
        </is>
      </c>
      <c r="T819" t="inlineStr">
        <is>
          <t>Vertical</t>
        </is>
      </c>
      <c r="U819" t="n">
        <v>130</v>
      </c>
      <c r="V819" t="b">
        <v>1</v>
      </c>
      <c r="W819" t="inlineStr">
        <is>
          <t>ATF fuel!F2:F131</t>
        </is>
      </c>
      <c r="X819">
        <f>AVERAGE(R[0]C[-4]:R[0]C[-1])</f>
        <v/>
      </c>
    </row>
    <row r="820">
      <c r="A820" t="inlineStr">
        <is>
          <t>ATF fuel</t>
        </is>
      </c>
      <c r="B820" t="inlineStr">
        <is>
          <t>G73</t>
        </is>
      </c>
      <c r="C820" t="n">
        <v>73</v>
      </c>
      <c r="D820" t="n">
        <v>7</v>
      </c>
      <c r="E820" t="inlineStr">
        <is>
          <t>Calculation</t>
        </is>
      </c>
      <c r="F820" t="inlineStr">
        <is>
          <t>'=G72-1</t>
        </is>
      </c>
      <c r="G820" t="n">
        <v>60</v>
      </c>
      <c r="H820" t="inlineStr"/>
      <c r="I820" t="inlineStr">
        <is>
          <t>#,##0</t>
        </is>
      </c>
      <c r="J820" t="b">
        <v>0</v>
      </c>
      <c r="K820" t="b">
        <v>0</v>
      </c>
      <c r="L820" t="n">
        <v>11</v>
      </c>
      <c r="M820" t="inlineStr">
        <is>
          <t>Values must be of type &lt;class 'str'&gt;</t>
        </is>
      </c>
      <c r="N820" t="inlineStr">
        <is>
          <t>00000000</t>
        </is>
      </c>
      <c r="O820" t="n">
        <v/>
      </c>
      <c r="P820" t="n">
        <v/>
      </c>
      <c r="R820" t="b">
        <v>1</v>
      </c>
      <c r="S820" t="inlineStr">
        <is>
          <t>G000286</t>
        </is>
      </c>
      <c r="T820" t="inlineStr">
        <is>
          <t>Vertical</t>
        </is>
      </c>
      <c r="U820" t="n">
        <v>129</v>
      </c>
      <c r="V820" t="b">
        <v>1</v>
      </c>
      <c r="W820" t="inlineStr">
        <is>
          <t>ATF fuel!G3:G131</t>
        </is>
      </c>
      <c r="X820">
        <f>R[-1]C[0]-1</f>
        <v/>
      </c>
    </row>
    <row r="821">
      <c r="A821" t="inlineStr">
        <is>
          <t>ATF fuel</t>
        </is>
      </c>
      <c r="B821" t="inlineStr">
        <is>
          <t>H73</t>
        </is>
      </c>
      <c r="C821" t="n">
        <v>73</v>
      </c>
      <c r="D821" t="n">
        <v>8</v>
      </c>
      <c r="E821" t="inlineStr">
        <is>
          <t>Output</t>
        </is>
      </c>
      <c r="F821" t="inlineStr">
        <is>
          <t>'=INDIRECT("A"&amp;G108)</t>
        </is>
      </c>
      <c r="G821" t="inlineStr">
        <is>
          <t>March 01,2016</t>
        </is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11</v>
      </c>
      <c r="M821" t="inlineStr">
        <is>
          <t>Values must be of type &lt;class 'str'&gt;</t>
        </is>
      </c>
      <c r="N821" t="inlineStr">
        <is>
          <t>00000000</t>
        </is>
      </c>
      <c r="O821" t="n">
        <v/>
      </c>
      <c r="P821" t="n">
        <v/>
      </c>
      <c r="R821" t="b">
        <v>1</v>
      </c>
      <c r="S821" t="inlineStr">
        <is>
          <t>G000291</t>
        </is>
      </c>
      <c r="T821" t="inlineStr">
        <is>
          <t>Vertical</t>
        </is>
      </c>
      <c r="U821" t="n">
        <v>4</v>
      </c>
      <c r="V821" t="b">
        <v>1</v>
      </c>
      <c r="W821" t="inlineStr">
        <is>
          <t>ATF fuel!H70:H73</t>
        </is>
      </c>
      <c r="X821">
        <f>INDIRECT("A"&amp;R[35]C[-1])</f>
        <v/>
      </c>
    </row>
    <row r="822">
      <c r="A822" t="inlineStr">
        <is>
          <t>ATF fuel</t>
        </is>
      </c>
      <c r="B822" t="inlineStr">
        <is>
          <t>I73</t>
        </is>
      </c>
      <c r="C822" t="n">
        <v>73</v>
      </c>
      <c r="D822" t="n">
        <v>9</v>
      </c>
      <c r="E822" t="inlineStr">
        <is>
          <t>Output</t>
        </is>
      </c>
      <c r="F822" t="inlineStr">
        <is>
          <t>'=INDIRECT("F"&amp;G108)</t>
        </is>
      </c>
      <c r="G822" t="n">
        <v>41439.265</v>
      </c>
      <c r="H822" t="inlineStr"/>
      <c r="I822" t="inlineStr">
        <is>
          <t xml:space="preserve">_ * #,##0_ ;_ * \-#,##0_ ;_ * "-"??_ ;_ @_ </t>
        </is>
      </c>
      <c r="J822" t="b">
        <v>0</v>
      </c>
      <c r="K822" t="b">
        <v>0</v>
      </c>
      <c r="L822" t="n">
        <v>11</v>
      </c>
      <c r="M822" t="inlineStr">
        <is>
          <t>Values must be of type &lt;class 'str'&gt;</t>
        </is>
      </c>
      <c r="N822" t="inlineStr">
        <is>
          <t>00000000</t>
        </is>
      </c>
      <c r="O822" t="n">
        <v/>
      </c>
      <c r="P822" t="n">
        <v/>
      </c>
      <c r="R822" t="b">
        <v>1</v>
      </c>
      <c r="S822" t="inlineStr">
        <is>
          <t>G000292</t>
        </is>
      </c>
      <c r="T822" t="inlineStr">
        <is>
          <t>Vertical</t>
        </is>
      </c>
      <c r="U822" t="n">
        <v>4</v>
      </c>
      <c r="V822" t="b">
        <v>1</v>
      </c>
      <c r="W822" t="inlineStr">
        <is>
          <t>ATF fuel!I70:I73</t>
        </is>
      </c>
      <c r="X822">
        <f>INDIRECT("F"&amp;R[35]C[-2])</f>
        <v/>
      </c>
    </row>
    <row r="823">
      <c r="A823" t="inlineStr">
        <is>
          <t>ATF fuel</t>
        </is>
      </c>
      <c r="B823" t="inlineStr">
        <is>
          <t>J73</t>
        </is>
      </c>
      <c r="C823" t="n">
        <v>73</v>
      </c>
      <c r="D823" t="n">
        <v>10</v>
      </c>
      <c r="E823" t="inlineStr">
        <is>
          <t>Input</t>
        </is>
      </c>
      <c r="F823" t="n">
        <v/>
      </c>
      <c r="G823" t="n">
        <v>37.61</v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11</v>
      </c>
      <c r="M823" t="inlineStr">
        <is>
          <t>Values must be of type &lt;class 'str'&gt;</t>
        </is>
      </c>
      <c r="N823" t="inlineStr">
        <is>
          <t>00000000</t>
        </is>
      </c>
      <c r="O823" t="n">
        <v/>
      </c>
      <c r="P823" t="n">
        <v/>
      </c>
      <c r="R823" t="b">
        <v>1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</row>
    <row r="824">
      <c r="A824" t="inlineStr">
        <is>
          <t>ATF fuel</t>
        </is>
      </c>
      <c r="B824" t="inlineStr">
        <is>
          <t>K73</t>
        </is>
      </c>
      <c r="C824" t="n">
        <v>73</v>
      </c>
      <c r="D824" t="n">
        <v>11</v>
      </c>
      <c r="E824" t="inlineStr">
        <is>
          <t>Input</t>
        </is>
      </c>
      <c r="F824" t="n">
        <v/>
      </c>
      <c r="G824" t="n">
        <v>34.39</v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11</v>
      </c>
      <c r="M824" t="inlineStr">
        <is>
          <t>Values must be of type &lt;class 'str'&gt;</t>
        </is>
      </c>
      <c r="N824" t="inlineStr">
        <is>
          <t>00000000</t>
        </is>
      </c>
      <c r="O824" t="n">
        <v/>
      </c>
      <c r="P824" t="n">
        <v/>
      </c>
      <c r="R824" t="b">
        <v>1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</row>
    <row r="825">
      <c r="A825" t="inlineStr">
        <is>
          <t>ATF fuel</t>
        </is>
      </c>
      <c r="B825" t="inlineStr">
        <is>
          <t>A74</t>
        </is>
      </c>
      <c r="C825" t="n">
        <v>74</v>
      </c>
      <c r="D825" t="n">
        <v>1</v>
      </c>
      <c r="E825" t="inlineStr">
        <is>
          <t>Input</t>
        </is>
      </c>
      <c r="F825" t="n">
        <v/>
      </c>
      <c r="G825" t="inlineStr">
        <is>
          <t>July 16, 2012</t>
        </is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11</v>
      </c>
      <c r="M825" t="inlineStr">
        <is>
          <t>Values must be of type &lt;class 'str'&gt;</t>
        </is>
      </c>
      <c r="N825" t="inlineStr">
        <is>
          <t>00000000</t>
        </is>
      </c>
      <c r="O825" t="n">
        <v/>
      </c>
      <c r="P825" t="n">
        <v/>
      </c>
      <c r="R825" t="b">
        <v>1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</row>
    <row r="826">
      <c r="A826" t="inlineStr">
        <is>
          <t>ATF fuel</t>
        </is>
      </c>
      <c r="B826" t="inlineStr">
        <is>
          <t>B74</t>
        </is>
      </c>
      <c r="C826" t="n">
        <v>74</v>
      </c>
      <c r="D826" t="n">
        <v>2</v>
      </c>
      <c r="E826" t="inlineStr">
        <is>
          <t>Input</t>
        </is>
      </c>
      <c r="F826" t="n">
        <v/>
      </c>
      <c r="G826" t="n">
        <v>62208.18</v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11</v>
      </c>
      <c r="M826" t="inlineStr">
        <is>
          <t>Values must be of type &lt;class 'str'&gt;</t>
        </is>
      </c>
      <c r="N826" t="inlineStr">
        <is>
          <t>00000000</t>
        </is>
      </c>
      <c r="O826" t="inlineStr">
        <is>
          <t>center</t>
        </is>
      </c>
      <c r="P826" t="n">
        <v/>
      </c>
      <c r="R826" t="b">
        <v>1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</row>
    <row r="827">
      <c r="A827" t="inlineStr">
        <is>
          <t>ATF fuel</t>
        </is>
      </c>
      <c r="B827" t="inlineStr">
        <is>
          <t>C74</t>
        </is>
      </c>
      <c r="C827" t="n">
        <v>74</v>
      </c>
      <c r="D827" t="n">
        <v>3</v>
      </c>
      <c r="E827" t="inlineStr">
        <is>
          <t>Input</t>
        </is>
      </c>
      <c r="F827" t="n">
        <v/>
      </c>
      <c r="G827" t="n">
        <v>70506.46000000001</v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11</v>
      </c>
      <c r="M827" t="inlineStr">
        <is>
          <t>Values must be of type &lt;class 'str'&gt;</t>
        </is>
      </c>
      <c r="N827" t="inlineStr">
        <is>
          <t>00000000</t>
        </is>
      </c>
      <c r="O827" t="inlineStr">
        <is>
          <t>center</t>
        </is>
      </c>
      <c r="P827" t="n">
        <v/>
      </c>
      <c r="R827" t="b">
        <v>1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</row>
    <row r="828">
      <c r="A828" t="inlineStr">
        <is>
          <t>ATF fuel</t>
        </is>
      </c>
      <c r="B828" t="inlineStr">
        <is>
          <t>D74</t>
        </is>
      </c>
      <c r="C828" t="n">
        <v>74</v>
      </c>
      <c r="D828" t="n">
        <v>4</v>
      </c>
      <c r="E828" t="inlineStr">
        <is>
          <t>Input</t>
        </is>
      </c>
      <c r="F828" t="n">
        <v/>
      </c>
      <c r="G828" t="n">
        <v>63002.45</v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11</v>
      </c>
      <c r="M828" t="inlineStr">
        <is>
          <t>Values must be of type &lt;class 'str'&gt;</t>
        </is>
      </c>
      <c r="N828" t="inlineStr">
        <is>
          <t>00000000</t>
        </is>
      </c>
      <c r="O828" t="inlineStr">
        <is>
          <t>center</t>
        </is>
      </c>
      <c r="P828" t="n">
        <v/>
      </c>
      <c r="R828" t="b">
        <v>1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</row>
    <row r="829">
      <c r="A829" t="inlineStr">
        <is>
          <t>ATF fuel</t>
        </is>
      </c>
      <c r="B829" t="inlineStr">
        <is>
          <t>E74</t>
        </is>
      </c>
      <c r="C829" t="n">
        <v>74</v>
      </c>
      <c r="D829" t="n">
        <v>5</v>
      </c>
      <c r="E829" t="inlineStr">
        <is>
          <t>Input</t>
        </is>
      </c>
      <c r="F829" t="n">
        <v/>
      </c>
      <c r="G829" t="n">
        <v>67020.25999999999</v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11</v>
      </c>
      <c r="M829" t="inlineStr">
        <is>
          <t>Values must be of type &lt;class 'str'&gt;</t>
        </is>
      </c>
      <c r="N829" t="inlineStr">
        <is>
          <t>00000000</t>
        </is>
      </c>
      <c r="O829" t="inlineStr">
        <is>
          <t>center</t>
        </is>
      </c>
      <c r="P829" t="n">
        <v/>
      </c>
      <c r="R829" t="b">
        <v>1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</row>
    <row r="830">
      <c r="A830" t="inlineStr">
        <is>
          <t>ATF fuel</t>
        </is>
      </c>
      <c r="B830" t="inlineStr">
        <is>
          <t>F74</t>
        </is>
      </c>
      <c r="C830" t="n">
        <v>74</v>
      </c>
      <c r="D830" t="n">
        <v>6</v>
      </c>
      <c r="E830" t="inlineStr">
        <is>
          <t>Output</t>
        </is>
      </c>
      <c r="F830" t="inlineStr">
        <is>
          <t>'=AVERAGE(B74:E74)</t>
        </is>
      </c>
      <c r="G830" t="n">
        <v>65684.33750000001</v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11</v>
      </c>
      <c r="M830" t="inlineStr">
        <is>
          <t>Values must be of type &lt;class 'str'&gt;</t>
        </is>
      </c>
      <c r="N830" t="inlineStr">
        <is>
          <t>00000000</t>
        </is>
      </c>
      <c r="O830" t="inlineStr">
        <is>
          <t>center</t>
        </is>
      </c>
      <c r="P830" t="n">
        <v/>
      </c>
      <c r="R830" t="b">
        <v>1</v>
      </c>
      <c r="S830" t="inlineStr">
        <is>
          <t>G000284</t>
        </is>
      </c>
      <c r="T830" t="inlineStr">
        <is>
          <t>Vertical</t>
        </is>
      </c>
      <c r="U830" t="n">
        <v>130</v>
      </c>
      <c r="V830" t="b">
        <v>1</v>
      </c>
      <c r="W830" t="inlineStr">
        <is>
          <t>ATF fuel!F2:F131</t>
        </is>
      </c>
      <c r="X830">
        <f>AVERAGE(R[0]C[-4]:R[0]C[-1])</f>
        <v/>
      </c>
    </row>
    <row r="831">
      <c r="A831" t="inlineStr">
        <is>
          <t>ATF fuel</t>
        </is>
      </c>
      <c r="B831" t="inlineStr">
        <is>
          <t>G74</t>
        </is>
      </c>
      <c r="C831" t="n">
        <v>74</v>
      </c>
      <c r="D831" t="n">
        <v>7</v>
      </c>
      <c r="E831" t="inlineStr">
        <is>
          <t>Calculation</t>
        </is>
      </c>
      <c r="F831" t="inlineStr">
        <is>
          <t>'=G73-1</t>
        </is>
      </c>
      <c r="G831" t="n">
        <v>59</v>
      </c>
      <c r="H831" t="inlineStr"/>
      <c r="I831" t="inlineStr">
        <is>
          <t>#,##0</t>
        </is>
      </c>
      <c r="J831" t="b">
        <v>0</v>
      </c>
      <c r="K831" t="b">
        <v>0</v>
      </c>
      <c r="L831" t="n">
        <v>11</v>
      </c>
      <c r="M831" t="inlineStr">
        <is>
          <t>Values must be of type &lt;class 'str'&gt;</t>
        </is>
      </c>
      <c r="N831" t="inlineStr">
        <is>
          <t>00000000</t>
        </is>
      </c>
      <c r="O831" t="n">
        <v/>
      </c>
      <c r="P831" t="n">
        <v/>
      </c>
      <c r="R831" t="b">
        <v>1</v>
      </c>
      <c r="S831" t="inlineStr">
        <is>
          <t>G000286</t>
        </is>
      </c>
      <c r="T831" t="inlineStr">
        <is>
          <t>Vertical</t>
        </is>
      </c>
      <c r="U831" t="n">
        <v>129</v>
      </c>
      <c r="V831" t="b">
        <v>1</v>
      </c>
      <c r="W831" t="inlineStr">
        <is>
          <t>ATF fuel!G3:G131</t>
        </is>
      </c>
      <c r="X831">
        <f>R[-1]C[0]-1</f>
        <v/>
      </c>
    </row>
    <row r="832">
      <c r="A832" t="inlineStr">
        <is>
          <t>ATF fuel</t>
        </is>
      </c>
      <c r="B832" t="inlineStr">
        <is>
          <t>H74</t>
        </is>
      </c>
      <c r="C832" t="n">
        <v>74</v>
      </c>
      <c r="D832" t="n">
        <v>8</v>
      </c>
      <c r="E832" t="inlineStr">
        <is>
          <t>Output</t>
        </is>
      </c>
      <c r="F832" t="inlineStr">
        <is>
          <t>'=INDIRECT("A"&amp;G110)</t>
        </is>
      </c>
      <c r="G832" t="inlineStr">
        <is>
          <t>April 01,2016</t>
        </is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11</v>
      </c>
      <c r="M832" t="inlineStr">
        <is>
          <t>Values must be of type &lt;class 'str'&gt;</t>
        </is>
      </c>
      <c r="N832" t="inlineStr">
        <is>
          <t>00000000</t>
        </is>
      </c>
      <c r="O832" t="n">
        <v/>
      </c>
      <c r="P832" t="n">
        <v/>
      </c>
      <c r="R832" t="b">
        <v>1</v>
      </c>
      <c r="S832" t="n">
        <v/>
      </c>
      <c r="T832" t="n">
        <v/>
      </c>
      <c r="U832" t="n">
        <v/>
      </c>
      <c r="V832" t="b">
        <v>0</v>
      </c>
      <c r="W832" t="inlineStr"/>
      <c r="X832">
        <f>INDIRECT("A"&amp;R[36]C[-1])</f>
        <v/>
      </c>
    </row>
    <row r="833">
      <c r="A833" t="inlineStr">
        <is>
          <t>ATF fuel</t>
        </is>
      </c>
      <c r="B833" t="inlineStr">
        <is>
          <t>I74</t>
        </is>
      </c>
      <c r="C833" t="n">
        <v>74</v>
      </c>
      <c r="D833" t="n">
        <v>9</v>
      </c>
      <c r="E833" t="inlineStr">
        <is>
          <t>Output</t>
        </is>
      </c>
      <c r="F833" t="inlineStr">
        <is>
          <t>'=INDIRECT("F"&amp;G110)</t>
        </is>
      </c>
      <c r="G833" t="n">
        <v>43960.28999999999</v>
      </c>
      <c r="H833" t="inlineStr"/>
      <c r="I833" t="inlineStr">
        <is>
          <t xml:space="preserve">_ * #,##0_ ;_ * \-#,##0_ ;_ * "-"??_ ;_ @_ </t>
        </is>
      </c>
      <c r="J833" t="b">
        <v>0</v>
      </c>
      <c r="K833" t="b">
        <v>0</v>
      </c>
      <c r="L833" t="n">
        <v>11</v>
      </c>
      <c r="M833" t="inlineStr">
        <is>
          <t>Values must be of type &lt;class 'str'&gt;</t>
        </is>
      </c>
      <c r="N833" t="inlineStr">
        <is>
          <t>00000000</t>
        </is>
      </c>
      <c r="O833" t="n">
        <v/>
      </c>
      <c r="P833" t="n">
        <v/>
      </c>
      <c r="R833" t="b">
        <v>1</v>
      </c>
      <c r="S833" t="n">
        <v/>
      </c>
      <c r="T833" t="n">
        <v/>
      </c>
      <c r="U833" t="n">
        <v/>
      </c>
      <c r="V833" t="b">
        <v>0</v>
      </c>
      <c r="W833" t="inlineStr"/>
      <c r="X833">
        <f>INDIRECT("F"&amp;R[36]C[-2])</f>
        <v/>
      </c>
    </row>
    <row r="834">
      <c r="A834" t="inlineStr">
        <is>
          <t>ATF fuel</t>
        </is>
      </c>
      <c r="B834" t="inlineStr">
        <is>
          <t>J74</t>
        </is>
      </c>
      <c r="C834" t="n">
        <v>74</v>
      </c>
      <c r="D834" t="n">
        <v>10</v>
      </c>
      <c r="E834" t="inlineStr">
        <is>
          <t>Input</t>
        </is>
      </c>
      <c r="F834" t="n">
        <v/>
      </c>
      <c r="G834" t="n">
        <v>37.77</v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11</v>
      </c>
      <c r="M834" t="inlineStr">
        <is>
          <t>Values must be of type &lt;class 'str'&gt;</t>
        </is>
      </c>
      <c r="N834" t="inlineStr">
        <is>
          <t>00000000</t>
        </is>
      </c>
      <c r="O834" t="n">
        <v/>
      </c>
      <c r="P834" t="n">
        <v/>
      </c>
      <c r="R834" t="b">
        <v>1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</row>
    <row r="835">
      <c r="A835" t="inlineStr">
        <is>
          <t>ATF fuel</t>
        </is>
      </c>
      <c r="B835" t="inlineStr">
        <is>
          <t>K74</t>
        </is>
      </c>
      <c r="C835" t="n">
        <v>74</v>
      </c>
      <c r="D835" t="n">
        <v>11</v>
      </c>
      <c r="E835" t="inlineStr">
        <is>
          <t>Input</t>
        </is>
      </c>
      <c r="F835" t="n">
        <v/>
      </c>
      <c r="G835" t="n">
        <v>35.36</v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11</v>
      </c>
      <c r="M835" t="inlineStr">
        <is>
          <t>Values must be of type &lt;class 'str'&gt;</t>
        </is>
      </c>
      <c r="N835" t="inlineStr">
        <is>
          <t>00000000</t>
        </is>
      </c>
      <c r="O835" t="n">
        <v/>
      </c>
      <c r="P835" t="n">
        <v/>
      </c>
      <c r="R835" t="b">
        <v>1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</row>
    <row r="836">
      <c r="A836" t="inlineStr">
        <is>
          <t>ATF fuel</t>
        </is>
      </c>
      <c r="B836" t="inlineStr">
        <is>
          <t>A75</t>
        </is>
      </c>
      <c r="C836" t="n">
        <v>75</v>
      </c>
      <c r="D836" t="n">
        <v>1</v>
      </c>
      <c r="E836" t="inlineStr">
        <is>
          <t>Input</t>
        </is>
      </c>
      <c r="F836" t="n">
        <v/>
      </c>
      <c r="G836" t="inlineStr">
        <is>
          <t>July 01, 2012</t>
        </is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11</v>
      </c>
      <c r="M836" t="inlineStr">
        <is>
          <t>Values must be of type &lt;class 'str'&gt;</t>
        </is>
      </c>
      <c r="N836" t="inlineStr">
        <is>
          <t>00000000</t>
        </is>
      </c>
      <c r="O836" t="n">
        <v/>
      </c>
      <c r="P836" t="n">
        <v/>
      </c>
      <c r="R836" t="b">
        <v>1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</row>
    <row r="837">
      <c r="A837" t="inlineStr">
        <is>
          <t>ATF fuel</t>
        </is>
      </c>
      <c r="B837" t="inlineStr">
        <is>
          <t>B75</t>
        </is>
      </c>
      <c r="C837" t="n">
        <v>75</v>
      </c>
      <c r="D837" t="n">
        <v>2</v>
      </c>
      <c r="E837" t="inlineStr">
        <is>
          <t>Input</t>
        </is>
      </c>
      <c r="F837" t="n">
        <v/>
      </c>
      <c r="G837" t="n">
        <v>61169.08</v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11</v>
      </c>
      <c r="M837" t="inlineStr">
        <is>
          <t>Values must be of type &lt;class 'str'&gt;</t>
        </is>
      </c>
      <c r="N837" t="inlineStr">
        <is>
          <t>00000000</t>
        </is>
      </c>
      <c r="O837" t="inlineStr">
        <is>
          <t>center</t>
        </is>
      </c>
      <c r="P837" t="n">
        <v/>
      </c>
      <c r="R837" t="b">
        <v>1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</row>
    <row r="838">
      <c r="A838" t="inlineStr">
        <is>
          <t>ATF fuel</t>
        </is>
      </c>
      <c r="B838" t="inlineStr">
        <is>
          <t>C75</t>
        </is>
      </c>
      <c r="C838" t="n">
        <v>75</v>
      </c>
      <c r="D838" t="n">
        <v>3</v>
      </c>
      <c r="E838" t="inlineStr">
        <is>
          <t>Input</t>
        </is>
      </c>
      <c r="F838" t="n">
        <v/>
      </c>
      <c r="G838" t="n">
        <v>69532.3</v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11</v>
      </c>
      <c r="M838" t="inlineStr">
        <is>
          <t>Values must be of type &lt;class 'str'&gt;</t>
        </is>
      </c>
      <c r="N838" t="inlineStr">
        <is>
          <t>00000000</t>
        </is>
      </c>
      <c r="O838" t="inlineStr">
        <is>
          <t>center</t>
        </is>
      </c>
      <c r="P838" t="n">
        <v/>
      </c>
      <c r="R838" t="b">
        <v>1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</row>
    <row r="839">
      <c r="A839" t="inlineStr">
        <is>
          <t>ATF fuel</t>
        </is>
      </c>
      <c r="B839" t="inlineStr">
        <is>
          <t>D75</t>
        </is>
      </c>
      <c r="C839" t="n">
        <v>75</v>
      </c>
      <c r="D839" t="n">
        <v>4</v>
      </c>
      <c r="E839" t="inlineStr">
        <is>
          <t>Input</t>
        </is>
      </c>
      <c r="F839" t="n">
        <v/>
      </c>
      <c r="G839" t="n">
        <v>61933.58</v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11</v>
      </c>
      <c r="M839" t="inlineStr">
        <is>
          <t>Values must be of type &lt;class 'str'&gt;</t>
        </is>
      </c>
      <c r="N839" t="inlineStr">
        <is>
          <t>00000000</t>
        </is>
      </c>
      <c r="O839" t="inlineStr">
        <is>
          <t>center</t>
        </is>
      </c>
      <c r="P839" t="n">
        <v/>
      </c>
      <c r="R839" t="b">
        <v>1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</row>
    <row r="840">
      <c r="A840" t="inlineStr">
        <is>
          <t>ATF fuel</t>
        </is>
      </c>
      <c r="B840" t="inlineStr">
        <is>
          <t>E75</t>
        </is>
      </c>
      <c r="C840" t="n">
        <v>75</v>
      </c>
      <c r="D840" t="n">
        <v>5</v>
      </c>
      <c r="E840" t="inlineStr">
        <is>
          <t>Input</t>
        </is>
      </c>
      <c r="F840" t="n">
        <v/>
      </c>
      <c r="G840" t="n">
        <v>65973.03999999999</v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11</v>
      </c>
      <c r="M840" t="inlineStr">
        <is>
          <t>Values must be of type &lt;class 'str'&gt;</t>
        </is>
      </c>
      <c r="N840" t="inlineStr">
        <is>
          <t>00000000</t>
        </is>
      </c>
      <c r="O840" t="inlineStr">
        <is>
          <t>center</t>
        </is>
      </c>
      <c r="P840" t="n">
        <v/>
      </c>
      <c r="R840" t="b">
        <v>1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</row>
    <row r="841">
      <c r="A841" t="inlineStr">
        <is>
          <t>ATF fuel</t>
        </is>
      </c>
      <c r="B841" t="inlineStr">
        <is>
          <t>F75</t>
        </is>
      </c>
      <c r="C841" t="n">
        <v>75</v>
      </c>
      <c r="D841" t="n">
        <v>6</v>
      </c>
      <c r="E841" t="inlineStr">
        <is>
          <t>Output</t>
        </is>
      </c>
      <c r="F841" t="inlineStr">
        <is>
          <t>'=AVERAGE(B75:E75)</t>
        </is>
      </c>
      <c r="G841" t="n">
        <v>64652</v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11</v>
      </c>
      <c r="M841" t="inlineStr">
        <is>
          <t>Values must be of type &lt;class 'str'&gt;</t>
        </is>
      </c>
      <c r="N841" t="inlineStr">
        <is>
          <t>00000000</t>
        </is>
      </c>
      <c r="O841" t="inlineStr">
        <is>
          <t>center</t>
        </is>
      </c>
      <c r="P841" t="n">
        <v/>
      </c>
      <c r="R841" t="b">
        <v>1</v>
      </c>
      <c r="S841" t="inlineStr">
        <is>
          <t>G000284</t>
        </is>
      </c>
      <c r="T841" t="inlineStr">
        <is>
          <t>Vertical</t>
        </is>
      </c>
      <c r="U841" t="n">
        <v>130</v>
      </c>
      <c r="V841" t="b">
        <v>1</v>
      </c>
      <c r="W841" t="inlineStr">
        <is>
          <t>ATF fuel!F2:F131</t>
        </is>
      </c>
      <c r="X841">
        <f>AVERAGE(R[0]C[-4]:R[0]C[-1])</f>
        <v/>
      </c>
    </row>
    <row r="842">
      <c r="A842" t="inlineStr">
        <is>
          <t>ATF fuel</t>
        </is>
      </c>
      <c r="B842" t="inlineStr">
        <is>
          <t>G75</t>
        </is>
      </c>
      <c r="C842" t="n">
        <v>75</v>
      </c>
      <c r="D842" t="n">
        <v>7</v>
      </c>
      <c r="E842" t="inlineStr">
        <is>
          <t>Calculation</t>
        </is>
      </c>
      <c r="F842" t="inlineStr">
        <is>
          <t>'=G74-1</t>
        </is>
      </c>
      <c r="G842" t="n">
        <v>58</v>
      </c>
      <c r="H842" t="inlineStr"/>
      <c r="I842" t="inlineStr">
        <is>
          <t>#,##0</t>
        </is>
      </c>
      <c r="J842" t="b">
        <v>0</v>
      </c>
      <c r="K842" t="b">
        <v>0</v>
      </c>
      <c r="L842" t="n">
        <v>11</v>
      </c>
      <c r="M842" t="inlineStr">
        <is>
          <t>Values must be of type &lt;class 'str'&gt;</t>
        </is>
      </c>
      <c r="N842" t="inlineStr">
        <is>
          <t>00000000</t>
        </is>
      </c>
      <c r="O842" t="n">
        <v/>
      </c>
      <c r="P842" t="n">
        <v/>
      </c>
      <c r="R842" t="b">
        <v>1</v>
      </c>
      <c r="S842" t="inlineStr">
        <is>
          <t>G000286</t>
        </is>
      </c>
      <c r="T842" t="inlineStr">
        <is>
          <t>Vertical</t>
        </is>
      </c>
      <c r="U842" t="n">
        <v>129</v>
      </c>
      <c r="V842" t="b">
        <v>1</v>
      </c>
      <c r="W842" t="inlineStr">
        <is>
          <t>ATF fuel!G3:G131</t>
        </is>
      </c>
      <c r="X842">
        <f>R[-1]C[0]-1</f>
        <v/>
      </c>
    </row>
    <row r="843">
      <c r="A843" t="inlineStr">
        <is>
          <t>ATF fuel</t>
        </is>
      </c>
      <c r="B843" t="inlineStr">
        <is>
          <t>H75</t>
        </is>
      </c>
      <c r="C843" t="n">
        <v>75</v>
      </c>
      <c r="D843" t="n">
        <v>8</v>
      </c>
      <c r="E843" t="inlineStr">
        <is>
          <t>Output</t>
        </is>
      </c>
      <c r="F843" t="inlineStr">
        <is>
          <t>'=INDIRECT("A"&amp;G112)</t>
        </is>
      </c>
      <c r="G843" t="inlineStr">
        <is>
          <t>May 01,2016</t>
        </is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11</v>
      </c>
      <c r="M843" t="inlineStr">
        <is>
          <t>Values must be of type &lt;class 'str'&gt;</t>
        </is>
      </c>
      <c r="N843" t="inlineStr">
        <is>
          <t>00000000</t>
        </is>
      </c>
      <c r="O843" t="n">
        <v/>
      </c>
      <c r="P843" t="n">
        <v/>
      </c>
      <c r="R843" t="b">
        <v>1</v>
      </c>
      <c r="S843" t="inlineStr">
        <is>
          <t>G000293</t>
        </is>
      </c>
      <c r="T843" t="inlineStr">
        <is>
          <t>Vertical</t>
        </is>
      </c>
      <c r="U843" t="n">
        <v>20</v>
      </c>
      <c r="V843" t="b">
        <v>1</v>
      </c>
      <c r="W843" t="inlineStr">
        <is>
          <t>ATF fuel!H75:H94</t>
        </is>
      </c>
      <c r="X843">
        <f>INDIRECT("A"&amp;R[37]C[-1])</f>
        <v/>
      </c>
    </row>
    <row r="844">
      <c r="A844" t="inlineStr">
        <is>
          <t>ATF fuel</t>
        </is>
      </c>
      <c r="B844" t="inlineStr">
        <is>
          <t>I75</t>
        </is>
      </c>
      <c r="C844" t="n">
        <v>75</v>
      </c>
      <c r="D844" t="n">
        <v>9</v>
      </c>
      <c r="E844" t="inlineStr">
        <is>
          <t>Output</t>
        </is>
      </c>
      <c r="F844" t="inlineStr">
        <is>
          <t>'=INDIRECT("F"&amp;G112)</t>
        </is>
      </c>
      <c r="G844" t="n">
        <v>44362.0425</v>
      </c>
      <c r="H844" t="inlineStr"/>
      <c r="I844" t="inlineStr">
        <is>
          <t xml:space="preserve">_ * #,##0_ ;_ * \-#,##0_ ;_ * "-"??_ ;_ @_ </t>
        </is>
      </c>
      <c r="J844" t="b">
        <v>0</v>
      </c>
      <c r="K844" t="b">
        <v>0</v>
      </c>
      <c r="L844" t="n">
        <v>11</v>
      </c>
      <c r="M844" t="inlineStr">
        <is>
          <t>Values must be of type &lt;class 'str'&gt;</t>
        </is>
      </c>
      <c r="N844" t="inlineStr">
        <is>
          <t>00000000</t>
        </is>
      </c>
      <c r="O844" t="n">
        <v/>
      </c>
      <c r="P844" t="n">
        <v/>
      </c>
      <c r="R844" t="b">
        <v>1</v>
      </c>
      <c r="S844" t="inlineStr">
        <is>
          <t>G000294</t>
        </is>
      </c>
      <c r="T844" t="inlineStr">
        <is>
          <t>Vertical</t>
        </is>
      </c>
      <c r="U844" t="n">
        <v>20</v>
      </c>
      <c r="V844" t="b">
        <v>1</v>
      </c>
      <c r="W844" t="inlineStr">
        <is>
          <t>ATF fuel!I75:I94</t>
        </is>
      </c>
      <c r="X844">
        <f>INDIRECT("F"&amp;R[37]C[-2])</f>
        <v/>
      </c>
    </row>
    <row r="845">
      <c r="A845" t="inlineStr">
        <is>
          <t>ATF fuel</t>
        </is>
      </c>
      <c r="B845" t="inlineStr">
        <is>
          <t>J75</t>
        </is>
      </c>
      <c r="C845" t="n">
        <v>75</v>
      </c>
      <c r="D845" t="n">
        <v>10</v>
      </c>
      <c r="E845" t="inlineStr">
        <is>
          <t>Input</t>
        </is>
      </c>
      <c r="F845" t="n">
        <v/>
      </c>
      <c r="G845" t="n">
        <v>44.39</v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11</v>
      </c>
      <c r="M845" t="inlineStr">
        <is>
          <t>Values must be of type &lt;class 'str'&gt;</t>
        </is>
      </c>
      <c r="N845" t="inlineStr">
        <is>
          <t>00000000</t>
        </is>
      </c>
      <c r="O845" t="n">
        <v/>
      </c>
      <c r="P845" t="n">
        <v/>
      </c>
      <c r="R845" t="b">
        <v>1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</row>
    <row r="846">
      <c r="A846" t="inlineStr">
        <is>
          <t>ATF fuel</t>
        </is>
      </c>
      <c r="B846" t="inlineStr">
        <is>
          <t>K75</t>
        </is>
      </c>
      <c r="C846" t="n">
        <v>75</v>
      </c>
      <c r="D846" t="n">
        <v>11</v>
      </c>
      <c r="E846" t="inlineStr">
        <is>
          <t>Input</t>
        </is>
      </c>
      <c r="F846" t="n">
        <v/>
      </c>
      <c r="G846" t="n">
        <v>44.75</v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11</v>
      </c>
      <c r="M846" t="inlineStr">
        <is>
          <t>Values must be of type &lt;class 'str'&gt;</t>
        </is>
      </c>
      <c r="N846" t="inlineStr">
        <is>
          <t>00000000</t>
        </is>
      </c>
      <c r="O846" t="n">
        <v/>
      </c>
      <c r="P846" t="n">
        <v/>
      </c>
      <c r="R846" t="b">
        <v>1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</row>
    <row r="847">
      <c r="A847" t="inlineStr">
        <is>
          <t>ATF fuel</t>
        </is>
      </c>
      <c r="B847" t="inlineStr">
        <is>
          <t>A76</t>
        </is>
      </c>
      <c r="C847" t="n">
        <v>76</v>
      </c>
      <c r="D847" t="n">
        <v>1</v>
      </c>
      <c r="E847" t="inlineStr">
        <is>
          <t>Input</t>
        </is>
      </c>
      <c r="F847" t="n">
        <v/>
      </c>
      <c r="G847" t="inlineStr">
        <is>
          <t>June 16, 2012</t>
        </is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11</v>
      </c>
      <c r="M847" t="inlineStr">
        <is>
          <t>Values must be of type &lt;class 'str'&gt;</t>
        </is>
      </c>
      <c r="N847" t="inlineStr">
        <is>
          <t>00000000</t>
        </is>
      </c>
      <c r="O847" t="n">
        <v/>
      </c>
      <c r="P847" t="n">
        <v/>
      </c>
      <c r="R847" t="b">
        <v>1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</row>
    <row r="848">
      <c r="A848" t="inlineStr">
        <is>
          <t>ATF fuel</t>
        </is>
      </c>
      <c r="B848" t="inlineStr">
        <is>
          <t>B76</t>
        </is>
      </c>
      <c r="C848" t="n">
        <v>76</v>
      </c>
      <c r="D848" t="n">
        <v>2</v>
      </c>
      <c r="E848" t="inlineStr">
        <is>
          <t>Input</t>
        </is>
      </c>
      <c r="F848" t="n">
        <v/>
      </c>
      <c r="G848" t="n">
        <v>62409.95</v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11</v>
      </c>
      <c r="M848" t="inlineStr">
        <is>
          <t>Values must be of type &lt;class 'str'&gt;</t>
        </is>
      </c>
      <c r="N848" t="inlineStr">
        <is>
          <t>00000000</t>
        </is>
      </c>
      <c r="O848" t="inlineStr">
        <is>
          <t>center</t>
        </is>
      </c>
      <c r="P848" t="n">
        <v/>
      </c>
      <c r="R848" t="b">
        <v>1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</row>
    <row r="849">
      <c r="A849" t="inlineStr">
        <is>
          <t>ATF fuel</t>
        </is>
      </c>
      <c r="B849" t="inlineStr">
        <is>
          <t>C76</t>
        </is>
      </c>
      <c r="C849" t="n">
        <v>76</v>
      </c>
      <c r="D849" t="n">
        <v>3</v>
      </c>
      <c r="E849" t="inlineStr">
        <is>
          <t>Input</t>
        </is>
      </c>
      <c r="F849" t="n">
        <v/>
      </c>
      <c r="G849" t="n">
        <v>70777.06</v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11</v>
      </c>
      <c r="M849" t="inlineStr">
        <is>
          <t>Values must be of type &lt;class 'str'&gt;</t>
        </is>
      </c>
      <c r="N849" t="inlineStr">
        <is>
          <t>00000000</t>
        </is>
      </c>
      <c r="O849" t="inlineStr">
        <is>
          <t>center</t>
        </is>
      </c>
      <c r="P849" t="n">
        <v/>
      </c>
      <c r="R849" t="b">
        <v>1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</row>
    <row r="850">
      <c r="A850" t="inlineStr">
        <is>
          <t>ATF fuel</t>
        </is>
      </c>
      <c r="B850" t="inlineStr">
        <is>
          <t>D76</t>
        </is>
      </c>
      <c r="C850" t="n">
        <v>76</v>
      </c>
      <c r="D850" t="n">
        <v>4</v>
      </c>
      <c r="E850" t="inlineStr">
        <is>
          <t>Input</t>
        </is>
      </c>
      <c r="F850" t="n">
        <v/>
      </c>
      <c r="G850" t="n">
        <v>63178.34</v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11</v>
      </c>
      <c r="M850" t="inlineStr">
        <is>
          <t>Values must be of type &lt;class 'str'&gt;</t>
        </is>
      </c>
      <c r="N850" t="inlineStr">
        <is>
          <t>00000000</t>
        </is>
      </c>
      <c r="O850" t="inlineStr">
        <is>
          <t>center</t>
        </is>
      </c>
      <c r="P850" t="n">
        <v/>
      </c>
      <c r="R850" t="b">
        <v>1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</row>
    <row r="851">
      <c r="A851" t="inlineStr">
        <is>
          <t>ATF fuel</t>
        </is>
      </c>
      <c r="B851" t="inlineStr">
        <is>
          <t>E76</t>
        </is>
      </c>
      <c r="C851" t="n">
        <v>76</v>
      </c>
      <c r="D851" t="n">
        <v>5</v>
      </c>
      <c r="E851" t="inlineStr">
        <is>
          <t>Input</t>
        </is>
      </c>
      <c r="F851" t="n">
        <v/>
      </c>
      <c r="G851" t="n">
        <v>67257.63</v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11</v>
      </c>
      <c r="M851" t="inlineStr">
        <is>
          <t>Values must be of type &lt;class 'str'&gt;</t>
        </is>
      </c>
      <c r="N851" t="inlineStr">
        <is>
          <t>00000000</t>
        </is>
      </c>
      <c r="O851" t="inlineStr">
        <is>
          <t>center</t>
        </is>
      </c>
      <c r="P851" t="n">
        <v/>
      </c>
      <c r="R851" t="b">
        <v>1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</row>
    <row r="852">
      <c r="A852" t="inlineStr">
        <is>
          <t>ATF fuel</t>
        </is>
      </c>
      <c r="B852" t="inlineStr">
        <is>
          <t>F76</t>
        </is>
      </c>
      <c r="C852" t="n">
        <v>76</v>
      </c>
      <c r="D852" t="n">
        <v>6</v>
      </c>
      <c r="E852" t="inlineStr">
        <is>
          <t>Output</t>
        </is>
      </c>
      <c r="F852" t="inlineStr">
        <is>
          <t>'=AVERAGE(B76:E76)</t>
        </is>
      </c>
      <c r="G852" t="n">
        <v>65905.745</v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11</v>
      </c>
      <c r="M852" t="inlineStr">
        <is>
          <t>Values must be of type &lt;class 'str'&gt;</t>
        </is>
      </c>
      <c r="N852" t="inlineStr">
        <is>
          <t>00000000</t>
        </is>
      </c>
      <c r="O852" t="inlineStr">
        <is>
          <t>center</t>
        </is>
      </c>
      <c r="P852" t="n">
        <v/>
      </c>
      <c r="R852" t="b">
        <v>1</v>
      </c>
      <c r="S852" t="inlineStr">
        <is>
          <t>G000284</t>
        </is>
      </c>
      <c r="T852" t="inlineStr">
        <is>
          <t>Vertical</t>
        </is>
      </c>
      <c r="U852" t="n">
        <v>130</v>
      </c>
      <c r="V852" t="b">
        <v>1</v>
      </c>
      <c r="W852" t="inlineStr">
        <is>
          <t>ATF fuel!F2:F131</t>
        </is>
      </c>
      <c r="X852">
        <f>AVERAGE(R[0]C[-4]:R[0]C[-1])</f>
        <v/>
      </c>
    </row>
    <row r="853">
      <c r="A853" t="inlineStr">
        <is>
          <t>ATF fuel</t>
        </is>
      </c>
      <c r="B853" t="inlineStr">
        <is>
          <t>G76</t>
        </is>
      </c>
      <c r="C853" t="n">
        <v>76</v>
      </c>
      <c r="D853" t="n">
        <v>7</v>
      </c>
      <c r="E853" t="inlineStr">
        <is>
          <t>Calculation</t>
        </is>
      </c>
      <c r="F853" t="inlineStr">
        <is>
          <t>'=G75-1</t>
        </is>
      </c>
      <c r="G853" t="n">
        <v>57</v>
      </c>
      <c r="H853" t="inlineStr"/>
      <c r="I853" t="inlineStr">
        <is>
          <t>#,##0</t>
        </is>
      </c>
      <c r="J853" t="b">
        <v>0</v>
      </c>
      <c r="K853" t="b">
        <v>0</v>
      </c>
      <c r="L853" t="n">
        <v>11</v>
      </c>
      <c r="M853" t="inlineStr">
        <is>
          <t>Values must be of type &lt;class 'str'&gt;</t>
        </is>
      </c>
      <c r="N853" t="inlineStr">
        <is>
          <t>00000000</t>
        </is>
      </c>
      <c r="O853" t="n">
        <v/>
      </c>
      <c r="P853" t="n">
        <v/>
      </c>
      <c r="R853" t="b">
        <v>1</v>
      </c>
      <c r="S853" t="inlineStr">
        <is>
          <t>G000286</t>
        </is>
      </c>
      <c r="T853" t="inlineStr">
        <is>
          <t>Vertical</t>
        </is>
      </c>
      <c r="U853" t="n">
        <v>129</v>
      </c>
      <c r="V853" t="b">
        <v>1</v>
      </c>
      <c r="W853" t="inlineStr">
        <is>
          <t>ATF fuel!G3:G131</t>
        </is>
      </c>
      <c r="X853">
        <f>R[-1]C[0]-1</f>
        <v/>
      </c>
    </row>
    <row r="854">
      <c r="A854" t="inlineStr">
        <is>
          <t>ATF fuel</t>
        </is>
      </c>
      <c r="B854" t="inlineStr">
        <is>
          <t>H76</t>
        </is>
      </c>
      <c r="C854" t="n">
        <v>76</v>
      </c>
      <c r="D854" t="n">
        <v>8</v>
      </c>
      <c r="E854" t="inlineStr">
        <is>
          <t>Output</t>
        </is>
      </c>
      <c r="F854" t="inlineStr">
        <is>
          <t>'=INDIRECT("A"&amp;G113)</t>
        </is>
      </c>
      <c r="G854" t="inlineStr">
        <is>
          <t>June 01,2016</t>
        </is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11</v>
      </c>
      <c r="M854" t="inlineStr">
        <is>
          <t>Values must be of type &lt;class 'str'&gt;</t>
        </is>
      </c>
      <c r="N854" t="inlineStr">
        <is>
          <t>00000000</t>
        </is>
      </c>
      <c r="O854" t="n">
        <v/>
      </c>
      <c r="P854" t="n">
        <v/>
      </c>
      <c r="R854" t="b">
        <v>1</v>
      </c>
      <c r="S854" t="inlineStr">
        <is>
          <t>G000293</t>
        </is>
      </c>
      <c r="T854" t="inlineStr">
        <is>
          <t>Vertical</t>
        </is>
      </c>
      <c r="U854" t="n">
        <v>20</v>
      </c>
      <c r="V854" t="b">
        <v>1</v>
      </c>
      <c r="W854" t="inlineStr">
        <is>
          <t>ATF fuel!H75:H94</t>
        </is>
      </c>
      <c r="X854">
        <f>INDIRECT("A"&amp;R[37]C[-1])</f>
        <v/>
      </c>
    </row>
    <row r="855">
      <c r="A855" t="inlineStr">
        <is>
          <t>ATF fuel</t>
        </is>
      </c>
      <c r="B855" t="inlineStr">
        <is>
          <t>I76</t>
        </is>
      </c>
      <c r="C855" t="n">
        <v>76</v>
      </c>
      <c r="D855" t="n">
        <v>9</v>
      </c>
      <c r="E855" t="inlineStr">
        <is>
          <t>Output</t>
        </is>
      </c>
      <c r="F855" t="inlineStr">
        <is>
          <t>'=INDIRECT("F"&amp;G113)</t>
        </is>
      </c>
      <c r="G855" t="n">
        <v>48331.79750000001</v>
      </c>
      <c r="H855" t="inlineStr"/>
      <c r="I855" t="inlineStr">
        <is>
          <t xml:space="preserve">_ * #,##0_ ;_ * \-#,##0_ ;_ * "-"??_ ;_ @_ </t>
        </is>
      </c>
      <c r="J855" t="b">
        <v>0</v>
      </c>
      <c r="K855" t="b">
        <v>0</v>
      </c>
      <c r="L855" t="n">
        <v>11</v>
      </c>
      <c r="M855" t="inlineStr">
        <is>
          <t>Values must be of type &lt;class 'str'&gt;</t>
        </is>
      </c>
      <c r="N855" t="inlineStr">
        <is>
          <t>00000000</t>
        </is>
      </c>
      <c r="O855" t="n">
        <v/>
      </c>
      <c r="P855" t="n">
        <v/>
      </c>
      <c r="R855" t="b">
        <v>1</v>
      </c>
      <c r="S855" t="inlineStr">
        <is>
          <t>G000294</t>
        </is>
      </c>
      <c r="T855" t="inlineStr">
        <is>
          <t>Vertical</t>
        </is>
      </c>
      <c r="U855" t="n">
        <v>20</v>
      </c>
      <c r="V855" t="b">
        <v>1</v>
      </c>
      <c r="W855" t="inlineStr">
        <is>
          <t>ATF fuel!I75:I94</t>
        </is>
      </c>
      <c r="X855">
        <f>INDIRECT("F"&amp;R[37]C[-2])</f>
        <v/>
      </c>
    </row>
    <row r="856">
      <c r="A856" t="inlineStr">
        <is>
          <t>ATF fuel</t>
        </is>
      </c>
      <c r="B856" t="inlineStr">
        <is>
          <t>J76</t>
        </is>
      </c>
      <c r="C856" t="n">
        <v>76</v>
      </c>
      <c r="D856" t="n">
        <v>10</v>
      </c>
      <c r="E856" t="inlineStr">
        <is>
          <t>Input</t>
        </is>
      </c>
      <c r="F856" t="n">
        <v/>
      </c>
      <c r="G856" t="n">
        <v>48.94</v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11</v>
      </c>
      <c r="M856" t="inlineStr">
        <is>
          <t>Values must be of type &lt;class 'str'&gt;</t>
        </is>
      </c>
      <c r="N856" t="inlineStr">
        <is>
          <t>00000000</t>
        </is>
      </c>
      <c r="O856" t="n">
        <v/>
      </c>
      <c r="P856" t="n">
        <v/>
      </c>
      <c r="R856" t="b">
        <v>1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</row>
    <row r="857">
      <c r="A857" t="inlineStr">
        <is>
          <t>ATF fuel</t>
        </is>
      </c>
      <c r="B857" t="inlineStr">
        <is>
          <t>K76</t>
        </is>
      </c>
      <c r="C857" t="n">
        <v>76</v>
      </c>
      <c r="D857" t="n">
        <v>11</v>
      </c>
      <c r="E857" t="inlineStr">
        <is>
          <t>Input</t>
        </is>
      </c>
      <c r="F857" t="n">
        <v/>
      </c>
      <c r="G857" t="n">
        <v>49.07</v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11</v>
      </c>
      <c r="M857" t="inlineStr">
        <is>
          <t>Values must be of type &lt;class 'str'&gt;</t>
        </is>
      </c>
      <c r="N857" t="inlineStr">
        <is>
          <t>00000000</t>
        </is>
      </c>
      <c r="O857" t="n">
        <v/>
      </c>
      <c r="P857" t="n">
        <v/>
      </c>
      <c r="R857" t="b">
        <v>1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</row>
    <row r="858">
      <c r="A858" t="inlineStr">
        <is>
          <t>ATF fuel</t>
        </is>
      </c>
      <c r="B858" t="inlineStr">
        <is>
          <t>A77</t>
        </is>
      </c>
      <c r="C858" t="n">
        <v>77</v>
      </c>
      <c r="D858" t="n">
        <v>1</v>
      </c>
      <c r="E858" t="inlineStr">
        <is>
          <t>Input</t>
        </is>
      </c>
      <c r="F858" t="n">
        <v/>
      </c>
      <c r="G858" t="inlineStr">
        <is>
          <t>June 01, 2012</t>
        </is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11</v>
      </c>
      <c r="M858" t="inlineStr">
        <is>
          <t>Values must be of type &lt;class 'str'&gt;</t>
        </is>
      </c>
      <c r="N858" t="inlineStr">
        <is>
          <t>00000000</t>
        </is>
      </c>
      <c r="O858" t="n">
        <v/>
      </c>
      <c r="P858" t="n">
        <v/>
      </c>
      <c r="R858" t="b">
        <v>1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</row>
    <row r="859">
      <c r="A859" t="inlineStr">
        <is>
          <t>ATF fuel</t>
        </is>
      </c>
      <c r="B859" t="inlineStr">
        <is>
          <t>B77</t>
        </is>
      </c>
      <c r="C859" t="n">
        <v>77</v>
      </c>
      <c r="D859" t="n">
        <v>2</v>
      </c>
      <c r="E859" t="inlineStr">
        <is>
          <t>Input</t>
        </is>
      </c>
      <c r="F859" t="n">
        <v/>
      </c>
      <c r="G859" t="n">
        <v>65670.14</v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11</v>
      </c>
      <c r="M859" t="inlineStr">
        <is>
          <t>Values must be of type &lt;class 'str'&gt;</t>
        </is>
      </c>
      <c r="N859" t="inlineStr">
        <is>
          <t>00000000</t>
        </is>
      </c>
      <c r="O859" t="inlineStr">
        <is>
          <t>center</t>
        </is>
      </c>
      <c r="P859" t="n">
        <v/>
      </c>
      <c r="R859" t="b">
        <v>1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</row>
    <row r="860">
      <c r="A860" t="inlineStr">
        <is>
          <t>ATF fuel</t>
        </is>
      </c>
      <c r="B860" t="inlineStr">
        <is>
          <t>C77</t>
        </is>
      </c>
      <c r="C860" t="n">
        <v>77</v>
      </c>
      <c r="D860" t="n">
        <v>3</v>
      </c>
      <c r="E860" t="inlineStr">
        <is>
          <t>Input</t>
        </is>
      </c>
      <c r="F860" t="n">
        <v/>
      </c>
      <c r="G860" t="n">
        <v>74213.67999999999</v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11</v>
      </c>
      <c r="M860" t="inlineStr">
        <is>
          <t>Values must be of type &lt;class 'str'&gt;</t>
        </is>
      </c>
      <c r="N860" t="inlineStr">
        <is>
          <t>00000000</t>
        </is>
      </c>
      <c r="O860" t="inlineStr">
        <is>
          <t>center</t>
        </is>
      </c>
      <c r="P860" t="n">
        <v/>
      </c>
      <c r="R860" t="b">
        <v>1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</row>
    <row r="861">
      <c r="A861" t="inlineStr">
        <is>
          <t>ATF fuel</t>
        </is>
      </c>
      <c r="B861" t="inlineStr">
        <is>
          <t>D77</t>
        </is>
      </c>
      <c r="C861" t="n">
        <v>77</v>
      </c>
      <c r="D861" t="n">
        <v>4</v>
      </c>
      <c r="E861" t="inlineStr">
        <is>
          <t>Input</t>
        </is>
      </c>
      <c r="F861" t="n">
        <v/>
      </c>
      <c r="G861" t="n">
        <v>66587.89999999999</v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11</v>
      </c>
      <c r="M861" t="inlineStr">
        <is>
          <t>Values must be of type &lt;class 'str'&gt;</t>
        </is>
      </c>
      <c r="N861" t="inlineStr">
        <is>
          <t>00000000</t>
        </is>
      </c>
      <c r="O861" t="inlineStr">
        <is>
          <t>center</t>
        </is>
      </c>
      <c r="P861" t="n">
        <v/>
      </c>
      <c r="R861" t="b">
        <v>1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</row>
    <row r="862">
      <c r="A862" t="inlineStr">
        <is>
          <t>ATF fuel</t>
        </is>
      </c>
      <c r="B862" t="inlineStr">
        <is>
          <t>E77</t>
        </is>
      </c>
      <c r="C862" t="n">
        <v>77</v>
      </c>
      <c r="D862" t="n">
        <v>5</v>
      </c>
      <c r="E862" t="inlineStr">
        <is>
          <t>Input</t>
        </is>
      </c>
      <c r="F862" t="n">
        <v/>
      </c>
      <c r="G862" t="n">
        <v>70790.25999999999</v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11</v>
      </c>
      <c r="M862" t="inlineStr">
        <is>
          <t>Values must be of type &lt;class 'str'&gt;</t>
        </is>
      </c>
      <c r="N862" t="inlineStr">
        <is>
          <t>00000000</t>
        </is>
      </c>
      <c r="O862" t="inlineStr">
        <is>
          <t>center</t>
        </is>
      </c>
      <c r="P862" t="n">
        <v/>
      </c>
      <c r="R862" t="b">
        <v>1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</row>
    <row r="863">
      <c r="A863" t="inlineStr">
        <is>
          <t>ATF fuel</t>
        </is>
      </c>
      <c r="B863" t="inlineStr">
        <is>
          <t>F77</t>
        </is>
      </c>
      <c r="C863" t="n">
        <v>77</v>
      </c>
      <c r="D863" t="n">
        <v>6</v>
      </c>
      <c r="E863" t="inlineStr">
        <is>
          <t>Output</t>
        </is>
      </c>
      <c r="F863" t="inlineStr">
        <is>
          <t>'=AVERAGE(B77:E77)</t>
        </is>
      </c>
      <c r="G863" t="n">
        <v>69315.495</v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11</v>
      </c>
      <c r="M863" t="inlineStr">
        <is>
          <t>Values must be of type &lt;class 'str'&gt;</t>
        </is>
      </c>
      <c r="N863" t="inlineStr">
        <is>
          <t>00000000</t>
        </is>
      </c>
      <c r="O863" t="inlineStr">
        <is>
          <t>center</t>
        </is>
      </c>
      <c r="P863" t="n">
        <v/>
      </c>
      <c r="R863" t="b">
        <v>1</v>
      </c>
      <c r="S863" t="inlineStr">
        <is>
          <t>G000284</t>
        </is>
      </c>
      <c r="T863" t="inlineStr">
        <is>
          <t>Vertical</t>
        </is>
      </c>
      <c r="U863" t="n">
        <v>130</v>
      </c>
      <c r="V863" t="b">
        <v>1</v>
      </c>
      <c r="W863" t="inlineStr">
        <is>
          <t>ATF fuel!F2:F131</t>
        </is>
      </c>
      <c r="X863">
        <f>AVERAGE(R[0]C[-4]:R[0]C[-1])</f>
        <v/>
      </c>
    </row>
    <row r="864">
      <c r="A864" t="inlineStr">
        <is>
          <t>ATF fuel</t>
        </is>
      </c>
      <c r="B864" t="inlineStr">
        <is>
          <t>G77</t>
        </is>
      </c>
      <c r="C864" t="n">
        <v>77</v>
      </c>
      <c r="D864" t="n">
        <v>7</v>
      </c>
      <c r="E864" t="inlineStr">
        <is>
          <t>Calculation</t>
        </is>
      </c>
      <c r="F864" t="inlineStr">
        <is>
          <t>'=G76-1</t>
        </is>
      </c>
      <c r="G864" t="n">
        <v>56</v>
      </c>
      <c r="H864" t="inlineStr"/>
      <c r="I864" t="inlineStr">
        <is>
          <t>#,##0</t>
        </is>
      </c>
      <c r="J864" t="b">
        <v>0</v>
      </c>
      <c r="K864" t="b">
        <v>0</v>
      </c>
      <c r="L864" t="n">
        <v>11</v>
      </c>
      <c r="M864" t="inlineStr">
        <is>
          <t>Values must be of type &lt;class 'str'&gt;</t>
        </is>
      </c>
      <c r="N864" t="inlineStr">
        <is>
          <t>00000000</t>
        </is>
      </c>
      <c r="O864" t="n">
        <v/>
      </c>
      <c r="P864" t="n">
        <v/>
      </c>
      <c r="R864" t="b">
        <v>1</v>
      </c>
      <c r="S864" t="inlineStr">
        <is>
          <t>G000286</t>
        </is>
      </c>
      <c r="T864" t="inlineStr">
        <is>
          <t>Vertical</t>
        </is>
      </c>
      <c r="U864" t="n">
        <v>129</v>
      </c>
      <c r="V864" t="b">
        <v>1</v>
      </c>
      <c r="W864" t="inlineStr">
        <is>
          <t>ATF fuel!G3:G131</t>
        </is>
      </c>
      <c r="X864">
        <f>R[-1]C[0]-1</f>
        <v/>
      </c>
    </row>
    <row r="865">
      <c r="A865" t="inlineStr">
        <is>
          <t>ATF fuel</t>
        </is>
      </c>
      <c r="B865" t="inlineStr">
        <is>
          <t>H77</t>
        </is>
      </c>
      <c r="C865" t="n">
        <v>77</v>
      </c>
      <c r="D865" t="n">
        <v>8</v>
      </c>
      <c r="E865" t="inlineStr">
        <is>
          <t>Output</t>
        </is>
      </c>
      <c r="F865" t="inlineStr">
        <is>
          <t>'=INDIRECT("A"&amp;G114)</t>
        </is>
      </c>
      <c r="G865" t="inlineStr">
        <is>
          <t>July 01,2016</t>
        </is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11</v>
      </c>
      <c r="M865" t="inlineStr">
        <is>
          <t>Values must be of type &lt;class 'str'&gt;</t>
        </is>
      </c>
      <c r="N865" t="inlineStr">
        <is>
          <t>00000000</t>
        </is>
      </c>
      <c r="O865" t="n">
        <v/>
      </c>
      <c r="P865" t="n">
        <v/>
      </c>
      <c r="R865" t="b">
        <v>1</v>
      </c>
      <c r="S865" t="inlineStr">
        <is>
          <t>G000293</t>
        </is>
      </c>
      <c r="T865" t="inlineStr">
        <is>
          <t>Vertical</t>
        </is>
      </c>
      <c r="U865" t="n">
        <v>20</v>
      </c>
      <c r="V865" t="b">
        <v>1</v>
      </c>
      <c r="W865" t="inlineStr">
        <is>
          <t>ATF fuel!H75:H94</t>
        </is>
      </c>
      <c r="X865">
        <f>INDIRECT("A"&amp;R[37]C[-1])</f>
        <v/>
      </c>
    </row>
    <row r="866">
      <c r="A866" t="inlineStr">
        <is>
          <t>ATF fuel</t>
        </is>
      </c>
      <c r="B866" t="inlineStr">
        <is>
          <t>I77</t>
        </is>
      </c>
      <c r="C866" t="n">
        <v>77</v>
      </c>
      <c r="D866" t="n">
        <v>9</v>
      </c>
      <c r="E866" t="inlineStr">
        <is>
          <t>Output</t>
        </is>
      </c>
      <c r="F866" t="inlineStr">
        <is>
          <t>'=INDIRECT("F"&amp;G114)</t>
        </is>
      </c>
      <c r="G866" t="n">
        <v>50958.6975</v>
      </c>
      <c r="H866" t="inlineStr"/>
      <c r="I866" t="inlineStr">
        <is>
          <t xml:space="preserve">_ * #,##0_ ;_ * \-#,##0_ ;_ * "-"??_ ;_ @_ </t>
        </is>
      </c>
      <c r="J866" t="b">
        <v>0</v>
      </c>
      <c r="K866" t="b">
        <v>0</v>
      </c>
      <c r="L866" t="n">
        <v>11</v>
      </c>
      <c r="M866" t="inlineStr">
        <is>
          <t>Values must be of type &lt;class 'str'&gt;</t>
        </is>
      </c>
      <c r="N866" t="inlineStr">
        <is>
          <t>00000000</t>
        </is>
      </c>
      <c r="O866" t="n">
        <v/>
      </c>
      <c r="P866" t="n">
        <v/>
      </c>
      <c r="R866" t="b">
        <v>1</v>
      </c>
      <c r="S866" t="inlineStr">
        <is>
          <t>G000294</t>
        </is>
      </c>
      <c r="T866" t="inlineStr">
        <is>
          <t>Vertical</t>
        </is>
      </c>
      <c r="U866" t="n">
        <v>20</v>
      </c>
      <c r="V866" t="b">
        <v>1</v>
      </c>
      <c r="W866" t="inlineStr">
        <is>
          <t>ATF fuel!I75:I94</t>
        </is>
      </c>
      <c r="X866">
        <f>INDIRECT("F"&amp;R[37]C[-2])</f>
        <v/>
      </c>
    </row>
    <row r="867">
      <c r="A867" t="inlineStr">
        <is>
          <t>ATF fuel</t>
        </is>
      </c>
      <c r="B867" t="inlineStr">
        <is>
          <t>J77</t>
        </is>
      </c>
      <c r="C867" t="n">
        <v>77</v>
      </c>
      <c r="D867" t="n">
        <v>10</v>
      </c>
      <c r="E867" t="inlineStr">
        <is>
          <t>Input</t>
        </is>
      </c>
      <c r="F867" t="n">
        <v/>
      </c>
      <c r="G867" t="n">
        <v>45.7</v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11</v>
      </c>
      <c r="M867" t="inlineStr">
        <is>
          <t>Values must be of type &lt;class 'str'&gt;</t>
        </is>
      </c>
      <c r="N867" t="inlineStr">
        <is>
          <t>00000000</t>
        </is>
      </c>
      <c r="O867" t="n">
        <v/>
      </c>
      <c r="P867" t="n">
        <v/>
      </c>
      <c r="R867" t="b">
        <v>1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</row>
    <row r="868">
      <c r="A868" t="inlineStr">
        <is>
          <t>ATF fuel</t>
        </is>
      </c>
      <c r="B868" t="inlineStr">
        <is>
          <t>K77</t>
        </is>
      </c>
      <c r="C868" t="n">
        <v>77</v>
      </c>
      <c r="D868" t="n">
        <v>11</v>
      </c>
      <c r="E868" t="inlineStr">
        <is>
          <t>Input</t>
        </is>
      </c>
      <c r="F868" t="n">
        <v/>
      </c>
      <c r="G868" t="n">
        <v>49.02</v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11</v>
      </c>
      <c r="M868" t="inlineStr">
        <is>
          <t>Values must be of type &lt;class 'str'&gt;</t>
        </is>
      </c>
      <c r="N868" t="inlineStr">
        <is>
          <t>00000000</t>
        </is>
      </c>
      <c r="O868" t="n">
        <v/>
      </c>
      <c r="P868" t="n">
        <v/>
      </c>
      <c r="R868" t="b">
        <v>1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</row>
    <row r="869">
      <c r="A869" t="inlineStr">
        <is>
          <t>ATF fuel</t>
        </is>
      </c>
      <c r="B869" t="inlineStr">
        <is>
          <t>A78</t>
        </is>
      </c>
      <c r="C869" t="n">
        <v>78</v>
      </c>
      <c r="D869" t="n">
        <v>1</v>
      </c>
      <c r="E869" t="inlineStr">
        <is>
          <t>Input</t>
        </is>
      </c>
      <c r="F869" t="n">
        <v/>
      </c>
      <c r="G869" t="inlineStr">
        <is>
          <t>May 16, 2012</t>
        </is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11</v>
      </c>
      <c r="M869" t="inlineStr">
        <is>
          <t>Values must be of type &lt;class 'str'&gt;</t>
        </is>
      </c>
      <c r="N869" t="inlineStr">
        <is>
          <t>00000000</t>
        </is>
      </c>
      <c r="O869" t="n">
        <v/>
      </c>
      <c r="P869" t="n">
        <v/>
      </c>
      <c r="R869" t="b">
        <v>1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</row>
    <row r="870">
      <c r="A870" t="inlineStr">
        <is>
          <t>ATF fuel</t>
        </is>
      </c>
      <c r="B870" t="inlineStr">
        <is>
          <t>B78</t>
        </is>
      </c>
      <c r="C870" t="n">
        <v>78</v>
      </c>
      <c r="D870" t="n">
        <v>2</v>
      </c>
      <c r="E870" t="inlineStr">
        <is>
          <t>Input</t>
        </is>
      </c>
      <c r="F870" t="n">
        <v/>
      </c>
      <c r="G870" t="n">
        <v>67046.95</v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11</v>
      </c>
      <c r="M870" t="inlineStr">
        <is>
          <t>Values must be of type &lt;class 'str'&gt;</t>
        </is>
      </c>
      <c r="N870" t="inlineStr">
        <is>
          <t>00000000</t>
        </is>
      </c>
      <c r="O870" t="inlineStr">
        <is>
          <t>center</t>
        </is>
      </c>
      <c r="P870" t="n">
        <v/>
      </c>
      <c r="R870" t="b">
        <v>1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</row>
    <row r="871">
      <c r="A871" t="inlineStr">
        <is>
          <t>ATF fuel</t>
        </is>
      </c>
      <c r="B871" t="inlineStr">
        <is>
          <t>C78</t>
        </is>
      </c>
      <c r="C871" t="n">
        <v>78</v>
      </c>
      <c r="D871" t="n">
        <v>3</v>
      </c>
      <c r="E871" t="inlineStr">
        <is>
          <t>Input</t>
        </is>
      </c>
      <c r="F871" t="n">
        <v/>
      </c>
      <c r="G871" t="n">
        <v>75634.33</v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11</v>
      </c>
      <c r="M871" t="inlineStr">
        <is>
          <t>Values must be of type &lt;class 'str'&gt;</t>
        </is>
      </c>
      <c r="N871" t="inlineStr">
        <is>
          <t>00000000</t>
        </is>
      </c>
      <c r="O871" t="inlineStr">
        <is>
          <t>center</t>
        </is>
      </c>
      <c r="P871" t="n">
        <v/>
      </c>
      <c r="R871" t="b">
        <v>1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</row>
    <row r="872">
      <c r="A872" t="inlineStr">
        <is>
          <t>ATF fuel</t>
        </is>
      </c>
      <c r="B872" t="inlineStr">
        <is>
          <t>D78</t>
        </is>
      </c>
      <c r="C872" t="n">
        <v>78</v>
      </c>
      <c r="D872" t="n">
        <v>4</v>
      </c>
      <c r="E872" t="inlineStr">
        <is>
          <t>Input</t>
        </is>
      </c>
      <c r="F872" t="n">
        <v/>
      </c>
      <c r="G872" t="n">
        <v>68022.08</v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11</v>
      </c>
      <c r="M872" t="inlineStr">
        <is>
          <t>Values must be of type &lt;class 'str'&gt;</t>
        </is>
      </c>
      <c r="N872" t="inlineStr">
        <is>
          <t>00000000</t>
        </is>
      </c>
      <c r="O872" t="inlineStr">
        <is>
          <t>center</t>
        </is>
      </c>
      <c r="P872" t="n">
        <v/>
      </c>
      <c r="R872" t="b">
        <v>1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</row>
    <row r="873">
      <c r="A873" t="inlineStr">
        <is>
          <t>ATF fuel</t>
        </is>
      </c>
      <c r="B873" t="inlineStr">
        <is>
          <t>E78</t>
        </is>
      </c>
      <c r="C873" t="n">
        <v>78</v>
      </c>
      <c r="D873" t="n">
        <v>5</v>
      </c>
      <c r="E873" t="inlineStr">
        <is>
          <t>Input</t>
        </is>
      </c>
      <c r="F873" t="n">
        <v/>
      </c>
      <c r="G873" t="n">
        <v>72270.34</v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11</v>
      </c>
      <c r="M873" t="inlineStr">
        <is>
          <t>Values must be of type &lt;class 'str'&gt;</t>
        </is>
      </c>
      <c r="N873" t="inlineStr">
        <is>
          <t>00000000</t>
        </is>
      </c>
      <c r="O873" t="inlineStr">
        <is>
          <t>center</t>
        </is>
      </c>
      <c r="P873" t="n">
        <v/>
      </c>
      <c r="R873" t="b">
        <v>1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</row>
    <row r="874">
      <c r="A874" t="inlineStr">
        <is>
          <t>ATF fuel</t>
        </is>
      </c>
      <c r="B874" t="inlineStr">
        <is>
          <t>F78</t>
        </is>
      </c>
      <c r="C874" t="n">
        <v>78</v>
      </c>
      <c r="D874" t="n">
        <v>6</v>
      </c>
      <c r="E874" t="inlineStr">
        <is>
          <t>Output</t>
        </is>
      </c>
      <c r="F874" t="inlineStr">
        <is>
          <t>'=AVERAGE(B78:E78)</t>
        </is>
      </c>
      <c r="G874" t="n">
        <v>70743.42499999999</v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11</v>
      </c>
      <c r="M874" t="inlineStr">
        <is>
          <t>Values must be of type &lt;class 'str'&gt;</t>
        </is>
      </c>
      <c r="N874" t="inlineStr">
        <is>
          <t>00000000</t>
        </is>
      </c>
      <c r="O874" t="inlineStr">
        <is>
          <t>center</t>
        </is>
      </c>
      <c r="P874" t="n">
        <v/>
      </c>
      <c r="R874" t="b">
        <v>1</v>
      </c>
      <c r="S874" t="inlineStr">
        <is>
          <t>G000284</t>
        </is>
      </c>
      <c r="T874" t="inlineStr">
        <is>
          <t>Vertical</t>
        </is>
      </c>
      <c r="U874" t="n">
        <v>130</v>
      </c>
      <c r="V874" t="b">
        <v>1</v>
      </c>
      <c r="W874" t="inlineStr">
        <is>
          <t>ATF fuel!F2:F131</t>
        </is>
      </c>
      <c r="X874">
        <f>AVERAGE(R[0]C[-4]:R[0]C[-1])</f>
        <v/>
      </c>
    </row>
    <row r="875">
      <c r="A875" t="inlineStr">
        <is>
          <t>ATF fuel</t>
        </is>
      </c>
      <c r="B875" t="inlineStr">
        <is>
          <t>G78</t>
        </is>
      </c>
      <c r="C875" t="n">
        <v>78</v>
      </c>
      <c r="D875" t="n">
        <v>7</v>
      </c>
      <c r="E875" t="inlineStr">
        <is>
          <t>Calculation</t>
        </is>
      </c>
      <c r="F875" t="inlineStr">
        <is>
          <t>'=G77-1</t>
        </is>
      </c>
      <c r="G875" t="n">
        <v>55</v>
      </c>
      <c r="H875" t="inlineStr"/>
      <c r="I875" t="inlineStr">
        <is>
          <t>#,##0</t>
        </is>
      </c>
      <c r="J875" t="b">
        <v>0</v>
      </c>
      <c r="K875" t="b">
        <v>0</v>
      </c>
      <c r="L875" t="n">
        <v>11</v>
      </c>
      <c r="M875" t="inlineStr">
        <is>
          <t>Values must be of type &lt;class 'str'&gt;</t>
        </is>
      </c>
      <c r="N875" t="inlineStr">
        <is>
          <t>00000000</t>
        </is>
      </c>
      <c r="O875" t="n">
        <v/>
      </c>
      <c r="P875" t="n">
        <v/>
      </c>
      <c r="R875" t="b">
        <v>1</v>
      </c>
      <c r="S875" t="inlineStr">
        <is>
          <t>G000286</t>
        </is>
      </c>
      <c r="T875" t="inlineStr">
        <is>
          <t>Vertical</t>
        </is>
      </c>
      <c r="U875" t="n">
        <v>129</v>
      </c>
      <c r="V875" t="b">
        <v>1</v>
      </c>
      <c r="W875" t="inlineStr">
        <is>
          <t>ATF fuel!G3:G131</t>
        </is>
      </c>
      <c r="X875">
        <f>R[-1]C[0]-1</f>
        <v/>
      </c>
    </row>
    <row r="876">
      <c r="A876" t="inlineStr">
        <is>
          <t>ATF fuel</t>
        </is>
      </c>
      <c r="B876" t="inlineStr">
        <is>
          <t>H78</t>
        </is>
      </c>
      <c r="C876" t="n">
        <v>78</v>
      </c>
      <c r="D876" t="n">
        <v>8</v>
      </c>
      <c r="E876" t="inlineStr">
        <is>
          <t>Output</t>
        </is>
      </c>
      <c r="F876" t="inlineStr">
        <is>
          <t>'=INDIRECT("A"&amp;G115)</t>
        </is>
      </c>
      <c r="G876" t="inlineStr">
        <is>
          <t>August 01,2016</t>
        </is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11</v>
      </c>
      <c r="M876" t="inlineStr">
        <is>
          <t>Values must be of type &lt;class 'str'&gt;</t>
        </is>
      </c>
      <c r="N876" t="inlineStr">
        <is>
          <t>00000000</t>
        </is>
      </c>
      <c r="O876" t="n">
        <v/>
      </c>
      <c r="P876" t="n">
        <v/>
      </c>
      <c r="R876" t="b">
        <v>1</v>
      </c>
      <c r="S876" t="inlineStr">
        <is>
          <t>G000293</t>
        </is>
      </c>
      <c r="T876" t="inlineStr">
        <is>
          <t>Vertical</t>
        </is>
      </c>
      <c r="U876" t="n">
        <v>20</v>
      </c>
      <c r="V876" t="b">
        <v>1</v>
      </c>
      <c r="W876" t="inlineStr">
        <is>
          <t>ATF fuel!H75:H94</t>
        </is>
      </c>
      <c r="X876">
        <f>INDIRECT("A"&amp;R[37]C[-1])</f>
        <v/>
      </c>
    </row>
    <row r="877">
      <c r="A877" t="inlineStr">
        <is>
          <t>ATF fuel</t>
        </is>
      </c>
      <c r="B877" t="inlineStr">
        <is>
          <t>I78</t>
        </is>
      </c>
      <c r="C877" t="n">
        <v>78</v>
      </c>
      <c r="D877" t="n">
        <v>9</v>
      </c>
      <c r="E877" t="inlineStr">
        <is>
          <t>Output</t>
        </is>
      </c>
      <c r="F877" t="inlineStr">
        <is>
          <t>'=INDIRECT("F"&amp;G115)</t>
        </is>
      </c>
      <c r="G877" t="n">
        <v>48882.4375</v>
      </c>
      <c r="H877" t="inlineStr"/>
      <c r="I877" t="inlineStr">
        <is>
          <t xml:space="preserve">_ * #,##0_ ;_ * \-#,##0_ ;_ * "-"??_ ;_ @_ </t>
        </is>
      </c>
      <c r="J877" t="b">
        <v>0</v>
      </c>
      <c r="K877" t="b">
        <v>0</v>
      </c>
      <c r="L877" t="n">
        <v>11</v>
      </c>
      <c r="M877" t="inlineStr">
        <is>
          <t>Values must be of type &lt;class 'str'&gt;</t>
        </is>
      </c>
      <c r="N877" t="inlineStr">
        <is>
          <t>00000000</t>
        </is>
      </c>
      <c r="O877" t="n">
        <v/>
      </c>
      <c r="P877" t="n">
        <v/>
      </c>
      <c r="R877" t="b">
        <v>1</v>
      </c>
      <c r="S877" t="inlineStr">
        <is>
          <t>G000294</t>
        </is>
      </c>
      <c r="T877" t="inlineStr">
        <is>
          <t>Vertical</t>
        </is>
      </c>
      <c r="U877" t="n">
        <v>20</v>
      </c>
      <c r="V877" t="b">
        <v>1</v>
      </c>
      <c r="W877" t="inlineStr">
        <is>
          <t>ATF fuel!I75:I94</t>
        </is>
      </c>
      <c r="X877">
        <f>INDIRECT("F"&amp;R[37]C[-2])</f>
        <v/>
      </c>
    </row>
    <row r="878">
      <c r="A878" t="inlineStr">
        <is>
          <t>ATF fuel</t>
        </is>
      </c>
      <c r="B878" t="inlineStr">
        <is>
          <t>J78</t>
        </is>
      </c>
      <c r="C878" t="n">
        <v>78</v>
      </c>
      <c r="D878" t="n">
        <v>10</v>
      </c>
      <c r="E878" t="inlineStr">
        <is>
          <t>Input</t>
        </is>
      </c>
      <c r="F878" t="n">
        <v/>
      </c>
      <c r="G878" t="n">
        <v>40.45</v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11</v>
      </c>
      <c r="M878" t="inlineStr">
        <is>
          <t>Values must be of type &lt;class 'str'&gt;</t>
        </is>
      </c>
      <c r="N878" t="inlineStr">
        <is>
          <t>00000000</t>
        </is>
      </c>
      <c r="O878" t="n">
        <v/>
      </c>
      <c r="P878" t="n">
        <v/>
      </c>
      <c r="R878" t="b">
        <v>1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</row>
    <row r="879">
      <c r="A879" t="inlineStr">
        <is>
          <t>ATF fuel</t>
        </is>
      </c>
      <c r="B879" t="inlineStr">
        <is>
          <t>K78</t>
        </is>
      </c>
      <c r="C879" t="n">
        <v>78</v>
      </c>
      <c r="D879" t="n">
        <v>11</v>
      </c>
      <c r="E879" t="inlineStr">
        <is>
          <t>Input</t>
        </is>
      </c>
      <c r="F879" t="n">
        <v/>
      </c>
      <c r="G879" t="n">
        <v>40.05</v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11</v>
      </c>
      <c r="M879" t="inlineStr">
        <is>
          <t>Values must be of type &lt;class 'str'&gt;</t>
        </is>
      </c>
      <c r="N879" t="inlineStr">
        <is>
          <t>00000000</t>
        </is>
      </c>
      <c r="O879" t="n">
        <v/>
      </c>
      <c r="P879" t="n">
        <v/>
      </c>
      <c r="R879" t="b">
        <v>1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</row>
    <row r="880">
      <c r="A880" t="inlineStr">
        <is>
          <t>ATF fuel</t>
        </is>
      </c>
      <c r="B880" t="inlineStr">
        <is>
          <t>A79</t>
        </is>
      </c>
      <c r="C880" t="n">
        <v>79</v>
      </c>
      <c r="D880" t="n">
        <v>1</v>
      </c>
      <c r="E880" t="inlineStr">
        <is>
          <t>Input</t>
        </is>
      </c>
      <c r="F880" t="n">
        <v/>
      </c>
      <c r="G880" t="inlineStr">
        <is>
          <t>May 01, 2012</t>
        </is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11</v>
      </c>
      <c r="M880" t="inlineStr">
        <is>
          <t>Values must be of type &lt;class 'str'&gt;</t>
        </is>
      </c>
      <c r="N880" t="inlineStr">
        <is>
          <t>00000000</t>
        </is>
      </c>
      <c r="O880" t="n">
        <v/>
      </c>
      <c r="P880" t="n">
        <v/>
      </c>
      <c r="R880" t="b">
        <v>1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</row>
    <row r="881">
      <c r="A881" t="inlineStr">
        <is>
          <t>ATF fuel</t>
        </is>
      </c>
      <c r="B881" t="inlineStr">
        <is>
          <t>B79</t>
        </is>
      </c>
      <c r="C881" t="n">
        <v>79</v>
      </c>
      <c r="D881" t="n">
        <v>2</v>
      </c>
      <c r="E881" t="inlineStr">
        <is>
          <t>Input</t>
        </is>
      </c>
      <c r="F881" t="n">
        <v/>
      </c>
      <c r="G881" t="n">
        <v>67319.71000000001</v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11</v>
      </c>
      <c r="M881" t="inlineStr">
        <is>
          <t>Values must be of type &lt;class 'str'&gt;</t>
        </is>
      </c>
      <c r="N881" t="inlineStr">
        <is>
          <t>00000000</t>
        </is>
      </c>
      <c r="O881" t="inlineStr">
        <is>
          <t>center</t>
        </is>
      </c>
      <c r="P881" t="n">
        <v/>
      </c>
      <c r="R881" t="b">
        <v>1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</row>
    <row r="882">
      <c r="A882" t="inlineStr">
        <is>
          <t>ATF fuel</t>
        </is>
      </c>
      <c r="B882" t="inlineStr">
        <is>
          <t>C79</t>
        </is>
      </c>
      <c r="C882" t="n">
        <v>79</v>
      </c>
      <c r="D882" t="n">
        <v>3</v>
      </c>
      <c r="E882" t="inlineStr">
        <is>
          <t>Input</t>
        </is>
      </c>
      <c r="F882" t="n">
        <v/>
      </c>
      <c r="G882" t="n">
        <v>75909.53</v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11</v>
      </c>
      <c r="M882" t="inlineStr">
        <is>
          <t>Values must be of type &lt;class 'str'&gt;</t>
        </is>
      </c>
      <c r="N882" t="inlineStr">
        <is>
          <t>00000000</t>
        </is>
      </c>
      <c r="O882" t="inlineStr">
        <is>
          <t>center</t>
        </is>
      </c>
      <c r="P882" t="n">
        <v/>
      </c>
      <c r="R882" t="b">
        <v>1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</row>
    <row r="883">
      <c r="A883" t="inlineStr">
        <is>
          <t>ATF fuel</t>
        </is>
      </c>
      <c r="B883" t="inlineStr">
        <is>
          <t>D79</t>
        </is>
      </c>
      <c r="C883" t="n">
        <v>79</v>
      </c>
      <c r="D883" t="n">
        <v>4</v>
      </c>
      <c r="E883" t="inlineStr">
        <is>
          <t>Input</t>
        </is>
      </c>
      <c r="F883" t="n">
        <v/>
      </c>
      <c r="G883" t="n">
        <v>68306.21000000001</v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11</v>
      </c>
      <c r="M883" t="inlineStr">
        <is>
          <t>Values must be of type &lt;class 'str'&gt;</t>
        </is>
      </c>
      <c r="N883" t="inlineStr">
        <is>
          <t>00000000</t>
        </is>
      </c>
      <c r="O883" t="inlineStr">
        <is>
          <t>center</t>
        </is>
      </c>
      <c r="P883" t="n">
        <v/>
      </c>
      <c r="R883" t="b">
        <v>1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</row>
    <row r="884">
      <c r="A884" t="inlineStr">
        <is>
          <t>ATF fuel</t>
        </is>
      </c>
      <c r="B884" t="inlineStr">
        <is>
          <t>E79</t>
        </is>
      </c>
      <c r="C884" t="n">
        <v>79</v>
      </c>
      <c r="D884" t="n">
        <v>5</v>
      </c>
      <c r="E884" t="inlineStr">
        <is>
          <t>Input</t>
        </is>
      </c>
      <c r="F884" t="n">
        <v/>
      </c>
      <c r="G884" t="n">
        <v>72577.5</v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11</v>
      </c>
      <c r="M884" t="inlineStr">
        <is>
          <t>Values must be of type &lt;class 'str'&gt;</t>
        </is>
      </c>
      <c r="N884" t="inlineStr">
        <is>
          <t>00000000</t>
        </is>
      </c>
      <c r="O884" t="inlineStr">
        <is>
          <t>center</t>
        </is>
      </c>
      <c r="P884" t="n">
        <v/>
      </c>
      <c r="R884" t="b">
        <v>1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</row>
    <row r="885">
      <c r="A885" t="inlineStr">
        <is>
          <t>ATF fuel</t>
        </is>
      </c>
      <c r="B885" t="inlineStr">
        <is>
          <t>F79</t>
        </is>
      </c>
      <c r="C885" t="n">
        <v>79</v>
      </c>
      <c r="D885" t="n">
        <v>6</v>
      </c>
      <c r="E885" t="inlineStr">
        <is>
          <t>Output</t>
        </is>
      </c>
      <c r="F885" t="inlineStr">
        <is>
          <t>'=AVERAGE(B79:E79)</t>
        </is>
      </c>
      <c r="G885" t="n">
        <v>71028.2375</v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11</v>
      </c>
      <c r="M885" t="inlineStr">
        <is>
          <t>Values must be of type &lt;class 'str'&gt;</t>
        </is>
      </c>
      <c r="N885" t="inlineStr">
        <is>
          <t>00000000</t>
        </is>
      </c>
      <c r="O885" t="inlineStr">
        <is>
          <t>center</t>
        </is>
      </c>
      <c r="P885" t="n">
        <v/>
      </c>
      <c r="R885" t="b">
        <v>1</v>
      </c>
      <c r="S885" t="inlineStr">
        <is>
          <t>G000284</t>
        </is>
      </c>
      <c r="T885" t="inlineStr">
        <is>
          <t>Vertical</t>
        </is>
      </c>
      <c r="U885" t="n">
        <v>130</v>
      </c>
      <c r="V885" t="b">
        <v>1</v>
      </c>
      <c r="W885" t="inlineStr">
        <is>
          <t>ATF fuel!F2:F131</t>
        </is>
      </c>
      <c r="X885">
        <f>AVERAGE(R[0]C[-4]:R[0]C[-1])</f>
        <v/>
      </c>
    </row>
    <row r="886">
      <c r="A886" t="inlineStr">
        <is>
          <t>ATF fuel</t>
        </is>
      </c>
      <c r="B886" t="inlineStr">
        <is>
          <t>G79</t>
        </is>
      </c>
      <c r="C886" t="n">
        <v>79</v>
      </c>
      <c r="D886" t="n">
        <v>7</v>
      </c>
      <c r="E886" t="inlineStr">
        <is>
          <t>Calculation</t>
        </is>
      </c>
      <c r="F886" t="inlineStr">
        <is>
          <t>'=G78-1</t>
        </is>
      </c>
      <c r="G886" t="n">
        <v>54</v>
      </c>
      <c r="H886" t="inlineStr"/>
      <c r="I886" t="inlineStr">
        <is>
          <t>#,##0</t>
        </is>
      </c>
      <c r="J886" t="b">
        <v>0</v>
      </c>
      <c r="K886" t="b">
        <v>0</v>
      </c>
      <c r="L886" t="n">
        <v>11</v>
      </c>
      <c r="M886" t="inlineStr">
        <is>
          <t>Values must be of type &lt;class 'str'&gt;</t>
        </is>
      </c>
      <c r="N886" t="inlineStr">
        <is>
          <t>00000000</t>
        </is>
      </c>
      <c r="O886" t="n">
        <v/>
      </c>
      <c r="P886" t="n">
        <v/>
      </c>
      <c r="R886" t="b">
        <v>1</v>
      </c>
      <c r="S886" t="inlineStr">
        <is>
          <t>G000286</t>
        </is>
      </c>
      <c r="T886" t="inlineStr">
        <is>
          <t>Vertical</t>
        </is>
      </c>
      <c r="U886" t="n">
        <v>129</v>
      </c>
      <c r="V886" t="b">
        <v>1</v>
      </c>
      <c r="W886" t="inlineStr">
        <is>
          <t>ATF fuel!G3:G131</t>
        </is>
      </c>
      <c r="X886">
        <f>R[-1]C[0]-1</f>
        <v/>
      </c>
    </row>
    <row r="887">
      <c r="A887" t="inlineStr">
        <is>
          <t>ATF fuel</t>
        </is>
      </c>
      <c r="B887" t="inlineStr">
        <is>
          <t>H79</t>
        </is>
      </c>
      <c r="C887" t="n">
        <v>79</v>
      </c>
      <c r="D887" t="n">
        <v>8</v>
      </c>
      <c r="E887" t="inlineStr">
        <is>
          <t>Output</t>
        </is>
      </c>
      <c r="F887" t="inlineStr">
        <is>
          <t>'=INDIRECT("A"&amp;G116)</t>
        </is>
      </c>
      <c r="G887" t="inlineStr">
        <is>
          <t>September 01,2016</t>
        </is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11</v>
      </c>
      <c r="M887" t="inlineStr">
        <is>
          <t>Values must be of type &lt;class 'str'&gt;</t>
        </is>
      </c>
      <c r="N887" t="inlineStr">
        <is>
          <t>00000000</t>
        </is>
      </c>
      <c r="O887" t="n">
        <v/>
      </c>
      <c r="P887" t="n">
        <v/>
      </c>
      <c r="R887" t="b">
        <v>1</v>
      </c>
      <c r="S887" t="inlineStr">
        <is>
          <t>G000293</t>
        </is>
      </c>
      <c r="T887" t="inlineStr">
        <is>
          <t>Vertical</t>
        </is>
      </c>
      <c r="U887" t="n">
        <v>20</v>
      </c>
      <c r="V887" t="b">
        <v>1</v>
      </c>
      <c r="W887" t="inlineStr">
        <is>
          <t>ATF fuel!H75:H94</t>
        </is>
      </c>
      <c r="X887">
        <f>INDIRECT("A"&amp;R[37]C[-1])</f>
        <v/>
      </c>
    </row>
    <row r="888">
      <c r="A888" t="inlineStr">
        <is>
          <t>ATF fuel</t>
        </is>
      </c>
      <c r="B888" t="inlineStr">
        <is>
          <t>I79</t>
        </is>
      </c>
      <c r="C888" t="n">
        <v>79</v>
      </c>
      <c r="D888" t="n">
        <v>9</v>
      </c>
      <c r="E888" t="inlineStr">
        <is>
          <t>Output</t>
        </is>
      </c>
      <c r="F888" t="inlineStr">
        <is>
          <t>'=INDIRECT("F"&amp;G116)</t>
        </is>
      </c>
      <c r="G888" t="n">
        <v>47050.97</v>
      </c>
      <c r="H888" t="inlineStr"/>
      <c r="I888" t="inlineStr">
        <is>
          <t xml:space="preserve">_ * #,##0_ ;_ * \-#,##0_ ;_ * "-"??_ ;_ @_ </t>
        </is>
      </c>
      <c r="J888" t="b">
        <v>0</v>
      </c>
      <c r="K888" t="b">
        <v>0</v>
      </c>
      <c r="L888" t="n">
        <v>11</v>
      </c>
      <c r="M888" t="inlineStr">
        <is>
          <t>Values must be of type &lt;class 'str'&gt;</t>
        </is>
      </c>
      <c r="N888" t="inlineStr">
        <is>
          <t>00000000</t>
        </is>
      </c>
      <c r="O888" t="n">
        <v/>
      </c>
      <c r="P888" t="n">
        <v/>
      </c>
      <c r="R888" t="b">
        <v>1</v>
      </c>
      <c r="S888" t="inlineStr">
        <is>
          <t>G000294</t>
        </is>
      </c>
      <c r="T888" t="inlineStr">
        <is>
          <t>Vertical</t>
        </is>
      </c>
      <c r="U888" t="n">
        <v>20</v>
      </c>
      <c r="V888" t="b">
        <v>1</v>
      </c>
      <c r="W888" t="inlineStr">
        <is>
          <t>ATF fuel!I75:I94</t>
        </is>
      </c>
      <c r="X888">
        <f>INDIRECT("F"&amp;R[37]C[-2])</f>
        <v/>
      </c>
    </row>
    <row r="889">
      <c r="A889" t="inlineStr">
        <is>
          <t>ATF fuel</t>
        </is>
      </c>
      <c r="B889" t="inlineStr">
        <is>
          <t>J79</t>
        </is>
      </c>
      <c r="C889" t="n">
        <v>79</v>
      </c>
      <c r="D889" t="n">
        <v>10</v>
      </c>
      <c r="E889" t="inlineStr">
        <is>
          <t>Input</t>
        </is>
      </c>
      <c r="F889" t="n">
        <v/>
      </c>
      <c r="G889" t="n">
        <v>46.72</v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11</v>
      </c>
      <c r="M889" t="inlineStr">
        <is>
          <t>Values must be of type &lt;class 'str'&gt;</t>
        </is>
      </c>
      <c r="N889" t="inlineStr">
        <is>
          <t>00000000</t>
        </is>
      </c>
      <c r="O889" t="n">
        <v/>
      </c>
      <c r="P889" t="n">
        <v/>
      </c>
      <c r="R889" t="b">
        <v>1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</row>
    <row r="890">
      <c r="A890" t="inlineStr">
        <is>
          <t>ATF fuel</t>
        </is>
      </c>
      <c r="B890" t="inlineStr">
        <is>
          <t>K79</t>
        </is>
      </c>
      <c r="C890" t="n">
        <v>79</v>
      </c>
      <c r="D890" t="n">
        <v>11</v>
      </c>
      <c r="E890" t="inlineStr">
        <is>
          <t>Input</t>
        </is>
      </c>
      <c r="F890" t="n">
        <v/>
      </c>
      <c r="G890" t="n">
        <v>43.17</v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11</v>
      </c>
      <c r="M890" t="inlineStr">
        <is>
          <t>Values must be of type &lt;class 'str'&gt;</t>
        </is>
      </c>
      <c r="N890" t="inlineStr">
        <is>
          <t>00000000</t>
        </is>
      </c>
      <c r="O890" t="n">
        <v/>
      </c>
      <c r="P890" t="n">
        <v/>
      </c>
      <c r="R890" t="b">
        <v>1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</row>
    <row r="891">
      <c r="A891" t="inlineStr">
        <is>
          <t>ATF fuel</t>
        </is>
      </c>
      <c r="B891" t="inlineStr">
        <is>
          <t>A80</t>
        </is>
      </c>
      <c r="C891" t="n">
        <v>80</v>
      </c>
      <c r="D891" t="n">
        <v>1</v>
      </c>
      <c r="E891" t="inlineStr">
        <is>
          <t>Input</t>
        </is>
      </c>
      <c r="F891" t="n">
        <v/>
      </c>
      <c r="G891" t="inlineStr">
        <is>
          <t>April 16, 2012</t>
        </is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11</v>
      </c>
      <c r="M891" t="inlineStr">
        <is>
          <t>Values must be of type &lt;class 'str'&gt;</t>
        </is>
      </c>
      <c r="N891" t="inlineStr">
        <is>
          <t>00000000</t>
        </is>
      </c>
      <c r="O891" t="n">
        <v/>
      </c>
      <c r="P891" t="n">
        <v/>
      </c>
      <c r="R891" t="b">
        <v>1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</row>
    <row r="892">
      <c r="A892" t="inlineStr">
        <is>
          <t>ATF fuel</t>
        </is>
      </c>
      <c r="B892" t="inlineStr">
        <is>
          <t>B80</t>
        </is>
      </c>
      <c r="C892" t="n">
        <v>80</v>
      </c>
      <c r="D892" t="n">
        <v>2</v>
      </c>
      <c r="E892" t="inlineStr">
        <is>
          <t>Input</t>
        </is>
      </c>
      <c r="F892" t="n">
        <v/>
      </c>
      <c r="G892" t="n">
        <v>67631.45</v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11</v>
      </c>
      <c r="M892" t="inlineStr">
        <is>
          <t>Values must be of type &lt;class 'str'&gt;</t>
        </is>
      </c>
      <c r="N892" t="inlineStr">
        <is>
          <t>00000000</t>
        </is>
      </c>
      <c r="O892" t="inlineStr">
        <is>
          <t>center</t>
        </is>
      </c>
      <c r="P892" t="n">
        <v/>
      </c>
      <c r="R892" t="b">
        <v>1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</row>
    <row r="893">
      <c r="A893" t="inlineStr">
        <is>
          <t>ATF fuel</t>
        </is>
      </c>
      <c r="B893" t="inlineStr">
        <is>
          <t>C80</t>
        </is>
      </c>
      <c r="C893" t="n">
        <v>80</v>
      </c>
      <c r="D893" t="n">
        <v>3</v>
      </c>
      <c r="E893" t="inlineStr">
        <is>
          <t>Input</t>
        </is>
      </c>
      <c r="F893" t="n">
        <v/>
      </c>
      <c r="G893" t="n">
        <v>76220.72</v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11</v>
      </c>
      <c r="M893" t="inlineStr">
        <is>
          <t>Values must be of type &lt;class 'str'&gt;</t>
        </is>
      </c>
      <c r="N893" t="inlineStr">
        <is>
          <t>00000000</t>
        </is>
      </c>
      <c r="O893" t="inlineStr">
        <is>
          <t>center</t>
        </is>
      </c>
      <c r="P893" t="n">
        <v/>
      </c>
      <c r="R893" t="b">
        <v>1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</row>
    <row r="894">
      <c r="A894" t="inlineStr">
        <is>
          <t>ATF fuel</t>
        </is>
      </c>
      <c r="B894" t="inlineStr">
        <is>
          <t>D80</t>
        </is>
      </c>
      <c r="C894" t="n">
        <v>80</v>
      </c>
      <c r="D894" t="n">
        <v>4</v>
      </c>
      <c r="E894" t="inlineStr">
        <is>
          <t>Input</t>
        </is>
      </c>
      <c r="F894" t="n">
        <v/>
      </c>
      <c r="G894" t="n">
        <v>68630.92999999999</v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11</v>
      </c>
      <c r="M894" t="inlineStr">
        <is>
          <t>Values must be of type &lt;class 'str'&gt;</t>
        </is>
      </c>
      <c r="N894" t="inlineStr">
        <is>
          <t>00000000</t>
        </is>
      </c>
      <c r="O894" t="inlineStr">
        <is>
          <t>center</t>
        </is>
      </c>
      <c r="P894" t="n">
        <v/>
      </c>
      <c r="R894" t="b">
        <v>1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</row>
    <row r="895">
      <c r="A895" t="inlineStr">
        <is>
          <t>ATF fuel</t>
        </is>
      </c>
      <c r="B895" t="inlineStr">
        <is>
          <t>E80</t>
        </is>
      </c>
      <c r="C895" t="n">
        <v>80</v>
      </c>
      <c r="D895" t="n">
        <v>5</v>
      </c>
      <c r="E895" t="inlineStr">
        <is>
          <t>Input</t>
        </is>
      </c>
      <c r="F895" t="n">
        <v/>
      </c>
      <c r="G895" t="n">
        <v>72912.62</v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11</v>
      </c>
      <c r="M895" t="inlineStr">
        <is>
          <t>Values must be of type &lt;class 'str'&gt;</t>
        </is>
      </c>
      <c r="N895" t="inlineStr">
        <is>
          <t>00000000</t>
        </is>
      </c>
      <c r="O895" t="inlineStr">
        <is>
          <t>center</t>
        </is>
      </c>
      <c r="P895" t="n">
        <v/>
      </c>
      <c r="R895" t="b">
        <v>1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</row>
    <row r="896">
      <c r="A896" t="inlineStr">
        <is>
          <t>ATF fuel</t>
        </is>
      </c>
      <c r="B896" t="inlineStr">
        <is>
          <t>F80</t>
        </is>
      </c>
      <c r="C896" t="n">
        <v>80</v>
      </c>
      <c r="D896" t="n">
        <v>6</v>
      </c>
      <c r="E896" t="inlineStr">
        <is>
          <t>Output</t>
        </is>
      </c>
      <c r="F896" t="inlineStr">
        <is>
          <t>'=AVERAGE(B80:E80)</t>
        </is>
      </c>
      <c r="G896" t="n">
        <v>71348.92999999999</v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11</v>
      </c>
      <c r="M896" t="inlineStr">
        <is>
          <t>Values must be of type &lt;class 'str'&gt;</t>
        </is>
      </c>
      <c r="N896" t="inlineStr">
        <is>
          <t>00000000</t>
        </is>
      </c>
      <c r="O896" t="inlineStr">
        <is>
          <t>center</t>
        </is>
      </c>
      <c r="P896" t="n">
        <v/>
      </c>
      <c r="R896" t="b">
        <v>1</v>
      </c>
      <c r="S896" t="inlineStr">
        <is>
          <t>G000284</t>
        </is>
      </c>
      <c r="T896" t="inlineStr">
        <is>
          <t>Vertical</t>
        </is>
      </c>
      <c r="U896" t="n">
        <v>130</v>
      </c>
      <c r="V896" t="b">
        <v>1</v>
      </c>
      <c r="W896" t="inlineStr">
        <is>
          <t>ATF fuel!F2:F131</t>
        </is>
      </c>
      <c r="X896">
        <f>AVERAGE(R[0]C[-4]:R[0]C[-1])</f>
        <v/>
      </c>
    </row>
    <row r="897">
      <c r="A897" t="inlineStr">
        <is>
          <t>ATF fuel</t>
        </is>
      </c>
      <c r="B897" t="inlineStr">
        <is>
          <t>G80</t>
        </is>
      </c>
      <c r="C897" t="n">
        <v>80</v>
      </c>
      <c r="D897" t="n">
        <v>7</v>
      </c>
      <c r="E897" t="inlineStr">
        <is>
          <t>Calculation</t>
        </is>
      </c>
      <c r="F897" t="inlineStr">
        <is>
          <t>'=G79-1</t>
        </is>
      </c>
      <c r="G897" t="n">
        <v>53</v>
      </c>
      <c r="H897" t="inlineStr"/>
      <c r="I897" t="inlineStr">
        <is>
          <t>#,##0</t>
        </is>
      </c>
      <c r="J897" t="b">
        <v>0</v>
      </c>
      <c r="K897" t="b">
        <v>0</v>
      </c>
      <c r="L897" t="n">
        <v>11</v>
      </c>
      <c r="M897" t="inlineStr">
        <is>
          <t>Values must be of type &lt;class 'str'&gt;</t>
        </is>
      </c>
      <c r="N897" t="inlineStr">
        <is>
          <t>00000000</t>
        </is>
      </c>
      <c r="O897" t="n">
        <v/>
      </c>
      <c r="P897" t="n">
        <v/>
      </c>
      <c r="R897" t="b">
        <v>1</v>
      </c>
      <c r="S897" t="inlineStr">
        <is>
          <t>G000286</t>
        </is>
      </c>
      <c r="T897" t="inlineStr">
        <is>
          <t>Vertical</t>
        </is>
      </c>
      <c r="U897" t="n">
        <v>129</v>
      </c>
      <c r="V897" t="b">
        <v>1</v>
      </c>
      <c r="W897" t="inlineStr">
        <is>
          <t>ATF fuel!G3:G131</t>
        </is>
      </c>
      <c r="X897">
        <f>R[-1]C[0]-1</f>
        <v/>
      </c>
    </row>
    <row r="898">
      <c r="A898" t="inlineStr">
        <is>
          <t>ATF fuel</t>
        </is>
      </c>
      <c r="B898" t="inlineStr">
        <is>
          <t>H80</t>
        </is>
      </c>
      <c r="C898" t="n">
        <v>80</v>
      </c>
      <c r="D898" t="n">
        <v>8</v>
      </c>
      <c r="E898" t="inlineStr">
        <is>
          <t>Output</t>
        </is>
      </c>
      <c r="F898" t="inlineStr">
        <is>
          <t>'=INDIRECT("A"&amp;G117)</t>
        </is>
      </c>
      <c r="G898" t="inlineStr">
        <is>
          <t>October 01,2016</t>
        </is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11</v>
      </c>
      <c r="M898" t="inlineStr">
        <is>
          <t>Values must be of type &lt;class 'str'&gt;</t>
        </is>
      </c>
      <c r="N898" t="inlineStr">
        <is>
          <t>00000000</t>
        </is>
      </c>
      <c r="O898" t="n">
        <v/>
      </c>
      <c r="P898" t="n">
        <v/>
      </c>
      <c r="R898" t="b">
        <v>1</v>
      </c>
      <c r="S898" t="inlineStr">
        <is>
          <t>G000293</t>
        </is>
      </c>
      <c r="T898" t="inlineStr">
        <is>
          <t>Vertical</t>
        </is>
      </c>
      <c r="U898" t="n">
        <v>20</v>
      </c>
      <c r="V898" t="b">
        <v>1</v>
      </c>
      <c r="W898" t="inlineStr">
        <is>
          <t>ATF fuel!H75:H94</t>
        </is>
      </c>
      <c r="X898">
        <f>INDIRECT("A"&amp;R[37]C[-1])</f>
        <v/>
      </c>
    </row>
    <row r="899">
      <c r="A899" t="inlineStr">
        <is>
          <t>ATF fuel</t>
        </is>
      </c>
      <c r="B899" t="inlineStr">
        <is>
          <t>I80</t>
        </is>
      </c>
      <c r="C899" t="n">
        <v>80</v>
      </c>
      <c r="D899" t="n">
        <v>9</v>
      </c>
      <c r="E899" t="inlineStr">
        <is>
          <t>Output</t>
        </is>
      </c>
      <c r="F899" t="inlineStr">
        <is>
          <t>'=INDIRECT("F"&amp;G117)</t>
        </is>
      </c>
      <c r="G899" t="n">
        <v>48442.3075</v>
      </c>
      <c r="H899" t="inlineStr"/>
      <c r="I899" t="inlineStr">
        <is>
          <t xml:space="preserve">_ * #,##0_ ;_ * \-#,##0_ ;_ * "-"??_ ;_ @_ </t>
        </is>
      </c>
      <c r="J899" t="b">
        <v>0</v>
      </c>
      <c r="K899" t="b">
        <v>0</v>
      </c>
      <c r="L899" t="n">
        <v>11</v>
      </c>
      <c r="M899" t="inlineStr">
        <is>
          <t>Values must be of type &lt;class 'str'&gt;</t>
        </is>
      </c>
      <c r="N899" t="inlineStr">
        <is>
          <t>00000000</t>
        </is>
      </c>
      <c r="O899" t="n">
        <v/>
      </c>
      <c r="P899" t="n">
        <v/>
      </c>
      <c r="R899" t="b">
        <v>1</v>
      </c>
      <c r="S899" t="inlineStr">
        <is>
          <t>G000294</t>
        </is>
      </c>
      <c r="T899" t="inlineStr">
        <is>
          <t>Vertical</t>
        </is>
      </c>
      <c r="U899" t="n">
        <v>20</v>
      </c>
      <c r="V899" t="b">
        <v>1</v>
      </c>
      <c r="W899" t="inlineStr">
        <is>
          <t>ATF fuel!I75:I94</t>
        </is>
      </c>
      <c r="X899">
        <f>INDIRECT("F"&amp;R[37]C[-2])</f>
        <v/>
      </c>
    </row>
    <row r="900">
      <c r="A900" t="inlineStr">
        <is>
          <t>ATF fuel</t>
        </is>
      </c>
      <c r="B900" t="inlineStr">
        <is>
          <t>J80</t>
        </is>
      </c>
      <c r="C900" t="n">
        <v>80</v>
      </c>
      <c r="D900" t="n">
        <v>10</v>
      </c>
      <c r="E900" t="inlineStr">
        <is>
          <t>Input</t>
        </is>
      </c>
      <c r="F900" t="n">
        <v/>
      </c>
      <c r="G900" t="n">
        <v>49.57</v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11</v>
      </c>
      <c r="M900" t="inlineStr">
        <is>
          <t>Values must be of type &lt;class 'str'&gt;</t>
        </is>
      </c>
      <c r="N900" t="inlineStr">
        <is>
          <t>00000000</t>
        </is>
      </c>
      <c r="O900" t="n">
        <v/>
      </c>
      <c r="P900" t="n">
        <v/>
      </c>
      <c r="R900" t="b">
        <v>1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</row>
    <row r="901">
      <c r="A901" t="inlineStr">
        <is>
          <t>ATF fuel</t>
        </is>
      </c>
      <c r="B901" t="inlineStr">
        <is>
          <t>K80</t>
        </is>
      </c>
      <c r="C901" t="n">
        <v>80</v>
      </c>
      <c r="D901" t="n">
        <v>11</v>
      </c>
      <c r="E901" t="inlineStr">
        <is>
          <t>Input</t>
        </is>
      </c>
      <c r="F901" t="n">
        <v/>
      </c>
      <c r="G901" t="n">
        <v>48.8</v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11</v>
      </c>
      <c r="M901" t="inlineStr">
        <is>
          <t>Values must be of type &lt;class 'str'&gt;</t>
        </is>
      </c>
      <c r="N901" t="inlineStr">
        <is>
          <t>00000000</t>
        </is>
      </c>
      <c r="O901" t="n">
        <v/>
      </c>
      <c r="P901" t="n">
        <v/>
      </c>
      <c r="R901" t="b">
        <v>1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</row>
    <row r="902">
      <c r="A902" t="inlineStr">
        <is>
          <t>ATF fuel</t>
        </is>
      </c>
      <c r="B902" t="inlineStr">
        <is>
          <t>A81</t>
        </is>
      </c>
      <c r="C902" t="n">
        <v>81</v>
      </c>
      <c r="D902" t="n">
        <v>1</v>
      </c>
      <c r="E902" t="inlineStr">
        <is>
          <t>Input</t>
        </is>
      </c>
      <c r="F902" t="n">
        <v/>
      </c>
      <c r="G902" t="inlineStr">
        <is>
          <t>April 01, 2012</t>
        </is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11</v>
      </c>
      <c r="M902" t="inlineStr">
        <is>
          <t>Values must be of type &lt;class 'str'&gt;</t>
        </is>
      </c>
      <c r="N902" t="inlineStr">
        <is>
          <t>00000000</t>
        </is>
      </c>
      <c r="O902" t="n">
        <v/>
      </c>
      <c r="P902" t="n">
        <v/>
      </c>
      <c r="R902" t="b">
        <v>1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</row>
    <row r="903">
      <c r="A903" t="inlineStr">
        <is>
          <t>ATF fuel</t>
        </is>
      </c>
      <c r="B903" t="inlineStr">
        <is>
          <t>B81</t>
        </is>
      </c>
      <c r="C903" t="n">
        <v>81</v>
      </c>
      <c r="D903" t="n">
        <v>2</v>
      </c>
      <c r="E903" t="inlineStr">
        <is>
          <t>Input</t>
        </is>
      </c>
      <c r="F903" t="n">
        <v/>
      </c>
      <c r="G903" t="n">
        <v>67800.3</v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11</v>
      </c>
      <c r="M903" t="inlineStr">
        <is>
          <t>Values must be of type &lt;class 'str'&gt;</t>
        </is>
      </c>
      <c r="N903" t="inlineStr">
        <is>
          <t>00000000</t>
        </is>
      </c>
      <c r="O903" t="inlineStr">
        <is>
          <t>center</t>
        </is>
      </c>
      <c r="P903" t="n">
        <v/>
      </c>
      <c r="R903" t="b">
        <v>1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</row>
    <row r="904">
      <c r="A904" t="inlineStr">
        <is>
          <t>ATF fuel</t>
        </is>
      </c>
      <c r="B904" t="inlineStr">
        <is>
          <t>C81</t>
        </is>
      </c>
      <c r="C904" t="n">
        <v>81</v>
      </c>
      <c r="D904" t="n">
        <v>3</v>
      </c>
      <c r="E904" t="inlineStr">
        <is>
          <t>Input</t>
        </is>
      </c>
      <c r="F904" t="n">
        <v/>
      </c>
      <c r="G904" t="n">
        <v>76383.08</v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11</v>
      </c>
      <c r="M904" t="inlineStr">
        <is>
          <t>Values must be of type &lt;class 'str'&gt;</t>
        </is>
      </c>
      <c r="N904" t="inlineStr">
        <is>
          <t>00000000</t>
        </is>
      </c>
      <c r="O904" t="inlineStr">
        <is>
          <t>center</t>
        </is>
      </c>
      <c r="P904" t="n">
        <v/>
      </c>
      <c r="R904" t="b">
        <v>1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</row>
    <row r="905">
      <c r="A905" t="inlineStr">
        <is>
          <t>ATF fuel</t>
        </is>
      </c>
      <c r="B905" t="inlineStr">
        <is>
          <t>D81</t>
        </is>
      </c>
      <c r="C905" t="n">
        <v>81</v>
      </c>
      <c r="D905" t="n">
        <v>4</v>
      </c>
      <c r="E905" t="inlineStr">
        <is>
          <t>Input</t>
        </is>
      </c>
      <c r="F905" t="n">
        <v/>
      </c>
      <c r="G905" t="n">
        <v>68806.82000000001</v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11</v>
      </c>
      <c r="M905" t="inlineStr">
        <is>
          <t>Values must be of type &lt;class 'str'&gt;</t>
        </is>
      </c>
      <c r="N905" t="inlineStr">
        <is>
          <t>00000000</t>
        </is>
      </c>
      <c r="O905" t="inlineStr">
        <is>
          <t>center</t>
        </is>
      </c>
      <c r="P905" t="n">
        <v/>
      </c>
      <c r="R905" t="b">
        <v>1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</row>
    <row r="906">
      <c r="A906" t="inlineStr">
        <is>
          <t>ATF fuel</t>
        </is>
      </c>
      <c r="B906" t="inlineStr">
        <is>
          <t>E81</t>
        </is>
      </c>
      <c r="C906" t="n">
        <v>81</v>
      </c>
      <c r="D906" t="n">
        <v>5</v>
      </c>
      <c r="E906" t="inlineStr">
        <is>
          <t>Input</t>
        </is>
      </c>
      <c r="F906" t="n">
        <v/>
      </c>
      <c r="G906" t="n">
        <v>73066.21000000001</v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11</v>
      </c>
      <c r="M906" t="inlineStr">
        <is>
          <t>Values must be of type &lt;class 'str'&gt;</t>
        </is>
      </c>
      <c r="N906" t="inlineStr">
        <is>
          <t>00000000</t>
        </is>
      </c>
      <c r="O906" t="inlineStr">
        <is>
          <t>center</t>
        </is>
      </c>
      <c r="P906" t="n">
        <v/>
      </c>
      <c r="R906" t="b">
        <v>1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</row>
    <row r="907">
      <c r="A907" t="inlineStr">
        <is>
          <t>ATF fuel</t>
        </is>
      </c>
      <c r="B907" t="inlineStr">
        <is>
          <t>F81</t>
        </is>
      </c>
      <c r="C907" t="n">
        <v>81</v>
      </c>
      <c r="D907" t="n">
        <v>6</v>
      </c>
      <c r="E907" t="inlineStr">
        <is>
          <t>Output</t>
        </is>
      </c>
      <c r="F907" t="inlineStr">
        <is>
          <t>'=AVERAGE(B81:E81)</t>
        </is>
      </c>
      <c r="G907" t="n">
        <v>71514.10250000001</v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11</v>
      </c>
      <c r="M907" t="inlineStr">
        <is>
          <t>Values must be of type &lt;class 'str'&gt;</t>
        </is>
      </c>
      <c r="N907" t="inlineStr">
        <is>
          <t>00000000</t>
        </is>
      </c>
      <c r="O907" t="inlineStr">
        <is>
          <t>center</t>
        </is>
      </c>
      <c r="P907" t="n">
        <v/>
      </c>
      <c r="R907" t="b">
        <v>1</v>
      </c>
      <c r="S907" t="inlineStr">
        <is>
          <t>G000284</t>
        </is>
      </c>
      <c r="T907" t="inlineStr">
        <is>
          <t>Vertical</t>
        </is>
      </c>
      <c r="U907" t="n">
        <v>130</v>
      </c>
      <c r="V907" t="b">
        <v>1</v>
      </c>
      <c r="W907" t="inlineStr">
        <is>
          <t>ATF fuel!F2:F131</t>
        </is>
      </c>
      <c r="X907">
        <f>AVERAGE(R[0]C[-4]:R[0]C[-1])</f>
        <v/>
      </c>
    </row>
    <row r="908">
      <c r="A908" t="inlineStr">
        <is>
          <t>ATF fuel</t>
        </is>
      </c>
      <c r="B908" t="inlineStr">
        <is>
          <t>G81</t>
        </is>
      </c>
      <c r="C908" t="n">
        <v>81</v>
      </c>
      <c r="D908" t="n">
        <v>7</v>
      </c>
      <c r="E908" t="inlineStr">
        <is>
          <t>Calculation</t>
        </is>
      </c>
      <c r="F908" t="inlineStr">
        <is>
          <t>'=G80-1</t>
        </is>
      </c>
      <c r="G908" t="n">
        <v>52</v>
      </c>
      <c r="H908" t="inlineStr"/>
      <c r="I908" t="inlineStr">
        <is>
          <t>#,##0</t>
        </is>
      </c>
      <c r="J908" t="b">
        <v>0</v>
      </c>
      <c r="K908" t="b">
        <v>0</v>
      </c>
      <c r="L908" t="n">
        <v>11</v>
      </c>
      <c r="M908" t="inlineStr">
        <is>
          <t>Values must be of type &lt;class 'str'&gt;</t>
        </is>
      </c>
      <c r="N908" t="inlineStr">
        <is>
          <t>00000000</t>
        </is>
      </c>
      <c r="O908" t="n">
        <v/>
      </c>
      <c r="P908" t="n">
        <v/>
      </c>
      <c r="R908" t="b">
        <v>1</v>
      </c>
      <c r="S908" t="inlineStr">
        <is>
          <t>G000286</t>
        </is>
      </c>
      <c r="T908" t="inlineStr">
        <is>
          <t>Vertical</t>
        </is>
      </c>
      <c r="U908" t="n">
        <v>129</v>
      </c>
      <c r="V908" t="b">
        <v>1</v>
      </c>
      <c r="W908" t="inlineStr">
        <is>
          <t>ATF fuel!G3:G131</t>
        </is>
      </c>
      <c r="X908">
        <f>R[-1]C[0]-1</f>
        <v/>
      </c>
    </row>
    <row r="909">
      <c r="A909" t="inlineStr">
        <is>
          <t>ATF fuel</t>
        </is>
      </c>
      <c r="B909" t="inlineStr">
        <is>
          <t>H81</t>
        </is>
      </c>
      <c r="C909" t="n">
        <v>81</v>
      </c>
      <c r="D909" t="n">
        <v>8</v>
      </c>
      <c r="E909" t="inlineStr">
        <is>
          <t>Output</t>
        </is>
      </c>
      <c r="F909" t="inlineStr">
        <is>
          <t>'=INDIRECT("A"&amp;G118)</t>
        </is>
      </c>
      <c r="G909" t="inlineStr">
        <is>
          <t>November 01,2016</t>
        </is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11</v>
      </c>
      <c r="M909" t="inlineStr">
        <is>
          <t>Values must be of type &lt;class 'str'&gt;</t>
        </is>
      </c>
      <c r="N909" t="inlineStr">
        <is>
          <t>00000000</t>
        </is>
      </c>
      <c r="O909" t="n">
        <v/>
      </c>
      <c r="P909" t="n">
        <v/>
      </c>
      <c r="R909" t="b">
        <v>1</v>
      </c>
      <c r="S909" t="inlineStr">
        <is>
          <t>G000293</t>
        </is>
      </c>
      <c r="T909" t="inlineStr">
        <is>
          <t>Vertical</t>
        </is>
      </c>
      <c r="U909" t="n">
        <v>20</v>
      </c>
      <c r="V909" t="b">
        <v>1</v>
      </c>
      <c r="W909" t="inlineStr">
        <is>
          <t>ATF fuel!H75:H94</t>
        </is>
      </c>
      <c r="X909">
        <f>INDIRECT("A"&amp;R[37]C[-1])</f>
        <v/>
      </c>
    </row>
    <row r="910">
      <c r="A910" t="inlineStr">
        <is>
          <t>ATF fuel</t>
        </is>
      </c>
      <c r="B910" t="inlineStr">
        <is>
          <t>I81</t>
        </is>
      </c>
      <c r="C910" t="n">
        <v>81</v>
      </c>
      <c r="D910" t="n">
        <v>9</v>
      </c>
      <c r="E910" t="inlineStr">
        <is>
          <t>Output</t>
        </is>
      </c>
      <c r="F910" t="inlineStr">
        <is>
          <t>'=INDIRECT("F"&amp;G118)</t>
        </is>
      </c>
      <c r="G910" t="n">
        <v>51901.2025</v>
      </c>
      <c r="H910" t="inlineStr"/>
      <c r="I910" t="inlineStr">
        <is>
          <t xml:space="preserve">_ * #,##0_ ;_ * \-#,##0_ ;_ * "-"??_ ;_ @_ </t>
        </is>
      </c>
      <c r="J910" t="b">
        <v>0</v>
      </c>
      <c r="K910" t="b">
        <v>0</v>
      </c>
      <c r="L910" t="n">
        <v>11</v>
      </c>
      <c r="M910" t="inlineStr">
        <is>
          <t>Values must be of type &lt;class 'str'&gt;</t>
        </is>
      </c>
      <c r="N910" t="inlineStr">
        <is>
          <t>00000000</t>
        </is>
      </c>
      <c r="O910" t="n">
        <v/>
      </c>
      <c r="P910" t="n">
        <v/>
      </c>
      <c r="R910" t="b">
        <v>1</v>
      </c>
      <c r="S910" t="inlineStr">
        <is>
          <t>G000294</t>
        </is>
      </c>
      <c r="T910" t="inlineStr">
        <is>
          <t>Vertical</t>
        </is>
      </c>
      <c r="U910" t="n">
        <v>20</v>
      </c>
      <c r="V910" t="b">
        <v>1</v>
      </c>
      <c r="W910" t="inlineStr">
        <is>
          <t>ATF fuel!I75:I94</t>
        </is>
      </c>
      <c r="X910">
        <f>INDIRECT("F"&amp;R[37]C[-2])</f>
        <v/>
      </c>
    </row>
    <row r="911">
      <c r="A911" t="inlineStr">
        <is>
          <t>ATF fuel</t>
        </is>
      </c>
      <c r="B911" t="inlineStr">
        <is>
          <t>J81</t>
        </is>
      </c>
      <c r="C911" t="n">
        <v>81</v>
      </c>
      <c r="D911" t="n">
        <v>10</v>
      </c>
      <c r="E911" t="inlineStr">
        <is>
          <t>Input</t>
        </is>
      </c>
      <c r="F911" t="n">
        <v/>
      </c>
      <c r="G911" t="n">
        <v>43.06</v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11</v>
      </c>
      <c r="M911" t="inlineStr">
        <is>
          <t>Values must be of type &lt;class 'str'&gt;</t>
        </is>
      </c>
      <c r="N911" t="inlineStr">
        <is>
          <t>00000000</t>
        </is>
      </c>
      <c r="O911" t="n">
        <v/>
      </c>
      <c r="P911" t="n">
        <v/>
      </c>
      <c r="R911" t="b">
        <v>1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</row>
    <row r="912">
      <c r="A912" t="inlineStr">
        <is>
          <t>ATF fuel</t>
        </is>
      </c>
      <c r="B912" t="inlineStr">
        <is>
          <t>K81</t>
        </is>
      </c>
      <c r="C912" t="n">
        <v>81</v>
      </c>
      <c r="D912" t="n">
        <v>11</v>
      </c>
      <c r="E912" t="inlineStr">
        <is>
          <t>Input</t>
        </is>
      </c>
      <c r="F912" t="n">
        <v/>
      </c>
      <c r="G912" t="n">
        <v>46.66</v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11</v>
      </c>
      <c r="M912" t="inlineStr">
        <is>
          <t>Values must be of type &lt;class 'str'&gt;</t>
        </is>
      </c>
      <c r="N912" t="inlineStr">
        <is>
          <t>00000000</t>
        </is>
      </c>
      <c r="O912" t="n">
        <v/>
      </c>
      <c r="P912" t="n">
        <v/>
      </c>
      <c r="R912" t="b">
        <v>1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</row>
    <row r="913">
      <c r="A913" t="inlineStr">
        <is>
          <t>ATF fuel</t>
        </is>
      </c>
      <c r="B913" t="inlineStr">
        <is>
          <t>A82</t>
        </is>
      </c>
      <c r="C913" t="n">
        <v>82</v>
      </c>
      <c r="D913" t="n">
        <v>1</v>
      </c>
      <c r="E913" t="inlineStr">
        <is>
          <t>Input</t>
        </is>
      </c>
      <c r="F913" t="n">
        <v/>
      </c>
      <c r="G913" t="inlineStr">
        <is>
          <t>March 16, 2012</t>
        </is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11</v>
      </c>
      <c r="M913" t="inlineStr">
        <is>
          <t>Values must be of type &lt;class 'str'&gt;</t>
        </is>
      </c>
      <c r="N913" t="inlineStr">
        <is>
          <t>00000000</t>
        </is>
      </c>
      <c r="O913" t="n">
        <v/>
      </c>
      <c r="P913" t="n">
        <v/>
      </c>
      <c r="R913" t="b">
        <v>1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</row>
    <row r="914">
      <c r="A914" t="inlineStr">
        <is>
          <t>ATF fuel</t>
        </is>
      </c>
      <c r="B914" t="inlineStr">
        <is>
          <t>B82</t>
        </is>
      </c>
      <c r="C914" t="n">
        <v>82</v>
      </c>
      <c r="D914" t="n">
        <v>2</v>
      </c>
      <c r="E914" t="inlineStr">
        <is>
          <t>Input</t>
        </is>
      </c>
      <c r="F914" t="n">
        <v/>
      </c>
      <c r="G914" t="n">
        <v>65949.34</v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11</v>
      </c>
      <c r="M914" t="inlineStr">
        <is>
          <t>Values must be of type &lt;class 'str'&gt;</t>
        </is>
      </c>
      <c r="N914" t="inlineStr">
        <is>
          <t>00000000</t>
        </is>
      </c>
      <c r="O914" t="inlineStr">
        <is>
          <t>center</t>
        </is>
      </c>
      <c r="P914" t="n">
        <v/>
      </c>
      <c r="R914" t="b">
        <v>1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</row>
    <row r="915">
      <c r="A915" t="inlineStr">
        <is>
          <t>ATF fuel</t>
        </is>
      </c>
      <c r="B915" t="inlineStr">
        <is>
          <t>C82</t>
        </is>
      </c>
      <c r="C915" t="n">
        <v>82</v>
      </c>
      <c r="D915" t="n">
        <v>3</v>
      </c>
      <c r="E915" t="inlineStr">
        <is>
          <t>Input</t>
        </is>
      </c>
      <c r="F915" t="n">
        <v/>
      </c>
      <c r="G915" t="n">
        <v>74415.95</v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11</v>
      </c>
      <c r="M915" t="inlineStr">
        <is>
          <t>Values must be of type &lt;class 'str'&gt;</t>
        </is>
      </c>
      <c r="N915" t="inlineStr">
        <is>
          <t>00000000</t>
        </is>
      </c>
      <c r="O915" t="inlineStr">
        <is>
          <t>center</t>
        </is>
      </c>
      <c r="P915" t="n">
        <v/>
      </c>
      <c r="R915" t="b">
        <v>1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</row>
    <row r="916">
      <c r="A916" t="inlineStr">
        <is>
          <t>ATF fuel</t>
        </is>
      </c>
      <c r="B916" t="inlineStr">
        <is>
          <t>D82</t>
        </is>
      </c>
      <c r="C916" t="n">
        <v>82</v>
      </c>
      <c r="D916" t="n">
        <v>4</v>
      </c>
      <c r="E916" t="inlineStr">
        <is>
          <t>Input</t>
        </is>
      </c>
      <c r="F916" t="n">
        <v/>
      </c>
      <c r="G916" t="n">
        <v>66989.74000000001</v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11</v>
      </c>
      <c r="M916" t="inlineStr">
        <is>
          <t>Values must be of type &lt;class 'str'&gt;</t>
        </is>
      </c>
      <c r="N916" t="inlineStr">
        <is>
          <t>00000000</t>
        </is>
      </c>
      <c r="O916" t="inlineStr">
        <is>
          <t>center</t>
        </is>
      </c>
      <c r="P916" t="n">
        <v/>
      </c>
      <c r="R916" t="b">
        <v>1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</row>
    <row r="917">
      <c r="A917" t="inlineStr">
        <is>
          <t>ATF fuel</t>
        </is>
      </c>
      <c r="B917" t="inlineStr">
        <is>
          <t>E82</t>
        </is>
      </c>
      <c r="C917" t="n">
        <v>82</v>
      </c>
      <c r="D917" t="n">
        <v>5</v>
      </c>
      <c r="E917" t="inlineStr">
        <is>
          <t>Input</t>
        </is>
      </c>
      <c r="F917" t="n">
        <v/>
      </c>
      <c r="G917" t="n">
        <v>71025.41</v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11</v>
      </c>
      <c r="M917" t="inlineStr">
        <is>
          <t>Values must be of type &lt;class 'str'&gt;</t>
        </is>
      </c>
      <c r="N917" t="inlineStr">
        <is>
          <t>00000000</t>
        </is>
      </c>
      <c r="O917" t="inlineStr">
        <is>
          <t>center</t>
        </is>
      </c>
      <c r="P917" t="n">
        <v/>
      </c>
      <c r="R917" t="b">
        <v>1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</row>
    <row r="918">
      <c r="A918" t="inlineStr">
        <is>
          <t>ATF fuel</t>
        </is>
      </c>
      <c r="B918" t="inlineStr">
        <is>
          <t>F82</t>
        </is>
      </c>
      <c r="C918" t="n">
        <v>82</v>
      </c>
      <c r="D918" t="n">
        <v>6</v>
      </c>
      <c r="E918" t="inlineStr">
        <is>
          <t>Output</t>
        </is>
      </c>
      <c r="F918" t="inlineStr">
        <is>
          <t>'=AVERAGE(B82:E82)</t>
        </is>
      </c>
      <c r="G918" t="n">
        <v>69595.10999999999</v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11</v>
      </c>
      <c r="M918" t="inlineStr">
        <is>
          <t>Values must be of type &lt;class 'str'&gt;</t>
        </is>
      </c>
      <c r="N918" t="inlineStr">
        <is>
          <t>00000000</t>
        </is>
      </c>
      <c r="O918" t="n">
        <v/>
      </c>
      <c r="P918" t="n">
        <v/>
      </c>
      <c r="R918" t="b">
        <v>1</v>
      </c>
      <c r="S918" t="inlineStr">
        <is>
          <t>G000284</t>
        </is>
      </c>
      <c r="T918" t="inlineStr">
        <is>
          <t>Vertical</t>
        </is>
      </c>
      <c r="U918" t="n">
        <v>130</v>
      </c>
      <c r="V918" t="b">
        <v>1</v>
      </c>
      <c r="W918" t="inlineStr">
        <is>
          <t>ATF fuel!F2:F131</t>
        </is>
      </c>
      <c r="X918">
        <f>AVERAGE(R[0]C[-4]:R[0]C[-1])</f>
        <v/>
      </c>
    </row>
    <row r="919">
      <c r="A919" t="inlineStr">
        <is>
          <t>ATF fuel</t>
        </is>
      </c>
      <c r="B919" t="inlineStr">
        <is>
          <t>G82</t>
        </is>
      </c>
      <c r="C919" t="n">
        <v>82</v>
      </c>
      <c r="D919" t="n">
        <v>7</v>
      </c>
      <c r="E919" t="inlineStr">
        <is>
          <t>Calculation</t>
        </is>
      </c>
      <c r="F919" t="inlineStr">
        <is>
          <t>'=G81-1</t>
        </is>
      </c>
      <c r="G919" t="n">
        <v>51</v>
      </c>
      <c r="H919" t="inlineStr"/>
      <c r="I919" t="inlineStr">
        <is>
          <t>#,##0</t>
        </is>
      </c>
      <c r="J919" t="b">
        <v>0</v>
      </c>
      <c r="K919" t="b">
        <v>0</v>
      </c>
      <c r="L919" t="n">
        <v>11</v>
      </c>
      <c r="M919" t="inlineStr">
        <is>
          <t>Values must be of type &lt;class 'str'&gt;</t>
        </is>
      </c>
      <c r="N919" t="inlineStr">
        <is>
          <t>00000000</t>
        </is>
      </c>
      <c r="O919" t="n">
        <v/>
      </c>
      <c r="P919" t="n">
        <v/>
      </c>
      <c r="R919" t="b">
        <v>1</v>
      </c>
      <c r="S919" t="inlineStr">
        <is>
          <t>G000286</t>
        </is>
      </c>
      <c r="T919" t="inlineStr">
        <is>
          <t>Vertical</t>
        </is>
      </c>
      <c r="U919" t="n">
        <v>129</v>
      </c>
      <c r="V919" t="b">
        <v>1</v>
      </c>
      <c r="W919" t="inlineStr">
        <is>
          <t>ATF fuel!G3:G131</t>
        </is>
      </c>
      <c r="X919">
        <f>R[-1]C[0]-1</f>
        <v/>
      </c>
    </row>
    <row r="920">
      <c r="A920" t="inlineStr">
        <is>
          <t>ATF fuel</t>
        </is>
      </c>
      <c r="B920" t="inlineStr">
        <is>
          <t>H82</t>
        </is>
      </c>
      <c r="C920" t="n">
        <v>82</v>
      </c>
      <c r="D920" t="n">
        <v>8</v>
      </c>
      <c r="E920" t="inlineStr">
        <is>
          <t>Output</t>
        </is>
      </c>
      <c r="F920" t="inlineStr">
        <is>
          <t>'=INDIRECT("A"&amp;G119)</t>
        </is>
      </c>
      <c r="G920" t="inlineStr">
        <is>
          <t>December 01,2016</t>
        </is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11</v>
      </c>
      <c r="M920" t="inlineStr">
        <is>
          <t>Values must be of type &lt;class 'str'&gt;</t>
        </is>
      </c>
      <c r="N920" t="inlineStr">
        <is>
          <t>00000000</t>
        </is>
      </c>
      <c r="O920" t="n">
        <v/>
      </c>
      <c r="P920" t="n">
        <v/>
      </c>
      <c r="R920" t="b">
        <v>1</v>
      </c>
      <c r="S920" t="inlineStr">
        <is>
          <t>G000293</t>
        </is>
      </c>
      <c r="T920" t="inlineStr">
        <is>
          <t>Vertical</t>
        </is>
      </c>
      <c r="U920" t="n">
        <v>20</v>
      </c>
      <c r="V920" t="b">
        <v>1</v>
      </c>
      <c r="W920" t="inlineStr">
        <is>
          <t>ATF fuel!H75:H94</t>
        </is>
      </c>
      <c r="X920">
        <f>INDIRECT("A"&amp;R[37]C[-1])</f>
        <v/>
      </c>
    </row>
    <row r="921">
      <c r="A921" t="inlineStr">
        <is>
          <t>ATF fuel</t>
        </is>
      </c>
      <c r="B921" t="inlineStr">
        <is>
          <t>I82</t>
        </is>
      </c>
      <c r="C921" t="n">
        <v>82</v>
      </c>
      <c r="D921" t="n">
        <v>9</v>
      </c>
      <c r="E921" t="inlineStr">
        <is>
          <t>Output</t>
        </is>
      </c>
      <c r="F921" t="inlineStr">
        <is>
          <t>'=INDIRECT("F"&amp;G119)</t>
        </is>
      </c>
      <c r="G921" t="n">
        <v>49998.025</v>
      </c>
      <c r="H921" t="inlineStr"/>
      <c r="I921" t="inlineStr">
        <is>
          <t xml:space="preserve">_ * #,##0_ ;_ * \-#,##0_ ;_ * "-"??_ ;_ @_ </t>
        </is>
      </c>
      <c r="J921" t="b">
        <v>0</v>
      </c>
      <c r="K921" t="b">
        <v>0</v>
      </c>
      <c r="L921" t="n">
        <v>11</v>
      </c>
      <c r="M921" t="inlineStr">
        <is>
          <t>Values must be of type &lt;class 'str'&gt;</t>
        </is>
      </c>
      <c r="N921" t="inlineStr">
        <is>
          <t>00000000</t>
        </is>
      </c>
      <c r="O921" t="n">
        <v/>
      </c>
      <c r="P921" t="n">
        <v/>
      </c>
      <c r="R921" t="b">
        <v>1</v>
      </c>
      <c r="S921" t="inlineStr">
        <is>
          <t>G000294</t>
        </is>
      </c>
      <c r="T921" t="inlineStr">
        <is>
          <t>Vertical</t>
        </is>
      </c>
      <c r="U921" t="n">
        <v>20</v>
      </c>
      <c r="V921" t="b">
        <v>1</v>
      </c>
      <c r="W921" t="inlineStr">
        <is>
          <t>ATF fuel!I75:I94</t>
        </is>
      </c>
      <c r="X921">
        <f>INDIRECT("F"&amp;R[37]C[-2])</f>
        <v/>
      </c>
    </row>
    <row r="922">
      <c r="A922" t="inlineStr">
        <is>
          <t>ATF fuel</t>
        </is>
      </c>
      <c r="B922" t="inlineStr">
        <is>
          <t>J82</t>
        </is>
      </c>
      <c r="C922" t="n">
        <v>82</v>
      </c>
      <c r="D922" t="n">
        <v>10</v>
      </c>
      <c r="E922" t="inlineStr">
        <is>
          <t>Input</t>
        </is>
      </c>
      <c r="F922" t="n">
        <v/>
      </c>
      <c r="G922" t="n">
        <v>52.31</v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11</v>
      </c>
      <c r="M922" t="inlineStr">
        <is>
          <t>Values must be of type &lt;class 'str'&gt;</t>
        </is>
      </c>
      <c r="N922" t="inlineStr">
        <is>
          <t>00000000</t>
        </is>
      </c>
      <c r="O922" t="n">
        <v/>
      </c>
      <c r="P922" t="n">
        <v/>
      </c>
      <c r="R922" t="b">
        <v>1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</row>
    <row r="923">
      <c r="A923" t="inlineStr">
        <is>
          <t>ATF fuel</t>
        </is>
      </c>
      <c r="B923" t="inlineStr">
        <is>
          <t>K82</t>
        </is>
      </c>
      <c r="C923" t="n">
        <v>82</v>
      </c>
      <c r="D923" t="n">
        <v>11</v>
      </c>
      <c r="E923" t="inlineStr">
        <is>
          <t>Input</t>
        </is>
      </c>
      <c r="F923" t="n">
        <v/>
      </c>
      <c r="G923" t="n">
        <v>51.08</v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11</v>
      </c>
      <c r="M923" t="inlineStr">
        <is>
          <t>Values must be of type &lt;class 'str'&gt;</t>
        </is>
      </c>
      <c r="N923" t="inlineStr">
        <is>
          <t>00000000</t>
        </is>
      </c>
      <c r="O923" t="n">
        <v/>
      </c>
      <c r="P923" t="n">
        <v/>
      </c>
      <c r="R923" t="b">
        <v>1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</row>
    <row r="924">
      <c r="A924" t="inlineStr">
        <is>
          <t>ATF fuel</t>
        </is>
      </c>
      <c r="B924" t="inlineStr">
        <is>
          <t>A83</t>
        </is>
      </c>
      <c r="C924" t="n">
        <v>83</v>
      </c>
      <c r="D924" t="n">
        <v>1</v>
      </c>
      <c r="E924" t="inlineStr">
        <is>
          <t>Input</t>
        </is>
      </c>
      <c r="F924" t="n">
        <v/>
      </c>
      <c r="G924" t="inlineStr">
        <is>
          <t>March 07, 2012</t>
        </is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11</v>
      </c>
      <c r="M924" t="inlineStr">
        <is>
          <t>Values must be of type &lt;class 'str'&gt;</t>
        </is>
      </c>
      <c r="N924" t="inlineStr">
        <is>
          <t>00000000</t>
        </is>
      </c>
      <c r="O924" t="n">
        <v/>
      </c>
      <c r="P924" t="n">
        <v/>
      </c>
      <c r="R924" t="b">
        <v>1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</row>
    <row r="925">
      <c r="A925" t="inlineStr">
        <is>
          <t>ATF fuel</t>
        </is>
      </c>
      <c r="B925" t="inlineStr">
        <is>
          <t>B83</t>
        </is>
      </c>
      <c r="C925" t="n">
        <v>83</v>
      </c>
      <c r="D925" t="n">
        <v>2</v>
      </c>
      <c r="E925" t="inlineStr">
        <is>
          <t>Input</t>
        </is>
      </c>
      <c r="F925" t="n">
        <v/>
      </c>
      <c r="G925" t="n">
        <v>64650.46</v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11</v>
      </c>
      <c r="M925" t="inlineStr">
        <is>
          <t>Values must be of type &lt;class 'str'&gt;</t>
        </is>
      </c>
      <c r="N925" t="inlineStr">
        <is>
          <t>00000000</t>
        </is>
      </c>
      <c r="O925" t="inlineStr">
        <is>
          <t>center</t>
        </is>
      </c>
      <c r="P925" t="n">
        <v/>
      </c>
      <c r="R925" t="b">
        <v>1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</row>
    <row r="926">
      <c r="A926" t="inlineStr">
        <is>
          <t>ATF fuel</t>
        </is>
      </c>
      <c r="B926" t="inlineStr">
        <is>
          <t>C83</t>
        </is>
      </c>
      <c r="C926" t="n">
        <v>83</v>
      </c>
      <c r="D926" t="n">
        <v>3</v>
      </c>
      <c r="E926" t="inlineStr">
        <is>
          <t>Input</t>
        </is>
      </c>
      <c r="F926" t="n">
        <v/>
      </c>
      <c r="G926" t="n">
        <v>72941.17999999999</v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11</v>
      </c>
      <c r="M926" t="inlineStr">
        <is>
          <t>Values must be of type &lt;class 'str'&gt;</t>
        </is>
      </c>
      <c r="N926" t="inlineStr">
        <is>
          <t>00000000</t>
        </is>
      </c>
      <c r="O926" t="inlineStr">
        <is>
          <t>center</t>
        </is>
      </c>
      <c r="P926" t="n">
        <v/>
      </c>
      <c r="R926" t="b">
        <v>1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</row>
    <row r="927">
      <c r="A927" t="inlineStr">
        <is>
          <t>ATF fuel</t>
        </is>
      </c>
      <c r="B927" t="inlineStr">
        <is>
          <t>D83</t>
        </is>
      </c>
      <c r="C927" t="n">
        <v>83</v>
      </c>
      <c r="D927" t="n">
        <v>4</v>
      </c>
      <c r="E927" t="inlineStr">
        <is>
          <t>Input</t>
        </is>
      </c>
      <c r="F927" t="n">
        <v/>
      </c>
      <c r="G927" t="n">
        <v>65636.74000000001</v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11</v>
      </c>
      <c r="M927" t="inlineStr">
        <is>
          <t>Values must be of type &lt;class 'str'&gt;</t>
        </is>
      </c>
      <c r="N927" t="inlineStr">
        <is>
          <t>00000000</t>
        </is>
      </c>
      <c r="O927" t="inlineStr">
        <is>
          <t>center</t>
        </is>
      </c>
      <c r="P927" t="n">
        <v/>
      </c>
      <c r="R927" t="b">
        <v>1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</row>
    <row r="928">
      <c r="A928" t="inlineStr">
        <is>
          <t>ATF fuel</t>
        </is>
      </c>
      <c r="B928" t="inlineStr">
        <is>
          <t>E83</t>
        </is>
      </c>
      <c r="C928" t="n">
        <v>83</v>
      </c>
      <c r="D928" t="n">
        <v>5</v>
      </c>
      <c r="E928" t="inlineStr">
        <is>
          <t>Input</t>
        </is>
      </c>
      <c r="F928" t="n">
        <v/>
      </c>
      <c r="G928" t="n">
        <v>69545.33</v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11</v>
      </c>
      <c r="M928" t="inlineStr">
        <is>
          <t>Values must be of type &lt;class 'str'&gt;</t>
        </is>
      </c>
      <c r="N928" t="inlineStr">
        <is>
          <t>00000000</t>
        </is>
      </c>
      <c r="O928" t="inlineStr">
        <is>
          <t>center</t>
        </is>
      </c>
      <c r="P928" t="n">
        <v/>
      </c>
      <c r="R928" t="b">
        <v>1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</row>
    <row r="929">
      <c r="A929" t="inlineStr">
        <is>
          <t>ATF fuel</t>
        </is>
      </c>
      <c r="B929" t="inlineStr">
        <is>
          <t>F83</t>
        </is>
      </c>
      <c r="C929" t="n">
        <v>83</v>
      </c>
      <c r="D929" t="n">
        <v>6</v>
      </c>
      <c r="E929" t="inlineStr">
        <is>
          <t>Output</t>
        </is>
      </c>
      <c r="F929" t="inlineStr">
        <is>
          <t>'=AVERAGE(B83:E83)</t>
        </is>
      </c>
      <c r="G929" t="n">
        <v>68193.42750000001</v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11</v>
      </c>
      <c r="M929" t="inlineStr">
        <is>
          <t>Values must be of type &lt;class 'str'&gt;</t>
        </is>
      </c>
      <c r="N929" t="inlineStr">
        <is>
          <t>00000000</t>
        </is>
      </c>
      <c r="O929" t="n">
        <v/>
      </c>
      <c r="P929" t="n">
        <v/>
      </c>
      <c r="R929" t="b">
        <v>1</v>
      </c>
      <c r="S929" t="inlineStr">
        <is>
          <t>G000284</t>
        </is>
      </c>
      <c r="T929" t="inlineStr">
        <is>
          <t>Vertical</t>
        </is>
      </c>
      <c r="U929" t="n">
        <v>130</v>
      </c>
      <c r="V929" t="b">
        <v>1</v>
      </c>
      <c r="W929" t="inlineStr">
        <is>
          <t>ATF fuel!F2:F131</t>
        </is>
      </c>
      <c r="X929">
        <f>AVERAGE(R[0]C[-4]:R[0]C[-1])</f>
        <v/>
      </c>
    </row>
    <row r="930">
      <c r="A930" t="inlineStr">
        <is>
          <t>ATF fuel</t>
        </is>
      </c>
      <c r="B930" t="inlineStr">
        <is>
          <t>G83</t>
        </is>
      </c>
      <c r="C930" t="n">
        <v>83</v>
      </c>
      <c r="D930" t="n">
        <v>7</v>
      </c>
      <c r="E930" t="inlineStr">
        <is>
          <t>Calculation</t>
        </is>
      </c>
      <c r="F930" t="inlineStr">
        <is>
          <t>'=G82-1</t>
        </is>
      </c>
      <c r="G930" t="n">
        <v>50</v>
      </c>
      <c r="H930" t="inlineStr"/>
      <c r="I930" t="inlineStr">
        <is>
          <t>#,##0</t>
        </is>
      </c>
      <c r="J930" t="b">
        <v>0</v>
      </c>
      <c r="K930" t="b">
        <v>0</v>
      </c>
      <c r="L930" t="n">
        <v>11</v>
      </c>
      <c r="M930" t="inlineStr">
        <is>
          <t>Values must be of type &lt;class 'str'&gt;</t>
        </is>
      </c>
      <c r="N930" t="inlineStr">
        <is>
          <t>00000000</t>
        </is>
      </c>
      <c r="O930" t="n">
        <v/>
      </c>
      <c r="P930" t="n">
        <v/>
      </c>
      <c r="R930" t="b">
        <v>1</v>
      </c>
      <c r="S930" t="inlineStr">
        <is>
          <t>G000286</t>
        </is>
      </c>
      <c r="T930" t="inlineStr">
        <is>
          <t>Vertical</t>
        </is>
      </c>
      <c r="U930" t="n">
        <v>129</v>
      </c>
      <c r="V930" t="b">
        <v>1</v>
      </c>
      <c r="W930" t="inlineStr">
        <is>
          <t>ATF fuel!G3:G131</t>
        </is>
      </c>
      <c r="X930">
        <f>R[-1]C[0]-1</f>
        <v/>
      </c>
    </row>
    <row r="931">
      <c r="A931" t="inlineStr">
        <is>
          <t>ATF fuel</t>
        </is>
      </c>
      <c r="B931" t="inlineStr">
        <is>
          <t>H83</t>
        </is>
      </c>
      <c r="C931" t="n">
        <v>83</v>
      </c>
      <c r="D931" t="n">
        <v>8</v>
      </c>
      <c r="E931" t="inlineStr">
        <is>
          <t>Output</t>
        </is>
      </c>
      <c r="F931" t="inlineStr">
        <is>
          <t>'=INDIRECT("A"&amp;G120)</t>
        </is>
      </c>
      <c r="G931" t="inlineStr">
        <is>
          <t>January 01, 2017</t>
        </is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11</v>
      </c>
      <c r="M931" t="inlineStr">
        <is>
          <t>Values must be of type &lt;class 'str'&gt;</t>
        </is>
      </c>
      <c r="N931" t="inlineStr">
        <is>
          <t>00000000</t>
        </is>
      </c>
      <c r="O931" t="n">
        <v/>
      </c>
      <c r="P931" t="n">
        <v/>
      </c>
      <c r="R931" t="b">
        <v>1</v>
      </c>
      <c r="S931" t="inlineStr">
        <is>
          <t>G000293</t>
        </is>
      </c>
      <c r="T931" t="inlineStr">
        <is>
          <t>Vertical</t>
        </is>
      </c>
      <c r="U931" t="n">
        <v>20</v>
      </c>
      <c r="V931" t="b">
        <v>1</v>
      </c>
      <c r="W931" t="inlineStr">
        <is>
          <t>ATF fuel!H75:H94</t>
        </is>
      </c>
      <c r="X931">
        <f>INDIRECT("A"&amp;R[37]C[-1])</f>
        <v/>
      </c>
    </row>
    <row r="932">
      <c r="A932" t="inlineStr">
        <is>
          <t>ATF fuel</t>
        </is>
      </c>
      <c r="B932" t="inlineStr">
        <is>
          <t>I83</t>
        </is>
      </c>
      <c r="C932" t="n">
        <v>83</v>
      </c>
      <c r="D932" t="n">
        <v>9</v>
      </c>
      <c r="E932" t="inlineStr">
        <is>
          <t>Output</t>
        </is>
      </c>
      <c r="F932" t="inlineStr">
        <is>
          <t>'=INDIRECT("F"&amp;G120)</t>
        </is>
      </c>
      <c r="G932" t="n">
        <v>54213.9175</v>
      </c>
      <c r="H932" t="inlineStr"/>
      <c r="I932" t="inlineStr">
        <is>
          <t xml:space="preserve">_ * #,##0_ ;_ * \-#,##0_ ;_ * "-"??_ ;_ @_ </t>
        </is>
      </c>
      <c r="J932" t="b">
        <v>0</v>
      </c>
      <c r="K932" t="b">
        <v>0</v>
      </c>
      <c r="L932" t="n">
        <v>11</v>
      </c>
      <c r="M932" t="inlineStr">
        <is>
          <t>Values must be of type &lt;class 'str'&gt;</t>
        </is>
      </c>
      <c r="N932" t="inlineStr">
        <is>
          <t>00000000</t>
        </is>
      </c>
      <c r="O932" t="n">
        <v/>
      </c>
      <c r="P932" t="n">
        <v/>
      </c>
      <c r="R932" t="b">
        <v>1</v>
      </c>
      <c r="S932" t="inlineStr">
        <is>
          <t>G000294</t>
        </is>
      </c>
      <c r="T932" t="inlineStr">
        <is>
          <t>Vertical</t>
        </is>
      </c>
      <c r="U932" t="n">
        <v>20</v>
      </c>
      <c r="V932" t="b">
        <v>1</v>
      </c>
      <c r="W932" t="inlineStr">
        <is>
          <t>ATF fuel!I75:I94</t>
        </is>
      </c>
      <c r="X932">
        <f>INDIRECT("F"&amp;R[37]C[-2])</f>
        <v/>
      </c>
    </row>
    <row r="933">
      <c r="A933" t="inlineStr">
        <is>
          <t>ATF fuel</t>
        </is>
      </c>
      <c r="B933" t="inlineStr">
        <is>
          <t>J83</t>
        </is>
      </c>
      <c r="C933" t="n">
        <v>83</v>
      </c>
      <c r="D933" t="n">
        <v>10</v>
      </c>
      <c r="E933" t="inlineStr">
        <is>
          <t>Input</t>
        </is>
      </c>
      <c r="F933" t="n">
        <v/>
      </c>
      <c r="G933" t="n">
        <v>55.9</v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11</v>
      </c>
      <c r="M933" t="inlineStr">
        <is>
          <t>Values must be of type &lt;class 'str'&gt;</t>
        </is>
      </c>
      <c r="N933" t="inlineStr">
        <is>
          <t>00000000</t>
        </is>
      </c>
      <c r="O933" t="n">
        <v/>
      </c>
      <c r="P933" t="n">
        <v/>
      </c>
      <c r="R933" t="b">
        <v>1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</row>
    <row r="934">
      <c r="A934" t="inlineStr">
        <is>
          <t>ATF fuel</t>
        </is>
      </c>
      <c r="B934" t="inlineStr">
        <is>
          <t>K83</t>
        </is>
      </c>
      <c r="C934" t="n">
        <v>83</v>
      </c>
      <c r="D934" t="n">
        <v>11</v>
      </c>
      <c r="E934" t="inlineStr">
        <is>
          <t>Input</t>
        </is>
      </c>
      <c r="F934" t="n">
        <v/>
      </c>
      <c r="G934" t="n">
        <v>52.36</v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11</v>
      </c>
      <c r="M934" t="inlineStr">
        <is>
          <t>Values must be of type &lt;class 'str'&gt;</t>
        </is>
      </c>
      <c r="N934" t="inlineStr">
        <is>
          <t>00000000</t>
        </is>
      </c>
      <c r="O934" t="n">
        <v/>
      </c>
      <c r="P934" t="n">
        <v/>
      </c>
      <c r="R934" t="b">
        <v>1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</row>
    <row r="935">
      <c r="A935" t="inlineStr">
        <is>
          <t>ATF fuel</t>
        </is>
      </c>
      <c r="B935" t="inlineStr">
        <is>
          <t>A84</t>
        </is>
      </c>
      <c r="C935" t="n">
        <v>84</v>
      </c>
      <c r="D935" t="n">
        <v>1</v>
      </c>
      <c r="E935" t="inlineStr">
        <is>
          <t>Input</t>
        </is>
      </c>
      <c r="F935" t="n">
        <v/>
      </c>
      <c r="G935" t="inlineStr">
        <is>
          <t>March 01, 2012</t>
        </is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11</v>
      </c>
      <c r="M935" t="inlineStr">
        <is>
          <t>Values must be of type &lt;class 'str'&gt;</t>
        </is>
      </c>
      <c r="N935" t="inlineStr">
        <is>
          <t>00000000</t>
        </is>
      </c>
      <c r="O935" t="n">
        <v/>
      </c>
      <c r="P935" t="n">
        <v/>
      </c>
      <c r="R935" t="b">
        <v>1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</row>
    <row r="936">
      <c r="A936" t="inlineStr">
        <is>
          <t>ATF fuel</t>
        </is>
      </c>
      <c r="B936" t="inlineStr">
        <is>
          <t>B84</t>
        </is>
      </c>
      <c r="C936" t="n">
        <v>84</v>
      </c>
      <c r="D936" t="n">
        <v>2</v>
      </c>
      <c r="E936" t="inlineStr">
        <is>
          <t>Input</t>
        </is>
      </c>
      <c r="F936" t="n">
        <v/>
      </c>
      <c r="G936" t="n">
        <v>64596.36</v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11</v>
      </c>
      <c r="M936" t="inlineStr">
        <is>
          <t>Values must be of type &lt;class 'str'&gt;</t>
        </is>
      </c>
      <c r="N936" t="inlineStr">
        <is>
          <t>00000000</t>
        </is>
      </c>
      <c r="O936" t="inlineStr">
        <is>
          <t>center</t>
        </is>
      </c>
      <c r="P936" t="n">
        <v/>
      </c>
      <c r="R936" t="b">
        <v>1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</row>
    <row r="937">
      <c r="A937" t="inlineStr">
        <is>
          <t>ATF fuel</t>
        </is>
      </c>
      <c r="B937" t="inlineStr">
        <is>
          <t>C84</t>
        </is>
      </c>
      <c r="C937" t="n">
        <v>84</v>
      </c>
      <c r="D937" t="n">
        <v>3</v>
      </c>
      <c r="E937" t="inlineStr">
        <is>
          <t>Input</t>
        </is>
      </c>
      <c r="F937" t="n">
        <v/>
      </c>
      <c r="G937" t="n">
        <v>72941.17999999999</v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11</v>
      </c>
      <c r="M937" t="inlineStr">
        <is>
          <t>Values must be of type &lt;class 'str'&gt;</t>
        </is>
      </c>
      <c r="N937" t="inlineStr">
        <is>
          <t>00000000</t>
        </is>
      </c>
      <c r="O937" t="inlineStr">
        <is>
          <t>center</t>
        </is>
      </c>
      <c r="P937" t="n">
        <v/>
      </c>
      <c r="R937" t="b">
        <v>1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</row>
    <row r="938">
      <c r="A938" t="inlineStr">
        <is>
          <t>ATF fuel</t>
        </is>
      </c>
      <c r="B938" t="inlineStr">
        <is>
          <t>D84</t>
        </is>
      </c>
      <c r="C938" t="n">
        <v>84</v>
      </c>
      <c r="D938" t="n">
        <v>4</v>
      </c>
      <c r="E938" t="inlineStr">
        <is>
          <t>Input</t>
        </is>
      </c>
      <c r="F938" t="n">
        <v/>
      </c>
      <c r="G938" t="n">
        <v>65636.74000000001</v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11</v>
      </c>
      <c r="M938" t="inlineStr">
        <is>
          <t>Values must be of type &lt;class 'str'&gt;</t>
        </is>
      </c>
      <c r="N938" t="inlineStr">
        <is>
          <t>00000000</t>
        </is>
      </c>
      <c r="O938" t="inlineStr">
        <is>
          <t>center</t>
        </is>
      </c>
      <c r="P938" t="n">
        <v/>
      </c>
      <c r="R938" t="b">
        <v>1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</row>
    <row r="939">
      <c r="A939" t="inlineStr">
        <is>
          <t>ATF fuel</t>
        </is>
      </c>
      <c r="B939" t="inlineStr">
        <is>
          <t>E84</t>
        </is>
      </c>
      <c r="C939" t="n">
        <v>84</v>
      </c>
      <c r="D939" t="n">
        <v>5</v>
      </c>
      <c r="E939" t="inlineStr">
        <is>
          <t>Input</t>
        </is>
      </c>
      <c r="F939" t="n">
        <v/>
      </c>
      <c r="G939" t="n">
        <v>69545.33</v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11</v>
      </c>
      <c r="M939" t="inlineStr">
        <is>
          <t>Values must be of type &lt;class 'str'&gt;</t>
        </is>
      </c>
      <c r="N939" t="inlineStr">
        <is>
          <t>00000000</t>
        </is>
      </c>
      <c r="O939" t="inlineStr">
        <is>
          <t>center</t>
        </is>
      </c>
      <c r="P939" t="n">
        <v/>
      </c>
      <c r="R939" t="b">
        <v>1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</row>
    <row r="940">
      <c r="A940" t="inlineStr">
        <is>
          <t>ATF fuel</t>
        </is>
      </c>
      <c r="B940" t="inlineStr">
        <is>
          <t>F84</t>
        </is>
      </c>
      <c r="C940" t="n">
        <v>84</v>
      </c>
      <c r="D940" t="n">
        <v>6</v>
      </c>
      <c r="E940" t="inlineStr">
        <is>
          <t>Output</t>
        </is>
      </c>
      <c r="F940" t="inlineStr">
        <is>
          <t>'=AVERAGE(B84:E84)</t>
        </is>
      </c>
      <c r="G940" t="n">
        <v>68179.9025</v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11</v>
      </c>
      <c r="M940" t="inlineStr">
        <is>
          <t>Values must be of type &lt;class 'str'&gt;</t>
        </is>
      </c>
      <c r="N940" t="inlineStr">
        <is>
          <t>00000000</t>
        </is>
      </c>
      <c r="O940" t="n">
        <v/>
      </c>
      <c r="P940" t="n">
        <v/>
      </c>
      <c r="R940" t="b">
        <v>1</v>
      </c>
      <c r="S940" t="inlineStr">
        <is>
          <t>G000284</t>
        </is>
      </c>
      <c r="T940" t="inlineStr">
        <is>
          <t>Vertical</t>
        </is>
      </c>
      <c r="U940" t="n">
        <v>130</v>
      </c>
      <c r="V940" t="b">
        <v>1</v>
      </c>
      <c r="W940" t="inlineStr">
        <is>
          <t>ATF fuel!F2:F131</t>
        </is>
      </c>
      <c r="X940">
        <f>AVERAGE(R[0]C[-4]:R[0]C[-1])</f>
        <v/>
      </c>
    </row>
    <row r="941">
      <c r="A941" t="inlineStr">
        <is>
          <t>ATF fuel</t>
        </is>
      </c>
      <c r="B941" t="inlineStr">
        <is>
          <t>G84</t>
        </is>
      </c>
      <c r="C941" t="n">
        <v>84</v>
      </c>
      <c r="D941" t="n">
        <v>7</v>
      </c>
      <c r="E941" t="inlineStr">
        <is>
          <t>Calculation</t>
        </is>
      </c>
      <c r="F941" t="inlineStr">
        <is>
          <t>'=G83-1</t>
        </is>
      </c>
      <c r="G941" t="n">
        <v>49</v>
      </c>
      <c r="H941" t="inlineStr"/>
      <c r="I941" t="inlineStr">
        <is>
          <t>#,##0</t>
        </is>
      </c>
      <c r="J941" t="b">
        <v>0</v>
      </c>
      <c r="K941" t="b">
        <v>0</v>
      </c>
      <c r="L941" t="n">
        <v>11</v>
      </c>
      <c r="M941" t="inlineStr">
        <is>
          <t>Values must be of type &lt;class 'str'&gt;</t>
        </is>
      </c>
      <c r="N941" t="inlineStr">
        <is>
          <t>00000000</t>
        </is>
      </c>
      <c r="O941" t="n">
        <v/>
      </c>
      <c r="P941" t="n">
        <v/>
      </c>
      <c r="R941" t="b">
        <v>1</v>
      </c>
      <c r="S941" t="inlineStr">
        <is>
          <t>G000286</t>
        </is>
      </c>
      <c r="T941" t="inlineStr">
        <is>
          <t>Vertical</t>
        </is>
      </c>
      <c r="U941" t="n">
        <v>129</v>
      </c>
      <c r="V941" t="b">
        <v>1</v>
      </c>
      <c r="W941" t="inlineStr">
        <is>
          <t>ATF fuel!G3:G131</t>
        </is>
      </c>
      <c r="X941">
        <f>R[-1]C[0]-1</f>
        <v/>
      </c>
    </row>
    <row r="942">
      <c r="A942" t="inlineStr">
        <is>
          <t>ATF fuel</t>
        </is>
      </c>
      <c r="B942" t="inlineStr">
        <is>
          <t>H84</t>
        </is>
      </c>
      <c r="C942" t="n">
        <v>84</v>
      </c>
      <c r="D942" t="n">
        <v>8</v>
      </c>
      <c r="E942" t="inlineStr">
        <is>
          <t>Output</t>
        </is>
      </c>
      <c r="F942" t="inlineStr">
        <is>
          <t>'=INDIRECT("A"&amp;G121)</t>
        </is>
      </c>
      <c r="G942" t="inlineStr">
        <is>
          <t>February 01,2017</t>
        </is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11</v>
      </c>
      <c r="M942" t="inlineStr">
        <is>
          <t>Values must be of type &lt;class 'str'&gt;</t>
        </is>
      </c>
      <c r="N942" t="inlineStr">
        <is>
          <t>00000000</t>
        </is>
      </c>
      <c r="O942" t="n">
        <v/>
      </c>
      <c r="P942" t="n">
        <v/>
      </c>
      <c r="R942" t="b">
        <v>1</v>
      </c>
      <c r="S942" t="inlineStr">
        <is>
          <t>G000293</t>
        </is>
      </c>
      <c r="T942" t="inlineStr">
        <is>
          <t>Vertical</t>
        </is>
      </c>
      <c r="U942" t="n">
        <v>20</v>
      </c>
      <c r="V942" t="b">
        <v>1</v>
      </c>
      <c r="W942" t="inlineStr">
        <is>
          <t>ATF fuel!H75:H94</t>
        </is>
      </c>
      <c r="X942">
        <f>INDIRECT("A"&amp;R[37]C[-1])</f>
        <v/>
      </c>
    </row>
    <row r="943">
      <c r="A943" t="inlineStr">
        <is>
          <t>ATF fuel</t>
        </is>
      </c>
      <c r="B943" t="inlineStr">
        <is>
          <t>I84</t>
        </is>
      </c>
      <c r="C943" t="n">
        <v>84</v>
      </c>
      <c r="D943" t="n">
        <v>9</v>
      </c>
      <c r="E943" t="inlineStr">
        <is>
          <t>Output</t>
        </is>
      </c>
      <c r="F943" t="inlineStr">
        <is>
          <t>'=INDIRECT("F"&amp;G121)</t>
        </is>
      </c>
      <c r="G943" t="n">
        <v>55817.3925</v>
      </c>
      <c r="H943" t="inlineStr"/>
      <c r="I943" t="inlineStr">
        <is>
          <t xml:space="preserve">_ * #,##0_ ;_ * \-#,##0_ ;_ * "-"??_ ;_ @_ </t>
        </is>
      </c>
      <c r="J943" t="b">
        <v>0</v>
      </c>
      <c r="K943" t="b">
        <v>0</v>
      </c>
      <c r="L943" t="n">
        <v>11</v>
      </c>
      <c r="M943" t="inlineStr">
        <is>
          <t>Values must be of type &lt;class 'str'&gt;</t>
        </is>
      </c>
      <c r="N943" t="inlineStr">
        <is>
          <t>00000000</t>
        </is>
      </c>
      <c r="O943" t="n">
        <v/>
      </c>
      <c r="P943" t="n">
        <v/>
      </c>
      <c r="R943" t="b">
        <v>1</v>
      </c>
      <c r="S943" t="inlineStr">
        <is>
          <t>G000294</t>
        </is>
      </c>
      <c r="T943" t="inlineStr">
        <is>
          <t>Vertical</t>
        </is>
      </c>
      <c r="U943" t="n">
        <v>20</v>
      </c>
      <c r="V943" t="b">
        <v>1</v>
      </c>
      <c r="W943" t="inlineStr">
        <is>
          <t>ATF fuel!I75:I94</t>
        </is>
      </c>
      <c r="X943">
        <f>INDIRECT("F"&amp;R[37]C[-2])</f>
        <v/>
      </c>
    </row>
    <row r="944">
      <c r="A944" t="inlineStr">
        <is>
          <t>ATF fuel</t>
        </is>
      </c>
      <c r="B944" t="inlineStr">
        <is>
          <t>J84</t>
        </is>
      </c>
      <c r="C944" t="n">
        <v>84</v>
      </c>
      <c r="D944" t="n">
        <v>10</v>
      </c>
      <c r="E944" t="inlineStr">
        <is>
          <t>Input</t>
        </is>
      </c>
      <c r="F944" t="n">
        <v/>
      </c>
      <c r="G944" t="n">
        <v>55.92</v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11</v>
      </c>
      <c r="M944" t="inlineStr">
        <is>
          <t>Values must be of type &lt;class 'str'&gt;</t>
        </is>
      </c>
      <c r="N944" t="inlineStr">
        <is>
          <t>00000000</t>
        </is>
      </c>
      <c r="O944" t="n">
        <v/>
      </c>
      <c r="P944" t="n">
        <v/>
      </c>
      <c r="R944" t="b">
        <v>1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</row>
    <row r="945">
      <c r="A945" t="inlineStr">
        <is>
          <t>ATF fuel</t>
        </is>
      </c>
      <c r="B945" t="inlineStr">
        <is>
          <t>K84</t>
        </is>
      </c>
      <c r="C945" t="n">
        <v>84</v>
      </c>
      <c r="D945" t="n">
        <v>11</v>
      </c>
      <c r="E945" t="inlineStr">
        <is>
          <t>Input</t>
        </is>
      </c>
      <c r="F945" t="n">
        <v/>
      </c>
      <c r="G945" t="n">
        <v>53.9</v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11</v>
      </c>
      <c r="M945" t="inlineStr">
        <is>
          <t>Values must be of type &lt;class 'str'&gt;</t>
        </is>
      </c>
      <c r="N945" t="inlineStr">
        <is>
          <t>00000000</t>
        </is>
      </c>
      <c r="O945" t="n">
        <v/>
      </c>
      <c r="P945" t="n">
        <v/>
      </c>
      <c r="R945" t="b">
        <v>1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</row>
    <row r="946">
      <c r="A946" t="inlineStr">
        <is>
          <t>ATF fuel</t>
        </is>
      </c>
      <c r="B946" t="inlineStr">
        <is>
          <t>A85</t>
        </is>
      </c>
      <c r="C946" t="n">
        <v>85</v>
      </c>
      <c r="D946" t="n">
        <v>1</v>
      </c>
      <c r="E946" t="inlineStr">
        <is>
          <t>Input</t>
        </is>
      </c>
      <c r="F946" t="n">
        <v/>
      </c>
      <c r="G946" t="inlineStr">
        <is>
          <t>February 16, 2012</t>
        </is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11</v>
      </c>
      <c r="M946" t="inlineStr">
        <is>
          <t>Values must be of type &lt;class 'str'&gt;</t>
        </is>
      </c>
      <c r="N946" t="inlineStr">
        <is>
          <t>00000000</t>
        </is>
      </c>
      <c r="O946" t="n">
        <v/>
      </c>
      <c r="P946" t="n">
        <v/>
      </c>
      <c r="R946" t="b">
        <v>1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</row>
    <row r="947">
      <c r="A947" t="inlineStr">
        <is>
          <t>ATF fuel</t>
        </is>
      </c>
      <c r="B947" t="inlineStr">
        <is>
          <t>B85</t>
        </is>
      </c>
      <c r="C947" t="n">
        <v>85</v>
      </c>
      <c r="D947" t="n">
        <v>2</v>
      </c>
      <c r="E947" t="inlineStr">
        <is>
          <t>Input</t>
        </is>
      </c>
      <c r="F947" t="n">
        <v/>
      </c>
      <c r="G947" t="n">
        <v>62557.12</v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11</v>
      </c>
      <c r="M947" t="inlineStr">
        <is>
          <t>Values must be of type &lt;class 'str'&gt;</t>
        </is>
      </c>
      <c r="N947" t="inlineStr">
        <is>
          <t>00000000</t>
        </is>
      </c>
      <c r="O947" t="inlineStr">
        <is>
          <t>center</t>
        </is>
      </c>
      <c r="P947" t="n">
        <v/>
      </c>
      <c r="R947" t="b">
        <v>1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</row>
    <row r="948">
      <c r="A948" t="inlineStr">
        <is>
          <t>ATF fuel</t>
        </is>
      </c>
      <c r="B948" t="inlineStr">
        <is>
          <t>C85</t>
        </is>
      </c>
      <c r="C948" t="n">
        <v>85</v>
      </c>
      <c r="D948" t="n">
        <v>3</v>
      </c>
      <c r="E948" t="inlineStr">
        <is>
          <t>Input</t>
        </is>
      </c>
      <c r="F948" t="n">
        <v/>
      </c>
      <c r="G948" t="n">
        <v>70816.98</v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11</v>
      </c>
      <c r="M948" t="inlineStr">
        <is>
          <t>Values must be of type &lt;class 'str'&gt;</t>
        </is>
      </c>
      <c r="N948" t="inlineStr">
        <is>
          <t>00000000</t>
        </is>
      </c>
      <c r="O948" t="inlineStr">
        <is>
          <t>center</t>
        </is>
      </c>
      <c r="P948" t="n">
        <v/>
      </c>
      <c r="R948" t="b">
        <v>1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</row>
    <row r="949">
      <c r="A949" t="inlineStr">
        <is>
          <t>ATF fuel</t>
        </is>
      </c>
      <c r="B949" t="inlineStr">
        <is>
          <t>D85</t>
        </is>
      </c>
      <c r="C949" t="n">
        <v>85</v>
      </c>
      <c r="D949" t="n">
        <v>4</v>
      </c>
      <c r="E949" t="inlineStr">
        <is>
          <t>Input</t>
        </is>
      </c>
      <c r="F949" t="n">
        <v/>
      </c>
      <c r="G949" t="n">
        <v>63499</v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11</v>
      </c>
      <c r="M949" t="inlineStr">
        <is>
          <t>Values must be of type &lt;class 'str'&gt;</t>
        </is>
      </c>
      <c r="N949" t="inlineStr">
        <is>
          <t>00000000</t>
        </is>
      </c>
      <c r="O949" t="inlineStr">
        <is>
          <t>center</t>
        </is>
      </c>
      <c r="P949" t="n">
        <v/>
      </c>
      <c r="R949" t="b">
        <v>1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</row>
    <row r="950">
      <c r="A950" t="inlineStr">
        <is>
          <t>ATF fuel</t>
        </is>
      </c>
      <c r="B950" t="inlineStr">
        <is>
          <t>E85</t>
        </is>
      </c>
      <c r="C950" t="n">
        <v>85</v>
      </c>
      <c r="D950" t="n">
        <v>5</v>
      </c>
      <c r="E950" t="inlineStr">
        <is>
          <t>Input</t>
        </is>
      </c>
      <c r="F950" t="n">
        <v/>
      </c>
      <c r="G950" t="n">
        <v>67339.19</v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11</v>
      </c>
      <c r="M950" t="inlineStr">
        <is>
          <t>Values must be of type &lt;class 'str'&gt;</t>
        </is>
      </c>
      <c r="N950" t="inlineStr">
        <is>
          <t>00000000</t>
        </is>
      </c>
      <c r="O950" t="inlineStr">
        <is>
          <t>center</t>
        </is>
      </c>
      <c r="P950" t="n">
        <v/>
      </c>
      <c r="R950" t="b">
        <v>1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</row>
    <row r="951">
      <c r="A951" t="inlineStr">
        <is>
          <t>ATF fuel</t>
        </is>
      </c>
      <c r="B951" t="inlineStr">
        <is>
          <t>F85</t>
        </is>
      </c>
      <c r="C951" t="n">
        <v>85</v>
      </c>
      <c r="D951" t="n">
        <v>6</v>
      </c>
      <c r="E951" t="inlineStr">
        <is>
          <t>Output</t>
        </is>
      </c>
      <c r="F951" t="inlineStr">
        <is>
          <t>'=AVERAGE(B85:E85)</t>
        </is>
      </c>
      <c r="G951" t="n">
        <v>66053.07250000001</v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11</v>
      </c>
      <c r="M951" t="inlineStr">
        <is>
          <t>Values must be of type &lt;class 'str'&gt;</t>
        </is>
      </c>
      <c r="N951" t="inlineStr">
        <is>
          <t>00000000</t>
        </is>
      </c>
      <c r="O951" t="n">
        <v/>
      </c>
      <c r="P951" t="n">
        <v/>
      </c>
      <c r="R951" t="b">
        <v>1</v>
      </c>
      <c r="S951" t="inlineStr">
        <is>
          <t>G000284</t>
        </is>
      </c>
      <c r="T951" t="inlineStr">
        <is>
          <t>Vertical</t>
        </is>
      </c>
      <c r="U951" t="n">
        <v>130</v>
      </c>
      <c r="V951" t="b">
        <v>1</v>
      </c>
      <c r="W951" t="inlineStr">
        <is>
          <t>ATF fuel!F2:F131</t>
        </is>
      </c>
      <c r="X951">
        <f>AVERAGE(R[0]C[-4]:R[0]C[-1])</f>
        <v/>
      </c>
    </row>
    <row r="952">
      <c r="A952" t="inlineStr">
        <is>
          <t>ATF fuel</t>
        </is>
      </c>
      <c r="B952" t="inlineStr">
        <is>
          <t>G85</t>
        </is>
      </c>
      <c r="C952" t="n">
        <v>85</v>
      </c>
      <c r="D952" t="n">
        <v>7</v>
      </c>
      <c r="E952" t="inlineStr">
        <is>
          <t>Calculation</t>
        </is>
      </c>
      <c r="F952" t="inlineStr">
        <is>
          <t>'=G84-1</t>
        </is>
      </c>
      <c r="G952" t="n">
        <v>48</v>
      </c>
      <c r="H952" t="inlineStr"/>
      <c r="I952" t="inlineStr">
        <is>
          <t>#,##0</t>
        </is>
      </c>
      <c r="J952" t="b">
        <v>0</v>
      </c>
      <c r="K952" t="b">
        <v>0</v>
      </c>
      <c r="L952" t="n">
        <v>11</v>
      </c>
      <c r="M952" t="inlineStr">
        <is>
          <t>Values must be of type &lt;class 'str'&gt;</t>
        </is>
      </c>
      <c r="N952" t="inlineStr">
        <is>
          <t>00000000</t>
        </is>
      </c>
      <c r="O952" t="n">
        <v/>
      </c>
      <c r="P952" t="n">
        <v/>
      </c>
      <c r="R952" t="b">
        <v>1</v>
      </c>
      <c r="S952" t="inlineStr">
        <is>
          <t>G000286</t>
        </is>
      </c>
      <c r="T952" t="inlineStr">
        <is>
          <t>Vertical</t>
        </is>
      </c>
      <c r="U952" t="n">
        <v>129</v>
      </c>
      <c r="V952" t="b">
        <v>1</v>
      </c>
      <c r="W952" t="inlineStr">
        <is>
          <t>ATF fuel!G3:G131</t>
        </is>
      </c>
      <c r="X952">
        <f>R[-1]C[0]-1</f>
        <v/>
      </c>
    </row>
    <row r="953">
      <c r="A953" t="inlineStr">
        <is>
          <t>ATF fuel</t>
        </is>
      </c>
      <c r="B953" t="inlineStr">
        <is>
          <t>H85</t>
        </is>
      </c>
      <c r="C953" t="n">
        <v>85</v>
      </c>
      <c r="D953" t="n">
        <v>8</v>
      </c>
      <c r="E953" t="inlineStr">
        <is>
          <t>Output</t>
        </is>
      </c>
      <c r="F953" t="inlineStr">
        <is>
          <t>'=INDIRECT("A"&amp;G122)</t>
        </is>
      </c>
      <c r="G953" t="inlineStr">
        <is>
          <t>March 01,2017</t>
        </is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11</v>
      </c>
      <c r="M953" t="inlineStr">
        <is>
          <t>Values must be of type &lt;class 'str'&gt;</t>
        </is>
      </c>
      <c r="N953" t="inlineStr">
        <is>
          <t>00000000</t>
        </is>
      </c>
      <c r="O953" t="n">
        <v/>
      </c>
      <c r="P953" t="n">
        <v/>
      </c>
      <c r="R953" t="b">
        <v>1</v>
      </c>
      <c r="S953" t="inlineStr">
        <is>
          <t>G000293</t>
        </is>
      </c>
      <c r="T953" t="inlineStr">
        <is>
          <t>Vertical</t>
        </is>
      </c>
      <c r="U953" t="n">
        <v>20</v>
      </c>
      <c r="V953" t="b">
        <v>1</v>
      </c>
      <c r="W953" t="inlineStr">
        <is>
          <t>ATF fuel!H75:H94</t>
        </is>
      </c>
      <c r="X953">
        <f>INDIRECT("A"&amp;R[37]C[-1])</f>
        <v/>
      </c>
    </row>
    <row r="954">
      <c r="A954" t="inlineStr">
        <is>
          <t>ATF fuel</t>
        </is>
      </c>
      <c r="B954" t="inlineStr">
        <is>
          <t>I85</t>
        </is>
      </c>
      <c r="C954" t="n">
        <v>85</v>
      </c>
      <c r="D954" t="n">
        <v>9</v>
      </c>
      <c r="E954" t="inlineStr">
        <is>
          <t>Output</t>
        </is>
      </c>
      <c r="F954" t="inlineStr">
        <is>
          <t>'=INDIRECT("F"&amp;G122)</t>
        </is>
      </c>
      <c r="G954" t="n">
        <v>56104.89999999999</v>
      </c>
      <c r="H954" t="inlineStr"/>
      <c r="I954" t="inlineStr">
        <is>
          <t xml:space="preserve">_ * #,##0_ ;_ * \-#,##0_ ;_ * "-"??_ ;_ @_ </t>
        </is>
      </c>
      <c r="J954" t="b">
        <v>0</v>
      </c>
      <c r="K954" t="b">
        <v>0</v>
      </c>
      <c r="L954" t="n">
        <v>11</v>
      </c>
      <c r="M954" t="inlineStr">
        <is>
          <t>Values must be of type &lt;class 'str'&gt;</t>
        </is>
      </c>
      <c r="N954" t="inlineStr">
        <is>
          <t>00000000</t>
        </is>
      </c>
      <c r="O954" t="n">
        <v/>
      </c>
      <c r="P954" t="n">
        <v/>
      </c>
      <c r="R954" t="b">
        <v>1</v>
      </c>
      <c r="S954" t="inlineStr">
        <is>
          <t>G000294</t>
        </is>
      </c>
      <c r="T954" t="inlineStr">
        <is>
          <t>Vertical</t>
        </is>
      </c>
      <c r="U954" t="n">
        <v>20</v>
      </c>
      <c r="V954" t="b">
        <v>1</v>
      </c>
      <c r="W954" t="inlineStr">
        <is>
          <t>ATF fuel!I75:I94</t>
        </is>
      </c>
      <c r="X954">
        <f>INDIRECT("F"&amp;R[37]C[-2])</f>
        <v/>
      </c>
    </row>
    <row r="955">
      <c r="A955" t="inlineStr">
        <is>
          <t>ATF fuel</t>
        </is>
      </c>
      <c r="B955" t="inlineStr">
        <is>
          <t>J85</t>
        </is>
      </c>
      <c r="C955" t="n">
        <v>85</v>
      </c>
      <c r="D955" t="n">
        <v>10</v>
      </c>
      <c r="E955" t="inlineStr">
        <is>
          <t>Input</t>
        </is>
      </c>
      <c r="F955" t="n">
        <v/>
      </c>
      <c r="G955" t="n">
        <v>54.16</v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11</v>
      </c>
      <c r="M955" t="inlineStr">
        <is>
          <t>Values must be of type &lt;class 'str'&gt;</t>
        </is>
      </c>
      <c r="N955" t="inlineStr">
        <is>
          <t>00000000</t>
        </is>
      </c>
      <c r="O955" t="n">
        <v/>
      </c>
      <c r="P955" t="n">
        <v/>
      </c>
      <c r="R955" t="b">
        <v>1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</row>
    <row r="956">
      <c r="A956" t="inlineStr">
        <is>
          <t>ATF fuel</t>
        </is>
      </c>
      <c r="B956" t="inlineStr">
        <is>
          <t>K85</t>
        </is>
      </c>
      <c r="C956" t="n">
        <v>85</v>
      </c>
      <c r="D956" t="n">
        <v>11</v>
      </c>
      <c r="E956" t="inlineStr">
        <is>
          <t>Input</t>
        </is>
      </c>
      <c r="F956" t="n">
        <v/>
      </c>
      <c r="G956" t="n">
        <v>53.82</v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11</v>
      </c>
      <c r="M956" t="inlineStr">
        <is>
          <t>Values must be of type &lt;class 'str'&gt;</t>
        </is>
      </c>
      <c r="N956" t="inlineStr">
        <is>
          <t>00000000</t>
        </is>
      </c>
      <c r="O956" t="n">
        <v/>
      </c>
      <c r="P956" t="n">
        <v/>
      </c>
      <c r="R956" t="b">
        <v>1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</row>
    <row r="957">
      <c r="A957" t="inlineStr">
        <is>
          <t>ATF fuel</t>
        </is>
      </c>
      <c r="B957" t="inlineStr">
        <is>
          <t>A86</t>
        </is>
      </c>
      <c r="C957" t="n">
        <v>86</v>
      </c>
      <c r="D957" t="n">
        <v>1</v>
      </c>
      <c r="E957" t="inlineStr">
        <is>
          <t>Input</t>
        </is>
      </c>
      <c r="F957" t="n">
        <v/>
      </c>
      <c r="G957" t="inlineStr">
        <is>
          <t>February 01, 2012</t>
        </is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11</v>
      </c>
      <c r="M957" t="inlineStr">
        <is>
          <t>Values must be of type &lt;class 'str'&gt;</t>
        </is>
      </c>
      <c r="N957" t="inlineStr">
        <is>
          <t>00000000</t>
        </is>
      </c>
      <c r="O957" t="n">
        <v/>
      </c>
      <c r="P957" t="n">
        <v/>
      </c>
      <c r="R957" t="b">
        <v>1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</row>
    <row r="958">
      <c r="A958" t="inlineStr">
        <is>
          <t>ATF fuel</t>
        </is>
      </c>
      <c r="B958" t="inlineStr">
        <is>
          <t>B86</t>
        </is>
      </c>
      <c r="C958" t="n">
        <v>86</v>
      </c>
      <c r="D958" t="n">
        <v>2</v>
      </c>
      <c r="E958" t="inlineStr">
        <is>
          <t>Input</t>
        </is>
      </c>
      <c r="F958" t="n">
        <v/>
      </c>
      <c r="G958" t="n">
        <v>62907.82</v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11</v>
      </c>
      <c r="M958" t="inlineStr">
        <is>
          <t>Values must be of type &lt;class 'str'&gt;</t>
        </is>
      </c>
      <c r="N958" t="inlineStr">
        <is>
          <t>00000000</t>
        </is>
      </c>
      <c r="O958" t="inlineStr">
        <is>
          <t>center</t>
        </is>
      </c>
      <c r="P958" t="n">
        <v/>
      </c>
      <c r="R958" t="b">
        <v>1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</row>
    <row r="959">
      <c r="A959" t="inlineStr">
        <is>
          <t>ATF fuel</t>
        </is>
      </c>
      <c r="B959" t="inlineStr">
        <is>
          <t>C86</t>
        </is>
      </c>
      <c r="C959" t="n">
        <v>86</v>
      </c>
      <c r="D959" t="n">
        <v>3</v>
      </c>
      <c r="E959" t="inlineStr">
        <is>
          <t>Input</t>
        </is>
      </c>
      <c r="F959" t="n">
        <v/>
      </c>
      <c r="G959" t="n">
        <v>71155.22</v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11</v>
      </c>
      <c r="M959" t="inlineStr">
        <is>
          <t>Values must be of type &lt;class 'str'&gt;</t>
        </is>
      </c>
      <c r="N959" t="inlineStr">
        <is>
          <t>00000000</t>
        </is>
      </c>
      <c r="O959" t="inlineStr">
        <is>
          <t>center</t>
        </is>
      </c>
      <c r="P959" t="n">
        <v/>
      </c>
      <c r="R959" t="b">
        <v>1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</row>
    <row r="960">
      <c r="A960" t="inlineStr">
        <is>
          <t>ATF fuel</t>
        </is>
      </c>
      <c r="B960" t="inlineStr">
        <is>
          <t>D86</t>
        </is>
      </c>
      <c r="C960" t="n">
        <v>86</v>
      </c>
      <c r="D960" t="n">
        <v>4</v>
      </c>
      <c r="E960" t="inlineStr">
        <is>
          <t>Input</t>
        </is>
      </c>
      <c r="F960" t="n">
        <v/>
      </c>
      <c r="G960" t="n">
        <v>63864.31</v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11</v>
      </c>
      <c r="M960" t="inlineStr">
        <is>
          <t>Values must be of type &lt;class 'str'&gt;</t>
        </is>
      </c>
      <c r="N960" t="inlineStr">
        <is>
          <t>00000000</t>
        </is>
      </c>
      <c r="O960" t="inlineStr">
        <is>
          <t>center</t>
        </is>
      </c>
      <c r="P960" t="n">
        <v/>
      </c>
      <c r="R960" t="b">
        <v>1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</row>
    <row r="961">
      <c r="A961" t="inlineStr">
        <is>
          <t>ATF fuel</t>
        </is>
      </c>
      <c r="B961" t="inlineStr">
        <is>
          <t>E86</t>
        </is>
      </c>
      <c r="C961" t="n">
        <v>86</v>
      </c>
      <c r="D961" t="n">
        <v>5</v>
      </c>
      <c r="E961" t="inlineStr">
        <is>
          <t>Input</t>
        </is>
      </c>
      <c r="F961" t="n">
        <v/>
      </c>
      <c r="G961" t="n">
        <v>67702.21000000001</v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11</v>
      </c>
      <c r="M961" t="inlineStr">
        <is>
          <t>Values must be of type &lt;class 'str'&gt;</t>
        </is>
      </c>
      <c r="N961" t="inlineStr">
        <is>
          <t>00000000</t>
        </is>
      </c>
      <c r="O961" t="inlineStr">
        <is>
          <t>center</t>
        </is>
      </c>
      <c r="P961" t="n">
        <v/>
      </c>
      <c r="R961" t="b">
        <v>1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</row>
    <row r="962">
      <c r="A962" t="inlineStr">
        <is>
          <t>ATF fuel</t>
        </is>
      </c>
      <c r="B962" t="inlineStr">
        <is>
          <t>F86</t>
        </is>
      </c>
      <c r="C962" t="n">
        <v>86</v>
      </c>
      <c r="D962" t="n">
        <v>6</v>
      </c>
      <c r="E962" t="inlineStr">
        <is>
          <t>Output</t>
        </is>
      </c>
      <c r="F962" t="inlineStr">
        <is>
          <t>'=AVERAGE(B86:E86)</t>
        </is>
      </c>
      <c r="G962" t="n">
        <v>66407.39</v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11</v>
      </c>
      <c r="M962" t="inlineStr">
        <is>
          <t>Values must be of type &lt;class 'str'&gt;</t>
        </is>
      </c>
      <c r="N962" t="inlineStr">
        <is>
          <t>00000000</t>
        </is>
      </c>
      <c r="O962" t="n">
        <v/>
      </c>
      <c r="P962" t="n">
        <v/>
      </c>
      <c r="R962" t="b">
        <v>1</v>
      </c>
      <c r="S962" t="inlineStr">
        <is>
          <t>G000284</t>
        </is>
      </c>
      <c r="T962" t="inlineStr">
        <is>
          <t>Vertical</t>
        </is>
      </c>
      <c r="U962" t="n">
        <v>130</v>
      </c>
      <c r="V962" t="b">
        <v>1</v>
      </c>
      <c r="W962" t="inlineStr">
        <is>
          <t>ATF fuel!F2:F131</t>
        </is>
      </c>
      <c r="X962">
        <f>AVERAGE(R[0]C[-4]:R[0]C[-1])</f>
        <v/>
      </c>
    </row>
    <row r="963">
      <c r="A963" t="inlineStr">
        <is>
          <t>ATF fuel</t>
        </is>
      </c>
      <c r="B963" t="inlineStr">
        <is>
          <t>G86</t>
        </is>
      </c>
      <c r="C963" t="n">
        <v>86</v>
      </c>
      <c r="D963" t="n">
        <v>7</v>
      </c>
      <c r="E963" t="inlineStr">
        <is>
          <t>Calculation</t>
        </is>
      </c>
      <c r="F963" t="inlineStr">
        <is>
          <t>'=G85-1</t>
        </is>
      </c>
      <c r="G963" t="n">
        <v>47</v>
      </c>
      <c r="H963" t="inlineStr"/>
      <c r="I963" t="inlineStr">
        <is>
          <t>#,##0</t>
        </is>
      </c>
      <c r="J963" t="b">
        <v>0</v>
      </c>
      <c r="K963" t="b">
        <v>0</v>
      </c>
      <c r="L963" t="n">
        <v>11</v>
      </c>
      <c r="M963" t="inlineStr">
        <is>
          <t>Values must be of type &lt;class 'str'&gt;</t>
        </is>
      </c>
      <c r="N963" t="inlineStr">
        <is>
          <t>00000000</t>
        </is>
      </c>
      <c r="O963" t="n">
        <v/>
      </c>
      <c r="P963" t="n">
        <v/>
      </c>
      <c r="R963" t="b">
        <v>1</v>
      </c>
      <c r="S963" t="inlineStr">
        <is>
          <t>G000286</t>
        </is>
      </c>
      <c r="T963" t="inlineStr">
        <is>
          <t>Vertical</t>
        </is>
      </c>
      <c r="U963" t="n">
        <v>129</v>
      </c>
      <c r="V963" t="b">
        <v>1</v>
      </c>
      <c r="W963" t="inlineStr">
        <is>
          <t>ATF fuel!G3:G131</t>
        </is>
      </c>
      <c r="X963">
        <f>R[-1]C[0]-1</f>
        <v/>
      </c>
    </row>
    <row r="964">
      <c r="A964" t="inlineStr">
        <is>
          <t>ATF fuel</t>
        </is>
      </c>
      <c r="B964" t="inlineStr">
        <is>
          <t>H86</t>
        </is>
      </c>
      <c r="C964" t="n">
        <v>86</v>
      </c>
      <c r="D964" t="n">
        <v>8</v>
      </c>
      <c r="E964" t="inlineStr">
        <is>
          <t>Output</t>
        </is>
      </c>
      <c r="F964" t="inlineStr">
        <is>
          <t>'=INDIRECT("A"&amp;G123)</t>
        </is>
      </c>
      <c r="G964" t="inlineStr">
        <is>
          <t>April 01, 2017</t>
        </is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11</v>
      </c>
      <c r="M964" t="inlineStr">
        <is>
          <t>Values must be of type &lt;class 'str'&gt;</t>
        </is>
      </c>
      <c r="N964" t="inlineStr">
        <is>
          <t>00000000</t>
        </is>
      </c>
      <c r="O964" t="n">
        <v/>
      </c>
      <c r="P964" t="n">
        <v/>
      </c>
      <c r="R964" t="b">
        <v>1</v>
      </c>
      <c r="S964" t="inlineStr">
        <is>
          <t>G000293</t>
        </is>
      </c>
      <c r="T964" t="inlineStr">
        <is>
          <t>Vertical</t>
        </is>
      </c>
      <c r="U964" t="n">
        <v>20</v>
      </c>
      <c r="V964" t="b">
        <v>1</v>
      </c>
      <c r="W964" t="inlineStr">
        <is>
          <t>ATF fuel!H75:H94</t>
        </is>
      </c>
      <c r="X964">
        <f>INDIRECT("A"&amp;R[37]C[-1])</f>
        <v/>
      </c>
    </row>
    <row r="965">
      <c r="A965" t="inlineStr">
        <is>
          <t>ATF fuel</t>
        </is>
      </c>
      <c r="B965" t="inlineStr">
        <is>
          <t>I86</t>
        </is>
      </c>
      <c r="C965" t="n">
        <v>86</v>
      </c>
      <c r="D965" t="n">
        <v>9</v>
      </c>
      <c r="E965" t="inlineStr">
        <is>
          <t>Output</t>
        </is>
      </c>
      <c r="F965" t="inlineStr">
        <is>
          <t>'=INDIRECT("F"&amp;G123)</t>
        </is>
      </c>
      <c r="G965" t="n">
        <v>53242.5</v>
      </c>
      <c r="H965" t="inlineStr"/>
      <c r="I965" t="inlineStr">
        <is>
          <t xml:space="preserve">_ * #,##0_ ;_ * \-#,##0_ ;_ * "-"??_ ;_ @_ </t>
        </is>
      </c>
      <c r="J965" t="b">
        <v>0</v>
      </c>
      <c r="K965" t="b">
        <v>0</v>
      </c>
      <c r="L965" t="n">
        <v>11</v>
      </c>
      <c r="M965" t="inlineStr">
        <is>
          <t>Values must be of type &lt;class 'str'&gt;</t>
        </is>
      </c>
      <c r="N965" t="inlineStr">
        <is>
          <t>00000000</t>
        </is>
      </c>
      <c r="O965" t="n">
        <v/>
      </c>
      <c r="P965" t="n">
        <v/>
      </c>
      <c r="R965" t="b">
        <v>1</v>
      </c>
      <c r="S965" t="inlineStr">
        <is>
          <t>G000294</t>
        </is>
      </c>
      <c r="T965" t="inlineStr">
        <is>
          <t>Vertical</t>
        </is>
      </c>
      <c r="U965" t="n">
        <v>20</v>
      </c>
      <c r="V965" t="b">
        <v>1</v>
      </c>
      <c r="W965" t="inlineStr">
        <is>
          <t>ATF fuel!I75:I94</t>
        </is>
      </c>
      <c r="X965">
        <f>INDIRECT("F"&amp;R[37]C[-2])</f>
        <v/>
      </c>
    </row>
    <row r="966">
      <c r="A966" t="inlineStr">
        <is>
          <t>ATF fuel</t>
        </is>
      </c>
      <c r="B966" t="inlineStr">
        <is>
          <t>J86</t>
        </is>
      </c>
      <c r="C966" t="n">
        <v>86</v>
      </c>
      <c r="D966" t="n">
        <v>10</v>
      </c>
      <c r="E966" t="inlineStr">
        <is>
          <t>Input</t>
        </is>
      </c>
      <c r="F966" t="n">
        <v/>
      </c>
      <c r="G966" t="n">
        <v>53.08</v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11</v>
      </c>
      <c r="M966" t="inlineStr">
        <is>
          <t>Values must be of type &lt;class 'str'&gt;</t>
        </is>
      </c>
      <c r="N966" t="inlineStr">
        <is>
          <t>00000000</t>
        </is>
      </c>
      <c r="O966" t="n">
        <v/>
      </c>
      <c r="P966" t="n">
        <v/>
      </c>
      <c r="R966" t="b">
        <v>1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</row>
    <row r="967">
      <c r="A967" t="inlineStr">
        <is>
          <t>ATF fuel</t>
        </is>
      </c>
      <c r="B967" t="inlineStr">
        <is>
          <t>K86</t>
        </is>
      </c>
      <c r="C967" t="n">
        <v>86</v>
      </c>
      <c r="D967" t="n">
        <v>11</v>
      </c>
      <c r="E967" t="inlineStr">
        <is>
          <t>Input</t>
        </is>
      </c>
      <c r="F967" t="n">
        <v/>
      </c>
      <c r="G967" t="n">
        <v>50.25</v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11</v>
      </c>
      <c r="M967" t="inlineStr">
        <is>
          <t>Values must be of type &lt;class 'str'&gt;</t>
        </is>
      </c>
      <c r="N967" t="inlineStr">
        <is>
          <t>00000000</t>
        </is>
      </c>
      <c r="O967" t="n">
        <v/>
      </c>
      <c r="P967" t="n">
        <v/>
      </c>
      <c r="R967" t="b">
        <v>1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</row>
    <row r="968">
      <c r="A968" t="inlineStr">
        <is>
          <t>ATF fuel</t>
        </is>
      </c>
      <c r="B968" t="inlineStr">
        <is>
          <t>A87</t>
        </is>
      </c>
      <c r="C968" t="n">
        <v>87</v>
      </c>
      <c r="D968" t="n">
        <v>1</v>
      </c>
      <c r="E968" t="inlineStr">
        <is>
          <t>Input</t>
        </is>
      </c>
      <c r="F968" t="n">
        <v/>
      </c>
      <c r="G968" t="inlineStr">
        <is>
          <t>January 16, 2012</t>
        </is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11</v>
      </c>
      <c r="M968" t="inlineStr">
        <is>
          <t>Values must be of type &lt;class 'str'&gt;</t>
        </is>
      </c>
      <c r="N968" t="inlineStr">
        <is>
          <t>00000000</t>
        </is>
      </c>
      <c r="O968" t="n">
        <v/>
      </c>
      <c r="P968" t="n">
        <v/>
      </c>
      <c r="R968" t="b">
        <v>1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</row>
    <row r="969">
      <c r="A969" t="inlineStr">
        <is>
          <t>ATF fuel</t>
        </is>
      </c>
      <c r="B969" t="inlineStr">
        <is>
          <t>B87</t>
        </is>
      </c>
      <c r="C969" t="n">
        <v>87</v>
      </c>
      <c r="D969" t="n">
        <v>2</v>
      </c>
      <c r="E969" t="inlineStr">
        <is>
          <t>Input</t>
        </is>
      </c>
      <c r="F969" t="n">
        <v/>
      </c>
      <c r="G969" t="n">
        <v>64882.11</v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11</v>
      </c>
      <c r="M969" t="inlineStr">
        <is>
          <t>Values must be of type &lt;class 'str'&gt;</t>
        </is>
      </c>
      <c r="N969" t="inlineStr">
        <is>
          <t>00000000</t>
        </is>
      </c>
      <c r="O969" t="inlineStr">
        <is>
          <t>center</t>
        </is>
      </c>
      <c r="P969" t="n">
        <v/>
      </c>
      <c r="R969" t="b">
        <v>1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</row>
    <row r="970">
      <c r="A970" t="inlineStr">
        <is>
          <t>ATF fuel</t>
        </is>
      </c>
      <c r="B970" t="inlineStr">
        <is>
          <t>C87</t>
        </is>
      </c>
      <c r="C970" t="n">
        <v>87</v>
      </c>
      <c r="D970" t="n">
        <v>3</v>
      </c>
      <c r="E970" t="inlineStr">
        <is>
          <t>Input</t>
        </is>
      </c>
      <c r="F970" t="n">
        <v/>
      </c>
      <c r="G970" t="n">
        <v>73238.84</v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11</v>
      </c>
      <c r="M970" t="inlineStr">
        <is>
          <t>Values must be of type &lt;class 'str'&gt;</t>
        </is>
      </c>
      <c r="N970" t="inlineStr">
        <is>
          <t>00000000</t>
        </is>
      </c>
      <c r="O970" t="inlineStr">
        <is>
          <t>center</t>
        </is>
      </c>
      <c r="P970" t="n">
        <v/>
      </c>
      <c r="R970" t="b">
        <v>1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</row>
    <row r="971">
      <c r="A971" t="inlineStr">
        <is>
          <t>ATF fuel</t>
        </is>
      </c>
      <c r="B971" t="inlineStr">
        <is>
          <t>D87</t>
        </is>
      </c>
      <c r="C971" t="n">
        <v>87</v>
      </c>
      <c r="D971" t="n">
        <v>4</v>
      </c>
      <c r="E971" t="inlineStr">
        <is>
          <t>Input</t>
        </is>
      </c>
      <c r="F971" t="n">
        <v/>
      </c>
      <c r="G971" t="n">
        <v>65920.87</v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11</v>
      </c>
      <c r="M971" t="inlineStr">
        <is>
          <t>Values must be of type &lt;class 'str'&gt;</t>
        </is>
      </c>
      <c r="N971" t="inlineStr">
        <is>
          <t>00000000</t>
        </is>
      </c>
      <c r="O971" t="inlineStr">
        <is>
          <t>center</t>
        </is>
      </c>
      <c r="P971" t="n">
        <v/>
      </c>
      <c r="R971" t="b">
        <v>1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</row>
    <row r="972">
      <c r="A972" t="inlineStr">
        <is>
          <t>ATF fuel</t>
        </is>
      </c>
      <c r="B972" t="inlineStr">
        <is>
          <t>E87</t>
        </is>
      </c>
      <c r="C972" t="n">
        <v>87</v>
      </c>
      <c r="D972" t="n">
        <v>5</v>
      </c>
      <c r="E972" t="inlineStr">
        <is>
          <t>Input</t>
        </is>
      </c>
      <c r="F972" t="n">
        <v/>
      </c>
      <c r="G972" t="n">
        <v>69838.56</v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11</v>
      </c>
      <c r="M972" t="inlineStr">
        <is>
          <t>Values must be of type &lt;class 'str'&gt;</t>
        </is>
      </c>
      <c r="N972" t="inlineStr">
        <is>
          <t>00000000</t>
        </is>
      </c>
      <c r="O972" t="inlineStr">
        <is>
          <t>center</t>
        </is>
      </c>
      <c r="P972" t="n">
        <v/>
      </c>
      <c r="R972" t="b">
        <v>1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</row>
    <row r="973">
      <c r="A973" t="inlineStr">
        <is>
          <t>ATF fuel</t>
        </is>
      </c>
      <c r="B973" t="inlineStr">
        <is>
          <t>F87</t>
        </is>
      </c>
      <c r="C973" t="n">
        <v>87</v>
      </c>
      <c r="D973" t="n">
        <v>6</v>
      </c>
      <c r="E973" t="inlineStr">
        <is>
          <t>Output</t>
        </is>
      </c>
      <c r="F973" t="inlineStr">
        <is>
          <t>'=AVERAGE(B87:E87)</t>
        </is>
      </c>
      <c r="G973" t="n">
        <v>68470.095</v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11</v>
      </c>
      <c r="M973" t="inlineStr">
        <is>
          <t>Values must be of type &lt;class 'str'&gt;</t>
        </is>
      </c>
      <c r="N973" t="inlineStr">
        <is>
          <t>00000000</t>
        </is>
      </c>
      <c r="O973" t="n">
        <v/>
      </c>
      <c r="P973" t="n">
        <v/>
      </c>
      <c r="R973" t="b">
        <v>1</v>
      </c>
      <c r="S973" t="inlineStr">
        <is>
          <t>G000284</t>
        </is>
      </c>
      <c r="T973" t="inlineStr">
        <is>
          <t>Vertical</t>
        </is>
      </c>
      <c r="U973" t="n">
        <v>130</v>
      </c>
      <c r="V973" t="b">
        <v>1</v>
      </c>
      <c r="W973" t="inlineStr">
        <is>
          <t>ATF fuel!F2:F131</t>
        </is>
      </c>
      <c r="X973">
        <f>AVERAGE(R[0]C[-4]:R[0]C[-1])</f>
        <v/>
      </c>
    </row>
    <row r="974">
      <c r="A974" t="inlineStr">
        <is>
          <t>ATF fuel</t>
        </is>
      </c>
      <c r="B974" t="inlineStr">
        <is>
          <t>G87</t>
        </is>
      </c>
      <c r="C974" t="n">
        <v>87</v>
      </c>
      <c r="D974" t="n">
        <v>7</v>
      </c>
      <c r="E974" t="inlineStr">
        <is>
          <t>Calculation</t>
        </is>
      </c>
      <c r="F974" t="inlineStr">
        <is>
          <t>'=G86-1</t>
        </is>
      </c>
      <c r="G974" t="n">
        <v>46</v>
      </c>
      <c r="H974" t="inlineStr"/>
      <c r="I974" t="inlineStr">
        <is>
          <t>#,##0</t>
        </is>
      </c>
      <c r="J974" t="b">
        <v>0</v>
      </c>
      <c r="K974" t="b">
        <v>0</v>
      </c>
      <c r="L974" t="n">
        <v>11</v>
      </c>
      <c r="M974" t="inlineStr">
        <is>
          <t>Values must be of type &lt;class 'str'&gt;</t>
        </is>
      </c>
      <c r="N974" t="inlineStr">
        <is>
          <t>00000000</t>
        </is>
      </c>
      <c r="O974" t="n">
        <v/>
      </c>
      <c r="P974" t="n">
        <v/>
      </c>
      <c r="R974" t="b">
        <v>1</v>
      </c>
      <c r="S974" t="inlineStr">
        <is>
          <t>G000286</t>
        </is>
      </c>
      <c r="T974" t="inlineStr">
        <is>
          <t>Vertical</t>
        </is>
      </c>
      <c r="U974" t="n">
        <v>129</v>
      </c>
      <c r="V974" t="b">
        <v>1</v>
      </c>
      <c r="W974" t="inlineStr">
        <is>
          <t>ATF fuel!G3:G131</t>
        </is>
      </c>
      <c r="X974">
        <f>R[-1]C[0]-1</f>
        <v/>
      </c>
    </row>
    <row r="975">
      <c r="A975" t="inlineStr">
        <is>
          <t>ATF fuel</t>
        </is>
      </c>
      <c r="B975" t="inlineStr">
        <is>
          <t>H87</t>
        </is>
      </c>
      <c r="C975" t="n">
        <v>87</v>
      </c>
      <c r="D975" t="n">
        <v>8</v>
      </c>
      <c r="E975" t="inlineStr">
        <is>
          <t>Output</t>
        </is>
      </c>
      <c r="F975" t="inlineStr">
        <is>
          <t>'=INDIRECT("A"&amp;G124)</t>
        </is>
      </c>
      <c r="G975" t="inlineStr">
        <is>
          <t>May 01, 2017</t>
        </is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11</v>
      </c>
      <c r="M975" t="inlineStr">
        <is>
          <t>Values must be of type &lt;class 'str'&gt;</t>
        </is>
      </c>
      <c r="N975" t="inlineStr">
        <is>
          <t>00000000</t>
        </is>
      </c>
      <c r="O975" t="n">
        <v/>
      </c>
      <c r="P975" t="n">
        <v/>
      </c>
      <c r="R975" t="b">
        <v>1</v>
      </c>
      <c r="S975" t="inlineStr">
        <is>
          <t>G000293</t>
        </is>
      </c>
      <c r="T975" t="inlineStr">
        <is>
          <t>Vertical</t>
        </is>
      </c>
      <c r="U975" t="n">
        <v>20</v>
      </c>
      <c r="V975" t="b">
        <v>1</v>
      </c>
      <c r="W975" t="inlineStr">
        <is>
          <t>ATF fuel!H75:H94</t>
        </is>
      </c>
      <c r="X975">
        <f>INDIRECT("A"&amp;R[37]C[-1])</f>
        <v/>
      </c>
    </row>
    <row r="976">
      <c r="A976" t="inlineStr">
        <is>
          <t>ATF fuel</t>
        </is>
      </c>
      <c r="B976" t="inlineStr">
        <is>
          <t>I87</t>
        </is>
      </c>
      <c r="C976" t="n">
        <v>87</v>
      </c>
      <c r="D976" t="n">
        <v>9</v>
      </c>
      <c r="E976" t="inlineStr">
        <is>
          <t>Output</t>
        </is>
      </c>
      <c r="F976" t="inlineStr">
        <is>
          <t>'=INDIRECT("F"&amp;G124)</t>
        </is>
      </c>
      <c r="G976" t="n">
        <v>53435.25</v>
      </c>
      <c r="H976" t="inlineStr"/>
      <c r="I976" t="inlineStr">
        <is>
          <t xml:space="preserve">_ * #,##0_ ;_ * \-#,##0_ ;_ * "-"??_ ;_ @_ </t>
        </is>
      </c>
      <c r="J976" t="b">
        <v>0</v>
      </c>
      <c r="K976" t="b">
        <v>0</v>
      </c>
      <c r="L976" t="n">
        <v>11</v>
      </c>
      <c r="M976" t="inlineStr">
        <is>
          <t>Values must be of type &lt;class 'str'&gt;</t>
        </is>
      </c>
      <c r="N976" t="inlineStr">
        <is>
          <t>00000000</t>
        </is>
      </c>
      <c r="O976" t="n">
        <v/>
      </c>
      <c r="P976" t="n">
        <v/>
      </c>
      <c r="R976" t="b">
        <v>1</v>
      </c>
      <c r="S976" t="inlineStr">
        <is>
          <t>G000294</t>
        </is>
      </c>
      <c r="T976" t="inlineStr">
        <is>
          <t>Vertical</t>
        </is>
      </c>
      <c r="U976" t="n">
        <v>20</v>
      </c>
      <c r="V976" t="b">
        <v>1</v>
      </c>
      <c r="W976" t="inlineStr">
        <is>
          <t>ATF fuel!I75:I94</t>
        </is>
      </c>
      <c r="X976">
        <f>INDIRECT("F"&amp;R[37]C[-2])</f>
        <v/>
      </c>
    </row>
    <row r="977">
      <c r="A977" t="inlineStr">
        <is>
          <t>ATF fuel</t>
        </is>
      </c>
      <c r="B977" t="inlineStr">
        <is>
          <t>J87</t>
        </is>
      </c>
      <c r="C977" t="n">
        <v>87</v>
      </c>
      <c r="D977" t="n">
        <v>10</v>
      </c>
      <c r="E977" t="inlineStr">
        <is>
          <t>Input</t>
        </is>
      </c>
      <c r="F977" t="n">
        <v/>
      </c>
      <c r="G977" t="n">
        <v>49.31</v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11</v>
      </c>
      <c r="M977" t="inlineStr">
        <is>
          <t>Values must be of type &lt;class 'str'&gt;</t>
        </is>
      </c>
      <c r="N977" t="inlineStr">
        <is>
          <t>00000000</t>
        </is>
      </c>
      <c r="O977" t="n">
        <v/>
      </c>
      <c r="P977" t="n">
        <v/>
      </c>
      <c r="R977" t="b">
        <v>1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</row>
    <row r="978">
      <c r="A978" t="inlineStr">
        <is>
          <t>ATF fuel</t>
        </is>
      </c>
      <c r="B978" t="inlineStr">
        <is>
          <t>K87</t>
        </is>
      </c>
      <c r="C978" t="n">
        <v>87</v>
      </c>
      <c r="D978" t="n">
        <v>11</v>
      </c>
      <c r="E978" t="inlineStr">
        <is>
          <t>Input</t>
        </is>
      </c>
      <c r="F978" t="n">
        <v/>
      </c>
      <c r="G978" t="n">
        <v>48.83</v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11</v>
      </c>
      <c r="M978" t="inlineStr">
        <is>
          <t>Values must be of type &lt;class 'str'&gt;</t>
        </is>
      </c>
      <c r="N978" t="inlineStr">
        <is>
          <t>00000000</t>
        </is>
      </c>
      <c r="O978" t="n">
        <v/>
      </c>
      <c r="P978" t="n">
        <v/>
      </c>
      <c r="R978" t="b">
        <v>1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</row>
    <row r="979">
      <c r="A979" t="inlineStr">
        <is>
          <t>ATF fuel</t>
        </is>
      </c>
      <c r="B979" t="inlineStr">
        <is>
          <t>A88</t>
        </is>
      </c>
      <c r="C979" t="n">
        <v>88</v>
      </c>
      <c r="D979" t="n">
        <v>1</v>
      </c>
      <c r="E979" t="inlineStr">
        <is>
          <t>Input</t>
        </is>
      </c>
      <c r="F979" t="n">
        <v/>
      </c>
      <c r="G979" t="inlineStr">
        <is>
          <t>January 01, 2012</t>
        </is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11</v>
      </c>
      <c r="M979" t="inlineStr">
        <is>
          <t>Values must be of type &lt;class 'str'&gt;</t>
        </is>
      </c>
      <c r="N979" t="inlineStr">
        <is>
          <t>00000000</t>
        </is>
      </c>
      <c r="O979" t="n">
        <v/>
      </c>
      <c r="P979" t="n">
        <v/>
      </c>
      <c r="R979" t="b">
        <v>1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</row>
    <row r="980">
      <c r="A980" t="inlineStr">
        <is>
          <t>ATF fuel</t>
        </is>
      </c>
      <c r="B980" t="inlineStr">
        <is>
          <t>B88</t>
        </is>
      </c>
      <c r="C980" t="n">
        <v>88</v>
      </c>
      <c r="D980" t="n">
        <v>2</v>
      </c>
      <c r="E980" t="inlineStr">
        <is>
          <t>Input</t>
        </is>
      </c>
      <c r="F980" t="n">
        <v/>
      </c>
      <c r="G980" t="n">
        <v>63076.67</v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11</v>
      </c>
      <c r="M980" t="inlineStr">
        <is>
          <t>Values must be of type &lt;class 'str'&gt;</t>
        </is>
      </c>
      <c r="N980" t="inlineStr">
        <is>
          <t>00000000</t>
        </is>
      </c>
      <c r="O980" t="inlineStr">
        <is>
          <t>center</t>
        </is>
      </c>
      <c r="P980" t="n">
        <v/>
      </c>
      <c r="R980" t="b">
        <v>1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</row>
    <row r="981">
      <c r="A981" t="inlineStr">
        <is>
          <t>ATF fuel</t>
        </is>
      </c>
      <c r="B981" t="inlineStr">
        <is>
          <t>C88</t>
        </is>
      </c>
      <c r="C981" t="n">
        <v>88</v>
      </c>
      <c r="D981" t="n">
        <v>3</v>
      </c>
      <c r="E981" t="inlineStr">
        <is>
          <t>Input</t>
        </is>
      </c>
      <c r="F981" t="n">
        <v/>
      </c>
      <c r="G981" t="n">
        <v>71358.17</v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11</v>
      </c>
      <c r="M981" t="inlineStr">
        <is>
          <t>Values must be of type &lt;class 'str'&gt;</t>
        </is>
      </c>
      <c r="N981" t="inlineStr">
        <is>
          <t>00000000</t>
        </is>
      </c>
      <c r="O981" t="inlineStr">
        <is>
          <t>center</t>
        </is>
      </c>
      <c r="P981" t="n">
        <v/>
      </c>
      <c r="R981" t="b">
        <v>1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</row>
    <row r="982">
      <c r="A982" t="inlineStr">
        <is>
          <t>ATF fuel</t>
        </is>
      </c>
      <c r="B982" t="inlineStr">
        <is>
          <t>D88</t>
        </is>
      </c>
      <c r="C982" t="n">
        <v>88</v>
      </c>
      <c r="D982" t="n">
        <v>4</v>
      </c>
      <c r="E982" t="inlineStr">
        <is>
          <t>Input</t>
        </is>
      </c>
      <c r="F982" t="n">
        <v/>
      </c>
      <c r="G982" t="n">
        <v>64053.73</v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11</v>
      </c>
      <c r="M982" t="inlineStr">
        <is>
          <t>Values must be of type &lt;class 'str'&gt;</t>
        </is>
      </c>
      <c r="N982" t="inlineStr">
        <is>
          <t>00000000</t>
        </is>
      </c>
      <c r="O982" t="inlineStr">
        <is>
          <t>center</t>
        </is>
      </c>
      <c r="P982" t="n">
        <v/>
      </c>
      <c r="R982" t="b">
        <v>1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</row>
    <row r="983">
      <c r="A983" t="inlineStr">
        <is>
          <t>ATF fuel</t>
        </is>
      </c>
      <c r="B983" t="inlineStr">
        <is>
          <t>E88</t>
        </is>
      </c>
      <c r="C983" t="n">
        <v>88</v>
      </c>
      <c r="D983" t="n">
        <v>5</v>
      </c>
      <c r="E983" t="inlineStr">
        <is>
          <t>Input</t>
        </is>
      </c>
      <c r="F983" t="n">
        <v/>
      </c>
      <c r="G983" t="n">
        <v>67911.66</v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11</v>
      </c>
      <c r="M983" t="inlineStr">
        <is>
          <t>Values must be of type &lt;class 'str'&gt;</t>
        </is>
      </c>
      <c r="N983" t="inlineStr">
        <is>
          <t>00000000</t>
        </is>
      </c>
      <c r="O983" t="inlineStr">
        <is>
          <t>center</t>
        </is>
      </c>
      <c r="P983" t="n">
        <v/>
      </c>
      <c r="R983" t="b">
        <v>1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</row>
    <row r="984">
      <c r="A984" t="inlineStr">
        <is>
          <t>ATF fuel</t>
        </is>
      </c>
      <c r="B984" t="inlineStr">
        <is>
          <t>F88</t>
        </is>
      </c>
      <c r="C984" t="n">
        <v>88</v>
      </c>
      <c r="D984" t="n">
        <v>6</v>
      </c>
      <c r="E984" t="inlineStr">
        <is>
          <t>Output</t>
        </is>
      </c>
      <c r="F984" t="inlineStr">
        <is>
          <t>'=AVERAGE(B88:E88)</t>
        </is>
      </c>
      <c r="G984" t="n">
        <v>66600.0575</v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11</v>
      </c>
      <c r="M984" t="inlineStr">
        <is>
          <t>Values must be of type &lt;class 'str'&gt;</t>
        </is>
      </c>
      <c r="N984" t="inlineStr">
        <is>
          <t>00000000</t>
        </is>
      </c>
      <c r="O984" t="n">
        <v/>
      </c>
      <c r="P984" t="n">
        <v/>
      </c>
      <c r="R984" t="b">
        <v>1</v>
      </c>
      <c r="S984" t="inlineStr">
        <is>
          <t>G000284</t>
        </is>
      </c>
      <c r="T984" t="inlineStr">
        <is>
          <t>Vertical</t>
        </is>
      </c>
      <c r="U984" t="n">
        <v>130</v>
      </c>
      <c r="V984" t="b">
        <v>1</v>
      </c>
      <c r="W984" t="inlineStr">
        <is>
          <t>ATF fuel!F2:F131</t>
        </is>
      </c>
      <c r="X984">
        <f>AVERAGE(R[0]C[-4]:R[0]C[-1])</f>
        <v/>
      </c>
    </row>
    <row r="985">
      <c r="A985" t="inlineStr">
        <is>
          <t>ATF fuel</t>
        </is>
      </c>
      <c r="B985" t="inlineStr">
        <is>
          <t>G88</t>
        </is>
      </c>
      <c r="C985" t="n">
        <v>88</v>
      </c>
      <c r="D985" t="n">
        <v>7</v>
      </c>
      <c r="E985" t="inlineStr">
        <is>
          <t>Calculation</t>
        </is>
      </c>
      <c r="F985" t="inlineStr">
        <is>
          <t>'=G87-1</t>
        </is>
      </c>
      <c r="G985" t="n">
        <v>45</v>
      </c>
      <c r="H985" t="inlineStr"/>
      <c r="I985" t="inlineStr">
        <is>
          <t>#,##0</t>
        </is>
      </c>
      <c r="J985" t="b">
        <v>0</v>
      </c>
      <c r="K985" t="b">
        <v>0</v>
      </c>
      <c r="L985" t="n">
        <v>11</v>
      </c>
      <c r="M985" t="inlineStr">
        <is>
          <t>Values must be of type &lt;class 'str'&gt;</t>
        </is>
      </c>
      <c r="N985" t="inlineStr">
        <is>
          <t>00000000</t>
        </is>
      </c>
      <c r="O985" t="n">
        <v/>
      </c>
      <c r="P985" t="n">
        <v/>
      </c>
      <c r="R985" t="b">
        <v>1</v>
      </c>
      <c r="S985" t="inlineStr">
        <is>
          <t>G000286</t>
        </is>
      </c>
      <c r="T985" t="inlineStr">
        <is>
          <t>Vertical</t>
        </is>
      </c>
      <c r="U985" t="n">
        <v>129</v>
      </c>
      <c r="V985" t="b">
        <v>1</v>
      </c>
      <c r="W985" t="inlineStr">
        <is>
          <t>ATF fuel!G3:G131</t>
        </is>
      </c>
      <c r="X985">
        <f>R[-1]C[0]-1</f>
        <v/>
      </c>
    </row>
    <row r="986">
      <c r="A986" t="inlineStr">
        <is>
          <t>ATF fuel</t>
        </is>
      </c>
      <c r="B986" t="inlineStr">
        <is>
          <t>H88</t>
        </is>
      </c>
      <c r="C986" t="n">
        <v>88</v>
      </c>
      <c r="D986" t="n">
        <v>8</v>
      </c>
      <c r="E986" t="inlineStr">
        <is>
          <t>Output</t>
        </is>
      </c>
      <c r="F986" t="inlineStr">
        <is>
          <t>'=INDIRECT("A"&amp;G125)</t>
        </is>
      </c>
      <c r="G986" t="inlineStr">
        <is>
          <t>June 01, 2017</t>
        </is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11</v>
      </c>
      <c r="M986" t="inlineStr">
        <is>
          <t>Values must be of type &lt;class 'str'&gt;</t>
        </is>
      </c>
      <c r="N986" t="inlineStr">
        <is>
          <t>00000000</t>
        </is>
      </c>
      <c r="O986" t="n">
        <v/>
      </c>
      <c r="P986" t="n">
        <v/>
      </c>
      <c r="R986" t="b">
        <v>1</v>
      </c>
      <c r="S986" t="inlineStr">
        <is>
          <t>G000293</t>
        </is>
      </c>
      <c r="T986" t="inlineStr">
        <is>
          <t>Vertical</t>
        </is>
      </c>
      <c r="U986" t="n">
        <v>20</v>
      </c>
      <c r="V986" t="b">
        <v>1</v>
      </c>
      <c r="W986" t="inlineStr">
        <is>
          <t>ATF fuel!H75:H94</t>
        </is>
      </c>
      <c r="X986">
        <f>INDIRECT("A"&amp;R[37]C[-1])</f>
        <v/>
      </c>
    </row>
    <row r="987">
      <c r="A987" t="inlineStr">
        <is>
          <t>ATF fuel</t>
        </is>
      </c>
      <c r="B987" t="inlineStr">
        <is>
          <t>I88</t>
        </is>
      </c>
      <c r="C987" t="n">
        <v>88</v>
      </c>
      <c r="D987" t="n">
        <v>9</v>
      </c>
      <c r="E987" t="inlineStr">
        <is>
          <t>Output</t>
        </is>
      </c>
      <c r="F987" t="inlineStr">
        <is>
          <t>'=INDIRECT("F"&amp;G125)</t>
        </is>
      </c>
      <c r="G987" t="n">
        <v>51442.25</v>
      </c>
      <c r="H987" t="inlineStr"/>
      <c r="I987" t="inlineStr">
        <is>
          <t xml:space="preserve">_ * #,##0_ ;_ * \-#,##0_ ;_ * "-"??_ ;_ @_ </t>
        </is>
      </c>
      <c r="J987" t="b">
        <v>0</v>
      </c>
      <c r="K987" t="b">
        <v>0</v>
      </c>
      <c r="L987" t="n">
        <v>11</v>
      </c>
      <c r="M987" t="inlineStr">
        <is>
          <t>Values must be of type &lt;class 'str'&gt;</t>
        </is>
      </c>
      <c r="N987" t="inlineStr">
        <is>
          <t>00000000</t>
        </is>
      </c>
      <c r="O987" t="n">
        <v/>
      </c>
      <c r="P987" t="n">
        <v/>
      </c>
      <c r="R987" t="b">
        <v>1</v>
      </c>
      <c r="S987" t="inlineStr">
        <is>
          <t>G000294</t>
        </is>
      </c>
      <c r="T987" t="inlineStr">
        <is>
          <t>Vertical</t>
        </is>
      </c>
      <c r="U987" t="n">
        <v>20</v>
      </c>
      <c r="V987" t="b">
        <v>1</v>
      </c>
      <c r="W987" t="inlineStr">
        <is>
          <t>ATF fuel!I75:I94</t>
        </is>
      </c>
      <c r="X987">
        <f>INDIRECT("F"&amp;R[37]C[-2])</f>
        <v/>
      </c>
    </row>
    <row r="988">
      <c r="A988" t="inlineStr">
        <is>
          <t>ATF fuel</t>
        </is>
      </c>
      <c r="B988" t="inlineStr">
        <is>
          <t>J88</t>
        </is>
      </c>
      <c r="C988" t="n">
        <v>88</v>
      </c>
      <c r="D988" t="n">
        <v>10</v>
      </c>
      <c r="E988" t="inlineStr">
        <is>
          <t>Input</t>
        </is>
      </c>
      <c r="F988" t="n">
        <v/>
      </c>
      <c r="G988" t="n">
        <v>50.41</v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11</v>
      </c>
      <c r="M988" t="inlineStr">
        <is>
          <t>Values must be of type &lt;class 'str'&gt;</t>
        </is>
      </c>
      <c r="N988" t="inlineStr">
        <is>
          <t>00000000</t>
        </is>
      </c>
      <c r="O988" t="n">
        <v/>
      </c>
      <c r="P988" t="n">
        <v/>
      </c>
      <c r="R988" t="b">
        <v>1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</row>
    <row r="989">
      <c r="A989" t="inlineStr">
        <is>
          <t>ATF fuel</t>
        </is>
      </c>
      <c r="B989" t="inlineStr">
        <is>
          <t>K88</t>
        </is>
      </c>
      <c r="C989" t="n">
        <v>88</v>
      </c>
      <c r="D989" t="n">
        <v>11</v>
      </c>
      <c r="E989" t="inlineStr">
        <is>
          <t>Input</t>
        </is>
      </c>
      <c r="F989" t="n">
        <v/>
      </c>
      <c r="G989" t="n">
        <v>48.32</v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11</v>
      </c>
      <c r="M989" t="inlineStr">
        <is>
          <t>Values must be of type &lt;class 'str'&gt;</t>
        </is>
      </c>
      <c r="N989" t="inlineStr">
        <is>
          <t>00000000</t>
        </is>
      </c>
      <c r="O989" t="n">
        <v/>
      </c>
      <c r="P989" t="n">
        <v/>
      </c>
      <c r="R989" t="b">
        <v>1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</row>
    <row r="990">
      <c r="A990" t="inlineStr">
        <is>
          <t>ATF fuel</t>
        </is>
      </c>
      <c r="B990" t="inlineStr">
        <is>
          <t>A89</t>
        </is>
      </c>
      <c r="C990" t="n">
        <v>89</v>
      </c>
      <c r="D990" t="n">
        <v>1</v>
      </c>
      <c r="E990" t="inlineStr">
        <is>
          <t>Input</t>
        </is>
      </c>
      <c r="F990" t="n">
        <v/>
      </c>
      <c r="G990" t="inlineStr">
        <is>
          <t>December 16, 2011</t>
        </is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11</v>
      </c>
      <c r="M990" t="inlineStr">
        <is>
          <t>Values must be of type &lt;class 'str'&gt;</t>
        </is>
      </c>
      <c r="N990" t="inlineStr">
        <is>
          <t>00000000</t>
        </is>
      </c>
      <c r="O990" t="n">
        <v/>
      </c>
      <c r="P990" t="n">
        <v/>
      </c>
      <c r="R990" t="b">
        <v>1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</row>
    <row r="991">
      <c r="A991" t="inlineStr">
        <is>
          <t>ATF fuel</t>
        </is>
      </c>
      <c r="B991" t="inlineStr">
        <is>
          <t>B89</t>
        </is>
      </c>
      <c r="C991" t="n">
        <v>89</v>
      </c>
      <c r="D991" t="n">
        <v>2</v>
      </c>
      <c r="E991" t="inlineStr">
        <is>
          <t>Input</t>
        </is>
      </c>
      <c r="F991" t="n">
        <v/>
      </c>
      <c r="G991" t="n">
        <v>63739.1</v>
      </c>
      <c r="H991" t="inlineStr"/>
      <c r="I991" t="inlineStr">
        <is>
          <t>0.00</t>
        </is>
      </c>
      <c r="J991" t="b">
        <v>0</v>
      </c>
      <c r="K991" t="b">
        <v>0</v>
      </c>
      <c r="L991" t="n">
        <v>11</v>
      </c>
      <c r="M991" t="inlineStr">
        <is>
          <t>Values must be of type &lt;class 'str'&gt;</t>
        </is>
      </c>
      <c r="N991" t="inlineStr">
        <is>
          <t>00000000</t>
        </is>
      </c>
      <c r="O991" t="inlineStr">
        <is>
          <t>center</t>
        </is>
      </c>
      <c r="P991" t="n">
        <v/>
      </c>
      <c r="R991" t="b">
        <v>1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</row>
    <row r="992">
      <c r="A992" t="inlineStr">
        <is>
          <t>ATF fuel</t>
        </is>
      </c>
      <c r="B992" t="inlineStr">
        <is>
          <t>C89</t>
        </is>
      </c>
      <c r="C992" t="n">
        <v>89</v>
      </c>
      <c r="D992" t="n">
        <v>3</v>
      </c>
      <c r="E992" t="inlineStr">
        <is>
          <t>Input</t>
        </is>
      </c>
      <c r="F992" t="n">
        <v/>
      </c>
      <c r="G992" t="n">
        <v>72021.14</v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11</v>
      </c>
      <c r="M992" t="inlineStr">
        <is>
          <t>Values must be of type &lt;class 'str'&gt;</t>
        </is>
      </c>
      <c r="N992" t="inlineStr">
        <is>
          <t>00000000</t>
        </is>
      </c>
      <c r="O992" t="inlineStr">
        <is>
          <t>center</t>
        </is>
      </c>
      <c r="P992" t="n">
        <v/>
      </c>
      <c r="R992" t="b">
        <v>1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</row>
    <row r="993">
      <c r="A993" t="inlineStr">
        <is>
          <t>ATF fuel</t>
        </is>
      </c>
      <c r="B993" t="inlineStr">
        <is>
          <t>D89</t>
        </is>
      </c>
      <c r="C993" t="n">
        <v>89</v>
      </c>
      <c r="D993" t="n">
        <v>4</v>
      </c>
      <c r="E993" t="inlineStr">
        <is>
          <t>Input</t>
        </is>
      </c>
      <c r="F993" t="n">
        <v/>
      </c>
      <c r="G993" t="n">
        <v>64730.23</v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11</v>
      </c>
      <c r="M993" t="inlineStr">
        <is>
          <t>Values must be of type &lt;class 'str'&gt;</t>
        </is>
      </c>
      <c r="N993" t="inlineStr">
        <is>
          <t>00000000</t>
        </is>
      </c>
      <c r="O993" t="inlineStr">
        <is>
          <t>center</t>
        </is>
      </c>
      <c r="P993" t="n">
        <v/>
      </c>
      <c r="R993" t="b">
        <v>1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</row>
    <row r="994">
      <c r="A994" t="inlineStr">
        <is>
          <t>ATF fuel</t>
        </is>
      </c>
      <c r="B994" t="inlineStr">
        <is>
          <t>E89</t>
        </is>
      </c>
      <c r="C994" t="n">
        <v>89</v>
      </c>
      <c r="D994" t="n">
        <v>5</v>
      </c>
      <c r="E994" t="inlineStr">
        <is>
          <t>Input</t>
        </is>
      </c>
      <c r="F994" t="n">
        <v/>
      </c>
      <c r="G994" t="n">
        <v>68595.85000000001</v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11</v>
      </c>
      <c r="M994" t="inlineStr">
        <is>
          <t>Values must be of type &lt;class 'str'&gt;</t>
        </is>
      </c>
      <c r="N994" t="inlineStr">
        <is>
          <t>00000000</t>
        </is>
      </c>
      <c r="O994" t="inlineStr">
        <is>
          <t>center</t>
        </is>
      </c>
      <c r="P994" t="n">
        <v/>
      </c>
      <c r="R994" t="b">
        <v>1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</row>
    <row r="995">
      <c r="A995" t="inlineStr">
        <is>
          <t>ATF fuel</t>
        </is>
      </c>
      <c r="B995" t="inlineStr">
        <is>
          <t>F89</t>
        </is>
      </c>
      <c r="C995" t="n">
        <v>89</v>
      </c>
      <c r="D995" t="n">
        <v>6</v>
      </c>
      <c r="E995" t="inlineStr">
        <is>
          <t>Output</t>
        </is>
      </c>
      <c r="F995" t="inlineStr">
        <is>
          <t>'=AVERAGE(B89:E89)</t>
        </is>
      </c>
      <c r="G995" t="n">
        <v>67271.58</v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11</v>
      </c>
      <c r="M995" t="inlineStr">
        <is>
          <t>Values must be of type &lt;class 'str'&gt;</t>
        </is>
      </c>
      <c r="N995" t="inlineStr">
        <is>
          <t>00000000</t>
        </is>
      </c>
      <c r="O995" t="n">
        <v/>
      </c>
      <c r="P995" t="n">
        <v/>
      </c>
      <c r="R995" t="b">
        <v>1</v>
      </c>
      <c r="S995" t="inlineStr">
        <is>
          <t>G000284</t>
        </is>
      </c>
      <c r="T995" t="inlineStr">
        <is>
          <t>Vertical</t>
        </is>
      </c>
      <c r="U995" t="n">
        <v>130</v>
      </c>
      <c r="V995" t="b">
        <v>1</v>
      </c>
      <c r="W995" t="inlineStr">
        <is>
          <t>ATF fuel!F2:F131</t>
        </is>
      </c>
      <c r="X995">
        <f>AVERAGE(R[0]C[-4]:R[0]C[-1])</f>
        <v/>
      </c>
    </row>
    <row r="996">
      <c r="A996" t="inlineStr">
        <is>
          <t>ATF fuel</t>
        </is>
      </c>
      <c r="B996" t="inlineStr">
        <is>
          <t>G89</t>
        </is>
      </c>
      <c r="C996" t="n">
        <v>89</v>
      </c>
      <c r="D996" t="n">
        <v>7</v>
      </c>
      <c r="E996" t="inlineStr">
        <is>
          <t>Calculation</t>
        </is>
      </c>
      <c r="F996" t="inlineStr">
        <is>
          <t>'=G88-1</t>
        </is>
      </c>
      <c r="G996" t="n">
        <v>44</v>
      </c>
      <c r="H996" t="inlineStr"/>
      <c r="I996" t="inlineStr">
        <is>
          <t>#,##0</t>
        </is>
      </c>
      <c r="J996" t="b">
        <v>0</v>
      </c>
      <c r="K996" t="b">
        <v>0</v>
      </c>
      <c r="L996" t="n">
        <v>11</v>
      </c>
      <c r="M996" t="inlineStr">
        <is>
          <t>Values must be of type &lt;class 'str'&gt;</t>
        </is>
      </c>
      <c r="N996" t="inlineStr">
        <is>
          <t>00000000</t>
        </is>
      </c>
      <c r="O996" t="n">
        <v/>
      </c>
      <c r="P996" t="n">
        <v/>
      </c>
      <c r="R996" t="b">
        <v>1</v>
      </c>
      <c r="S996" t="inlineStr">
        <is>
          <t>G000286</t>
        </is>
      </c>
      <c r="T996" t="inlineStr">
        <is>
          <t>Vertical</t>
        </is>
      </c>
      <c r="U996" t="n">
        <v>129</v>
      </c>
      <c r="V996" t="b">
        <v>1</v>
      </c>
      <c r="W996" t="inlineStr">
        <is>
          <t>ATF fuel!G3:G131</t>
        </is>
      </c>
      <c r="X996">
        <f>R[-1]C[0]-1</f>
        <v/>
      </c>
    </row>
    <row r="997">
      <c r="A997" t="inlineStr">
        <is>
          <t>ATF fuel</t>
        </is>
      </c>
      <c r="B997" t="inlineStr">
        <is>
          <t>H89</t>
        </is>
      </c>
      <c r="C997" t="n">
        <v>89</v>
      </c>
      <c r="D997" t="n">
        <v>8</v>
      </c>
      <c r="E997" t="inlineStr">
        <is>
          <t>Output</t>
        </is>
      </c>
      <c r="F997" t="inlineStr">
        <is>
          <t>'=INDIRECT("A"&amp;G126)</t>
        </is>
      </c>
      <c r="G997" t="inlineStr">
        <is>
          <t>July 01, 2017</t>
        </is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11</v>
      </c>
      <c r="M997" t="inlineStr">
        <is>
          <t>Values must be of type &lt;class 'str'&gt;</t>
        </is>
      </c>
      <c r="N997" t="inlineStr">
        <is>
          <t>00000000</t>
        </is>
      </c>
      <c r="O997" t="n">
        <v/>
      </c>
      <c r="P997" t="n">
        <v/>
      </c>
      <c r="R997" t="b">
        <v>1</v>
      </c>
      <c r="S997" t="inlineStr">
        <is>
          <t>G000293</t>
        </is>
      </c>
      <c r="T997" t="inlineStr">
        <is>
          <t>Vertical</t>
        </is>
      </c>
      <c r="U997" t="n">
        <v>20</v>
      </c>
      <c r="V997" t="b">
        <v>1</v>
      </c>
      <c r="W997" t="inlineStr">
        <is>
          <t>ATF fuel!H75:H94</t>
        </is>
      </c>
      <c r="X997">
        <f>INDIRECT("A"&amp;R[37]C[-1])</f>
        <v/>
      </c>
    </row>
    <row r="998">
      <c r="A998" t="inlineStr">
        <is>
          <t>ATF fuel</t>
        </is>
      </c>
      <c r="B998" t="inlineStr">
        <is>
          <t>I89</t>
        </is>
      </c>
      <c r="C998" t="n">
        <v>89</v>
      </c>
      <c r="D998" t="n">
        <v>9</v>
      </c>
      <c r="E998" t="inlineStr">
        <is>
          <t>Output</t>
        </is>
      </c>
      <c r="F998" t="inlineStr">
        <is>
          <t>'=INDIRECT("F"&amp;G126)</t>
        </is>
      </c>
      <c r="G998" t="n">
        <v>48646.25</v>
      </c>
      <c r="H998" t="inlineStr"/>
      <c r="I998" t="inlineStr">
        <is>
          <t xml:space="preserve">_ * #,##0_ ;_ * \-#,##0_ ;_ * "-"??_ ;_ @_ </t>
        </is>
      </c>
      <c r="J998" t="b">
        <v>0</v>
      </c>
      <c r="K998" t="b">
        <v>0</v>
      </c>
      <c r="L998" t="n">
        <v>11</v>
      </c>
      <c r="M998" t="inlineStr">
        <is>
          <t>Values must be of type &lt;class 'str'&gt;</t>
        </is>
      </c>
      <c r="N998" t="inlineStr">
        <is>
          <t>00000000</t>
        </is>
      </c>
      <c r="O998" t="n">
        <v/>
      </c>
      <c r="P998" t="n">
        <v/>
      </c>
      <c r="R998" t="b">
        <v>1</v>
      </c>
      <c r="S998" t="inlineStr">
        <is>
          <t>G000294</t>
        </is>
      </c>
      <c r="T998" t="inlineStr">
        <is>
          <t>Vertical</t>
        </is>
      </c>
      <c r="U998" t="n">
        <v>20</v>
      </c>
      <c r="V998" t="b">
        <v>1</v>
      </c>
      <c r="W998" t="inlineStr">
        <is>
          <t>ATF fuel!I75:I94</t>
        </is>
      </c>
      <c r="X998">
        <f>INDIRECT("F"&amp;R[37]C[-2])</f>
        <v/>
      </c>
    </row>
    <row r="999">
      <c r="A999" t="inlineStr">
        <is>
          <t>ATF fuel</t>
        </is>
      </c>
      <c r="B999" t="inlineStr">
        <is>
          <t>J89</t>
        </is>
      </c>
      <c r="C999" t="n">
        <v>89</v>
      </c>
      <c r="D999" t="n">
        <v>10</v>
      </c>
      <c r="E999" t="inlineStr">
        <is>
          <t>Input</t>
        </is>
      </c>
      <c r="F999" t="n">
        <v/>
      </c>
      <c r="G999" t="n">
        <v>49.13</v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11</v>
      </c>
      <c r="M999" t="inlineStr">
        <is>
          <t>Values must be of type &lt;class 'str'&gt;</t>
        </is>
      </c>
      <c r="N999" t="inlineStr">
        <is>
          <t>00000000</t>
        </is>
      </c>
      <c r="O999" t="n">
        <v/>
      </c>
      <c r="P999" t="n">
        <v/>
      </c>
      <c r="R999" t="b">
        <v>1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</row>
    <row r="1000">
      <c r="A1000" t="inlineStr">
        <is>
          <t>ATF fuel</t>
        </is>
      </c>
      <c r="B1000" t="inlineStr">
        <is>
          <t>K89</t>
        </is>
      </c>
      <c r="C1000" t="n">
        <v>89</v>
      </c>
      <c r="D1000" t="n">
        <v>11</v>
      </c>
      <c r="E1000" t="inlineStr">
        <is>
          <t>Input</t>
        </is>
      </c>
      <c r="F1000" t="n">
        <v/>
      </c>
      <c r="G1000" t="n">
        <v>46.02</v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11</v>
      </c>
      <c r="M1000" t="inlineStr">
        <is>
          <t>Values must be of type &lt;class 'str'&gt;</t>
        </is>
      </c>
      <c r="N1000" t="inlineStr">
        <is>
          <t>00000000</t>
        </is>
      </c>
      <c r="O1000" t="n">
        <v/>
      </c>
      <c r="P1000" t="n">
        <v/>
      </c>
      <c r="R1000" t="b">
        <v>1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</row>
    <row r="1001">
      <c r="A1001" t="inlineStr">
        <is>
          <t>ATF fuel</t>
        </is>
      </c>
      <c r="B1001" t="inlineStr">
        <is>
          <t>A90</t>
        </is>
      </c>
      <c r="C1001" t="n">
        <v>90</v>
      </c>
      <c r="D1001" t="n">
        <v>1</v>
      </c>
      <c r="E1001" t="inlineStr">
        <is>
          <t>Input</t>
        </is>
      </c>
      <c r="F1001" t="n">
        <v/>
      </c>
      <c r="G1001" t="inlineStr">
        <is>
          <t>December 01, 2011</t>
        </is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11</v>
      </c>
      <c r="M1001" t="inlineStr">
        <is>
          <t>Values must be of type &lt;class 'str'&gt;</t>
        </is>
      </c>
      <c r="N1001" t="inlineStr">
        <is>
          <t>00000000</t>
        </is>
      </c>
      <c r="O1001" t="n">
        <v/>
      </c>
      <c r="P1001" t="n">
        <v/>
      </c>
      <c r="R1001" t="b">
        <v>1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</row>
    <row r="1002">
      <c r="A1002" t="inlineStr">
        <is>
          <t>ATF fuel</t>
        </is>
      </c>
      <c r="B1002" t="inlineStr">
        <is>
          <t>B90</t>
        </is>
      </c>
      <c r="C1002" t="n">
        <v>90</v>
      </c>
      <c r="D1002" t="n">
        <v>2</v>
      </c>
      <c r="E1002" t="inlineStr">
        <is>
          <t>Input</t>
        </is>
      </c>
      <c r="F1002" t="n">
        <v/>
      </c>
      <c r="G1002" t="n">
        <v>64622.34</v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11</v>
      </c>
      <c r="M1002" t="inlineStr">
        <is>
          <t>Values must be of type &lt;class 'str'&gt;</t>
        </is>
      </c>
      <c r="N1002" t="inlineStr">
        <is>
          <t>00000000</t>
        </is>
      </c>
      <c r="O1002" t="inlineStr">
        <is>
          <t>center</t>
        </is>
      </c>
      <c r="P1002" t="n">
        <v/>
      </c>
      <c r="R1002" t="b">
        <v>1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</row>
    <row r="1003">
      <c r="A1003" t="inlineStr">
        <is>
          <t>ATF fuel</t>
        </is>
      </c>
      <c r="B1003" t="inlineStr">
        <is>
          <t>C90</t>
        </is>
      </c>
      <c r="C1003" t="n">
        <v>90</v>
      </c>
      <c r="D1003" t="n">
        <v>3</v>
      </c>
      <c r="E1003" t="inlineStr">
        <is>
          <t>Input</t>
        </is>
      </c>
      <c r="F1003" t="n">
        <v/>
      </c>
      <c r="G1003" t="n">
        <v>72900.59</v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11</v>
      </c>
      <c r="M1003" t="inlineStr">
        <is>
          <t>Values must be of type &lt;class 'str'&gt;</t>
        </is>
      </c>
      <c r="N1003" t="inlineStr">
        <is>
          <t>00000000</t>
        </is>
      </c>
      <c r="O1003" t="inlineStr">
        <is>
          <t>center</t>
        </is>
      </c>
      <c r="P1003" t="n">
        <v/>
      </c>
      <c r="R1003" t="b">
        <v>1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</row>
    <row r="1004">
      <c r="A1004" t="inlineStr">
        <is>
          <t>ATF fuel</t>
        </is>
      </c>
      <c r="B1004" t="inlineStr">
        <is>
          <t>D90</t>
        </is>
      </c>
      <c r="C1004" t="n">
        <v>90</v>
      </c>
      <c r="D1004" t="n">
        <v>4</v>
      </c>
      <c r="E1004" t="inlineStr">
        <is>
          <t>Input</t>
        </is>
      </c>
      <c r="F1004" t="n">
        <v/>
      </c>
      <c r="G1004" t="n">
        <v>65650.27</v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11</v>
      </c>
      <c r="M1004" t="inlineStr">
        <is>
          <t>Values must be of type &lt;class 'str'&gt;</t>
        </is>
      </c>
      <c r="N1004" t="inlineStr">
        <is>
          <t>00000000</t>
        </is>
      </c>
      <c r="O1004" t="inlineStr">
        <is>
          <t>center</t>
        </is>
      </c>
      <c r="P1004" t="n">
        <v/>
      </c>
      <c r="R1004" t="b">
        <v>1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</row>
    <row r="1005">
      <c r="A1005" t="inlineStr">
        <is>
          <t>ATF fuel</t>
        </is>
      </c>
      <c r="B1005" t="inlineStr">
        <is>
          <t>E90</t>
        </is>
      </c>
      <c r="C1005" t="n">
        <v>90</v>
      </c>
      <c r="D1005" t="n">
        <v>5</v>
      </c>
      <c r="E1005" t="inlineStr">
        <is>
          <t>Input</t>
        </is>
      </c>
      <c r="F1005" t="n">
        <v/>
      </c>
      <c r="G1005" t="n">
        <v>69517.39999999999</v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11</v>
      </c>
      <c r="M1005" t="inlineStr">
        <is>
          <t>Values must be of type &lt;class 'str'&gt;</t>
        </is>
      </c>
      <c r="N1005" t="inlineStr">
        <is>
          <t>00000000</t>
        </is>
      </c>
      <c r="O1005" t="inlineStr">
        <is>
          <t>center</t>
        </is>
      </c>
      <c r="P1005" t="n">
        <v/>
      </c>
      <c r="R1005" t="b">
        <v>1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</row>
    <row r="1006">
      <c r="A1006" t="inlineStr">
        <is>
          <t>ATF fuel</t>
        </is>
      </c>
      <c r="B1006" t="inlineStr">
        <is>
          <t>F90</t>
        </is>
      </c>
      <c r="C1006" t="n">
        <v>90</v>
      </c>
      <c r="D1006" t="n">
        <v>6</v>
      </c>
      <c r="E1006" t="inlineStr">
        <is>
          <t>Output</t>
        </is>
      </c>
      <c r="F1006" t="inlineStr">
        <is>
          <t>'=AVERAGE(B90:E90)</t>
        </is>
      </c>
      <c r="G1006" t="n">
        <v>68172.64999999999</v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11</v>
      </c>
      <c r="M1006" t="inlineStr">
        <is>
          <t>Values must be of type &lt;class 'str'&gt;</t>
        </is>
      </c>
      <c r="N1006" t="inlineStr">
        <is>
          <t>00000000</t>
        </is>
      </c>
      <c r="O1006" t="n">
        <v/>
      </c>
      <c r="P1006" t="n">
        <v/>
      </c>
      <c r="R1006" t="b">
        <v>1</v>
      </c>
      <c r="S1006" t="inlineStr">
        <is>
          <t>G000284</t>
        </is>
      </c>
      <c r="T1006" t="inlineStr">
        <is>
          <t>Vertical</t>
        </is>
      </c>
      <c r="U1006" t="n">
        <v>130</v>
      </c>
      <c r="V1006" t="b">
        <v>1</v>
      </c>
      <c r="W1006" t="inlineStr">
        <is>
          <t>ATF fuel!F2:F131</t>
        </is>
      </c>
      <c r="X1006">
        <f>AVERAGE(R[0]C[-4]:R[0]C[-1])</f>
        <v/>
      </c>
    </row>
    <row r="1007">
      <c r="A1007" t="inlineStr">
        <is>
          <t>ATF fuel</t>
        </is>
      </c>
      <c r="B1007" t="inlineStr">
        <is>
          <t>G90</t>
        </is>
      </c>
      <c r="C1007" t="n">
        <v>90</v>
      </c>
      <c r="D1007" t="n">
        <v>7</v>
      </c>
      <c r="E1007" t="inlineStr">
        <is>
          <t>Calculation</t>
        </is>
      </c>
      <c r="F1007" t="inlineStr">
        <is>
          <t>'=G89-1</t>
        </is>
      </c>
      <c r="G1007" t="n">
        <v>43</v>
      </c>
      <c r="H1007" t="inlineStr"/>
      <c r="I1007" t="inlineStr">
        <is>
          <t>#,##0</t>
        </is>
      </c>
      <c r="J1007" t="b">
        <v>0</v>
      </c>
      <c r="K1007" t="b">
        <v>0</v>
      </c>
      <c r="L1007" t="n">
        <v>11</v>
      </c>
      <c r="M1007" t="inlineStr">
        <is>
          <t>Values must be of type &lt;class 'str'&gt;</t>
        </is>
      </c>
      <c r="N1007" t="inlineStr">
        <is>
          <t>00000000</t>
        </is>
      </c>
      <c r="O1007" t="n">
        <v/>
      </c>
      <c r="P1007" t="n">
        <v/>
      </c>
      <c r="R1007" t="b">
        <v>1</v>
      </c>
      <c r="S1007" t="inlineStr">
        <is>
          <t>G000286</t>
        </is>
      </c>
      <c r="T1007" t="inlineStr">
        <is>
          <t>Vertical</t>
        </is>
      </c>
      <c r="U1007" t="n">
        <v>129</v>
      </c>
      <c r="V1007" t="b">
        <v>1</v>
      </c>
      <c r="W1007" t="inlineStr">
        <is>
          <t>ATF fuel!G3:G131</t>
        </is>
      </c>
      <c r="X1007">
        <f>R[-1]C[0]-1</f>
        <v/>
      </c>
    </row>
    <row r="1008">
      <c r="A1008" t="inlineStr">
        <is>
          <t>ATF fuel</t>
        </is>
      </c>
      <c r="B1008" t="inlineStr">
        <is>
          <t>H90</t>
        </is>
      </c>
      <c r="C1008" t="n">
        <v>90</v>
      </c>
      <c r="D1008" t="n">
        <v>8</v>
      </c>
      <c r="E1008" t="inlineStr">
        <is>
          <t>Output</t>
        </is>
      </c>
      <c r="F1008" t="inlineStr">
        <is>
          <t>'=INDIRECT("A"&amp;G127)</t>
        </is>
      </c>
      <c r="G1008" t="inlineStr">
        <is>
          <t>August 01, 2017</t>
        </is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11</v>
      </c>
      <c r="M1008" t="inlineStr">
        <is>
          <t>Values must be of type &lt;class 'str'&gt;</t>
        </is>
      </c>
      <c r="N1008" t="inlineStr">
        <is>
          <t>00000000</t>
        </is>
      </c>
      <c r="O1008" t="n">
        <v/>
      </c>
      <c r="P1008" t="n">
        <v/>
      </c>
      <c r="R1008" t="b">
        <v>1</v>
      </c>
      <c r="S1008" t="inlineStr">
        <is>
          <t>G000293</t>
        </is>
      </c>
      <c r="T1008" t="inlineStr">
        <is>
          <t>Vertical</t>
        </is>
      </c>
      <c r="U1008" t="n">
        <v>20</v>
      </c>
      <c r="V1008" t="b">
        <v>1</v>
      </c>
      <c r="W1008" t="inlineStr">
        <is>
          <t>ATF fuel!H75:H94</t>
        </is>
      </c>
      <c r="X1008">
        <f>INDIRECT("A"&amp;R[37]C[-1])</f>
        <v/>
      </c>
    </row>
    <row r="1009">
      <c r="A1009" t="inlineStr">
        <is>
          <t>ATF fuel</t>
        </is>
      </c>
      <c r="B1009" t="inlineStr">
        <is>
          <t>I90</t>
        </is>
      </c>
      <c r="C1009" t="n">
        <v>90</v>
      </c>
      <c r="D1009" t="n">
        <v>9</v>
      </c>
      <c r="E1009" t="inlineStr">
        <is>
          <t>Output</t>
        </is>
      </c>
      <c r="F1009" t="inlineStr">
        <is>
          <t>'=INDIRECT("F"&amp;G127)</t>
        </is>
      </c>
      <c r="G1009" t="n">
        <v>50259.33333333334</v>
      </c>
      <c r="H1009" t="inlineStr"/>
      <c r="I1009" t="inlineStr">
        <is>
          <t xml:space="preserve">_ * #,##0_ ;_ * \-#,##0_ ;_ * "-"??_ ;_ @_ </t>
        </is>
      </c>
      <c r="J1009" t="b">
        <v>0</v>
      </c>
      <c r="K1009" t="b">
        <v>0</v>
      </c>
      <c r="L1009" t="n">
        <v>11</v>
      </c>
      <c r="M1009" t="inlineStr">
        <is>
          <t>Values must be of type &lt;class 'str'&gt;</t>
        </is>
      </c>
      <c r="N1009" t="inlineStr">
        <is>
          <t>00000000</t>
        </is>
      </c>
      <c r="O1009" t="n">
        <v/>
      </c>
      <c r="P1009" t="n">
        <v/>
      </c>
      <c r="R1009" t="b">
        <v>1</v>
      </c>
      <c r="S1009" t="inlineStr">
        <is>
          <t>G000294</t>
        </is>
      </c>
      <c r="T1009" t="inlineStr">
        <is>
          <t>Vertical</t>
        </is>
      </c>
      <c r="U1009" t="n">
        <v>20</v>
      </c>
      <c r="V1009" t="b">
        <v>1</v>
      </c>
      <c r="W1009" t="inlineStr">
        <is>
          <t>ATF fuel!I75:I94</t>
        </is>
      </c>
      <c r="X1009">
        <f>INDIRECT("F"&amp;R[37]C[-2])</f>
        <v/>
      </c>
    </row>
    <row r="1010">
      <c r="A1010" t="inlineStr">
        <is>
          <t>ATF fuel</t>
        </is>
      </c>
      <c r="B1010" t="inlineStr">
        <is>
          <t>J90</t>
        </is>
      </c>
      <c r="C1010" t="n">
        <v>90</v>
      </c>
      <c r="D1010" t="n">
        <v>10</v>
      </c>
      <c r="E1010" t="inlineStr">
        <is>
          <t>Input</t>
        </is>
      </c>
      <c r="F1010" t="n">
        <v/>
      </c>
      <c r="G1010" t="n">
        <v>51.99</v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11</v>
      </c>
      <c r="M1010" t="inlineStr">
        <is>
          <t>Values must be of type &lt;class 'str'&gt;</t>
        </is>
      </c>
      <c r="N1010" t="inlineStr">
        <is>
          <t>00000000</t>
        </is>
      </c>
      <c r="O1010" t="n">
        <v/>
      </c>
      <c r="P1010" t="n">
        <v/>
      </c>
      <c r="R1010" t="b">
        <v>1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</row>
    <row r="1011">
      <c r="A1011" t="inlineStr">
        <is>
          <t>ATF fuel</t>
        </is>
      </c>
      <c r="B1011" t="inlineStr">
        <is>
          <t>K90</t>
        </is>
      </c>
      <c r="C1011" t="n">
        <v>90</v>
      </c>
      <c r="D1011" t="n">
        <v>11</v>
      </c>
      <c r="E1011" t="inlineStr">
        <is>
          <t>Input</t>
        </is>
      </c>
      <c r="F1011" t="n">
        <v/>
      </c>
      <c r="G1011" t="n">
        <v>49.19</v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11</v>
      </c>
      <c r="M1011" t="inlineStr">
        <is>
          <t>Values must be of type &lt;class 'str'&gt;</t>
        </is>
      </c>
      <c r="N1011" t="inlineStr">
        <is>
          <t>00000000</t>
        </is>
      </c>
      <c r="O1011" t="n">
        <v/>
      </c>
      <c r="P1011" t="n">
        <v/>
      </c>
      <c r="R1011" t="b">
        <v>1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</row>
    <row r="1012">
      <c r="A1012" t="inlineStr">
        <is>
          <t>ATF fuel</t>
        </is>
      </c>
      <c r="B1012" t="inlineStr">
        <is>
          <t>A91</t>
        </is>
      </c>
      <c r="C1012" t="n">
        <v>91</v>
      </c>
      <c r="D1012" t="n">
        <v>1</v>
      </c>
      <c r="E1012" t="inlineStr">
        <is>
          <t>Input</t>
        </is>
      </c>
      <c r="F1012" t="n">
        <v/>
      </c>
      <c r="G1012" t="inlineStr">
        <is>
          <t>November 16, 2011</t>
        </is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11</v>
      </c>
      <c r="M1012" t="inlineStr">
        <is>
          <t>Values must be of type &lt;class 'str'&gt;</t>
        </is>
      </c>
      <c r="N1012" t="inlineStr">
        <is>
          <t>00000000</t>
        </is>
      </c>
      <c r="O1012" t="n">
        <v/>
      </c>
      <c r="P1012" t="n">
        <v/>
      </c>
      <c r="R1012" t="b">
        <v>1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</row>
    <row r="1013">
      <c r="A1013" t="inlineStr">
        <is>
          <t>ATF fuel</t>
        </is>
      </c>
      <c r="B1013" t="inlineStr">
        <is>
          <t>B91</t>
        </is>
      </c>
      <c r="C1013" t="n">
        <v>91</v>
      </c>
      <c r="D1013" t="n">
        <v>2</v>
      </c>
      <c r="E1013" t="inlineStr">
        <is>
          <t>Input</t>
        </is>
      </c>
      <c r="F1013" t="n">
        <v/>
      </c>
      <c r="G1013" t="n">
        <v>62310.33</v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11</v>
      </c>
      <c r="M1013" t="inlineStr">
        <is>
          <t>Values must be of type &lt;class 'str'&gt;</t>
        </is>
      </c>
      <c r="N1013" t="inlineStr">
        <is>
          <t>00000000</t>
        </is>
      </c>
      <c r="O1013" t="inlineStr">
        <is>
          <t>center</t>
        </is>
      </c>
      <c r="P1013" t="n">
        <v/>
      </c>
      <c r="R1013" t="b">
        <v>1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</row>
    <row r="1014">
      <c r="A1014" t="inlineStr">
        <is>
          <t>ATF fuel</t>
        </is>
      </c>
      <c r="B1014" t="inlineStr">
        <is>
          <t>C91</t>
        </is>
      </c>
      <c r="C1014" t="n">
        <v>91</v>
      </c>
      <c r="D1014" t="n">
        <v>3</v>
      </c>
      <c r="E1014" t="inlineStr">
        <is>
          <t>Input</t>
        </is>
      </c>
      <c r="F1014" t="n">
        <v/>
      </c>
      <c r="G1014" t="n">
        <v>70465.19</v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11</v>
      </c>
      <c r="M1014" t="inlineStr">
        <is>
          <t>Values must be of type &lt;class 'str'&gt;</t>
        </is>
      </c>
      <c r="N1014" t="inlineStr">
        <is>
          <t>00000000</t>
        </is>
      </c>
      <c r="O1014" t="inlineStr">
        <is>
          <t>center</t>
        </is>
      </c>
      <c r="P1014" t="n">
        <v/>
      </c>
      <c r="R1014" t="b">
        <v>1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</row>
    <row r="1015">
      <c r="A1015" t="inlineStr">
        <is>
          <t>ATF fuel</t>
        </is>
      </c>
      <c r="B1015" t="inlineStr">
        <is>
          <t>D91</t>
        </is>
      </c>
      <c r="C1015" t="n">
        <v>91</v>
      </c>
      <c r="D1015" t="n">
        <v>4</v>
      </c>
      <c r="E1015" t="inlineStr">
        <is>
          <t>Input</t>
        </is>
      </c>
      <c r="F1015" t="n">
        <v/>
      </c>
      <c r="G1015" t="n">
        <v>63228.4</v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11</v>
      </c>
      <c r="M1015" t="inlineStr">
        <is>
          <t>Values must be of type &lt;class 'str'&gt;</t>
        </is>
      </c>
      <c r="N1015" t="inlineStr">
        <is>
          <t>00000000</t>
        </is>
      </c>
      <c r="O1015" t="inlineStr">
        <is>
          <t>center</t>
        </is>
      </c>
      <c r="P1015" t="n">
        <v/>
      </c>
      <c r="R1015" t="b">
        <v>1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</row>
    <row r="1016">
      <c r="A1016" t="inlineStr">
        <is>
          <t>ATF fuel</t>
        </is>
      </c>
      <c r="B1016" t="inlineStr">
        <is>
          <t>E91</t>
        </is>
      </c>
      <c r="C1016" t="n">
        <v>91</v>
      </c>
      <c r="D1016" t="n">
        <v>5</v>
      </c>
      <c r="E1016" t="inlineStr">
        <is>
          <t>Input</t>
        </is>
      </c>
      <c r="F1016" t="n">
        <v/>
      </c>
      <c r="G1016" t="n">
        <v>67018.03999999999</v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11</v>
      </c>
      <c r="M1016" t="inlineStr">
        <is>
          <t>Values must be of type &lt;class 'str'&gt;</t>
        </is>
      </c>
      <c r="N1016" t="inlineStr">
        <is>
          <t>00000000</t>
        </is>
      </c>
      <c r="O1016" t="inlineStr">
        <is>
          <t>center</t>
        </is>
      </c>
      <c r="P1016" t="n">
        <v/>
      </c>
      <c r="R1016" t="b">
        <v>1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</row>
    <row r="1017">
      <c r="A1017" t="inlineStr">
        <is>
          <t>ATF fuel</t>
        </is>
      </c>
      <c r="B1017" t="inlineStr">
        <is>
          <t>F91</t>
        </is>
      </c>
      <c r="C1017" t="n">
        <v>91</v>
      </c>
      <c r="D1017" t="n">
        <v>6</v>
      </c>
      <c r="E1017" t="inlineStr">
        <is>
          <t>Output</t>
        </is>
      </c>
      <c r="F1017" t="inlineStr">
        <is>
          <t>'=AVERAGE(B91:E91)</t>
        </is>
      </c>
      <c r="G1017" t="n">
        <v>65755.49000000001</v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11</v>
      </c>
      <c r="M1017" t="inlineStr">
        <is>
          <t>Values must be of type &lt;class 'str'&gt;</t>
        </is>
      </c>
      <c r="N1017" t="inlineStr">
        <is>
          <t>00000000</t>
        </is>
      </c>
      <c r="O1017" t="n">
        <v/>
      </c>
      <c r="P1017" t="n">
        <v/>
      </c>
      <c r="R1017" t="b">
        <v>1</v>
      </c>
      <c r="S1017" t="inlineStr">
        <is>
          <t>G000284</t>
        </is>
      </c>
      <c r="T1017" t="inlineStr">
        <is>
          <t>Vertical</t>
        </is>
      </c>
      <c r="U1017" t="n">
        <v>130</v>
      </c>
      <c r="V1017" t="b">
        <v>1</v>
      </c>
      <c r="W1017" t="inlineStr">
        <is>
          <t>ATF fuel!F2:F131</t>
        </is>
      </c>
      <c r="X1017">
        <f>AVERAGE(R[0]C[-4]:R[0]C[-1])</f>
        <v/>
      </c>
    </row>
    <row r="1018">
      <c r="A1018" t="inlineStr">
        <is>
          <t>ATF fuel</t>
        </is>
      </c>
      <c r="B1018" t="inlineStr">
        <is>
          <t>G91</t>
        </is>
      </c>
      <c r="C1018" t="n">
        <v>91</v>
      </c>
      <c r="D1018" t="n">
        <v>7</v>
      </c>
      <c r="E1018" t="inlineStr">
        <is>
          <t>Calculation</t>
        </is>
      </c>
      <c r="F1018" t="inlineStr">
        <is>
          <t>'=G90-1</t>
        </is>
      </c>
      <c r="G1018" t="n">
        <v>42</v>
      </c>
      <c r="H1018" t="inlineStr"/>
      <c r="I1018" t="inlineStr">
        <is>
          <t>#,##0</t>
        </is>
      </c>
      <c r="J1018" t="b">
        <v>0</v>
      </c>
      <c r="K1018" t="b">
        <v>0</v>
      </c>
      <c r="L1018" t="n">
        <v>11</v>
      </c>
      <c r="M1018" t="inlineStr">
        <is>
          <t>Values must be of type &lt;class 'str'&gt;</t>
        </is>
      </c>
      <c r="N1018" t="inlineStr">
        <is>
          <t>00000000</t>
        </is>
      </c>
      <c r="O1018" t="n">
        <v/>
      </c>
      <c r="P1018" t="n">
        <v/>
      </c>
      <c r="R1018" t="b">
        <v>1</v>
      </c>
      <c r="S1018" t="inlineStr">
        <is>
          <t>G000286</t>
        </is>
      </c>
      <c r="T1018" t="inlineStr">
        <is>
          <t>Vertical</t>
        </is>
      </c>
      <c r="U1018" t="n">
        <v>129</v>
      </c>
      <c r="V1018" t="b">
        <v>1</v>
      </c>
      <c r="W1018" t="inlineStr">
        <is>
          <t>ATF fuel!G3:G131</t>
        </is>
      </c>
      <c r="X1018">
        <f>R[-1]C[0]-1</f>
        <v/>
      </c>
    </row>
    <row r="1019">
      <c r="A1019" t="inlineStr">
        <is>
          <t>ATF fuel</t>
        </is>
      </c>
      <c r="B1019" t="inlineStr">
        <is>
          <t>H91</t>
        </is>
      </c>
      <c r="C1019" t="n">
        <v>91</v>
      </c>
      <c r="D1019" t="n">
        <v>8</v>
      </c>
      <c r="E1019" t="inlineStr">
        <is>
          <t>Output</t>
        </is>
      </c>
      <c r="F1019" t="inlineStr">
        <is>
          <t>'=INDIRECT("A"&amp;G128)</t>
        </is>
      </c>
      <c r="G1019" t="inlineStr">
        <is>
          <t>September 01,2017</t>
        </is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11</v>
      </c>
      <c r="M1019" t="inlineStr">
        <is>
          <t>Values must be of type &lt;class 'str'&gt;</t>
        </is>
      </c>
      <c r="N1019" t="inlineStr">
        <is>
          <t>00000000</t>
        </is>
      </c>
      <c r="O1019" t="n">
        <v/>
      </c>
      <c r="P1019" t="n">
        <v/>
      </c>
      <c r="R1019" t="b">
        <v>1</v>
      </c>
      <c r="S1019" t="inlineStr">
        <is>
          <t>G000293</t>
        </is>
      </c>
      <c r="T1019" t="inlineStr">
        <is>
          <t>Vertical</t>
        </is>
      </c>
      <c r="U1019" t="n">
        <v>20</v>
      </c>
      <c r="V1019" t="b">
        <v>1</v>
      </c>
      <c r="W1019" t="inlineStr">
        <is>
          <t>ATF fuel!H75:H94</t>
        </is>
      </c>
      <c r="X1019">
        <f>INDIRECT("A"&amp;R[37]C[-1])</f>
        <v/>
      </c>
    </row>
    <row r="1020">
      <c r="A1020" t="inlineStr">
        <is>
          <t>ATF fuel</t>
        </is>
      </c>
      <c r="B1020" t="inlineStr">
        <is>
          <t>I91</t>
        </is>
      </c>
      <c r="C1020" t="n">
        <v>91</v>
      </c>
      <c r="D1020" t="n">
        <v>9</v>
      </c>
      <c r="E1020" t="inlineStr">
        <is>
          <t>Output</t>
        </is>
      </c>
      <c r="F1020" t="inlineStr">
        <is>
          <t>'=INDIRECT("F"&amp;G128)</t>
        </is>
      </c>
      <c r="G1020" t="n">
        <v>51639.75</v>
      </c>
      <c r="H1020" t="inlineStr"/>
      <c r="I1020" t="inlineStr">
        <is>
          <t xml:space="preserve">_ * #,##0_ ;_ * \-#,##0_ ;_ * "-"??_ ;_ @_ </t>
        </is>
      </c>
      <c r="J1020" t="b">
        <v>0</v>
      </c>
      <c r="K1020" t="b">
        <v>0</v>
      </c>
      <c r="L1020" t="n">
        <v>11</v>
      </c>
      <c r="M1020" t="inlineStr">
        <is>
          <t>Values must be of type &lt;class 'str'&gt;</t>
        </is>
      </c>
      <c r="N1020" t="inlineStr">
        <is>
          <t>00000000</t>
        </is>
      </c>
      <c r="O1020" t="n">
        <v/>
      </c>
      <c r="P1020" t="n">
        <v/>
      </c>
      <c r="R1020" t="b">
        <v>1</v>
      </c>
      <c r="S1020" t="inlineStr">
        <is>
          <t>G000294</t>
        </is>
      </c>
      <c r="T1020" t="inlineStr">
        <is>
          <t>Vertical</t>
        </is>
      </c>
      <c r="U1020" t="n">
        <v>20</v>
      </c>
      <c r="V1020" t="b">
        <v>1</v>
      </c>
      <c r="W1020" t="inlineStr">
        <is>
          <t>ATF fuel!I75:I94</t>
        </is>
      </c>
      <c r="X1020">
        <f>INDIRECT("F"&amp;R[37]C[-2])</f>
        <v/>
      </c>
    </row>
    <row r="1021">
      <c r="A1021" t="inlineStr">
        <is>
          <t>ATF fuel</t>
        </is>
      </c>
      <c r="B1021" t="inlineStr">
        <is>
          <t>J91</t>
        </is>
      </c>
      <c r="C1021" t="n">
        <v>91</v>
      </c>
      <c r="D1021" t="n">
        <v>10</v>
      </c>
      <c r="E1021" t="inlineStr">
        <is>
          <t>Input</t>
        </is>
      </c>
      <c r="F1021" t="n">
        <v/>
      </c>
      <c r="G1021" t="n">
        <v>52.69</v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11</v>
      </c>
      <c r="M1021" t="inlineStr">
        <is>
          <t>Values must be of type &lt;class 'str'&gt;</t>
        </is>
      </c>
      <c r="N1021" t="inlineStr">
        <is>
          <t>00000000</t>
        </is>
      </c>
      <c r="O1021" t="n">
        <v/>
      </c>
      <c r="P1021" t="n">
        <v/>
      </c>
      <c r="R1021" t="b">
        <v>1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</row>
    <row r="1022">
      <c r="A1022" t="inlineStr">
        <is>
          <t>ATF fuel</t>
        </is>
      </c>
      <c r="B1022" t="inlineStr">
        <is>
          <t>K91</t>
        </is>
      </c>
      <c r="C1022" t="n">
        <v>91</v>
      </c>
      <c r="D1022" t="n">
        <v>11</v>
      </c>
      <c r="E1022" t="inlineStr">
        <is>
          <t>Input</t>
        </is>
      </c>
      <c r="F1022" t="n">
        <v/>
      </c>
      <c r="G1022" t="n">
        <v>47.32</v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11</v>
      </c>
      <c r="M1022" t="inlineStr">
        <is>
          <t>Values must be of type &lt;class 'str'&gt;</t>
        </is>
      </c>
      <c r="N1022" t="inlineStr">
        <is>
          <t>00000000</t>
        </is>
      </c>
      <c r="O1022" t="n">
        <v/>
      </c>
      <c r="P1022" t="n">
        <v/>
      </c>
      <c r="R1022" t="b">
        <v>1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</row>
    <row r="1023">
      <c r="A1023" t="inlineStr">
        <is>
          <t>ATF fuel</t>
        </is>
      </c>
      <c r="B1023" t="inlineStr">
        <is>
          <t>A92</t>
        </is>
      </c>
      <c r="C1023" t="n">
        <v>92</v>
      </c>
      <c r="D1023" t="n">
        <v>1</v>
      </c>
      <c r="E1023" t="inlineStr">
        <is>
          <t>Input</t>
        </is>
      </c>
      <c r="F1023" t="n">
        <v/>
      </c>
      <c r="G1023" t="inlineStr">
        <is>
          <t>November 01, 2011</t>
        </is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11</v>
      </c>
      <c r="M1023" t="inlineStr">
        <is>
          <t>Values must be of type &lt;class 'str'&gt;</t>
        </is>
      </c>
      <c r="N1023" t="inlineStr">
        <is>
          <t>00000000</t>
        </is>
      </c>
      <c r="O1023" t="n">
        <v/>
      </c>
      <c r="P1023" t="n">
        <v/>
      </c>
      <c r="R1023" t="b">
        <v>1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</row>
    <row r="1024">
      <c r="A1024" t="inlineStr">
        <is>
          <t>ATF fuel</t>
        </is>
      </c>
      <c r="B1024" t="inlineStr">
        <is>
          <t>B92</t>
        </is>
      </c>
      <c r="C1024" t="n">
        <v>92</v>
      </c>
      <c r="D1024" t="n">
        <v>2</v>
      </c>
      <c r="E1024" t="inlineStr">
        <is>
          <t>Input</t>
        </is>
      </c>
      <c r="F1024" t="n">
        <v/>
      </c>
      <c r="G1024" t="n">
        <v>61115.36</v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11</v>
      </c>
      <c r="M1024" t="inlineStr">
        <is>
          <t>Values must be of type &lt;class 'str'&gt;</t>
        </is>
      </c>
      <c r="N1024" t="inlineStr">
        <is>
          <t>00000000</t>
        </is>
      </c>
      <c r="O1024" t="inlineStr">
        <is>
          <t>center</t>
        </is>
      </c>
      <c r="P1024" t="n">
        <v/>
      </c>
      <c r="R1024" t="b">
        <v>1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</row>
    <row r="1025">
      <c r="A1025" t="inlineStr">
        <is>
          <t>ATF fuel</t>
        </is>
      </c>
      <c r="B1025" t="inlineStr">
        <is>
          <t>C92</t>
        </is>
      </c>
      <c r="C1025" t="n">
        <v>92</v>
      </c>
      <c r="D1025" t="n">
        <v>3</v>
      </c>
      <c r="E1025" t="inlineStr">
        <is>
          <t>Input</t>
        </is>
      </c>
      <c r="F1025" t="n">
        <v/>
      </c>
      <c r="G1025" t="n">
        <v>69157.14</v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11</v>
      </c>
      <c r="M1025" t="inlineStr">
        <is>
          <t>Values must be of type &lt;class 'str'&gt;</t>
        </is>
      </c>
      <c r="N1025" t="inlineStr">
        <is>
          <t>00000000</t>
        </is>
      </c>
      <c r="O1025" t="inlineStr">
        <is>
          <t>center</t>
        </is>
      </c>
      <c r="P1025" t="n">
        <v/>
      </c>
      <c r="R1025" t="b">
        <v>1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</row>
    <row r="1026">
      <c r="A1026" t="inlineStr">
        <is>
          <t>ATF fuel</t>
        </is>
      </c>
      <c r="B1026" t="inlineStr">
        <is>
          <t>D92</t>
        </is>
      </c>
      <c r="C1026" t="n">
        <v>92</v>
      </c>
      <c r="D1026" t="n">
        <v>4</v>
      </c>
      <c r="E1026" t="inlineStr">
        <is>
          <t>Input</t>
        </is>
      </c>
      <c r="F1026" t="n">
        <v/>
      </c>
      <c r="G1026" t="n">
        <v>61983.64</v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11</v>
      </c>
      <c r="M1026" t="inlineStr">
        <is>
          <t>Values must be of type &lt;class 'str'&gt;</t>
        </is>
      </c>
      <c r="N1026" t="inlineStr">
        <is>
          <t>00000000</t>
        </is>
      </c>
      <c r="O1026" t="inlineStr">
        <is>
          <t>center</t>
        </is>
      </c>
      <c r="P1026" t="n">
        <v/>
      </c>
      <c r="R1026" t="b">
        <v>1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</row>
    <row r="1027">
      <c r="A1027" t="inlineStr">
        <is>
          <t>ATF fuel</t>
        </is>
      </c>
      <c r="B1027" t="inlineStr">
        <is>
          <t>E92</t>
        </is>
      </c>
      <c r="C1027" t="n">
        <v>92</v>
      </c>
      <c r="D1027" t="n">
        <v>5</v>
      </c>
      <c r="E1027" t="inlineStr">
        <is>
          <t>Input</t>
        </is>
      </c>
      <c r="F1027" t="n">
        <v/>
      </c>
      <c r="G1027" t="n">
        <v>65705.52</v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11</v>
      </c>
      <c r="M1027" t="inlineStr">
        <is>
          <t>Values must be of type &lt;class 'str'&gt;</t>
        </is>
      </c>
      <c r="N1027" t="inlineStr">
        <is>
          <t>00000000</t>
        </is>
      </c>
      <c r="O1027" t="inlineStr">
        <is>
          <t>center</t>
        </is>
      </c>
      <c r="P1027" t="n">
        <v/>
      </c>
      <c r="R1027" t="b">
        <v>1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</row>
    <row r="1028">
      <c r="A1028" t="inlineStr">
        <is>
          <t>ATF fuel</t>
        </is>
      </c>
      <c r="B1028" t="inlineStr">
        <is>
          <t>F92</t>
        </is>
      </c>
      <c r="C1028" t="n">
        <v>92</v>
      </c>
      <c r="D1028" t="n">
        <v>6</v>
      </c>
      <c r="E1028" t="inlineStr">
        <is>
          <t>Output</t>
        </is>
      </c>
      <c r="F1028" t="inlineStr">
        <is>
          <t>'=AVERAGE(B92:E92)</t>
        </is>
      </c>
      <c r="G1028" t="n">
        <v>64490.41500000001</v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11</v>
      </c>
      <c r="M1028" t="inlineStr">
        <is>
          <t>Values must be of type &lt;class 'str'&gt;</t>
        </is>
      </c>
      <c r="N1028" t="inlineStr">
        <is>
          <t>00000000</t>
        </is>
      </c>
      <c r="O1028" t="n">
        <v/>
      </c>
      <c r="P1028" t="n">
        <v/>
      </c>
      <c r="R1028" t="b">
        <v>1</v>
      </c>
      <c r="S1028" t="inlineStr">
        <is>
          <t>G000284</t>
        </is>
      </c>
      <c r="T1028" t="inlineStr">
        <is>
          <t>Vertical</t>
        </is>
      </c>
      <c r="U1028" t="n">
        <v>130</v>
      </c>
      <c r="V1028" t="b">
        <v>1</v>
      </c>
      <c r="W1028" t="inlineStr">
        <is>
          <t>ATF fuel!F2:F131</t>
        </is>
      </c>
      <c r="X1028">
        <f>AVERAGE(R[0]C[-4]:R[0]C[-1])</f>
        <v/>
      </c>
    </row>
    <row r="1029">
      <c r="A1029" t="inlineStr">
        <is>
          <t>ATF fuel</t>
        </is>
      </c>
      <c r="B1029" t="inlineStr">
        <is>
          <t>G92</t>
        </is>
      </c>
      <c r="C1029" t="n">
        <v>92</v>
      </c>
      <c r="D1029" t="n">
        <v>7</v>
      </c>
      <c r="E1029" t="inlineStr">
        <is>
          <t>Calculation</t>
        </is>
      </c>
      <c r="F1029" t="inlineStr">
        <is>
          <t>'=G91-1</t>
        </is>
      </c>
      <c r="G1029" t="n">
        <v>41</v>
      </c>
      <c r="H1029" t="inlineStr"/>
      <c r="I1029" t="inlineStr">
        <is>
          <t>#,##0</t>
        </is>
      </c>
      <c r="J1029" t="b">
        <v>0</v>
      </c>
      <c r="K1029" t="b">
        <v>0</v>
      </c>
      <c r="L1029" t="n">
        <v>11</v>
      </c>
      <c r="M1029" t="inlineStr">
        <is>
          <t>Values must be of type &lt;class 'str'&gt;</t>
        </is>
      </c>
      <c r="N1029" t="inlineStr">
        <is>
          <t>00000000</t>
        </is>
      </c>
      <c r="O1029" t="n">
        <v/>
      </c>
      <c r="P1029" t="n">
        <v/>
      </c>
      <c r="R1029" t="b">
        <v>1</v>
      </c>
      <c r="S1029" t="inlineStr">
        <is>
          <t>G000286</t>
        </is>
      </c>
      <c r="T1029" t="inlineStr">
        <is>
          <t>Vertical</t>
        </is>
      </c>
      <c r="U1029" t="n">
        <v>129</v>
      </c>
      <c r="V1029" t="b">
        <v>1</v>
      </c>
      <c r="W1029" t="inlineStr">
        <is>
          <t>ATF fuel!G3:G131</t>
        </is>
      </c>
      <c r="X1029">
        <f>R[-1]C[0]-1</f>
        <v/>
      </c>
    </row>
    <row r="1030">
      <c r="A1030" t="inlineStr">
        <is>
          <t>ATF fuel</t>
        </is>
      </c>
      <c r="B1030" t="inlineStr">
        <is>
          <t>H92</t>
        </is>
      </c>
      <c r="C1030" t="n">
        <v>92</v>
      </c>
      <c r="D1030" t="n">
        <v>8</v>
      </c>
      <c r="E1030" t="inlineStr">
        <is>
          <t>Output</t>
        </is>
      </c>
      <c r="F1030" t="inlineStr">
        <is>
          <t>'=INDIRECT("A"&amp;G129)</t>
        </is>
      </c>
      <c r="G1030" t="inlineStr">
        <is>
          <t>October 01,2017</t>
        </is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11</v>
      </c>
      <c r="M1030" t="inlineStr">
        <is>
          <t>Values must be of type &lt;class 'str'&gt;</t>
        </is>
      </c>
      <c r="N1030" t="inlineStr">
        <is>
          <t>00000000</t>
        </is>
      </c>
      <c r="O1030" t="n">
        <v/>
      </c>
      <c r="P1030" t="n">
        <v/>
      </c>
      <c r="R1030" t="b">
        <v>1</v>
      </c>
      <c r="S1030" t="inlineStr">
        <is>
          <t>G000293</t>
        </is>
      </c>
      <c r="T1030" t="inlineStr">
        <is>
          <t>Vertical</t>
        </is>
      </c>
      <c r="U1030" t="n">
        <v>20</v>
      </c>
      <c r="V1030" t="b">
        <v>1</v>
      </c>
      <c r="W1030" t="inlineStr">
        <is>
          <t>ATF fuel!H75:H94</t>
        </is>
      </c>
      <c r="X1030">
        <f>INDIRECT("A"&amp;R[37]C[-1])</f>
        <v/>
      </c>
    </row>
    <row r="1031">
      <c r="A1031" t="inlineStr">
        <is>
          <t>ATF fuel</t>
        </is>
      </c>
      <c r="B1031" t="inlineStr">
        <is>
          <t>I92</t>
        </is>
      </c>
      <c r="C1031" t="n">
        <v>92</v>
      </c>
      <c r="D1031" t="n">
        <v>9</v>
      </c>
      <c r="E1031" t="inlineStr">
        <is>
          <t>Output</t>
        </is>
      </c>
      <c r="F1031" t="inlineStr">
        <is>
          <t>'=INDIRECT("F"&amp;G129)</t>
        </is>
      </c>
      <c r="G1031" t="n">
        <v>54617.5</v>
      </c>
      <c r="H1031" t="inlineStr"/>
      <c r="I1031" t="inlineStr">
        <is>
          <t xml:space="preserve">_ * #,##0_ ;_ * \-#,##0_ ;_ * "-"??_ ;_ @_ </t>
        </is>
      </c>
      <c r="J1031" t="b">
        <v>0</v>
      </c>
      <c r="K1031" t="b">
        <v>0</v>
      </c>
      <c r="L1031" t="n">
        <v>11</v>
      </c>
      <c r="M1031" t="inlineStr">
        <is>
          <t>Values must be of type &lt;class 'str'&gt;</t>
        </is>
      </c>
      <c r="N1031" t="inlineStr">
        <is>
          <t>00000000</t>
        </is>
      </c>
      <c r="O1031" t="n">
        <v/>
      </c>
      <c r="P1031" t="n">
        <v/>
      </c>
      <c r="R1031" t="b">
        <v>1</v>
      </c>
      <c r="S1031" t="inlineStr">
        <is>
          <t>G000294</t>
        </is>
      </c>
      <c r="T1031" t="inlineStr">
        <is>
          <t>Vertical</t>
        </is>
      </c>
      <c r="U1031" t="n">
        <v>20</v>
      </c>
      <c r="V1031" t="b">
        <v>1</v>
      </c>
      <c r="W1031" t="inlineStr">
        <is>
          <t>ATF fuel!I75:I94</t>
        </is>
      </c>
      <c r="X1031">
        <f>INDIRECT("F"&amp;R[37]C[-2])</f>
        <v/>
      </c>
    </row>
    <row r="1032">
      <c r="A1032" t="inlineStr">
        <is>
          <t>ATF fuel</t>
        </is>
      </c>
      <c r="B1032" t="inlineStr">
        <is>
          <t>J92</t>
        </is>
      </c>
      <c r="C1032" t="n">
        <v>92</v>
      </c>
      <c r="D1032" t="n">
        <v>10</v>
      </c>
      <c r="E1032" t="inlineStr">
        <is>
          <t>Input</t>
        </is>
      </c>
      <c r="F1032" t="n">
        <v/>
      </c>
      <c r="G1032" t="n">
        <v>58.8</v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11</v>
      </c>
      <c r="M1032" t="inlineStr">
        <is>
          <t>Values must be of type &lt;class 'str'&gt;</t>
        </is>
      </c>
      <c r="N1032" t="inlineStr">
        <is>
          <t>00000000</t>
        </is>
      </c>
      <c r="O1032" t="n">
        <v/>
      </c>
      <c r="P1032" t="n">
        <v/>
      </c>
      <c r="R1032" t="b">
        <v>1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</row>
    <row r="1033">
      <c r="A1033" t="inlineStr">
        <is>
          <t>ATF fuel</t>
        </is>
      </c>
      <c r="B1033" t="inlineStr">
        <is>
          <t>K92</t>
        </is>
      </c>
      <c r="C1033" t="n">
        <v>92</v>
      </c>
      <c r="D1033" t="n">
        <v>11</v>
      </c>
      <c r="E1033" t="inlineStr">
        <is>
          <t>Input</t>
        </is>
      </c>
      <c r="F1033" t="n">
        <v/>
      </c>
      <c r="G1033" t="n">
        <v>50.59</v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11</v>
      </c>
      <c r="M1033" t="inlineStr">
        <is>
          <t>Values must be of type &lt;class 'str'&gt;</t>
        </is>
      </c>
      <c r="N1033" t="inlineStr">
        <is>
          <t>00000000</t>
        </is>
      </c>
      <c r="O1033" t="n">
        <v/>
      </c>
      <c r="P1033" t="n">
        <v/>
      </c>
      <c r="R1033" t="b">
        <v>1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</row>
    <row r="1034">
      <c r="A1034" t="inlineStr">
        <is>
          <t>ATF fuel</t>
        </is>
      </c>
      <c r="B1034" t="inlineStr">
        <is>
          <t>A93</t>
        </is>
      </c>
      <c r="C1034" t="n">
        <v>93</v>
      </c>
      <c r="D1034" t="n">
        <v>1</v>
      </c>
      <c r="E1034" t="inlineStr">
        <is>
          <t>Input</t>
        </is>
      </c>
      <c r="F1034" t="n">
        <v/>
      </c>
      <c r="G1034" t="inlineStr">
        <is>
          <t>October 16, 2011</t>
        </is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11</v>
      </c>
      <c r="M1034" t="inlineStr">
        <is>
          <t>Values must be of type &lt;class 'str'&gt;</t>
        </is>
      </c>
      <c r="N1034" t="inlineStr">
        <is>
          <t>00000000</t>
        </is>
      </c>
      <c r="O1034" t="n">
        <v/>
      </c>
      <c r="P1034" t="n">
        <v/>
      </c>
      <c r="R1034" t="b">
        <v>1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</row>
    <row r="1035">
      <c r="A1035" t="inlineStr">
        <is>
          <t>ATF fuel</t>
        </is>
      </c>
      <c r="B1035" t="inlineStr">
        <is>
          <t>B93</t>
        </is>
      </c>
      <c r="C1035" t="n">
        <v>93</v>
      </c>
      <c r="D1035" t="n">
        <v>2</v>
      </c>
      <c r="E1035" t="inlineStr">
        <is>
          <t>Input</t>
        </is>
      </c>
      <c r="F1035" t="n">
        <v/>
      </c>
      <c r="G1035" t="n">
        <v>58270.81</v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11</v>
      </c>
      <c r="M1035" t="inlineStr">
        <is>
          <t>Values must be of type &lt;class 'str'&gt;</t>
        </is>
      </c>
      <c r="N1035" t="inlineStr">
        <is>
          <t>00000000</t>
        </is>
      </c>
      <c r="O1035" t="inlineStr">
        <is>
          <t>center</t>
        </is>
      </c>
      <c r="P1035" t="n">
        <v/>
      </c>
      <c r="R1035" t="b">
        <v>1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</row>
    <row r="1036">
      <c r="A1036" t="inlineStr">
        <is>
          <t>ATF fuel</t>
        </is>
      </c>
      <c r="B1036" t="inlineStr">
        <is>
          <t>C93</t>
        </is>
      </c>
      <c r="C1036" t="n">
        <v>93</v>
      </c>
      <c r="D1036" t="n">
        <v>3</v>
      </c>
      <c r="E1036" t="inlineStr">
        <is>
          <t>Input</t>
        </is>
      </c>
      <c r="F1036" t="n">
        <v/>
      </c>
      <c r="G1036" t="n">
        <v>66207.60000000001</v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11</v>
      </c>
      <c r="M1036" t="inlineStr">
        <is>
          <t>Values must be of type &lt;class 'str'&gt;</t>
        </is>
      </c>
      <c r="N1036" t="inlineStr">
        <is>
          <t>00000000</t>
        </is>
      </c>
      <c r="O1036" t="inlineStr">
        <is>
          <t>center</t>
        </is>
      </c>
      <c r="P1036" t="n">
        <v/>
      </c>
      <c r="R1036" t="b">
        <v>1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</row>
    <row r="1037">
      <c r="A1037" t="inlineStr">
        <is>
          <t>ATF fuel</t>
        </is>
      </c>
      <c r="B1037" t="inlineStr">
        <is>
          <t>D93</t>
        </is>
      </c>
      <c r="C1037" t="n">
        <v>93</v>
      </c>
      <c r="D1037" t="n">
        <v>4</v>
      </c>
      <c r="E1037" t="inlineStr">
        <is>
          <t>Input</t>
        </is>
      </c>
      <c r="F1037" t="n">
        <v/>
      </c>
      <c r="G1037" t="n">
        <v>59020.57</v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11</v>
      </c>
      <c r="M1037" t="inlineStr">
        <is>
          <t>Values must be of type &lt;class 'str'&gt;</t>
        </is>
      </c>
      <c r="N1037" t="inlineStr">
        <is>
          <t>00000000</t>
        </is>
      </c>
      <c r="O1037" t="inlineStr">
        <is>
          <t>center</t>
        </is>
      </c>
      <c r="P1037" t="n">
        <v/>
      </c>
      <c r="R1037" t="b">
        <v>1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</row>
    <row r="1038">
      <c r="A1038" t="inlineStr">
        <is>
          <t>ATF fuel</t>
        </is>
      </c>
      <c r="B1038" t="inlineStr">
        <is>
          <t>E93</t>
        </is>
      </c>
      <c r="C1038" t="n">
        <v>93</v>
      </c>
      <c r="D1038" t="n">
        <v>5</v>
      </c>
      <c r="E1038" t="inlineStr">
        <is>
          <t>Input</t>
        </is>
      </c>
      <c r="F1038" t="n">
        <v/>
      </c>
      <c r="G1038" t="n">
        <v>62646.67</v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11</v>
      </c>
      <c r="M1038" t="inlineStr">
        <is>
          <t>Values must be of type &lt;class 'str'&gt;</t>
        </is>
      </c>
      <c r="N1038" t="inlineStr">
        <is>
          <t>00000000</t>
        </is>
      </c>
      <c r="O1038" t="inlineStr">
        <is>
          <t>center</t>
        </is>
      </c>
      <c r="P1038" t="n">
        <v/>
      </c>
      <c r="R1038" t="b">
        <v>1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</row>
    <row r="1039">
      <c r="A1039" t="inlineStr">
        <is>
          <t>ATF fuel</t>
        </is>
      </c>
      <c r="B1039" t="inlineStr">
        <is>
          <t>F93</t>
        </is>
      </c>
      <c r="C1039" t="n">
        <v>93</v>
      </c>
      <c r="D1039" t="n">
        <v>6</v>
      </c>
      <c r="E1039" t="inlineStr">
        <is>
          <t>Output</t>
        </is>
      </c>
      <c r="F1039" t="inlineStr">
        <is>
          <t>'=AVERAGE(B93:E93)</t>
        </is>
      </c>
      <c r="G1039" t="n">
        <v>61536.41250000001</v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11</v>
      </c>
      <c r="M1039" t="inlineStr">
        <is>
          <t>Values must be of type &lt;class 'str'&gt;</t>
        </is>
      </c>
      <c r="N1039" t="inlineStr">
        <is>
          <t>00000000</t>
        </is>
      </c>
      <c r="O1039" t="n">
        <v/>
      </c>
      <c r="P1039" t="n">
        <v/>
      </c>
      <c r="R1039" t="b">
        <v>1</v>
      </c>
      <c r="S1039" t="inlineStr">
        <is>
          <t>G000284</t>
        </is>
      </c>
      <c r="T1039" t="inlineStr">
        <is>
          <t>Vertical</t>
        </is>
      </c>
      <c r="U1039" t="n">
        <v>130</v>
      </c>
      <c r="V1039" t="b">
        <v>1</v>
      </c>
      <c r="W1039" t="inlineStr">
        <is>
          <t>ATF fuel!F2:F131</t>
        </is>
      </c>
      <c r="X1039">
        <f>AVERAGE(R[0]C[-4]:R[0]C[-1])</f>
        <v/>
      </c>
    </row>
    <row r="1040">
      <c r="A1040" t="inlineStr">
        <is>
          <t>ATF fuel</t>
        </is>
      </c>
      <c r="B1040" t="inlineStr">
        <is>
          <t>G93</t>
        </is>
      </c>
      <c r="C1040" t="n">
        <v>93</v>
      </c>
      <c r="D1040" t="n">
        <v>7</v>
      </c>
      <c r="E1040" t="inlineStr">
        <is>
          <t>Calculation</t>
        </is>
      </c>
      <c r="F1040" t="inlineStr">
        <is>
          <t>'=G92-1</t>
        </is>
      </c>
      <c r="G1040" t="n">
        <v>40</v>
      </c>
      <c r="H1040" t="inlineStr"/>
      <c r="I1040" t="inlineStr">
        <is>
          <t>#,##0</t>
        </is>
      </c>
      <c r="J1040" t="b">
        <v>0</v>
      </c>
      <c r="K1040" t="b">
        <v>0</v>
      </c>
      <c r="L1040" t="n">
        <v>11</v>
      </c>
      <c r="M1040" t="inlineStr">
        <is>
          <t>Values must be of type &lt;class 'str'&gt;</t>
        </is>
      </c>
      <c r="N1040" t="inlineStr">
        <is>
          <t>00000000</t>
        </is>
      </c>
      <c r="O1040" t="n">
        <v/>
      </c>
      <c r="P1040" t="n">
        <v/>
      </c>
      <c r="R1040" t="b">
        <v>1</v>
      </c>
      <c r="S1040" t="inlineStr">
        <is>
          <t>G000286</t>
        </is>
      </c>
      <c r="T1040" t="inlineStr">
        <is>
          <t>Vertical</t>
        </is>
      </c>
      <c r="U1040" t="n">
        <v>129</v>
      </c>
      <c r="V1040" t="b">
        <v>1</v>
      </c>
      <c r="W1040" t="inlineStr">
        <is>
          <t>ATF fuel!G3:G131</t>
        </is>
      </c>
      <c r="X1040">
        <f>R[-1]C[0]-1</f>
        <v/>
      </c>
    </row>
    <row r="1041">
      <c r="A1041" t="inlineStr">
        <is>
          <t>ATF fuel</t>
        </is>
      </c>
      <c r="B1041" t="inlineStr">
        <is>
          <t>H93</t>
        </is>
      </c>
      <c r="C1041" t="n">
        <v>93</v>
      </c>
      <c r="D1041" t="n">
        <v>8</v>
      </c>
      <c r="E1041" t="inlineStr">
        <is>
          <t>Output</t>
        </is>
      </c>
      <c r="F1041" t="inlineStr">
        <is>
          <t>'=INDIRECT("A"&amp;G130)</t>
        </is>
      </c>
      <c r="G1041" t="inlineStr">
        <is>
          <t>November 01,2017</t>
        </is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11</v>
      </c>
      <c r="M1041" t="inlineStr">
        <is>
          <t>Values must be of type &lt;class 'str'&gt;</t>
        </is>
      </c>
      <c r="N1041" t="inlineStr">
        <is>
          <t>00000000</t>
        </is>
      </c>
      <c r="O1041" t="n">
        <v/>
      </c>
      <c r="P1041" t="n">
        <v/>
      </c>
      <c r="R1041" t="b">
        <v>1</v>
      </c>
      <c r="S1041" t="inlineStr">
        <is>
          <t>G000293</t>
        </is>
      </c>
      <c r="T1041" t="inlineStr">
        <is>
          <t>Vertical</t>
        </is>
      </c>
      <c r="U1041" t="n">
        <v>20</v>
      </c>
      <c r="V1041" t="b">
        <v>1</v>
      </c>
      <c r="W1041" t="inlineStr">
        <is>
          <t>ATF fuel!H75:H94</t>
        </is>
      </c>
      <c r="X1041">
        <f>INDIRECT("A"&amp;R[37]C[-1])</f>
        <v/>
      </c>
    </row>
    <row r="1042">
      <c r="A1042" t="inlineStr">
        <is>
          <t>ATF fuel</t>
        </is>
      </c>
      <c r="B1042" t="inlineStr">
        <is>
          <t>I93</t>
        </is>
      </c>
      <c r="C1042" t="n">
        <v>93</v>
      </c>
      <c r="D1042" t="n">
        <v>9</v>
      </c>
      <c r="E1042" t="inlineStr">
        <is>
          <t>Output</t>
        </is>
      </c>
      <c r="F1042" t="inlineStr">
        <is>
          <t>'=INDIRECT("F"&amp;G130)</t>
        </is>
      </c>
      <c r="G1042" t="n">
        <v>55746.25</v>
      </c>
      <c r="H1042" t="inlineStr"/>
      <c r="I1042" t="inlineStr">
        <is>
          <t xml:space="preserve">_ * #,##0_ ;_ * \-#,##0_ ;_ * "-"??_ ;_ @_ </t>
        </is>
      </c>
      <c r="J1042" t="b">
        <v>0</v>
      </c>
      <c r="K1042" t="b">
        <v>0</v>
      </c>
      <c r="L1042" t="n">
        <v>11</v>
      </c>
      <c r="M1042" t="inlineStr">
        <is>
          <t>Values must be of type &lt;class 'str'&gt;</t>
        </is>
      </c>
      <c r="N1042" t="inlineStr">
        <is>
          <t>00000000</t>
        </is>
      </c>
      <c r="O1042" t="n">
        <v/>
      </c>
      <c r="P1042" t="n">
        <v/>
      </c>
      <c r="R1042" t="b">
        <v>1</v>
      </c>
      <c r="S1042" t="inlineStr">
        <is>
          <t>G000294</t>
        </is>
      </c>
      <c r="T1042" t="inlineStr">
        <is>
          <t>Vertical</t>
        </is>
      </c>
      <c r="U1042" t="n">
        <v>20</v>
      </c>
      <c r="V1042" t="b">
        <v>1</v>
      </c>
      <c r="W1042" t="inlineStr">
        <is>
          <t>ATF fuel!I75:I94</t>
        </is>
      </c>
      <c r="X1042">
        <f>INDIRECT("F"&amp;R[37]C[-2])</f>
        <v/>
      </c>
    </row>
    <row r="1043">
      <c r="A1043" t="inlineStr">
        <is>
          <t>ATF fuel</t>
        </is>
      </c>
      <c r="B1043" t="inlineStr">
        <is>
          <t>J93</t>
        </is>
      </c>
      <c r="C1043" t="n">
        <v>93</v>
      </c>
      <c r="D1043" t="n">
        <v>10</v>
      </c>
      <c r="E1043" t="inlineStr">
        <is>
          <t>Input</t>
        </is>
      </c>
      <c r="F1043" t="n">
        <v/>
      </c>
      <c r="G1043" t="n">
        <v>60.65</v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11</v>
      </c>
      <c r="M1043" t="inlineStr">
        <is>
          <t>Values must be of type &lt;class 'str'&gt;</t>
        </is>
      </c>
      <c r="N1043" t="inlineStr">
        <is>
          <t>00000000</t>
        </is>
      </c>
      <c r="O1043" t="n">
        <v/>
      </c>
      <c r="P1043" t="n">
        <v/>
      </c>
      <c r="R1043" t="b">
        <v>1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</row>
    <row r="1044">
      <c r="A1044" t="inlineStr">
        <is>
          <t>ATF fuel</t>
        </is>
      </c>
      <c r="B1044" t="inlineStr">
        <is>
          <t>K93</t>
        </is>
      </c>
      <c r="C1044" t="n">
        <v>93</v>
      </c>
      <c r="D1044" t="n">
        <v>11</v>
      </c>
      <c r="E1044" t="inlineStr">
        <is>
          <t>Input</t>
        </is>
      </c>
      <c r="F1044" t="n">
        <v/>
      </c>
      <c r="G1044" t="n">
        <v>54.32</v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11</v>
      </c>
      <c r="M1044" t="inlineStr">
        <is>
          <t>Values must be of type &lt;class 'str'&gt;</t>
        </is>
      </c>
      <c r="N1044" t="inlineStr">
        <is>
          <t>00000000</t>
        </is>
      </c>
      <c r="O1044" t="n">
        <v/>
      </c>
      <c r="P1044" t="n">
        <v/>
      </c>
      <c r="R1044" t="b">
        <v>1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</row>
    <row r="1045">
      <c r="A1045" t="inlineStr">
        <is>
          <t>ATF fuel</t>
        </is>
      </c>
      <c r="B1045" t="inlineStr">
        <is>
          <t>A94</t>
        </is>
      </c>
      <c r="C1045" t="n">
        <v>94</v>
      </c>
      <c r="D1045" t="n">
        <v>1</v>
      </c>
      <c r="E1045" t="inlineStr">
        <is>
          <t>Input</t>
        </is>
      </c>
      <c r="F1045" t="n">
        <v/>
      </c>
      <c r="G1045" t="inlineStr">
        <is>
          <t>October 15, 2011</t>
        </is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11</v>
      </c>
      <c r="M1045" t="inlineStr">
        <is>
          <t>Values must be of type &lt;class 'str'&gt;</t>
        </is>
      </c>
      <c r="N1045" t="inlineStr">
        <is>
          <t>00000000</t>
        </is>
      </c>
      <c r="O1045" t="n">
        <v/>
      </c>
      <c r="P1045" t="n">
        <v/>
      </c>
      <c r="R1045" t="b">
        <v>1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</row>
    <row r="1046">
      <c r="A1046" t="inlineStr">
        <is>
          <t>ATF fuel</t>
        </is>
      </c>
      <c r="B1046" t="inlineStr">
        <is>
          <t>B94</t>
        </is>
      </c>
      <c r="C1046" t="n">
        <v>94</v>
      </c>
      <c r="D1046" t="n">
        <v>2</v>
      </c>
      <c r="E1046" t="inlineStr">
        <is>
          <t>Input</t>
        </is>
      </c>
      <c r="F1046" t="n">
        <v/>
      </c>
      <c r="G1046" t="n">
        <v>58595.53</v>
      </c>
      <c r="H1046" t="inlineStr"/>
      <c r="I1046" t="inlineStr">
        <is>
          <t>0.00</t>
        </is>
      </c>
      <c r="J1046" t="b">
        <v>0</v>
      </c>
      <c r="K1046" t="b">
        <v>0</v>
      </c>
      <c r="L1046" t="n">
        <v>11</v>
      </c>
      <c r="M1046" t="inlineStr">
        <is>
          <t>Values must be of type &lt;class 'str'&gt;</t>
        </is>
      </c>
      <c r="N1046" t="inlineStr">
        <is>
          <t>00000000</t>
        </is>
      </c>
      <c r="O1046" t="inlineStr">
        <is>
          <t>center</t>
        </is>
      </c>
      <c r="P1046" t="inlineStr">
        <is>
          <t>top</t>
        </is>
      </c>
      <c r="R1046" t="b">
        <v>1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</row>
    <row r="1047">
      <c r="A1047" t="inlineStr">
        <is>
          <t>ATF fuel</t>
        </is>
      </c>
      <c r="B1047" t="inlineStr">
        <is>
          <t>C94</t>
        </is>
      </c>
      <c r="C1047" t="n">
        <v>94</v>
      </c>
      <c r="D1047" t="n">
        <v>3</v>
      </c>
      <c r="E1047" t="inlineStr">
        <is>
          <t>Input</t>
        </is>
      </c>
      <c r="F1047" t="n">
        <v/>
      </c>
      <c r="G1047" t="n">
        <v>66586</v>
      </c>
      <c r="H1047" t="inlineStr"/>
      <c r="I1047" t="inlineStr">
        <is>
          <t>0.00</t>
        </is>
      </c>
      <c r="J1047" t="b">
        <v>0</v>
      </c>
      <c r="K1047" t="b">
        <v>0</v>
      </c>
      <c r="L1047" t="n">
        <v>11</v>
      </c>
      <c r="M1047" t="inlineStr">
        <is>
          <t>Values must be of type &lt;class 'str'&gt;</t>
        </is>
      </c>
      <c r="N1047" t="inlineStr">
        <is>
          <t>00000000</t>
        </is>
      </c>
      <c r="O1047" t="inlineStr">
        <is>
          <t>center</t>
        </is>
      </c>
      <c r="P1047" t="inlineStr">
        <is>
          <t>top</t>
        </is>
      </c>
      <c r="R1047" t="b">
        <v>1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</row>
    <row r="1048">
      <c r="A1048" t="inlineStr">
        <is>
          <t>ATF fuel</t>
        </is>
      </c>
      <c r="B1048" t="inlineStr">
        <is>
          <t>D94</t>
        </is>
      </c>
      <c r="C1048" t="n">
        <v>94</v>
      </c>
      <c r="D1048" t="n">
        <v>4</v>
      </c>
      <c r="E1048" t="inlineStr">
        <is>
          <t>Input</t>
        </is>
      </c>
      <c r="F1048" t="n">
        <v/>
      </c>
      <c r="G1048" t="n">
        <v>59359</v>
      </c>
      <c r="H1048" t="inlineStr"/>
      <c r="I1048" t="inlineStr">
        <is>
          <t>0.00</t>
        </is>
      </c>
      <c r="J1048" t="b">
        <v>0</v>
      </c>
      <c r="K1048" t="b">
        <v>0</v>
      </c>
      <c r="L1048" t="n">
        <v>11</v>
      </c>
      <c r="M1048" t="inlineStr">
        <is>
          <t>Values must be of type &lt;class 'str'&gt;</t>
        </is>
      </c>
      <c r="N1048" t="inlineStr">
        <is>
          <t>00000000</t>
        </is>
      </c>
      <c r="O1048" t="inlineStr">
        <is>
          <t>center</t>
        </is>
      </c>
      <c r="P1048" t="inlineStr">
        <is>
          <t>top</t>
        </is>
      </c>
      <c r="R1048" t="b">
        <v>1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</row>
    <row r="1049">
      <c r="A1049" t="inlineStr">
        <is>
          <t>ATF fuel</t>
        </is>
      </c>
      <c r="B1049" t="inlineStr">
        <is>
          <t>E94</t>
        </is>
      </c>
      <c r="C1049" t="n">
        <v>94</v>
      </c>
      <c r="D1049" t="n">
        <v>5</v>
      </c>
      <c r="E1049" t="inlineStr">
        <is>
          <t>Input</t>
        </is>
      </c>
      <c r="F1049" t="n">
        <v/>
      </c>
      <c r="G1049" t="n">
        <v>63024</v>
      </c>
      <c r="H1049" t="inlineStr"/>
      <c r="I1049" t="inlineStr">
        <is>
          <t>0.00</t>
        </is>
      </c>
      <c r="J1049" t="b">
        <v>0</v>
      </c>
      <c r="K1049" t="b">
        <v>0</v>
      </c>
      <c r="L1049" t="n">
        <v>11</v>
      </c>
      <c r="M1049" t="inlineStr">
        <is>
          <t>Values must be of type &lt;class 'str'&gt;</t>
        </is>
      </c>
      <c r="N1049" t="inlineStr">
        <is>
          <t>00000000</t>
        </is>
      </c>
      <c r="O1049" t="inlineStr">
        <is>
          <t>center</t>
        </is>
      </c>
      <c r="P1049" t="inlineStr">
        <is>
          <t>top</t>
        </is>
      </c>
      <c r="R1049" t="b">
        <v>1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</row>
    <row r="1050">
      <c r="A1050" t="inlineStr">
        <is>
          <t>ATF fuel</t>
        </is>
      </c>
      <c r="B1050" t="inlineStr">
        <is>
          <t>F94</t>
        </is>
      </c>
      <c r="C1050" t="n">
        <v>94</v>
      </c>
      <c r="D1050" t="n">
        <v>6</v>
      </c>
      <c r="E1050" t="inlineStr">
        <is>
          <t>Output</t>
        </is>
      </c>
      <c r="F1050" t="inlineStr">
        <is>
          <t>'=AVERAGE(B94:E94)</t>
        </is>
      </c>
      <c r="G1050" t="n">
        <v>61891.1325</v>
      </c>
      <c r="H1050" t="inlineStr"/>
      <c r="I1050" t="inlineStr">
        <is>
          <t>0.00</t>
        </is>
      </c>
      <c r="J1050" t="b">
        <v>0</v>
      </c>
      <c r="K1050" t="b">
        <v>0</v>
      </c>
      <c r="L1050" t="n">
        <v>11</v>
      </c>
      <c r="M1050" t="inlineStr">
        <is>
          <t>Values must be of type &lt;class 'str'&gt;</t>
        </is>
      </c>
      <c r="N1050" t="inlineStr">
        <is>
          <t>00000000</t>
        </is>
      </c>
      <c r="O1050" t="inlineStr">
        <is>
          <t>center</t>
        </is>
      </c>
      <c r="P1050" t="inlineStr">
        <is>
          <t>top</t>
        </is>
      </c>
      <c r="R1050" t="b">
        <v>1</v>
      </c>
      <c r="S1050" t="inlineStr">
        <is>
          <t>G000284</t>
        </is>
      </c>
      <c r="T1050" t="inlineStr">
        <is>
          <t>Vertical</t>
        </is>
      </c>
      <c r="U1050" t="n">
        <v>130</v>
      </c>
      <c r="V1050" t="b">
        <v>1</v>
      </c>
      <c r="W1050" t="inlineStr">
        <is>
          <t>ATF fuel!F2:F131</t>
        </is>
      </c>
      <c r="X1050">
        <f>AVERAGE(R[0]C[-4]:R[0]C[-1])</f>
        <v/>
      </c>
    </row>
    <row r="1051">
      <c r="A1051" t="inlineStr">
        <is>
          <t>ATF fuel</t>
        </is>
      </c>
      <c r="B1051" t="inlineStr">
        <is>
          <t>G94</t>
        </is>
      </c>
      <c r="C1051" t="n">
        <v>94</v>
      </c>
      <c r="D1051" t="n">
        <v>7</v>
      </c>
      <c r="E1051" t="inlineStr">
        <is>
          <t>Calculation</t>
        </is>
      </c>
      <c r="F1051" t="inlineStr">
        <is>
          <t>'=G93-1</t>
        </is>
      </c>
      <c r="G1051" t="n">
        <v>39</v>
      </c>
      <c r="H1051" t="inlineStr"/>
      <c r="I1051" t="inlineStr">
        <is>
          <t>#,##0</t>
        </is>
      </c>
      <c r="J1051" t="b">
        <v>0</v>
      </c>
      <c r="K1051" t="b">
        <v>0</v>
      </c>
      <c r="L1051" t="n">
        <v>11</v>
      </c>
      <c r="M1051" t="inlineStr">
        <is>
          <t>Values must be of type &lt;class 'str'&gt;</t>
        </is>
      </c>
      <c r="N1051" t="inlineStr">
        <is>
          <t>00000000</t>
        </is>
      </c>
      <c r="O1051" t="n">
        <v/>
      </c>
      <c r="P1051" t="n">
        <v/>
      </c>
      <c r="R1051" t="b">
        <v>1</v>
      </c>
      <c r="S1051" t="inlineStr">
        <is>
          <t>G000286</t>
        </is>
      </c>
      <c r="T1051" t="inlineStr">
        <is>
          <t>Vertical</t>
        </is>
      </c>
      <c r="U1051" t="n">
        <v>129</v>
      </c>
      <c r="V1051" t="b">
        <v>1</v>
      </c>
      <c r="W1051" t="inlineStr">
        <is>
          <t>ATF fuel!G3:G131</t>
        </is>
      </c>
      <c r="X1051">
        <f>R[-1]C[0]-1</f>
        <v/>
      </c>
    </row>
    <row r="1052">
      <c r="A1052" t="inlineStr">
        <is>
          <t>ATF fuel</t>
        </is>
      </c>
      <c r="B1052" t="inlineStr">
        <is>
          <t>H94</t>
        </is>
      </c>
      <c r="C1052" t="n">
        <v>94</v>
      </c>
      <c r="D1052" t="n">
        <v>8</v>
      </c>
      <c r="E1052" t="inlineStr">
        <is>
          <t>Output</t>
        </is>
      </c>
      <c r="F1052" t="inlineStr">
        <is>
          <t>'=INDIRECT("A"&amp;G131)</t>
        </is>
      </c>
      <c r="G1052" t="inlineStr">
        <is>
          <t>December 01,2017</t>
        </is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11</v>
      </c>
      <c r="M1052" t="inlineStr">
        <is>
          <t>Values must be of type &lt;class 'str'&gt;</t>
        </is>
      </c>
      <c r="N1052" t="inlineStr">
        <is>
          <t>00000000</t>
        </is>
      </c>
      <c r="O1052" t="n">
        <v/>
      </c>
      <c r="P1052" t="n">
        <v/>
      </c>
      <c r="R1052" t="b">
        <v>1</v>
      </c>
      <c r="S1052" t="inlineStr">
        <is>
          <t>G000293</t>
        </is>
      </c>
      <c r="T1052" t="inlineStr">
        <is>
          <t>Vertical</t>
        </is>
      </c>
      <c r="U1052" t="n">
        <v>20</v>
      </c>
      <c r="V1052" t="b">
        <v>1</v>
      </c>
      <c r="W1052" t="inlineStr">
        <is>
          <t>ATF fuel!H75:H94</t>
        </is>
      </c>
      <c r="X1052">
        <f>INDIRECT("A"&amp;R[37]C[-1])</f>
        <v/>
      </c>
    </row>
    <row r="1053">
      <c r="A1053" t="inlineStr">
        <is>
          <t>ATF fuel</t>
        </is>
      </c>
      <c r="B1053" t="inlineStr">
        <is>
          <t>I94</t>
        </is>
      </c>
      <c r="C1053" t="n">
        <v>94</v>
      </c>
      <c r="D1053" t="n">
        <v>9</v>
      </c>
      <c r="E1053" t="inlineStr">
        <is>
          <t>Output</t>
        </is>
      </c>
      <c r="F1053" t="inlineStr">
        <is>
          <t>'=INDIRECT("F"&amp;G131)</t>
        </is>
      </c>
      <c r="G1053" t="n">
        <v>58985.5</v>
      </c>
      <c r="H1053" t="inlineStr"/>
      <c r="I1053" t="inlineStr">
        <is>
          <t xml:space="preserve">_ * #,##0_ ;_ * \-#,##0_ ;_ * "-"??_ ;_ @_ </t>
        </is>
      </c>
      <c r="J1053" t="b">
        <v>0</v>
      </c>
      <c r="K1053" t="b">
        <v>0</v>
      </c>
      <c r="L1053" t="n">
        <v>11</v>
      </c>
      <c r="M1053" t="inlineStr">
        <is>
          <t>Values must be of type &lt;class 'str'&gt;</t>
        </is>
      </c>
      <c r="N1053" t="inlineStr">
        <is>
          <t>00000000</t>
        </is>
      </c>
      <c r="O1053" t="n">
        <v/>
      </c>
      <c r="P1053" t="n">
        <v/>
      </c>
      <c r="R1053" t="b">
        <v>1</v>
      </c>
      <c r="S1053" t="inlineStr">
        <is>
          <t>G000294</t>
        </is>
      </c>
      <c r="T1053" t="inlineStr">
        <is>
          <t>Vertical</t>
        </is>
      </c>
      <c r="U1053" t="n">
        <v>20</v>
      </c>
      <c r="V1053" t="b">
        <v>1</v>
      </c>
      <c r="W1053" t="inlineStr">
        <is>
          <t>ATF fuel!I75:I94</t>
        </is>
      </c>
      <c r="X1053">
        <f>INDIRECT("F"&amp;R[37]C[-2])</f>
        <v/>
      </c>
    </row>
    <row r="1054">
      <c r="A1054" t="inlineStr">
        <is>
          <t>ATF fuel</t>
        </is>
      </c>
      <c r="B1054" t="inlineStr">
        <is>
          <t>J94</t>
        </is>
      </c>
      <c r="C1054" t="n">
        <v>94</v>
      </c>
      <c r="D1054" t="n">
        <v>10</v>
      </c>
      <c r="E1054" t="inlineStr">
        <is>
          <t>Input</t>
        </is>
      </c>
      <c r="F1054" t="n">
        <v/>
      </c>
      <c r="G1054" t="n">
        <v>63.56</v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11</v>
      </c>
      <c r="M1054" t="inlineStr">
        <is>
          <t>Values must be of type &lt;class 'str'&gt;</t>
        </is>
      </c>
      <c r="N1054" t="inlineStr">
        <is>
          <t>00000000</t>
        </is>
      </c>
      <c r="O1054" t="n">
        <v/>
      </c>
      <c r="P1054" t="n">
        <v/>
      </c>
      <c r="R1054" t="b">
        <v>1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</row>
    <row r="1055">
      <c r="A1055" t="inlineStr">
        <is>
          <t>ATF fuel</t>
        </is>
      </c>
      <c r="B1055" t="inlineStr">
        <is>
          <t>K94</t>
        </is>
      </c>
      <c r="C1055" t="n">
        <v>94</v>
      </c>
      <c r="D1055" t="n">
        <v>11</v>
      </c>
      <c r="E1055" t="inlineStr">
        <is>
          <t>Input</t>
        </is>
      </c>
      <c r="F1055" t="n">
        <v/>
      </c>
      <c r="G1055" t="n">
        <v>58.35</v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11</v>
      </c>
      <c r="M1055" t="inlineStr">
        <is>
          <t>Values must be of type &lt;class 'str'&gt;</t>
        </is>
      </c>
      <c r="N1055" t="inlineStr">
        <is>
          <t>00000000</t>
        </is>
      </c>
      <c r="O1055" t="n">
        <v/>
      </c>
      <c r="P1055" t="n">
        <v/>
      </c>
      <c r="R1055" t="b">
        <v>1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</row>
    <row r="1056">
      <c r="A1056" t="inlineStr">
        <is>
          <t>ATF fuel</t>
        </is>
      </c>
      <c r="B1056" t="inlineStr">
        <is>
          <t>A95</t>
        </is>
      </c>
      <c r="C1056" t="n">
        <v>95</v>
      </c>
      <c r="D1056" t="n">
        <v>1</v>
      </c>
      <c r="E1056" t="inlineStr">
        <is>
          <t>Input</t>
        </is>
      </c>
      <c r="F1056" t="n">
        <v/>
      </c>
      <c r="G1056" t="inlineStr">
        <is>
          <t>October 01, 2011</t>
        </is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11</v>
      </c>
      <c r="M1056" t="inlineStr">
        <is>
          <t>Values must be of type &lt;class 'str'&gt;</t>
        </is>
      </c>
      <c r="N1056" t="inlineStr">
        <is>
          <t>00000000</t>
        </is>
      </c>
      <c r="O1056" t="n">
        <v/>
      </c>
      <c r="P1056" t="n">
        <v/>
      </c>
      <c r="R1056" t="b">
        <v>1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</row>
    <row r="1057">
      <c r="A1057" t="inlineStr">
        <is>
          <t>ATF fuel</t>
        </is>
      </c>
      <c r="B1057" t="inlineStr">
        <is>
          <t>B95</t>
        </is>
      </c>
      <c r="C1057" t="n">
        <v>95</v>
      </c>
      <c r="D1057" t="n">
        <v>2</v>
      </c>
      <c r="E1057" t="inlineStr">
        <is>
          <t>Input</t>
        </is>
      </c>
      <c r="F1057" t="n">
        <v/>
      </c>
      <c r="G1057" t="n">
        <v>58578</v>
      </c>
      <c r="H1057" t="inlineStr"/>
      <c r="I1057" t="inlineStr">
        <is>
          <t>0.00</t>
        </is>
      </c>
      <c r="J1057" t="b">
        <v>0</v>
      </c>
      <c r="K1057" t="b">
        <v>0</v>
      </c>
      <c r="L1057" t="n">
        <v>11</v>
      </c>
      <c r="M1057" t="inlineStr">
        <is>
          <t>Values must be of type &lt;class 'str'&gt;</t>
        </is>
      </c>
      <c r="N1057" t="inlineStr">
        <is>
          <t>00000000</t>
        </is>
      </c>
      <c r="O1057" t="inlineStr">
        <is>
          <t>center</t>
        </is>
      </c>
      <c r="P1057" t="inlineStr">
        <is>
          <t>top</t>
        </is>
      </c>
      <c r="R1057" t="b">
        <v>1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</row>
    <row r="1058">
      <c r="A1058" t="inlineStr">
        <is>
          <t>ATF fuel</t>
        </is>
      </c>
      <c r="B1058" t="inlineStr">
        <is>
          <t>C95</t>
        </is>
      </c>
      <c r="C1058" t="n">
        <v>95</v>
      </c>
      <c r="D1058" t="n">
        <v>3</v>
      </c>
      <c r="E1058" t="inlineStr">
        <is>
          <t>Input</t>
        </is>
      </c>
      <c r="F1058" t="n">
        <v/>
      </c>
      <c r="G1058" t="n">
        <v>66586</v>
      </c>
      <c r="H1058" t="inlineStr"/>
      <c r="I1058" t="inlineStr">
        <is>
          <t>0.00</t>
        </is>
      </c>
      <c r="J1058" t="b">
        <v>0</v>
      </c>
      <c r="K1058" t="b">
        <v>0</v>
      </c>
      <c r="L1058" t="n">
        <v>11</v>
      </c>
      <c r="M1058" t="inlineStr">
        <is>
          <t>Values must be of type &lt;class 'str'&gt;</t>
        </is>
      </c>
      <c r="N1058" t="inlineStr">
        <is>
          <t>00000000</t>
        </is>
      </c>
      <c r="O1058" t="inlineStr">
        <is>
          <t>center</t>
        </is>
      </c>
      <c r="P1058" t="inlineStr">
        <is>
          <t>top</t>
        </is>
      </c>
      <c r="R1058" t="b">
        <v>1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</row>
    <row r="1059">
      <c r="A1059" t="inlineStr">
        <is>
          <t>ATF fuel</t>
        </is>
      </c>
      <c r="B1059" t="inlineStr">
        <is>
          <t>D95</t>
        </is>
      </c>
      <c r="C1059" t="n">
        <v>95</v>
      </c>
      <c r="D1059" t="n">
        <v>4</v>
      </c>
      <c r="E1059" t="inlineStr">
        <is>
          <t>Input</t>
        </is>
      </c>
      <c r="F1059" t="n">
        <v/>
      </c>
      <c r="G1059" t="n">
        <v>59359</v>
      </c>
      <c r="H1059" t="inlineStr"/>
      <c r="I1059" t="inlineStr">
        <is>
          <t>0.00</t>
        </is>
      </c>
      <c r="J1059" t="b">
        <v>0</v>
      </c>
      <c r="K1059" t="b">
        <v>0</v>
      </c>
      <c r="L1059" t="n">
        <v>11</v>
      </c>
      <c r="M1059" t="inlineStr">
        <is>
          <t>Values must be of type &lt;class 'str'&gt;</t>
        </is>
      </c>
      <c r="N1059" t="inlineStr">
        <is>
          <t>00000000</t>
        </is>
      </c>
      <c r="O1059" t="inlineStr">
        <is>
          <t>center</t>
        </is>
      </c>
      <c r="P1059" t="inlineStr">
        <is>
          <t>top</t>
        </is>
      </c>
      <c r="R1059" t="b">
        <v>1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</row>
    <row r="1060">
      <c r="A1060" t="inlineStr">
        <is>
          <t>ATF fuel</t>
        </is>
      </c>
      <c r="B1060" t="inlineStr">
        <is>
          <t>E95</t>
        </is>
      </c>
      <c r="C1060" t="n">
        <v>95</v>
      </c>
      <c r="D1060" t="n">
        <v>5</v>
      </c>
      <c r="E1060" t="inlineStr">
        <is>
          <t>Input</t>
        </is>
      </c>
      <c r="F1060" t="n">
        <v/>
      </c>
      <c r="G1060" t="n">
        <v>63024</v>
      </c>
      <c r="H1060" t="inlineStr"/>
      <c r="I1060" t="inlineStr">
        <is>
          <t>0.00</t>
        </is>
      </c>
      <c r="J1060" t="b">
        <v>0</v>
      </c>
      <c r="K1060" t="b">
        <v>0</v>
      </c>
      <c r="L1060" t="n">
        <v>11</v>
      </c>
      <c r="M1060" t="inlineStr">
        <is>
          <t>Values must be of type &lt;class 'str'&gt;</t>
        </is>
      </c>
      <c r="N1060" t="inlineStr">
        <is>
          <t>00000000</t>
        </is>
      </c>
      <c r="O1060" t="inlineStr">
        <is>
          <t>center</t>
        </is>
      </c>
      <c r="P1060" t="inlineStr">
        <is>
          <t>top</t>
        </is>
      </c>
      <c r="R1060" t="b">
        <v>1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</row>
    <row r="1061">
      <c r="A1061" t="inlineStr">
        <is>
          <t>ATF fuel</t>
        </is>
      </c>
      <c r="B1061" t="inlineStr">
        <is>
          <t>F95</t>
        </is>
      </c>
      <c r="C1061" t="n">
        <v>95</v>
      </c>
      <c r="D1061" t="n">
        <v>6</v>
      </c>
      <c r="E1061" t="inlineStr">
        <is>
          <t>Output</t>
        </is>
      </c>
      <c r="F1061" t="inlineStr">
        <is>
          <t>'=AVERAGE(B95:E95)</t>
        </is>
      </c>
      <c r="G1061" t="n">
        <v>61886.75</v>
      </c>
      <c r="H1061" t="inlineStr"/>
      <c r="I1061" t="inlineStr">
        <is>
          <t>0.00</t>
        </is>
      </c>
      <c r="J1061" t="b">
        <v>0</v>
      </c>
      <c r="K1061" t="b">
        <v>0</v>
      </c>
      <c r="L1061" t="n">
        <v>11</v>
      </c>
      <c r="M1061" t="inlineStr">
        <is>
          <t>Values must be of type &lt;class 'str'&gt;</t>
        </is>
      </c>
      <c r="N1061" t="inlineStr">
        <is>
          <t>00000000</t>
        </is>
      </c>
      <c r="O1061" t="inlineStr">
        <is>
          <t>center</t>
        </is>
      </c>
      <c r="P1061" t="inlineStr">
        <is>
          <t>top</t>
        </is>
      </c>
      <c r="R1061" t="b">
        <v>1</v>
      </c>
      <c r="S1061" t="inlineStr">
        <is>
          <t>G000284</t>
        </is>
      </c>
      <c r="T1061" t="inlineStr">
        <is>
          <t>Vertical</t>
        </is>
      </c>
      <c r="U1061" t="n">
        <v>130</v>
      </c>
      <c r="V1061" t="b">
        <v>1</v>
      </c>
      <c r="W1061" t="inlineStr">
        <is>
          <t>ATF fuel!F2:F131</t>
        </is>
      </c>
      <c r="X1061">
        <f>AVERAGE(R[0]C[-4]:R[0]C[-1])</f>
        <v/>
      </c>
    </row>
    <row r="1062">
      <c r="A1062" t="inlineStr">
        <is>
          <t>ATF fuel</t>
        </is>
      </c>
      <c r="B1062" t="inlineStr">
        <is>
          <t>G95</t>
        </is>
      </c>
      <c r="C1062" t="n">
        <v>95</v>
      </c>
      <c r="D1062" t="n">
        <v>7</v>
      </c>
      <c r="E1062" t="inlineStr">
        <is>
          <t>Calculation</t>
        </is>
      </c>
      <c r="F1062" t="inlineStr">
        <is>
          <t>'=G94-1</t>
        </is>
      </c>
      <c r="G1062" t="n">
        <v>38</v>
      </c>
      <c r="H1062" t="inlineStr"/>
      <c r="I1062" t="inlineStr">
        <is>
          <t>#,##0</t>
        </is>
      </c>
      <c r="J1062" t="b">
        <v>0</v>
      </c>
      <c r="K1062" t="b">
        <v>0</v>
      </c>
      <c r="L1062" t="n">
        <v>11</v>
      </c>
      <c r="M1062" t="inlineStr">
        <is>
          <t>Values must be of type &lt;class 'str'&gt;</t>
        </is>
      </c>
      <c r="N1062" t="inlineStr">
        <is>
          <t>00000000</t>
        </is>
      </c>
      <c r="O1062" t="n">
        <v/>
      </c>
      <c r="P1062" t="n">
        <v/>
      </c>
      <c r="R1062" t="b">
        <v>1</v>
      </c>
      <c r="S1062" t="inlineStr">
        <is>
          <t>G000286</t>
        </is>
      </c>
      <c r="T1062" t="inlineStr">
        <is>
          <t>Vertical</t>
        </is>
      </c>
      <c r="U1062" t="n">
        <v>129</v>
      </c>
      <c r="V1062" t="b">
        <v>1</v>
      </c>
      <c r="W1062" t="inlineStr">
        <is>
          <t>ATF fuel!G3:G131</t>
        </is>
      </c>
      <c r="X1062">
        <f>R[-1]C[0]-1</f>
        <v/>
      </c>
    </row>
    <row r="1063">
      <c r="A1063" t="inlineStr">
        <is>
          <t>ATF fuel</t>
        </is>
      </c>
      <c r="B1063" t="inlineStr">
        <is>
          <t>A96</t>
        </is>
      </c>
      <c r="C1063" t="n">
        <v>96</v>
      </c>
      <c r="D1063" t="n">
        <v>1</v>
      </c>
      <c r="E1063" t="inlineStr">
        <is>
          <t>Input</t>
        </is>
      </c>
      <c r="F1063" t="n">
        <v/>
      </c>
      <c r="G1063" t="inlineStr">
        <is>
          <t>September 16, 2011</t>
        </is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11</v>
      </c>
      <c r="M1063" t="inlineStr">
        <is>
          <t>Values must be of type &lt;class 'str'&gt;</t>
        </is>
      </c>
      <c r="N1063" t="inlineStr">
        <is>
          <t>00000000</t>
        </is>
      </c>
      <c r="O1063" t="n">
        <v/>
      </c>
      <c r="P1063" t="n">
        <v/>
      </c>
      <c r="R1063" t="b">
        <v>1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</row>
    <row r="1064">
      <c r="A1064" t="inlineStr">
        <is>
          <t>ATF fuel</t>
        </is>
      </c>
      <c r="B1064" t="inlineStr">
        <is>
          <t>B96</t>
        </is>
      </c>
      <c r="C1064" t="n">
        <v>96</v>
      </c>
      <c r="D1064" t="n">
        <v>2</v>
      </c>
      <c r="E1064" t="inlineStr">
        <is>
          <t>Input</t>
        </is>
      </c>
      <c r="F1064" t="n">
        <v/>
      </c>
      <c r="G1064" t="n">
        <v>57688.62</v>
      </c>
      <c r="H1064" t="inlineStr"/>
      <c r="I1064" t="inlineStr">
        <is>
          <t>0.00</t>
        </is>
      </c>
      <c r="J1064" t="b">
        <v>0</v>
      </c>
      <c r="K1064" t="b">
        <v>0</v>
      </c>
      <c r="L1064" t="n">
        <v>11</v>
      </c>
      <c r="M1064" t="inlineStr">
        <is>
          <t>Values must be of type &lt;class 'str'&gt;</t>
        </is>
      </c>
      <c r="N1064" t="inlineStr">
        <is>
          <t>00000000</t>
        </is>
      </c>
      <c r="O1064" t="inlineStr">
        <is>
          <t>center</t>
        </is>
      </c>
      <c r="P1064" t="inlineStr">
        <is>
          <t>top</t>
        </is>
      </c>
      <c r="R1064" t="b">
        <v>1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</row>
    <row r="1065">
      <c r="A1065" t="inlineStr">
        <is>
          <t>ATF fuel</t>
        </is>
      </c>
      <c r="B1065" t="inlineStr">
        <is>
          <t>C96</t>
        </is>
      </c>
      <c r="C1065" t="n">
        <v>96</v>
      </c>
      <c r="D1065" t="n">
        <v>3</v>
      </c>
      <c r="E1065" t="inlineStr">
        <is>
          <t>Input</t>
        </is>
      </c>
      <c r="F1065" t="n">
        <v/>
      </c>
      <c r="G1065" t="n">
        <v>65666.39999999999</v>
      </c>
      <c r="H1065" t="inlineStr"/>
      <c r="I1065" t="inlineStr">
        <is>
          <t>0.00</t>
        </is>
      </c>
      <c r="J1065" t="b">
        <v>0</v>
      </c>
      <c r="K1065" t="b">
        <v>0</v>
      </c>
      <c r="L1065" t="n">
        <v>11</v>
      </c>
      <c r="M1065" t="inlineStr">
        <is>
          <t>Values must be of type &lt;class 'str'&gt;</t>
        </is>
      </c>
      <c r="N1065" t="inlineStr">
        <is>
          <t>00000000</t>
        </is>
      </c>
      <c r="O1065" t="inlineStr">
        <is>
          <t>center</t>
        </is>
      </c>
      <c r="P1065" t="inlineStr">
        <is>
          <t>top</t>
        </is>
      </c>
      <c r="R1065" t="b">
        <v>1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</row>
    <row r="1066">
      <c r="A1066" t="inlineStr">
        <is>
          <t>ATF fuel</t>
        </is>
      </c>
      <c r="B1066" t="inlineStr">
        <is>
          <t>D96</t>
        </is>
      </c>
      <c r="C1066" t="n">
        <v>96</v>
      </c>
      <c r="D1066" t="n">
        <v>4</v>
      </c>
      <c r="E1066" t="inlineStr">
        <is>
          <t>Input</t>
        </is>
      </c>
      <c r="F1066" t="n">
        <v/>
      </c>
      <c r="G1066" t="n">
        <v>58452.31</v>
      </c>
      <c r="H1066" t="inlineStr"/>
      <c r="I1066" t="inlineStr">
        <is>
          <t>0.00</t>
        </is>
      </c>
      <c r="J1066" t="b">
        <v>0</v>
      </c>
      <c r="K1066" t="b">
        <v>0</v>
      </c>
      <c r="L1066" t="n">
        <v>11</v>
      </c>
      <c r="M1066" t="inlineStr">
        <is>
          <t>Values must be of type &lt;class 'str'&gt;</t>
        </is>
      </c>
      <c r="N1066" t="inlineStr">
        <is>
          <t>00000000</t>
        </is>
      </c>
      <c r="O1066" t="inlineStr">
        <is>
          <t>center</t>
        </is>
      </c>
      <c r="P1066" t="inlineStr">
        <is>
          <t>top</t>
        </is>
      </c>
      <c r="R1066" t="b">
        <v>1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</row>
    <row r="1067">
      <c r="A1067" t="inlineStr">
        <is>
          <t>ATF fuel</t>
        </is>
      </c>
      <c r="B1067" t="inlineStr">
        <is>
          <t>E96</t>
        </is>
      </c>
      <c r="C1067" t="n">
        <v>96</v>
      </c>
      <c r="D1067" t="n">
        <v>5</v>
      </c>
      <c r="E1067" t="inlineStr">
        <is>
          <t>Input</t>
        </is>
      </c>
      <c r="F1067" t="n">
        <v/>
      </c>
      <c r="G1067" t="n">
        <v>62074.19</v>
      </c>
      <c r="H1067" t="inlineStr"/>
      <c r="I1067" t="inlineStr">
        <is>
          <t>0.00</t>
        </is>
      </c>
      <c r="J1067" t="b">
        <v>0</v>
      </c>
      <c r="K1067" t="b">
        <v>0</v>
      </c>
      <c r="L1067" t="n">
        <v>11</v>
      </c>
      <c r="M1067" t="inlineStr">
        <is>
          <t>Values must be of type &lt;class 'str'&gt;</t>
        </is>
      </c>
      <c r="N1067" t="inlineStr">
        <is>
          <t>00000000</t>
        </is>
      </c>
      <c r="O1067" t="inlineStr">
        <is>
          <t>center</t>
        </is>
      </c>
      <c r="P1067" t="inlineStr">
        <is>
          <t>top</t>
        </is>
      </c>
      <c r="R1067" t="b">
        <v>1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</row>
    <row r="1068">
      <c r="A1068" t="inlineStr">
        <is>
          <t>ATF fuel</t>
        </is>
      </c>
      <c r="B1068" t="inlineStr">
        <is>
          <t>F96</t>
        </is>
      </c>
      <c r="C1068" t="n">
        <v>96</v>
      </c>
      <c r="D1068" t="n">
        <v>6</v>
      </c>
      <c r="E1068" t="inlineStr">
        <is>
          <t>Output</t>
        </is>
      </c>
      <c r="F1068" t="inlineStr">
        <is>
          <t>'=AVERAGE(B96:E96)</t>
        </is>
      </c>
      <c r="G1068" t="n">
        <v>60970.38</v>
      </c>
      <c r="H1068" t="inlineStr"/>
      <c r="I1068" t="inlineStr">
        <is>
          <t>0.00</t>
        </is>
      </c>
      <c r="J1068" t="b">
        <v>0</v>
      </c>
      <c r="K1068" t="b">
        <v>0</v>
      </c>
      <c r="L1068" t="n">
        <v>11</v>
      </c>
      <c r="M1068" t="inlineStr">
        <is>
          <t>Values must be of type &lt;class 'str'&gt;</t>
        </is>
      </c>
      <c r="N1068" t="inlineStr">
        <is>
          <t>00000000</t>
        </is>
      </c>
      <c r="O1068" t="inlineStr">
        <is>
          <t>center</t>
        </is>
      </c>
      <c r="P1068" t="inlineStr">
        <is>
          <t>top</t>
        </is>
      </c>
      <c r="R1068" t="b">
        <v>1</v>
      </c>
      <c r="S1068" t="inlineStr">
        <is>
          <t>G000284</t>
        </is>
      </c>
      <c r="T1068" t="inlineStr">
        <is>
          <t>Vertical</t>
        </is>
      </c>
      <c r="U1068" t="n">
        <v>130</v>
      </c>
      <c r="V1068" t="b">
        <v>1</v>
      </c>
      <c r="W1068" t="inlineStr">
        <is>
          <t>ATF fuel!F2:F131</t>
        </is>
      </c>
      <c r="X1068">
        <f>AVERAGE(R[0]C[-4]:R[0]C[-1])</f>
        <v/>
      </c>
    </row>
    <row r="1069">
      <c r="A1069" t="inlineStr">
        <is>
          <t>ATF fuel</t>
        </is>
      </c>
      <c r="B1069" t="inlineStr">
        <is>
          <t>G96</t>
        </is>
      </c>
      <c r="C1069" t="n">
        <v>96</v>
      </c>
      <c r="D1069" t="n">
        <v>7</v>
      </c>
      <c r="E1069" t="inlineStr">
        <is>
          <t>Calculation</t>
        </is>
      </c>
      <c r="F1069" t="inlineStr">
        <is>
          <t>'=G95-1</t>
        </is>
      </c>
      <c r="G1069" t="n">
        <v>37</v>
      </c>
      <c r="H1069" t="inlineStr"/>
      <c r="I1069" t="inlineStr">
        <is>
          <t>#,##0</t>
        </is>
      </c>
      <c r="J1069" t="b">
        <v>0</v>
      </c>
      <c r="K1069" t="b">
        <v>0</v>
      </c>
      <c r="L1069" t="n">
        <v>11</v>
      </c>
      <c r="M1069" t="inlineStr">
        <is>
          <t>Values must be of type &lt;class 'str'&gt;</t>
        </is>
      </c>
      <c r="N1069" t="inlineStr">
        <is>
          <t>00000000</t>
        </is>
      </c>
      <c r="O1069" t="n">
        <v/>
      </c>
      <c r="P1069" t="n">
        <v/>
      </c>
      <c r="R1069" t="b">
        <v>1</v>
      </c>
      <c r="S1069" t="inlineStr">
        <is>
          <t>G000286</t>
        </is>
      </c>
      <c r="T1069" t="inlineStr">
        <is>
          <t>Vertical</t>
        </is>
      </c>
      <c r="U1069" t="n">
        <v>129</v>
      </c>
      <c r="V1069" t="b">
        <v>1</v>
      </c>
      <c r="W1069" t="inlineStr">
        <is>
          <t>ATF fuel!G3:G131</t>
        </is>
      </c>
      <c r="X1069">
        <f>R[-1]C[0]-1</f>
        <v/>
      </c>
    </row>
    <row r="1070">
      <c r="A1070" t="inlineStr">
        <is>
          <t>ATF fuel</t>
        </is>
      </c>
      <c r="B1070" t="inlineStr">
        <is>
          <t>A97</t>
        </is>
      </c>
      <c r="C1070" t="n">
        <v>97</v>
      </c>
      <c r="D1070" t="n">
        <v>1</v>
      </c>
      <c r="E1070" t="inlineStr">
        <is>
          <t>Input</t>
        </is>
      </c>
      <c r="F1070" t="n">
        <v/>
      </c>
      <c r="G1070" t="inlineStr">
        <is>
          <t>September 01, 2011</t>
        </is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11</v>
      </c>
      <c r="M1070" t="inlineStr">
        <is>
          <t>Values must be of type &lt;class 'str'&gt;</t>
        </is>
      </c>
      <c r="N1070" t="inlineStr">
        <is>
          <t>00000000</t>
        </is>
      </c>
      <c r="O1070" t="n">
        <v/>
      </c>
      <c r="P1070" t="n">
        <v/>
      </c>
      <c r="R1070" t="b">
        <v>1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</row>
    <row r="1071">
      <c r="A1071" t="inlineStr">
        <is>
          <t>ATF fuel</t>
        </is>
      </c>
      <c r="B1071" t="inlineStr">
        <is>
          <t>B97</t>
        </is>
      </c>
      <c r="C1071" t="n">
        <v>97</v>
      </c>
      <c r="D1071" t="n">
        <v>2</v>
      </c>
      <c r="E1071" t="inlineStr">
        <is>
          <t>Input</t>
        </is>
      </c>
      <c r="F1071" t="n">
        <v/>
      </c>
      <c r="G1071" t="n">
        <v>56260</v>
      </c>
      <c r="H1071" t="inlineStr"/>
      <c r="I1071" t="inlineStr">
        <is>
          <t>0.00</t>
        </is>
      </c>
      <c r="J1071" t="b">
        <v>0</v>
      </c>
      <c r="K1071" t="b">
        <v>0</v>
      </c>
      <c r="L1071" t="n">
        <v>11</v>
      </c>
      <c r="M1071" t="inlineStr">
        <is>
          <t>Values must be of type &lt;class 'str'&gt;</t>
        </is>
      </c>
      <c r="N1071" t="inlineStr">
        <is>
          <t>00000000</t>
        </is>
      </c>
      <c r="O1071" t="inlineStr">
        <is>
          <t>center</t>
        </is>
      </c>
      <c r="P1071" t="inlineStr">
        <is>
          <t>top</t>
        </is>
      </c>
      <c r="R1071" t="b">
        <v>1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</row>
    <row r="1072">
      <c r="A1072" t="inlineStr">
        <is>
          <t>ATF fuel</t>
        </is>
      </c>
      <c r="B1072" t="inlineStr">
        <is>
          <t>C97</t>
        </is>
      </c>
      <c r="C1072" t="n">
        <v>97</v>
      </c>
      <c r="D1072" t="n">
        <v>3</v>
      </c>
      <c r="E1072" t="inlineStr">
        <is>
          <t>Input</t>
        </is>
      </c>
      <c r="F1072" t="n">
        <v/>
      </c>
      <c r="G1072" t="n">
        <v>64178</v>
      </c>
      <c r="H1072" t="inlineStr"/>
      <c r="I1072" t="inlineStr">
        <is>
          <t>0.00</t>
        </is>
      </c>
      <c r="J1072" t="b">
        <v>0</v>
      </c>
      <c r="K1072" t="b">
        <v>0</v>
      </c>
      <c r="L1072" t="n">
        <v>11</v>
      </c>
      <c r="M1072" t="inlineStr">
        <is>
          <t>Values must be of type &lt;class 'str'&gt;</t>
        </is>
      </c>
      <c r="N1072" t="inlineStr">
        <is>
          <t>00000000</t>
        </is>
      </c>
      <c r="O1072" t="inlineStr">
        <is>
          <t>center</t>
        </is>
      </c>
      <c r="P1072" t="inlineStr">
        <is>
          <t>top</t>
        </is>
      </c>
      <c r="R1072" t="b">
        <v>1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</row>
    <row r="1073">
      <c r="A1073" t="inlineStr">
        <is>
          <t>ATF fuel</t>
        </is>
      </c>
      <c r="B1073" t="inlineStr">
        <is>
          <t>D97</t>
        </is>
      </c>
      <c r="C1073" t="n">
        <v>97</v>
      </c>
      <c r="D1073" t="n">
        <v>4</v>
      </c>
      <c r="E1073" t="inlineStr">
        <is>
          <t>Input</t>
        </is>
      </c>
      <c r="F1073" t="n">
        <v/>
      </c>
      <c r="G1073" t="n">
        <v>56978</v>
      </c>
      <c r="H1073" t="inlineStr"/>
      <c r="I1073" t="inlineStr">
        <is>
          <t>0.00</t>
        </is>
      </c>
      <c r="J1073" t="b">
        <v>0</v>
      </c>
      <c r="K1073" t="b">
        <v>0</v>
      </c>
      <c r="L1073" t="n">
        <v>11</v>
      </c>
      <c r="M1073" t="inlineStr">
        <is>
          <t>Values must be of type &lt;class 'str'&gt;</t>
        </is>
      </c>
      <c r="N1073" t="inlineStr">
        <is>
          <t>00000000</t>
        </is>
      </c>
      <c r="O1073" t="inlineStr">
        <is>
          <t>center</t>
        </is>
      </c>
      <c r="P1073" t="inlineStr">
        <is>
          <t>top</t>
        </is>
      </c>
      <c r="R1073" t="b">
        <v>1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</row>
    <row r="1074">
      <c r="A1074" t="inlineStr">
        <is>
          <t>ATF fuel</t>
        </is>
      </c>
      <c r="B1074" t="inlineStr">
        <is>
          <t>E97</t>
        </is>
      </c>
      <c r="C1074" t="n">
        <v>97</v>
      </c>
      <c r="D1074" t="n">
        <v>5</v>
      </c>
      <c r="E1074" t="inlineStr">
        <is>
          <t>Input</t>
        </is>
      </c>
      <c r="F1074" t="n">
        <v/>
      </c>
      <c r="G1074" t="n">
        <v>60552</v>
      </c>
      <c r="H1074" t="inlineStr"/>
      <c r="I1074" t="inlineStr">
        <is>
          <t>0.00</t>
        </is>
      </c>
      <c r="J1074" t="b">
        <v>0</v>
      </c>
      <c r="K1074" t="b">
        <v>0</v>
      </c>
      <c r="L1074" t="n">
        <v>11</v>
      </c>
      <c r="M1074" t="inlineStr">
        <is>
          <t>Values must be of type &lt;class 'str'&gt;</t>
        </is>
      </c>
      <c r="N1074" t="inlineStr">
        <is>
          <t>00000000</t>
        </is>
      </c>
      <c r="O1074" t="inlineStr">
        <is>
          <t>center</t>
        </is>
      </c>
      <c r="P1074" t="inlineStr">
        <is>
          <t>top</t>
        </is>
      </c>
      <c r="R1074" t="b">
        <v>1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</row>
    <row r="1075">
      <c r="A1075" t="inlineStr">
        <is>
          <t>ATF fuel</t>
        </is>
      </c>
      <c r="B1075" t="inlineStr">
        <is>
          <t>F97</t>
        </is>
      </c>
      <c r="C1075" t="n">
        <v>97</v>
      </c>
      <c r="D1075" t="n">
        <v>6</v>
      </c>
      <c r="E1075" t="inlineStr">
        <is>
          <t>Output</t>
        </is>
      </c>
      <c r="F1075" t="inlineStr">
        <is>
          <t>'=AVERAGE(B97:E97)</t>
        </is>
      </c>
      <c r="G1075" t="n">
        <v>59492</v>
      </c>
      <c r="H1075" t="inlineStr"/>
      <c r="I1075" t="inlineStr">
        <is>
          <t>0.00</t>
        </is>
      </c>
      <c r="J1075" t="b">
        <v>0</v>
      </c>
      <c r="K1075" t="b">
        <v>0</v>
      </c>
      <c r="L1075" t="n">
        <v>11</v>
      </c>
      <c r="M1075" t="inlineStr">
        <is>
          <t>Values must be of type &lt;class 'str'&gt;</t>
        </is>
      </c>
      <c r="N1075" t="inlineStr">
        <is>
          <t>00000000</t>
        </is>
      </c>
      <c r="O1075" t="inlineStr">
        <is>
          <t>center</t>
        </is>
      </c>
      <c r="P1075" t="inlineStr">
        <is>
          <t>top</t>
        </is>
      </c>
      <c r="R1075" t="b">
        <v>1</v>
      </c>
      <c r="S1075" t="inlineStr">
        <is>
          <t>G000284</t>
        </is>
      </c>
      <c r="T1075" t="inlineStr">
        <is>
          <t>Vertical</t>
        </is>
      </c>
      <c r="U1075" t="n">
        <v>130</v>
      </c>
      <c r="V1075" t="b">
        <v>1</v>
      </c>
      <c r="W1075" t="inlineStr">
        <is>
          <t>ATF fuel!F2:F131</t>
        </is>
      </c>
      <c r="X1075">
        <f>AVERAGE(R[0]C[-4]:R[0]C[-1])</f>
        <v/>
      </c>
    </row>
    <row r="1076">
      <c r="A1076" t="inlineStr">
        <is>
          <t>ATF fuel</t>
        </is>
      </c>
      <c r="B1076" t="inlineStr">
        <is>
          <t>G97</t>
        </is>
      </c>
      <c r="C1076" t="n">
        <v>97</v>
      </c>
      <c r="D1076" t="n">
        <v>7</v>
      </c>
      <c r="E1076" t="inlineStr">
        <is>
          <t>Calculation</t>
        </is>
      </c>
      <c r="F1076" t="inlineStr">
        <is>
          <t>'=G96-1</t>
        </is>
      </c>
      <c r="G1076" t="n">
        <v>36</v>
      </c>
      <c r="H1076" t="inlineStr"/>
      <c r="I1076" t="inlineStr">
        <is>
          <t>#,##0</t>
        </is>
      </c>
      <c r="J1076" t="b">
        <v>0</v>
      </c>
      <c r="K1076" t="b">
        <v>0</v>
      </c>
      <c r="L1076" t="n">
        <v>11</v>
      </c>
      <c r="M1076" t="inlineStr">
        <is>
          <t>Values must be of type &lt;class 'str'&gt;</t>
        </is>
      </c>
      <c r="N1076" t="inlineStr">
        <is>
          <t>00000000</t>
        </is>
      </c>
      <c r="O1076" t="n">
        <v/>
      </c>
      <c r="P1076" t="n">
        <v/>
      </c>
      <c r="R1076" t="b">
        <v>1</v>
      </c>
      <c r="S1076" t="inlineStr">
        <is>
          <t>G000286</t>
        </is>
      </c>
      <c r="T1076" t="inlineStr">
        <is>
          <t>Vertical</t>
        </is>
      </c>
      <c r="U1076" t="n">
        <v>129</v>
      </c>
      <c r="V1076" t="b">
        <v>1</v>
      </c>
      <c r="W1076" t="inlineStr">
        <is>
          <t>ATF fuel!G3:G131</t>
        </is>
      </c>
      <c r="X1076">
        <f>R[-1]C[0]-1</f>
        <v/>
      </c>
    </row>
    <row r="1077">
      <c r="A1077" t="inlineStr">
        <is>
          <t>ATF fuel</t>
        </is>
      </c>
      <c r="B1077" t="inlineStr">
        <is>
          <t>A98</t>
        </is>
      </c>
      <c r="C1077" t="n">
        <v>98</v>
      </c>
      <c r="D1077" t="n">
        <v>1</v>
      </c>
      <c r="E1077" t="inlineStr">
        <is>
          <t>Input</t>
        </is>
      </c>
      <c r="F1077" t="n">
        <v/>
      </c>
      <c r="G1077" t="inlineStr">
        <is>
          <t>August 16, 2011</t>
        </is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11</v>
      </c>
      <c r="M1077" t="inlineStr">
        <is>
          <t>Values must be of type &lt;class 'str'&gt;</t>
        </is>
      </c>
      <c r="N1077" t="inlineStr">
        <is>
          <t>00000000</t>
        </is>
      </c>
      <c r="O1077" t="n">
        <v/>
      </c>
      <c r="P1077" t="n">
        <v/>
      </c>
      <c r="R1077" t="b">
        <v>1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</row>
    <row r="1078">
      <c r="A1078" t="inlineStr">
        <is>
          <t>ATF fuel</t>
        </is>
      </c>
      <c r="B1078" t="inlineStr">
        <is>
          <t>B98</t>
        </is>
      </c>
      <c r="C1078" t="n">
        <v>98</v>
      </c>
      <c r="D1078" t="n">
        <v>2</v>
      </c>
      <c r="E1078" t="inlineStr">
        <is>
          <t>Input</t>
        </is>
      </c>
      <c r="F1078" t="n">
        <v/>
      </c>
      <c r="G1078" t="n">
        <v>56688</v>
      </c>
      <c r="H1078" t="inlineStr"/>
      <c r="I1078" t="inlineStr">
        <is>
          <t>0.00</t>
        </is>
      </c>
      <c r="J1078" t="b">
        <v>0</v>
      </c>
      <c r="K1078" t="b">
        <v>0</v>
      </c>
      <c r="L1078" t="n">
        <v>11</v>
      </c>
      <c r="M1078" t="inlineStr">
        <is>
          <t>Values must be of type &lt;class 'str'&gt;</t>
        </is>
      </c>
      <c r="N1078" t="inlineStr">
        <is>
          <t>00000000</t>
        </is>
      </c>
      <c r="O1078" t="inlineStr">
        <is>
          <t>center</t>
        </is>
      </c>
      <c r="P1078" t="inlineStr">
        <is>
          <t>top</t>
        </is>
      </c>
      <c r="R1078" t="b">
        <v>1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</row>
    <row r="1079">
      <c r="A1079" t="inlineStr">
        <is>
          <t>ATF fuel</t>
        </is>
      </c>
      <c r="B1079" t="inlineStr">
        <is>
          <t>C98</t>
        </is>
      </c>
      <c r="C1079" t="n">
        <v>98</v>
      </c>
      <c r="D1079" t="n">
        <v>3</v>
      </c>
      <c r="E1079" t="inlineStr">
        <is>
          <t>Input</t>
        </is>
      </c>
      <c r="F1079" t="n">
        <v/>
      </c>
      <c r="G1079" t="n">
        <v>64625</v>
      </c>
      <c r="H1079" t="inlineStr"/>
      <c r="I1079" t="inlineStr">
        <is>
          <t>0.00</t>
        </is>
      </c>
      <c r="J1079" t="b">
        <v>0</v>
      </c>
      <c r="K1079" t="b">
        <v>0</v>
      </c>
      <c r="L1079" t="n">
        <v>11</v>
      </c>
      <c r="M1079" t="inlineStr">
        <is>
          <t>Values must be of type &lt;class 'str'&gt;</t>
        </is>
      </c>
      <c r="N1079" t="inlineStr">
        <is>
          <t>00000000</t>
        </is>
      </c>
      <c r="O1079" t="inlineStr">
        <is>
          <t>center</t>
        </is>
      </c>
      <c r="P1079" t="inlineStr">
        <is>
          <t>top</t>
        </is>
      </c>
      <c r="R1079" t="b">
        <v>1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</row>
    <row r="1080">
      <c r="A1080" t="inlineStr">
        <is>
          <t>ATF fuel</t>
        </is>
      </c>
      <c r="B1080" t="inlineStr">
        <is>
          <t>D98</t>
        </is>
      </c>
      <c r="C1080" t="n">
        <v>98</v>
      </c>
      <c r="D1080" t="n">
        <v>4</v>
      </c>
      <c r="E1080" t="inlineStr">
        <is>
          <t>Input</t>
        </is>
      </c>
      <c r="F1080" t="n">
        <v/>
      </c>
      <c r="G1080" t="n">
        <v>57424</v>
      </c>
      <c r="H1080" t="inlineStr"/>
      <c r="I1080" t="inlineStr">
        <is>
          <t>0.00</t>
        </is>
      </c>
      <c r="J1080" t="b">
        <v>0</v>
      </c>
      <c r="K1080" t="b">
        <v>0</v>
      </c>
      <c r="L1080" t="n">
        <v>11</v>
      </c>
      <c r="M1080" t="inlineStr">
        <is>
          <t>Values must be of type &lt;class 'str'&gt;</t>
        </is>
      </c>
      <c r="N1080" t="inlineStr">
        <is>
          <t>00000000</t>
        </is>
      </c>
      <c r="O1080" t="inlineStr">
        <is>
          <t>center</t>
        </is>
      </c>
      <c r="P1080" t="inlineStr">
        <is>
          <t>top</t>
        </is>
      </c>
      <c r="R1080" t="b">
        <v>1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</row>
    <row r="1081">
      <c r="A1081" t="inlineStr">
        <is>
          <t>ATF fuel</t>
        </is>
      </c>
      <c r="B1081" t="inlineStr">
        <is>
          <t>E98</t>
        </is>
      </c>
      <c r="C1081" t="n">
        <v>98</v>
      </c>
      <c r="D1081" t="n">
        <v>5</v>
      </c>
      <c r="E1081" t="inlineStr">
        <is>
          <t>Input</t>
        </is>
      </c>
      <c r="F1081" t="n">
        <v/>
      </c>
      <c r="G1081" t="n">
        <v>61013</v>
      </c>
      <c r="H1081" t="inlineStr"/>
      <c r="I1081" t="inlineStr">
        <is>
          <t>0.00</t>
        </is>
      </c>
      <c r="J1081" t="b">
        <v>0</v>
      </c>
      <c r="K1081" t="b">
        <v>0</v>
      </c>
      <c r="L1081" t="n">
        <v>11</v>
      </c>
      <c r="M1081" t="inlineStr">
        <is>
          <t>Values must be of type &lt;class 'str'&gt;</t>
        </is>
      </c>
      <c r="N1081" t="inlineStr">
        <is>
          <t>00000000</t>
        </is>
      </c>
      <c r="O1081" t="inlineStr">
        <is>
          <t>center</t>
        </is>
      </c>
      <c r="P1081" t="inlineStr">
        <is>
          <t>top</t>
        </is>
      </c>
      <c r="R1081" t="b">
        <v>1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</row>
    <row r="1082">
      <c r="A1082" t="inlineStr">
        <is>
          <t>ATF fuel</t>
        </is>
      </c>
      <c r="B1082" t="inlineStr">
        <is>
          <t>F98</t>
        </is>
      </c>
      <c r="C1082" t="n">
        <v>98</v>
      </c>
      <c r="D1082" t="n">
        <v>6</v>
      </c>
      <c r="E1082" t="inlineStr">
        <is>
          <t>Output</t>
        </is>
      </c>
      <c r="F1082" t="inlineStr">
        <is>
          <t>'=AVERAGE(B98:E98)</t>
        </is>
      </c>
      <c r="G1082" t="n">
        <v>59937.5</v>
      </c>
      <c r="H1082" t="inlineStr"/>
      <c r="I1082" t="inlineStr">
        <is>
          <t>0.00</t>
        </is>
      </c>
      <c r="J1082" t="b">
        <v>0</v>
      </c>
      <c r="K1082" t="b">
        <v>0</v>
      </c>
      <c r="L1082" t="n">
        <v>11</v>
      </c>
      <c r="M1082" t="inlineStr">
        <is>
          <t>Values must be of type &lt;class 'str'&gt;</t>
        </is>
      </c>
      <c r="N1082" t="inlineStr">
        <is>
          <t>00000000</t>
        </is>
      </c>
      <c r="O1082" t="inlineStr">
        <is>
          <t>center</t>
        </is>
      </c>
      <c r="P1082" t="inlineStr">
        <is>
          <t>top</t>
        </is>
      </c>
      <c r="R1082" t="b">
        <v>1</v>
      </c>
      <c r="S1082" t="inlineStr">
        <is>
          <t>G000284</t>
        </is>
      </c>
      <c r="T1082" t="inlineStr">
        <is>
          <t>Vertical</t>
        </is>
      </c>
      <c r="U1082" t="n">
        <v>130</v>
      </c>
      <c r="V1082" t="b">
        <v>1</v>
      </c>
      <c r="W1082" t="inlineStr">
        <is>
          <t>ATF fuel!F2:F131</t>
        </is>
      </c>
      <c r="X1082">
        <f>AVERAGE(R[0]C[-4]:R[0]C[-1])</f>
        <v/>
      </c>
    </row>
    <row r="1083">
      <c r="A1083" t="inlineStr">
        <is>
          <t>ATF fuel</t>
        </is>
      </c>
      <c r="B1083" t="inlineStr">
        <is>
          <t>G98</t>
        </is>
      </c>
      <c r="C1083" t="n">
        <v>98</v>
      </c>
      <c r="D1083" t="n">
        <v>7</v>
      </c>
      <c r="E1083" t="inlineStr">
        <is>
          <t>Calculation</t>
        </is>
      </c>
      <c r="F1083" t="inlineStr">
        <is>
          <t>'=G97-1</t>
        </is>
      </c>
      <c r="G1083" t="n">
        <v>35</v>
      </c>
      <c r="H1083" t="inlineStr"/>
      <c r="I1083" t="inlineStr">
        <is>
          <t>#,##0</t>
        </is>
      </c>
      <c r="J1083" t="b">
        <v>0</v>
      </c>
      <c r="K1083" t="b">
        <v>0</v>
      </c>
      <c r="L1083" t="n">
        <v>11</v>
      </c>
      <c r="M1083" t="inlineStr">
        <is>
          <t>Values must be of type &lt;class 'str'&gt;</t>
        </is>
      </c>
      <c r="N1083" t="inlineStr">
        <is>
          <t>00000000</t>
        </is>
      </c>
      <c r="O1083" t="n">
        <v/>
      </c>
      <c r="P1083" t="n">
        <v/>
      </c>
      <c r="R1083" t="b">
        <v>1</v>
      </c>
      <c r="S1083" t="inlineStr">
        <is>
          <t>G000286</t>
        </is>
      </c>
      <c r="T1083" t="inlineStr">
        <is>
          <t>Vertical</t>
        </is>
      </c>
      <c r="U1083" t="n">
        <v>129</v>
      </c>
      <c r="V1083" t="b">
        <v>1</v>
      </c>
      <c r="W1083" t="inlineStr">
        <is>
          <t>ATF fuel!G3:G131</t>
        </is>
      </c>
      <c r="X1083">
        <f>R[-1]C[0]-1</f>
        <v/>
      </c>
    </row>
    <row r="1084">
      <c r="A1084" t="inlineStr">
        <is>
          <t>ATF fuel</t>
        </is>
      </c>
      <c r="B1084" t="inlineStr">
        <is>
          <t>A99</t>
        </is>
      </c>
      <c r="C1084" t="n">
        <v>99</v>
      </c>
      <c r="D1084" t="n">
        <v>1</v>
      </c>
      <c r="E1084" t="inlineStr">
        <is>
          <t>Input</t>
        </is>
      </c>
      <c r="F1084" t="n">
        <v/>
      </c>
      <c r="G1084" t="inlineStr">
        <is>
          <t>August 01, 2011</t>
        </is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11</v>
      </c>
      <c r="M1084" t="inlineStr">
        <is>
          <t>Values must be of type &lt;class 'str'&gt;</t>
        </is>
      </c>
      <c r="N1084" t="inlineStr">
        <is>
          <t>00000000</t>
        </is>
      </c>
      <c r="O1084" t="n">
        <v/>
      </c>
      <c r="P1084" t="n">
        <v/>
      </c>
      <c r="R1084" t="b">
        <v>1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</row>
    <row r="1085">
      <c r="A1085" t="inlineStr">
        <is>
          <t>ATF fuel</t>
        </is>
      </c>
      <c r="B1085" t="inlineStr">
        <is>
          <t>B99</t>
        </is>
      </c>
      <c r="C1085" t="n">
        <v>99</v>
      </c>
      <c r="D1085" t="n">
        <v>2</v>
      </c>
      <c r="E1085" t="inlineStr">
        <is>
          <t>Input</t>
        </is>
      </c>
      <c r="F1085" t="n">
        <v/>
      </c>
      <c r="G1085" t="n">
        <v>57844</v>
      </c>
      <c r="H1085" t="inlineStr"/>
      <c r="I1085" t="inlineStr">
        <is>
          <t>0.00</t>
        </is>
      </c>
      <c r="J1085" t="b">
        <v>0</v>
      </c>
      <c r="K1085" t="b">
        <v>0</v>
      </c>
      <c r="L1085" t="n">
        <v>11</v>
      </c>
      <c r="M1085" t="inlineStr">
        <is>
          <t>Values must be of type &lt;class 'str'&gt;</t>
        </is>
      </c>
      <c r="N1085" t="inlineStr">
        <is>
          <t>00000000</t>
        </is>
      </c>
      <c r="O1085" t="inlineStr">
        <is>
          <t>center</t>
        </is>
      </c>
      <c r="P1085" t="inlineStr">
        <is>
          <t>top</t>
        </is>
      </c>
      <c r="R1085" t="b">
        <v>1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</row>
    <row r="1086">
      <c r="A1086" t="inlineStr">
        <is>
          <t>ATF fuel</t>
        </is>
      </c>
      <c r="B1086" t="inlineStr">
        <is>
          <t>C99</t>
        </is>
      </c>
      <c r="C1086" t="n">
        <v>99</v>
      </c>
      <c r="D1086" t="n">
        <v>3</v>
      </c>
      <c r="E1086" t="inlineStr">
        <is>
          <t>Input</t>
        </is>
      </c>
      <c r="F1086" t="n">
        <v/>
      </c>
      <c r="G1086" t="n">
        <v>65842</v>
      </c>
      <c r="H1086" t="inlineStr"/>
      <c r="I1086" t="inlineStr">
        <is>
          <t>0.00</t>
        </is>
      </c>
      <c r="J1086" t="b">
        <v>0</v>
      </c>
      <c r="K1086" t="b">
        <v>0</v>
      </c>
      <c r="L1086" t="n">
        <v>11</v>
      </c>
      <c r="M1086" t="inlineStr">
        <is>
          <t>Values must be of type &lt;class 'str'&gt;</t>
        </is>
      </c>
      <c r="N1086" t="inlineStr">
        <is>
          <t>00000000</t>
        </is>
      </c>
      <c r="O1086" t="inlineStr">
        <is>
          <t>center</t>
        </is>
      </c>
      <c r="P1086" t="inlineStr">
        <is>
          <t>top</t>
        </is>
      </c>
      <c r="R1086" t="b">
        <v>1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</row>
    <row r="1087">
      <c r="A1087" t="inlineStr">
        <is>
          <t>ATF fuel</t>
        </is>
      </c>
      <c r="B1087" t="inlineStr">
        <is>
          <t>D99</t>
        </is>
      </c>
      <c r="C1087" t="n">
        <v>99</v>
      </c>
      <c r="D1087" t="n">
        <v>4</v>
      </c>
      <c r="E1087" t="inlineStr">
        <is>
          <t>Input</t>
        </is>
      </c>
      <c r="F1087" t="n">
        <v/>
      </c>
      <c r="G1087" t="n">
        <v>58628</v>
      </c>
      <c r="H1087" t="inlineStr"/>
      <c r="I1087" t="inlineStr">
        <is>
          <t>0.00</t>
        </is>
      </c>
      <c r="J1087" t="b">
        <v>0</v>
      </c>
      <c r="K1087" t="b">
        <v>0</v>
      </c>
      <c r="L1087" t="n">
        <v>11</v>
      </c>
      <c r="M1087" t="inlineStr">
        <is>
          <t>Values must be of type &lt;class 'str'&gt;</t>
        </is>
      </c>
      <c r="N1087" t="inlineStr">
        <is>
          <t>00000000</t>
        </is>
      </c>
      <c r="O1087" t="inlineStr">
        <is>
          <t>center</t>
        </is>
      </c>
      <c r="P1087" t="inlineStr">
        <is>
          <t>top</t>
        </is>
      </c>
      <c r="R1087" t="b">
        <v>1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</row>
    <row r="1088">
      <c r="A1088" t="inlineStr">
        <is>
          <t>ATF fuel</t>
        </is>
      </c>
      <c r="B1088" t="inlineStr">
        <is>
          <t>E99</t>
        </is>
      </c>
      <c r="C1088" t="n">
        <v>99</v>
      </c>
      <c r="D1088" t="n">
        <v>5</v>
      </c>
      <c r="E1088" t="inlineStr">
        <is>
          <t>Input</t>
        </is>
      </c>
      <c r="F1088" t="n">
        <v/>
      </c>
      <c r="G1088" t="n">
        <v>62256</v>
      </c>
      <c r="H1088" t="inlineStr"/>
      <c r="I1088" t="inlineStr">
        <is>
          <t>0.00</t>
        </is>
      </c>
      <c r="J1088" t="b">
        <v>0</v>
      </c>
      <c r="K1088" t="b">
        <v>0</v>
      </c>
      <c r="L1088" t="n">
        <v>11</v>
      </c>
      <c r="M1088" t="inlineStr">
        <is>
          <t>Values must be of type &lt;class 'str'&gt;</t>
        </is>
      </c>
      <c r="N1088" t="inlineStr">
        <is>
          <t>00000000</t>
        </is>
      </c>
      <c r="O1088" t="inlineStr">
        <is>
          <t>center</t>
        </is>
      </c>
      <c r="P1088" t="inlineStr">
        <is>
          <t>top</t>
        </is>
      </c>
      <c r="R1088" t="b">
        <v>1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</row>
    <row r="1089">
      <c r="A1089" t="inlineStr">
        <is>
          <t>ATF fuel</t>
        </is>
      </c>
      <c r="B1089" t="inlineStr">
        <is>
          <t>F99</t>
        </is>
      </c>
      <c r="C1089" t="n">
        <v>99</v>
      </c>
      <c r="D1089" t="n">
        <v>6</v>
      </c>
      <c r="E1089" t="inlineStr">
        <is>
          <t>Output</t>
        </is>
      </c>
      <c r="F1089" t="inlineStr">
        <is>
          <t>'=AVERAGE(B99:E99)</t>
        </is>
      </c>
      <c r="G1089" t="n">
        <v>61142.5</v>
      </c>
      <c r="H1089" t="inlineStr"/>
      <c r="I1089" t="inlineStr">
        <is>
          <t>0.00</t>
        </is>
      </c>
      <c r="J1089" t="b">
        <v>0</v>
      </c>
      <c r="K1089" t="b">
        <v>0</v>
      </c>
      <c r="L1089" t="n">
        <v>11</v>
      </c>
      <c r="M1089" t="inlineStr">
        <is>
          <t>Values must be of type &lt;class 'str'&gt;</t>
        </is>
      </c>
      <c r="N1089" t="inlineStr">
        <is>
          <t>00000000</t>
        </is>
      </c>
      <c r="O1089" t="inlineStr">
        <is>
          <t>center</t>
        </is>
      </c>
      <c r="P1089" t="inlineStr">
        <is>
          <t>top</t>
        </is>
      </c>
      <c r="R1089" t="b">
        <v>1</v>
      </c>
      <c r="S1089" t="inlineStr">
        <is>
          <t>G000284</t>
        </is>
      </c>
      <c r="T1089" t="inlineStr">
        <is>
          <t>Vertical</t>
        </is>
      </c>
      <c r="U1089" t="n">
        <v>130</v>
      </c>
      <c r="V1089" t="b">
        <v>1</v>
      </c>
      <c r="W1089" t="inlineStr">
        <is>
          <t>ATF fuel!F2:F131</t>
        </is>
      </c>
      <c r="X1089">
        <f>AVERAGE(R[0]C[-4]:R[0]C[-1])</f>
        <v/>
      </c>
    </row>
    <row r="1090">
      <c r="A1090" t="inlineStr">
        <is>
          <t>ATF fuel</t>
        </is>
      </c>
      <c r="B1090" t="inlineStr">
        <is>
          <t>G99</t>
        </is>
      </c>
      <c r="C1090" t="n">
        <v>99</v>
      </c>
      <c r="D1090" t="n">
        <v>7</v>
      </c>
      <c r="E1090" t="inlineStr">
        <is>
          <t>Calculation</t>
        </is>
      </c>
      <c r="F1090" t="inlineStr">
        <is>
          <t>'=G98-1</t>
        </is>
      </c>
      <c r="G1090" t="n">
        <v>34</v>
      </c>
      <c r="H1090" t="inlineStr"/>
      <c r="I1090" t="inlineStr">
        <is>
          <t>#,##0</t>
        </is>
      </c>
      <c r="J1090" t="b">
        <v>0</v>
      </c>
      <c r="K1090" t="b">
        <v>0</v>
      </c>
      <c r="L1090" t="n">
        <v>11</v>
      </c>
      <c r="M1090" t="inlineStr">
        <is>
          <t>Values must be of type &lt;class 'str'&gt;</t>
        </is>
      </c>
      <c r="N1090" t="inlineStr">
        <is>
          <t>00000000</t>
        </is>
      </c>
      <c r="O1090" t="n">
        <v/>
      </c>
      <c r="P1090" t="n">
        <v/>
      </c>
      <c r="R1090" t="b">
        <v>1</v>
      </c>
      <c r="S1090" t="inlineStr">
        <is>
          <t>G000286</t>
        </is>
      </c>
      <c r="T1090" t="inlineStr">
        <is>
          <t>Vertical</t>
        </is>
      </c>
      <c r="U1090" t="n">
        <v>129</v>
      </c>
      <c r="V1090" t="b">
        <v>1</v>
      </c>
      <c r="W1090" t="inlineStr">
        <is>
          <t>ATF fuel!G3:G131</t>
        </is>
      </c>
      <c r="X1090">
        <f>R[-1]C[0]-1</f>
        <v/>
      </c>
    </row>
    <row r="1091">
      <c r="A1091" t="inlineStr">
        <is>
          <t>ATF fuel</t>
        </is>
      </c>
      <c r="B1091" t="inlineStr">
        <is>
          <t>A100</t>
        </is>
      </c>
      <c r="C1091" t="n">
        <v>100</v>
      </c>
      <c r="D1091" t="n">
        <v>1</v>
      </c>
      <c r="E1091" t="inlineStr">
        <is>
          <t>Input</t>
        </is>
      </c>
      <c r="F1091" t="n">
        <v/>
      </c>
      <c r="G1091" t="inlineStr">
        <is>
          <t>July 16, 2011</t>
        </is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11</v>
      </c>
      <c r="M1091" t="inlineStr">
        <is>
          <t>Values must be of type &lt;class 'str'&gt;</t>
        </is>
      </c>
      <c r="N1091" t="inlineStr">
        <is>
          <t>00000000</t>
        </is>
      </c>
      <c r="O1091" t="n">
        <v/>
      </c>
      <c r="P1091" t="n">
        <v/>
      </c>
      <c r="R1091" t="b">
        <v>1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</row>
    <row r="1092">
      <c r="A1092" t="inlineStr">
        <is>
          <t>ATF fuel</t>
        </is>
      </c>
      <c r="B1092" t="inlineStr">
        <is>
          <t>B100</t>
        </is>
      </c>
      <c r="C1092" t="n">
        <v>100</v>
      </c>
      <c r="D1092" t="n">
        <v>2</v>
      </c>
      <c r="E1092" t="inlineStr">
        <is>
          <t>Input</t>
        </is>
      </c>
      <c r="F1092" t="n">
        <v/>
      </c>
      <c r="G1092" t="n">
        <v>56324.79</v>
      </c>
      <c r="H1092" t="inlineStr"/>
      <c r="I1092" t="inlineStr">
        <is>
          <t>0.00</t>
        </is>
      </c>
      <c r="J1092" t="b">
        <v>0</v>
      </c>
      <c r="K1092" t="b">
        <v>0</v>
      </c>
      <c r="L1092" t="n">
        <v>11</v>
      </c>
      <c r="M1092" t="inlineStr">
        <is>
          <t>Values must be of type &lt;class 'str'&gt;</t>
        </is>
      </c>
      <c r="N1092" t="inlineStr">
        <is>
          <t>00000000</t>
        </is>
      </c>
      <c r="O1092" t="inlineStr">
        <is>
          <t>center</t>
        </is>
      </c>
      <c r="P1092" t="inlineStr">
        <is>
          <t>top</t>
        </is>
      </c>
      <c r="R1092" t="b">
        <v>1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</row>
    <row r="1093">
      <c r="A1093" t="inlineStr">
        <is>
          <t>ATF fuel</t>
        </is>
      </c>
      <c r="B1093" t="inlineStr">
        <is>
          <t>C100</t>
        </is>
      </c>
      <c r="C1093" t="n">
        <v>100</v>
      </c>
      <c r="D1093" t="n">
        <v>3</v>
      </c>
      <c r="E1093" t="inlineStr">
        <is>
          <t>Input</t>
        </is>
      </c>
      <c r="F1093" t="n">
        <v/>
      </c>
      <c r="G1093" t="n">
        <v>64256.87</v>
      </c>
      <c r="H1093" t="inlineStr"/>
      <c r="I1093" t="inlineStr">
        <is>
          <t>0.00</t>
        </is>
      </c>
      <c r="J1093" t="b">
        <v>0</v>
      </c>
      <c r="K1093" t="b">
        <v>0</v>
      </c>
      <c r="L1093" t="n">
        <v>11</v>
      </c>
      <c r="M1093" t="inlineStr">
        <is>
          <t>Values must be of type &lt;class 'str'&gt;</t>
        </is>
      </c>
      <c r="N1093" t="inlineStr">
        <is>
          <t>00000000</t>
        </is>
      </c>
      <c r="O1093" t="inlineStr">
        <is>
          <t>center</t>
        </is>
      </c>
      <c r="P1093" t="inlineStr">
        <is>
          <t>top</t>
        </is>
      </c>
      <c r="R1093" t="b">
        <v>1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</row>
    <row r="1094">
      <c r="A1094" t="inlineStr">
        <is>
          <t>ATF fuel</t>
        </is>
      </c>
      <c r="B1094" t="inlineStr">
        <is>
          <t>D100</t>
        </is>
      </c>
      <c r="C1094" t="n">
        <v>100</v>
      </c>
      <c r="D1094" t="n">
        <v>4</v>
      </c>
      <c r="E1094" t="inlineStr">
        <is>
          <t>Input</t>
        </is>
      </c>
      <c r="F1094" t="n">
        <v/>
      </c>
      <c r="G1094" t="n">
        <v>57031.66</v>
      </c>
      <c r="H1094" t="inlineStr"/>
      <c r="I1094" t="inlineStr">
        <is>
          <t>0.00</t>
        </is>
      </c>
      <c r="J1094" t="b">
        <v>0</v>
      </c>
      <c r="K1094" t="b">
        <v>0</v>
      </c>
      <c r="L1094" t="n">
        <v>11</v>
      </c>
      <c r="M1094" t="inlineStr">
        <is>
          <t>Values must be of type &lt;class 'str'&gt;</t>
        </is>
      </c>
      <c r="N1094" t="inlineStr">
        <is>
          <t>00000000</t>
        </is>
      </c>
      <c r="O1094" t="inlineStr">
        <is>
          <t>center</t>
        </is>
      </c>
      <c r="P1094" t="inlineStr">
        <is>
          <t>top</t>
        </is>
      </c>
      <c r="R1094" t="b">
        <v>1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</row>
    <row r="1095">
      <c r="A1095" t="inlineStr">
        <is>
          <t>ATF fuel</t>
        </is>
      </c>
      <c r="B1095" t="inlineStr">
        <is>
          <t>E100</t>
        </is>
      </c>
      <c r="C1095" t="n">
        <v>100</v>
      </c>
      <c r="D1095" t="n">
        <v>5</v>
      </c>
      <c r="E1095" t="inlineStr">
        <is>
          <t>Input</t>
        </is>
      </c>
      <c r="F1095" t="n">
        <v/>
      </c>
      <c r="G1095" t="n">
        <v>60621.03</v>
      </c>
      <c r="H1095" t="inlineStr"/>
      <c r="I1095" t="inlineStr">
        <is>
          <t>0.00</t>
        </is>
      </c>
      <c r="J1095" t="b">
        <v>0</v>
      </c>
      <c r="K1095" t="b">
        <v>0</v>
      </c>
      <c r="L1095" t="n">
        <v>11</v>
      </c>
      <c r="M1095" t="inlineStr">
        <is>
          <t>Values must be of type &lt;class 'str'&gt;</t>
        </is>
      </c>
      <c r="N1095" t="inlineStr">
        <is>
          <t>00000000</t>
        </is>
      </c>
      <c r="O1095" t="inlineStr">
        <is>
          <t>center</t>
        </is>
      </c>
      <c r="P1095" t="inlineStr">
        <is>
          <t>top</t>
        </is>
      </c>
      <c r="R1095" t="b">
        <v>1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</row>
    <row r="1096">
      <c r="A1096" t="inlineStr">
        <is>
          <t>ATF fuel</t>
        </is>
      </c>
      <c r="B1096" t="inlineStr">
        <is>
          <t>F100</t>
        </is>
      </c>
      <c r="C1096" t="n">
        <v>100</v>
      </c>
      <c r="D1096" t="n">
        <v>6</v>
      </c>
      <c r="E1096" t="inlineStr">
        <is>
          <t>Output</t>
        </is>
      </c>
      <c r="F1096" t="inlineStr">
        <is>
          <t>'=AVERAGE(B100:E100)</t>
        </is>
      </c>
      <c r="G1096" t="n">
        <v>59558.5875</v>
      </c>
      <c r="H1096" t="inlineStr"/>
      <c r="I1096" t="inlineStr">
        <is>
          <t>0.00</t>
        </is>
      </c>
      <c r="J1096" t="b">
        <v>0</v>
      </c>
      <c r="K1096" t="b">
        <v>0</v>
      </c>
      <c r="L1096" t="n">
        <v>11</v>
      </c>
      <c r="M1096" t="inlineStr">
        <is>
          <t>Values must be of type &lt;class 'str'&gt;</t>
        </is>
      </c>
      <c r="N1096" t="inlineStr">
        <is>
          <t>00000000</t>
        </is>
      </c>
      <c r="O1096" t="inlineStr">
        <is>
          <t>center</t>
        </is>
      </c>
      <c r="P1096" t="inlineStr">
        <is>
          <t>top</t>
        </is>
      </c>
      <c r="R1096" t="b">
        <v>1</v>
      </c>
      <c r="S1096" t="inlineStr">
        <is>
          <t>G000284</t>
        </is>
      </c>
      <c r="T1096" t="inlineStr">
        <is>
          <t>Vertical</t>
        </is>
      </c>
      <c r="U1096" t="n">
        <v>130</v>
      </c>
      <c r="V1096" t="b">
        <v>1</v>
      </c>
      <c r="W1096" t="inlineStr">
        <is>
          <t>ATF fuel!F2:F131</t>
        </is>
      </c>
      <c r="X1096">
        <f>AVERAGE(R[0]C[-4]:R[0]C[-1])</f>
        <v/>
      </c>
    </row>
    <row r="1097">
      <c r="A1097" t="inlineStr">
        <is>
          <t>ATF fuel</t>
        </is>
      </c>
      <c r="B1097" t="inlineStr">
        <is>
          <t>G100</t>
        </is>
      </c>
      <c r="C1097" t="n">
        <v>100</v>
      </c>
      <c r="D1097" t="n">
        <v>7</v>
      </c>
      <c r="E1097" t="inlineStr">
        <is>
          <t>Calculation</t>
        </is>
      </c>
      <c r="F1097" t="inlineStr">
        <is>
          <t>'=G99-1</t>
        </is>
      </c>
      <c r="G1097" t="n">
        <v>33</v>
      </c>
      <c r="H1097" t="inlineStr"/>
      <c r="I1097" t="inlineStr">
        <is>
          <t>#,##0</t>
        </is>
      </c>
      <c r="J1097" t="b">
        <v>0</v>
      </c>
      <c r="K1097" t="b">
        <v>0</v>
      </c>
      <c r="L1097" t="n">
        <v>11</v>
      </c>
      <c r="M1097" t="inlineStr">
        <is>
          <t>Values must be of type &lt;class 'str'&gt;</t>
        </is>
      </c>
      <c r="N1097" t="inlineStr">
        <is>
          <t>00000000</t>
        </is>
      </c>
      <c r="O1097" t="n">
        <v/>
      </c>
      <c r="P1097" t="n">
        <v/>
      </c>
      <c r="R1097" t="b">
        <v>1</v>
      </c>
      <c r="S1097" t="inlineStr">
        <is>
          <t>G000286</t>
        </is>
      </c>
      <c r="T1097" t="inlineStr">
        <is>
          <t>Vertical</t>
        </is>
      </c>
      <c r="U1097" t="n">
        <v>129</v>
      </c>
      <c r="V1097" t="b">
        <v>1</v>
      </c>
      <c r="W1097" t="inlineStr">
        <is>
          <t>ATF fuel!G3:G131</t>
        </is>
      </c>
      <c r="X1097">
        <f>R[-1]C[0]-1</f>
        <v/>
      </c>
    </row>
    <row r="1098">
      <c r="A1098" t="inlineStr">
        <is>
          <t>ATF fuel</t>
        </is>
      </c>
      <c r="B1098" t="inlineStr">
        <is>
          <t>A101</t>
        </is>
      </c>
      <c r="C1098" t="n">
        <v>101</v>
      </c>
      <c r="D1098" t="n">
        <v>1</v>
      </c>
      <c r="E1098" t="inlineStr">
        <is>
          <t>Input</t>
        </is>
      </c>
      <c r="F1098" t="n">
        <v/>
      </c>
      <c r="G1098" t="inlineStr">
        <is>
          <t>July 01, 2011</t>
        </is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11</v>
      </c>
      <c r="M1098" t="inlineStr">
        <is>
          <t>Values must be of type &lt;class 'str'&gt;</t>
        </is>
      </c>
      <c r="N1098" t="inlineStr">
        <is>
          <t>00000000</t>
        </is>
      </c>
      <c r="O1098" t="n">
        <v/>
      </c>
      <c r="P1098" t="n">
        <v/>
      </c>
      <c r="R1098" t="b">
        <v>1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</row>
    <row r="1099">
      <c r="A1099" t="inlineStr">
        <is>
          <t>ATF fuel</t>
        </is>
      </c>
      <c r="B1099" t="inlineStr">
        <is>
          <t>B101</t>
        </is>
      </c>
      <c r="C1099" t="n">
        <v>101</v>
      </c>
      <c r="D1099" t="n">
        <v>2</v>
      </c>
      <c r="E1099" t="inlineStr">
        <is>
          <t>Input</t>
        </is>
      </c>
      <c r="F1099" t="n">
        <v/>
      </c>
      <c r="G1099" t="n">
        <v>56246.86</v>
      </c>
      <c r="H1099" t="inlineStr"/>
      <c r="I1099" t="inlineStr">
        <is>
          <t>0.00</t>
        </is>
      </c>
      <c r="J1099" t="b">
        <v>0</v>
      </c>
      <c r="K1099" t="b">
        <v>0</v>
      </c>
      <c r="L1099" t="n">
        <v>11</v>
      </c>
      <c r="M1099" t="inlineStr">
        <is>
          <t>Values must be of type &lt;class 'str'&gt;</t>
        </is>
      </c>
      <c r="N1099" t="inlineStr">
        <is>
          <t>00000000</t>
        </is>
      </c>
      <c r="O1099" t="inlineStr">
        <is>
          <t>center</t>
        </is>
      </c>
      <c r="P1099" t="inlineStr">
        <is>
          <t>top</t>
        </is>
      </c>
      <c r="R1099" t="b">
        <v>1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</row>
    <row r="1100">
      <c r="A1100" t="inlineStr">
        <is>
          <t>ATF fuel</t>
        </is>
      </c>
      <c r="B1100" t="inlineStr">
        <is>
          <t>C101</t>
        </is>
      </c>
      <c r="C1100" t="n">
        <v>101</v>
      </c>
      <c r="D1100" t="n">
        <v>3</v>
      </c>
      <c r="E1100" t="inlineStr">
        <is>
          <t>Input</t>
        </is>
      </c>
      <c r="F1100" t="n">
        <v/>
      </c>
      <c r="G1100" t="n">
        <v>64216.28</v>
      </c>
      <c r="H1100" t="inlineStr"/>
      <c r="I1100" t="inlineStr">
        <is>
          <t>0.00</t>
        </is>
      </c>
      <c r="J1100" t="b">
        <v>0</v>
      </c>
      <c r="K1100" t="b">
        <v>0</v>
      </c>
      <c r="L1100" t="n">
        <v>11</v>
      </c>
      <c r="M1100" t="inlineStr">
        <is>
          <t>Values must be of type &lt;class 'str'&gt;</t>
        </is>
      </c>
      <c r="N1100" t="inlineStr">
        <is>
          <t>00000000</t>
        </is>
      </c>
      <c r="O1100" t="inlineStr">
        <is>
          <t>center</t>
        </is>
      </c>
      <c r="P1100" t="inlineStr">
        <is>
          <t>top</t>
        </is>
      </c>
      <c r="R1100" t="b">
        <v>1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</row>
    <row r="1101">
      <c r="A1101" t="inlineStr">
        <is>
          <t>ATF fuel</t>
        </is>
      </c>
      <c r="B1101" t="inlineStr">
        <is>
          <t>D101</t>
        </is>
      </c>
      <c r="C1101" t="n">
        <v>101</v>
      </c>
      <c r="D1101" t="n">
        <v>4</v>
      </c>
      <c r="E1101" t="inlineStr">
        <is>
          <t>Input</t>
        </is>
      </c>
      <c r="F1101" t="n">
        <v/>
      </c>
      <c r="G1101" t="n">
        <v>56964.01</v>
      </c>
      <c r="H1101" t="inlineStr"/>
      <c r="I1101" t="inlineStr">
        <is>
          <t>0.00</t>
        </is>
      </c>
      <c r="J1101" t="b">
        <v>0</v>
      </c>
      <c r="K1101" t="b">
        <v>0</v>
      </c>
      <c r="L1101" t="n">
        <v>11</v>
      </c>
      <c r="M1101" t="inlineStr">
        <is>
          <t>Values must be of type &lt;class 'str'&gt;</t>
        </is>
      </c>
      <c r="N1101" t="inlineStr">
        <is>
          <t>00000000</t>
        </is>
      </c>
      <c r="O1101" t="inlineStr">
        <is>
          <t>center</t>
        </is>
      </c>
      <c r="P1101" t="inlineStr">
        <is>
          <t>top</t>
        </is>
      </c>
      <c r="R1101" t="b">
        <v>1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</row>
    <row r="1102">
      <c r="A1102" t="inlineStr">
        <is>
          <t>ATF fuel</t>
        </is>
      </c>
      <c r="B1102" t="inlineStr">
        <is>
          <t>E101</t>
        </is>
      </c>
      <c r="C1102" t="n">
        <v>101</v>
      </c>
      <c r="D1102" t="n">
        <v>5</v>
      </c>
      <c r="E1102" t="inlineStr">
        <is>
          <t>Input</t>
        </is>
      </c>
      <c r="F1102" t="n">
        <v/>
      </c>
      <c r="G1102" t="n">
        <v>60565.18</v>
      </c>
      <c r="H1102" t="inlineStr"/>
      <c r="I1102" t="inlineStr">
        <is>
          <t>0.00</t>
        </is>
      </c>
      <c r="J1102" t="b">
        <v>0</v>
      </c>
      <c r="K1102" t="b">
        <v>0</v>
      </c>
      <c r="L1102" t="n">
        <v>11</v>
      </c>
      <c r="M1102" t="inlineStr">
        <is>
          <t>Values must be of type &lt;class 'str'&gt;</t>
        </is>
      </c>
      <c r="N1102" t="inlineStr">
        <is>
          <t>00000000</t>
        </is>
      </c>
      <c r="O1102" t="inlineStr">
        <is>
          <t>center</t>
        </is>
      </c>
      <c r="P1102" t="inlineStr">
        <is>
          <t>top</t>
        </is>
      </c>
      <c r="R1102" t="b">
        <v>1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</row>
    <row r="1103">
      <c r="A1103" t="inlineStr">
        <is>
          <t>ATF fuel</t>
        </is>
      </c>
      <c r="B1103" t="inlineStr">
        <is>
          <t>F101</t>
        </is>
      </c>
      <c r="C1103" t="n">
        <v>101</v>
      </c>
      <c r="D1103" t="n">
        <v>6</v>
      </c>
      <c r="E1103" t="inlineStr">
        <is>
          <t>Output</t>
        </is>
      </c>
      <c r="F1103" t="inlineStr">
        <is>
          <t>'=AVERAGE(B101:E101)</t>
        </is>
      </c>
      <c r="G1103" t="n">
        <v>59498.0825</v>
      </c>
      <c r="H1103" t="inlineStr"/>
      <c r="I1103" t="inlineStr">
        <is>
          <t>0.00</t>
        </is>
      </c>
      <c r="J1103" t="b">
        <v>0</v>
      </c>
      <c r="K1103" t="b">
        <v>0</v>
      </c>
      <c r="L1103" t="n">
        <v>11</v>
      </c>
      <c r="M1103" t="inlineStr">
        <is>
          <t>Values must be of type &lt;class 'str'&gt;</t>
        </is>
      </c>
      <c r="N1103" t="inlineStr">
        <is>
          <t>00000000</t>
        </is>
      </c>
      <c r="O1103" t="inlineStr">
        <is>
          <t>center</t>
        </is>
      </c>
      <c r="P1103" t="inlineStr">
        <is>
          <t>top</t>
        </is>
      </c>
      <c r="R1103" t="b">
        <v>1</v>
      </c>
      <c r="S1103" t="inlineStr">
        <is>
          <t>G000284</t>
        </is>
      </c>
      <c r="T1103" t="inlineStr">
        <is>
          <t>Vertical</t>
        </is>
      </c>
      <c r="U1103" t="n">
        <v>130</v>
      </c>
      <c r="V1103" t="b">
        <v>1</v>
      </c>
      <c r="W1103" t="inlineStr">
        <is>
          <t>ATF fuel!F2:F131</t>
        </is>
      </c>
      <c r="X1103">
        <f>AVERAGE(R[0]C[-4]:R[0]C[-1])</f>
        <v/>
      </c>
    </row>
    <row r="1104">
      <c r="A1104" t="inlineStr">
        <is>
          <t>ATF fuel</t>
        </is>
      </c>
      <c r="B1104" t="inlineStr">
        <is>
          <t>G101</t>
        </is>
      </c>
      <c r="C1104" t="n">
        <v>101</v>
      </c>
      <c r="D1104" t="n">
        <v>7</v>
      </c>
      <c r="E1104" t="inlineStr">
        <is>
          <t>Calculation</t>
        </is>
      </c>
      <c r="F1104" t="inlineStr">
        <is>
          <t>'=G100-1</t>
        </is>
      </c>
      <c r="G1104" t="n">
        <v>32</v>
      </c>
      <c r="H1104" t="inlineStr"/>
      <c r="I1104" t="inlineStr">
        <is>
          <t>#,##0</t>
        </is>
      </c>
      <c r="J1104" t="b">
        <v>0</v>
      </c>
      <c r="K1104" t="b">
        <v>0</v>
      </c>
      <c r="L1104" t="n">
        <v>11</v>
      </c>
      <c r="M1104" t="inlineStr">
        <is>
          <t>Values must be of type &lt;class 'str'&gt;</t>
        </is>
      </c>
      <c r="N1104" t="inlineStr">
        <is>
          <t>00000000</t>
        </is>
      </c>
      <c r="O1104" t="n">
        <v/>
      </c>
      <c r="P1104" t="n">
        <v/>
      </c>
      <c r="R1104" t="b">
        <v>1</v>
      </c>
      <c r="S1104" t="inlineStr">
        <is>
          <t>G000286</t>
        </is>
      </c>
      <c r="T1104" t="inlineStr">
        <is>
          <t>Vertical</t>
        </is>
      </c>
      <c r="U1104" t="n">
        <v>129</v>
      </c>
      <c r="V1104" t="b">
        <v>1</v>
      </c>
      <c r="W1104" t="inlineStr">
        <is>
          <t>ATF fuel!G3:G131</t>
        </is>
      </c>
      <c r="X1104">
        <f>R[-1]C[0]-1</f>
        <v/>
      </c>
    </row>
    <row r="1105">
      <c r="A1105" t="inlineStr">
        <is>
          <t>ATF fuel</t>
        </is>
      </c>
      <c r="B1105" t="inlineStr">
        <is>
          <t>A102</t>
        </is>
      </c>
      <c r="C1105" t="n">
        <v>102</v>
      </c>
      <c r="D1105" t="n">
        <v>1</v>
      </c>
      <c r="E1105" t="inlineStr">
        <is>
          <t>Input</t>
        </is>
      </c>
      <c r="F1105" t="n">
        <v/>
      </c>
      <c r="G1105" t="inlineStr">
        <is>
          <t>June 16, 2011</t>
        </is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11</v>
      </c>
      <c r="M1105" t="inlineStr">
        <is>
          <t>Values must be of type &lt;class 'str'&gt;</t>
        </is>
      </c>
      <c r="N1105" t="inlineStr">
        <is>
          <t>00000000</t>
        </is>
      </c>
      <c r="O1105" t="n">
        <v/>
      </c>
      <c r="P1105" t="n">
        <v/>
      </c>
      <c r="R1105" t="b">
        <v>1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</row>
    <row r="1106">
      <c r="A1106" t="inlineStr">
        <is>
          <t>ATF fuel</t>
        </is>
      </c>
      <c r="B1106" t="inlineStr">
        <is>
          <t>B102</t>
        </is>
      </c>
      <c r="C1106" t="n">
        <v>102</v>
      </c>
      <c r="D1106" t="n">
        <v>2</v>
      </c>
      <c r="E1106" t="inlineStr">
        <is>
          <t>Input</t>
        </is>
      </c>
      <c r="F1106" t="n">
        <v/>
      </c>
      <c r="G1106" t="n">
        <v>57842.92</v>
      </c>
      <c r="H1106" t="inlineStr"/>
      <c r="I1106" t="inlineStr">
        <is>
          <t>0.00</t>
        </is>
      </c>
      <c r="J1106" t="b">
        <v>0</v>
      </c>
      <c r="K1106" t="b">
        <v>0</v>
      </c>
      <c r="L1106" t="n">
        <v>11</v>
      </c>
      <c r="M1106" t="inlineStr">
        <is>
          <t>Values must be of type &lt;class 'str'&gt;</t>
        </is>
      </c>
      <c r="N1106" t="inlineStr">
        <is>
          <t>00000000</t>
        </is>
      </c>
      <c r="O1106" t="inlineStr">
        <is>
          <t>center</t>
        </is>
      </c>
      <c r="P1106" t="inlineStr">
        <is>
          <t>top</t>
        </is>
      </c>
      <c r="R1106" t="b">
        <v>1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</row>
    <row r="1107">
      <c r="A1107" t="inlineStr">
        <is>
          <t>ATF fuel</t>
        </is>
      </c>
      <c r="B1107" t="inlineStr">
        <is>
          <t>C102</t>
        </is>
      </c>
      <c r="C1107" t="n">
        <v>102</v>
      </c>
      <c r="D1107" t="n">
        <v>3</v>
      </c>
      <c r="E1107" t="inlineStr">
        <is>
          <t>Input</t>
        </is>
      </c>
      <c r="F1107" t="n">
        <v/>
      </c>
      <c r="G1107" t="n">
        <v>65934.59</v>
      </c>
      <c r="H1107" t="inlineStr"/>
      <c r="I1107" t="inlineStr">
        <is>
          <t>0.00</t>
        </is>
      </c>
      <c r="J1107" t="b">
        <v>0</v>
      </c>
      <c r="K1107" t="b">
        <v>0</v>
      </c>
      <c r="L1107" t="n">
        <v>11</v>
      </c>
      <c r="M1107" t="inlineStr">
        <is>
          <t>Values must be of type &lt;class 'str'&gt;</t>
        </is>
      </c>
      <c r="N1107" t="inlineStr">
        <is>
          <t>00000000</t>
        </is>
      </c>
      <c r="O1107" t="inlineStr">
        <is>
          <t>center</t>
        </is>
      </c>
      <c r="P1107" t="inlineStr">
        <is>
          <t>top</t>
        </is>
      </c>
      <c r="R1107" t="b">
        <v>1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</row>
    <row r="1108">
      <c r="A1108" t="inlineStr">
        <is>
          <t>ATF fuel</t>
        </is>
      </c>
      <c r="B1108" t="inlineStr">
        <is>
          <t>D102</t>
        </is>
      </c>
      <c r="C1108" t="n">
        <v>102</v>
      </c>
      <c r="D1108" t="n">
        <v>4</v>
      </c>
      <c r="E1108" t="inlineStr">
        <is>
          <t>Input</t>
        </is>
      </c>
      <c r="F1108" t="n">
        <v/>
      </c>
      <c r="G1108" t="n">
        <v>58601.14</v>
      </c>
      <c r="H1108" t="inlineStr"/>
      <c r="I1108" t="inlineStr">
        <is>
          <t>0.00</t>
        </is>
      </c>
      <c r="J1108" t="b">
        <v>0</v>
      </c>
      <c r="K1108" t="b">
        <v>0</v>
      </c>
      <c r="L1108" t="n">
        <v>11</v>
      </c>
      <c r="M1108" t="inlineStr">
        <is>
          <t>Values must be of type &lt;class 'str'&gt;</t>
        </is>
      </c>
      <c r="N1108" t="inlineStr">
        <is>
          <t>00000000</t>
        </is>
      </c>
      <c r="O1108" t="inlineStr">
        <is>
          <t>center</t>
        </is>
      </c>
      <c r="P1108" t="inlineStr">
        <is>
          <t>top</t>
        </is>
      </c>
      <c r="R1108" t="b">
        <v>1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</row>
    <row r="1109">
      <c r="A1109" t="inlineStr">
        <is>
          <t>ATF fuel</t>
        </is>
      </c>
      <c r="B1109" t="inlineStr">
        <is>
          <t>E102</t>
        </is>
      </c>
      <c r="C1109" t="n">
        <v>102</v>
      </c>
      <c r="D1109" t="n">
        <v>5</v>
      </c>
      <c r="E1109" t="inlineStr">
        <is>
          <t>Input</t>
        </is>
      </c>
      <c r="F1109" t="n">
        <v/>
      </c>
      <c r="G1109" t="n">
        <v>62338.48</v>
      </c>
      <c r="H1109" t="inlineStr"/>
      <c r="I1109" t="inlineStr">
        <is>
          <t>0.00</t>
        </is>
      </c>
      <c r="J1109" t="b">
        <v>0</v>
      </c>
      <c r="K1109" t="b">
        <v>0</v>
      </c>
      <c r="L1109" t="n">
        <v>11</v>
      </c>
      <c r="M1109" t="inlineStr">
        <is>
          <t>Values must be of type &lt;class 'str'&gt;</t>
        </is>
      </c>
      <c r="N1109" t="inlineStr">
        <is>
          <t>00000000</t>
        </is>
      </c>
      <c r="O1109" t="inlineStr">
        <is>
          <t>center</t>
        </is>
      </c>
      <c r="P1109" t="inlineStr">
        <is>
          <t>top</t>
        </is>
      </c>
      <c r="R1109" t="b">
        <v>1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</row>
    <row r="1110">
      <c r="A1110" t="inlineStr">
        <is>
          <t>ATF fuel</t>
        </is>
      </c>
      <c r="B1110" t="inlineStr">
        <is>
          <t>F102</t>
        </is>
      </c>
      <c r="C1110" t="n">
        <v>102</v>
      </c>
      <c r="D1110" t="n">
        <v>6</v>
      </c>
      <c r="E1110" t="inlineStr">
        <is>
          <t>Output</t>
        </is>
      </c>
      <c r="F1110" t="inlineStr">
        <is>
          <t>'=AVERAGE(B102:E102)</t>
        </is>
      </c>
      <c r="G1110" t="n">
        <v>61179.2825</v>
      </c>
      <c r="H1110" t="inlineStr"/>
      <c r="I1110" t="inlineStr">
        <is>
          <t>0.00</t>
        </is>
      </c>
      <c r="J1110" t="b">
        <v>0</v>
      </c>
      <c r="K1110" t="b">
        <v>0</v>
      </c>
      <c r="L1110" t="n">
        <v>11</v>
      </c>
      <c r="M1110" t="inlineStr">
        <is>
          <t>Values must be of type &lt;class 'str'&gt;</t>
        </is>
      </c>
      <c r="N1110" t="inlineStr">
        <is>
          <t>00000000</t>
        </is>
      </c>
      <c r="O1110" t="inlineStr">
        <is>
          <t>center</t>
        </is>
      </c>
      <c r="P1110" t="inlineStr">
        <is>
          <t>top</t>
        </is>
      </c>
      <c r="R1110" t="b">
        <v>1</v>
      </c>
      <c r="S1110" t="inlineStr">
        <is>
          <t>G000284</t>
        </is>
      </c>
      <c r="T1110" t="inlineStr">
        <is>
          <t>Vertical</t>
        </is>
      </c>
      <c r="U1110" t="n">
        <v>130</v>
      </c>
      <c r="V1110" t="b">
        <v>1</v>
      </c>
      <c r="W1110" t="inlineStr">
        <is>
          <t>ATF fuel!F2:F131</t>
        </is>
      </c>
      <c r="X1110">
        <f>AVERAGE(R[0]C[-4]:R[0]C[-1])</f>
        <v/>
      </c>
    </row>
    <row r="1111">
      <c r="A1111" t="inlineStr">
        <is>
          <t>ATF fuel</t>
        </is>
      </c>
      <c r="B1111" t="inlineStr">
        <is>
          <t>G102</t>
        </is>
      </c>
      <c r="C1111" t="n">
        <v>102</v>
      </c>
      <c r="D1111" t="n">
        <v>7</v>
      </c>
      <c r="E1111" t="inlineStr">
        <is>
          <t>Calculation</t>
        </is>
      </c>
      <c r="F1111" t="inlineStr">
        <is>
          <t>'=G101-1</t>
        </is>
      </c>
      <c r="G1111" t="n">
        <v>31</v>
      </c>
      <c r="H1111" t="inlineStr"/>
      <c r="I1111" t="inlineStr">
        <is>
          <t>#,##0</t>
        </is>
      </c>
      <c r="J1111" t="b">
        <v>0</v>
      </c>
      <c r="K1111" t="b">
        <v>0</v>
      </c>
      <c r="L1111" t="n">
        <v>11</v>
      </c>
      <c r="M1111" t="inlineStr">
        <is>
          <t>Values must be of type &lt;class 'str'&gt;</t>
        </is>
      </c>
      <c r="N1111" t="inlineStr">
        <is>
          <t>00000000</t>
        </is>
      </c>
      <c r="O1111" t="n">
        <v/>
      </c>
      <c r="P1111" t="n">
        <v/>
      </c>
      <c r="R1111" t="b">
        <v>1</v>
      </c>
      <c r="S1111" t="inlineStr">
        <is>
          <t>G000286</t>
        </is>
      </c>
      <c r="T1111" t="inlineStr">
        <is>
          <t>Vertical</t>
        </is>
      </c>
      <c r="U1111" t="n">
        <v>129</v>
      </c>
      <c r="V1111" t="b">
        <v>1</v>
      </c>
      <c r="W1111" t="inlineStr">
        <is>
          <t>ATF fuel!G3:G131</t>
        </is>
      </c>
      <c r="X1111">
        <f>R[-1]C[0]-1</f>
        <v/>
      </c>
    </row>
    <row r="1112">
      <c r="A1112" t="inlineStr">
        <is>
          <t>ATF fuel</t>
        </is>
      </c>
      <c r="B1112" t="inlineStr">
        <is>
          <t>A103</t>
        </is>
      </c>
      <c r="C1112" t="n">
        <v>103</v>
      </c>
      <c r="D1112" t="n">
        <v>1</v>
      </c>
      <c r="E1112" t="inlineStr">
        <is>
          <t>Input</t>
        </is>
      </c>
      <c r="F1112" t="n">
        <v/>
      </c>
      <c r="G1112" t="inlineStr">
        <is>
          <t>June 01, 2011</t>
        </is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11</v>
      </c>
      <c r="M1112" t="inlineStr">
        <is>
          <t>Values must be of type &lt;class 'str'&gt;</t>
        </is>
      </c>
      <c r="N1112" t="inlineStr">
        <is>
          <t>00000000</t>
        </is>
      </c>
      <c r="O1112" t="n">
        <v/>
      </c>
      <c r="P1112" t="n">
        <v/>
      </c>
      <c r="R1112" t="b">
        <v>1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</row>
    <row r="1113">
      <c r="A1113" t="inlineStr">
        <is>
          <t>ATF fuel</t>
        </is>
      </c>
      <c r="B1113" t="inlineStr">
        <is>
          <t>B103</t>
        </is>
      </c>
      <c r="C1113" t="n">
        <v>103</v>
      </c>
      <c r="D1113" t="n">
        <v>2</v>
      </c>
      <c r="E1113" t="inlineStr">
        <is>
          <t>Input</t>
        </is>
      </c>
      <c r="F1113" t="n">
        <v/>
      </c>
      <c r="G1113" t="n">
        <v>56466.11</v>
      </c>
      <c r="H1113" t="inlineStr"/>
      <c r="I1113" t="inlineStr">
        <is>
          <t>0.00</t>
        </is>
      </c>
      <c r="J1113" t="b">
        <v>0</v>
      </c>
      <c r="K1113" t="b">
        <v>0</v>
      </c>
      <c r="L1113" t="n">
        <v>11</v>
      </c>
      <c r="M1113" t="inlineStr">
        <is>
          <t>Values must be of type &lt;class 'str'&gt;</t>
        </is>
      </c>
      <c r="N1113" t="inlineStr">
        <is>
          <t>00000000</t>
        </is>
      </c>
      <c r="O1113" t="inlineStr">
        <is>
          <t>center</t>
        </is>
      </c>
      <c r="P1113" t="inlineStr">
        <is>
          <t>top</t>
        </is>
      </c>
      <c r="R1113" t="b">
        <v>1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</row>
    <row r="1114">
      <c r="A1114" t="inlineStr">
        <is>
          <t>ATF fuel</t>
        </is>
      </c>
      <c r="B1114" t="inlineStr">
        <is>
          <t>C103</t>
        </is>
      </c>
      <c r="C1114" t="n">
        <v>103</v>
      </c>
      <c r="D1114" t="n">
        <v>3</v>
      </c>
      <c r="E1114" t="inlineStr">
        <is>
          <t>Input</t>
        </is>
      </c>
      <c r="F1114" t="n">
        <v/>
      </c>
      <c r="G1114" t="n">
        <v>64500.41</v>
      </c>
      <c r="H1114" t="inlineStr"/>
      <c r="I1114" t="inlineStr">
        <is>
          <t>0.00</t>
        </is>
      </c>
      <c r="J1114" t="b">
        <v>0</v>
      </c>
      <c r="K1114" t="b">
        <v>0</v>
      </c>
      <c r="L1114" t="n">
        <v>11</v>
      </c>
      <c r="M1114" t="inlineStr">
        <is>
          <t>Values must be of type &lt;class 'str'&gt;</t>
        </is>
      </c>
      <c r="N1114" t="inlineStr">
        <is>
          <t>00000000</t>
        </is>
      </c>
      <c r="O1114" t="inlineStr">
        <is>
          <t>center</t>
        </is>
      </c>
      <c r="P1114" t="inlineStr">
        <is>
          <t>top</t>
        </is>
      </c>
      <c r="R1114" t="b">
        <v>1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</row>
    <row r="1115">
      <c r="A1115" t="inlineStr">
        <is>
          <t>ATF fuel</t>
        </is>
      </c>
      <c r="B1115" t="inlineStr">
        <is>
          <t>D103</t>
        </is>
      </c>
      <c r="C1115" t="n">
        <v>103</v>
      </c>
      <c r="D1115" t="n">
        <v>4</v>
      </c>
      <c r="E1115" t="inlineStr">
        <is>
          <t>Input</t>
        </is>
      </c>
      <c r="F1115" t="n">
        <v/>
      </c>
      <c r="G1115" t="n">
        <v>57166.96</v>
      </c>
      <c r="H1115" t="inlineStr"/>
      <c r="I1115" t="inlineStr">
        <is>
          <t>0.00</t>
        </is>
      </c>
      <c r="J1115" t="b">
        <v>0</v>
      </c>
      <c r="K1115" t="b">
        <v>0</v>
      </c>
      <c r="L1115" t="n">
        <v>11</v>
      </c>
      <c r="M1115" t="inlineStr">
        <is>
          <t>Values must be of type &lt;class 'str'&gt;</t>
        </is>
      </c>
      <c r="N1115" t="inlineStr">
        <is>
          <t>00000000</t>
        </is>
      </c>
      <c r="O1115" t="inlineStr">
        <is>
          <t>center</t>
        </is>
      </c>
      <c r="P1115" t="inlineStr">
        <is>
          <t>top</t>
        </is>
      </c>
      <c r="R1115" t="b">
        <v>1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</row>
    <row r="1116">
      <c r="A1116" t="inlineStr">
        <is>
          <t>ATF fuel</t>
        </is>
      </c>
      <c r="B1116" t="inlineStr">
        <is>
          <t>E103</t>
        </is>
      </c>
      <c r="C1116" t="n">
        <v>103</v>
      </c>
      <c r="D1116" t="n">
        <v>5</v>
      </c>
      <c r="E1116" t="inlineStr">
        <is>
          <t>Input</t>
        </is>
      </c>
      <c r="F1116" t="n">
        <v/>
      </c>
      <c r="G1116" t="n">
        <v>60858.41</v>
      </c>
      <c r="H1116" t="inlineStr"/>
      <c r="I1116" t="inlineStr">
        <is>
          <t>0.00</t>
        </is>
      </c>
      <c r="J1116" t="b">
        <v>0</v>
      </c>
      <c r="K1116" t="b">
        <v>0</v>
      </c>
      <c r="L1116" t="n">
        <v>11</v>
      </c>
      <c r="M1116" t="inlineStr">
        <is>
          <t>Values must be of type &lt;class 'str'&gt;</t>
        </is>
      </c>
      <c r="N1116" t="inlineStr">
        <is>
          <t>00000000</t>
        </is>
      </c>
      <c r="O1116" t="inlineStr">
        <is>
          <t>center</t>
        </is>
      </c>
      <c r="P1116" t="inlineStr">
        <is>
          <t>top</t>
        </is>
      </c>
      <c r="R1116" t="b">
        <v>1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</row>
    <row r="1117">
      <c r="A1117" t="inlineStr">
        <is>
          <t>ATF fuel</t>
        </is>
      </c>
      <c r="B1117" t="inlineStr">
        <is>
          <t>F103</t>
        </is>
      </c>
      <c r="C1117" t="n">
        <v>103</v>
      </c>
      <c r="D1117" t="n">
        <v>6</v>
      </c>
      <c r="E1117" t="inlineStr">
        <is>
          <t>Output</t>
        </is>
      </c>
      <c r="F1117" t="inlineStr">
        <is>
          <t>'=AVERAGE(B103:E103)</t>
        </is>
      </c>
      <c r="G1117" t="n">
        <v>59747.9725</v>
      </c>
      <c r="H1117" t="inlineStr"/>
      <c r="I1117" t="inlineStr">
        <is>
          <t>0.00</t>
        </is>
      </c>
      <c r="J1117" t="b">
        <v>0</v>
      </c>
      <c r="K1117" t="b">
        <v>0</v>
      </c>
      <c r="L1117" t="n">
        <v>11</v>
      </c>
      <c r="M1117" t="inlineStr">
        <is>
          <t>Values must be of type &lt;class 'str'&gt;</t>
        </is>
      </c>
      <c r="N1117" t="inlineStr">
        <is>
          <t>00000000</t>
        </is>
      </c>
      <c r="O1117" t="inlineStr">
        <is>
          <t>center</t>
        </is>
      </c>
      <c r="P1117" t="inlineStr">
        <is>
          <t>top</t>
        </is>
      </c>
      <c r="R1117" t="b">
        <v>1</v>
      </c>
      <c r="S1117" t="inlineStr">
        <is>
          <t>G000284</t>
        </is>
      </c>
      <c r="T1117" t="inlineStr">
        <is>
          <t>Vertical</t>
        </is>
      </c>
      <c r="U1117" t="n">
        <v>130</v>
      </c>
      <c r="V1117" t="b">
        <v>1</v>
      </c>
      <c r="W1117" t="inlineStr">
        <is>
          <t>ATF fuel!F2:F131</t>
        </is>
      </c>
      <c r="X1117">
        <f>AVERAGE(R[0]C[-4]:R[0]C[-1])</f>
        <v/>
      </c>
    </row>
    <row r="1118">
      <c r="A1118" t="inlineStr">
        <is>
          <t>ATF fuel</t>
        </is>
      </c>
      <c r="B1118" t="inlineStr">
        <is>
          <t>G103</t>
        </is>
      </c>
      <c r="C1118" t="n">
        <v>103</v>
      </c>
      <c r="D1118" t="n">
        <v>7</v>
      </c>
      <c r="E1118" t="inlineStr">
        <is>
          <t>Calculation</t>
        </is>
      </c>
      <c r="F1118" t="inlineStr">
        <is>
          <t>'=G102-1</t>
        </is>
      </c>
      <c r="G1118" t="n">
        <v>30</v>
      </c>
      <c r="H1118" t="inlineStr"/>
      <c r="I1118" t="inlineStr">
        <is>
          <t>#,##0</t>
        </is>
      </c>
      <c r="J1118" t="b">
        <v>0</v>
      </c>
      <c r="K1118" t="b">
        <v>0</v>
      </c>
      <c r="L1118" t="n">
        <v>11</v>
      </c>
      <c r="M1118" t="inlineStr">
        <is>
          <t>Values must be of type &lt;class 'str'&gt;</t>
        </is>
      </c>
      <c r="N1118" t="inlineStr">
        <is>
          <t>00000000</t>
        </is>
      </c>
      <c r="O1118" t="n">
        <v/>
      </c>
      <c r="P1118" t="n">
        <v/>
      </c>
      <c r="R1118" t="b">
        <v>1</v>
      </c>
      <c r="S1118" t="inlineStr">
        <is>
          <t>G000286</t>
        </is>
      </c>
      <c r="T1118" t="inlineStr">
        <is>
          <t>Vertical</t>
        </is>
      </c>
      <c r="U1118" t="n">
        <v>129</v>
      </c>
      <c r="V1118" t="b">
        <v>1</v>
      </c>
      <c r="W1118" t="inlineStr">
        <is>
          <t>ATF fuel!G3:G131</t>
        </is>
      </c>
      <c r="X1118">
        <f>R[-1]C[0]-1</f>
        <v/>
      </c>
    </row>
    <row r="1119">
      <c r="A1119" t="inlineStr">
        <is>
          <t>ATF fuel</t>
        </is>
      </c>
      <c r="B1119" t="inlineStr">
        <is>
          <t>A104</t>
        </is>
      </c>
      <c r="C1119" t="n">
        <v>104</v>
      </c>
      <c r="D1119" t="n">
        <v>1</v>
      </c>
      <c r="E1119" t="inlineStr">
        <is>
          <t>Input</t>
        </is>
      </c>
      <c r="F1119" t="n">
        <v/>
      </c>
      <c r="G1119" t="inlineStr">
        <is>
          <t>May 16, 2011</t>
        </is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11</v>
      </c>
      <c r="M1119" t="inlineStr">
        <is>
          <t>Values must be of type &lt;class 'str'&gt;</t>
        </is>
      </c>
      <c r="N1119" t="inlineStr">
        <is>
          <t>00000000</t>
        </is>
      </c>
      <c r="O1119" t="n">
        <v/>
      </c>
      <c r="P1119" t="n">
        <v/>
      </c>
      <c r="R1119" t="b">
        <v>1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</row>
    <row r="1120">
      <c r="A1120" t="inlineStr">
        <is>
          <t>ATF fuel</t>
        </is>
      </c>
      <c r="B1120" t="inlineStr">
        <is>
          <t>B104</t>
        </is>
      </c>
      <c r="C1120" t="n">
        <v>104</v>
      </c>
      <c r="D1120" t="n">
        <v>2</v>
      </c>
      <c r="E1120" t="inlineStr">
        <is>
          <t>Input</t>
        </is>
      </c>
      <c r="F1120" t="n">
        <v/>
      </c>
      <c r="G1120" t="n">
        <v>58794</v>
      </c>
      <c r="H1120" t="inlineStr"/>
      <c r="I1120" t="inlineStr">
        <is>
          <t>0.00</t>
        </is>
      </c>
      <c r="J1120" t="b">
        <v>0</v>
      </c>
      <c r="K1120" t="b">
        <v>0</v>
      </c>
      <c r="L1120" t="n">
        <v>11</v>
      </c>
      <c r="M1120" t="inlineStr">
        <is>
          <t>Values must be of type &lt;class 'str'&gt;</t>
        </is>
      </c>
      <c r="N1120" t="inlineStr">
        <is>
          <t>00000000</t>
        </is>
      </c>
      <c r="O1120" t="inlineStr">
        <is>
          <t>center</t>
        </is>
      </c>
      <c r="P1120" t="inlineStr">
        <is>
          <t>top</t>
        </is>
      </c>
      <c r="R1120" t="b">
        <v>1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</row>
    <row r="1121">
      <c r="A1121" t="inlineStr">
        <is>
          <t>ATF fuel</t>
        </is>
      </c>
      <c r="B1121" t="inlineStr">
        <is>
          <t>C104</t>
        </is>
      </c>
      <c r="C1121" t="n">
        <v>104</v>
      </c>
      <c r="D1121" t="n">
        <v>3</v>
      </c>
      <c r="E1121" t="inlineStr">
        <is>
          <t>Input</t>
        </is>
      </c>
      <c r="F1121" t="n">
        <v/>
      </c>
      <c r="G1121" t="n">
        <v>66909</v>
      </c>
      <c r="H1121" t="inlineStr"/>
      <c r="I1121" t="inlineStr">
        <is>
          <t>0.00</t>
        </is>
      </c>
      <c r="J1121" t="b">
        <v>0</v>
      </c>
      <c r="K1121" t="b">
        <v>0</v>
      </c>
      <c r="L1121" t="n">
        <v>11</v>
      </c>
      <c r="M1121" t="inlineStr">
        <is>
          <t>Values must be of type &lt;class 'str'&gt;</t>
        </is>
      </c>
      <c r="N1121" t="inlineStr">
        <is>
          <t>00000000</t>
        </is>
      </c>
      <c r="O1121" t="inlineStr">
        <is>
          <t>center</t>
        </is>
      </c>
      <c r="P1121" t="inlineStr">
        <is>
          <t>top</t>
        </is>
      </c>
      <c r="R1121" t="b">
        <v>1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</row>
    <row r="1122">
      <c r="A1122" t="inlineStr">
        <is>
          <t>ATF fuel</t>
        </is>
      </c>
      <c r="B1122" t="inlineStr">
        <is>
          <t>D104</t>
        </is>
      </c>
      <c r="C1122" t="n">
        <v>104</v>
      </c>
      <c r="D1122" t="n">
        <v>4</v>
      </c>
      <c r="E1122" t="inlineStr">
        <is>
          <t>Input</t>
        </is>
      </c>
      <c r="F1122" t="n">
        <v/>
      </c>
      <c r="G1122" t="n">
        <v>59602</v>
      </c>
      <c r="H1122" t="inlineStr"/>
      <c r="I1122" t="inlineStr">
        <is>
          <t>0.00</t>
        </is>
      </c>
      <c r="J1122" t="b">
        <v>0</v>
      </c>
      <c r="K1122" t="b">
        <v>0</v>
      </c>
      <c r="L1122" t="n">
        <v>11</v>
      </c>
      <c r="M1122" t="inlineStr">
        <is>
          <t>Values must be of type &lt;class 'str'&gt;</t>
        </is>
      </c>
      <c r="N1122" t="inlineStr">
        <is>
          <t>00000000</t>
        </is>
      </c>
      <c r="O1122" t="inlineStr">
        <is>
          <t>center</t>
        </is>
      </c>
      <c r="P1122" t="inlineStr">
        <is>
          <t>top</t>
        </is>
      </c>
      <c r="R1122" t="b">
        <v>1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</row>
    <row r="1123">
      <c r="A1123" t="inlineStr">
        <is>
          <t>ATF fuel</t>
        </is>
      </c>
      <c r="B1123" t="inlineStr">
        <is>
          <t>E104</t>
        </is>
      </c>
      <c r="C1123" t="n">
        <v>104</v>
      </c>
      <c r="D1123" t="n">
        <v>5</v>
      </c>
      <c r="E1123" t="inlineStr">
        <is>
          <t>Input</t>
        </is>
      </c>
      <c r="F1123" t="n">
        <v/>
      </c>
      <c r="G1123" t="n">
        <v>63358</v>
      </c>
      <c r="H1123" t="inlineStr"/>
      <c r="I1123" t="inlineStr">
        <is>
          <t>0.00</t>
        </is>
      </c>
      <c r="J1123" t="b">
        <v>0</v>
      </c>
      <c r="K1123" t="b">
        <v>0</v>
      </c>
      <c r="L1123" t="n">
        <v>11</v>
      </c>
      <c r="M1123" t="inlineStr">
        <is>
          <t>Values must be of type &lt;class 'str'&gt;</t>
        </is>
      </c>
      <c r="N1123" t="inlineStr">
        <is>
          <t>00000000</t>
        </is>
      </c>
      <c r="O1123" t="inlineStr">
        <is>
          <t>center</t>
        </is>
      </c>
      <c r="P1123" t="inlineStr">
        <is>
          <t>top</t>
        </is>
      </c>
      <c r="R1123" t="b">
        <v>1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</row>
    <row r="1124">
      <c r="A1124" t="inlineStr">
        <is>
          <t>ATF fuel</t>
        </is>
      </c>
      <c r="B1124" t="inlineStr">
        <is>
          <t>F104</t>
        </is>
      </c>
      <c r="C1124" t="n">
        <v>104</v>
      </c>
      <c r="D1124" t="n">
        <v>6</v>
      </c>
      <c r="E1124" t="inlineStr">
        <is>
          <t>Output</t>
        </is>
      </c>
      <c r="F1124" t="inlineStr">
        <is>
          <t>'=AVERAGE(B104:E104)</t>
        </is>
      </c>
      <c r="G1124" t="n">
        <v>62165.75</v>
      </c>
      <c r="H1124" t="inlineStr"/>
      <c r="I1124" t="inlineStr">
        <is>
          <t>0.00</t>
        </is>
      </c>
      <c r="J1124" t="b">
        <v>0</v>
      </c>
      <c r="K1124" t="b">
        <v>0</v>
      </c>
      <c r="L1124" t="n">
        <v>11</v>
      </c>
      <c r="M1124" t="inlineStr">
        <is>
          <t>Values must be of type &lt;class 'str'&gt;</t>
        </is>
      </c>
      <c r="N1124" t="inlineStr">
        <is>
          <t>00000000</t>
        </is>
      </c>
      <c r="O1124" t="inlineStr">
        <is>
          <t>center</t>
        </is>
      </c>
      <c r="P1124" t="inlineStr">
        <is>
          <t>top</t>
        </is>
      </c>
      <c r="R1124" t="b">
        <v>1</v>
      </c>
      <c r="S1124" t="inlineStr">
        <is>
          <t>G000284</t>
        </is>
      </c>
      <c r="T1124" t="inlineStr">
        <is>
          <t>Vertical</t>
        </is>
      </c>
      <c r="U1124" t="n">
        <v>130</v>
      </c>
      <c r="V1124" t="b">
        <v>1</v>
      </c>
      <c r="W1124" t="inlineStr">
        <is>
          <t>ATF fuel!F2:F131</t>
        </is>
      </c>
      <c r="X1124">
        <f>AVERAGE(R[0]C[-4]:R[0]C[-1])</f>
        <v/>
      </c>
    </row>
    <row r="1125">
      <c r="A1125" t="inlineStr">
        <is>
          <t>ATF fuel</t>
        </is>
      </c>
      <c r="B1125" t="inlineStr">
        <is>
          <t>G104</t>
        </is>
      </c>
      <c r="C1125" t="n">
        <v>104</v>
      </c>
      <c r="D1125" t="n">
        <v>7</v>
      </c>
      <c r="E1125" t="inlineStr">
        <is>
          <t>Calculation</t>
        </is>
      </c>
      <c r="F1125" t="inlineStr">
        <is>
          <t>'=G103-1</t>
        </is>
      </c>
      <c r="G1125" t="n">
        <v>29</v>
      </c>
      <c r="H1125" t="inlineStr"/>
      <c r="I1125" t="inlineStr">
        <is>
          <t>#,##0</t>
        </is>
      </c>
      <c r="J1125" t="b">
        <v>0</v>
      </c>
      <c r="K1125" t="b">
        <v>0</v>
      </c>
      <c r="L1125" t="n">
        <v>11</v>
      </c>
      <c r="M1125" t="inlineStr">
        <is>
          <t>Values must be of type &lt;class 'str'&gt;</t>
        </is>
      </c>
      <c r="N1125" t="inlineStr">
        <is>
          <t>00000000</t>
        </is>
      </c>
      <c r="O1125" t="n">
        <v/>
      </c>
      <c r="P1125" t="n">
        <v/>
      </c>
      <c r="R1125" t="b">
        <v>1</v>
      </c>
      <c r="S1125" t="inlineStr">
        <is>
          <t>G000286</t>
        </is>
      </c>
      <c r="T1125" t="inlineStr">
        <is>
          <t>Vertical</t>
        </is>
      </c>
      <c r="U1125" t="n">
        <v>129</v>
      </c>
      <c r="V1125" t="b">
        <v>1</v>
      </c>
      <c r="W1125" t="inlineStr">
        <is>
          <t>ATF fuel!G3:G131</t>
        </is>
      </c>
      <c r="X1125">
        <f>R[-1]C[0]-1</f>
        <v/>
      </c>
    </row>
    <row r="1126">
      <c r="A1126" t="inlineStr">
        <is>
          <t>ATF fuel</t>
        </is>
      </c>
      <c r="B1126" t="inlineStr">
        <is>
          <t>A105</t>
        </is>
      </c>
      <c r="C1126" t="n">
        <v>105</v>
      </c>
      <c r="D1126" t="n">
        <v>1</v>
      </c>
      <c r="E1126" t="inlineStr">
        <is>
          <t>Input</t>
        </is>
      </c>
      <c r="F1126" t="n">
        <v/>
      </c>
      <c r="G1126" t="inlineStr">
        <is>
          <t>May 01, 2011</t>
        </is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11</v>
      </c>
      <c r="M1126" t="inlineStr">
        <is>
          <t>Values must be of type &lt;class 'str'&gt;</t>
        </is>
      </c>
      <c r="N1126" t="inlineStr">
        <is>
          <t>00000000</t>
        </is>
      </c>
      <c r="O1126" t="n">
        <v/>
      </c>
      <c r="P1126" t="n">
        <v/>
      </c>
      <c r="R1126" t="b">
        <v>1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</row>
    <row r="1127">
      <c r="A1127" t="inlineStr">
        <is>
          <t>ATF fuel</t>
        </is>
      </c>
      <c r="B1127" t="inlineStr">
        <is>
          <t>B105</t>
        </is>
      </c>
      <c r="C1127" t="n">
        <v>105</v>
      </c>
      <c r="D1127" t="n">
        <v>2</v>
      </c>
      <c r="E1127" t="inlineStr">
        <is>
          <t>Input</t>
        </is>
      </c>
      <c r="F1127" t="n">
        <v/>
      </c>
      <c r="G1127" t="n">
        <v>60560</v>
      </c>
      <c r="H1127" t="inlineStr"/>
      <c r="I1127" t="inlineStr">
        <is>
          <t>0.00</t>
        </is>
      </c>
      <c r="J1127" t="b">
        <v>0</v>
      </c>
      <c r="K1127" t="b">
        <v>0</v>
      </c>
      <c r="L1127" t="n">
        <v>11</v>
      </c>
      <c r="M1127" t="inlineStr">
        <is>
          <t>Values must be of type &lt;class 'str'&gt;</t>
        </is>
      </c>
      <c r="N1127" t="inlineStr">
        <is>
          <t>00000000</t>
        </is>
      </c>
      <c r="O1127" t="inlineStr">
        <is>
          <t>center</t>
        </is>
      </c>
      <c r="P1127" t="inlineStr">
        <is>
          <t>top</t>
        </is>
      </c>
      <c r="R1127" t="b">
        <v>1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</row>
    <row r="1128">
      <c r="A1128" t="inlineStr">
        <is>
          <t>ATF fuel</t>
        </is>
      </c>
      <c r="B1128" t="inlineStr">
        <is>
          <t>C105</t>
        </is>
      </c>
      <c r="C1128" t="n">
        <v>105</v>
      </c>
      <c r="D1128" t="n">
        <v>3</v>
      </c>
      <c r="E1128" t="inlineStr">
        <is>
          <t>Input</t>
        </is>
      </c>
      <c r="F1128" t="n">
        <v/>
      </c>
      <c r="G1128" t="n">
        <v>68681</v>
      </c>
      <c r="H1128" t="inlineStr"/>
      <c r="I1128" t="inlineStr">
        <is>
          <t>0.00</t>
        </is>
      </c>
      <c r="J1128" t="b">
        <v>0</v>
      </c>
      <c r="K1128" t="b">
        <v>0</v>
      </c>
      <c r="L1128" t="n">
        <v>11</v>
      </c>
      <c r="M1128" t="inlineStr">
        <is>
          <t>Values must be of type &lt;class 'str'&gt;</t>
        </is>
      </c>
      <c r="N1128" t="inlineStr">
        <is>
          <t>00000000</t>
        </is>
      </c>
      <c r="O1128" t="inlineStr">
        <is>
          <t>center</t>
        </is>
      </c>
      <c r="P1128" t="inlineStr">
        <is>
          <t>top</t>
        </is>
      </c>
      <c r="R1128" t="b">
        <v>1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</row>
    <row r="1129">
      <c r="A1129" t="inlineStr">
        <is>
          <t>ATF fuel</t>
        </is>
      </c>
      <c r="B1129" t="inlineStr">
        <is>
          <t>D105</t>
        </is>
      </c>
      <c r="C1129" t="n">
        <v>105</v>
      </c>
      <c r="D1129" t="n">
        <v>4</v>
      </c>
      <c r="E1129" t="inlineStr">
        <is>
          <t>Input</t>
        </is>
      </c>
      <c r="F1129" t="n">
        <v/>
      </c>
      <c r="G1129" t="n">
        <v>61429</v>
      </c>
      <c r="H1129" t="inlineStr"/>
      <c r="I1129" t="inlineStr">
        <is>
          <t>0.00</t>
        </is>
      </c>
      <c r="J1129" t="b">
        <v>0</v>
      </c>
      <c r="K1129" t="b">
        <v>0</v>
      </c>
      <c r="L1129" t="n">
        <v>11</v>
      </c>
      <c r="M1129" t="inlineStr">
        <is>
          <t>Values must be of type &lt;class 'str'&gt;</t>
        </is>
      </c>
      <c r="N1129" t="inlineStr">
        <is>
          <t>00000000</t>
        </is>
      </c>
      <c r="O1129" t="inlineStr">
        <is>
          <t>center</t>
        </is>
      </c>
      <c r="P1129" t="inlineStr">
        <is>
          <t>top</t>
        </is>
      </c>
      <c r="R1129" t="b">
        <v>1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</row>
    <row r="1130">
      <c r="A1130" t="inlineStr">
        <is>
          <t>ATF fuel</t>
        </is>
      </c>
      <c r="B1130" t="inlineStr">
        <is>
          <t>E105</t>
        </is>
      </c>
      <c r="C1130" t="n">
        <v>105</v>
      </c>
      <c r="D1130" t="n">
        <v>5</v>
      </c>
      <c r="E1130" t="inlineStr">
        <is>
          <t>Input</t>
        </is>
      </c>
      <c r="F1130" t="n">
        <v/>
      </c>
      <c r="G1130" t="n">
        <v>65201</v>
      </c>
      <c r="H1130" t="inlineStr"/>
      <c r="I1130" t="inlineStr">
        <is>
          <t>0.00</t>
        </is>
      </c>
      <c r="J1130" t="b">
        <v>0</v>
      </c>
      <c r="K1130" t="b">
        <v>0</v>
      </c>
      <c r="L1130" t="n">
        <v>11</v>
      </c>
      <c r="M1130" t="inlineStr">
        <is>
          <t>Values must be of type &lt;class 'str'&gt;</t>
        </is>
      </c>
      <c r="N1130" t="inlineStr">
        <is>
          <t>00000000</t>
        </is>
      </c>
      <c r="O1130" t="inlineStr">
        <is>
          <t>center</t>
        </is>
      </c>
      <c r="P1130" t="inlineStr">
        <is>
          <t>top</t>
        </is>
      </c>
      <c r="R1130" t="b">
        <v>1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</row>
    <row r="1131">
      <c r="A1131" t="inlineStr">
        <is>
          <t>ATF fuel</t>
        </is>
      </c>
      <c r="B1131" t="inlineStr">
        <is>
          <t>F105</t>
        </is>
      </c>
      <c r="C1131" t="n">
        <v>105</v>
      </c>
      <c r="D1131" t="n">
        <v>6</v>
      </c>
      <c r="E1131" t="inlineStr">
        <is>
          <t>Output</t>
        </is>
      </c>
      <c r="F1131" t="inlineStr">
        <is>
          <t>'=AVERAGE(B105:E105)</t>
        </is>
      </c>
      <c r="G1131" t="n">
        <v>63967.75</v>
      </c>
      <c r="H1131" t="inlineStr"/>
      <c r="I1131" t="inlineStr">
        <is>
          <t>0.00</t>
        </is>
      </c>
      <c r="J1131" t="b">
        <v>0</v>
      </c>
      <c r="K1131" t="b">
        <v>0</v>
      </c>
      <c r="L1131" t="n">
        <v>11</v>
      </c>
      <c r="M1131" t="inlineStr">
        <is>
          <t>Values must be of type &lt;class 'str'&gt;</t>
        </is>
      </c>
      <c r="N1131" t="inlineStr">
        <is>
          <t>00000000</t>
        </is>
      </c>
      <c r="O1131" t="inlineStr">
        <is>
          <t>center</t>
        </is>
      </c>
      <c r="P1131" t="inlineStr">
        <is>
          <t>top</t>
        </is>
      </c>
      <c r="R1131" t="b">
        <v>1</v>
      </c>
      <c r="S1131" t="inlineStr">
        <is>
          <t>G000284</t>
        </is>
      </c>
      <c r="T1131" t="inlineStr">
        <is>
          <t>Vertical</t>
        </is>
      </c>
      <c r="U1131" t="n">
        <v>130</v>
      </c>
      <c r="V1131" t="b">
        <v>1</v>
      </c>
      <c r="W1131" t="inlineStr">
        <is>
          <t>ATF fuel!F2:F131</t>
        </is>
      </c>
      <c r="X1131">
        <f>AVERAGE(R[0]C[-4]:R[0]C[-1])</f>
        <v/>
      </c>
    </row>
    <row r="1132">
      <c r="A1132" t="inlineStr">
        <is>
          <t>ATF fuel</t>
        </is>
      </c>
      <c r="B1132" t="inlineStr">
        <is>
          <t>G105</t>
        </is>
      </c>
      <c r="C1132" t="n">
        <v>105</v>
      </c>
      <c r="D1132" t="n">
        <v>7</v>
      </c>
      <c r="E1132" t="inlineStr">
        <is>
          <t>Calculation</t>
        </is>
      </c>
      <c r="F1132" t="inlineStr">
        <is>
          <t>'=G104-1</t>
        </is>
      </c>
      <c r="G1132" t="n">
        <v>28</v>
      </c>
      <c r="H1132" t="inlineStr"/>
      <c r="I1132" t="inlineStr">
        <is>
          <t>#,##0</t>
        </is>
      </c>
      <c r="J1132" t="b">
        <v>0</v>
      </c>
      <c r="K1132" t="b">
        <v>0</v>
      </c>
      <c r="L1132" t="n">
        <v>11</v>
      </c>
      <c r="M1132" t="inlineStr">
        <is>
          <t>Values must be of type &lt;class 'str'&gt;</t>
        </is>
      </c>
      <c r="N1132" t="inlineStr">
        <is>
          <t>00000000</t>
        </is>
      </c>
      <c r="O1132" t="n">
        <v/>
      </c>
      <c r="P1132" t="n">
        <v/>
      </c>
      <c r="R1132" t="b">
        <v>1</v>
      </c>
      <c r="S1132" t="inlineStr">
        <is>
          <t>G000286</t>
        </is>
      </c>
      <c r="T1132" t="inlineStr">
        <is>
          <t>Vertical</t>
        </is>
      </c>
      <c r="U1132" t="n">
        <v>129</v>
      </c>
      <c r="V1132" t="b">
        <v>1</v>
      </c>
      <c r="W1132" t="inlineStr">
        <is>
          <t>ATF fuel!G3:G131</t>
        </is>
      </c>
      <c r="X1132">
        <f>R[-1]C[0]-1</f>
        <v/>
      </c>
    </row>
    <row r="1133">
      <c r="A1133" t="inlineStr">
        <is>
          <t>ATF fuel</t>
        </is>
      </c>
      <c r="B1133" t="inlineStr">
        <is>
          <t>A106</t>
        </is>
      </c>
      <c r="C1133" t="n">
        <v>106</v>
      </c>
      <c r="D1133" t="n">
        <v>1</v>
      </c>
      <c r="E1133" t="inlineStr">
        <is>
          <t>Input</t>
        </is>
      </c>
      <c r="F1133" t="n">
        <v/>
      </c>
      <c r="G1133" t="inlineStr">
        <is>
          <t>April 16, 2011</t>
        </is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11</v>
      </c>
      <c r="M1133" t="inlineStr">
        <is>
          <t>Values must be of type &lt;class 'str'&gt;</t>
        </is>
      </c>
      <c r="N1133" t="inlineStr">
        <is>
          <t>00000000</t>
        </is>
      </c>
      <c r="O1133" t="n">
        <v/>
      </c>
      <c r="P1133" t="n">
        <v/>
      </c>
      <c r="R1133" t="b">
        <v>1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</row>
    <row r="1134">
      <c r="A1134" t="inlineStr">
        <is>
          <t>ATF fuel</t>
        </is>
      </c>
      <c r="B1134" t="inlineStr">
        <is>
          <t>B106</t>
        </is>
      </c>
      <c r="C1134" t="n">
        <v>106</v>
      </c>
      <c r="D1134" t="n">
        <v>2</v>
      </c>
      <c r="E1134" t="inlineStr">
        <is>
          <t>Input</t>
        </is>
      </c>
      <c r="F1134" t="n">
        <v/>
      </c>
      <c r="G1134" t="n">
        <v>60404</v>
      </c>
      <c r="H1134" t="inlineStr"/>
      <c r="I1134" t="inlineStr">
        <is>
          <t>0.00</t>
        </is>
      </c>
      <c r="J1134" t="b">
        <v>0</v>
      </c>
      <c r="K1134" t="b">
        <v>0</v>
      </c>
      <c r="L1134" t="n">
        <v>11</v>
      </c>
      <c r="M1134" t="inlineStr">
        <is>
          <t>Values must be of type &lt;class 'str'&gt;</t>
        </is>
      </c>
      <c r="N1134" t="inlineStr">
        <is>
          <t>00000000</t>
        </is>
      </c>
      <c r="O1134" t="inlineStr">
        <is>
          <t>center</t>
        </is>
      </c>
      <c r="P1134" t="inlineStr">
        <is>
          <t>top</t>
        </is>
      </c>
      <c r="R1134" t="b">
        <v>1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</row>
    <row r="1135">
      <c r="A1135" t="inlineStr">
        <is>
          <t>ATF fuel</t>
        </is>
      </c>
      <c r="B1135" t="inlineStr">
        <is>
          <t>C106</t>
        </is>
      </c>
      <c r="C1135" t="n">
        <v>106</v>
      </c>
      <c r="D1135" t="n">
        <v>3</v>
      </c>
      <c r="E1135" t="inlineStr">
        <is>
          <t>Input</t>
        </is>
      </c>
      <c r="F1135" t="n">
        <v/>
      </c>
      <c r="G1135" t="n">
        <v>68451</v>
      </c>
      <c r="H1135" t="inlineStr"/>
      <c r="I1135" t="inlineStr">
        <is>
          <t>0.00</t>
        </is>
      </c>
      <c r="J1135" t="b">
        <v>0</v>
      </c>
      <c r="K1135" t="b">
        <v>0</v>
      </c>
      <c r="L1135" t="n">
        <v>11</v>
      </c>
      <c r="M1135" t="inlineStr">
        <is>
          <t>Values must be of type &lt;class 'str'&gt;</t>
        </is>
      </c>
      <c r="N1135" t="inlineStr">
        <is>
          <t>00000000</t>
        </is>
      </c>
      <c r="O1135" t="inlineStr">
        <is>
          <t>center</t>
        </is>
      </c>
      <c r="P1135" t="inlineStr">
        <is>
          <t>top</t>
        </is>
      </c>
      <c r="R1135" t="b">
        <v>1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</row>
    <row r="1136">
      <c r="A1136" t="inlineStr">
        <is>
          <t>ATF fuel</t>
        </is>
      </c>
      <c r="B1136" t="inlineStr">
        <is>
          <t>D106</t>
        </is>
      </c>
      <c r="C1136" t="n">
        <v>106</v>
      </c>
      <c r="D1136" t="n">
        <v>4</v>
      </c>
      <c r="E1136" t="inlineStr">
        <is>
          <t>Input</t>
        </is>
      </c>
      <c r="F1136" t="n">
        <v/>
      </c>
      <c r="G1136" t="n">
        <v>61199</v>
      </c>
      <c r="H1136" t="inlineStr"/>
      <c r="I1136" t="inlineStr">
        <is>
          <t>0.00</t>
        </is>
      </c>
      <c r="J1136" t="b">
        <v>0</v>
      </c>
      <c r="K1136" t="b">
        <v>0</v>
      </c>
      <c r="L1136" t="n">
        <v>11</v>
      </c>
      <c r="M1136" t="inlineStr">
        <is>
          <t>Values must be of type &lt;class 'str'&gt;</t>
        </is>
      </c>
      <c r="N1136" t="inlineStr">
        <is>
          <t>00000000</t>
        </is>
      </c>
      <c r="O1136" t="inlineStr">
        <is>
          <t>center</t>
        </is>
      </c>
      <c r="P1136" t="inlineStr">
        <is>
          <t>top</t>
        </is>
      </c>
      <c r="R1136" t="b">
        <v>1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</row>
    <row r="1137">
      <c r="A1137" t="inlineStr">
        <is>
          <t>ATF fuel</t>
        </is>
      </c>
      <c r="B1137" t="inlineStr">
        <is>
          <t>E106</t>
        </is>
      </c>
      <c r="C1137" t="n">
        <v>106</v>
      </c>
      <c r="D1137" t="n">
        <v>5</v>
      </c>
      <c r="E1137" t="inlineStr">
        <is>
          <t>Input</t>
        </is>
      </c>
      <c r="F1137" t="n">
        <v/>
      </c>
      <c r="G1137" t="n">
        <v>64964</v>
      </c>
      <c r="H1137" t="inlineStr"/>
      <c r="I1137" t="inlineStr">
        <is>
          <t>0.00</t>
        </is>
      </c>
      <c r="J1137" t="b">
        <v>0</v>
      </c>
      <c r="K1137" t="b">
        <v>0</v>
      </c>
      <c r="L1137" t="n">
        <v>11</v>
      </c>
      <c r="M1137" t="inlineStr">
        <is>
          <t>Values must be of type &lt;class 'str'&gt;</t>
        </is>
      </c>
      <c r="N1137" t="inlineStr">
        <is>
          <t>00000000</t>
        </is>
      </c>
      <c r="O1137" t="inlineStr">
        <is>
          <t>center</t>
        </is>
      </c>
      <c r="P1137" t="inlineStr">
        <is>
          <t>top</t>
        </is>
      </c>
      <c r="R1137" t="b">
        <v>1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</row>
    <row r="1138">
      <c r="A1138" t="inlineStr">
        <is>
          <t>ATF fuel</t>
        </is>
      </c>
      <c r="B1138" t="inlineStr">
        <is>
          <t>F106</t>
        </is>
      </c>
      <c r="C1138" t="n">
        <v>106</v>
      </c>
      <c r="D1138" t="n">
        <v>6</v>
      </c>
      <c r="E1138" t="inlineStr">
        <is>
          <t>Output</t>
        </is>
      </c>
      <c r="F1138" t="inlineStr">
        <is>
          <t>'=AVERAGE(B106:E106)</t>
        </is>
      </c>
      <c r="G1138" t="n">
        <v>63754.5</v>
      </c>
      <c r="H1138" t="inlineStr"/>
      <c r="I1138" t="inlineStr">
        <is>
          <t>0.00</t>
        </is>
      </c>
      <c r="J1138" t="b">
        <v>0</v>
      </c>
      <c r="K1138" t="b">
        <v>0</v>
      </c>
      <c r="L1138" t="n">
        <v>11</v>
      </c>
      <c r="M1138" t="inlineStr">
        <is>
          <t>Values must be of type &lt;class 'str'&gt;</t>
        </is>
      </c>
      <c r="N1138" t="inlineStr">
        <is>
          <t>00000000</t>
        </is>
      </c>
      <c r="O1138" t="inlineStr">
        <is>
          <t>center</t>
        </is>
      </c>
      <c r="P1138" t="inlineStr">
        <is>
          <t>top</t>
        </is>
      </c>
      <c r="R1138" t="b">
        <v>1</v>
      </c>
      <c r="S1138" t="inlineStr">
        <is>
          <t>G000284</t>
        </is>
      </c>
      <c r="T1138" t="inlineStr">
        <is>
          <t>Vertical</t>
        </is>
      </c>
      <c r="U1138" t="n">
        <v>130</v>
      </c>
      <c r="V1138" t="b">
        <v>1</v>
      </c>
      <c r="W1138" t="inlineStr">
        <is>
          <t>ATF fuel!F2:F131</t>
        </is>
      </c>
      <c r="X1138">
        <f>AVERAGE(R[0]C[-4]:R[0]C[-1])</f>
        <v/>
      </c>
    </row>
    <row r="1139">
      <c r="A1139" t="inlineStr">
        <is>
          <t>ATF fuel</t>
        </is>
      </c>
      <c r="B1139" t="inlineStr">
        <is>
          <t>G106</t>
        </is>
      </c>
      <c r="C1139" t="n">
        <v>106</v>
      </c>
      <c r="D1139" t="n">
        <v>7</v>
      </c>
      <c r="E1139" t="inlineStr">
        <is>
          <t>Calculation</t>
        </is>
      </c>
      <c r="F1139" t="inlineStr">
        <is>
          <t>'=G105-1</t>
        </is>
      </c>
      <c r="G1139" t="n">
        <v>27</v>
      </c>
      <c r="H1139" t="inlineStr"/>
      <c r="I1139" t="inlineStr">
        <is>
          <t>#,##0</t>
        </is>
      </c>
      <c r="J1139" t="b">
        <v>0</v>
      </c>
      <c r="K1139" t="b">
        <v>0</v>
      </c>
      <c r="L1139" t="n">
        <v>11</v>
      </c>
      <c r="M1139" t="inlineStr">
        <is>
          <t>Values must be of type &lt;class 'str'&gt;</t>
        </is>
      </c>
      <c r="N1139" t="inlineStr">
        <is>
          <t>00000000</t>
        </is>
      </c>
      <c r="O1139" t="n">
        <v/>
      </c>
      <c r="P1139" t="n">
        <v/>
      </c>
      <c r="R1139" t="b">
        <v>1</v>
      </c>
      <c r="S1139" t="inlineStr">
        <is>
          <t>G000286</t>
        </is>
      </c>
      <c r="T1139" t="inlineStr">
        <is>
          <t>Vertical</t>
        </is>
      </c>
      <c r="U1139" t="n">
        <v>129</v>
      </c>
      <c r="V1139" t="b">
        <v>1</v>
      </c>
      <c r="W1139" t="inlineStr">
        <is>
          <t>ATF fuel!G3:G131</t>
        </is>
      </c>
      <c r="X1139">
        <f>R[-1]C[0]-1</f>
        <v/>
      </c>
    </row>
    <row r="1140">
      <c r="A1140" t="inlineStr">
        <is>
          <t>ATF fuel</t>
        </is>
      </c>
      <c r="B1140" t="inlineStr">
        <is>
          <t>A107</t>
        </is>
      </c>
      <c r="C1140" t="n">
        <v>107</v>
      </c>
      <c r="D1140" t="n">
        <v>1</v>
      </c>
      <c r="E1140" t="inlineStr">
        <is>
          <t>Input</t>
        </is>
      </c>
      <c r="F1140" t="n">
        <v/>
      </c>
      <c r="G1140" t="inlineStr">
        <is>
          <t>April 01, 2011</t>
        </is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11</v>
      </c>
      <c r="M1140" t="inlineStr">
        <is>
          <t>Values must be of type &lt;class 'str'&gt;</t>
        </is>
      </c>
      <c r="N1140" t="inlineStr">
        <is>
          <t>00000000</t>
        </is>
      </c>
      <c r="O1140" t="n">
        <v/>
      </c>
      <c r="P1140" t="n">
        <v/>
      </c>
      <c r="R1140" t="b">
        <v>1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</row>
    <row r="1141">
      <c r="A1141" t="inlineStr">
        <is>
          <t>ATF fuel</t>
        </is>
      </c>
      <c r="B1141" t="inlineStr">
        <is>
          <t>B107</t>
        </is>
      </c>
      <c r="C1141" t="n">
        <v>107</v>
      </c>
      <c r="D1141" t="n">
        <v>2</v>
      </c>
      <c r="E1141" t="inlineStr">
        <is>
          <t>Input</t>
        </is>
      </c>
      <c r="F1141" t="n">
        <v/>
      </c>
      <c r="G1141" t="n">
        <v>59157.32</v>
      </c>
      <c r="H1141" t="inlineStr"/>
      <c r="I1141" t="inlineStr">
        <is>
          <t>0.00</t>
        </is>
      </c>
      <c r="J1141" t="b">
        <v>0</v>
      </c>
      <c r="K1141" t="b">
        <v>0</v>
      </c>
      <c r="L1141" t="n">
        <v>11</v>
      </c>
      <c r="M1141" t="inlineStr">
        <is>
          <t>Values must be of type &lt;class 'str'&gt;</t>
        </is>
      </c>
      <c r="N1141" t="inlineStr">
        <is>
          <t>00000000</t>
        </is>
      </c>
      <c r="O1141" t="inlineStr">
        <is>
          <t>center</t>
        </is>
      </c>
      <c r="P1141" t="inlineStr">
        <is>
          <t>top</t>
        </is>
      </c>
      <c r="R1141" t="b">
        <v>1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</row>
    <row r="1142">
      <c r="A1142" t="inlineStr">
        <is>
          <t>ATF fuel</t>
        </is>
      </c>
      <c r="B1142" t="inlineStr">
        <is>
          <t>C107</t>
        </is>
      </c>
      <c r="C1142" t="n">
        <v>107</v>
      </c>
      <c r="D1142" t="n">
        <v>3</v>
      </c>
      <c r="E1142" t="inlineStr">
        <is>
          <t>Input</t>
        </is>
      </c>
      <c r="F1142" t="n">
        <v/>
      </c>
      <c r="G1142" t="n">
        <v>67151.98</v>
      </c>
      <c r="H1142" t="inlineStr"/>
      <c r="I1142" t="inlineStr">
        <is>
          <t>0.00</t>
        </is>
      </c>
      <c r="J1142" t="b">
        <v>0</v>
      </c>
      <c r="K1142" t="b">
        <v>0</v>
      </c>
      <c r="L1142" t="n">
        <v>11</v>
      </c>
      <c r="M1142" t="inlineStr">
        <is>
          <t>Values must be of type &lt;class 'str'&gt;</t>
        </is>
      </c>
      <c r="N1142" t="inlineStr">
        <is>
          <t>00000000</t>
        </is>
      </c>
      <c r="O1142" t="inlineStr">
        <is>
          <t>center</t>
        </is>
      </c>
      <c r="P1142" t="inlineStr">
        <is>
          <t>top</t>
        </is>
      </c>
      <c r="R1142" t="b">
        <v>1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</row>
    <row r="1143">
      <c r="A1143" t="inlineStr">
        <is>
          <t>ATF fuel</t>
        </is>
      </c>
      <c r="B1143" t="inlineStr">
        <is>
          <t>D107</t>
        </is>
      </c>
      <c r="C1143" t="n">
        <v>107</v>
      </c>
      <c r="D1143" t="n">
        <v>4</v>
      </c>
      <c r="E1143" t="inlineStr">
        <is>
          <t>Input</t>
        </is>
      </c>
      <c r="F1143" t="n">
        <v/>
      </c>
      <c r="G1143" t="n">
        <v>59900.02</v>
      </c>
      <c r="H1143" t="inlineStr"/>
      <c r="I1143" t="inlineStr">
        <is>
          <t>0.00</t>
        </is>
      </c>
      <c r="J1143" t="b">
        <v>0</v>
      </c>
      <c r="K1143" t="b">
        <v>0</v>
      </c>
      <c r="L1143" t="n">
        <v>11</v>
      </c>
      <c r="M1143" t="inlineStr">
        <is>
          <t>Values must be of type &lt;class 'str'&gt;</t>
        </is>
      </c>
      <c r="N1143" t="inlineStr">
        <is>
          <t>00000000</t>
        </is>
      </c>
      <c r="O1143" t="inlineStr">
        <is>
          <t>center</t>
        </is>
      </c>
      <c r="P1143" t="inlineStr">
        <is>
          <t>top</t>
        </is>
      </c>
      <c r="R1143" t="b">
        <v>1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</row>
    <row r="1144">
      <c r="A1144" t="inlineStr">
        <is>
          <t>ATF fuel</t>
        </is>
      </c>
      <c r="B1144" t="inlineStr">
        <is>
          <t>E107</t>
        </is>
      </c>
      <c r="C1144" t="n">
        <v>107</v>
      </c>
      <c r="D1144" t="n">
        <v>5</v>
      </c>
      <c r="E1144" t="inlineStr">
        <is>
          <t>Input</t>
        </is>
      </c>
      <c r="F1144" t="n">
        <v/>
      </c>
      <c r="G1144" t="n">
        <v>63623.07</v>
      </c>
      <c r="H1144" t="inlineStr"/>
      <c r="I1144" t="inlineStr">
        <is>
          <t>0.00</t>
        </is>
      </c>
      <c r="J1144" t="b">
        <v>0</v>
      </c>
      <c r="K1144" t="b">
        <v>0</v>
      </c>
      <c r="L1144" t="n">
        <v>11</v>
      </c>
      <c r="M1144" t="inlineStr">
        <is>
          <t>Values must be of type &lt;class 'str'&gt;</t>
        </is>
      </c>
      <c r="N1144" t="inlineStr">
        <is>
          <t>00000000</t>
        </is>
      </c>
      <c r="O1144" t="inlineStr">
        <is>
          <t>center</t>
        </is>
      </c>
      <c r="P1144" t="inlineStr">
        <is>
          <t>top</t>
        </is>
      </c>
      <c r="R1144" t="b">
        <v>1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</row>
    <row r="1145">
      <c r="A1145" t="inlineStr">
        <is>
          <t>ATF fuel</t>
        </is>
      </c>
      <c r="B1145" t="inlineStr">
        <is>
          <t>F107</t>
        </is>
      </c>
      <c r="C1145" t="n">
        <v>107</v>
      </c>
      <c r="D1145" t="n">
        <v>6</v>
      </c>
      <c r="E1145" t="inlineStr">
        <is>
          <t>Output</t>
        </is>
      </c>
      <c r="F1145" t="inlineStr">
        <is>
          <t>'=AVERAGE(B107:E107)</t>
        </is>
      </c>
      <c r="G1145" t="n">
        <v>62458.0975</v>
      </c>
      <c r="H1145" t="inlineStr"/>
      <c r="I1145" t="inlineStr">
        <is>
          <t>0.00</t>
        </is>
      </c>
      <c r="J1145" t="b">
        <v>0</v>
      </c>
      <c r="K1145" t="b">
        <v>0</v>
      </c>
      <c r="L1145" t="n">
        <v>11</v>
      </c>
      <c r="M1145" t="inlineStr">
        <is>
          <t>Values must be of type &lt;class 'str'&gt;</t>
        </is>
      </c>
      <c r="N1145" t="inlineStr">
        <is>
          <t>00000000</t>
        </is>
      </c>
      <c r="O1145" t="inlineStr">
        <is>
          <t>center</t>
        </is>
      </c>
      <c r="P1145" t="inlineStr">
        <is>
          <t>top</t>
        </is>
      </c>
      <c r="R1145" t="b">
        <v>1</v>
      </c>
      <c r="S1145" t="inlineStr">
        <is>
          <t>G000284</t>
        </is>
      </c>
      <c r="T1145" t="inlineStr">
        <is>
          <t>Vertical</t>
        </is>
      </c>
      <c r="U1145" t="n">
        <v>130</v>
      </c>
      <c r="V1145" t="b">
        <v>1</v>
      </c>
      <c r="W1145" t="inlineStr">
        <is>
          <t>ATF fuel!F2:F131</t>
        </is>
      </c>
      <c r="X1145">
        <f>AVERAGE(R[0]C[-4]:R[0]C[-1])</f>
        <v/>
      </c>
    </row>
    <row r="1146">
      <c r="A1146" t="inlineStr">
        <is>
          <t>ATF fuel</t>
        </is>
      </c>
      <c r="B1146" t="inlineStr">
        <is>
          <t>G107</t>
        </is>
      </c>
      <c r="C1146" t="n">
        <v>107</v>
      </c>
      <c r="D1146" t="n">
        <v>7</v>
      </c>
      <c r="E1146" t="inlineStr">
        <is>
          <t>Calculation</t>
        </is>
      </c>
      <c r="F1146" t="inlineStr">
        <is>
          <t>'=G106-1</t>
        </is>
      </c>
      <c r="G1146" t="n">
        <v>26</v>
      </c>
      <c r="H1146" t="inlineStr"/>
      <c r="I1146" t="inlineStr">
        <is>
          <t>#,##0</t>
        </is>
      </c>
      <c r="J1146" t="b">
        <v>0</v>
      </c>
      <c r="K1146" t="b">
        <v>0</v>
      </c>
      <c r="L1146" t="n">
        <v>11</v>
      </c>
      <c r="M1146" t="inlineStr">
        <is>
          <t>Values must be of type &lt;class 'str'&gt;</t>
        </is>
      </c>
      <c r="N1146" t="inlineStr">
        <is>
          <t>00000000</t>
        </is>
      </c>
      <c r="O1146" t="n">
        <v/>
      </c>
      <c r="P1146" t="n">
        <v/>
      </c>
      <c r="R1146" t="b">
        <v>1</v>
      </c>
      <c r="S1146" t="inlineStr">
        <is>
          <t>G000286</t>
        </is>
      </c>
      <c r="T1146" t="inlineStr">
        <is>
          <t>Vertical</t>
        </is>
      </c>
      <c r="U1146" t="n">
        <v>129</v>
      </c>
      <c r="V1146" t="b">
        <v>1</v>
      </c>
      <c r="W1146" t="inlineStr">
        <is>
          <t>ATF fuel!G3:G131</t>
        </is>
      </c>
      <c r="X1146">
        <f>R[-1]C[0]-1</f>
        <v/>
      </c>
    </row>
    <row r="1147">
      <c r="A1147" t="inlineStr">
        <is>
          <t>ATF fuel</t>
        </is>
      </c>
      <c r="B1147" t="inlineStr">
        <is>
          <t>K107</t>
        </is>
      </c>
      <c r="C1147" t="n">
        <v>107</v>
      </c>
      <c r="D1147" t="n">
        <v>11</v>
      </c>
      <c r="E1147" t="inlineStr">
        <is>
          <t>Input</t>
        </is>
      </c>
      <c r="F1147" t="n">
        <v/>
      </c>
      <c r="H1147" t="inlineStr"/>
      <c r="I1147" t="inlineStr">
        <is>
          <t>#,##0</t>
        </is>
      </c>
      <c r="J1147" t="b">
        <v>0</v>
      </c>
      <c r="K1147" t="b">
        <v>0</v>
      </c>
      <c r="L1147" t="n">
        <v>11</v>
      </c>
      <c r="M1147" t="n">
        <v/>
      </c>
      <c r="N1147" t="inlineStr">
        <is>
          <t>00000000</t>
        </is>
      </c>
      <c r="O1147" t="inlineStr">
        <is>
          <t>center</t>
        </is>
      </c>
      <c r="P1147" t="n">
        <v/>
      </c>
      <c r="Q1147" t="b">
        <v>1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</row>
    <row r="1148">
      <c r="A1148" t="inlineStr">
        <is>
          <t>ATF fuel</t>
        </is>
      </c>
      <c r="B1148" t="inlineStr">
        <is>
          <t>A108</t>
        </is>
      </c>
      <c r="C1148" t="n">
        <v>108</v>
      </c>
      <c r="D1148" t="n">
        <v>1</v>
      </c>
      <c r="E1148" t="inlineStr">
        <is>
          <t>Input</t>
        </is>
      </c>
      <c r="F1148" t="n">
        <v/>
      </c>
      <c r="G1148" t="inlineStr">
        <is>
          <t>March 16, 2011</t>
        </is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11</v>
      </c>
      <c r="M1148" t="inlineStr">
        <is>
          <t>Values must be of type &lt;class 'str'&gt;</t>
        </is>
      </c>
      <c r="N1148" t="inlineStr">
        <is>
          <t>00000000</t>
        </is>
      </c>
      <c r="O1148" t="n">
        <v/>
      </c>
      <c r="P1148" t="n">
        <v/>
      </c>
      <c r="R1148" t="b">
        <v>1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</row>
    <row r="1149">
      <c r="A1149" t="inlineStr">
        <is>
          <t>ATF fuel</t>
        </is>
      </c>
      <c r="B1149" t="inlineStr">
        <is>
          <t>B108</t>
        </is>
      </c>
      <c r="C1149" t="n">
        <v>108</v>
      </c>
      <c r="D1149" t="n">
        <v>2</v>
      </c>
      <c r="E1149" t="inlineStr">
        <is>
          <t>Input</t>
        </is>
      </c>
      <c r="F1149" t="n">
        <v/>
      </c>
      <c r="G1149" t="n">
        <v>58310.45</v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11</v>
      </c>
      <c r="M1149" t="inlineStr">
        <is>
          <t>Values must be of type &lt;class 'str'&gt;</t>
        </is>
      </c>
      <c r="N1149" t="inlineStr">
        <is>
          <t>00000000</t>
        </is>
      </c>
      <c r="O1149" t="n">
        <v/>
      </c>
      <c r="P1149" t="n">
        <v/>
      </c>
      <c r="R1149" t="b">
        <v>1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</row>
    <row r="1150">
      <c r="A1150" t="inlineStr">
        <is>
          <t>ATF fuel</t>
        </is>
      </c>
      <c r="B1150" t="inlineStr">
        <is>
          <t>C108</t>
        </is>
      </c>
      <c r="C1150" t="n">
        <v>108</v>
      </c>
      <c r="D1150" t="n">
        <v>3</v>
      </c>
      <c r="E1150" t="inlineStr">
        <is>
          <t>Input</t>
        </is>
      </c>
      <c r="F1150" t="n">
        <v/>
      </c>
      <c r="G1150" t="n">
        <v>66202.17999999999</v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11</v>
      </c>
      <c r="M1150" t="inlineStr">
        <is>
          <t>Values must be of type &lt;class 'str'&gt;</t>
        </is>
      </c>
      <c r="N1150" t="inlineStr">
        <is>
          <t>00000000</t>
        </is>
      </c>
      <c r="O1150" t="n">
        <v/>
      </c>
      <c r="P1150" t="n">
        <v/>
      </c>
      <c r="R1150" t="b">
        <v>1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</row>
    <row r="1151">
      <c r="A1151" t="inlineStr">
        <is>
          <t>ATF fuel</t>
        </is>
      </c>
      <c r="B1151" t="inlineStr">
        <is>
          <t>D108</t>
        </is>
      </c>
      <c r="C1151" t="n">
        <v>108</v>
      </c>
      <c r="D1151" t="n">
        <v>4</v>
      </c>
      <c r="E1151" t="inlineStr">
        <is>
          <t>Input</t>
        </is>
      </c>
      <c r="F1151" t="n">
        <v/>
      </c>
      <c r="G1151" t="n">
        <v>59031.39</v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11</v>
      </c>
      <c r="M1151" t="inlineStr">
        <is>
          <t>Values must be of type &lt;class 'str'&gt;</t>
        </is>
      </c>
      <c r="N1151" t="inlineStr">
        <is>
          <t>00000000</t>
        </is>
      </c>
      <c r="O1151" t="n">
        <v/>
      </c>
      <c r="P1151" t="n">
        <v/>
      </c>
      <c r="R1151" t="b">
        <v>1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</row>
    <row r="1152">
      <c r="A1152" t="inlineStr">
        <is>
          <t>ATF fuel</t>
        </is>
      </c>
      <c r="B1152" t="inlineStr">
        <is>
          <t>E108</t>
        </is>
      </c>
      <c r="C1152" t="n">
        <v>108</v>
      </c>
      <c r="D1152" t="n">
        <v>5</v>
      </c>
      <c r="E1152" t="inlineStr">
        <is>
          <t>Input</t>
        </is>
      </c>
      <c r="F1152" t="n">
        <v/>
      </c>
      <c r="G1152" t="n">
        <v>62627.5</v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11</v>
      </c>
      <c r="M1152" t="inlineStr">
        <is>
          <t>Values must be of type &lt;class 'str'&gt;</t>
        </is>
      </c>
      <c r="N1152" t="inlineStr">
        <is>
          <t>00000000</t>
        </is>
      </c>
      <c r="O1152" t="n">
        <v/>
      </c>
      <c r="P1152" t="n">
        <v/>
      </c>
      <c r="R1152" t="b">
        <v>1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</row>
    <row r="1153">
      <c r="A1153" t="inlineStr">
        <is>
          <t>ATF fuel</t>
        </is>
      </c>
      <c r="B1153" t="inlineStr">
        <is>
          <t>F108</t>
        </is>
      </c>
      <c r="C1153" t="n">
        <v>108</v>
      </c>
      <c r="D1153" t="n">
        <v>6</v>
      </c>
      <c r="E1153" t="inlineStr">
        <is>
          <t>Output</t>
        </is>
      </c>
      <c r="F1153" t="inlineStr">
        <is>
          <t>'=AVERAGE(B108:E108)</t>
        </is>
      </c>
      <c r="G1153" t="n">
        <v>61542.88</v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11</v>
      </c>
      <c r="M1153" t="inlineStr">
        <is>
          <t>Values must be of type &lt;class 'str'&gt;</t>
        </is>
      </c>
      <c r="N1153" t="inlineStr">
        <is>
          <t>00000000</t>
        </is>
      </c>
      <c r="O1153" t="n">
        <v/>
      </c>
      <c r="P1153" t="n">
        <v/>
      </c>
      <c r="R1153" t="b">
        <v>1</v>
      </c>
      <c r="S1153" t="inlineStr">
        <is>
          <t>G000284</t>
        </is>
      </c>
      <c r="T1153" t="inlineStr">
        <is>
          <t>Vertical</t>
        </is>
      </c>
      <c r="U1153" t="n">
        <v>130</v>
      </c>
      <c r="V1153" t="b">
        <v>1</v>
      </c>
      <c r="W1153" t="inlineStr">
        <is>
          <t>ATF fuel!F2:F131</t>
        </is>
      </c>
      <c r="X1153">
        <f>AVERAGE(R[0]C[-4]:R[0]C[-1])</f>
        <v/>
      </c>
    </row>
    <row r="1154">
      <c r="A1154" t="inlineStr">
        <is>
          <t>ATF fuel</t>
        </is>
      </c>
      <c r="B1154" t="inlineStr">
        <is>
          <t>G108</t>
        </is>
      </c>
      <c r="C1154" t="n">
        <v>108</v>
      </c>
      <c r="D1154" t="n">
        <v>7</v>
      </c>
      <c r="E1154" t="inlineStr">
        <is>
          <t>Calculation</t>
        </is>
      </c>
      <c r="F1154" t="inlineStr">
        <is>
          <t>'=G107-1</t>
        </is>
      </c>
      <c r="G1154" t="n">
        <v>25</v>
      </c>
      <c r="H1154" t="inlineStr"/>
      <c r="I1154" t="inlineStr">
        <is>
          <t>#,##0</t>
        </is>
      </c>
      <c r="J1154" t="b">
        <v>0</v>
      </c>
      <c r="K1154" t="b">
        <v>0</v>
      </c>
      <c r="L1154" t="n">
        <v>11</v>
      </c>
      <c r="M1154" t="inlineStr">
        <is>
          <t>Values must be of type &lt;class 'str'&gt;</t>
        </is>
      </c>
      <c r="N1154" t="inlineStr">
        <is>
          <t>00000000</t>
        </is>
      </c>
      <c r="O1154" t="n">
        <v/>
      </c>
      <c r="P1154" t="n">
        <v/>
      </c>
      <c r="R1154" t="b">
        <v>1</v>
      </c>
      <c r="S1154" t="inlineStr">
        <is>
          <t>G000286</t>
        </is>
      </c>
      <c r="T1154" t="inlineStr">
        <is>
          <t>Vertical</t>
        </is>
      </c>
      <c r="U1154" t="n">
        <v>129</v>
      </c>
      <c r="V1154" t="b">
        <v>1</v>
      </c>
      <c r="W1154" t="inlineStr">
        <is>
          <t>ATF fuel!G3:G131</t>
        </is>
      </c>
      <c r="X1154">
        <f>R[-1]C[0]-1</f>
        <v/>
      </c>
    </row>
    <row r="1155">
      <c r="A1155" t="inlineStr">
        <is>
          <t>ATF fuel</t>
        </is>
      </c>
      <c r="B1155" t="inlineStr">
        <is>
          <t>A109</t>
        </is>
      </c>
      <c r="C1155" t="n">
        <v>109</v>
      </c>
      <c r="D1155" t="n">
        <v>1</v>
      </c>
      <c r="E1155" t="inlineStr">
        <is>
          <t>Input</t>
        </is>
      </c>
      <c r="F1155" t="n">
        <v/>
      </c>
      <c r="G1155" t="inlineStr">
        <is>
          <t>March 01, 2011</t>
        </is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11</v>
      </c>
      <c r="M1155" t="inlineStr">
        <is>
          <t>Values must be of type &lt;class 'str'&gt;</t>
        </is>
      </c>
      <c r="N1155" t="inlineStr">
        <is>
          <t>00000000</t>
        </is>
      </c>
      <c r="O1155" t="n">
        <v/>
      </c>
      <c r="P1155" t="n">
        <v/>
      </c>
      <c r="R1155" t="b">
        <v>1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</row>
    <row r="1156">
      <c r="A1156" t="inlineStr">
        <is>
          <t>ATF fuel</t>
        </is>
      </c>
      <c r="B1156" t="inlineStr">
        <is>
          <t>B109</t>
        </is>
      </c>
      <c r="C1156" t="n">
        <v>109</v>
      </c>
      <c r="D1156" t="n">
        <v>2</v>
      </c>
      <c r="E1156" t="inlineStr">
        <is>
          <t>Input</t>
        </is>
      </c>
      <c r="F1156" t="n">
        <v/>
      </c>
      <c r="G1156" t="n">
        <v>54933.36</v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11</v>
      </c>
      <c r="M1156" t="inlineStr">
        <is>
          <t>Values must be of type &lt;class 'str'&gt;</t>
        </is>
      </c>
      <c r="N1156" t="inlineStr">
        <is>
          <t>00000000</t>
        </is>
      </c>
      <c r="O1156" t="n">
        <v/>
      </c>
      <c r="P1156" t="n">
        <v/>
      </c>
      <c r="R1156" t="b">
        <v>1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</row>
    <row r="1157">
      <c r="A1157" t="inlineStr">
        <is>
          <t>ATF fuel</t>
        </is>
      </c>
      <c r="B1157" t="inlineStr">
        <is>
          <t>C109</t>
        </is>
      </c>
      <c r="C1157" t="n">
        <v>109</v>
      </c>
      <c r="D1157" t="n">
        <v>3</v>
      </c>
      <c r="E1157" t="inlineStr">
        <is>
          <t>Input</t>
        </is>
      </c>
      <c r="F1157" t="n">
        <v/>
      </c>
      <c r="G1157" t="n">
        <v>62654.61</v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11</v>
      </c>
      <c r="M1157" t="inlineStr">
        <is>
          <t>Values must be of type &lt;class 'str'&gt;</t>
        </is>
      </c>
      <c r="N1157" t="inlineStr">
        <is>
          <t>00000000</t>
        </is>
      </c>
      <c r="O1157" t="n">
        <v/>
      </c>
      <c r="P1157" t="n">
        <v/>
      </c>
      <c r="R1157" t="b">
        <v>1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</row>
    <row r="1158">
      <c r="A1158" t="inlineStr">
        <is>
          <t>ATF fuel</t>
        </is>
      </c>
      <c r="B1158" t="inlineStr">
        <is>
          <t>D109</t>
        </is>
      </c>
      <c r="C1158" t="n">
        <v>109</v>
      </c>
      <c r="D1158" t="n">
        <v>4</v>
      </c>
      <c r="E1158" t="inlineStr">
        <is>
          <t>Input</t>
        </is>
      </c>
      <c r="F1158" t="n">
        <v/>
      </c>
      <c r="G1158" t="n">
        <v>55500.06</v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11</v>
      </c>
      <c r="M1158" t="inlineStr">
        <is>
          <t>Values must be of type &lt;class 'str'&gt;</t>
        </is>
      </c>
      <c r="N1158" t="inlineStr">
        <is>
          <t>00000000</t>
        </is>
      </c>
      <c r="O1158" t="n">
        <v/>
      </c>
      <c r="P1158" t="n">
        <v/>
      </c>
      <c r="R1158" t="b">
        <v>1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</row>
    <row r="1159">
      <c r="A1159" t="inlineStr">
        <is>
          <t>ATF fuel</t>
        </is>
      </c>
      <c r="B1159" t="inlineStr">
        <is>
          <t>E109</t>
        </is>
      </c>
      <c r="C1159" t="n">
        <v>109</v>
      </c>
      <c r="D1159" t="n">
        <v>5</v>
      </c>
      <c r="E1159" t="inlineStr">
        <is>
          <t>Input</t>
        </is>
      </c>
      <c r="F1159" t="n">
        <v/>
      </c>
      <c r="G1159" t="n">
        <v>58997.14</v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11</v>
      </c>
      <c r="M1159" t="inlineStr">
        <is>
          <t>Values must be of type &lt;class 'str'&gt;</t>
        </is>
      </c>
      <c r="N1159" t="inlineStr">
        <is>
          <t>00000000</t>
        </is>
      </c>
      <c r="O1159" t="n">
        <v/>
      </c>
      <c r="P1159" t="n">
        <v/>
      </c>
      <c r="R1159" t="b">
        <v>1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</row>
    <row r="1160">
      <c r="A1160" t="inlineStr">
        <is>
          <t>ATF fuel</t>
        </is>
      </c>
      <c r="B1160" t="inlineStr">
        <is>
          <t>F109</t>
        </is>
      </c>
      <c r="C1160" t="n">
        <v>109</v>
      </c>
      <c r="D1160" t="n">
        <v>6</v>
      </c>
      <c r="E1160" t="inlineStr">
        <is>
          <t>Output</t>
        </is>
      </c>
      <c r="F1160" t="inlineStr">
        <is>
          <t>'=AVERAGE(B109:E109)</t>
        </is>
      </c>
      <c r="G1160" t="n">
        <v>58021.2925</v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11</v>
      </c>
      <c r="M1160" t="inlineStr">
        <is>
          <t>Values must be of type &lt;class 'str'&gt;</t>
        </is>
      </c>
      <c r="N1160" t="inlineStr">
        <is>
          <t>00000000</t>
        </is>
      </c>
      <c r="O1160" t="n">
        <v/>
      </c>
      <c r="P1160" t="n">
        <v/>
      </c>
      <c r="R1160" t="b">
        <v>1</v>
      </c>
      <c r="S1160" t="inlineStr">
        <is>
          <t>G000284</t>
        </is>
      </c>
      <c r="T1160" t="inlineStr">
        <is>
          <t>Vertical</t>
        </is>
      </c>
      <c r="U1160" t="n">
        <v>130</v>
      </c>
      <c r="V1160" t="b">
        <v>1</v>
      </c>
      <c r="W1160" t="inlineStr">
        <is>
          <t>ATF fuel!F2:F131</t>
        </is>
      </c>
      <c r="X1160">
        <f>AVERAGE(R[0]C[-4]:R[0]C[-1])</f>
        <v/>
      </c>
    </row>
    <row r="1161">
      <c r="A1161" t="inlineStr">
        <is>
          <t>ATF fuel</t>
        </is>
      </c>
      <c r="B1161" t="inlineStr">
        <is>
          <t>G109</t>
        </is>
      </c>
      <c r="C1161" t="n">
        <v>109</v>
      </c>
      <c r="D1161" t="n">
        <v>7</v>
      </c>
      <c r="E1161" t="inlineStr">
        <is>
          <t>Calculation</t>
        </is>
      </c>
      <c r="F1161" t="inlineStr">
        <is>
          <t>'=G108-1</t>
        </is>
      </c>
      <c r="G1161" t="n">
        <v>24</v>
      </c>
      <c r="H1161" t="inlineStr"/>
      <c r="I1161" t="inlineStr">
        <is>
          <t>#,##0</t>
        </is>
      </c>
      <c r="J1161" t="b">
        <v>0</v>
      </c>
      <c r="K1161" t="b">
        <v>0</v>
      </c>
      <c r="L1161" t="n">
        <v>11</v>
      </c>
      <c r="M1161" t="inlineStr">
        <is>
          <t>Values must be of type &lt;class 'str'&gt;</t>
        </is>
      </c>
      <c r="N1161" t="inlineStr">
        <is>
          <t>00000000</t>
        </is>
      </c>
      <c r="O1161" t="n">
        <v/>
      </c>
      <c r="P1161" t="n">
        <v/>
      </c>
      <c r="R1161" t="b">
        <v>1</v>
      </c>
      <c r="S1161" t="inlineStr">
        <is>
          <t>G000286</t>
        </is>
      </c>
      <c r="T1161" t="inlineStr">
        <is>
          <t>Vertical</t>
        </is>
      </c>
      <c r="U1161" t="n">
        <v>129</v>
      </c>
      <c r="V1161" t="b">
        <v>1</v>
      </c>
      <c r="W1161" t="inlineStr">
        <is>
          <t>ATF fuel!G3:G131</t>
        </is>
      </c>
      <c r="X1161">
        <f>R[-1]C[0]-1</f>
        <v/>
      </c>
    </row>
    <row r="1162">
      <c r="A1162" t="inlineStr">
        <is>
          <t>ATF fuel</t>
        </is>
      </c>
      <c r="B1162" t="inlineStr">
        <is>
          <t>A110</t>
        </is>
      </c>
      <c r="C1162" t="n">
        <v>110</v>
      </c>
      <c r="D1162" t="n">
        <v>1</v>
      </c>
      <c r="E1162" t="inlineStr">
        <is>
          <t>Input</t>
        </is>
      </c>
      <c r="F1162" t="n">
        <v/>
      </c>
      <c r="G1162" t="inlineStr">
        <is>
          <t>February 16, 2011</t>
        </is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11</v>
      </c>
      <c r="M1162" t="inlineStr">
        <is>
          <t>Values must be of type &lt;class 'str'&gt;</t>
        </is>
      </c>
      <c r="N1162" t="inlineStr">
        <is>
          <t>00000000</t>
        </is>
      </c>
      <c r="O1162" t="n">
        <v/>
      </c>
      <c r="P1162" t="n">
        <v/>
      </c>
      <c r="R1162" t="b">
        <v>1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</row>
    <row r="1163">
      <c r="A1163" t="inlineStr">
        <is>
          <t>ATF fuel</t>
        </is>
      </c>
      <c r="B1163" t="inlineStr">
        <is>
          <t>B110</t>
        </is>
      </c>
      <c r="C1163" t="n">
        <v>110</v>
      </c>
      <c r="D1163" t="n">
        <v>2</v>
      </c>
      <c r="E1163" t="inlineStr">
        <is>
          <t>Input</t>
        </is>
      </c>
      <c r="F1163" t="n">
        <v/>
      </c>
      <c r="G1163" t="n">
        <v>53063</v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11</v>
      </c>
      <c r="M1163" t="inlineStr">
        <is>
          <t>Values must be of type &lt;class 'str'&gt;</t>
        </is>
      </c>
      <c r="N1163" t="inlineStr">
        <is>
          <t>00000000</t>
        </is>
      </c>
      <c r="O1163" t="n">
        <v/>
      </c>
      <c r="P1163" t="n">
        <v/>
      </c>
      <c r="R1163" t="b">
        <v>1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</row>
    <row r="1164">
      <c r="A1164" t="inlineStr">
        <is>
          <t>ATF fuel</t>
        </is>
      </c>
      <c r="B1164" t="inlineStr">
        <is>
          <t>C110</t>
        </is>
      </c>
      <c r="C1164" t="n">
        <v>110</v>
      </c>
      <c r="D1164" t="n">
        <v>3</v>
      </c>
      <c r="E1164" t="inlineStr">
        <is>
          <t>Input</t>
        </is>
      </c>
      <c r="F1164" t="n">
        <v/>
      </c>
      <c r="G1164" t="n">
        <v>60720</v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11</v>
      </c>
      <c r="M1164" t="inlineStr">
        <is>
          <t>Values must be of type &lt;class 'str'&gt;</t>
        </is>
      </c>
      <c r="N1164" t="inlineStr">
        <is>
          <t>00000000</t>
        </is>
      </c>
      <c r="O1164" t="n">
        <v/>
      </c>
      <c r="P1164" t="n">
        <v/>
      </c>
      <c r="R1164" t="b">
        <v>1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</row>
    <row r="1165">
      <c r="A1165" t="inlineStr">
        <is>
          <t>ATF fuel</t>
        </is>
      </c>
      <c r="B1165" t="inlineStr">
        <is>
          <t>D110</t>
        </is>
      </c>
      <c r="C1165" t="n">
        <v>110</v>
      </c>
      <c r="D1165" t="n">
        <v>4</v>
      </c>
      <c r="E1165" t="inlineStr">
        <is>
          <t>Input</t>
        </is>
      </c>
      <c r="F1165" t="n">
        <v/>
      </c>
      <c r="G1165" t="n">
        <v>53538</v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11</v>
      </c>
      <c r="M1165" t="inlineStr">
        <is>
          <t>Values must be of type &lt;class 'str'&gt;</t>
        </is>
      </c>
      <c r="N1165" t="inlineStr">
        <is>
          <t>00000000</t>
        </is>
      </c>
      <c r="O1165" t="n">
        <v/>
      </c>
      <c r="P1165" t="n">
        <v/>
      </c>
      <c r="R1165" t="b">
        <v>1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</row>
    <row r="1166">
      <c r="A1166" t="inlineStr">
        <is>
          <t>ATF fuel</t>
        </is>
      </c>
      <c r="B1166" t="inlineStr">
        <is>
          <t>E110</t>
        </is>
      </c>
      <c r="C1166" t="n">
        <v>110</v>
      </c>
      <c r="D1166" t="n">
        <v>5</v>
      </c>
      <c r="E1166" t="inlineStr">
        <is>
          <t>Input</t>
        </is>
      </c>
      <c r="F1166" t="n">
        <v/>
      </c>
      <c r="G1166" t="n">
        <v>56986</v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11</v>
      </c>
      <c r="M1166" t="inlineStr">
        <is>
          <t>Values must be of type &lt;class 'str'&gt;</t>
        </is>
      </c>
      <c r="N1166" t="inlineStr">
        <is>
          <t>00000000</t>
        </is>
      </c>
      <c r="O1166" t="n">
        <v/>
      </c>
      <c r="P1166" t="n">
        <v/>
      </c>
      <c r="R1166" t="b">
        <v>1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</row>
    <row r="1167">
      <c r="A1167" t="inlineStr">
        <is>
          <t>ATF fuel</t>
        </is>
      </c>
      <c r="B1167" t="inlineStr">
        <is>
          <t>F110</t>
        </is>
      </c>
      <c r="C1167" t="n">
        <v>110</v>
      </c>
      <c r="D1167" t="n">
        <v>6</v>
      </c>
      <c r="E1167" t="inlineStr">
        <is>
          <t>Output</t>
        </is>
      </c>
      <c r="F1167" t="inlineStr">
        <is>
          <t>'=AVERAGE(B110:E110)</t>
        </is>
      </c>
      <c r="G1167" t="n">
        <v>56076.75</v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11</v>
      </c>
      <c r="M1167" t="inlineStr">
        <is>
          <t>Values must be of type &lt;class 'str'&gt;</t>
        </is>
      </c>
      <c r="N1167" t="inlineStr">
        <is>
          <t>00000000</t>
        </is>
      </c>
      <c r="O1167" t="n">
        <v/>
      </c>
      <c r="P1167" t="n">
        <v/>
      </c>
      <c r="R1167" t="b">
        <v>1</v>
      </c>
      <c r="S1167" t="inlineStr">
        <is>
          <t>G000284</t>
        </is>
      </c>
      <c r="T1167" t="inlineStr">
        <is>
          <t>Vertical</t>
        </is>
      </c>
      <c r="U1167" t="n">
        <v>130</v>
      </c>
      <c r="V1167" t="b">
        <v>1</v>
      </c>
      <c r="W1167" t="inlineStr">
        <is>
          <t>ATF fuel!F2:F131</t>
        </is>
      </c>
      <c r="X1167">
        <f>AVERAGE(R[0]C[-4]:R[0]C[-1])</f>
        <v/>
      </c>
    </row>
    <row r="1168">
      <c r="A1168" t="inlineStr">
        <is>
          <t>ATF fuel</t>
        </is>
      </c>
      <c r="B1168" t="inlineStr">
        <is>
          <t>G110</t>
        </is>
      </c>
      <c r="C1168" t="n">
        <v>110</v>
      </c>
      <c r="D1168" t="n">
        <v>7</v>
      </c>
      <c r="E1168" t="inlineStr">
        <is>
          <t>Calculation</t>
        </is>
      </c>
      <c r="F1168" t="inlineStr">
        <is>
          <t>'=G109-1</t>
        </is>
      </c>
      <c r="G1168" t="n">
        <v>23</v>
      </c>
      <c r="H1168" t="inlineStr"/>
      <c r="I1168" t="inlineStr">
        <is>
          <t>#,##0</t>
        </is>
      </c>
      <c r="J1168" t="b">
        <v>0</v>
      </c>
      <c r="K1168" t="b">
        <v>0</v>
      </c>
      <c r="L1168" t="n">
        <v>11</v>
      </c>
      <c r="M1168" t="inlineStr">
        <is>
          <t>Values must be of type &lt;class 'str'&gt;</t>
        </is>
      </c>
      <c r="N1168" t="inlineStr">
        <is>
          <t>00000000</t>
        </is>
      </c>
      <c r="O1168" t="n">
        <v/>
      </c>
      <c r="P1168" t="n">
        <v/>
      </c>
      <c r="R1168" t="b">
        <v>1</v>
      </c>
      <c r="S1168" t="inlineStr">
        <is>
          <t>G000286</t>
        </is>
      </c>
      <c r="T1168" t="inlineStr">
        <is>
          <t>Vertical</t>
        </is>
      </c>
      <c r="U1168" t="n">
        <v>129</v>
      </c>
      <c r="V1168" t="b">
        <v>1</v>
      </c>
      <c r="W1168" t="inlineStr">
        <is>
          <t>ATF fuel!G3:G131</t>
        </is>
      </c>
      <c r="X1168">
        <f>R[-1]C[0]-1</f>
        <v/>
      </c>
    </row>
    <row r="1169">
      <c r="A1169" t="inlineStr">
        <is>
          <t>ATF fuel</t>
        </is>
      </c>
      <c r="B1169" t="inlineStr">
        <is>
          <t>A111</t>
        </is>
      </c>
      <c r="C1169" t="n">
        <v>111</v>
      </c>
      <c r="D1169" t="n">
        <v>1</v>
      </c>
      <c r="E1169" t="inlineStr">
        <is>
          <t>Input</t>
        </is>
      </c>
      <c r="F1169" t="n">
        <v/>
      </c>
      <c r="G1169" t="inlineStr">
        <is>
          <t>February 01, 2011</t>
        </is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11</v>
      </c>
      <c r="M1169" t="inlineStr">
        <is>
          <t>Values must be of type &lt;class 'str'&gt;</t>
        </is>
      </c>
      <c r="N1169" t="inlineStr">
        <is>
          <t>00000000</t>
        </is>
      </c>
      <c r="O1169" t="n">
        <v/>
      </c>
      <c r="P1169" t="n">
        <v/>
      </c>
      <c r="R1169" t="b">
        <v>1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</row>
    <row r="1170">
      <c r="A1170" t="inlineStr">
        <is>
          <t>ATF fuel</t>
        </is>
      </c>
      <c r="B1170" t="inlineStr">
        <is>
          <t>B111</t>
        </is>
      </c>
      <c r="C1170" t="n">
        <v>111</v>
      </c>
      <c r="D1170" t="n">
        <v>2</v>
      </c>
      <c r="E1170" t="inlineStr">
        <is>
          <t>Input</t>
        </is>
      </c>
      <c r="F1170" t="n">
        <v/>
      </c>
      <c r="G1170" t="n">
        <v>50958.79</v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11</v>
      </c>
      <c r="M1170" t="inlineStr">
        <is>
          <t>Values must be of type &lt;class 'str'&gt;</t>
        </is>
      </c>
      <c r="N1170" t="inlineStr">
        <is>
          <t>00000000</t>
        </is>
      </c>
      <c r="O1170" t="n">
        <v/>
      </c>
      <c r="P1170" t="n">
        <v/>
      </c>
      <c r="R1170" t="b">
        <v>1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</row>
    <row r="1171">
      <c r="A1171" t="inlineStr">
        <is>
          <t>ATF fuel</t>
        </is>
      </c>
      <c r="B1171" t="inlineStr">
        <is>
          <t>C111</t>
        </is>
      </c>
      <c r="C1171" t="n">
        <v>111</v>
      </c>
      <c r="D1171" t="n">
        <v>3</v>
      </c>
      <c r="E1171" t="inlineStr">
        <is>
          <t>Input</t>
        </is>
      </c>
      <c r="F1171" t="n">
        <v/>
      </c>
      <c r="G1171" t="n">
        <v>58500.9</v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11</v>
      </c>
      <c r="M1171" t="inlineStr">
        <is>
          <t>Values must be of type &lt;class 'str'&gt;</t>
        </is>
      </c>
      <c r="N1171" t="inlineStr">
        <is>
          <t>00000000</t>
        </is>
      </c>
      <c r="O1171" t="n">
        <v/>
      </c>
      <c r="P1171" t="n">
        <v/>
      </c>
      <c r="R1171" t="b">
        <v>1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</row>
    <row r="1172">
      <c r="A1172" t="inlineStr">
        <is>
          <t>ATF fuel</t>
        </is>
      </c>
      <c r="B1172" t="inlineStr">
        <is>
          <t>D111</t>
        </is>
      </c>
      <c r="C1172" t="n">
        <v>111</v>
      </c>
      <c r="D1172" t="n">
        <v>4</v>
      </c>
      <c r="E1172" t="inlineStr">
        <is>
          <t>Input</t>
        </is>
      </c>
      <c r="F1172" t="n">
        <v/>
      </c>
      <c r="G1172" t="n">
        <v>51332.82</v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11</v>
      </c>
      <c r="M1172" t="inlineStr">
        <is>
          <t>Values must be of type &lt;class 'str'&gt;</t>
        </is>
      </c>
      <c r="N1172" t="inlineStr">
        <is>
          <t>00000000</t>
        </is>
      </c>
      <c r="O1172" t="n">
        <v/>
      </c>
      <c r="P1172" t="n">
        <v/>
      </c>
      <c r="R1172" t="b">
        <v>1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</row>
    <row r="1173">
      <c r="A1173" t="inlineStr">
        <is>
          <t>ATF fuel</t>
        </is>
      </c>
      <c r="B1173" t="inlineStr">
        <is>
          <t>E111</t>
        </is>
      </c>
      <c r="C1173" t="n">
        <v>111</v>
      </c>
      <c r="D1173" t="n">
        <v>5</v>
      </c>
      <c r="E1173" t="inlineStr">
        <is>
          <t>Input</t>
        </is>
      </c>
      <c r="F1173" t="n">
        <v/>
      </c>
      <c r="G1173" t="n">
        <v>54696.55</v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11</v>
      </c>
      <c r="M1173" t="inlineStr">
        <is>
          <t>Values must be of type &lt;class 'str'&gt;</t>
        </is>
      </c>
      <c r="N1173" t="inlineStr">
        <is>
          <t>00000000</t>
        </is>
      </c>
      <c r="O1173" t="n">
        <v/>
      </c>
      <c r="P1173" t="n">
        <v/>
      </c>
      <c r="R1173" t="b">
        <v>1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</row>
    <row r="1174">
      <c r="A1174" t="inlineStr">
        <is>
          <t>ATF fuel</t>
        </is>
      </c>
      <c r="B1174" t="inlineStr">
        <is>
          <t>F111</t>
        </is>
      </c>
      <c r="C1174" t="n">
        <v>111</v>
      </c>
      <c r="D1174" t="n">
        <v>6</v>
      </c>
      <c r="E1174" t="inlineStr">
        <is>
          <t>Output</t>
        </is>
      </c>
      <c r="F1174" t="inlineStr">
        <is>
          <t>'=AVERAGE(B111:E111)</t>
        </is>
      </c>
      <c r="G1174" t="n">
        <v>53872.265</v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11</v>
      </c>
      <c r="M1174" t="inlineStr">
        <is>
          <t>Values must be of type &lt;class 'str'&gt;</t>
        </is>
      </c>
      <c r="N1174" t="inlineStr">
        <is>
          <t>00000000</t>
        </is>
      </c>
      <c r="O1174" t="n">
        <v/>
      </c>
      <c r="P1174" t="n">
        <v/>
      </c>
      <c r="R1174" t="b">
        <v>1</v>
      </c>
      <c r="S1174" t="inlineStr">
        <is>
          <t>G000284</t>
        </is>
      </c>
      <c r="T1174" t="inlineStr">
        <is>
          <t>Vertical</t>
        </is>
      </c>
      <c r="U1174" t="n">
        <v>130</v>
      </c>
      <c r="V1174" t="b">
        <v>1</v>
      </c>
      <c r="W1174" t="inlineStr">
        <is>
          <t>ATF fuel!F2:F131</t>
        </is>
      </c>
      <c r="X1174">
        <f>AVERAGE(R[0]C[-4]:R[0]C[-1])</f>
        <v/>
      </c>
    </row>
    <row r="1175">
      <c r="A1175" t="inlineStr">
        <is>
          <t>ATF fuel</t>
        </is>
      </c>
      <c r="B1175" t="inlineStr">
        <is>
          <t>G111</t>
        </is>
      </c>
      <c r="C1175" t="n">
        <v>111</v>
      </c>
      <c r="D1175" t="n">
        <v>7</v>
      </c>
      <c r="E1175" t="inlineStr">
        <is>
          <t>Calculation</t>
        </is>
      </c>
      <c r="F1175" t="inlineStr">
        <is>
          <t>'=G110-1</t>
        </is>
      </c>
      <c r="G1175" t="n">
        <v>22</v>
      </c>
      <c r="H1175" t="inlineStr"/>
      <c r="I1175" t="inlineStr">
        <is>
          <t>#,##0</t>
        </is>
      </c>
      <c r="J1175" t="b">
        <v>0</v>
      </c>
      <c r="K1175" t="b">
        <v>0</v>
      </c>
      <c r="L1175" t="n">
        <v>11</v>
      </c>
      <c r="M1175" t="inlineStr">
        <is>
          <t>Values must be of type &lt;class 'str'&gt;</t>
        </is>
      </c>
      <c r="N1175" t="inlineStr">
        <is>
          <t>00000000</t>
        </is>
      </c>
      <c r="O1175" t="n">
        <v/>
      </c>
      <c r="P1175" t="n">
        <v/>
      </c>
      <c r="R1175" t="b">
        <v>1</v>
      </c>
      <c r="S1175" t="inlineStr">
        <is>
          <t>G000286</t>
        </is>
      </c>
      <c r="T1175" t="inlineStr">
        <is>
          <t>Vertical</t>
        </is>
      </c>
      <c r="U1175" t="n">
        <v>129</v>
      </c>
      <c r="V1175" t="b">
        <v>1</v>
      </c>
      <c r="W1175" t="inlineStr">
        <is>
          <t>ATF fuel!G3:G131</t>
        </is>
      </c>
      <c r="X1175">
        <f>R[-1]C[0]-1</f>
        <v/>
      </c>
    </row>
    <row r="1176">
      <c r="A1176" t="inlineStr">
        <is>
          <t>ATF fuel</t>
        </is>
      </c>
      <c r="B1176" t="inlineStr">
        <is>
          <t>A112</t>
        </is>
      </c>
      <c r="C1176" t="n">
        <v>112</v>
      </c>
      <c r="D1176" t="n">
        <v>1</v>
      </c>
      <c r="E1176" t="inlineStr">
        <is>
          <t>Input</t>
        </is>
      </c>
      <c r="F1176" t="n">
        <v/>
      </c>
      <c r="G1176" t="inlineStr">
        <is>
          <t>January 16, 2011</t>
        </is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11</v>
      </c>
      <c r="M1176" t="inlineStr">
        <is>
          <t>Values must be of type &lt;class 'str'&gt;</t>
        </is>
      </c>
      <c r="N1176" t="inlineStr">
        <is>
          <t>00000000</t>
        </is>
      </c>
      <c r="O1176" t="n">
        <v/>
      </c>
      <c r="P1176" t="n">
        <v/>
      </c>
      <c r="R1176" t="b">
        <v>1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</row>
    <row r="1177">
      <c r="A1177" t="inlineStr">
        <is>
          <t>ATF fuel</t>
        </is>
      </c>
      <c r="B1177" t="inlineStr">
        <is>
          <t>B112</t>
        </is>
      </c>
      <c r="C1177" t="n">
        <v>112</v>
      </c>
      <c r="D1177" t="n">
        <v>2</v>
      </c>
      <c r="E1177" t="inlineStr">
        <is>
          <t>Input</t>
        </is>
      </c>
      <c r="F1177" t="n">
        <v/>
      </c>
      <c r="G1177" t="n">
        <v>48764</v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11</v>
      </c>
      <c r="M1177" t="inlineStr">
        <is>
          <t>Values must be of type &lt;class 'str'&gt;</t>
        </is>
      </c>
      <c r="N1177" t="inlineStr">
        <is>
          <t>00000000</t>
        </is>
      </c>
      <c r="O1177" t="n">
        <v/>
      </c>
      <c r="P1177" t="n">
        <v/>
      </c>
      <c r="R1177" t="b">
        <v>1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</row>
    <row r="1178">
      <c r="A1178" t="inlineStr">
        <is>
          <t>ATF fuel</t>
        </is>
      </c>
      <c r="B1178" t="inlineStr">
        <is>
          <t>C112</t>
        </is>
      </c>
      <c r="C1178" t="n">
        <v>112</v>
      </c>
      <c r="D1178" t="n">
        <v>3</v>
      </c>
      <c r="E1178" t="inlineStr">
        <is>
          <t>Input</t>
        </is>
      </c>
      <c r="F1178" t="n">
        <v/>
      </c>
      <c r="G1178" t="n">
        <v>56186</v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11</v>
      </c>
      <c r="M1178" t="inlineStr">
        <is>
          <t>Values must be of type &lt;class 'str'&gt;</t>
        </is>
      </c>
      <c r="N1178" t="inlineStr">
        <is>
          <t>00000000</t>
        </is>
      </c>
      <c r="O1178" t="n">
        <v/>
      </c>
      <c r="P1178" t="n">
        <v/>
      </c>
      <c r="R1178" t="b">
        <v>1</v>
      </c>
      <c r="S1178" t="n">
        <v/>
      </c>
      <c r="T1178" t="n">
        <v/>
      </c>
      <c r="U1178" t="n">
        <v/>
      </c>
      <c r="V1178" t="b">
        <v>0</v>
      </c>
      <c r="W1178" t="inlineStr"/>
      <c r="X1178" t="n">
        <v/>
      </c>
    </row>
    <row r="1179">
      <c r="A1179" t="inlineStr">
        <is>
          <t>ATF fuel</t>
        </is>
      </c>
      <c r="B1179" t="inlineStr">
        <is>
          <t>D112</t>
        </is>
      </c>
      <c r="C1179" t="n">
        <v>112</v>
      </c>
      <c r="D1179" t="n">
        <v>4</v>
      </c>
      <c r="E1179" t="inlineStr">
        <is>
          <t>Input</t>
        </is>
      </c>
      <c r="F1179" t="n">
        <v/>
      </c>
      <c r="G1179" t="n">
        <v>49046</v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11</v>
      </c>
      <c r="M1179" t="inlineStr">
        <is>
          <t>Values must be of type &lt;class 'str'&gt;</t>
        </is>
      </c>
      <c r="N1179" t="inlineStr">
        <is>
          <t>00000000</t>
        </is>
      </c>
      <c r="O1179" t="n">
        <v/>
      </c>
      <c r="P1179" t="n">
        <v/>
      </c>
      <c r="R1179" t="b">
        <v>1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</row>
    <row r="1180">
      <c r="A1180" t="inlineStr">
        <is>
          <t>ATF fuel</t>
        </is>
      </c>
      <c r="B1180" t="inlineStr">
        <is>
          <t>E112</t>
        </is>
      </c>
      <c r="C1180" t="n">
        <v>112</v>
      </c>
      <c r="D1180" t="n">
        <v>5</v>
      </c>
      <c r="E1180" t="inlineStr">
        <is>
          <t>Input</t>
        </is>
      </c>
      <c r="F1180" t="n">
        <v/>
      </c>
      <c r="G1180" t="n">
        <v>52323</v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11</v>
      </c>
      <c r="M1180" t="inlineStr">
        <is>
          <t>Values must be of type &lt;class 'str'&gt;</t>
        </is>
      </c>
      <c r="N1180" t="inlineStr">
        <is>
          <t>00000000</t>
        </is>
      </c>
      <c r="O1180" t="n">
        <v/>
      </c>
      <c r="P1180" t="n">
        <v/>
      </c>
      <c r="R1180" t="b">
        <v>1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</row>
    <row r="1181">
      <c r="A1181" t="inlineStr">
        <is>
          <t>ATF fuel</t>
        </is>
      </c>
      <c r="B1181" t="inlineStr">
        <is>
          <t>F112</t>
        </is>
      </c>
      <c r="C1181" t="n">
        <v>112</v>
      </c>
      <c r="D1181" t="n">
        <v>6</v>
      </c>
      <c r="E1181" t="inlineStr">
        <is>
          <t>Output</t>
        </is>
      </c>
      <c r="F1181" t="inlineStr">
        <is>
          <t>'=AVERAGE(B112:E112)</t>
        </is>
      </c>
      <c r="G1181" t="n">
        <v>51579.75</v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11</v>
      </c>
      <c r="M1181" t="inlineStr">
        <is>
          <t>Values must be of type &lt;class 'str'&gt;</t>
        </is>
      </c>
      <c r="N1181" t="inlineStr">
        <is>
          <t>00000000</t>
        </is>
      </c>
      <c r="O1181" t="n">
        <v/>
      </c>
      <c r="P1181" t="n">
        <v/>
      </c>
      <c r="R1181" t="b">
        <v>1</v>
      </c>
      <c r="S1181" t="inlineStr">
        <is>
          <t>G000284</t>
        </is>
      </c>
      <c r="T1181" t="inlineStr">
        <is>
          <t>Vertical</t>
        </is>
      </c>
      <c r="U1181" t="n">
        <v>130</v>
      </c>
      <c r="V1181" t="b">
        <v>1</v>
      </c>
      <c r="W1181" t="inlineStr">
        <is>
          <t>ATF fuel!F2:F131</t>
        </is>
      </c>
      <c r="X1181">
        <f>AVERAGE(R[0]C[-4]:R[0]C[-1])</f>
        <v/>
      </c>
    </row>
    <row r="1182">
      <c r="A1182" t="inlineStr">
        <is>
          <t>ATF fuel</t>
        </is>
      </c>
      <c r="B1182" t="inlineStr">
        <is>
          <t>G112</t>
        </is>
      </c>
      <c r="C1182" t="n">
        <v>112</v>
      </c>
      <c r="D1182" t="n">
        <v>7</v>
      </c>
      <c r="E1182" t="inlineStr">
        <is>
          <t>Calculation</t>
        </is>
      </c>
      <c r="F1182" t="inlineStr">
        <is>
          <t>'=G111-1</t>
        </is>
      </c>
      <c r="G1182" t="n">
        <v>21</v>
      </c>
      <c r="H1182" t="inlineStr"/>
      <c r="I1182" t="inlineStr">
        <is>
          <t>#,##0</t>
        </is>
      </c>
      <c r="J1182" t="b">
        <v>0</v>
      </c>
      <c r="K1182" t="b">
        <v>0</v>
      </c>
      <c r="L1182" t="n">
        <v>11</v>
      </c>
      <c r="M1182" t="inlineStr">
        <is>
          <t>Values must be of type &lt;class 'str'&gt;</t>
        </is>
      </c>
      <c r="N1182" t="inlineStr">
        <is>
          <t>00000000</t>
        </is>
      </c>
      <c r="O1182" t="n">
        <v/>
      </c>
      <c r="P1182" t="n">
        <v/>
      </c>
      <c r="R1182" t="b">
        <v>1</v>
      </c>
      <c r="S1182" t="inlineStr">
        <is>
          <t>G000286</t>
        </is>
      </c>
      <c r="T1182" t="inlineStr">
        <is>
          <t>Vertical</t>
        </is>
      </c>
      <c r="U1182" t="n">
        <v>129</v>
      </c>
      <c r="V1182" t="b">
        <v>1</v>
      </c>
      <c r="W1182" t="inlineStr">
        <is>
          <t>ATF fuel!G3:G131</t>
        </is>
      </c>
      <c r="X1182">
        <f>R[-1]C[0]-1</f>
        <v/>
      </c>
    </row>
    <row r="1183">
      <c r="A1183" t="inlineStr">
        <is>
          <t>ATF fuel</t>
        </is>
      </c>
      <c r="B1183" t="inlineStr">
        <is>
          <t>A113</t>
        </is>
      </c>
      <c r="C1183" t="n">
        <v>113</v>
      </c>
      <c r="D1183" t="n">
        <v>1</v>
      </c>
      <c r="E1183" t="inlineStr">
        <is>
          <t>Input</t>
        </is>
      </c>
      <c r="F1183" t="n">
        <v/>
      </c>
      <c r="G1183" t="inlineStr">
        <is>
          <t>January 01, 2011</t>
        </is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11</v>
      </c>
      <c r="M1183" t="inlineStr">
        <is>
          <t>Values must be of type &lt;class 'str'&gt;</t>
        </is>
      </c>
      <c r="N1183" t="inlineStr">
        <is>
          <t>00000000</t>
        </is>
      </c>
      <c r="O1183" t="n">
        <v/>
      </c>
      <c r="P1183" t="n">
        <v/>
      </c>
      <c r="R1183" t="b">
        <v>1</v>
      </c>
      <c r="S1183" t="n">
        <v/>
      </c>
      <c r="T1183" t="n">
        <v/>
      </c>
      <c r="U1183" t="n">
        <v/>
      </c>
      <c r="V1183" t="b">
        <v>0</v>
      </c>
      <c r="W1183" t="inlineStr"/>
      <c r="X1183" t="n">
        <v/>
      </c>
    </row>
    <row r="1184">
      <c r="A1184" t="inlineStr">
        <is>
          <t>ATF fuel</t>
        </is>
      </c>
      <c r="B1184" t="inlineStr">
        <is>
          <t>B113</t>
        </is>
      </c>
      <c r="C1184" t="n">
        <v>113</v>
      </c>
      <c r="D1184" t="n">
        <v>2</v>
      </c>
      <c r="E1184" t="inlineStr">
        <is>
          <t>Input</t>
        </is>
      </c>
      <c r="F1184" t="n">
        <v/>
      </c>
      <c r="G1184" t="n">
        <v>47815.5</v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11</v>
      </c>
      <c r="M1184" t="inlineStr">
        <is>
          <t>Values must be of type &lt;class 'str'&gt;</t>
        </is>
      </c>
      <c r="N1184" t="inlineStr">
        <is>
          <t>00000000</t>
        </is>
      </c>
      <c r="O1184" t="n">
        <v/>
      </c>
      <c r="P1184" t="n">
        <v/>
      </c>
      <c r="R1184" t="b">
        <v>1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</row>
    <row r="1185">
      <c r="A1185" t="inlineStr">
        <is>
          <t>ATF fuel</t>
        </is>
      </c>
      <c r="B1185" t="inlineStr">
        <is>
          <t>C113</t>
        </is>
      </c>
      <c r="C1185" t="n">
        <v>113</v>
      </c>
      <c r="D1185" t="n">
        <v>3</v>
      </c>
      <c r="E1185" t="inlineStr">
        <is>
          <t>Input</t>
        </is>
      </c>
      <c r="F1185" t="n">
        <v/>
      </c>
      <c r="G1185" t="n">
        <v>55158.14</v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11</v>
      </c>
      <c r="M1185" t="inlineStr">
        <is>
          <t>Values must be of type &lt;class 'str'&gt;</t>
        </is>
      </c>
      <c r="N1185" t="inlineStr">
        <is>
          <t>00000000</t>
        </is>
      </c>
      <c r="O1185" t="n">
        <v/>
      </c>
      <c r="P1185" t="n">
        <v/>
      </c>
      <c r="R1185" t="b">
        <v>1</v>
      </c>
      <c r="S1185" t="n">
        <v/>
      </c>
      <c r="T1185" t="n">
        <v/>
      </c>
      <c r="U1185" t="n">
        <v/>
      </c>
      <c r="V1185" t="b">
        <v>0</v>
      </c>
      <c r="W1185" t="inlineStr"/>
      <c r="X1185" t="n">
        <v/>
      </c>
    </row>
    <row r="1186">
      <c r="A1186" t="inlineStr">
        <is>
          <t>ATF fuel</t>
        </is>
      </c>
      <c r="B1186" t="inlineStr">
        <is>
          <t>D113</t>
        </is>
      </c>
      <c r="C1186" t="n">
        <v>113</v>
      </c>
      <c r="D1186" t="n">
        <v>4</v>
      </c>
      <c r="E1186" t="inlineStr">
        <is>
          <t>Input</t>
        </is>
      </c>
      <c r="F1186" t="n">
        <v/>
      </c>
      <c r="G1186" t="n">
        <v>48058.56</v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11</v>
      </c>
      <c r="M1186" t="inlineStr">
        <is>
          <t>Values must be of type &lt;class 'str'&gt;</t>
        </is>
      </c>
      <c r="N1186" t="inlineStr">
        <is>
          <t>00000000</t>
        </is>
      </c>
      <c r="O1186" t="n">
        <v/>
      </c>
      <c r="P1186" t="n">
        <v/>
      </c>
      <c r="R1186" t="b">
        <v>1</v>
      </c>
      <c r="S1186" t="n">
        <v/>
      </c>
      <c r="T1186" t="n">
        <v/>
      </c>
      <c r="U1186" t="n">
        <v/>
      </c>
      <c r="V1186" t="b">
        <v>0</v>
      </c>
      <c r="W1186" t="inlineStr"/>
      <c r="X1186" t="n">
        <v/>
      </c>
    </row>
    <row r="1187">
      <c r="A1187" t="inlineStr">
        <is>
          <t>ATF fuel</t>
        </is>
      </c>
      <c r="B1187" t="inlineStr">
        <is>
          <t>E113</t>
        </is>
      </c>
      <c r="C1187" t="n">
        <v>113</v>
      </c>
      <c r="D1187" t="n">
        <v>5</v>
      </c>
      <c r="E1187" t="inlineStr">
        <is>
          <t>Input</t>
        </is>
      </c>
      <c r="F1187" t="n">
        <v/>
      </c>
      <c r="G1187" t="n">
        <v>51275.32</v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11</v>
      </c>
      <c r="M1187" t="inlineStr">
        <is>
          <t>Values must be of type &lt;class 'str'&gt;</t>
        </is>
      </c>
      <c r="N1187" t="inlineStr">
        <is>
          <t>00000000</t>
        </is>
      </c>
      <c r="O1187" t="n">
        <v/>
      </c>
      <c r="P1187" t="n">
        <v/>
      </c>
      <c r="R1187" t="b">
        <v>1</v>
      </c>
      <c r="S1187" t="n">
        <v/>
      </c>
      <c r="T1187" t="n">
        <v/>
      </c>
      <c r="U1187" t="n">
        <v/>
      </c>
      <c r="V1187" t="b">
        <v>0</v>
      </c>
      <c r="W1187" t="inlineStr"/>
      <c r="X1187" t="n">
        <v/>
      </c>
    </row>
    <row r="1188">
      <c r="A1188" t="inlineStr">
        <is>
          <t>ATF fuel</t>
        </is>
      </c>
      <c r="B1188" t="inlineStr">
        <is>
          <t>F113</t>
        </is>
      </c>
      <c r="C1188" t="n">
        <v>113</v>
      </c>
      <c r="D1188" t="n">
        <v>6</v>
      </c>
      <c r="E1188" t="inlineStr">
        <is>
          <t>Output</t>
        </is>
      </c>
      <c r="F1188" t="inlineStr">
        <is>
          <t>'=AVERAGE(B113:E113)</t>
        </is>
      </c>
      <c r="G1188" t="n">
        <v>50576.88</v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11</v>
      </c>
      <c r="M1188" t="inlineStr">
        <is>
          <t>Values must be of type &lt;class 'str'&gt;</t>
        </is>
      </c>
      <c r="N1188" t="inlineStr">
        <is>
          <t>00000000</t>
        </is>
      </c>
      <c r="O1188" t="n">
        <v/>
      </c>
      <c r="P1188" t="n">
        <v/>
      </c>
      <c r="R1188" t="b">
        <v>1</v>
      </c>
      <c r="S1188" t="inlineStr">
        <is>
          <t>G000284</t>
        </is>
      </c>
      <c r="T1188" t="inlineStr">
        <is>
          <t>Vertical</t>
        </is>
      </c>
      <c r="U1188" t="n">
        <v>130</v>
      </c>
      <c r="V1188" t="b">
        <v>1</v>
      </c>
      <c r="W1188" t="inlineStr">
        <is>
          <t>ATF fuel!F2:F131</t>
        </is>
      </c>
      <c r="X1188">
        <f>AVERAGE(R[0]C[-4]:R[0]C[-1])</f>
        <v/>
      </c>
    </row>
    <row r="1189">
      <c r="A1189" t="inlineStr">
        <is>
          <t>ATF fuel</t>
        </is>
      </c>
      <c r="B1189" t="inlineStr">
        <is>
          <t>G113</t>
        </is>
      </c>
      <c r="C1189" t="n">
        <v>113</v>
      </c>
      <c r="D1189" t="n">
        <v>7</v>
      </c>
      <c r="E1189" t="inlineStr">
        <is>
          <t>Calculation</t>
        </is>
      </c>
      <c r="F1189" t="inlineStr">
        <is>
          <t>'=G112-1</t>
        </is>
      </c>
      <c r="G1189" t="n">
        <v>20</v>
      </c>
      <c r="H1189" t="inlineStr"/>
      <c r="I1189" t="inlineStr">
        <is>
          <t>#,##0</t>
        </is>
      </c>
      <c r="J1189" t="b">
        <v>0</v>
      </c>
      <c r="K1189" t="b">
        <v>0</v>
      </c>
      <c r="L1189" t="n">
        <v>11</v>
      </c>
      <c r="M1189" t="inlineStr">
        <is>
          <t>Values must be of type &lt;class 'str'&gt;</t>
        </is>
      </c>
      <c r="N1189" t="inlineStr">
        <is>
          <t>00000000</t>
        </is>
      </c>
      <c r="O1189" t="n">
        <v/>
      </c>
      <c r="P1189" t="n">
        <v/>
      </c>
      <c r="R1189" t="b">
        <v>1</v>
      </c>
      <c r="S1189" t="inlineStr">
        <is>
          <t>G000286</t>
        </is>
      </c>
      <c r="T1189" t="inlineStr">
        <is>
          <t>Vertical</t>
        </is>
      </c>
      <c r="U1189" t="n">
        <v>129</v>
      </c>
      <c r="V1189" t="b">
        <v>1</v>
      </c>
      <c r="W1189" t="inlineStr">
        <is>
          <t>ATF fuel!G3:G131</t>
        </is>
      </c>
      <c r="X1189">
        <f>R[-1]C[0]-1</f>
        <v/>
      </c>
    </row>
    <row r="1190">
      <c r="A1190" t="inlineStr">
        <is>
          <t>ATF fuel</t>
        </is>
      </c>
      <c r="B1190" t="inlineStr">
        <is>
          <t>A114</t>
        </is>
      </c>
      <c r="C1190" t="n">
        <v>114</v>
      </c>
      <c r="D1190" t="n">
        <v>1</v>
      </c>
      <c r="E1190" t="inlineStr">
        <is>
          <t>Input</t>
        </is>
      </c>
      <c r="F1190" t="n">
        <v/>
      </c>
      <c r="G1190" t="inlineStr">
        <is>
          <t>December 16, 2010</t>
        </is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11</v>
      </c>
      <c r="M1190" t="inlineStr">
        <is>
          <t>Values must be of type &lt;class 'str'&gt;</t>
        </is>
      </c>
      <c r="N1190" t="inlineStr">
        <is>
          <t>00000000</t>
        </is>
      </c>
      <c r="O1190" t="n">
        <v/>
      </c>
      <c r="P1190" t="n">
        <v/>
      </c>
      <c r="R1190" t="b">
        <v>1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</row>
    <row r="1191">
      <c r="A1191" t="inlineStr">
        <is>
          <t>ATF fuel</t>
        </is>
      </c>
      <c r="B1191" t="inlineStr">
        <is>
          <t>B114</t>
        </is>
      </c>
      <c r="C1191" t="n">
        <v>114</v>
      </c>
      <c r="D1191" t="n">
        <v>2</v>
      </c>
      <c r="E1191" t="inlineStr">
        <is>
          <t>Input</t>
        </is>
      </c>
      <c r="F1191" t="n">
        <v/>
      </c>
      <c r="G1191" t="n">
        <v>46880.3</v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11</v>
      </c>
      <c r="M1191" t="inlineStr">
        <is>
          <t>Values must be of type &lt;class 'str'&gt;</t>
        </is>
      </c>
      <c r="N1191" t="inlineStr">
        <is>
          <t>00000000</t>
        </is>
      </c>
      <c r="O1191" t="n">
        <v/>
      </c>
      <c r="P1191" t="n">
        <v/>
      </c>
      <c r="R1191" t="b">
        <v>1</v>
      </c>
      <c r="S1191" t="n">
        <v/>
      </c>
      <c r="T1191" t="n">
        <v/>
      </c>
      <c r="U1191" t="n">
        <v/>
      </c>
      <c r="V1191" t="b">
        <v>0</v>
      </c>
      <c r="W1191" t="inlineStr"/>
      <c r="X1191" t="n">
        <v/>
      </c>
    </row>
    <row r="1192">
      <c r="A1192" t="inlineStr">
        <is>
          <t>ATF fuel</t>
        </is>
      </c>
      <c r="B1192" t="inlineStr">
        <is>
          <t>C114</t>
        </is>
      </c>
      <c r="C1192" t="n">
        <v>114</v>
      </c>
      <c r="D1192" t="n">
        <v>3</v>
      </c>
      <c r="E1192" t="inlineStr">
        <is>
          <t>Input</t>
        </is>
      </c>
      <c r="F1192" t="n">
        <v/>
      </c>
      <c r="G1192" t="n">
        <v>54183.98</v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11</v>
      </c>
      <c r="M1192" t="inlineStr">
        <is>
          <t>Values must be of type &lt;class 'str'&gt;</t>
        </is>
      </c>
      <c r="N1192" t="inlineStr">
        <is>
          <t>00000000</t>
        </is>
      </c>
      <c r="O1192" t="n">
        <v/>
      </c>
      <c r="P1192" t="n">
        <v/>
      </c>
      <c r="R1192" t="b">
        <v>1</v>
      </c>
      <c r="S1192" t="n">
        <v/>
      </c>
      <c r="T1192" t="n">
        <v/>
      </c>
      <c r="U1192" t="n">
        <v/>
      </c>
      <c r="V1192" t="b">
        <v>0</v>
      </c>
      <c r="W1192" t="inlineStr"/>
      <c r="X1192" t="n">
        <v/>
      </c>
    </row>
    <row r="1193">
      <c r="A1193" t="inlineStr">
        <is>
          <t>ATF fuel</t>
        </is>
      </c>
      <c r="B1193" t="inlineStr">
        <is>
          <t>D114</t>
        </is>
      </c>
      <c r="C1193" t="n">
        <v>114</v>
      </c>
      <c r="D1193" t="n">
        <v>4</v>
      </c>
      <c r="E1193" t="inlineStr">
        <is>
          <t>Input</t>
        </is>
      </c>
      <c r="F1193" t="n">
        <v/>
      </c>
      <c r="G1193" t="n">
        <v>47084.4</v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11</v>
      </c>
      <c r="M1193" t="inlineStr">
        <is>
          <t>Values must be of type &lt;class 'str'&gt;</t>
        </is>
      </c>
      <c r="N1193" t="inlineStr">
        <is>
          <t>00000000</t>
        </is>
      </c>
      <c r="O1193" t="n">
        <v/>
      </c>
      <c r="P1193" t="n">
        <v/>
      </c>
      <c r="R1193" t="b">
        <v>1</v>
      </c>
      <c r="S1193" t="n">
        <v/>
      </c>
      <c r="T1193" t="n">
        <v/>
      </c>
      <c r="U1193" t="n">
        <v/>
      </c>
      <c r="V1193" t="b">
        <v>0</v>
      </c>
      <c r="W1193" t="inlineStr"/>
      <c r="X1193" t="n">
        <v/>
      </c>
    </row>
    <row r="1194">
      <c r="A1194" t="inlineStr">
        <is>
          <t>ATF fuel</t>
        </is>
      </c>
      <c r="B1194" t="inlineStr">
        <is>
          <t>E114</t>
        </is>
      </c>
      <c r="C1194" t="n">
        <v>114</v>
      </c>
      <c r="D1194" t="n">
        <v>5</v>
      </c>
      <c r="E1194" t="inlineStr">
        <is>
          <t>Input</t>
        </is>
      </c>
      <c r="F1194" t="n">
        <v/>
      </c>
      <c r="G1194" t="n">
        <v>50270</v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11</v>
      </c>
      <c r="M1194" t="inlineStr">
        <is>
          <t>Values must be of type &lt;class 'str'&gt;</t>
        </is>
      </c>
      <c r="N1194" t="inlineStr">
        <is>
          <t>00000000</t>
        </is>
      </c>
      <c r="O1194" t="n">
        <v/>
      </c>
      <c r="P1194" t="n">
        <v/>
      </c>
      <c r="R1194" t="b">
        <v>1</v>
      </c>
      <c r="S1194" t="n">
        <v/>
      </c>
      <c r="T1194" t="n">
        <v/>
      </c>
      <c r="U1194" t="n">
        <v/>
      </c>
      <c r="V1194" t="b">
        <v>0</v>
      </c>
      <c r="W1194" t="inlineStr"/>
      <c r="X1194" t="n">
        <v/>
      </c>
    </row>
    <row r="1195">
      <c r="A1195" t="inlineStr">
        <is>
          <t>ATF fuel</t>
        </is>
      </c>
      <c r="B1195" t="inlineStr">
        <is>
          <t>F114</t>
        </is>
      </c>
      <c r="C1195" t="n">
        <v>114</v>
      </c>
      <c r="D1195" t="n">
        <v>6</v>
      </c>
      <c r="E1195" t="inlineStr">
        <is>
          <t>Output</t>
        </is>
      </c>
      <c r="F1195" t="inlineStr">
        <is>
          <t>'=AVERAGE(B114:E114)</t>
        </is>
      </c>
      <c r="G1195" t="n">
        <v>49604.67</v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11</v>
      </c>
      <c r="M1195" t="inlineStr">
        <is>
          <t>Values must be of type &lt;class 'str'&gt;</t>
        </is>
      </c>
      <c r="N1195" t="inlineStr">
        <is>
          <t>00000000</t>
        </is>
      </c>
      <c r="O1195" t="n">
        <v/>
      </c>
      <c r="P1195" t="n">
        <v/>
      </c>
      <c r="R1195" t="b">
        <v>1</v>
      </c>
      <c r="S1195" t="inlineStr">
        <is>
          <t>G000284</t>
        </is>
      </c>
      <c r="T1195" t="inlineStr">
        <is>
          <t>Vertical</t>
        </is>
      </c>
      <c r="U1195" t="n">
        <v>130</v>
      </c>
      <c r="V1195" t="b">
        <v>1</v>
      </c>
      <c r="W1195" t="inlineStr">
        <is>
          <t>ATF fuel!F2:F131</t>
        </is>
      </c>
      <c r="X1195">
        <f>AVERAGE(R[0]C[-4]:R[0]C[-1])</f>
        <v/>
      </c>
    </row>
    <row r="1196">
      <c r="A1196" t="inlineStr">
        <is>
          <t>ATF fuel</t>
        </is>
      </c>
      <c r="B1196" t="inlineStr">
        <is>
          <t>G114</t>
        </is>
      </c>
      <c r="C1196" t="n">
        <v>114</v>
      </c>
      <c r="D1196" t="n">
        <v>7</v>
      </c>
      <c r="E1196" t="inlineStr">
        <is>
          <t>Calculation</t>
        </is>
      </c>
      <c r="F1196" t="inlineStr">
        <is>
          <t>'=G113-1</t>
        </is>
      </c>
      <c r="G1196" t="n">
        <v>19</v>
      </c>
      <c r="H1196" t="inlineStr"/>
      <c r="I1196" t="inlineStr">
        <is>
          <t>#,##0</t>
        </is>
      </c>
      <c r="J1196" t="b">
        <v>0</v>
      </c>
      <c r="K1196" t="b">
        <v>0</v>
      </c>
      <c r="L1196" t="n">
        <v>11</v>
      </c>
      <c r="M1196" t="inlineStr">
        <is>
          <t>Values must be of type &lt;class 'str'&gt;</t>
        </is>
      </c>
      <c r="N1196" t="inlineStr">
        <is>
          <t>00000000</t>
        </is>
      </c>
      <c r="O1196" t="n">
        <v/>
      </c>
      <c r="P1196" t="n">
        <v/>
      </c>
      <c r="R1196" t="b">
        <v>1</v>
      </c>
      <c r="S1196" t="inlineStr">
        <is>
          <t>G000286</t>
        </is>
      </c>
      <c r="T1196" t="inlineStr">
        <is>
          <t>Vertical</t>
        </is>
      </c>
      <c r="U1196" t="n">
        <v>129</v>
      </c>
      <c r="V1196" t="b">
        <v>1</v>
      </c>
      <c r="W1196" t="inlineStr">
        <is>
          <t>ATF fuel!G3:G131</t>
        </is>
      </c>
      <c r="X1196">
        <f>R[-1]C[0]-1</f>
        <v/>
      </c>
    </row>
    <row r="1197">
      <c r="A1197" t="inlineStr">
        <is>
          <t>ATF fuel</t>
        </is>
      </c>
      <c r="B1197" t="inlineStr">
        <is>
          <t>A115</t>
        </is>
      </c>
      <c r="C1197" t="n">
        <v>115</v>
      </c>
      <c r="D1197" t="n">
        <v>1</v>
      </c>
      <c r="E1197" t="inlineStr">
        <is>
          <t>Input</t>
        </is>
      </c>
      <c r="F1197" t="n">
        <v/>
      </c>
      <c r="G1197" t="inlineStr">
        <is>
          <t>December 01, 2010</t>
        </is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11</v>
      </c>
      <c r="M1197" t="inlineStr">
        <is>
          <t>Values must be of type &lt;class 'str'&gt;</t>
        </is>
      </c>
      <c r="N1197" t="inlineStr">
        <is>
          <t>00000000</t>
        </is>
      </c>
      <c r="O1197" t="n">
        <v/>
      </c>
      <c r="P1197" t="n">
        <v/>
      </c>
      <c r="R1197" t="b">
        <v>1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</row>
    <row r="1198">
      <c r="A1198" t="inlineStr">
        <is>
          <t>ATF fuel</t>
        </is>
      </c>
      <c r="B1198" t="inlineStr">
        <is>
          <t>B115</t>
        </is>
      </c>
      <c r="C1198" t="n">
        <v>115</v>
      </c>
      <c r="D1198" t="n">
        <v>2</v>
      </c>
      <c r="E1198" t="inlineStr">
        <is>
          <t>Input</t>
        </is>
      </c>
      <c r="F1198" t="n">
        <v/>
      </c>
      <c r="G1198" t="n">
        <v>45240</v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11</v>
      </c>
      <c r="M1198" t="inlineStr">
        <is>
          <t>Values must be of type &lt;class 'str'&gt;</t>
        </is>
      </c>
      <c r="N1198" t="inlineStr">
        <is>
          <t>00000000</t>
        </is>
      </c>
      <c r="O1198" t="n">
        <v/>
      </c>
      <c r="P1198" t="n">
        <v/>
      </c>
      <c r="R1198" t="b">
        <v>1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</row>
    <row r="1199">
      <c r="A1199" t="inlineStr">
        <is>
          <t>ATF fuel</t>
        </is>
      </c>
      <c r="B1199" t="inlineStr">
        <is>
          <t>C115</t>
        </is>
      </c>
      <c r="C1199" t="n">
        <v>115</v>
      </c>
      <c r="D1199" t="n">
        <v>3</v>
      </c>
      <c r="E1199" t="inlineStr">
        <is>
          <t>Input</t>
        </is>
      </c>
      <c r="F1199" t="n">
        <v/>
      </c>
      <c r="G1199" t="n">
        <v>52452.14</v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11</v>
      </c>
      <c r="M1199" t="inlineStr">
        <is>
          <t>Values must be of type &lt;class 'str'&gt;</t>
        </is>
      </c>
      <c r="N1199" t="inlineStr">
        <is>
          <t>00000000</t>
        </is>
      </c>
      <c r="O1199" t="n">
        <v/>
      </c>
      <c r="P1199" t="n">
        <v/>
      </c>
      <c r="R1199" t="b">
        <v>1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</row>
    <row r="1200">
      <c r="A1200" t="inlineStr">
        <is>
          <t>ATF fuel</t>
        </is>
      </c>
      <c r="B1200" t="inlineStr">
        <is>
          <t>D115</t>
        </is>
      </c>
      <c r="C1200" t="n">
        <v>115</v>
      </c>
      <c r="D1200" t="n">
        <v>4</v>
      </c>
      <c r="E1200" t="inlineStr">
        <is>
          <t>Input</t>
        </is>
      </c>
      <c r="F1200" t="n">
        <v/>
      </c>
      <c r="G1200" t="n">
        <v>45379.62</v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11</v>
      </c>
      <c r="M1200" t="inlineStr">
        <is>
          <t>Values must be of type &lt;class 'str'&gt;</t>
        </is>
      </c>
      <c r="N1200" t="inlineStr">
        <is>
          <t>00000000</t>
        </is>
      </c>
      <c r="O1200" t="n">
        <v/>
      </c>
      <c r="P1200" t="n">
        <v/>
      </c>
      <c r="R1200" t="b">
        <v>1</v>
      </c>
      <c r="S1200" t="n">
        <v/>
      </c>
      <c r="T1200" t="n">
        <v/>
      </c>
      <c r="U1200" t="n">
        <v/>
      </c>
      <c r="V1200" t="b">
        <v>0</v>
      </c>
      <c r="W1200" t="inlineStr"/>
      <c r="X1200" t="n">
        <v/>
      </c>
    </row>
    <row r="1201">
      <c r="A1201" t="inlineStr">
        <is>
          <t>ATF fuel</t>
        </is>
      </c>
      <c r="B1201" t="inlineStr">
        <is>
          <t>E115</t>
        </is>
      </c>
      <c r="C1201" t="n">
        <v>115</v>
      </c>
      <c r="D1201" t="n">
        <v>5</v>
      </c>
      <c r="E1201" t="inlineStr">
        <is>
          <t>Input</t>
        </is>
      </c>
      <c r="F1201" t="n">
        <v/>
      </c>
      <c r="G1201" t="n">
        <v>48496.7</v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11</v>
      </c>
      <c r="M1201" t="inlineStr">
        <is>
          <t>Values must be of type &lt;class 'str'&gt;</t>
        </is>
      </c>
      <c r="N1201" t="inlineStr">
        <is>
          <t>00000000</t>
        </is>
      </c>
      <c r="O1201" t="n">
        <v/>
      </c>
      <c r="P1201" t="n">
        <v/>
      </c>
      <c r="R1201" t="b">
        <v>1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</row>
    <row r="1202">
      <c r="A1202" t="inlineStr">
        <is>
          <t>ATF fuel</t>
        </is>
      </c>
      <c r="B1202" t="inlineStr">
        <is>
          <t>F115</t>
        </is>
      </c>
      <c r="C1202" t="n">
        <v>115</v>
      </c>
      <c r="D1202" t="n">
        <v>6</v>
      </c>
      <c r="E1202" t="inlineStr">
        <is>
          <t>Output</t>
        </is>
      </c>
      <c r="F1202" t="inlineStr">
        <is>
          <t>'=AVERAGE(B115:E115)</t>
        </is>
      </c>
      <c r="G1202" t="n">
        <v>47892.11500000001</v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11</v>
      </c>
      <c r="M1202" t="inlineStr">
        <is>
          <t>Values must be of type &lt;class 'str'&gt;</t>
        </is>
      </c>
      <c r="N1202" t="inlineStr">
        <is>
          <t>00000000</t>
        </is>
      </c>
      <c r="O1202" t="n">
        <v/>
      </c>
      <c r="P1202" t="n">
        <v/>
      </c>
      <c r="R1202" t="b">
        <v>1</v>
      </c>
      <c r="S1202" t="inlineStr">
        <is>
          <t>G000284</t>
        </is>
      </c>
      <c r="T1202" t="inlineStr">
        <is>
          <t>Vertical</t>
        </is>
      </c>
      <c r="U1202" t="n">
        <v>130</v>
      </c>
      <c r="V1202" t="b">
        <v>1</v>
      </c>
      <c r="W1202" t="inlineStr">
        <is>
          <t>ATF fuel!F2:F131</t>
        </is>
      </c>
      <c r="X1202">
        <f>AVERAGE(R[0]C[-4]:R[0]C[-1])</f>
        <v/>
      </c>
    </row>
    <row r="1203">
      <c r="A1203" t="inlineStr">
        <is>
          <t>ATF fuel</t>
        </is>
      </c>
      <c r="B1203" t="inlineStr">
        <is>
          <t>G115</t>
        </is>
      </c>
      <c r="C1203" t="n">
        <v>115</v>
      </c>
      <c r="D1203" t="n">
        <v>7</v>
      </c>
      <c r="E1203" t="inlineStr">
        <is>
          <t>Calculation</t>
        </is>
      </c>
      <c r="F1203" t="inlineStr">
        <is>
          <t>'=G114-1</t>
        </is>
      </c>
      <c r="G1203" t="n">
        <v>18</v>
      </c>
      <c r="H1203" t="inlineStr"/>
      <c r="I1203" t="inlineStr">
        <is>
          <t>#,##0</t>
        </is>
      </c>
      <c r="J1203" t="b">
        <v>0</v>
      </c>
      <c r="K1203" t="b">
        <v>0</v>
      </c>
      <c r="L1203" t="n">
        <v>11</v>
      </c>
      <c r="M1203" t="inlineStr">
        <is>
          <t>Values must be of type &lt;class 'str'&gt;</t>
        </is>
      </c>
      <c r="N1203" t="inlineStr">
        <is>
          <t>00000000</t>
        </is>
      </c>
      <c r="O1203" t="n">
        <v/>
      </c>
      <c r="P1203" t="n">
        <v/>
      </c>
      <c r="R1203" t="b">
        <v>1</v>
      </c>
      <c r="S1203" t="inlineStr">
        <is>
          <t>G000286</t>
        </is>
      </c>
      <c r="T1203" t="inlineStr">
        <is>
          <t>Vertical</t>
        </is>
      </c>
      <c r="U1203" t="n">
        <v>129</v>
      </c>
      <c r="V1203" t="b">
        <v>1</v>
      </c>
      <c r="W1203" t="inlineStr">
        <is>
          <t>ATF fuel!G3:G131</t>
        </is>
      </c>
      <c r="X1203">
        <f>R[-1]C[0]-1</f>
        <v/>
      </c>
    </row>
    <row r="1204">
      <c r="A1204" t="inlineStr">
        <is>
          <t>ATF fuel</t>
        </is>
      </c>
      <c r="B1204" t="inlineStr">
        <is>
          <t>A116</t>
        </is>
      </c>
      <c r="C1204" t="n">
        <v>116</v>
      </c>
      <c r="D1204" t="n">
        <v>1</v>
      </c>
      <c r="E1204" t="inlineStr">
        <is>
          <t>Input</t>
        </is>
      </c>
      <c r="F1204" t="n">
        <v/>
      </c>
      <c r="G1204" t="inlineStr">
        <is>
          <t>November 16, 2010</t>
        </is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11</v>
      </c>
      <c r="M1204" t="inlineStr">
        <is>
          <t>Values must be of type &lt;class 'str'&gt;</t>
        </is>
      </c>
      <c r="N1204" t="inlineStr">
        <is>
          <t>00000000</t>
        </is>
      </c>
      <c r="O1204" t="n">
        <v/>
      </c>
      <c r="P1204" t="n">
        <v/>
      </c>
      <c r="R1204" t="b">
        <v>1</v>
      </c>
      <c r="S1204" t="n">
        <v/>
      </c>
      <c r="T1204" t="n">
        <v/>
      </c>
      <c r="U1204" t="n">
        <v/>
      </c>
      <c r="V1204" t="b">
        <v>0</v>
      </c>
      <c r="W1204" t="inlineStr"/>
      <c r="X1204" t="n">
        <v/>
      </c>
    </row>
    <row r="1205">
      <c r="A1205" t="inlineStr">
        <is>
          <t>ATF fuel</t>
        </is>
      </c>
      <c r="B1205" t="inlineStr">
        <is>
          <t>B116</t>
        </is>
      </c>
      <c r="C1205" t="n">
        <v>116</v>
      </c>
      <c r="D1205" t="n">
        <v>2</v>
      </c>
      <c r="E1205" t="inlineStr">
        <is>
          <t>Input</t>
        </is>
      </c>
      <c r="F1205" t="n">
        <v/>
      </c>
      <c r="G1205" t="n">
        <v>44603.54</v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11</v>
      </c>
      <c r="M1205" t="inlineStr">
        <is>
          <t>Values must be of type &lt;class 'str'&gt;</t>
        </is>
      </c>
      <c r="N1205" t="inlineStr">
        <is>
          <t>00000000</t>
        </is>
      </c>
      <c r="O1205" t="n">
        <v/>
      </c>
      <c r="P1205" t="n">
        <v/>
      </c>
      <c r="R1205" t="b">
        <v>1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</row>
    <row r="1206">
      <c r="A1206" t="inlineStr">
        <is>
          <t>ATF fuel</t>
        </is>
      </c>
      <c r="B1206" t="inlineStr">
        <is>
          <t>C116</t>
        </is>
      </c>
      <c r="C1206" t="n">
        <v>116</v>
      </c>
      <c r="D1206" t="n">
        <v>3</v>
      </c>
      <c r="E1206" t="inlineStr">
        <is>
          <t>Input</t>
        </is>
      </c>
      <c r="F1206" t="n">
        <v/>
      </c>
      <c r="G1206" t="n">
        <v>51802.7</v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11</v>
      </c>
      <c r="M1206" t="inlineStr">
        <is>
          <t>Values must be of type &lt;class 'str'&gt;</t>
        </is>
      </c>
      <c r="N1206" t="inlineStr">
        <is>
          <t>00000000</t>
        </is>
      </c>
      <c r="O1206" t="n">
        <v/>
      </c>
      <c r="P1206" t="n">
        <v/>
      </c>
      <c r="R1206" t="b">
        <v>1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</row>
    <row r="1207">
      <c r="A1207" t="inlineStr">
        <is>
          <t>ATF fuel</t>
        </is>
      </c>
      <c r="B1207" t="inlineStr">
        <is>
          <t>D116</t>
        </is>
      </c>
      <c r="C1207" t="n">
        <v>116</v>
      </c>
      <c r="D1207" t="n">
        <v>4</v>
      </c>
      <c r="E1207" t="inlineStr">
        <is>
          <t>Input</t>
        </is>
      </c>
      <c r="F1207" t="n">
        <v/>
      </c>
      <c r="G1207" t="n">
        <v>44716.65</v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11</v>
      </c>
      <c r="M1207" t="inlineStr">
        <is>
          <t>Values must be of type &lt;class 'str'&gt;</t>
        </is>
      </c>
      <c r="N1207" t="inlineStr">
        <is>
          <t>00000000</t>
        </is>
      </c>
      <c r="O1207" t="n">
        <v/>
      </c>
      <c r="P1207" t="n">
        <v/>
      </c>
      <c r="R1207" t="b">
        <v>1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</row>
    <row r="1208">
      <c r="A1208" t="inlineStr">
        <is>
          <t>ATF fuel</t>
        </is>
      </c>
      <c r="B1208" t="inlineStr">
        <is>
          <t>E116</t>
        </is>
      </c>
      <c r="C1208" t="n">
        <v>116</v>
      </c>
      <c r="D1208" t="n">
        <v>5</v>
      </c>
      <c r="E1208" t="inlineStr">
        <is>
          <t>Input</t>
        </is>
      </c>
      <c r="F1208" t="n">
        <v/>
      </c>
      <c r="G1208" t="n">
        <v>47812.51</v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11</v>
      </c>
      <c r="M1208" t="inlineStr">
        <is>
          <t>Values must be of type &lt;class 'str'&gt;</t>
        </is>
      </c>
      <c r="N1208" t="inlineStr">
        <is>
          <t>00000000</t>
        </is>
      </c>
      <c r="O1208" t="n">
        <v/>
      </c>
      <c r="P1208" t="n">
        <v/>
      </c>
      <c r="R1208" t="b">
        <v>1</v>
      </c>
      <c r="S1208" t="n">
        <v/>
      </c>
      <c r="T1208" t="n">
        <v/>
      </c>
      <c r="U1208" t="n">
        <v/>
      </c>
      <c r="V1208" t="b">
        <v>0</v>
      </c>
      <c r="W1208" t="inlineStr"/>
      <c r="X1208" t="n">
        <v/>
      </c>
    </row>
    <row r="1209">
      <c r="A1209" t="inlineStr">
        <is>
          <t>ATF fuel</t>
        </is>
      </c>
      <c r="B1209" t="inlineStr">
        <is>
          <t>F116</t>
        </is>
      </c>
      <c r="C1209" t="n">
        <v>116</v>
      </c>
      <c r="D1209" t="n">
        <v>6</v>
      </c>
      <c r="E1209" t="inlineStr">
        <is>
          <t>Output</t>
        </is>
      </c>
      <c r="F1209" t="inlineStr">
        <is>
          <t>'=AVERAGE(B116:E116)</t>
        </is>
      </c>
      <c r="G1209" t="n">
        <v>47233.85</v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11</v>
      </c>
      <c r="M1209" t="inlineStr">
        <is>
          <t>Values must be of type &lt;class 'str'&gt;</t>
        </is>
      </c>
      <c r="N1209" t="inlineStr">
        <is>
          <t>00000000</t>
        </is>
      </c>
      <c r="O1209" t="n">
        <v/>
      </c>
      <c r="P1209" t="n">
        <v/>
      </c>
      <c r="R1209" t="b">
        <v>1</v>
      </c>
      <c r="S1209" t="inlineStr">
        <is>
          <t>G000284</t>
        </is>
      </c>
      <c r="T1209" t="inlineStr">
        <is>
          <t>Vertical</t>
        </is>
      </c>
      <c r="U1209" t="n">
        <v>130</v>
      </c>
      <c r="V1209" t="b">
        <v>1</v>
      </c>
      <c r="W1209" t="inlineStr">
        <is>
          <t>ATF fuel!F2:F131</t>
        </is>
      </c>
      <c r="X1209">
        <f>AVERAGE(R[0]C[-4]:R[0]C[-1])</f>
        <v/>
      </c>
    </row>
    <row r="1210">
      <c r="A1210" t="inlineStr">
        <is>
          <t>ATF fuel</t>
        </is>
      </c>
      <c r="B1210" t="inlineStr">
        <is>
          <t>G116</t>
        </is>
      </c>
      <c r="C1210" t="n">
        <v>116</v>
      </c>
      <c r="D1210" t="n">
        <v>7</v>
      </c>
      <c r="E1210" t="inlineStr">
        <is>
          <t>Calculation</t>
        </is>
      </c>
      <c r="F1210" t="inlineStr">
        <is>
          <t>'=G115-1</t>
        </is>
      </c>
      <c r="G1210" t="n">
        <v>17</v>
      </c>
      <c r="H1210" t="inlineStr"/>
      <c r="I1210" t="inlineStr">
        <is>
          <t>#,##0</t>
        </is>
      </c>
      <c r="J1210" t="b">
        <v>0</v>
      </c>
      <c r="K1210" t="b">
        <v>0</v>
      </c>
      <c r="L1210" t="n">
        <v>11</v>
      </c>
      <c r="M1210" t="inlineStr">
        <is>
          <t>Values must be of type &lt;class 'str'&gt;</t>
        </is>
      </c>
      <c r="N1210" t="inlineStr">
        <is>
          <t>00000000</t>
        </is>
      </c>
      <c r="O1210" t="n">
        <v/>
      </c>
      <c r="P1210" t="n">
        <v/>
      </c>
      <c r="R1210" t="b">
        <v>1</v>
      </c>
      <c r="S1210" t="inlineStr">
        <is>
          <t>G000286</t>
        </is>
      </c>
      <c r="T1210" t="inlineStr">
        <is>
          <t>Vertical</t>
        </is>
      </c>
      <c r="U1210" t="n">
        <v>129</v>
      </c>
      <c r="V1210" t="b">
        <v>1</v>
      </c>
      <c r="W1210" t="inlineStr">
        <is>
          <t>ATF fuel!G3:G131</t>
        </is>
      </c>
      <c r="X1210">
        <f>R[-1]C[0]-1</f>
        <v/>
      </c>
    </row>
    <row r="1211">
      <c r="A1211" t="inlineStr">
        <is>
          <t>ATF fuel</t>
        </is>
      </c>
      <c r="B1211" t="inlineStr">
        <is>
          <t>A117</t>
        </is>
      </c>
      <c r="C1211" t="n">
        <v>117</v>
      </c>
      <c r="D1211" t="n">
        <v>1</v>
      </c>
      <c r="E1211" t="inlineStr">
        <is>
          <t>Input</t>
        </is>
      </c>
      <c r="F1211" t="n">
        <v/>
      </c>
      <c r="G1211" t="inlineStr">
        <is>
          <t>November 01, 2010</t>
        </is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11</v>
      </c>
      <c r="M1211" t="inlineStr">
        <is>
          <t>Values must be of type &lt;class 'str'&gt;</t>
        </is>
      </c>
      <c r="N1211" t="inlineStr">
        <is>
          <t>00000000</t>
        </is>
      </c>
      <c r="O1211" t="n">
        <v/>
      </c>
      <c r="P1211" t="n">
        <v/>
      </c>
      <c r="R1211" t="b">
        <v>1</v>
      </c>
      <c r="S1211" t="n">
        <v/>
      </c>
      <c r="T1211" t="n">
        <v/>
      </c>
      <c r="U1211" t="n">
        <v/>
      </c>
      <c r="V1211" t="b">
        <v>0</v>
      </c>
      <c r="W1211" t="inlineStr"/>
      <c r="X1211" t="n">
        <v/>
      </c>
    </row>
    <row r="1212">
      <c r="A1212" t="inlineStr">
        <is>
          <t>ATF fuel</t>
        </is>
      </c>
      <c r="B1212" t="inlineStr">
        <is>
          <t>B117</t>
        </is>
      </c>
      <c r="C1212" t="n">
        <v>117</v>
      </c>
      <c r="D1212" t="n">
        <v>2</v>
      </c>
      <c r="E1212" t="inlineStr">
        <is>
          <t>Input</t>
        </is>
      </c>
      <c r="F1212" t="n">
        <v/>
      </c>
      <c r="G1212" t="n">
        <v>42276</v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11</v>
      </c>
      <c r="M1212" t="inlineStr">
        <is>
          <t>Values must be of type &lt;class 'str'&gt;</t>
        </is>
      </c>
      <c r="N1212" t="inlineStr">
        <is>
          <t>00000000</t>
        </is>
      </c>
      <c r="O1212" t="n">
        <v/>
      </c>
      <c r="P1212" t="n">
        <v/>
      </c>
      <c r="R1212" t="b">
        <v>1</v>
      </c>
      <c r="S1212" t="n">
        <v/>
      </c>
      <c r="T1212" t="n">
        <v/>
      </c>
      <c r="U1212" t="n">
        <v/>
      </c>
      <c r="V1212" t="b">
        <v>0</v>
      </c>
      <c r="W1212" t="inlineStr"/>
      <c r="X1212" t="n">
        <v/>
      </c>
    </row>
    <row r="1213">
      <c r="A1213" t="inlineStr">
        <is>
          <t>ATF fuel</t>
        </is>
      </c>
      <c r="B1213" t="inlineStr">
        <is>
          <t>C117</t>
        </is>
      </c>
      <c r="C1213" t="n">
        <v>117</v>
      </c>
      <c r="D1213" t="n">
        <v>3</v>
      </c>
      <c r="E1213" t="inlineStr">
        <is>
          <t>Input</t>
        </is>
      </c>
      <c r="F1213" t="n">
        <v/>
      </c>
      <c r="G1213" t="n">
        <v>50653</v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11</v>
      </c>
      <c r="M1213" t="inlineStr">
        <is>
          <t>Values must be of type &lt;class 'str'&gt;</t>
        </is>
      </c>
      <c r="N1213" t="inlineStr">
        <is>
          <t>00000000</t>
        </is>
      </c>
      <c r="O1213" t="n">
        <v/>
      </c>
      <c r="P1213" t="n">
        <v/>
      </c>
      <c r="R1213" t="b">
        <v>1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</row>
    <row r="1214">
      <c r="A1214" t="inlineStr">
        <is>
          <t>ATF fuel</t>
        </is>
      </c>
      <c r="B1214" t="inlineStr">
        <is>
          <t>D117</t>
        </is>
      </c>
      <c r="C1214" t="n">
        <v>117</v>
      </c>
      <c r="D1214" t="n">
        <v>4</v>
      </c>
      <c r="E1214" t="inlineStr">
        <is>
          <t>Input</t>
        </is>
      </c>
      <c r="F1214" t="n">
        <v/>
      </c>
      <c r="G1214" t="n">
        <v>43553</v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11</v>
      </c>
      <c r="M1214" t="inlineStr">
        <is>
          <t>Values must be of type &lt;class 'str'&gt;</t>
        </is>
      </c>
      <c r="N1214" t="inlineStr">
        <is>
          <t>00000000</t>
        </is>
      </c>
      <c r="O1214" t="n">
        <v/>
      </c>
      <c r="P1214" t="n">
        <v/>
      </c>
      <c r="R1214" t="b">
        <v>1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</row>
    <row r="1215">
      <c r="A1215" t="inlineStr">
        <is>
          <t>ATF fuel</t>
        </is>
      </c>
      <c r="B1215" t="inlineStr">
        <is>
          <t>E117</t>
        </is>
      </c>
      <c r="C1215" t="n">
        <v>117</v>
      </c>
      <c r="D1215" t="n">
        <v>5</v>
      </c>
      <c r="E1215" t="inlineStr">
        <is>
          <t>Input</t>
        </is>
      </c>
      <c r="F1215" t="n">
        <v/>
      </c>
      <c r="G1215" t="n">
        <v>46626</v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11</v>
      </c>
      <c r="M1215" t="inlineStr">
        <is>
          <t>Values must be of type &lt;class 'str'&gt;</t>
        </is>
      </c>
      <c r="N1215" t="inlineStr">
        <is>
          <t>00000000</t>
        </is>
      </c>
      <c r="O1215" t="n">
        <v/>
      </c>
      <c r="P1215" t="n">
        <v/>
      </c>
      <c r="R1215" t="b">
        <v>1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</row>
    <row r="1216">
      <c r="A1216" t="inlineStr">
        <is>
          <t>ATF fuel</t>
        </is>
      </c>
      <c r="B1216" t="inlineStr">
        <is>
          <t>F117</t>
        </is>
      </c>
      <c r="C1216" t="n">
        <v>117</v>
      </c>
      <c r="D1216" t="n">
        <v>6</v>
      </c>
      <c r="E1216" t="inlineStr">
        <is>
          <t>Output</t>
        </is>
      </c>
      <c r="F1216" t="inlineStr">
        <is>
          <t>'=AVERAGE(B117:E117)</t>
        </is>
      </c>
      <c r="G1216" t="n">
        <v>45777</v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11</v>
      </c>
      <c r="M1216" t="inlineStr">
        <is>
          <t>Values must be of type &lt;class 'str'&gt;</t>
        </is>
      </c>
      <c r="N1216" t="inlineStr">
        <is>
          <t>00000000</t>
        </is>
      </c>
      <c r="O1216" t="n">
        <v/>
      </c>
      <c r="P1216" t="n">
        <v/>
      </c>
      <c r="R1216" t="b">
        <v>1</v>
      </c>
      <c r="S1216" t="inlineStr">
        <is>
          <t>G000284</t>
        </is>
      </c>
      <c r="T1216" t="inlineStr">
        <is>
          <t>Vertical</t>
        </is>
      </c>
      <c r="U1216" t="n">
        <v>130</v>
      </c>
      <c r="V1216" t="b">
        <v>1</v>
      </c>
      <c r="W1216" t="inlineStr">
        <is>
          <t>ATF fuel!F2:F131</t>
        </is>
      </c>
      <c r="X1216">
        <f>AVERAGE(R[0]C[-4]:R[0]C[-1])</f>
        <v/>
      </c>
    </row>
    <row r="1217">
      <c r="A1217" t="inlineStr">
        <is>
          <t>ATF fuel</t>
        </is>
      </c>
      <c r="B1217" t="inlineStr">
        <is>
          <t>G117</t>
        </is>
      </c>
      <c r="C1217" t="n">
        <v>117</v>
      </c>
      <c r="D1217" t="n">
        <v>7</v>
      </c>
      <c r="E1217" t="inlineStr">
        <is>
          <t>Calculation</t>
        </is>
      </c>
      <c r="F1217" t="inlineStr">
        <is>
          <t>'=G116-1</t>
        </is>
      </c>
      <c r="G1217" t="n">
        <v>16</v>
      </c>
      <c r="H1217" t="inlineStr"/>
      <c r="I1217" t="inlineStr">
        <is>
          <t>#,##0</t>
        </is>
      </c>
      <c r="J1217" t="b">
        <v>0</v>
      </c>
      <c r="K1217" t="b">
        <v>0</v>
      </c>
      <c r="L1217" t="n">
        <v>11</v>
      </c>
      <c r="M1217" t="inlineStr">
        <is>
          <t>Values must be of type &lt;class 'str'&gt;</t>
        </is>
      </c>
      <c r="N1217" t="inlineStr">
        <is>
          <t>00000000</t>
        </is>
      </c>
      <c r="O1217" t="n">
        <v/>
      </c>
      <c r="P1217" t="n">
        <v/>
      </c>
      <c r="R1217" t="b">
        <v>1</v>
      </c>
      <c r="S1217" t="inlineStr">
        <is>
          <t>G000286</t>
        </is>
      </c>
      <c r="T1217" t="inlineStr">
        <is>
          <t>Vertical</t>
        </is>
      </c>
      <c r="U1217" t="n">
        <v>129</v>
      </c>
      <c r="V1217" t="b">
        <v>1</v>
      </c>
      <c r="W1217" t="inlineStr">
        <is>
          <t>ATF fuel!G3:G131</t>
        </is>
      </c>
      <c r="X1217">
        <f>R[-1]C[0]-1</f>
        <v/>
      </c>
    </row>
    <row r="1218">
      <c r="A1218" t="inlineStr">
        <is>
          <t>ATF fuel</t>
        </is>
      </c>
      <c r="B1218" t="inlineStr">
        <is>
          <t>A118</t>
        </is>
      </c>
      <c r="C1218" t="n">
        <v>118</v>
      </c>
      <c r="D1218" t="n">
        <v>1</v>
      </c>
      <c r="E1218" t="inlineStr">
        <is>
          <t>Input</t>
        </is>
      </c>
      <c r="F1218" t="n">
        <v/>
      </c>
      <c r="G1218" t="inlineStr">
        <is>
          <t>October 16, 2010</t>
        </is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11</v>
      </c>
      <c r="M1218" t="inlineStr">
        <is>
          <t>Values must be of type &lt;class 'str'&gt;</t>
        </is>
      </c>
      <c r="N1218" t="inlineStr">
        <is>
          <t>00000000</t>
        </is>
      </c>
      <c r="O1218" t="n">
        <v/>
      </c>
      <c r="P1218" t="n">
        <v/>
      </c>
      <c r="R1218" t="b">
        <v>1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</row>
    <row r="1219">
      <c r="A1219" t="inlineStr">
        <is>
          <t>ATF fuel</t>
        </is>
      </c>
      <c r="B1219" t="inlineStr">
        <is>
          <t>B118</t>
        </is>
      </c>
      <c r="C1219" t="n">
        <v>118</v>
      </c>
      <c r="D1219" t="n">
        <v>2</v>
      </c>
      <c r="E1219" t="inlineStr">
        <is>
          <t>Input</t>
        </is>
      </c>
      <c r="F1219" t="n">
        <v/>
      </c>
      <c r="G1219" t="n">
        <v>41936</v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11</v>
      </c>
      <c r="M1219" t="inlineStr">
        <is>
          <t>Values must be of type &lt;class 'str'&gt;</t>
        </is>
      </c>
      <c r="N1219" t="inlineStr">
        <is>
          <t>00000000</t>
        </is>
      </c>
      <c r="O1219" t="n">
        <v/>
      </c>
      <c r="P1219" t="n">
        <v/>
      </c>
      <c r="R1219" t="b">
        <v>1</v>
      </c>
      <c r="S1219" t="n">
        <v/>
      </c>
      <c r="T1219" t="n">
        <v/>
      </c>
      <c r="U1219" t="n">
        <v/>
      </c>
      <c r="V1219" t="b">
        <v>0</v>
      </c>
      <c r="W1219" t="inlineStr"/>
      <c r="X1219" t="n">
        <v/>
      </c>
    </row>
    <row r="1220">
      <c r="A1220" t="inlineStr">
        <is>
          <t>ATF fuel</t>
        </is>
      </c>
      <c r="B1220" t="inlineStr">
        <is>
          <t>C118</t>
        </is>
      </c>
      <c r="C1220" t="n">
        <v>118</v>
      </c>
      <c r="D1220" t="n">
        <v>3</v>
      </c>
      <c r="E1220" t="inlineStr">
        <is>
          <t>Input</t>
        </is>
      </c>
      <c r="F1220" t="n">
        <v/>
      </c>
      <c r="G1220" t="n">
        <v>50302</v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11</v>
      </c>
      <c r="M1220" t="inlineStr">
        <is>
          <t>Values must be of type &lt;class 'str'&gt;</t>
        </is>
      </c>
      <c r="N1220" t="inlineStr">
        <is>
          <t>00000000</t>
        </is>
      </c>
      <c r="O1220" t="n">
        <v/>
      </c>
      <c r="P1220" t="n">
        <v/>
      </c>
      <c r="R1220" t="b">
        <v>1</v>
      </c>
      <c r="S1220" t="n">
        <v/>
      </c>
      <c r="T1220" t="n">
        <v/>
      </c>
      <c r="U1220" t="n">
        <v/>
      </c>
      <c r="V1220" t="b">
        <v>0</v>
      </c>
      <c r="W1220" t="inlineStr"/>
      <c r="X1220" t="n">
        <v/>
      </c>
    </row>
    <row r="1221">
      <c r="A1221" t="inlineStr">
        <is>
          <t>ATF fuel</t>
        </is>
      </c>
      <c r="B1221" t="inlineStr">
        <is>
          <t>D118</t>
        </is>
      </c>
      <c r="C1221" t="n">
        <v>118</v>
      </c>
      <c r="D1221" t="n">
        <v>4</v>
      </c>
      <c r="E1221" t="inlineStr">
        <is>
          <t>Input</t>
        </is>
      </c>
      <c r="F1221" t="n">
        <v/>
      </c>
      <c r="G1221" t="n">
        <v>43242</v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11</v>
      </c>
      <c r="M1221" t="inlineStr">
        <is>
          <t>Values must be of type &lt;class 'str'&gt;</t>
        </is>
      </c>
      <c r="N1221" t="inlineStr">
        <is>
          <t>00000000</t>
        </is>
      </c>
      <c r="O1221" t="n">
        <v/>
      </c>
      <c r="P1221" t="n">
        <v/>
      </c>
      <c r="R1221" t="b">
        <v>1</v>
      </c>
      <c r="S1221" t="n">
        <v/>
      </c>
      <c r="T1221" t="n">
        <v/>
      </c>
      <c r="U1221" t="n">
        <v/>
      </c>
      <c r="V1221" t="b">
        <v>0</v>
      </c>
      <c r="W1221" t="inlineStr"/>
      <c r="X1221" t="n">
        <v/>
      </c>
    </row>
    <row r="1222">
      <c r="A1222" t="inlineStr">
        <is>
          <t>ATF fuel</t>
        </is>
      </c>
      <c r="B1222" t="inlineStr">
        <is>
          <t>E118</t>
        </is>
      </c>
      <c r="C1222" t="n">
        <v>118</v>
      </c>
      <c r="D1222" t="n">
        <v>5</v>
      </c>
      <c r="E1222" t="inlineStr">
        <is>
          <t>Input</t>
        </is>
      </c>
      <c r="F1222" t="n">
        <v/>
      </c>
      <c r="G1222" t="n">
        <v>46296</v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11</v>
      </c>
      <c r="M1222" t="inlineStr">
        <is>
          <t>Values must be of type &lt;class 'str'&gt;</t>
        </is>
      </c>
      <c r="N1222" t="inlineStr">
        <is>
          <t>00000000</t>
        </is>
      </c>
      <c r="O1222" t="n">
        <v/>
      </c>
      <c r="P1222" t="n">
        <v/>
      </c>
      <c r="R1222" t="b">
        <v>1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</row>
    <row r="1223">
      <c r="A1223" t="inlineStr">
        <is>
          <t>ATF fuel</t>
        </is>
      </c>
      <c r="B1223" t="inlineStr">
        <is>
          <t>F118</t>
        </is>
      </c>
      <c r="C1223" t="n">
        <v>118</v>
      </c>
      <c r="D1223" t="n">
        <v>6</v>
      </c>
      <c r="E1223" t="inlineStr">
        <is>
          <t>Output</t>
        </is>
      </c>
      <c r="F1223" t="inlineStr">
        <is>
          <t>'=AVERAGE(B118:E118)</t>
        </is>
      </c>
      <c r="G1223" t="n">
        <v>45444</v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11</v>
      </c>
      <c r="M1223" t="inlineStr">
        <is>
          <t>Values must be of type &lt;class 'str'&gt;</t>
        </is>
      </c>
      <c r="N1223" t="inlineStr">
        <is>
          <t>00000000</t>
        </is>
      </c>
      <c r="O1223" t="n">
        <v/>
      </c>
      <c r="P1223" t="n">
        <v/>
      </c>
      <c r="R1223" t="b">
        <v>1</v>
      </c>
      <c r="S1223" t="inlineStr">
        <is>
          <t>G000284</t>
        </is>
      </c>
      <c r="T1223" t="inlineStr">
        <is>
          <t>Vertical</t>
        </is>
      </c>
      <c r="U1223" t="n">
        <v>130</v>
      </c>
      <c r="V1223" t="b">
        <v>1</v>
      </c>
      <c r="W1223" t="inlineStr">
        <is>
          <t>ATF fuel!F2:F131</t>
        </is>
      </c>
      <c r="X1223">
        <f>AVERAGE(R[0]C[-4]:R[0]C[-1])</f>
        <v/>
      </c>
    </row>
    <row r="1224">
      <c r="A1224" t="inlineStr">
        <is>
          <t>ATF fuel</t>
        </is>
      </c>
      <c r="B1224" t="inlineStr">
        <is>
          <t>G118</t>
        </is>
      </c>
      <c r="C1224" t="n">
        <v>118</v>
      </c>
      <c r="D1224" t="n">
        <v>7</v>
      </c>
      <c r="E1224" t="inlineStr">
        <is>
          <t>Calculation</t>
        </is>
      </c>
      <c r="F1224" t="inlineStr">
        <is>
          <t>'=G117-1</t>
        </is>
      </c>
      <c r="G1224" t="n">
        <v>15</v>
      </c>
      <c r="H1224" t="inlineStr"/>
      <c r="I1224" t="inlineStr">
        <is>
          <t>#,##0</t>
        </is>
      </c>
      <c r="J1224" t="b">
        <v>0</v>
      </c>
      <c r="K1224" t="b">
        <v>0</v>
      </c>
      <c r="L1224" t="n">
        <v>11</v>
      </c>
      <c r="M1224" t="inlineStr">
        <is>
          <t>Values must be of type &lt;class 'str'&gt;</t>
        </is>
      </c>
      <c r="N1224" t="inlineStr">
        <is>
          <t>00000000</t>
        </is>
      </c>
      <c r="O1224" t="n">
        <v/>
      </c>
      <c r="P1224" t="n">
        <v/>
      </c>
      <c r="R1224" t="b">
        <v>1</v>
      </c>
      <c r="S1224" t="inlineStr">
        <is>
          <t>G000286</t>
        </is>
      </c>
      <c r="T1224" t="inlineStr">
        <is>
          <t>Vertical</t>
        </is>
      </c>
      <c r="U1224" t="n">
        <v>129</v>
      </c>
      <c r="V1224" t="b">
        <v>1</v>
      </c>
      <c r="W1224" t="inlineStr">
        <is>
          <t>ATF fuel!G3:G131</t>
        </is>
      </c>
      <c r="X1224">
        <f>R[-1]C[0]-1</f>
        <v/>
      </c>
    </row>
    <row r="1225">
      <c r="A1225" t="inlineStr">
        <is>
          <t>ATF fuel</t>
        </is>
      </c>
      <c r="B1225" t="inlineStr">
        <is>
          <t>A119</t>
        </is>
      </c>
      <c r="C1225" t="n">
        <v>119</v>
      </c>
      <c r="D1225" t="n">
        <v>1</v>
      </c>
      <c r="E1225" t="inlineStr">
        <is>
          <t>Input</t>
        </is>
      </c>
      <c r="F1225" t="n">
        <v/>
      </c>
      <c r="G1225" t="inlineStr">
        <is>
          <t>October 01, 2010</t>
        </is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11</v>
      </c>
      <c r="M1225" t="inlineStr">
        <is>
          <t>Values must be of type &lt;class 'str'&gt;</t>
        </is>
      </c>
      <c r="N1225" t="inlineStr">
        <is>
          <t>00000000</t>
        </is>
      </c>
      <c r="O1225" t="n">
        <v/>
      </c>
      <c r="P1225" t="n">
        <v/>
      </c>
      <c r="R1225" t="b">
        <v>1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</row>
    <row r="1226">
      <c r="A1226" t="inlineStr">
        <is>
          <t>ATF fuel</t>
        </is>
      </c>
      <c r="B1226" t="inlineStr">
        <is>
          <t>B119</t>
        </is>
      </c>
      <c r="C1226" t="n">
        <v>119</v>
      </c>
      <c r="D1226" t="n">
        <v>2</v>
      </c>
      <c r="E1226" t="inlineStr">
        <is>
          <t>Input</t>
        </is>
      </c>
      <c r="F1226" t="n">
        <v/>
      </c>
      <c r="G1226" t="n">
        <v>40728.52</v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11</v>
      </c>
      <c r="M1226" t="inlineStr">
        <is>
          <t>Values must be of type &lt;class 'str'&gt;</t>
        </is>
      </c>
      <c r="N1226" t="inlineStr">
        <is>
          <t>00000000</t>
        </is>
      </c>
      <c r="O1226" t="n">
        <v/>
      </c>
      <c r="P1226" t="n">
        <v/>
      </c>
      <c r="R1226" t="b">
        <v>1</v>
      </c>
      <c r="S1226" t="n">
        <v/>
      </c>
      <c r="T1226" t="n">
        <v/>
      </c>
      <c r="U1226" t="n">
        <v/>
      </c>
      <c r="V1226" t="b">
        <v>0</v>
      </c>
      <c r="W1226" t="inlineStr"/>
      <c r="X1226" t="n">
        <v/>
      </c>
    </row>
    <row r="1227">
      <c r="A1227" t="inlineStr">
        <is>
          <t>ATF fuel</t>
        </is>
      </c>
      <c r="B1227" t="inlineStr">
        <is>
          <t>C119</t>
        </is>
      </c>
      <c r="C1227" t="n">
        <v>119</v>
      </c>
      <c r="D1227" t="n">
        <v>3</v>
      </c>
      <c r="E1227" t="inlineStr">
        <is>
          <t>Input</t>
        </is>
      </c>
      <c r="F1227" t="n">
        <v/>
      </c>
      <c r="G1227" t="n">
        <v>49057.15</v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11</v>
      </c>
      <c r="M1227" t="inlineStr">
        <is>
          <t>Values must be of type &lt;class 'str'&gt;</t>
        </is>
      </c>
      <c r="N1227" t="inlineStr">
        <is>
          <t>00000000</t>
        </is>
      </c>
      <c r="O1227" t="n">
        <v/>
      </c>
      <c r="P1227" t="n">
        <v/>
      </c>
      <c r="R1227" t="b">
        <v>1</v>
      </c>
      <c r="S1227" t="n">
        <v/>
      </c>
      <c r="T1227" t="n">
        <v/>
      </c>
      <c r="U1227" t="n">
        <v/>
      </c>
      <c r="V1227" t="b">
        <v>0</v>
      </c>
      <c r="W1227" t="inlineStr"/>
      <c r="X1227" t="n">
        <v/>
      </c>
    </row>
    <row r="1228">
      <c r="A1228" t="inlineStr">
        <is>
          <t>ATF fuel</t>
        </is>
      </c>
      <c r="B1228" t="inlineStr">
        <is>
          <t>D119</t>
        </is>
      </c>
      <c r="C1228" t="n">
        <v>119</v>
      </c>
      <c r="D1228" t="n">
        <v>4</v>
      </c>
      <c r="E1228" t="inlineStr">
        <is>
          <t>Input</t>
        </is>
      </c>
      <c r="F1228" t="n">
        <v/>
      </c>
      <c r="G1228" t="n">
        <v>41983.59</v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11</v>
      </c>
      <c r="M1228" t="inlineStr">
        <is>
          <t>Values must be of type &lt;class 'str'&gt;</t>
        </is>
      </c>
      <c r="N1228" t="inlineStr">
        <is>
          <t>00000000</t>
        </is>
      </c>
      <c r="O1228" t="n">
        <v/>
      </c>
      <c r="P1228" t="n">
        <v/>
      </c>
      <c r="R1228" t="b">
        <v>1</v>
      </c>
      <c r="S1228" t="n">
        <v/>
      </c>
      <c r="T1228" t="n">
        <v/>
      </c>
      <c r="U1228" t="n">
        <v/>
      </c>
      <c r="V1228" t="b">
        <v>0</v>
      </c>
      <c r="W1228" t="inlineStr"/>
      <c r="X1228" t="n">
        <v/>
      </c>
    </row>
    <row r="1229">
      <c r="A1229" t="inlineStr">
        <is>
          <t>ATF fuel</t>
        </is>
      </c>
      <c r="B1229" t="inlineStr">
        <is>
          <t>E119</t>
        </is>
      </c>
      <c r="C1229" t="n">
        <v>119</v>
      </c>
      <c r="D1229" t="n">
        <v>5</v>
      </c>
      <c r="E1229" t="inlineStr">
        <is>
          <t>Input</t>
        </is>
      </c>
      <c r="F1229" t="n">
        <v/>
      </c>
      <c r="G1229" t="n">
        <v>45011.81</v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11</v>
      </c>
      <c r="M1229" t="inlineStr">
        <is>
          <t>Values must be of type &lt;class 'str'&gt;</t>
        </is>
      </c>
      <c r="N1229" t="inlineStr">
        <is>
          <t>00000000</t>
        </is>
      </c>
      <c r="O1229" t="n">
        <v/>
      </c>
      <c r="P1229" t="n">
        <v/>
      </c>
      <c r="R1229" t="b">
        <v>1</v>
      </c>
      <c r="S1229" t="n">
        <v/>
      </c>
      <c r="T1229" t="n">
        <v/>
      </c>
      <c r="U1229" t="n">
        <v/>
      </c>
      <c r="V1229" t="b">
        <v>0</v>
      </c>
      <c r="W1229" t="inlineStr"/>
      <c r="X1229" t="n">
        <v/>
      </c>
    </row>
    <row r="1230">
      <c r="A1230" t="inlineStr">
        <is>
          <t>ATF fuel</t>
        </is>
      </c>
      <c r="B1230" t="inlineStr">
        <is>
          <t>F119</t>
        </is>
      </c>
      <c r="C1230" t="n">
        <v>119</v>
      </c>
      <c r="D1230" t="n">
        <v>6</v>
      </c>
      <c r="E1230" t="inlineStr">
        <is>
          <t>Output</t>
        </is>
      </c>
      <c r="F1230" t="inlineStr">
        <is>
          <t>'=AVERAGE(B119:E119)</t>
        </is>
      </c>
      <c r="G1230" t="n">
        <v>44195.2675</v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11</v>
      </c>
      <c r="M1230" t="inlineStr">
        <is>
          <t>Values must be of type &lt;class 'str'&gt;</t>
        </is>
      </c>
      <c r="N1230" t="inlineStr">
        <is>
          <t>00000000</t>
        </is>
      </c>
      <c r="O1230" t="n">
        <v/>
      </c>
      <c r="P1230" t="n">
        <v/>
      </c>
      <c r="R1230" t="b">
        <v>1</v>
      </c>
      <c r="S1230" t="inlineStr">
        <is>
          <t>G000284</t>
        </is>
      </c>
      <c r="T1230" t="inlineStr">
        <is>
          <t>Vertical</t>
        </is>
      </c>
      <c r="U1230" t="n">
        <v>130</v>
      </c>
      <c r="V1230" t="b">
        <v>1</v>
      </c>
      <c r="W1230" t="inlineStr">
        <is>
          <t>ATF fuel!F2:F131</t>
        </is>
      </c>
      <c r="X1230">
        <f>AVERAGE(R[0]C[-4]:R[0]C[-1])</f>
        <v/>
      </c>
    </row>
    <row r="1231">
      <c r="A1231" t="inlineStr">
        <is>
          <t>ATF fuel</t>
        </is>
      </c>
      <c r="B1231" t="inlineStr">
        <is>
          <t>G119</t>
        </is>
      </c>
      <c r="C1231" t="n">
        <v>119</v>
      </c>
      <c r="D1231" t="n">
        <v>7</v>
      </c>
      <c r="E1231" t="inlineStr">
        <is>
          <t>Calculation</t>
        </is>
      </c>
      <c r="F1231" t="inlineStr">
        <is>
          <t>'=G118-1</t>
        </is>
      </c>
      <c r="G1231" t="n">
        <v>14</v>
      </c>
      <c r="H1231" t="inlineStr"/>
      <c r="I1231" t="inlineStr">
        <is>
          <t>#,##0</t>
        </is>
      </c>
      <c r="J1231" t="b">
        <v>0</v>
      </c>
      <c r="K1231" t="b">
        <v>0</v>
      </c>
      <c r="L1231" t="n">
        <v>11</v>
      </c>
      <c r="M1231" t="inlineStr">
        <is>
          <t>Values must be of type &lt;class 'str'&gt;</t>
        </is>
      </c>
      <c r="N1231" t="inlineStr">
        <is>
          <t>00000000</t>
        </is>
      </c>
      <c r="O1231" t="n">
        <v/>
      </c>
      <c r="P1231" t="n">
        <v/>
      </c>
      <c r="R1231" t="b">
        <v>1</v>
      </c>
      <c r="S1231" t="inlineStr">
        <is>
          <t>G000286</t>
        </is>
      </c>
      <c r="T1231" t="inlineStr">
        <is>
          <t>Vertical</t>
        </is>
      </c>
      <c r="U1231" t="n">
        <v>129</v>
      </c>
      <c r="V1231" t="b">
        <v>1</v>
      </c>
      <c r="W1231" t="inlineStr">
        <is>
          <t>ATF fuel!G3:G131</t>
        </is>
      </c>
      <c r="X1231">
        <f>R[-1]C[0]-1</f>
        <v/>
      </c>
    </row>
    <row r="1232">
      <c r="A1232" t="inlineStr">
        <is>
          <t>ATF fuel</t>
        </is>
      </c>
      <c r="B1232" t="inlineStr">
        <is>
          <t>A120</t>
        </is>
      </c>
      <c r="C1232" t="n">
        <v>120</v>
      </c>
      <c r="D1232" t="n">
        <v>1</v>
      </c>
      <c r="E1232" t="inlineStr">
        <is>
          <t>Input</t>
        </is>
      </c>
      <c r="F1232" t="n">
        <v/>
      </c>
      <c r="G1232" t="inlineStr">
        <is>
          <t>September 16, 2010</t>
        </is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11</v>
      </c>
      <c r="M1232" t="inlineStr">
        <is>
          <t>Values must be of type &lt;class 'str'&gt;</t>
        </is>
      </c>
      <c r="N1232" t="inlineStr">
        <is>
          <t>00000000</t>
        </is>
      </c>
      <c r="O1232" t="n">
        <v/>
      </c>
      <c r="P1232" t="n">
        <v/>
      </c>
      <c r="R1232" t="b">
        <v>1</v>
      </c>
      <c r="S1232" t="n">
        <v/>
      </c>
      <c r="T1232" t="n">
        <v/>
      </c>
      <c r="U1232" t="n">
        <v/>
      </c>
      <c r="V1232" t="b">
        <v>0</v>
      </c>
      <c r="W1232" t="inlineStr"/>
      <c r="X1232" t="n">
        <v/>
      </c>
    </row>
    <row r="1233">
      <c r="A1233" t="inlineStr">
        <is>
          <t>ATF fuel</t>
        </is>
      </c>
      <c r="B1233" t="inlineStr">
        <is>
          <t>B120</t>
        </is>
      </c>
      <c r="C1233" t="n">
        <v>120</v>
      </c>
      <c r="D1233" t="n">
        <v>2</v>
      </c>
      <c r="E1233" t="inlineStr">
        <is>
          <t>Input</t>
        </is>
      </c>
      <c r="F1233" t="n">
        <v/>
      </c>
      <c r="G1233" t="n">
        <v>40800.49</v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11</v>
      </c>
      <c r="M1233" t="inlineStr">
        <is>
          <t>Values must be of type &lt;class 'str'&gt;</t>
        </is>
      </c>
      <c r="N1233" t="inlineStr">
        <is>
          <t>00000000</t>
        </is>
      </c>
      <c r="O1233" t="n">
        <v/>
      </c>
      <c r="P1233" t="n">
        <v/>
      </c>
      <c r="R1233" t="b">
        <v>1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</row>
    <row r="1234">
      <c r="A1234" t="inlineStr">
        <is>
          <t>ATF fuel</t>
        </is>
      </c>
      <c r="B1234" t="inlineStr">
        <is>
          <t>C120</t>
        </is>
      </c>
      <c r="C1234" t="n">
        <v>120</v>
      </c>
      <c r="D1234" t="n">
        <v>3</v>
      </c>
      <c r="E1234" t="inlineStr">
        <is>
          <t>Input</t>
        </is>
      </c>
      <c r="F1234" t="n">
        <v/>
      </c>
      <c r="G1234" t="n">
        <v>49165.39</v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11</v>
      </c>
      <c r="M1234" t="inlineStr">
        <is>
          <t>Values must be of type &lt;class 'str'&gt;</t>
        </is>
      </c>
      <c r="N1234" t="inlineStr">
        <is>
          <t>00000000</t>
        </is>
      </c>
      <c r="O1234" t="n">
        <v/>
      </c>
      <c r="P1234" t="n">
        <v/>
      </c>
      <c r="R1234" t="b">
        <v>1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</row>
    <row r="1235">
      <c r="A1235" t="inlineStr">
        <is>
          <t>ATF fuel</t>
        </is>
      </c>
      <c r="B1235" t="inlineStr">
        <is>
          <t>D120</t>
        </is>
      </c>
      <c r="C1235" t="n">
        <v>120</v>
      </c>
      <c r="D1235" t="n">
        <v>4</v>
      </c>
      <c r="E1235" t="inlineStr">
        <is>
          <t>Input</t>
        </is>
      </c>
      <c r="F1235" t="n">
        <v/>
      </c>
      <c r="G1235" t="n">
        <v>42091.83</v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11</v>
      </c>
      <c r="M1235" t="inlineStr">
        <is>
          <t>Values must be of type &lt;class 'str'&gt;</t>
        </is>
      </c>
      <c r="N1235" t="inlineStr">
        <is>
          <t>00000000</t>
        </is>
      </c>
      <c r="O1235" t="n">
        <v/>
      </c>
      <c r="P1235" t="n">
        <v/>
      </c>
      <c r="R1235" t="b">
        <v>1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</row>
    <row r="1236">
      <c r="A1236" t="inlineStr">
        <is>
          <t>ATF fuel</t>
        </is>
      </c>
      <c r="B1236" t="inlineStr">
        <is>
          <t>E120</t>
        </is>
      </c>
      <c r="C1236" t="n">
        <v>120</v>
      </c>
      <c r="D1236" t="n">
        <v>5</v>
      </c>
      <c r="E1236" t="inlineStr">
        <is>
          <t>Input</t>
        </is>
      </c>
      <c r="F1236" t="n">
        <v/>
      </c>
      <c r="G1236" t="n">
        <v>45123.52</v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11</v>
      </c>
      <c r="M1236" t="inlineStr">
        <is>
          <t>Values must be of type &lt;class 'str'&gt;</t>
        </is>
      </c>
      <c r="N1236" t="inlineStr">
        <is>
          <t>00000000</t>
        </is>
      </c>
      <c r="O1236" t="n">
        <v/>
      </c>
      <c r="P1236" t="n">
        <v/>
      </c>
      <c r="R1236" t="b">
        <v>1</v>
      </c>
      <c r="S1236" t="n">
        <v/>
      </c>
      <c r="T1236" t="n">
        <v/>
      </c>
      <c r="U1236" t="n">
        <v/>
      </c>
      <c r="V1236" t="b">
        <v>0</v>
      </c>
      <c r="W1236" t="inlineStr"/>
      <c r="X1236" t="n">
        <v/>
      </c>
    </row>
    <row r="1237">
      <c r="A1237" t="inlineStr">
        <is>
          <t>ATF fuel</t>
        </is>
      </c>
      <c r="B1237" t="inlineStr">
        <is>
          <t>F120</t>
        </is>
      </c>
      <c r="C1237" t="n">
        <v>120</v>
      </c>
      <c r="D1237" t="n">
        <v>6</v>
      </c>
      <c r="E1237" t="inlineStr">
        <is>
          <t>Output</t>
        </is>
      </c>
      <c r="F1237" t="inlineStr">
        <is>
          <t>'=AVERAGE(B120:E120)</t>
        </is>
      </c>
      <c r="G1237" t="n">
        <v>44295.3075</v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11</v>
      </c>
      <c r="M1237" t="inlineStr">
        <is>
          <t>Values must be of type &lt;class 'str'&gt;</t>
        </is>
      </c>
      <c r="N1237" t="inlineStr">
        <is>
          <t>00000000</t>
        </is>
      </c>
      <c r="O1237" t="n">
        <v/>
      </c>
      <c r="P1237" t="n">
        <v/>
      </c>
      <c r="R1237" t="b">
        <v>1</v>
      </c>
      <c r="S1237" t="inlineStr">
        <is>
          <t>G000284</t>
        </is>
      </c>
      <c r="T1237" t="inlineStr">
        <is>
          <t>Vertical</t>
        </is>
      </c>
      <c r="U1237" t="n">
        <v>130</v>
      </c>
      <c r="V1237" t="b">
        <v>1</v>
      </c>
      <c r="W1237" t="inlineStr">
        <is>
          <t>ATF fuel!F2:F131</t>
        </is>
      </c>
      <c r="X1237">
        <f>AVERAGE(R[0]C[-4]:R[0]C[-1])</f>
        <v/>
      </c>
    </row>
    <row r="1238">
      <c r="A1238" t="inlineStr">
        <is>
          <t>ATF fuel</t>
        </is>
      </c>
      <c r="B1238" t="inlineStr">
        <is>
          <t>G120</t>
        </is>
      </c>
      <c r="C1238" t="n">
        <v>120</v>
      </c>
      <c r="D1238" t="n">
        <v>7</v>
      </c>
      <c r="E1238" t="inlineStr">
        <is>
          <t>Calculation</t>
        </is>
      </c>
      <c r="F1238" t="inlineStr">
        <is>
          <t>'=G119-1</t>
        </is>
      </c>
      <c r="G1238" t="n">
        <v>13</v>
      </c>
      <c r="H1238" t="inlineStr"/>
      <c r="I1238" t="inlineStr">
        <is>
          <t>#,##0</t>
        </is>
      </c>
      <c r="J1238" t="b">
        <v>0</v>
      </c>
      <c r="K1238" t="b">
        <v>0</v>
      </c>
      <c r="L1238" t="n">
        <v>11</v>
      </c>
      <c r="M1238" t="inlineStr">
        <is>
          <t>Values must be of type &lt;class 'str'&gt;</t>
        </is>
      </c>
      <c r="N1238" t="inlineStr">
        <is>
          <t>00000000</t>
        </is>
      </c>
      <c r="O1238" t="n">
        <v/>
      </c>
      <c r="P1238" t="n">
        <v/>
      </c>
      <c r="R1238" t="b">
        <v>1</v>
      </c>
      <c r="S1238" t="inlineStr">
        <is>
          <t>G000286</t>
        </is>
      </c>
      <c r="T1238" t="inlineStr">
        <is>
          <t>Vertical</t>
        </is>
      </c>
      <c r="U1238" t="n">
        <v>129</v>
      </c>
      <c r="V1238" t="b">
        <v>1</v>
      </c>
      <c r="W1238" t="inlineStr">
        <is>
          <t>ATF fuel!G3:G131</t>
        </is>
      </c>
      <c r="X1238">
        <f>R[-1]C[0]-1</f>
        <v/>
      </c>
    </row>
    <row r="1239">
      <c r="A1239" t="inlineStr">
        <is>
          <t>ATF fuel</t>
        </is>
      </c>
      <c r="B1239" t="inlineStr">
        <is>
          <t>A121</t>
        </is>
      </c>
      <c r="C1239" t="n">
        <v>121</v>
      </c>
      <c r="D1239" t="n">
        <v>1</v>
      </c>
      <c r="E1239" t="inlineStr">
        <is>
          <t>Input</t>
        </is>
      </c>
      <c r="F1239" t="n">
        <v/>
      </c>
      <c r="G1239" t="inlineStr">
        <is>
          <t>September 01, 2010</t>
        </is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11</v>
      </c>
      <c r="M1239" t="inlineStr">
        <is>
          <t>Values must be of type &lt;class 'str'&gt;</t>
        </is>
      </c>
      <c r="N1239" t="inlineStr">
        <is>
          <t>00000000</t>
        </is>
      </c>
      <c r="O1239" t="n">
        <v/>
      </c>
      <c r="P1239" t="n">
        <v/>
      </c>
      <c r="R1239" t="b">
        <v>1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</row>
    <row r="1240">
      <c r="A1240" t="inlineStr">
        <is>
          <t>ATF fuel</t>
        </is>
      </c>
      <c r="B1240" t="inlineStr">
        <is>
          <t>B121</t>
        </is>
      </c>
      <c r="C1240" t="n">
        <v>121</v>
      </c>
      <c r="D1240" t="n">
        <v>2</v>
      </c>
      <c r="E1240" t="inlineStr">
        <is>
          <t>Input</t>
        </is>
      </c>
      <c r="F1240" t="n">
        <v/>
      </c>
      <c r="G1240" t="n">
        <v>40138.06</v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11</v>
      </c>
      <c r="M1240" t="inlineStr">
        <is>
          <t>Values must be of type &lt;class 'str'&gt;</t>
        </is>
      </c>
      <c r="N1240" t="inlineStr">
        <is>
          <t>00000000</t>
        </is>
      </c>
      <c r="O1240" t="n">
        <v/>
      </c>
      <c r="P1240" t="n">
        <v/>
      </c>
      <c r="R1240" t="b">
        <v>1</v>
      </c>
      <c r="S1240" t="n">
        <v/>
      </c>
      <c r="T1240" t="n">
        <v/>
      </c>
      <c r="U1240" t="n">
        <v/>
      </c>
      <c r="V1240" t="b">
        <v>0</v>
      </c>
      <c r="W1240" t="inlineStr"/>
      <c r="X1240" t="n">
        <v/>
      </c>
    </row>
    <row r="1241">
      <c r="A1241" t="inlineStr">
        <is>
          <t>ATF fuel</t>
        </is>
      </c>
      <c r="B1241" t="inlineStr">
        <is>
          <t>C121</t>
        </is>
      </c>
      <c r="C1241" t="n">
        <v>121</v>
      </c>
      <c r="D1241" t="n">
        <v>3</v>
      </c>
      <c r="E1241" t="inlineStr">
        <is>
          <t>Input</t>
        </is>
      </c>
      <c r="F1241" t="n">
        <v/>
      </c>
      <c r="G1241" t="n">
        <v>48461.83</v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11</v>
      </c>
      <c r="M1241" t="inlineStr">
        <is>
          <t>Values must be of type &lt;class 'str'&gt;</t>
        </is>
      </c>
      <c r="N1241" t="inlineStr">
        <is>
          <t>00000000</t>
        </is>
      </c>
      <c r="O1241" t="n">
        <v/>
      </c>
      <c r="P1241" t="n">
        <v/>
      </c>
      <c r="R1241" t="b">
        <v>1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</row>
    <row r="1242">
      <c r="A1242" t="inlineStr">
        <is>
          <t>ATF fuel</t>
        </is>
      </c>
      <c r="B1242" t="inlineStr">
        <is>
          <t>D121</t>
        </is>
      </c>
      <c r="C1242" t="n">
        <v>121</v>
      </c>
      <c r="D1242" t="n">
        <v>4</v>
      </c>
      <c r="E1242" t="inlineStr">
        <is>
          <t>Input</t>
        </is>
      </c>
      <c r="F1242" t="n">
        <v/>
      </c>
      <c r="G1242" t="n">
        <v>41388.27</v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11</v>
      </c>
      <c r="M1242" t="inlineStr">
        <is>
          <t>Values must be of type &lt;class 'str'&gt;</t>
        </is>
      </c>
      <c r="N1242" t="inlineStr">
        <is>
          <t>00000000</t>
        </is>
      </c>
      <c r="O1242" t="n">
        <v/>
      </c>
      <c r="P1242" t="n">
        <v/>
      </c>
      <c r="R1242" t="b">
        <v>1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</row>
    <row r="1243">
      <c r="A1243" t="inlineStr">
        <is>
          <t>ATF fuel</t>
        </is>
      </c>
      <c r="B1243" t="inlineStr">
        <is>
          <t>E121</t>
        </is>
      </c>
      <c r="C1243" t="n">
        <v>121</v>
      </c>
      <c r="D1243" t="n">
        <v>5</v>
      </c>
      <c r="E1243" t="inlineStr">
        <is>
          <t>Input</t>
        </is>
      </c>
      <c r="F1243" t="n">
        <v/>
      </c>
      <c r="G1243" t="n">
        <v>44397.44</v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11</v>
      </c>
      <c r="M1243" t="inlineStr">
        <is>
          <t>Values must be of type &lt;class 'str'&gt;</t>
        </is>
      </c>
      <c r="N1243" t="inlineStr">
        <is>
          <t>00000000</t>
        </is>
      </c>
      <c r="O1243" t="n">
        <v/>
      </c>
      <c r="P1243" t="n">
        <v/>
      </c>
      <c r="R1243" t="b">
        <v>1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</row>
    <row r="1244">
      <c r="A1244" t="inlineStr">
        <is>
          <t>ATF fuel</t>
        </is>
      </c>
      <c r="B1244" t="inlineStr">
        <is>
          <t>F121</t>
        </is>
      </c>
      <c r="C1244" t="n">
        <v>121</v>
      </c>
      <c r="D1244" t="n">
        <v>6</v>
      </c>
      <c r="E1244" t="inlineStr">
        <is>
          <t>Output</t>
        </is>
      </c>
      <c r="F1244" t="inlineStr">
        <is>
          <t>'=AVERAGE(B121:E121)</t>
        </is>
      </c>
      <c r="G1244" t="n">
        <v>43596.4</v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11</v>
      </c>
      <c r="M1244" t="inlineStr">
        <is>
          <t>Values must be of type &lt;class 'str'&gt;</t>
        </is>
      </c>
      <c r="N1244" t="inlineStr">
        <is>
          <t>00000000</t>
        </is>
      </c>
      <c r="O1244" t="n">
        <v/>
      </c>
      <c r="P1244" t="n">
        <v/>
      </c>
      <c r="R1244" t="b">
        <v>1</v>
      </c>
      <c r="S1244" t="inlineStr">
        <is>
          <t>G000284</t>
        </is>
      </c>
      <c r="T1244" t="inlineStr">
        <is>
          <t>Vertical</t>
        </is>
      </c>
      <c r="U1244" t="n">
        <v>130</v>
      </c>
      <c r="V1244" t="b">
        <v>1</v>
      </c>
      <c r="W1244" t="inlineStr">
        <is>
          <t>ATF fuel!F2:F131</t>
        </is>
      </c>
      <c r="X1244">
        <f>AVERAGE(R[0]C[-4]:R[0]C[-1])</f>
        <v/>
      </c>
    </row>
    <row r="1245">
      <c r="A1245" t="inlineStr">
        <is>
          <t>ATF fuel</t>
        </is>
      </c>
      <c r="B1245" t="inlineStr">
        <is>
          <t>G121</t>
        </is>
      </c>
      <c r="C1245" t="n">
        <v>121</v>
      </c>
      <c r="D1245" t="n">
        <v>7</v>
      </c>
      <c r="E1245" t="inlineStr">
        <is>
          <t>Calculation</t>
        </is>
      </c>
      <c r="F1245" t="inlineStr">
        <is>
          <t>'=G120-1</t>
        </is>
      </c>
      <c r="G1245" t="n">
        <v>12</v>
      </c>
      <c r="H1245" t="inlineStr"/>
      <c r="I1245" t="inlineStr">
        <is>
          <t>#,##0</t>
        </is>
      </c>
      <c r="J1245" t="b">
        <v>0</v>
      </c>
      <c r="K1245" t="b">
        <v>0</v>
      </c>
      <c r="L1245" t="n">
        <v>11</v>
      </c>
      <c r="M1245" t="inlineStr">
        <is>
          <t>Values must be of type &lt;class 'str'&gt;</t>
        </is>
      </c>
      <c r="N1245" t="inlineStr">
        <is>
          <t>00000000</t>
        </is>
      </c>
      <c r="O1245" t="n">
        <v/>
      </c>
      <c r="P1245" t="n">
        <v/>
      </c>
      <c r="R1245" t="b">
        <v>1</v>
      </c>
      <c r="S1245" t="inlineStr">
        <is>
          <t>G000286</t>
        </is>
      </c>
      <c r="T1245" t="inlineStr">
        <is>
          <t>Vertical</t>
        </is>
      </c>
      <c r="U1245" t="n">
        <v>129</v>
      </c>
      <c r="V1245" t="b">
        <v>1</v>
      </c>
      <c r="W1245" t="inlineStr">
        <is>
          <t>ATF fuel!G3:G131</t>
        </is>
      </c>
      <c r="X1245">
        <f>R[-1]C[0]-1</f>
        <v/>
      </c>
    </row>
    <row r="1246">
      <c r="A1246" t="inlineStr">
        <is>
          <t>ATF fuel</t>
        </is>
      </c>
      <c r="B1246" t="inlineStr">
        <is>
          <t>A122</t>
        </is>
      </c>
      <c r="C1246" t="n">
        <v>122</v>
      </c>
      <c r="D1246" t="n">
        <v>1</v>
      </c>
      <c r="E1246" t="inlineStr">
        <is>
          <t>Input</t>
        </is>
      </c>
      <c r="F1246" t="n">
        <v/>
      </c>
      <c r="G1246" t="inlineStr">
        <is>
          <t>August 16, 2010</t>
        </is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11</v>
      </c>
      <c r="M1246" t="inlineStr">
        <is>
          <t>Values must be of type &lt;class 'str'&gt;</t>
        </is>
      </c>
      <c r="N1246" t="inlineStr">
        <is>
          <t>00000000</t>
        </is>
      </c>
      <c r="O1246" t="n">
        <v/>
      </c>
      <c r="P1246" t="n">
        <v/>
      </c>
      <c r="R1246" t="b">
        <v>1</v>
      </c>
      <c r="S1246" t="n">
        <v/>
      </c>
      <c r="T1246" t="n">
        <v/>
      </c>
      <c r="U1246" t="n">
        <v/>
      </c>
      <c r="V1246" t="b">
        <v>0</v>
      </c>
      <c r="W1246" t="inlineStr"/>
      <c r="X1246" t="n">
        <v/>
      </c>
    </row>
    <row r="1247">
      <c r="A1247" t="inlineStr">
        <is>
          <t>ATF fuel</t>
        </is>
      </c>
      <c r="B1247" t="inlineStr">
        <is>
          <t>B122</t>
        </is>
      </c>
      <c r="C1247" t="n">
        <v>122</v>
      </c>
      <c r="D1247" t="n">
        <v>2</v>
      </c>
      <c r="E1247" t="inlineStr">
        <is>
          <t>Input</t>
        </is>
      </c>
      <c r="F1247" t="n">
        <v/>
      </c>
      <c r="G1247" t="n">
        <v>41852.58</v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11</v>
      </c>
      <c r="M1247" t="inlineStr">
        <is>
          <t>Values must be of type &lt;class 'str'&gt;</t>
        </is>
      </c>
      <c r="N1247" t="inlineStr">
        <is>
          <t>00000000</t>
        </is>
      </c>
      <c r="O1247" t="n">
        <v/>
      </c>
      <c r="P1247" t="n">
        <v/>
      </c>
      <c r="R1247" t="b">
        <v>1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</row>
    <row r="1248">
      <c r="A1248" t="inlineStr">
        <is>
          <t>ATF fuel</t>
        </is>
      </c>
      <c r="B1248" t="inlineStr">
        <is>
          <t>C122</t>
        </is>
      </c>
      <c r="C1248" t="n">
        <v>122</v>
      </c>
      <c r="D1248" t="n">
        <v>3</v>
      </c>
      <c r="E1248" t="inlineStr">
        <is>
          <t>Input</t>
        </is>
      </c>
      <c r="F1248" t="n">
        <v/>
      </c>
      <c r="G1248" t="n">
        <v>50261.32</v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11</v>
      </c>
      <c r="M1248" t="inlineStr">
        <is>
          <t>Values must be of type &lt;class 'str'&gt;</t>
        </is>
      </c>
      <c r="N1248" t="inlineStr">
        <is>
          <t>00000000</t>
        </is>
      </c>
      <c r="O1248" t="n">
        <v/>
      </c>
      <c r="P1248" t="n">
        <v/>
      </c>
      <c r="R1248" t="b">
        <v>1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</row>
    <row r="1249">
      <c r="A1249" t="inlineStr">
        <is>
          <t>ATF fuel</t>
        </is>
      </c>
      <c r="B1249" t="inlineStr">
        <is>
          <t>D122</t>
        </is>
      </c>
      <c r="C1249" t="n">
        <v>122</v>
      </c>
      <c r="D1249" t="n">
        <v>4</v>
      </c>
      <c r="E1249" t="inlineStr">
        <is>
          <t>Input</t>
        </is>
      </c>
      <c r="F1249" t="n">
        <v/>
      </c>
      <c r="G1249" t="n">
        <v>43187.76</v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11</v>
      </c>
      <c r="M1249" t="inlineStr">
        <is>
          <t>Values must be of type &lt;class 'str'&gt;</t>
        </is>
      </c>
      <c r="N1249" t="inlineStr">
        <is>
          <t>00000000</t>
        </is>
      </c>
      <c r="O1249" t="n">
        <v/>
      </c>
      <c r="P1249" t="n">
        <v/>
      </c>
      <c r="R1249" t="b">
        <v>1</v>
      </c>
      <c r="S1249" t="n">
        <v/>
      </c>
      <c r="T1249" t="n">
        <v/>
      </c>
      <c r="U1249" t="n">
        <v/>
      </c>
      <c r="V1249" t="b">
        <v>0</v>
      </c>
      <c r="W1249" t="inlineStr"/>
      <c r="X1249" t="n">
        <v/>
      </c>
    </row>
    <row r="1250">
      <c r="A1250" t="inlineStr">
        <is>
          <t>ATF fuel</t>
        </is>
      </c>
      <c r="B1250" t="inlineStr">
        <is>
          <t>E122</t>
        </is>
      </c>
      <c r="C1250" t="n">
        <v>122</v>
      </c>
      <c r="D1250" t="n">
        <v>5</v>
      </c>
      <c r="E1250" t="inlineStr">
        <is>
          <t>Input</t>
        </is>
      </c>
      <c r="F1250" t="n">
        <v/>
      </c>
      <c r="G1250" t="n">
        <v>46254.51</v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11</v>
      </c>
      <c r="M1250" t="inlineStr">
        <is>
          <t>Values must be of type &lt;class 'str'&gt;</t>
        </is>
      </c>
      <c r="N1250" t="inlineStr">
        <is>
          <t>00000000</t>
        </is>
      </c>
      <c r="O1250" t="n">
        <v/>
      </c>
      <c r="P1250" t="n">
        <v/>
      </c>
      <c r="R1250" t="b">
        <v>1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</row>
    <row r="1251">
      <c r="A1251" t="inlineStr">
        <is>
          <t>ATF fuel</t>
        </is>
      </c>
      <c r="B1251" t="inlineStr">
        <is>
          <t>F122</t>
        </is>
      </c>
      <c r="C1251" t="n">
        <v>122</v>
      </c>
      <c r="D1251" t="n">
        <v>6</v>
      </c>
      <c r="E1251" t="inlineStr">
        <is>
          <t>Output</t>
        </is>
      </c>
      <c r="F1251" t="inlineStr">
        <is>
          <t>'=AVERAGE(B122:E122)</t>
        </is>
      </c>
      <c r="G1251" t="n">
        <v>45389.0425</v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11</v>
      </c>
      <c r="M1251" t="inlineStr">
        <is>
          <t>Values must be of type &lt;class 'str'&gt;</t>
        </is>
      </c>
      <c r="N1251" t="inlineStr">
        <is>
          <t>00000000</t>
        </is>
      </c>
      <c r="O1251" t="n">
        <v/>
      </c>
      <c r="P1251" t="n">
        <v/>
      </c>
      <c r="R1251" t="b">
        <v>1</v>
      </c>
      <c r="S1251" t="inlineStr">
        <is>
          <t>G000284</t>
        </is>
      </c>
      <c r="T1251" t="inlineStr">
        <is>
          <t>Vertical</t>
        </is>
      </c>
      <c r="U1251" t="n">
        <v>130</v>
      </c>
      <c r="V1251" t="b">
        <v>1</v>
      </c>
      <c r="W1251" t="inlineStr">
        <is>
          <t>ATF fuel!F2:F131</t>
        </is>
      </c>
      <c r="X1251">
        <f>AVERAGE(R[0]C[-4]:R[0]C[-1])</f>
        <v/>
      </c>
    </row>
    <row r="1252">
      <c r="A1252" t="inlineStr">
        <is>
          <t>ATF fuel</t>
        </is>
      </c>
      <c r="B1252" t="inlineStr">
        <is>
          <t>G122</t>
        </is>
      </c>
      <c r="C1252" t="n">
        <v>122</v>
      </c>
      <c r="D1252" t="n">
        <v>7</v>
      </c>
      <c r="E1252" t="inlineStr">
        <is>
          <t>Calculation</t>
        </is>
      </c>
      <c r="F1252" t="inlineStr">
        <is>
          <t>'=G121-1</t>
        </is>
      </c>
      <c r="G1252" t="n">
        <v>11</v>
      </c>
      <c r="H1252" t="inlineStr"/>
      <c r="I1252" t="inlineStr">
        <is>
          <t>#,##0</t>
        </is>
      </c>
      <c r="J1252" t="b">
        <v>0</v>
      </c>
      <c r="K1252" t="b">
        <v>0</v>
      </c>
      <c r="L1252" t="n">
        <v>11</v>
      </c>
      <c r="M1252" t="inlineStr">
        <is>
          <t>Values must be of type &lt;class 'str'&gt;</t>
        </is>
      </c>
      <c r="N1252" t="inlineStr">
        <is>
          <t>00000000</t>
        </is>
      </c>
      <c r="O1252" t="n">
        <v/>
      </c>
      <c r="P1252" t="n">
        <v/>
      </c>
      <c r="R1252" t="b">
        <v>1</v>
      </c>
      <c r="S1252" t="inlineStr">
        <is>
          <t>G000286</t>
        </is>
      </c>
      <c r="T1252" t="inlineStr">
        <is>
          <t>Vertical</t>
        </is>
      </c>
      <c r="U1252" t="n">
        <v>129</v>
      </c>
      <c r="V1252" t="b">
        <v>1</v>
      </c>
      <c r="W1252" t="inlineStr">
        <is>
          <t>ATF fuel!G3:G131</t>
        </is>
      </c>
      <c r="X1252">
        <f>R[-1]C[0]-1</f>
        <v/>
      </c>
    </row>
    <row r="1253">
      <c r="A1253" t="inlineStr">
        <is>
          <t>ATF fuel</t>
        </is>
      </c>
      <c r="B1253" t="inlineStr">
        <is>
          <t>A123</t>
        </is>
      </c>
      <c r="C1253" t="n">
        <v>123</v>
      </c>
      <c r="D1253" t="n">
        <v>1</v>
      </c>
      <c r="E1253" t="inlineStr">
        <is>
          <t>Input</t>
        </is>
      </c>
      <c r="F1253" t="n">
        <v/>
      </c>
      <c r="G1253" t="inlineStr">
        <is>
          <t>August 01, 2010</t>
        </is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11</v>
      </c>
      <c r="M1253" t="inlineStr">
        <is>
          <t>Values must be of type &lt;class 'str'&gt;</t>
        </is>
      </c>
      <c r="N1253" t="inlineStr">
        <is>
          <t>00000000</t>
        </is>
      </c>
      <c r="O1253" t="n">
        <v/>
      </c>
      <c r="P1253" t="n">
        <v/>
      </c>
      <c r="R1253" t="b">
        <v>1</v>
      </c>
      <c r="S1253" t="n">
        <v/>
      </c>
      <c r="T1253" t="n">
        <v/>
      </c>
      <c r="U1253" t="n">
        <v/>
      </c>
      <c r="V1253" t="b">
        <v>0</v>
      </c>
      <c r="W1253" t="inlineStr"/>
      <c r="X1253" t="n">
        <v/>
      </c>
    </row>
    <row r="1254">
      <c r="A1254" t="inlineStr">
        <is>
          <t>ATF fuel</t>
        </is>
      </c>
      <c r="B1254" t="inlineStr">
        <is>
          <t>B123</t>
        </is>
      </c>
      <c r="C1254" t="n">
        <v>123</v>
      </c>
      <c r="D1254" t="n">
        <v>2</v>
      </c>
      <c r="E1254" t="inlineStr">
        <is>
          <t>Input</t>
        </is>
      </c>
      <c r="F1254" t="n">
        <v/>
      </c>
      <c r="G1254" t="n">
        <v>41177.17</v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11</v>
      </c>
      <c r="M1254" t="inlineStr">
        <is>
          <t>Values must be of type &lt;class 'str'&gt;</t>
        </is>
      </c>
      <c r="N1254" t="inlineStr">
        <is>
          <t>00000000</t>
        </is>
      </c>
      <c r="O1254" t="n">
        <v/>
      </c>
      <c r="P1254" t="n">
        <v/>
      </c>
      <c r="R1254" t="b">
        <v>1</v>
      </c>
      <c r="S1254" t="n">
        <v/>
      </c>
      <c r="T1254" t="n">
        <v/>
      </c>
      <c r="U1254" t="n">
        <v/>
      </c>
      <c r="V1254" t="b">
        <v>0</v>
      </c>
      <c r="W1254" t="inlineStr"/>
      <c r="X1254" t="n">
        <v/>
      </c>
    </row>
    <row r="1255">
      <c r="A1255" t="inlineStr">
        <is>
          <t>ATF fuel</t>
        </is>
      </c>
      <c r="B1255" t="inlineStr">
        <is>
          <t>C123</t>
        </is>
      </c>
      <c r="C1255" t="n">
        <v>123</v>
      </c>
      <c r="D1255" t="n">
        <v>3</v>
      </c>
      <c r="E1255" t="inlineStr">
        <is>
          <t>Input</t>
        </is>
      </c>
      <c r="F1255" t="n">
        <v/>
      </c>
      <c r="G1255" t="n">
        <v>49584.82</v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11</v>
      </c>
      <c r="M1255" t="inlineStr">
        <is>
          <t>Values must be of type &lt;class 'str'&gt;</t>
        </is>
      </c>
      <c r="N1255" t="inlineStr">
        <is>
          <t>00000000</t>
        </is>
      </c>
      <c r="O1255" t="n">
        <v/>
      </c>
      <c r="P1255" t="n">
        <v/>
      </c>
      <c r="R1255" t="b">
        <v>1</v>
      </c>
      <c r="S1255" t="n">
        <v/>
      </c>
      <c r="T1255" t="n">
        <v/>
      </c>
      <c r="U1255" t="n">
        <v/>
      </c>
      <c r="V1255" t="b">
        <v>0</v>
      </c>
      <c r="W1255" t="inlineStr"/>
      <c r="X1255" t="n">
        <v/>
      </c>
    </row>
    <row r="1256">
      <c r="A1256" t="inlineStr">
        <is>
          <t>ATF fuel</t>
        </is>
      </c>
      <c r="B1256" t="inlineStr">
        <is>
          <t>D123</t>
        </is>
      </c>
      <c r="C1256" t="n">
        <v>123</v>
      </c>
      <c r="D1256" t="n">
        <v>4</v>
      </c>
      <c r="E1256" t="inlineStr">
        <is>
          <t>Input</t>
        </is>
      </c>
      <c r="F1256" t="n">
        <v/>
      </c>
      <c r="G1256" t="n">
        <v>42484.2</v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11</v>
      </c>
      <c r="M1256" t="inlineStr">
        <is>
          <t>Values must be of type &lt;class 'str'&gt;</t>
        </is>
      </c>
      <c r="N1256" t="inlineStr">
        <is>
          <t>00000000</t>
        </is>
      </c>
      <c r="O1256" t="n">
        <v/>
      </c>
      <c r="P1256" t="n">
        <v/>
      </c>
      <c r="R1256" t="b">
        <v>1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</row>
    <row r="1257">
      <c r="A1257" t="inlineStr">
        <is>
          <t>ATF fuel</t>
        </is>
      </c>
      <c r="B1257" t="inlineStr">
        <is>
          <t>E123</t>
        </is>
      </c>
      <c r="C1257" t="n">
        <v>123</v>
      </c>
      <c r="D1257" t="n">
        <v>5</v>
      </c>
      <c r="E1257" t="inlineStr">
        <is>
          <t>Input</t>
        </is>
      </c>
      <c r="F1257" t="n">
        <v/>
      </c>
      <c r="G1257" t="n">
        <v>45542.4</v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11</v>
      </c>
      <c r="M1257" t="inlineStr">
        <is>
          <t>Values must be of type &lt;class 'str'&gt;</t>
        </is>
      </c>
      <c r="N1257" t="inlineStr">
        <is>
          <t>00000000</t>
        </is>
      </c>
      <c r="O1257" t="n">
        <v/>
      </c>
      <c r="P1257" t="n">
        <v/>
      </c>
      <c r="R1257" t="b">
        <v>1</v>
      </c>
      <c r="S1257" t="n">
        <v/>
      </c>
      <c r="T1257" t="n">
        <v/>
      </c>
      <c r="U1257" t="n">
        <v/>
      </c>
      <c r="V1257" t="b">
        <v>0</v>
      </c>
      <c r="W1257" t="inlineStr"/>
      <c r="X1257" t="n">
        <v/>
      </c>
    </row>
    <row r="1258">
      <c r="A1258" t="inlineStr">
        <is>
          <t>ATF fuel</t>
        </is>
      </c>
      <c r="B1258" t="inlineStr">
        <is>
          <t>F123</t>
        </is>
      </c>
      <c r="C1258" t="n">
        <v>123</v>
      </c>
      <c r="D1258" t="n">
        <v>6</v>
      </c>
      <c r="E1258" t="inlineStr">
        <is>
          <t>Output</t>
        </is>
      </c>
      <c r="F1258" t="inlineStr">
        <is>
          <t>'=AVERAGE(B123:E123)</t>
        </is>
      </c>
      <c r="G1258" t="n">
        <v>44697.1475</v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11</v>
      </c>
      <c r="M1258" t="inlineStr">
        <is>
          <t>Values must be of type &lt;class 'str'&gt;</t>
        </is>
      </c>
      <c r="N1258" t="inlineStr">
        <is>
          <t>00000000</t>
        </is>
      </c>
      <c r="O1258" t="n">
        <v/>
      </c>
      <c r="P1258" t="n">
        <v/>
      </c>
      <c r="R1258" t="b">
        <v>1</v>
      </c>
      <c r="S1258" t="inlineStr">
        <is>
          <t>G000284</t>
        </is>
      </c>
      <c r="T1258" t="inlineStr">
        <is>
          <t>Vertical</t>
        </is>
      </c>
      <c r="U1258" t="n">
        <v>130</v>
      </c>
      <c r="V1258" t="b">
        <v>1</v>
      </c>
      <c r="W1258" t="inlineStr">
        <is>
          <t>ATF fuel!F2:F131</t>
        </is>
      </c>
      <c r="X1258">
        <f>AVERAGE(R[0]C[-4]:R[0]C[-1])</f>
        <v/>
      </c>
    </row>
    <row r="1259">
      <c r="A1259" t="inlineStr">
        <is>
          <t>ATF fuel</t>
        </is>
      </c>
      <c r="B1259" t="inlineStr">
        <is>
          <t>G123</t>
        </is>
      </c>
      <c r="C1259" t="n">
        <v>123</v>
      </c>
      <c r="D1259" t="n">
        <v>7</v>
      </c>
      <c r="E1259" t="inlineStr">
        <is>
          <t>Calculation</t>
        </is>
      </c>
      <c r="F1259" t="inlineStr">
        <is>
          <t>'=G122-1</t>
        </is>
      </c>
      <c r="G1259" t="n">
        <v>10</v>
      </c>
      <c r="H1259" t="inlineStr"/>
      <c r="I1259" t="inlineStr">
        <is>
          <t>#,##0</t>
        </is>
      </c>
      <c r="J1259" t="b">
        <v>0</v>
      </c>
      <c r="K1259" t="b">
        <v>0</v>
      </c>
      <c r="L1259" t="n">
        <v>11</v>
      </c>
      <c r="M1259" t="inlineStr">
        <is>
          <t>Values must be of type &lt;class 'str'&gt;</t>
        </is>
      </c>
      <c r="N1259" t="inlineStr">
        <is>
          <t>00000000</t>
        </is>
      </c>
      <c r="O1259" t="n">
        <v/>
      </c>
      <c r="P1259" t="n">
        <v/>
      </c>
      <c r="R1259" t="b">
        <v>1</v>
      </c>
      <c r="S1259" t="inlineStr">
        <is>
          <t>G000286</t>
        </is>
      </c>
      <c r="T1259" t="inlineStr">
        <is>
          <t>Vertical</t>
        </is>
      </c>
      <c r="U1259" t="n">
        <v>129</v>
      </c>
      <c r="V1259" t="b">
        <v>1</v>
      </c>
      <c r="W1259" t="inlineStr">
        <is>
          <t>ATF fuel!G3:G131</t>
        </is>
      </c>
      <c r="X1259">
        <f>R[-1]C[0]-1</f>
        <v/>
      </c>
    </row>
    <row r="1260">
      <c r="A1260" t="inlineStr">
        <is>
          <t>ATF fuel</t>
        </is>
      </c>
      <c r="B1260" t="inlineStr">
        <is>
          <t>A124</t>
        </is>
      </c>
      <c r="C1260" t="n">
        <v>124</v>
      </c>
      <c r="D1260" t="n">
        <v>1</v>
      </c>
      <c r="E1260" t="inlineStr">
        <is>
          <t>Input</t>
        </is>
      </c>
      <c r="F1260" t="n">
        <v/>
      </c>
      <c r="G1260" t="inlineStr">
        <is>
          <t>July 16, 2010</t>
        </is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11</v>
      </c>
      <c r="M1260" t="inlineStr">
        <is>
          <t>Values must be of type &lt;class 'str'&gt;</t>
        </is>
      </c>
      <c r="N1260" t="inlineStr">
        <is>
          <t>00000000</t>
        </is>
      </c>
      <c r="O1260" t="n">
        <v/>
      </c>
      <c r="P1260" t="n">
        <v/>
      </c>
      <c r="R1260" t="b">
        <v>1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</row>
    <row r="1261">
      <c r="A1261" t="inlineStr">
        <is>
          <t>ATF fuel</t>
        </is>
      </c>
      <c r="B1261" t="inlineStr">
        <is>
          <t>B124</t>
        </is>
      </c>
      <c r="C1261" t="n">
        <v>124</v>
      </c>
      <c r="D1261" t="n">
        <v>2</v>
      </c>
      <c r="E1261" t="inlineStr">
        <is>
          <t>Input</t>
        </is>
      </c>
      <c r="F1261" t="n">
        <v/>
      </c>
      <c r="G1261" t="n">
        <v>40099.1</v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11</v>
      </c>
      <c r="M1261" t="inlineStr">
        <is>
          <t>Values must be of type &lt;class 'str'&gt;</t>
        </is>
      </c>
      <c r="N1261" t="inlineStr">
        <is>
          <t>00000000</t>
        </is>
      </c>
      <c r="O1261" t="n">
        <v/>
      </c>
      <c r="P1261" t="n">
        <v/>
      </c>
      <c r="R1261" t="b">
        <v>1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</row>
    <row r="1262">
      <c r="A1262" t="inlineStr">
        <is>
          <t>ATF fuel</t>
        </is>
      </c>
      <c r="B1262" t="inlineStr">
        <is>
          <t>C124</t>
        </is>
      </c>
      <c r="C1262" t="n">
        <v>124</v>
      </c>
      <c r="D1262" t="n">
        <v>3</v>
      </c>
      <c r="E1262" t="inlineStr">
        <is>
          <t>Input</t>
        </is>
      </c>
      <c r="F1262" t="n">
        <v/>
      </c>
      <c r="G1262" t="n">
        <v>48460.47</v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11</v>
      </c>
      <c r="M1262" t="inlineStr">
        <is>
          <t>Values must be of type &lt;class 'str'&gt;</t>
        </is>
      </c>
      <c r="N1262" t="inlineStr">
        <is>
          <t>00000000</t>
        </is>
      </c>
      <c r="O1262" t="n">
        <v/>
      </c>
      <c r="P1262" t="n">
        <v/>
      </c>
      <c r="R1262" t="b">
        <v>1</v>
      </c>
      <c r="S1262" t="n">
        <v/>
      </c>
      <c r="T1262" t="n">
        <v/>
      </c>
      <c r="U1262" t="n">
        <v/>
      </c>
      <c r="V1262" t="b">
        <v>0</v>
      </c>
      <c r="W1262" t="inlineStr"/>
      <c r="X1262" t="n">
        <v/>
      </c>
    </row>
    <row r="1263">
      <c r="A1263" t="inlineStr">
        <is>
          <t>ATF fuel</t>
        </is>
      </c>
      <c r="B1263" t="inlineStr">
        <is>
          <t>D124</t>
        </is>
      </c>
      <c r="C1263" t="n">
        <v>124</v>
      </c>
      <c r="D1263" t="n">
        <v>4</v>
      </c>
      <c r="E1263" t="inlineStr">
        <is>
          <t>Input</t>
        </is>
      </c>
      <c r="F1263" t="n">
        <v/>
      </c>
      <c r="G1263" t="n">
        <v>41361.21</v>
      </c>
      <c r="H1263" t="inlineStr"/>
      <c r="I1263" t="inlineStr">
        <is>
          <t>General</t>
        </is>
      </c>
      <c r="J1263" t="b">
        <v>0</v>
      </c>
      <c r="K1263" t="b">
        <v>0</v>
      </c>
      <c r="L1263" t="n">
        <v>11</v>
      </c>
      <c r="M1263" t="inlineStr">
        <is>
          <t>Values must be of type &lt;class 'str'&gt;</t>
        </is>
      </c>
      <c r="N1263" t="inlineStr">
        <is>
          <t>00000000</t>
        </is>
      </c>
      <c r="O1263" t="n">
        <v/>
      </c>
      <c r="P1263" t="n">
        <v/>
      </c>
      <c r="R1263" t="b">
        <v>1</v>
      </c>
      <c r="S1263" t="n">
        <v/>
      </c>
      <c r="T1263" t="n">
        <v/>
      </c>
      <c r="U1263" t="n">
        <v/>
      </c>
      <c r="V1263" t="b">
        <v>0</v>
      </c>
      <c r="W1263" t="inlineStr"/>
      <c r="X1263" t="n">
        <v/>
      </c>
    </row>
    <row r="1264">
      <c r="A1264" t="inlineStr">
        <is>
          <t>ATF fuel</t>
        </is>
      </c>
      <c r="B1264" t="inlineStr">
        <is>
          <t>E124</t>
        </is>
      </c>
      <c r="C1264" t="n">
        <v>124</v>
      </c>
      <c r="D1264" t="n">
        <v>5</v>
      </c>
      <c r="E1264" t="inlineStr">
        <is>
          <t>Input</t>
        </is>
      </c>
      <c r="F1264" t="n">
        <v/>
      </c>
      <c r="G1264" t="n">
        <v>44333.83</v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11</v>
      </c>
      <c r="M1264" t="inlineStr">
        <is>
          <t>Values must be of type &lt;class 'str'&gt;</t>
        </is>
      </c>
      <c r="N1264" t="inlineStr">
        <is>
          <t>00000000</t>
        </is>
      </c>
      <c r="O1264" t="n">
        <v/>
      </c>
      <c r="P1264" t="n">
        <v/>
      </c>
      <c r="R1264" t="b">
        <v>1</v>
      </c>
      <c r="S1264" t="n">
        <v/>
      </c>
      <c r="T1264" t="n">
        <v/>
      </c>
      <c r="U1264" t="n">
        <v/>
      </c>
      <c r="V1264" t="b">
        <v>0</v>
      </c>
      <c r="W1264" t="inlineStr"/>
      <c r="X1264" t="n">
        <v/>
      </c>
    </row>
    <row r="1265">
      <c r="A1265" t="inlineStr">
        <is>
          <t>ATF fuel</t>
        </is>
      </c>
      <c r="B1265" t="inlineStr">
        <is>
          <t>F124</t>
        </is>
      </c>
      <c r="C1265" t="n">
        <v>124</v>
      </c>
      <c r="D1265" t="n">
        <v>6</v>
      </c>
      <c r="E1265" t="inlineStr">
        <is>
          <t>Output</t>
        </is>
      </c>
      <c r="F1265" t="inlineStr">
        <is>
          <t>'=AVERAGE(B124:E124)</t>
        </is>
      </c>
      <c r="G1265" t="n">
        <v>43563.6525</v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11</v>
      </c>
      <c r="M1265" t="inlineStr">
        <is>
          <t>Values must be of type &lt;class 'str'&gt;</t>
        </is>
      </c>
      <c r="N1265" t="inlineStr">
        <is>
          <t>00000000</t>
        </is>
      </c>
      <c r="O1265" t="n">
        <v/>
      </c>
      <c r="P1265" t="n">
        <v/>
      </c>
      <c r="R1265" t="b">
        <v>1</v>
      </c>
      <c r="S1265" t="inlineStr">
        <is>
          <t>G000284</t>
        </is>
      </c>
      <c r="T1265" t="inlineStr">
        <is>
          <t>Vertical</t>
        </is>
      </c>
      <c r="U1265" t="n">
        <v>130</v>
      </c>
      <c r="V1265" t="b">
        <v>1</v>
      </c>
      <c r="W1265" t="inlineStr">
        <is>
          <t>ATF fuel!F2:F131</t>
        </is>
      </c>
      <c r="X1265">
        <f>AVERAGE(R[0]C[-4]:R[0]C[-1])</f>
        <v/>
      </c>
    </row>
    <row r="1266">
      <c r="A1266" t="inlineStr">
        <is>
          <t>ATF fuel</t>
        </is>
      </c>
      <c r="B1266" t="inlineStr">
        <is>
          <t>G124</t>
        </is>
      </c>
      <c r="C1266" t="n">
        <v>124</v>
      </c>
      <c r="D1266" t="n">
        <v>7</v>
      </c>
      <c r="E1266" t="inlineStr">
        <is>
          <t>Calculation</t>
        </is>
      </c>
      <c r="F1266" t="inlineStr">
        <is>
          <t>'=G123-1</t>
        </is>
      </c>
      <c r="G1266" t="n">
        <v>9</v>
      </c>
      <c r="H1266" t="inlineStr"/>
      <c r="I1266" t="inlineStr">
        <is>
          <t>#,##0</t>
        </is>
      </c>
      <c r="J1266" t="b">
        <v>0</v>
      </c>
      <c r="K1266" t="b">
        <v>0</v>
      </c>
      <c r="L1266" t="n">
        <v>11</v>
      </c>
      <c r="M1266" t="inlineStr">
        <is>
          <t>Values must be of type &lt;class 'str'&gt;</t>
        </is>
      </c>
      <c r="N1266" t="inlineStr">
        <is>
          <t>00000000</t>
        </is>
      </c>
      <c r="O1266" t="n">
        <v/>
      </c>
      <c r="P1266" t="n">
        <v/>
      </c>
      <c r="R1266" t="b">
        <v>1</v>
      </c>
      <c r="S1266" t="inlineStr">
        <is>
          <t>G000286</t>
        </is>
      </c>
      <c r="T1266" t="inlineStr">
        <is>
          <t>Vertical</t>
        </is>
      </c>
      <c r="U1266" t="n">
        <v>129</v>
      </c>
      <c r="V1266" t="b">
        <v>1</v>
      </c>
      <c r="W1266" t="inlineStr">
        <is>
          <t>ATF fuel!G3:G131</t>
        </is>
      </c>
      <c r="X1266">
        <f>R[-1]C[0]-1</f>
        <v/>
      </c>
    </row>
    <row r="1267">
      <c r="A1267" t="inlineStr">
        <is>
          <t>ATF fuel</t>
        </is>
      </c>
      <c r="B1267" t="inlineStr">
        <is>
          <t>A125</t>
        </is>
      </c>
      <c r="C1267" t="n">
        <v>125</v>
      </c>
      <c r="D1267" t="n">
        <v>1</v>
      </c>
      <c r="E1267" t="inlineStr">
        <is>
          <t>Input</t>
        </is>
      </c>
      <c r="F1267" t="n">
        <v/>
      </c>
      <c r="G1267" t="inlineStr">
        <is>
          <t>July 01, 2010</t>
        </is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11</v>
      </c>
      <c r="M1267" t="inlineStr">
        <is>
          <t>Values must be of type &lt;class 'str'&gt;</t>
        </is>
      </c>
      <c r="N1267" t="inlineStr">
        <is>
          <t>00000000</t>
        </is>
      </c>
      <c r="O1267" t="n">
        <v/>
      </c>
      <c r="P1267" t="n">
        <v/>
      </c>
      <c r="R1267" t="b">
        <v>1</v>
      </c>
      <c r="S1267" t="n">
        <v/>
      </c>
      <c r="T1267" t="n">
        <v/>
      </c>
      <c r="U1267" t="n">
        <v/>
      </c>
      <c r="V1267" t="b">
        <v>0</v>
      </c>
      <c r="W1267" t="inlineStr"/>
      <c r="X1267" t="n">
        <v/>
      </c>
    </row>
    <row r="1268">
      <c r="A1268" t="inlineStr">
        <is>
          <t>ATF fuel</t>
        </is>
      </c>
      <c r="B1268" t="inlineStr">
        <is>
          <t>B125</t>
        </is>
      </c>
      <c r="C1268" t="n">
        <v>125</v>
      </c>
      <c r="D1268" t="n">
        <v>2</v>
      </c>
      <c r="E1268" t="inlineStr">
        <is>
          <t>Input</t>
        </is>
      </c>
      <c r="F1268" t="n">
        <v/>
      </c>
      <c r="G1268" t="n">
        <v>41488.9</v>
      </c>
      <c r="H1268" t="inlineStr"/>
      <c r="I1268" t="inlineStr">
        <is>
          <t>General</t>
        </is>
      </c>
      <c r="J1268" t="b">
        <v>0</v>
      </c>
      <c r="K1268" t="b">
        <v>0</v>
      </c>
      <c r="L1268" t="n">
        <v>11</v>
      </c>
      <c r="M1268" t="inlineStr">
        <is>
          <t>Values must be of type &lt;class 'str'&gt;</t>
        </is>
      </c>
      <c r="N1268" t="inlineStr">
        <is>
          <t>00000000</t>
        </is>
      </c>
      <c r="O1268" t="n">
        <v/>
      </c>
      <c r="P1268" t="n">
        <v/>
      </c>
      <c r="R1268" t="b">
        <v>1</v>
      </c>
      <c r="S1268" t="n">
        <v/>
      </c>
      <c r="T1268" t="n">
        <v/>
      </c>
      <c r="U1268" t="n">
        <v/>
      </c>
      <c r="V1268" t="b">
        <v>0</v>
      </c>
      <c r="W1268" t="inlineStr"/>
      <c r="X1268" t="n">
        <v/>
      </c>
    </row>
    <row r="1269">
      <c r="A1269" t="inlineStr">
        <is>
          <t>ATF fuel</t>
        </is>
      </c>
      <c r="B1269" t="inlineStr">
        <is>
          <t>C125</t>
        </is>
      </c>
      <c r="C1269" t="n">
        <v>125</v>
      </c>
      <c r="D1269" t="n">
        <v>3</v>
      </c>
      <c r="E1269" t="inlineStr">
        <is>
          <t>Input</t>
        </is>
      </c>
      <c r="F1269" t="n">
        <v/>
      </c>
      <c r="G1269" t="n">
        <v>49927.12</v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11</v>
      </c>
      <c r="M1269" t="inlineStr">
        <is>
          <t>Values must be of type &lt;class 'str'&gt;</t>
        </is>
      </c>
      <c r="N1269" t="inlineStr">
        <is>
          <t>00000000</t>
        </is>
      </c>
      <c r="O1269" t="n">
        <v/>
      </c>
      <c r="P1269" t="n">
        <v/>
      </c>
      <c r="R1269" t="b">
        <v>1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</row>
    <row r="1270">
      <c r="A1270" t="inlineStr">
        <is>
          <t>ATF fuel</t>
        </is>
      </c>
      <c r="B1270" t="inlineStr">
        <is>
          <t>D125</t>
        </is>
      </c>
      <c r="C1270" t="n">
        <v>125</v>
      </c>
      <c r="D1270" t="n">
        <v>4</v>
      </c>
      <c r="E1270" t="inlineStr">
        <is>
          <t>Input</t>
        </is>
      </c>
      <c r="F1270" t="n">
        <v/>
      </c>
      <c r="G1270" t="n">
        <v>42808.92</v>
      </c>
      <c r="H1270" t="inlineStr"/>
      <c r="I1270" t="inlineStr">
        <is>
          <t>General</t>
        </is>
      </c>
      <c r="J1270" t="b">
        <v>0</v>
      </c>
      <c r="K1270" t="b">
        <v>0</v>
      </c>
      <c r="L1270" t="n">
        <v>11</v>
      </c>
      <c r="M1270" t="inlineStr">
        <is>
          <t>Values must be of type &lt;class 'str'&gt;</t>
        </is>
      </c>
      <c r="N1270" t="inlineStr">
        <is>
          <t>00000000</t>
        </is>
      </c>
      <c r="O1270" t="n">
        <v/>
      </c>
      <c r="P1270" t="n">
        <v/>
      </c>
      <c r="R1270" t="b">
        <v>1</v>
      </c>
      <c r="S1270" t="n">
        <v/>
      </c>
      <c r="T1270" t="n">
        <v/>
      </c>
      <c r="U1270" t="n">
        <v/>
      </c>
      <c r="V1270" t="b">
        <v>0</v>
      </c>
      <c r="W1270" t="inlineStr"/>
      <c r="X1270" t="n">
        <v/>
      </c>
    </row>
    <row r="1271">
      <c r="A1271" t="inlineStr">
        <is>
          <t>ATF fuel</t>
        </is>
      </c>
      <c r="B1271" t="inlineStr">
        <is>
          <t>E125</t>
        </is>
      </c>
      <c r="C1271" t="n">
        <v>125</v>
      </c>
      <c r="D1271" t="n">
        <v>5</v>
      </c>
      <c r="E1271" t="inlineStr">
        <is>
          <t>Input</t>
        </is>
      </c>
      <c r="F1271" t="n">
        <v/>
      </c>
      <c r="G1271" t="n">
        <v>45841.83</v>
      </c>
      <c r="H1271" t="inlineStr"/>
      <c r="I1271" t="inlineStr">
        <is>
          <t>General</t>
        </is>
      </c>
      <c r="J1271" t="b">
        <v>0</v>
      </c>
      <c r="K1271" t="b">
        <v>0</v>
      </c>
      <c r="L1271" t="n">
        <v>11</v>
      </c>
      <c r="M1271" t="inlineStr">
        <is>
          <t>Values must be of type &lt;class 'str'&gt;</t>
        </is>
      </c>
      <c r="N1271" t="inlineStr">
        <is>
          <t>00000000</t>
        </is>
      </c>
      <c r="O1271" t="n">
        <v/>
      </c>
      <c r="P1271" t="n">
        <v/>
      </c>
      <c r="R1271" t="b">
        <v>1</v>
      </c>
      <c r="S1271" t="n">
        <v/>
      </c>
      <c r="T1271" t="n">
        <v/>
      </c>
      <c r="U1271" t="n">
        <v/>
      </c>
      <c r="V1271" t="b">
        <v>0</v>
      </c>
      <c r="W1271" t="inlineStr"/>
      <c r="X1271" t="n">
        <v/>
      </c>
    </row>
    <row r="1272">
      <c r="A1272" t="inlineStr">
        <is>
          <t>ATF fuel</t>
        </is>
      </c>
      <c r="B1272" t="inlineStr">
        <is>
          <t>F125</t>
        </is>
      </c>
      <c r="C1272" t="n">
        <v>125</v>
      </c>
      <c r="D1272" t="n">
        <v>6</v>
      </c>
      <c r="E1272" t="inlineStr">
        <is>
          <t>Output</t>
        </is>
      </c>
      <c r="F1272" t="inlineStr">
        <is>
          <t>'=AVERAGE(B125:E125)</t>
        </is>
      </c>
      <c r="G1272" t="n">
        <v>45016.6925</v>
      </c>
      <c r="H1272" t="inlineStr"/>
      <c r="I1272" t="inlineStr">
        <is>
          <t>General</t>
        </is>
      </c>
      <c r="J1272" t="b">
        <v>0</v>
      </c>
      <c r="K1272" t="b">
        <v>0</v>
      </c>
      <c r="L1272" t="n">
        <v>11</v>
      </c>
      <c r="M1272" t="inlineStr">
        <is>
          <t>Values must be of type &lt;class 'str'&gt;</t>
        </is>
      </c>
      <c r="N1272" t="inlineStr">
        <is>
          <t>00000000</t>
        </is>
      </c>
      <c r="O1272" t="n">
        <v/>
      </c>
      <c r="P1272" t="n">
        <v/>
      </c>
      <c r="R1272" t="b">
        <v>1</v>
      </c>
      <c r="S1272" t="inlineStr">
        <is>
          <t>G000284</t>
        </is>
      </c>
      <c r="T1272" t="inlineStr">
        <is>
          <t>Vertical</t>
        </is>
      </c>
      <c r="U1272" t="n">
        <v>130</v>
      </c>
      <c r="V1272" t="b">
        <v>1</v>
      </c>
      <c r="W1272" t="inlineStr">
        <is>
          <t>ATF fuel!F2:F131</t>
        </is>
      </c>
      <c r="X1272">
        <f>AVERAGE(R[0]C[-4]:R[0]C[-1])</f>
        <v/>
      </c>
    </row>
    <row r="1273">
      <c r="A1273" t="inlineStr">
        <is>
          <t>ATF fuel</t>
        </is>
      </c>
      <c r="B1273" t="inlineStr">
        <is>
          <t>G125</t>
        </is>
      </c>
      <c r="C1273" t="n">
        <v>125</v>
      </c>
      <c r="D1273" t="n">
        <v>7</v>
      </c>
      <c r="E1273" t="inlineStr">
        <is>
          <t>Calculation</t>
        </is>
      </c>
      <c r="F1273" t="inlineStr">
        <is>
          <t>'=G124-1</t>
        </is>
      </c>
      <c r="G1273" t="n">
        <v>8</v>
      </c>
      <c r="H1273" t="inlineStr"/>
      <c r="I1273" t="inlineStr">
        <is>
          <t>#,##0</t>
        </is>
      </c>
      <c r="J1273" t="b">
        <v>0</v>
      </c>
      <c r="K1273" t="b">
        <v>0</v>
      </c>
      <c r="L1273" t="n">
        <v>11</v>
      </c>
      <c r="M1273" t="inlineStr">
        <is>
          <t>Values must be of type &lt;class 'str'&gt;</t>
        </is>
      </c>
      <c r="N1273" t="inlineStr">
        <is>
          <t>00000000</t>
        </is>
      </c>
      <c r="O1273" t="n">
        <v/>
      </c>
      <c r="P1273" t="n">
        <v/>
      </c>
      <c r="R1273" t="b">
        <v>1</v>
      </c>
      <c r="S1273" t="inlineStr">
        <is>
          <t>G000286</t>
        </is>
      </c>
      <c r="T1273" t="inlineStr">
        <is>
          <t>Vertical</t>
        </is>
      </c>
      <c r="U1273" t="n">
        <v>129</v>
      </c>
      <c r="V1273" t="b">
        <v>1</v>
      </c>
      <c r="W1273" t="inlineStr">
        <is>
          <t>ATF fuel!G3:G131</t>
        </is>
      </c>
      <c r="X1273">
        <f>R[-1]C[0]-1</f>
        <v/>
      </c>
    </row>
    <row r="1274">
      <c r="A1274" t="inlineStr">
        <is>
          <t>ATF fuel</t>
        </is>
      </c>
      <c r="B1274" t="inlineStr">
        <is>
          <t>A126</t>
        </is>
      </c>
      <c r="C1274" t="n">
        <v>126</v>
      </c>
      <c r="D1274" t="n">
        <v>1</v>
      </c>
      <c r="E1274" t="inlineStr">
        <is>
          <t>Input</t>
        </is>
      </c>
      <c r="F1274" t="n">
        <v/>
      </c>
      <c r="G1274" t="inlineStr">
        <is>
          <t>June 16, 2010</t>
        </is>
      </c>
      <c r="H1274" t="inlineStr"/>
      <c r="I1274" t="inlineStr">
        <is>
          <t>General</t>
        </is>
      </c>
      <c r="J1274" t="b">
        <v>0</v>
      </c>
      <c r="K1274" t="b">
        <v>0</v>
      </c>
      <c r="L1274" t="n">
        <v>11</v>
      </c>
      <c r="M1274" t="inlineStr">
        <is>
          <t>Values must be of type &lt;class 'str'&gt;</t>
        </is>
      </c>
      <c r="N1274" t="inlineStr">
        <is>
          <t>00000000</t>
        </is>
      </c>
      <c r="O1274" t="n">
        <v/>
      </c>
      <c r="P1274" t="n">
        <v/>
      </c>
      <c r="R1274" t="b">
        <v>1</v>
      </c>
      <c r="S1274" t="n">
        <v/>
      </c>
      <c r="T1274" t="n">
        <v/>
      </c>
      <c r="U1274" t="n">
        <v/>
      </c>
      <c r="V1274" t="b">
        <v>0</v>
      </c>
      <c r="W1274" t="inlineStr"/>
      <c r="X1274" t="n">
        <v/>
      </c>
    </row>
    <row r="1275">
      <c r="A1275" t="inlineStr">
        <is>
          <t>ATF fuel</t>
        </is>
      </c>
      <c r="B1275" t="inlineStr">
        <is>
          <t>B126</t>
        </is>
      </c>
      <c r="C1275" t="n">
        <v>126</v>
      </c>
      <c r="D1275" t="n">
        <v>2</v>
      </c>
      <c r="E1275" t="inlineStr">
        <is>
          <t>Input</t>
        </is>
      </c>
      <c r="F1275" t="n">
        <v/>
      </c>
      <c r="G1275" t="n">
        <v>40191.96</v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11</v>
      </c>
      <c r="M1275" t="inlineStr">
        <is>
          <t>Values must be of type &lt;class 'str'&gt;</t>
        </is>
      </c>
      <c r="N1275" t="inlineStr">
        <is>
          <t>00000000</t>
        </is>
      </c>
      <c r="O1275" t="n">
        <v/>
      </c>
      <c r="P1275" t="n">
        <v/>
      </c>
      <c r="R1275" t="b">
        <v>1</v>
      </c>
      <c r="S1275" t="n">
        <v/>
      </c>
      <c r="T1275" t="n">
        <v/>
      </c>
      <c r="U1275" t="n">
        <v/>
      </c>
      <c r="V1275" t="b">
        <v>0</v>
      </c>
      <c r="W1275" t="inlineStr"/>
      <c r="X1275" t="n">
        <v/>
      </c>
    </row>
    <row r="1276">
      <c r="A1276" t="inlineStr">
        <is>
          <t>ATF fuel</t>
        </is>
      </c>
      <c r="B1276" t="inlineStr">
        <is>
          <t>C126</t>
        </is>
      </c>
      <c r="C1276" t="n">
        <v>126</v>
      </c>
      <c r="D1276" t="n">
        <v>3</v>
      </c>
      <c r="E1276" t="inlineStr">
        <is>
          <t>Input</t>
        </is>
      </c>
      <c r="F1276" t="n">
        <v/>
      </c>
      <c r="G1276" t="n">
        <v>48574.12</v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11</v>
      </c>
      <c r="M1276" t="inlineStr">
        <is>
          <t>Values must be of type &lt;class 'str'&gt;</t>
        </is>
      </c>
      <c r="N1276" t="inlineStr">
        <is>
          <t>00000000</t>
        </is>
      </c>
      <c r="O1276" t="n">
        <v/>
      </c>
      <c r="P1276" t="n">
        <v/>
      </c>
      <c r="R1276" t="b">
        <v>1</v>
      </c>
      <c r="S1276" t="n">
        <v/>
      </c>
      <c r="T1276" t="n">
        <v/>
      </c>
      <c r="U1276" t="n">
        <v/>
      </c>
      <c r="V1276" t="b">
        <v>0</v>
      </c>
      <c r="W1276" t="inlineStr"/>
      <c r="X1276" t="n">
        <v/>
      </c>
    </row>
    <row r="1277">
      <c r="A1277" t="inlineStr">
        <is>
          <t>ATF fuel</t>
        </is>
      </c>
      <c r="B1277" t="inlineStr">
        <is>
          <t>D126</t>
        </is>
      </c>
      <c r="C1277" t="n">
        <v>126</v>
      </c>
      <c r="D1277" t="n">
        <v>4</v>
      </c>
      <c r="E1277" t="inlineStr">
        <is>
          <t>Input</t>
        </is>
      </c>
      <c r="F1277" t="n">
        <v/>
      </c>
      <c r="G1277" t="n">
        <v>41469.45</v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11</v>
      </c>
      <c r="M1277" t="inlineStr">
        <is>
          <t>Values must be of type &lt;class 'str'&gt;</t>
        </is>
      </c>
      <c r="N1277" t="inlineStr">
        <is>
          <t>00000000</t>
        </is>
      </c>
      <c r="O1277" t="n">
        <v/>
      </c>
      <c r="P1277" t="n">
        <v/>
      </c>
      <c r="R1277" t="b">
        <v>1</v>
      </c>
      <c r="S1277" t="n">
        <v/>
      </c>
      <c r="T1277" t="n">
        <v/>
      </c>
      <c r="U1277" t="n">
        <v/>
      </c>
      <c r="V1277" t="b">
        <v>0</v>
      </c>
      <c r="W1277" t="inlineStr"/>
      <c r="X1277" t="n">
        <v/>
      </c>
    </row>
    <row r="1278">
      <c r="A1278" t="inlineStr">
        <is>
          <t>ATF fuel</t>
        </is>
      </c>
      <c r="B1278" t="inlineStr">
        <is>
          <t>E126</t>
        </is>
      </c>
      <c r="C1278" t="n">
        <v>126</v>
      </c>
      <c r="D1278" t="n">
        <v>5</v>
      </c>
      <c r="E1278" t="inlineStr">
        <is>
          <t>Input</t>
        </is>
      </c>
      <c r="F1278" t="n">
        <v/>
      </c>
      <c r="G1278" t="n">
        <v>44459.49</v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11</v>
      </c>
      <c r="M1278" t="inlineStr">
        <is>
          <t>Values must be of type &lt;class 'str'&gt;</t>
        </is>
      </c>
      <c r="N1278" t="inlineStr">
        <is>
          <t>00000000</t>
        </is>
      </c>
      <c r="O1278" t="n">
        <v/>
      </c>
      <c r="P1278" t="n">
        <v/>
      </c>
      <c r="R1278" t="b">
        <v>1</v>
      </c>
      <c r="S1278" t="n">
        <v/>
      </c>
      <c r="T1278" t="n">
        <v/>
      </c>
      <c r="U1278" t="n">
        <v/>
      </c>
      <c r="V1278" t="b">
        <v>0</v>
      </c>
      <c r="W1278" t="inlineStr"/>
      <c r="X1278" t="n">
        <v/>
      </c>
    </row>
    <row r="1279">
      <c r="A1279" t="inlineStr">
        <is>
          <t>ATF fuel</t>
        </is>
      </c>
      <c r="B1279" t="inlineStr">
        <is>
          <t>F126</t>
        </is>
      </c>
      <c r="C1279" t="n">
        <v>126</v>
      </c>
      <c r="D1279" t="n">
        <v>6</v>
      </c>
      <c r="E1279" t="inlineStr">
        <is>
          <t>Output</t>
        </is>
      </c>
      <c r="F1279" t="inlineStr">
        <is>
          <t>'=AVERAGE(B126:E126)</t>
        </is>
      </c>
      <c r="G1279" t="n">
        <v>43673.755</v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11</v>
      </c>
      <c r="M1279" t="inlineStr">
        <is>
          <t>Values must be of type &lt;class 'str'&gt;</t>
        </is>
      </c>
      <c r="N1279" t="inlineStr">
        <is>
          <t>00000000</t>
        </is>
      </c>
      <c r="O1279" t="n">
        <v/>
      </c>
      <c r="P1279" t="n">
        <v/>
      </c>
      <c r="R1279" t="b">
        <v>1</v>
      </c>
      <c r="S1279" t="inlineStr">
        <is>
          <t>G000284</t>
        </is>
      </c>
      <c r="T1279" t="inlineStr">
        <is>
          <t>Vertical</t>
        </is>
      </c>
      <c r="U1279" t="n">
        <v>130</v>
      </c>
      <c r="V1279" t="b">
        <v>1</v>
      </c>
      <c r="W1279" t="inlineStr">
        <is>
          <t>ATF fuel!F2:F131</t>
        </is>
      </c>
      <c r="X1279">
        <f>AVERAGE(R[0]C[-4]:R[0]C[-1])</f>
        <v/>
      </c>
    </row>
    <row r="1280">
      <c r="A1280" t="inlineStr">
        <is>
          <t>ATF fuel</t>
        </is>
      </c>
      <c r="B1280" t="inlineStr">
        <is>
          <t>G126</t>
        </is>
      </c>
      <c r="C1280" t="n">
        <v>126</v>
      </c>
      <c r="D1280" t="n">
        <v>7</v>
      </c>
      <c r="E1280" t="inlineStr">
        <is>
          <t>Calculation</t>
        </is>
      </c>
      <c r="F1280" t="inlineStr">
        <is>
          <t>'=G125-1</t>
        </is>
      </c>
      <c r="G1280" t="n">
        <v>7</v>
      </c>
      <c r="H1280" t="inlineStr"/>
      <c r="I1280" t="inlineStr">
        <is>
          <t>#,##0</t>
        </is>
      </c>
      <c r="J1280" t="b">
        <v>0</v>
      </c>
      <c r="K1280" t="b">
        <v>0</v>
      </c>
      <c r="L1280" t="n">
        <v>11</v>
      </c>
      <c r="M1280" t="inlineStr">
        <is>
          <t>Values must be of type &lt;class 'str'&gt;</t>
        </is>
      </c>
      <c r="N1280" t="inlineStr">
        <is>
          <t>00000000</t>
        </is>
      </c>
      <c r="O1280" t="n">
        <v/>
      </c>
      <c r="P1280" t="n">
        <v/>
      </c>
      <c r="R1280" t="b">
        <v>1</v>
      </c>
      <c r="S1280" t="inlineStr">
        <is>
          <t>G000286</t>
        </is>
      </c>
      <c r="T1280" t="inlineStr">
        <is>
          <t>Vertical</t>
        </is>
      </c>
      <c r="U1280" t="n">
        <v>129</v>
      </c>
      <c r="V1280" t="b">
        <v>1</v>
      </c>
      <c r="W1280" t="inlineStr">
        <is>
          <t>ATF fuel!G3:G131</t>
        </is>
      </c>
      <c r="X1280">
        <f>R[-1]C[0]-1</f>
        <v/>
      </c>
    </row>
    <row r="1281">
      <c r="A1281" t="inlineStr">
        <is>
          <t>ATF fuel</t>
        </is>
      </c>
      <c r="B1281" t="inlineStr">
        <is>
          <t>A127</t>
        </is>
      </c>
      <c r="C1281" t="n">
        <v>127</v>
      </c>
      <c r="D1281" t="n">
        <v>1</v>
      </c>
      <c r="E1281" t="inlineStr">
        <is>
          <t>Input</t>
        </is>
      </c>
      <c r="F1281" t="n">
        <v/>
      </c>
      <c r="G1281" t="inlineStr">
        <is>
          <t>June 01, 2010</t>
        </is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11</v>
      </c>
      <c r="M1281" t="inlineStr">
        <is>
          <t>Values must be of type &lt;class 'str'&gt;</t>
        </is>
      </c>
      <c r="N1281" t="inlineStr">
        <is>
          <t>00000000</t>
        </is>
      </c>
      <c r="O1281" t="n">
        <v/>
      </c>
      <c r="P1281" t="n">
        <v/>
      </c>
      <c r="R1281" t="b">
        <v>1</v>
      </c>
      <c r="S1281" t="n">
        <v/>
      </c>
      <c r="T1281" t="n">
        <v/>
      </c>
      <c r="U1281" t="n">
        <v/>
      </c>
      <c r="V1281" t="b">
        <v>0</v>
      </c>
      <c r="W1281" t="inlineStr"/>
      <c r="X1281" t="n">
        <v/>
      </c>
    </row>
    <row r="1282">
      <c r="A1282" t="inlineStr">
        <is>
          <t>ATF fuel</t>
        </is>
      </c>
      <c r="B1282" t="inlineStr">
        <is>
          <t>B127</t>
        </is>
      </c>
      <c r="C1282" t="n">
        <v>127</v>
      </c>
      <c r="D1282" t="n">
        <v>2</v>
      </c>
      <c r="E1282" t="inlineStr">
        <is>
          <t>Input</t>
        </is>
      </c>
      <c r="F1282" t="n">
        <v/>
      </c>
      <c r="G1282" t="n">
        <v>39503.56</v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11</v>
      </c>
      <c r="M1282" t="inlineStr">
        <is>
          <t>Values must be of type &lt;class 'str'&gt;</t>
        </is>
      </c>
      <c r="N1282" t="inlineStr">
        <is>
          <t>00000000</t>
        </is>
      </c>
      <c r="O1282" t="n">
        <v/>
      </c>
      <c r="P1282" t="n">
        <v/>
      </c>
      <c r="R1282" t="b">
        <v>1</v>
      </c>
      <c r="S1282" t="n">
        <v/>
      </c>
      <c r="T1282" t="n">
        <v/>
      </c>
      <c r="U1282" t="n">
        <v/>
      </c>
      <c r="V1282" t="b">
        <v>0</v>
      </c>
      <c r="W1282" t="inlineStr"/>
      <c r="X1282" t="n">
        <v/>
      </c>
    </row>
    <row r="1283">
      <c r="A1283" t="inlineStr">
        <is>
          <t>ATF fuel</t>
        </is>
      </c>
      <c r="B1283" t="inlineStr">
        <is>
          <t>C127</t>
        </is>
      </c>
      <c r="C1283" t="n">
        <v>127</v>
      </c>
      <c r="D1283" t="n">
        <v>3</v>
      </c>
      <c r="E1283" t="inlineStr">
        <is>
          <t>Input</t>
        </is>
      </c>
      <c r="F1283" t="n">
        <v/>
      </c>
      <c r="G1283" t="n">
        <v>47843.5</v>
      </c>
      <c r="H1283" t="inlineStr"/>
      <c r="I1283" t="inlineStr">
        <is>
          <t>General</t>
        </is>
      </c>
      <c r="J1283" t="b">
        <v>0</v>
      </c>
      <c r="K1283" t="b">
        <v>0</v>
      </c>
      <c r="L1283" t="n">
        <v>11</v>
      </c>
      <c r="M1283" t="inlineStr">
        <is>
          <t>Values must be of type &lt;class 'str'&gt;</t>
        </is>
      </c>
      <c r="N1283" t="inlineStr">
        <is>
          <t>00000000</t>
        </is>
      </c>
      <c r="O1283" t="n">
        <v/>
      </c>
      <c r="P1283" t="n">
        <v/>
      </c>
      <c r="R1283" t="b">
        <v>1</v>
      </c>
      <c r="S1283" t="n">
        <v/>
      </c>
      <c r="T1283" t="n">
        <v/>
      </c>
      <c r="U1283" t="n">
        <v/>
      </c>
      <c r="V1283" t="b">
        <v>0</v>
      </c>
      <c r="W1283" t="inlineStr"/>
      <c r="X1283" t="n">
        <v/>
      </c>
    </row>
    <row r="1284">
      <c r="A1284" t="inlineStr">
        <is>
          <t>ATF fuel</t>
        </is>
      </c>
      <c r="B1284" t="inlineStr">
        <is>
          <t>D127</t>
        </is>
      </c>
      <c r="C1284" t="n">
        <v>127</v>
      </c>
      <c r="D1284" t="n">
        <v>4</v>
      </c>
      <c r="E1284" t="inlineStr">
        <is>
          <t>Input</t>
        </is>
      </c>
      <c r="F1284" t="n">
        <v/>
      </c>
      <c r="G1284" t="n">
        <v>40752.36</v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11</v>
      </c>
      <c r="M1284" t="inlineStr">
        <is>
          <t>Values must be of type &lt;class 'str'&gt;</t>
        </is>
      </c>
      <c r="N1284" t="inlineStr">
        <is>
          <t>00000000</t>
        </is>
      </c>
      <c r="O1284" t="n">
        <v/>
      </c>
      <c r="P1284" t="n">
        <v/>
      </c>
      <c r="R1284" t="b">
        <v>1</v>
      </c>
      <c r="S1284" t="n">
        <v/>
      </c>
      <c r="T1284" t="n">
        <v/>
      </c>
      <c r="U1284" t="n">
        <v/>
      </c>
      <c r="V1284" t="b">
        <v>0</v>
      </c>
      <c r="W1284" t="inlineStr"/>
      <c r="X1284" t="n">
        <v/>
      </c>
    </row>
    <row r="1285">
      <c r="A1285" t="inlineStr">
        <is>
          <t>ATF fuel</t>
        </is>
      </c>
      <c r="B1285" t="inlineStr">
        <is>
          <t>E127</t>
        </is>
      </c>
      <c r="C1285" t="n">
        <v>127</v>
      </c>
      <c r="D1285" t="n">
        <v>5</v>
      </c>
      <c r="E1285" t="inlineStr">
        <is>
          <t>Input</t>
        </is>
      </c>
      <c r="F1285" t="n">
        <v/>
      </c>
      <c r="G1285" t="n">
        <v>43705.5</v>
      </c>
      <c r="H1285" t="inlineStr"/>
      <c r="I1285" t="inlineStr">
        <is>
          <t>General</t>
        </is>
      </c>
      <c r="J1285" t="b">
        <v>0</v>
      </c>
      <c r="K1285" t="b">
        <v>0</v>
      </c>
      <c r="L1285" t="n">
        <v>11</v>
      </c>
      <c r="M1285" t="inlineStr">
        <is>
          <t>Values must be of type &lt;class 'str'&gt;</t>
        </is>
      </c>
      <c r="N1285" t="inlineStr">
        <is>
          <t>00000000</t>
        </is>
      </c>
      <c r="O1285" t="n">
        <v/>
      </c>
      <c r="P1285" t="n">
        <v/>
      </c>
      <c r="R1285" t="b">
        <v>1</v>
      </c>
      <c r="S1285" t="n">
        <v/>
      </c>
      <c r="T1285" t="n">
        <v/>
      </c>
      <c r="U1285" t="n">
        <v/>
      </c>
      <c r="V1285" t="b">
        <v>0</v>
      </c>
      <c r="W1285" t="inlineStr"/>
      <c r="X1285" t="n">
        <v/>
      </c>
    </row>
    <row r="1286">
      <c r="A1286" t="inlineStr">
        <is>
          <t>ATF fuel</t>
        </is>
      </c>
      <c r="B1286" t="inlineStr">
        <is>
          <t>F127</t>
        </is>
      </c>
      <c r="C1286" t="n">
        <v>127</v>
      </c>
      <c r="D1286" t="n">
        <v>6</v>
      </c>
      <c r="E1286" t="inlineStr">
        <is>
          <t>Output</t>
        </is>
      </c>
      <c r="F1286" t="inlineStr">
        <is>
          <t>'=AVERAGE(B127:E127)</t>
        </is>
      </c>
      <c r="G1286" t="n">
        <v>42951.23</v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11</v>
      </c>
      <c r="M1286" t="inlineStr">
        <is>
          <t>Values must be of type &lt;class 'str'&gt;</t>
        </is>
      </c>
      <c r="N1286" t="inlineStr">
        <is>
          <t>00000000</t>
        </is>
      </c>
      <c r="O1286" t="n">
        <v/>
      </c>
      <c r="P1286" t="n">
        <v/>
      </c>
      <c r="R1286" t="b">
        <v>1</v>
      </c>
      <c r="S1286" t="inlineStr">
        <is>
          <t>G000284</t>
        </is>
      </c>
      <c r="T1286" t="inlineStr">
        <is>
          <t>Vertical</t>
        </is>
      </c>
      <c r="U1286" t="n">
        <v>130</v>
      </c>
      <c r="V1286" t="b">
        <v>1</v>
      </c>
      <c r="W1286" t="inlineStr">
        <is>
          <t>ATF fuel!F2:F131</t>
        </is>
      </c>
      <c r="X1286">
        <f>AVERAGE(R[0]C[-4]:R[0]C[-1])</f>
        <v/>
      </c>
    </row>
    <row r="1287">
      <c r="A1287" t="inlineStr">
        <is>
          <t>ATF fuel</t>
        </is>
      </c>
      <c r="B1287" t="inlineStr">
        <is>
          <t>G127</t>
        </is>
      </c>
      <c r="C1287" t="n">
        <v>127</v>
      </c>
      <c r="D1287" t="n">
        <v>7</v>
      </c>
      <c r="E1287" t="inlineStr">
        <is>
          <t>Calculation</t>
        </is>
      </c>
      <c r="F1287" t="inlineStr">
        <is>
          <t>'=G126-1</t>
        </is>
      </c>
      <c r="G1287" t="n">
        <v>6</v>
      </c>
      <c r="H1287" t="inlineStr"/>
      <c r="I1287" t="inlineStr">
        <is>
          <t>#,##0</t>
        </is>
      </c>
      <c r="J1287" t="b">
        <v>0</v>
      </c>
      <c r="K1287" t="b">
        <v>0</v>
      </c>
      <c r="L1287" t="n">
        <v>11</v>
      </c>
      <c r="M1287" t="inlineStr">
        <is>
          <t>Values must be of type &lt;class 'str'&gt;</t>
        </is>
      </c>
      <c r="N1287" t="inlineStr">
        <is>
          <t>00000000</t>
        </is>
      </c>
      <c r="O1287" t="n">
        <v/>
      </c>
      <c r="P1287" t="n">
        <v/>
      </c>
      <c r="R1287" t="b">
        <v>1</v>
      </c>
      <c r="S1287" t="inlineStr">
        <is>
          <t>G000286</t>
        </is>
      </c>
      <c r="T1287" t="inlineStr">
        <is>
          <t>Vertical</t>
        </is>
      </c>
      <c r="U1287" t="n">
        <v>129</v>
      </c>
      <c r="V1287" t="b">
        <v>1</v>
      </c>
      <c r="W1287" t="inlineStr">
        <is>
          <t>ATF fuel!G3:G131</t>
        </is>
      </c>
      <c r="X1287">
        <f>R[-1]C[0]-1</f>
        <v/>
      </c>
    </row>
    <row r="1288">
      <c r="A1288" t="inlineStr">
        <is>
          <t>ATF fuel</t>
        </is>
      </c>
      <c r="B1288" t="inlineStr">
        <is>
          <t>A128</t>
        </is>
      </c>
      <c r="C1288" t="n">
        <v>128</v>
      </c>
      <c r="D1288" t="n">
        <v>1</v>
      </c>
      <c r="E1288" t="inlineStr">
        <is>
          <t>Input</t>
        </is>
      </c>
      <c r="F1288" t="n">
        <v/>
      </c>
      <c r="G1288" t="inlineStr">
        <is>
          <t>May 16, 2010</t>
        </is>
      </c>
      <c r="H1288" t="inlineStr"/>
      <c r="I1288" t="inlineStr">
        <is>
          <t>General</t>
        </is>
      </c>
      <c r="J1288" t="b">
        <v>0</v>
      </c>
      <c r="K1288" t="b">
        <v>0</v>
      </c>
      <c r="L1288" t="n">
        <v>11</v>
      </c>
      <c r="M1288" t="inlineStr">
        <is>
          <t>Values must be of type &lt;class 'str'&gt;</t>
        </is>
      </c>
      <c r="N1288" t="inlineStr">
        <is>
          <t>00000000</t>
        </is>
      </c>
      <c r="O1288" t="n">
        <v/>
      </c>
      <c r="P1288" t="n">
        <v/>
      </c>
      <c r="R1288" t="b">
        <v>1</v>
      </c>
      <c r="S1288" t="n">
        <v/>
      </c>
      <c r="T1288" t="n">
        <v/>
      </c>
      <c r="U1288" t="n">
        <v/>
      </c>
      <c r="V1288" t="b">
        <v>0</v>
      </c>
      <c r="W1288" t="inlineStr"/>
      <c r="X1288" t="n">
        <v/>
      </c>
    </row>
    <row r="1289">
      <c r="A1289" t="inlineStr">
        <is>
          <t>ATF fuel</t>
        </is>
      </c>
      <c r="B1289" t="inlineStr">
        <is>
          <t>B128</t>
        </is>
      </c>
      <c r="C1289" t="n">
        <v>128</v>
      </c>
      <c r="D1289" t="n">
        <v>2</v>
      </c>
      <c r="E1289" t="inlineStr">
        <is>
          <t>Input</t>
        </is>
      </c>
      <c r="F1289" t="n">
        <v/>
      </c>
      <c r="G1289" t="n">
        <v>42556</v>
      </c>
      <c r="H1289" t="inlineStr"/>
      <c r="I1289" t="inlineStr">
        <is>
          <t>General</t>
        </is>
      </c>
      <c r="J1289" t="b">
        <v>0</v>
      </c>
      <c r="K1289" t="b">
        <v>0</v>
      </c>
      <c r="L1289" t="n">
        <v>11</v>
      </c>
      <c r="M1289" t="inlineStr">
        <is>
          <t>Values must be of type &lt;class 'str'&gt;</t>
        </is>
      </c>
      <c r="N1289" t="inlineStr">
        <is>
          <t>00000000</t>
        </is>
      </c>
      <c r="O1289" t="n">
        <v/>
      </c>
      <c r="P1289" t="n">
        <v/>
      </c>
      <c r="R1289" t="b">
        <v>1</v>
      </c>
      <c r="S1289" t="n">
        <v/>
      </c>
      <c r="T1289" t="n">
        <v/>
      </c>
      <c r="U1289" t="n">
        <v/>
      </c>
      <c r="V1289" t="b">
        <v>0</v>
      </c>
      <c r="W1289" t="inlineStr"/>
      <c r="X1289" t="n">
        <v/>
      </c>
    </row>
    <row r="1290">
      <c r="A1290" t="inlineStr">
        <is>
          <t>ATF fuel</t>
        </is>
      </c>
      <c r="B1290" t="inlineStr">
        <is>
          <t>C128</t>
        </is>
      </c>
      <c r="C1290" t="n">
        <v>128</v>
      </c>
      <c r="D1290" t="n">
        <v>3</v>
      </c>
      <c r="E1290" t="inlineStr">
        <is>
          <t>Input</t>
        </is>
      </c>
      <c r="F1290" t="n">
        <v/>
      </c>
      <c r="G1290" t="n">
        <v>51010</v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11</v>
      </c>
      <c r="M1290" t="inlineStr">
        <is>
          <t>Values must be of type &lt;class 'str'&gt;</t>
        </is>
      </c>
      <c r="N1290" t="inlineStr">
        <is>
          <t>00000000</t>
        </is>
      </c>
      <c r="O1290" t="n">
        <v/>
      </c>
      <c r="P1290" t="n">
        <v/>
      </c>
      <c r="R1290" t="b">
        <v>1</v>
      </c>
      <c r="S1290" t="n">
        <v/>
      </c>
      <c r="T1290" t="n">
        <v/>
      </c>
      <c r="U1290" t="n">
        <v/>
      </c>
      <c r="V1290" t="b">
        <v>0</v>
      </c>
      <c r="W1290" t="inlineStr"/>
      <c r="X1290" t="n">
        <v/>
      </c>
    </row>
    <row r="1291">
      <c r="A1291" t="inlineStr">
        <is>
          <t>ATF fuel</t>
        </is>
      </c>
      <c r="B1291" t="inlineStr">
        <is>
          <t>D128</t>
        </is>
      </c>
      <c r="C1291" t="n">
        <v>128</v>
      </c>
      <c r="D1291" t="n">
        <v>4</v>
      </c>
      <c r="E1291" t="inlineStr">
        <is>
          <t>Input</t>
        </is>
      </c>
      <c r="F1291" t="n">
        <v/>
      </c>
      <c r="G1291" t="n">
        <v>43932</v>
      </c>
      <c r="H1291" t="inlineStr"/>
      <c r="I1291" t="inlineStr">
        <is>
          <t>General</t>
        </is>
      </c>
      <c r="J1291" t="b">
        <v>0</v>
      </c>
      <c r="K1291" t="b">
        <v>0</v>
      </c>
      <c r="L1291" t="n">
        <v>11</v>
      </c>
      <c r="M1291" t="inlineStr">
        <is>
          <t>Values must be of type &lt;class 'str'&gt;</t>
        </is>
      </c>
      <c r="N1291" t="inlineStr">
        <is>
          <t>00000000</t>
        </is>
      </c>
      <c r="O1291" t="n">
        <v/>
      </c>
      <c r="P1291" t="n">
        <v/>
      </c>
      <c r="R1291" t="b">
        <v>1</v>
      </c>
      <c r="S1291" t="n">
        <v/>
      </c>
      <c r="T1291" t="n">
        <v/>
      </c>
      <c r="U1291" t="n">
        <v/>
      </c>
      <c r="V1291" t="b">
        <v>0</v>
      </c>
      <c r="W1291" t="inlineStr"/>
      <c r="X1291" t="n">
        <v/>
      </c>
    </row>
    <row r="1292">
      <c r="A1292" t="inlineStr">
        <is>
          <t>ATF fuel</t>
        </is>
      </c>
      <c r="B1292" t="inlineStr">
        <is>
          <t>E128</t>
        </is>
      </c>
      <c r="C1292" t="n">
        <v>128</v>
      </c>
      <c r="D1292" t="n">
        <v>5</v>
      </c>
      <c r="E1292" t="inlineStr">
        <is>
          <t>Input</t>
        </is>
      </c>
      <c r="F1292" t="n">
        <v/>
      </c>
      <c r="G1292" t="n">
        <v>46973</v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11</v>
      </c>
      <c r="M1292" t="inlineStr">
        <is>
          <t>Values must be of type &lt;class 'str'&gt;</t>
        </is>
      </c>
      <c r="N1292" t="inlineStr">
        <is>
          <t>00000000</t>
        </is>
      </c>
      <c r="O1292" t="n">
        <v/>
      </c>
      <c r="P1292" t="n">
        <v/>
      </c>
      <c r="R1292" t="b">
        <v>1</v>
      </c>
      <c r="S1292" t="n">
        <v/>
      </c>
      <c r="T1292" t="n">
        <v/>
      </c>
      <c r="U1292" t="n">
        <v/>
      </c>
      <c r="V1292" t="b">
        <v>0</v>
      </c>
      <c r="W1292" t="inlineStr"/>
      <c r="X1292" t="n">
        <v/>
      </c>
    </row>
    <row r="1293">
      <c r="A1293" t="inlineStr">
        <is>
          <t>ATF fuel</t>
        </is>
      </c>
      <c r="B1293" t="inlineStr">
        <is>
          <t>F128</t>
        </is>
      </c>
      <c r="C1293" t="n">
        <v>128</v>
      </c>
      <c r="D1293" t="n">
        <v>6</v>
      </c>
      <c r="E1293" t="inlineStr">
        <is>
          <t>Output</t>
        </is>
      </c>
      <c r="F1293" t="inlineStr">
        <is>
          <t>'=AVERAGE(B128:E128)</t>
        </is>
      </c>
      <c r="G1293" t="n">
        <v>46117.75</v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11</v>
      </c>
      <c r="M1293" t="inlineStr">
        <is>
          <t>Values must be of type &lt;class 'str'&gt;</t>
        </is>
      </c>
      <c r="N1293" t="inlineStr">
        <is>
          <t>00000000</t>
        </is>
      </c>
      <c r="O1293" t="n">
        <v/>
      </c>
      <c r="P1293" t="n">
        <v/>
      </c>
      <c r="R1293" t="b">
        <v>1</v>
      </c>
      <c r="S1293" t="inlineStr">
        <is>
          <t>G000284</t>
        </is>
      </c>
      <c r="T1293" t="inlineStr">
        <is>
          <t>Vertical</t>
        </is>
      </c>
      <c r="U1293" t="n">
        <v>130</v>
      </c>
      <c r="V1293" t="b">
        <v>1</v>
      </c>
      <c r="W1293" t="inlineStr">
        <is>
          <t>ATF fuel!F2:F131</t>
        </is>
      </c>
      <c r="X1293">
        <f>AVERAGE(R[0]C[-4]:R[0]C[-1])</f>
        <v/>
      </c>
    </row>
    <row r="1294">
      <c r="A1294" t="inlineStr">
        <is>
          <t>ATF fuel</t>
        </is>
      </c>
      <c r="B1294" t="inlineStr">
        <is>
          <t>G128</t>
        </is>
      </c>
      <c r="C1294" t="n">
        <v>128</v>
      </c>
      <c r="D1294" t="n">
        <v>7</v>
      </c>
      <c r="E1294" t="inlineStr">
        <is>
          <t>Calculation</t>
        </is>
      </c>
      <c r="F1294" t="inlineStr">
        <is>
          <t>'=G127-1</t>
        </is>
      </c>
      <c r="G1294" t="n">
        <v>5</v>
      </c>
      <c r="H1294" t="inlineStr"/>
      <c r="I1294" t="inlineStr">
        <is>
          <t>#,##0</t>
        </is>
      </c>
      <c r="J1294" t="b">
        <v>0</v>
      </c>
      <c r="K1294" t="b">
        <v>0</v>
      </c>
      <c r="L1294" t="n">
        <v>11</v>
      </c>
      <c r="M1294" t="inlineStr">
        <is>
          <t>Values must be of type &lt;class 'str'&gt;</t>
        </is>
      </c>
      <c r="N1294" t="inlineStr">
        <is>
          <t>00000000</t>
        </is>
      </c>
      <c r="O1294" t="n">
        <v/>
      </c>
      <c r="P1294" t="n">
        <v/>
      </c>
      <c r="R1294" t="b">
        <v>1</v>
      </c>
      <c r="S1294" t="inlineStr">
        <is>
          <t>G000286</t>
        </is>
      </c>
      <c r="T1294" t="inlineStr">
        <is>
          <t>Vertical</t>
        </is>
      </c>
      <c r="U1294" t="n">
        <v>129</v>
      </c>
      <c r="V1294" t="b">
        <v>1</v>
      </c>
      <c r="W1294" t="inlineStr">
        <is>
          <t>ATF fuel!G3:G131</t>
        </is>
      </c>
      <c r="X1294">
        <f>R[-1]C[0]-1</f>
        <v/>
      </c>
    </row>
    <row r="1295">
      <c r="A1295" t="inlineStr">
        <is>
          <t>ATF fuel</t>
        </is>
      </c>
      <c r="B1295" t="inlineStr">
        <is>
          <t>A129</t>
        </is>
      </c>
      <c r="C1295" t="n">
        <v>129</v>
      </c>
      <c r="D1295" t="n">
        <v>1</v>
      </c>
      <c r="E1295" t="inlineStr">
        <is>
          <t>Input</t>
        </is>
      </c>
      <c r="F1295" t="n">
        <v/>
      </c>
      <c r="G1295" t="inlineStr">
        <is>
          <t>May 01, 2010</t>
        </is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11</v>
      </c>
      <c r="M1295" t="inlineStr">
        <is>
          <t>Values must be of type &lt;class 'str'&gt;</t>
        </is>
      </c>
      <c r="N1295" t="inlineStr">
        <is>
          <t>00000000</t>
        </is>
      </c>
      <c r="O1295" t="n">
        <v/>
      </c>
      <c r="P1295" t="n">
        <v/>
      </c>
      <c r="R1295" t="b">
        <v>1</v>
      </c>
      <c r="S1295" t="n">
        <v/>
      </c>
      <c r="T1295" t="n">
        <v/>
      </c>
      <c r="U1295" t="n">
        <v/>
      </c>
      <c r="V1295" t="b">
        <v>0</v>
      </c>
      <c r="W1295" t="inlineStr"/>
      <c r="X1295" t="n">
        <v/>
      </c>
    </row>
    <row r="1296">
      <c r="A1296" t="inlineStr">
        <is>
          <t>ATF fuel</t>
        </is>
      </c>
      <c r="B1296" t="inlineStr">
        <is>
          <t>B129</t>
        </is>
      </c>
      <c r="C1296" t="n">
        <v>129</v>
      </c>
      <c r="D1296" t="n">
        <v>2</v>
      </c>
      <c r="E1296" t="inlineStr">
        <is>
          <t>Input</t>
        </is>
      </c>
      <c r="F1296" t="n">
        <v/>
      </c>
      <c r="G1296" t="n">
        <v>42452.01</v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11</v>
      </c>
      <c r="M1296" t="inlineStr">
        <is>
          <t>Values must be of type &lt;class 'str'&gt;</t>
        </is>
      </c>
      <c r="N1296" t="inlineStr">
        <is>
          <t>00000000</t>
        </is>
      </c>
      <c r="O1296" t="n">
        <v/>
      </c>
      <c r="P1296" t="n">
        <v/>
      </c>
      <c r="R1296" t="b">
        <v>1</v>
      </c>
      <c r="S1296" t="n">
        <v/>
      </c>
      <c r="T1296" t="n">
        <v/>
      </c>
      <c r="U1296" t="n">
        <v/>
      </c>
      <c r="V1296" t="b">
        <v>0</v>
      </c>
      <c r="W1296" t="inlineStr"/>
      <c r="X1296" t="n">
        <v/>
      </c>
    </row>
    <row r="1297">
      <c r="A1297" t="inlineStr">
        <is>
          <t>ATF fuel</t>
        </is>
      </c>
      <c r="B1297" t="inlineStr">
        <is>
          <t>C129</t>
        </is>
      </c>
      <c r="C1297" t="n">
        <v>129</v>
      </c>
      <c r="D1297" t="n">
        <v>3</v>
      </c>
      <c r="E1297" t="inlineStr">
        <is>
          <t>Input</t>
        </is>
      </c>
      <c r="F1297" t="n">
        <v/>
      </c>
      <c r="G1297" t="n">
        <v>50914.81</v>
      </c>
      <c r="H1297" t="inlineStr"/>
      <c r="I1297" t="inlineStr">
        <is>
          <t>General</t>
        </is>
      </c>
      <c r="J1297" t="b">
        <v>0</v>
      </c>
      <c r="K1297" t="b">
        <v>0</v>
      </c>
      <c r="L1297" t="n">
        <v>11</v>
      </c>
      <c r="M1297" t="inlineStr">
        <is>
          <t>Values must be of type &lt;class 'str'&gt;</t>
        </is>
      </c>
      <c r="N1297" t="inlineStr">
        <is>
          <t>00000000</t>
        </is>
      </c>
      <c r="O1297" t="n">
        <v/>
      </c>
      <c r="P1297" t="n">
        <v/>
      </c>
      <c r="R1297" t="b">
        <v>1</v>
      </c>
      <c r="S1297" t="n">
        <v/>
      </c>
      <c r="T1297" t="n">
        <v/>
      </c>
      <c r="U1297" t="n">
        <v/>
      </c>
      <c r="V1297" t="b">
        <v>0</v>
      </c>
      <c r="W1297" t="inlineStr"/>
      <c r="X1297" t="n">
        <v/>
      </c>
    </row>
    <row r="1298">
      <c r="A1298" t="inlineStr">
        <is>
          <t>ATF fuel</t>
        </is>
      </c>
      <c r="B1298" t="inlineStr">
        <is>
          <t>D129</t>
        </is>
      </c>
      <c r="C1298" t="n">
        <v>129</v>
      </c>
      <c r="D1298" t="n">
        <v>4</v>
      </c>
      <c r="E1298" t="inlineStr">
        <is>
          <t>Input</t>
        </is>
      </c>
      <c r="F1298" t="n">
        <v/>
      </c>
      <c r="G1298" t="n">
        <v>43823.67</v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11</v>
      </c>
      <c r="M1298" t="inlineStr">
        <is>
          <t>Values must be of type &lt;class 'str'&gt;</t>
        </is>
      </c>
      <c r="N1298" t="inlineStr">
        <is>
          <t>00000000</t>
        </is>
      </c>
      <c r="O1298" t="n">
        <v/>
      </c>
      <c r="P1298" t="n">
        <v/>
      </c>
      <c r="R1298" t="b">
        <v>1</v>
      </c>
      <c r="S1298" t="n">
        <v/>
      </c>
      <c r="T1298" t="n">
        <v/>
      </c>
      <c r="U1298" t="n">
        <v/>
      </c>
      <c r="V1298" t="b">
        <v>0</v>
      </c>
      <c r="W1298" t="inlineStr"/>
      <c r="X1298" t="n">
        <v/>
      </c>
    </row>
    <row r="1299">
      <c r="A1299" t="inlineStr">
        <is>
          <t>ATF fuel</t>
        </is>
      </c>
      <c r="B1299" t="inlineStr">
        <is>
          <t>E129</t>
        </is>
      </c>
      <c r="C1299" t="n">
        <v>129</v>
      </c>
      <c r="D1299" t="n">
        <v>5</v>
      </c>
      <c r="E1299" t="inlineStr">
        <is>
          <t>Input</t>
        </is>
      </c>
      <c r="F1299" t="n">
        <v/>
      </c>
      <c r="G1299" t="n">
        <v>46875.09</v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11</v>
      </c>
      <c r="M1299" t="inlineStr">
        <is>
          <t>Values must be of type &lt;class 'str'&gt;</t>
        </is>
      </c>
      <c r="N1299" t="inlineStr">
        <is>
          <t>00000000</t>
        </is>
      </c>
      <c r="O1299" t="n">
        <v/>
      </c>
      <c r="P1299" t="n">
        <v/>
      </c>
      <c r="R1299" t="b">
        <v>1</v>
      </c>
      <c r="S1299" t="n">
        <v/>
      </c>
      <c r="T1299" t="n">
        <v/>
      </c>
      <c r="U1299" t="n">
        <v/>
      </c>
      <c r="V1299" t="b">
        <v>0</v>
      </c>
      <c r="W1299" t="inlineStr"/>
      <c r="X1299" t="n">
        <v/>
      </c>
    </row>
    <row r="1300">
      <c r="A1300" t="inlineStr">
        <is>
          <t>ATF fuel</t>
        </is>
      </c>
      <c r="B1300" t="inlineStr">
        <is>
          <t>F129</t>
        </is>
      </c>
      <c r="C1300" t="n">
        <v>129</v>
      </c>
      <c r="D1300" t="n">
        <v>6</v>
      </c>
      <c r="E1300" t="inlineStr">
        <is>
          <t>Output</t>
        </is>
      </c>
      <c r="F1300" t="inlineStr">
        <is>
          <t>'=AVERAGE(B129:E129)</t>
        </is>
      </c>
      <c r="G1300" t="n">
        <v>46016.395</v>
      </c>
      <c r="H1300" t="inlineStr"/>
      <c r="I1300" t="inlineStr">
        <is>
          <t>General</t>
        </is>
      </c>
      <c r="J1300" t="b">
        <v>0</v>
      </c>
      <c r="K1300" t="b">
        <v>0</v>
      </c>
      <c r="L1300" t="n">
        <v>11</v>
      </c>
      <c r="M1300" t="inlineStr">
        <is>
          <t>Values must be of type &lt;class 'str'&gt;</t>
        </is>
      </c>
      <c r="N1300" t="inlineStr">
        <is>
          <t>00000000</t>
        </is>
      </c>
      <c r="O1300" t="n">
        <v/>
      </c>
      <c r="P1300" t="n">
        <v/>
      </c>
      <c r="R1300" t="b">
        <v>1</v>
      </c>
      <c r="S1300" t="inlineStr">
        <is>
          <t>G000284</t>
        </is>
      </c>
      <c r="T1300" t="inlineStr">
        <is>
          <t>Vertical</t>
        </is>
      </c>
      <c r="U1300" t="n">
        <v>130</v>
      </c>
      <c r="V1300" t="b">
        <v>1</v>
      </c>
      <c r="W1300" t="inlineStr">
        <is>
          <t>ATF fuel!F2:F131</t>
        </is>
      </c>
      <c r="X1300">
        <f>AVERAGE(R[0]C[-4]:R[0]C[-1])</f>
        <v/>
      </c>
    </row>
    <row r="1301">
      <c r="A1301" t="inlineStr">
        <is>
          <t>ATF fuel</t>
        </is>
      </c>
      <c r="B1301" t="inlineStr">
        <is>
          <t>G129</t>
        </is>
      </c>
      <c r="C1301" t="n">
        <v>129</v>
      </c>
      <c r="D1301" t="n">
        <v>7</v>
      </c>
      <c r="E1301" t="inlineStr">
        <is>
          <t>Calculation</t>
        </is>
      </c>
      <c r="F1301" t="inlineStr">
        <is>
          <t>'=G128-1</t>
        </is>
      </c>
      <c r="G1301" t="n">
        <v>4</v>
      </c>
      <c r="H1301" t="inlineStr"/>
      <c r="I1301" t="inlineStr">
        <is>
          <t>#,##0</t>
        </is>
      </c>
      <c r="J1301" t="b">
        <v>0</v>
      </c>
      <c r="K1301" t="b">
        <v>0</v>
      </c>
      <c r="L1301" t="n">
        <v>11</v>
      </c>
      <c r="M1301" t="inlineStr">
        <is>
          <t>Values must be of type &lt;class 'str'&gt;</t>
        </is>
      </c>
      <c r="N1301" t="inlineStr">
        <is>
          <t>00000000</t>
        </is>
      </c>
      <c r="O1301" t="n">
        <v/>
      </c>
      <c r="P1301" t="n">
        <v/>
      </c>
      <c r="R1301" t="b">
        <v>1</v>
      </c>
      <c r="S1301" t="inlineStr">
        <is>
          <t>G000286</t>
        </is>
      </c>
      <c r="T1301" t="inlineStr">
        <is>
          <t>Vertical</t>
        </is>
      </c>
      <c r="U1301" t="n">
        <v>129</v>
      </c>
      <c r="V1301" t="b">
        <v>1</v>
      </c>
      <c r="W1301" t="inlineStr">
        <is>
          <t>ATF fuel!G3:G131</t>
        </is>
      </c>
      <c r="X1301">
        <f>R[-1]C[0]-1</f>
        <v/>
      </c>
    </row>
    <row r="1302">
      <c r="A1302" t="inlineStr">
        <is>
          <t>ATF fuel</t>
        </is>
      </c>
      <c r="B1302" t="inlineStr">
        <is>
          <t>A130</t>
        </is>
      </c>
      <c r="C1302" t="n">
        <v>130</v>
      </c>
      <c r="D1302" t="n">
        <v>1</v>
      </c>
      <c r="E1302" t="inlineStr">
        <is>
          <t>Input</t>
        </is>
      </c>
      <c r="F1302" t="n">
        <v/>
      </c>
      <c r="G1302" t="inlineStr">
        <is>
          <t>April 16, 2010</t>
        </is>
      </c>
      <c r="H1302" t="inlineStr"/>
      <c r="I1302" t="inlineStr">
        <is>
          <t>General</t>
        </is>
      </c>
      <c r="J1302" t="b">
        <v>0</v>
      </c>
      <c r="K1302" t="b">
        <v>0</v>
      </c>
      <c r="L1302" t="n">
        <v>11</v>
      </c>
      <c r="M1302" t="inlineStr">
        <is>
          <t>Values must be of type &lt;class 'str'&gt;</t>
        </is>
      </c>
      <c r="N1302" t="inlineStr">
        <is>
          <t>00000000</t>
        </is>
      </c>
      <c r="O1302" t="n">
        <v/>
      </c>
      <c r="P1302" t="n">
        <v/>
      </c>
      <c r="R1302" t="b">
        <v>1</v>
      </c>
      <c r="S1302" t="n">
        <v/>
      </c>
      <c r="T1302" t="n">
        <v/>
      </c>
      <c r="U1302" t="n">
        <v/>
      </c>
      <c r="V1302" t="b">
        <v>0</v>
      </c>
      <c r="W1302" t="inlineStr"/>
      <c r="X1302" t="n">
        <v/>
      </c>
    </row>
    <row r="1303">
      <c r="A1303" t="inlineStr">
        <is>
          <t>ATF fuel</t>
        </is>
      </c>
      <c r="B1303" t="inlineStr">
        <is>
          <t>B130</t>
        </is>
      </c>
      <c r="C1303" t="n">
        <v>130</v>
      </c>
      <c r="D1303" t="n">
        <v>2</v>
      </c>
      <c r="E1303" t="inlineStr">
        <is>
          <t>Input</t>
        </is>
      </c>
      <c r="F1303" t="n">
        <v/>
      </c>
      <c r="G1303" t="n">
        <v>42179</v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11</v>
      </c>
      <c r="M1303" t="inlineStr">
        <is>
          <t>Values must be of type &lt;class 'str'&gt;</t>
        </is>
      </c>
      <c r="N1303" t="inlineStr">
        <is>
          <t>00000000</t>
        </is>
      </c>
      <c r="O1303" t="n">
        <v/>
      </c>
      <c r="P1303" t="n">
        <v/>
      </c>
      <c r="R1303" t="b">
        <v>1</v>
      </c>
      <c r="S1303" t="n">
        <v/>
      </c>
      <c r="T1303" t="n">
        <v/>
      </c>
      <c r="U1303" t="n">
        <v/>
      </c>
      <c r="V1303" t="b">
        <v>0</v>
      </c>
      <c r="W1303" t="inlineStr"/>
      <c r="X1303" t="n">
        <v/>
      </c>
    </row>
    <row r="1304">
      <c r="A1304" t="inlineStr">
        <is>
          <t>ATF fuel</t>
        </is>
      </c>
      <c r="B1304" t="inlineStr">
        <is>
          <t>C130</t>
        </is>
      </c>
      <c r="C1304" t="n">
        <v>130</v>
      </c>
      <c r="D1304" t="n">
        <v>3</v>
      </c>
      <c r="E1304" t="inlineStr">
        <is>
          <t>Input</t>
        </is>
      </c>
      <c r="F1304" t="n">
        <v/>
      </c>
      <c r="G1304" t="n">
        <v>50634</v>
      </c>
      <c r="H1304" t="inlineStr"/>
      <c r="I1304" t="inlineStr">
        <is>
          <t>General</t>
        </is>
      </c>
      <c r="J1304" t="b">
        <v>0</v>
      </c>
      <c r="K1304" t="b">
        <v>0</v>
      </c>
      <c r="L1304" t="n">
        <v>11</v>
      </c>
      <c r="M1304" t="inlineStr">
        <is>
          <t>Values must be of type &lt;class 'str'&gt;</t>
        </is>
      </c>
      <c r="N1304" t="inlineStr">
        <is>
          <t>00000000</t>
        </is>
      </c>
      <c r="O1304" t="n">
        <v/>
      </c>
      <c r="P1304" t="n">
        <v/>
      </c>
      <c r="R1304" t="b">
        <v>1</v>
      </c>
      <c r="S1304" t="n">
        <v/>
      </c>
      <c r="T1304" t="n">
        <v/>
      </c>
      <c r="U1304" t="n">
        <v/>
      </c>
      <c r="V1304" t="b">
        <v>0</v>
      </c>
      <c r="W1304" t="inlineStr"/>
      <c r="X1304" t="n">
        <v/>
      </c>
    </row>
    <row r="1305">
      <c r="A1305" t="inlineStr">
        <is>
          <t>ATF fuel</t>
        </is>
      </c>
      <c r="B1305" t="inlineStr">
        <is>
          <t>D130</t>
        </is>
      </c>
      <c r="C1305" t="n">
        <v>130</v>
      </c>
      <c r="D1305" t="n">
        <v>4</v>
      </c>
      <c r="E1305" t="inlineStr">
        <is>
          <t>Input</t>
        </is>
      </c>
      <c r="F1305" t="n">
        <v/>
      </c>
      <c r="G1305" t="n">
        <v>43540</v>
      </c>
      <c r="H1305" t="inlineStr"/>
      <c r="I1305" t="inlineStr">
        <is>
          <t>General</t>
        </is>
      </c>
      <c r="J1305" t="b">
        <v>0</v>
      </c>
      <c r="K1305" t="b">
        <v>0</v>
      </c>
      <c r="L1305" t="n">
        <v>11</v>
      </c>
      <c r="M1305" t="inlineStr">
        <is>
          <t>Values must be of type &lt;class 'str'&gt;</t>
        </is>
      </c>
      <c r="N1305" t="inlineStr">
        <is>
          <t>00000000</t>
        </is>
      </c>
      <c r="O1305" t="n">
        <v/>
      </c>
      <c r="P1305" t="n">
        <v/>
      </c>
      <c r="R1305" t="b">
        <v>1</v>
      </c>
      <c r="S1305" t="n">
        <v/>
      </c>
      <c r="T1305" t="n">
        <v/>
      </c>
      <c r="U1305" t="n">
        <v/>
      </c>
      <c r="V1305" t="b">
        <v>0</v>
      </c>
      <c r="W1305" t="inlineStr"/>
      <c r="X1305" t="n">
        <v/>
      </c>
    </row>
    <row r="1306">
      <c r="A1306" t="inlineStr">
        <is>
          <t>ATF fuel</t>
        </is>
      </c>
      <c r="B1306" t="inlineStr">
        <is>
          <t>E130</t>
        </is>
      </c>
      <c r="C1306" t="n">
        <v>130</v>
      </c>
      <c r="D1306" t="n">
        <v>5</v>
      </c>
      <c r="E1306" t="inlineStr">
        <is>
          <t>Input</t>
        </is>
      </c>
      <c r="F1306" t="n">
        <v/>
      </c>
      <c r="G1306" t="n">
        <v>46548</v>
      </c>
      <c r="H1306" t="inlineStr"/>
      <c r="I1306" t="inlineStr">
        <is>
          <t>General</t>
        </is>
      </c>
      <c r="J1306" t="b">
        <v>0</v>
      </c>
      <c r="K1306" t="b">
        <v>0</v>
      </c>
      <c r="L1306" t="n">
        <v>11</v>
      </c>
      <c r="M1306" t="inlineStr">
        <is>
          <t>Values must be of type &lt;class 'str'&gt;</t>
        </is>
      </c>
      <c r="N1306" t="inlineStr">
        <is>
          <t>00000000</t>
        </is>
      </c>
      <c r="O1306" t="n">
        <v/>
      </c>
      <c r="P1306" t="n">
        <v/>
      </c>
      <c r="R1306" t="b">
        <v>1</v>
      </c>
      <c r="S1306" t="n">
        <v/>
      </c>
      <c r="T1306" t="n">
        <v/>
      </c>
      <c r="U1306" t="n">
        <v/>
      </c>
      <c r="V1306" t="b">
        <v>0</v>
      </c>
      <c r="W1306" t="inlineStr"/>
      <c r="X1306" t="n">
        <v/>
      </c>
    </row>
    <row r="1307">
      <c r="A1307" t="inlineStr">
        <is>
          <t>ATF fuel</t>
        </is>
      </c>
      <c r="B1307" t="inlineStr">
        <is>
          <t>F130</t>
        </is>
      </c>
      <c r="C1307" t="n">
        <v>130</v>
      </c>
      <c r="D1307" t="n">
        <v>6</v>
      </c>
      <c r="E1307" t="inlineStr">
        <is>
          <t>Output</t>
        </is>
      </c>
      <c r="F1307" t="inlineStr">
        <is>
          <t>'=AVERAGE(B130:E130)</t>
        </is>
      </c>
      <c r="G1307" t="n">
        <v>45725.25</v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11</v>
      </c>
      <c r="M1307" t="inlineStr">
        <is>
          <t>Values must be of type &lt;class 'str'&gt;</t>
        </is>
      </c>
      <c r="N1307" t="inlineStr">
        <is>
          <t>00000000</t>
        </is>
      </c>
      <c r="O1307" t="n">
        <v/>
      </c>
      <c r="P1307" t="n">
        <v/>
      </c>
      <c r="R1307" t="b">
        <v>1</v>
      </c>
      <c r="S1307" t="inlineStr">
        <is>
          <t>G000284</t>
        </is>
      </c>
      <c r="T1307" t="inlineStr">
        <is>
          <t>Vertical</t>
        </is>
      </c>
      <c r="U1307" t="n">
        <v>130</v>
      </c>
      <c r="V1307" t="b">
        <v>1</v>
      </c>
      <c r="W1307" t="inlineStr">
        <is>
          <t>ATF fuel!F2:F131</t>
        </is>
      </c>
      <c r="X1307">
        <f>AVERAGE(R[0]C[-4]:R[0]C[-1])</f>
        <v/>
      </c>
    </row>
    <row r="1308">
      <c r="A1308" t="inlineStr">
        <is>
          <t>ATF fuel</t>
        </is>
      </c>
      <c r="B1308" t="inlineStr">
        <is>
          <t>G130</t>
        </is>
      </c>
      <c r="C1308" t="n">
        <v>130</v>
      </c>
      <c r="D1308" t="n">
        <v>7</v>
      </c>
      <c r="E1308" t="inlineStr">
        <is>
          <t>Calculation</t>
        </is>
      </c>
      <c r="F1308" t="inlineStr">
        <is>
          <t>'=G129-1</t>
        </is>
      </c>
      <c r="G1308" t="n">
        <v>3</v>
      </c>
      <c r="H1308" t="inlineStr"/>
      <c r="I1308" t="inlineStr">
        <is>
          <t>#,##0</t>
        </is>
      </c>
      <c r="J1308" t="b">
        <v>0</v>
      </c>
      <c r="K1308" t="b">
        <v>0</v>
      </c>
      <c r="L1308" t="n">
        <v>11</v>
      </c>
      <c r="M1308" t="inlineStr">
        <is>
          <t>Values must be of type &lt;class 'str'&gt;</t>
        </is>
      </c>
      <c r="N1308" t="inlineStr">
        <is>
          <t>00000000</t>
        </is>
      </c>
      <c r="O1308" t="n">
        <v/>
      </c>
      <c r="P1308" t="n">
        <v/>
      </c>
      <c r="R1308" t="b">
        <v>1</v>
      </c>
      <c r="S1308" t="inlineStr">
        <is>
          <t>G000286</t>
        </is>
      </c>
      <c r="T1308" t="inlineStr">
        <is>
          <t>Vertical</t>
        </is>
      </c>
      <c r="U1308" t="n">
        <v>129</v>
      </c>
      <c r="V1308" t="b">
        <v>1</v>
      </c>
      <c r="W1308" t="inlineStr">
        <is>
          <t>ATF fuel!G3:G131</t>
        </is>
      </c>
      <c r="X1308">
        <f>R[-1]C[0]-1</f>
        <v/>
      </c>
    </row>
    <row r="1309">
      <c r="A1309" t="inlineStr">
        <is>
          <t>ATF fuel</t>
        </is>
      </c>
      <c r="B1309" t="inlineStr">
        <is>
          <t>A131</t>
        </is>
      </c>
      <c r="C1309" t="n">
        <v>131</v>
      </c>
      <c r="D1309" t="n">
        <v>1</v>
      </c>
      <c r="E1309" t="inlineStr">
        <is>
          <t>Input</t>
        </is>
      </c>
      <c r="F1309" t="n">
        <v/>
      </c>
      <c r="G1309" t="inlineStr">
        <is>
          <t>April 01, 2010</t>
        </is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11</v>
      </c>
      <c r="M1309" t="inlineStr">
        <is>
          <t>Values must be of type &lt;class 'str'&gt;</t>
        </is>
      </c>
      <c r="N1309" t="inlineStr">
        <is>
          <t>00000000</t>
        </is>
      </c>
      <c r="O1309" t="n">
        <v/>
      </c>
      <c r="P1309" t="n">
        <v/>
      </c>
      <c r="R1309" t="b">
        <v>1</v>
      </c>
      <c r="S1309" t="n">
        <v/>
      </c>
      <c r="T1309" t="n">
        <v/>
      </c>
      <c r="U1309" t="n">
        <v/>
      </c>
      <c r="V1309" t="b">
        <v>0</v>
      </c>
      <c r="W1309" t="inlineStr"/>
      <c r="X1309" t="n">
        <v/>
      </c>
    </row>
    <row r="1310">
      <c r="A1310" t="inlineStr">
        <is>
          <t>ATF fuel</t>
        </is>
      </c>
      <c r="B1310" t="inlineStr">
        <is>
          <t>B131</t>
        </is>
      </c>
      <c r="C1310" t="n">
        <v>131</v>
      </c>
      <c r="D1310" t="n">
        <v>2</v>
      </c>
      <c r="E1310" t="inlineStr">
        <is>
          <t>Input</t>
        </is>
      </c>
      <c r="F1310" t="n">
        <v/>
      </c>
      <c r="G1310" t="n">
        <v>40841.4</v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11</v>
      </c>
      <c r="M1310" t="inlineStr">
        <is>
          <t>Values must be of type &lt;class 'str'&gt;</t>
        </is>
      </c>
      <c r="N1310" t="inlineStr">
        <is>
          <t>00000000</t>
        </is>
      </c>
      <c r="O1310" t="n">
        <v/>
      </c>
      <c r="P1310" t="n">
        <v/>
      </c>
      <c r="R1310" t="b">
        <v>1</v>
      </c>
      <c r="S1310" t="n">
        <v/>
      </c>
      <c r="T1310" t="n">
        <v/>
      </c>
      <c r="U1310" t="n">
        <v/>
      </c>
      <c r="V1310" t="b">
        <v>0</v>
      </c>
      <c r="W1310" t="inlineStr"/>
      <c r="X1310" t="n">
        <v/>
      </c>
    </row>
    <row r="1311">
      <c r="A1311" t="inlineStr">
        <is>
          <t>ATF fuel</t>
        </is>
      </c>
      <c r="B1311" t="inlineStr">
        <is>
          <t>C131</t>
        </is>
      </c>
      <c r="C1311" t="n">
        <v>131</v>
      </c>
      <c r="D1311" t="n">
        <v>3</v>
      </c>
      <c r="E1311" t="inlineStr">
        <is>
          <t>Input</t>
        </is>
      </c>
      <c r="F1311" t="n">
        <v/>
      </c>
      <c r="G1311" t="n">
        <v>49294.36</v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11</v>
      </c>
      <c r="M1311" t="inlineStr">
        <is>
          <t>Values must be of type &lt;class 'str'&gt;</t>
        </is>
      </c>
      <c r="N1311" t="inlineStr">
        <is>
          <t>00000000</t>
        </is>
      </c>
      <c r="O1311" t="n">
        <v/>
      </c>
      <c r="P1311" t="n">
        <v/>
      </c>
      <c r="R1311" t="b">
        <v>1</v>
      </c>
      <c r="S1311" t="n">
        <v/>
      </c>
      <c r="T1311" t="n">
        <v/>
      </c>
      <c r="U1311" t="n">
        <v/>
      </c>
      <c r="V1311" t="b">
        <v>0</v>
      </c>
      <c r="W1311" t="inlineStr"/>
      <c r="X1311" t="n">
        <v/>
      </c>
    </row>
    <row r="1312">
      <c r="A1312" t="inlineStr">
        <is>
          <t>ATF fuel</t>
        </is>
      </c>
      <c r="B1312" t="inlineStr">
        <is>
          <t>D131</t>
        </is>
      </c>
      <c r="C1312" t="n">
        <v>131</v>
      </c>
      <c r="D1312" t="n">
        <v>4</v>
      </c>
      <c r="E1312" t="inlineStr">
        <is>
          <t>Input</t>
        </is>
      </c>
      <c r="F1312" t="n">
        <v/>
      </c>
      <c r="G1312" t="n">
        <v>42159.48</v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11</v>
      </c>
      <c r="M1312" t="inlineStr">
        <is>
          <t>Values must be of type &lt;class 'str'&gt;</t>
        </is>
      </c>
      <c r="N1312" t="inlineStr">
        <is>
          <t>00000000</t>
        </is>
      </c>
      <c r="O1312" t="n">
        <v/>
      </c>
      <c r="P1312" t="n">
        <v/>
      </c>
      <c r="R1312" t="b">
        <v>1</v>
      </c>
      <c r="S1312" t="n">
        <v/>
      </c>
      <c r="T1312" t="n">
        <v/>
      </c>
      <c r="U1312" t="n">
        <v/>
      </c>
      <c r="V1312" t="b">
        <v>0</v>
      </c>
      <c r="W1312" t="inlineStr"/>
      <c r="X1312" t="n">
        <v/>
      </c>
    </row>
    <row r="1313">
      <c r="A1313" t="inlineStr">
        <is>
          <t>ATF fuel</t>
        </is>
      </c>
      <c r="B1313" t="inlineStr">
        <is>
          <t>E131</t>
        </is>
      </c>
      <c r="C1313" t="n">
        <v>131</v>
      </c>
      <c r="D1313" t="n">
        <v>5</v>
      </c>
      <c r="E1313" t="inlineStr">
        <is>
          <t>Input</t>
        </is>
      </c>
      <c r="F1313" t="n">
        <v/>
      </c>
      <c r="G1313" t="n">
        <v>45151.97</v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11</v>
      </c>
      <c r="M1313" t="inlineStr">
        <is>
          <t>Values must be of type &lt;class 'str'&gt;</t>
        </is>
      </c>
      <c r="N1313" t="inlineStr">
        <is>
          <t>00000000</t>
        </is>
      </c>
      <c r="O1313" t="n">
        <v/>
      </c>
      <c r="P1313" t="n">
        <v/>
      </c>
      <c r="R1313" t="b">
        <v>1</v>
      </c>
      <c r="S1313" t="n">
        <v/>
      </c>
      <c r="T1313" t="n">
        <v/>
      </c>
      <c r="U1313" t="n">
        <v/>
      </c>
      <c r="V1313" t="b">
        <v>0</v>
      </c>
      <c r="W1313" t="inlineStr"/>
      <c r="X1313" t="n">
        <v/>
      </c>
    </row>
    <row r="1314">
      <c r="A1314" t="inlineStr">
        <is>
          <t>ATF fuel</t>
        </is>
      </c>
      <c r="B1314" t="inlineStr">
        <is>
          <t>F131</t>
        </is>
      </c>
      <c r="C1314" t="n">
        <v>131</v>
      </c>
      <c r="D1314" t="n">
        <v>6</v>
      </c>
      <c r="E1314" t="inlineStr">
        <is>
          <t>Output</t>
        </is>
      </c>
      <c r="F1314" t="inlineStr">
        <is>
          <t>'=AVERAGE(B131:E131)</t>
        </is>
      </c>
      <c r="G1314" t="n">
        <v>44361.80250000001</v>
      </c>
      <c r="H1314" t="inlineStr"/>
      <c r="I1314" t="inlineStr">
        <is>
          <t>General</t>
        </is>
      </c>
      <c r="J1314" t="b">
        <v>0</v>
      </c>
      <c r="K1314" t="b">
        <v>0</v>
      </c>
      <c r="L1314" t="n">
        <v>11</v>
      </c>
      <c r="M1314" t="inlineStr">
        <is>
          <t>Values must be of type &lt;class 'str'&gt;</t>
        </is>
      </c>
      <c r="N1314" t="inlineStr">
        <is>
          <t>00000000</t>
        </is>
      </c>
      <c r="O1314" t="n">
        <v/>
      </c>
      <c r="P1314" t="n">
        <v/>
      </c>
      <c r="R1314" t="b">
        <v>1</v>
      </c>
      <c r="S1314" t="inlineStr">
        <is>
          <t>G000284</t>
        </is>
      </c>
      <c r="T1314" t="inlineStr">
        <is>
          <t>Vertical</t>
        </is>
      </c>
      <c r="U1314" t="n">
        <v>130</v>
      </c>
      <c r="V1314" t="b">
        <v>1</v>
      </c>
      <c r="W1314" t="inlineStr">
        <is>
          <t>ATF fuel!F2:F131</t>
        </is>
      </c>
      <c r="X1314">
        <f>AVERAGE(R[0]C[-4]:R[0]C[-1])</f>
        <v/>
      </c>
    </row>
    <row r="1315">
      <c r="A1315" t="inlineStr">
        <is>
          <t>ATF fuel</t>
        </is>
      </c>
      <c r="B1315" t="inlineStr">
        <is>
          <t>G131</t>
        </is>
      </c>
      <c r="C1315" t="n">
        <v>131</v>
      </c>
      <c r="D1315" t="n">
        <v>7</v>
      </c>
      <c r="E1315" t="inlineStr">
        <is>
          <t>Calculation</t>
        </is>
      </c>
      <c r="F1315" t="inlineStr">
        <is>
          <t>'=G130-1</t>
        </is>
      </c>
      <c r="G1315" t="n">
        <v>2</v>
      </c>
      <c r="H1315" t="inlineStr"/>
      <c r="I1315" t="inlineStr">
        <is>
          <t>#,##0</t>
        </is>
      </c>
      <c r="J1315" t="b">
        <v>0</v>
      </c>
      <c r="K1315" t="b">
        <v>0</v>
      </c>
      <c r="L1315" t="n">
        <v>11</v>
      </c>
      <c r="M1315" t="inlineStr">
        <is>
          <t>Values must be of type &lt;class 'str'&gt;</t>
        </is>
      </c>
      <c r="N1315" t="inlineStr">
        <is>
          <t>00000000</t>
        </is>
      </c>
      <c r="O1315" t="n">
        <v/>
      </c>
      <c r="P1315" t="n">
        <v/>
      </c>
      <c r="R1315" t="b">
        <v>1</v>
      </c>
      <c r="S1315" t="inlineStr">
        <is>
          <t>G000286</t>
        </is>
      </c>
      <c r="T1315" t="inlineStr">
        <is>
          <t>Vertical</t>
        </is>
      </c>
      <c r="U1315" t="n">
        <v>129</v>
      </c>
      <c r="V1315" t="b">
        <v>1</v>
      </c>
      <c r="W1315" t="inlineStr">
        <is>
          <t>ATF fuel!G3:G131</t>
        </is>
      </c>
      <c r="X1315">
        <f>R[-1]C[0]-1</f>
        <v/>
      </c>
    </row>
    <row r="1316">
      <c r="A1316" t="inlineStr">
        <is>
          <t>ATF fuel</t>
        </is>
      </c>
      <c r="B1316" t="inlineStr">
        <is>
          <t>A132</t>
        </is>
      </c>
      <c r="C1316" t="n">
        <v>132</v>
      </c>
      <c r="D1316" t="n">
        <v>1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11</v>
      </c>
      <c r="M1316" t="inlineStr">
        <is>
          <t>FF686868</t>
        </is>
      </c>
      <c r="N1316" t="inlineStr">
        <is>
          <t>00000000</t>
        </is>
      </c>
      <c r="O1316" t="n">
        <v/>
      </c>
      <c r="P1316" t="n">
        <v/>
      </c>
      <c r="Q1316" t="b">
        <v>1</v>
      </c>
      <c r="R1316" t="b">
        <v>0</v>
      </c>
      <c r="S1316" t="n">
        <v/>
      </c>
      <c r="T1316" t="n">
        <v/>
      </c>
      <c r="U1316" t="n">
        <v/>
      </c>
      <c r="V1316" t="b">
        <v>0</v>
      </c>
      <c r="W1316" t="inlineStr"/>
      <c r="X1316" t="n">
        <v/>
      </c>
    </row>
    <row r="1317">
      <c r="A1317" t="inlineStr">
        <is>
          <t>ATF fuel</t>
        </is>
      </c>
      <c r="B1317" t="inlineStr">
        <is>
          <t>B132</t>
        </is>
      </c>
      <c r="C1317" t="n">
        <v>132</v>
      </c>
      <c r="D1317" t="n">
        <v>2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0</v>
      </c>
      <c r="L1317" t="n">
        <v>11</v>
      </c>
      <c r="M1317" t="inlineStr">
        <is>
          <t>FF686868</t>
        </is>
      </c>
      <c r="N1317" t="inlineStr">
        <is>
          <t>00000000</t>
        </is>
      </c>
      <c r="O1317" t="inlineStr">
        <is>
          <t>center</t>
        </is>
      </c>
      <c r="P1317" t="n">
        <v/>
      </c>
      <c r="Q1317" t="b">
        <v>1</v>
      </c>
      <c r="R1317" t="b">
        <v>0</v>
      </c>
      <c r="S1317" t="n">
        <v/>
      </c>
      <c r="T1317" t="n">
        <v/>
      </c>
      <c r="U1317" t="n">
        <v/>
      </c>
      <c r="V1317" t="b">
        <v>0</v>
      </c>
      <c r="W1317" t="inlineStr"/>
      <c r="X1317" t="n">
        <v/>
      </c>
    </row>
    <row r="1318">
      <c r="A1318" t="inlineStr">
        <is>
          <t>ATF fuel</t>
        </is>
      </c>
      <c r="B1318" t="inlineStr">
        <is>
          <t>C132</t>
        </is>
      </c>
      <c r="C1318" t="n">
        <v>132</v>
      </c>
      <c r="D1318" t="n">
        <v>3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11</v>
      </c>
      <c r="M1318" t="inlineStr">
        <is>
          <t>FF686868</t>
        </is>
      </c>
      <c r="N1318" t="inlineStr">
        <is>
          <t>00000000</t>
        </is>
      </c>
      <c r="O1318" t="inlineStr">
        <is>
          <t>center</t>
        </is>
      </c>
      <c r="P1318" t="n">
        <v/>
      </c>
      <c r="Q1318" t="b">
        <v>1</v>
      </c>
      <c r="R1318" t="b">
        <v>0</v>
      </c>
      <c r="S1318" t="n">
        <v/>
      </c>
      <c r="T1318" t="n">
        <v/>
      </c>
      <c r="U1318" t="n">
        <v/>
      </c>
      <c r="V1318" t="b">
        <v>0</v>
      </c>
      <c r="W1318" t="inlineStr"/>
      <c r="X1318" t="n">
        <v/>
      </c>
    </row>
    <row r="1319">
      <c r="A1319" t="inlineStr">
        <is>
          <t>ATF fuel</t>
        </is>
      </c>
      <c r="B1319" t="inlineStr">
        <is>
          <t>D132</t>
        </is>
      </c>
      <c r="C1319" t="n">
        <v>132</v>
      </c>
      <c r="D1319" t="n">
        <v>4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11</v>
      </c>
      <c r="M1319" t="inlineStr">
        <is>
          <t>FF686868</t>
        </is>
      </c>
      <c r="N1319" t="inlineStr">
        <is>
          <t>00000000</t>
        </is>
      </c>
      <c r="O1319" t="inlineStr">
        <is>
          <t>center</t>
        </is>
      </c>
      <c r="P1319" t="n">
        <v/>
      </c>
      <c r="Q1319" t="b">
        <v>1</v>
      </c>
      <c r="R1319" t="b">
        <v>0</v>
      </c>
      <c r="S1319" t="n">
        <v/>
      </c>
      <c r="T1319" t="n">
        <v/>
      </c>
      <c r="U1319" t="n">
        <v/>
      </c>
      <c r="V1319" t="b">
        <v>0</v>
      </c>
      <c r="W1319" t="inlineStr"/>
      <c r="X1319" t="n">
        <v/>
      </c>
    </row>
    <row r="1320">
      <c r="A1320" t="inlineStr">
        <is>
          <t>ATF fuel</t>
        </is>
      </c>
      <c r="B1320" t="inlineStr">
        <is>
          <t>E132</t>
        </is>
      </c>
      <c r="C1320" t="n">
        <v>132</v>
      </c>
      <c r="D1320" t="n">
        <v>5</v>
      </c>
      <c r="E1320" t="inlineStr">
        <is>
          <t>Input</t>
        </is>
      </c>
      <c r="F1320" t="n">
        <v/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11</v>
      </c>
      <c r="M1320" t="inlineStr">
        <is>
          <t>FF686868</t>
        </is>
      </c>
      <c r="N1320" t="inlineStr">
        <is>
          <t>00000000</t>
        </is>
      </c>
      <c r="O1320" t="inlineStr">
        <is>
          <t>center</t>
        </is>
      </c>
      <c r="P1320" t="n">
        <v/>
      </c>
      <c r="Q1320" t="b">
        <v>1</v>
      </c>
      <c r="R1320" t="b">
        <v>0</v>
      </c>
      <c r="S1320" t="n">
        <v/>
      </c>
      <c r="T1320" t="n">
        <v/>
      </c>
      <c r="U1320" t="n">
        <v/>
      </c>
      <c r="V1320" t="b">
        <v>0</v>
      </c>
      <c r="W1320" t="inlineStr"/>
      <c r="X1320" t="n">
        <v/>
      </c>
    </row>
    <row r="1321">
      <c r="A1321" t="inlineStr">
        <is>
          <t>ATF fuel</t>
        </is>
      </c>
      <c r="B1321" t="inlineStr">
        <is>
          <t>A133</t>
        </is>
      </c>
      <c r="C1321" t="n">
        <v>133</v>
      </c>
      <c r="D1321" t="n">
        <v>1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11</v>
      </c>
      <c r="M1321" t="inlineStr">
        <is>
          <t>FF686868</t>
        </is>
      </c>
      <c r="N1321" t="inlineStr">
        <is>
          <t>00000000</t>
        </is>
      </c>
      <c r="O1321" t="n">
        <v/>
      </c>
      <c r="P1321" t="n">
        <v/>
      </c>
      <c r="Q1321" t="b">
        <v>1</v>
      </c>
      <c r="R1321" t="b">
        <v>0</v>
      </c>
      <c r="S1321" t="n">
        <v/>
      </c>
      <c r="T1321" t="n">
        <v/>
      </c>
      <c r="U1321" t="n">
        <v/>
      </c>
      <c r="V1321" t="b">
        <v>0</v>
      </c>
      <c r="W1321" t="inlineStr"/>
      <c r="X1321" t="n">
        <v/>
      </c>
    </row>
    <row r="1322">
      <c r="A1322" t="inlineStr">
        <is>
          <t>ATF fuel</t>
        </is>
      </c>
      <c r="B1322" t="inlineStr">
        <is>
          <t>B133</t>
        </is>
      </c>
      <c r="C1322" t="n">
        <v>133</v>
      </c>
      <c r="D1322" t="n">
        <v>2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11</v>
      </c>
      <c r="M1322" t="inlineStr">
        <is>
          <t>FF686868</t>
        </is>
      </c>
      <c r="N1322" t="inlineStr">
        <is>
          <t>00000000</t>
        </is>
      </c>
      <c r="O1322" t="inlineStr">
        <is>
          <t>center</t>
        </is>
      </c>
      <c r="P1322" t="n">
        <v/>
      </c>
      <c r="Q1322" t="b">
        <v>1</v>
      </c>
      <c r="R1322" t="b">
        <v>0</v>
      </c>
      <c r="S1322" t="n">
        <v/>
      </c>
      <c r="T1322" t="n">
        <v/>
      </c>
      <c r="U1322" t="n">
        <v/>
      </c>
      <c r="V1322" t="b">
        <v>0</v>
      </c>
      <c r="W1322" t="inlineStr"/>
      <c r="X1322" t="n">
        <v/>
      </c>
    </row>
    <row r="1323">
      <c r="A1323" t="inlineStr">
        <is>
          <t>ATF fuel</t>
        </is>
      </c>
      <c r="B1323" t="inlineStr">
        <is>
          <t>C133</t>
        </is>
      </c>
      <c r="C1323" t="n">
        <v>133</v>
      </c>
      <c r="D1323" t="n">
        <v>3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11</v>
      </c>
      <c r="M1323" t="inlineStr">
        <is>
          <t>FF686868</t>
        </is>
      </c>
      <c r="N1323" t="inlineStr">
        <is>
          <t>00000000</t>
        </is>
      </c>
      <c r="O1323" t="inlineStr">
        <is>
          <t>center</t>
        </is>
      </c>
      <c r="P1323" t="n">
        <v/>
      </c>
      <c r="Q1323" t="b">
        <v>1</v>
      </c>
      <c r="R1323" t="b">
        <v>0</v>
      </c>
      <c r="S1323" t="n">
        <v/>
      </c>
      <c r="T1323" t="n">
        <v/>
      </c>
      <c r="U1323" t="n">
        <v/>
      </c>
      <c r="V1323" t="b">
        <v>0</v>
      </c>
      <c r="W1323" t="inlineStr"/>
      <c r="X1323" t="n">
        <v/>
      </c>
    </row>
    <row r="1324">
      <c r="A1324" t="inlineStr">
        <is>
          <t>ATF fuel</t>
        </is>
      </c>
      <c r="B1324" t="inlineStr">
        <is>
          <t>D133</t>
        </is>
      </c>
      <c r="C1324" t="n">
        <v>133</v>
      </c>
      <c r="D1324" t="n">
        <v>4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11</v>
      </c>
      <c r="M1324" t="inlineStr">
        <is>
          <t>FF686868</t>
        </is>
      </c>
      <c r="N1324" t="inlineStr">
        <is>
          <t>00000000</t>
        </is>
      </c>
      <c r="O1324" t="inlineStr">
        <is>
          <t>center</t>
        </is>
      </c>
      <c r="P1324" t="n">
        <v/>
      </c>
      <c r="Q1324" t="b">
        <v>1</v>
      </c>
      <c r="R1324" t="b">
        <v>0</v>
      </c>
      <c r="S1324" t="n">
        <v/>
      </c>
      <c r="T1324" t="n">
        <v/>
      </c>
      <c r="U1324" t="n">
        <v/>
      </c>
      <c r="V1324" t="b">
        <v>0</v>
      </c>
      <c r="W1324" t="inlineStr"/>
      <c r="X1324" t="n">
        <v/>
      </c>
    </row>
    <row r="1325">
      <c r="A1325" t="inlineStr">
        <is>
          <t>ATF fuel</t>
        </is>
      </c>
      <c r="B1325" t="inlineStr">
        <is>
          <t>E133</t>
        </is>
      </c>
      <c r="C1325" t="n">
        <v>133</v>
      </c>
      <c r="D1325" t="n">
        <v>5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11</v>
      </c>
      <c r="M1325" t="inlineStr">
        <is>
          <t>FF686868</t>
        </is>
      </c>
      <c r="N1325" t="inlineStr">
        <is>
          <t>00000000</t>
        </is>
      </c>
      <c r="O1325" t="inlineStr">
        <is>
          <t>center</t>
        </is>
      </c>
      <c r="P1325" t="n">
        <v/>
      </c>
      <c r="Q1325" t="b">
        <v>1</v>
      </c>
      <c r="R1325" t="b">
        <v>0</v>
      </c>
      <c r="S1325" t="n">
        <v/>
      </c>
      <c r="T1325" t="n">
        <v/>
      </c>
      <c r="U1325" t="n">
        <v/>
      </c>
      <c r="V1325" t="b">
        <v>0</v>
      </c>
      <c r="W1325" t="inlineStr"/>
      <c r="X1325" t="n">
        <v/>
      </c>
    </row>
    <row r="1326">
      <c r="A1326" t="inlineStr">
        <is>
          <t>ATF fuel</t>
        </is>
      </c>
      <c r="B1326" t="inlineStr">
        <is>
          <t>A134</t>
        </is>
      </c>
      <c r="C1326" t="n">
        <v>134</v>
      </c>
      <c r="D1326" t="n">
        <v>1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11</v>
      </c>
      <c r="M1326" t="inlineStr">
        <is>
          <t>FF686868</t>
        </is>
      </c>
      <c r="N1326" t="inlineStr">
        <is>
          <t>00000000</t>
        </is>
      </c>
      <c r="O1326" t="n">
        <v/>
      </c>
      <c r="P1326" t="n">
        <v/>
      </c>
      <c r="Q1326" t="b">
        <v>1</v>
      </c>
      <c r="R1326" t="b">
        <v>0</v>
      </c>
      <c r="S1326" t="n">
        <v/>
      </c>
      <c r="T1326" t="n">
        <v/>
      </c>
      <c r="U1326" t="n">
        <v/>
      </c>
      <c r="V1326" t="b">
        <v>0</v>
      </c>
      <c r="W1326" t="inlineStr"/>
      <c r="X1326" t="n">
        <v/>
      </c>
    </row>
    <row r="1327">
      <c r="A1327" t="inlineStr">
        <is>
          <t>ATF fuel</t>
        </is>
      </c>
      <c r="B1327" t="inlineStr">
        <is>
          <t>B134</t>
        </is>
      </c>
      <c r="C1327" t="n">
        <v>134</v>
      </c>
      <c r="D1327" t="n">
        <v>2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11</v>
      </c>
      <c r="M1327" t="inlineStr">
        <is>
          <t>FF686868</t>
        </is>
      </c>
      <c r="N1327" t="inlineStr">
        <is>
          <t>00000000</t>
        </is>
      </c>
      <c r="O1327" t="inlineStr">
        <is>
          <t>center</t>
        </is>
      </c>
      <c r="P1327" t="n">
        <v/>
      </c>
      <c r="Q1327" t="b">
        <v>1</v>
      </c>
      <c r="R1327" t="b">
        <v>0</v>
      </c>
      <c r="S1327" t="n">
        <v/>
      </c>
      <c r="T1327" t="n">
        <v/>
      </c>
      <c r="U1327" t="n">
        <v/>
      </c>
      <c r="V1327" t="b">
        <v>0</v>
      </c>
      <c r="W1327" t="inlineStr"/>
      <c r="X1327" t="n">
        <v/>
      </c>
    </row>
    <row r="1328">
      <c r="A1328" t="inlineStr">
        <is>
          <t>ATF fuel</t>
        </is>
      </c>
      <c r="B1328" t="inlineStr">
        <is>
          <t>C134</t>
        </is>
      </c>
      <c r="C1328" t="n">
        <v>134</v>
      </c>
      <c r="D1328" t="n">
        <v>3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11</v>
      </c>
      <c r="M1328" t="inlineStr">
        <is>
          <t>FF686868</t>
        </is>
      </c>
      <c r="N1328" t="inlineStr">
        <is>
          <t>00000000</t>
        </is>
      </c>
      <c r="O1328" t="inlineStr">
        <is>
          <t>center</t>
        </is>
      </c>
      <c r="P1328" t="n">
        <v/>
      </c>
      <c r="Q1328" t="b">
        <v>1</v>
      </c>
      <c r="R1328" t="b">
        <v>0</v>
      </c>
      <c r="S1328" t="n">
        <v/>
      </c>
      <c r="T1328" t="n">
        <v/>
      </c>
      <c r="U1328" t="n">
        <v/>
      </c>
      <c r="V1328" t="b">
        <v>0</v>
      </c>
      <c r="W1328" t="inlineStr"/>
      <c r="X1328" t="n">
        <v/>
      </c>
    </row>
    <row r="1329">
      <c r="A1329" t="inlineStr">
        <is>
          <t>ATF fuel</t>
        </is>
      </c>
      <c r="B1329" t="inlineStr">
        <is>
          <t>D134</t>
        </is>
      </c>
      <c r="C1329" t="n">
        <v>134</v>
      </c>
      <c r="D1329" t="n">
        <v>4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11</v>
      </c>
      <c r="M1329" t="inlineStr">
        <is>
          <t>FF686868</t>
        </is>
      </c>
      <c r="N1329" t="inlineStr">
        <is>
          <t>00000000</t>
        </is>
      </c>
      <c r="O1329" t="inlineStr">
        <is>
          <t>center</t>
        </is>
      </c>
      <c r="P1329" t="n">
        <v/>
      </c>
      <c r="Q1329" t="b">
        <v>1</v>
      </c>
      <c r="R1329" t="b">
        <v>0</v>
      </c>
      <c r="S1329" t="n">
        <v/>
      </c>
      <c r="T1329" t="n">
        <v/>
      </c>
      <c r="U1329" t="n">
        <v/>
      </c>
      <c r="V1329" t="b">
        <v>0</v>
      </c>
      <c r="W1329" t="inlineStr"/>
      <c r="X1329" t="n">
        <v/>
      </c>
    </row>
    <row r="1330">
      <c r="A1330" t="inlineStr">
        <is>
          <t>ATF fuel</t>
        </is>
      </c>
      <c r="B1330" t="inlineStr">
        <is>
          <t>E134</t>
        </is>
      </c>
      <c r="C1330" t="n">
        <v>134</v>
      </c>
      <c r="D1330" t="n">
        <v>5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11</v>
      </c>
      <c r="M1330" t="inlineStr">
        <is>
          <t>FF686868</t>
        </is>
      </c>
      <c r="N1330" t="inlineStr">
        <is>
          <t>00000000</t>
        </is>
      </c>
      <c r="O1330" t="inlineStr">
        <is>
          <t>center</t>
        </is>
      </c>
      <c r="P1330" t="n">
        <v/>
      </c>
      <c r="Q1330" t="b">
        <v>1</v>
      </c>
      <c r="R1330" t="b">
        <v>0</v>
      </c>
      <c r="S1330" t="n">
        <v/>
      </c>
      <c r="T1330" t="n">
        <v/>
      </c>
      <c r="U1330" t="n">
        <v/>
      </c>
      <c r="V1330" t="b">
        <v>0</v>
      </c>
      <c r="W1330" t="inlineStr"/>
      <c r="X1330" t="n">
        <v/>
      </c>
    </row>
    <row r="1331">
      <c r="A1331" t="inlineStr">
        <is>
          <t>ATF fuel</t>
        </is>
      </c>
      <c r="B1331" t="inlineStr">
        <is>
          <t>A135</t>
        </is>
      </c>
      <c r="C1331" t="n">
        <v>135</v>
      </c>
      <c r="D1331" t="n">
        <v>1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11</v>
      </c>
      <c r="M1331" t="inlineStr">
        <is>
          <t>FF686868</t>
        </is>
      </c>
      <c r="N1331" t="inlineStr">
        <is>
          <t>00000000</t>
        </is>
      </c>
      <c r="O1331" t="n">
        <v/>
      </c>
      <c r="P1331" t="n">
        <v/>
      </c>
      <c r="Q1331" t="b">
        <v>1</v>
      </c>
      <c r="R1331" t="b">
        <v>0</v>
      </c>
      <c r="S1331" t="n">
        <v/>
      </c>
      <c r="T1331" t="n">
        <v/>
      </c>
      <c r="U1331" t="n">
        <v/>
      </c>
      <c r="V1331" t="b">
        <v>0</v>
      </c>
      <c r="W1331" t="inlineStr"/>
      <c r="X1331" t="n">
        <v/>
      </c>
    </row>
    <row r="1332">
      <c r="A1332" t="inlineStr">
        <is>
          <t>ATF fuel</t>
        </is>
      </c>
      <c r="B1332" t="inlineStr">
        <is>
          <t>B135</t>
        </is>
      </c>
      <c r="C1332" t="n">
        <v>135</v>
      </c>
      <c r="D1332" t="n">
        <v>2</v>
      </c>
      <c r="E1332" t="inlineStr">
        <is>
          <t>Input</t>
        </is>
      </c>
      <c r="F1332" t="n">
        <v/>
      </c>
      <c r="G1332" t="inlineStr">
        <is>
          <t>Date</t>
        </is>
      </c>
      <c r="H1332" t="inlineStr"/>
      <c r="I1332" t="inlineStr">
        <is>
          <t>General</t>
        </is>
      </c>
      <c r="J1332" t="b">
        <v>1</v>
      </c>
      <c r="K1332" t="b">
        <v>0</v>
      </c>
      <c r="L1332" t="n">
        <v>11</v>
      </c>
      <c r="M1332" t="inlineStr">
        <is>
          <t>FF686868</t>
        </is>
      </c>
      <c r="N1332" t="inlineStr">
        <is>
          <t>00000000</t>
        </is>
      </c>
      <c r="O1332" t="inlineStr">
        <is>
          <t>center</t>
        </is>
      </c>
      <c r="P1332" t="n">
        <v/>
      </c>
      <c r="Q1332" t="b">
        <v>1</v>
      </c>
      <c r="R1332" t="b">
        <v>1</v>
      </c>
      <c r="S1332" t="n">
        <v/>
      </c>
      <c r="T1332" t="n">
        <v/>
      </c>
      <c r="U1332" t="n">
        <v/>
      </c>
      <c r="V1332" t="b">
        <v>0</v>
      </c>
      <c r="W1332" t="inlineStr"/>
      <c r="X1332" t="n">
        <v/>
      </c>
    </row>
    <row r="1333">
      <c r="A1333" t="inlineStr">
        <is>
          <t>ATF fuel</t>
        </is>
      </c>
      <c r="B1333" t="inlineStr">
        <is>
          <t>C135</t>
        </is>
      </c>
      <c r="C1333" t="n">
        <v>135</v>
      </c>
      <c r="D1333" t="n">
        <v>3</v>
      </c>
      <c r="E1333" t="inlineStr">
        <is>
          <t>Input</t>
        </is>
      </c>
      <c r="F1333" t="n">
        <v/>
      </c>
      <c r="G1333" t="inlineStr">
        <is>
          <t>ATF Price (Rs)</t>
        </is>
      </c>
      <c r="H1333" t="inlineStr"/>
      <c r="I1333" t="inlineStr">
        <is>
          <t>General</t>
        </is>
      </c>
      <c r="J1333" t="b">
        <v>1</v>
      </c>
      <c r="K1333" t="b">
        <v>0</v>
      </c>
      <c r="L1333" t="n">
        <v>11</v>
      </c>
      <c r="M1333" t="inlineStr">
        <is>
          <t>FF686868</t>
        </is>
      </c>
      <c r="N1333" t="inlineStr">
        <is>
          <t>00000000</t>
        </is>
      </c>
      <c r="O1333" t="inlineStr">
        <is>
          <t>center</t>
        </is>
      </c>
      <c r="P1333" t="n">
        <v/>
      </c>
      <c r="Q1333" t="b">
        <v>1</v>
      </c>
      <c r="R1333" t="b">
        <v>1</v>
      </c>
      <c r="S1333" t="n">
        <v/>
      </c>
      <c r="T1333" t="n">
        <v/>
      </c>
      <c r="U1333" t="n">
        <v/>
      </c>
      <c r="V1333" t="b">
        <v>0</v>
      </c>
      <c r="W1333" t="inlineStr"/>
      <c r="X1333" t="n">
        <v/>
      </c>
    </row>
    <row r="1334">
      <c r="A1334" t="inlineStr">
        <is>
          <t>ATF fuel</t>
        </is>
      </c>
      <c r="B1334" t="inlineStr">
        <is>
          <t>D135</t>
        </is>
      </c>
      <c r="C1334" t="n">
        <v>135</v>
      </c>
      <c r="D1334" t="n">
        <v>4</v>
      </c>
      <c r="E1334" t="inlineStr">
        <is>
          <t>Input</t>
        </is>
      </c>
      <c r="F1334" t="n">
        <v/>
      </c>
      <c r="G1334" t="inlineStr">
        <is>
          <t>Brent ($)</t>
        </is>
      </c>
      <c r="H1334" t="inlineStr"/>
      <c r="I1334" t="inlineStr">
        <is>
          <t>General</t>
        </is>
      </c>
      <c r="J1334" t="b">
        <v>1</v>
      </c>
      <c r="K1334" t="b">
        <v>0</v>
      </c>
      <c r="L1334" t="n">
        <v>11</v>
      </c>
      <c r="M1334" t="inlineStr">
        <is>
          <t>FF686868</t>
        </is>
      </c>
      <c r="N1334" t="inlineStr">
        <is>
          <t>00000000</t>
        </is>
      </c>
      <c r="O1334" t="inlineStr">
        <is>
          <t>center</t>
        </is>
      </c>
      <c r="P1334" t="n">
        <v/>
      </c>
      <c r="Q1334" t="b">
        <v>1</v>
      </c>
      <c r="R1334" t="b">
        <v>1</v>
      </c>
      <c r="S1334" t="n">
        <v/>
      </c>
      <c r="T1334" t="n">
        <v/>
      </c>
      <c r="U1334" t="n">
        <v/>
      </c>
      <c r="V1334" t="b">
        <v>0</v>
      </c>
      <c r="W1334" t="inlineStr"/>
      <c r="X1334" t="n">
        <v/>
      </c>
    </row>
    <row r="1335">
      <c r="A1335" t="inlineStr">
        <is>
          <t>ATF fuel</t>
        </is>
      </c>
      <c r="B1335" t="inlineStr">
        <is>
          <t>E135</t>
        </is>
      </c>
      <c r="C1335" t="n">
        <v>135</v>
      </c>
      <c r="D1335" t="n">
        <v>5</v>
      </c>
      <c r="E1335" t="inlineStr">
        <is>
          <t>Input</t>
        </is>
      </c>
      <c r="F1335" t="n">
        <v/>
      </c>
      <c r="G1335" t="inlineStr">
        <is>
          <t>US Oil ($)</t>
        </is>
      </c>
      <c r="H1335" t="inlineStr"/>
      <c r="I1335" t="inlineStr">
        <is>
          <t>General</t>
        </is>
      </c>
      <c r="J1335" t="b">
        <v>1</v>
      </c>
      <c r="K1335" t="b">
        <v>0</v>
      </c>
      <c r="L1335" t="n">
        <v>11</v>
      </c>
      <c r="M1335" t="inlineStr">
        <is>
          <t>FF686868</t>
        </is>
      </c>
      <c r="N1335" t="inlineStr">
        <is>
          <t>00000000</t>
        </is>
      </c>
      <c r="O1335" t="inlineStr">
        <is>
          <t>center</t>
        </is>
      </c>
      <c r="P1335" t="n">
        <v/>
      </c>
      <c r="Q1335" t="b">
        <v>1</v>
      </c>
      <c r="R1335" t="b">
        <v>1</v>
      </c>
      <c r="S1335" t="n">
        <v/>
      </c>
      <c r="T1335" t="n">
        <v/>
      </c>
      <c r="U1335" t="n">
        <v/>
      </c>
      <c r="V1335" t="b">
        <v>0</v>
      </c>
      <c r="W1335" t="inlineStr"/>
      <c r="X1335" t="n">
        <v/>
      </c>
    </row>
    <row r="1336">
      <c r="A1336" t="inlineStr">
        <is>
          <t>ATF fuel</t>
        </is>
      </c>
      <c r="B1336" t="inlineStr">
        <is>
          <t>F135</t>
        </is>
      </c>
      <c r="C1336" t="n">
        <v>135</v>
      </c>
      <c r="D1336" t="n">
        <v>6</v>
      </c>
      <c r="E1336" t="inlineStr">
        <is>
          <t>Input</t>
        </is>
      </c>
      <c r="F1336" t="n">
        <v/>
      </c>
      <c r="G1336" t="inlineStr">
        <is>
          <t>Date</t>
        </is>
      </c>
      <c r="H1336" t="inlineStr"/>
      <c r="I1336" t="inlineStr">
        <is>
          <t>General</t>
        </is>
      </c>
      <c r="J1336" t="b">
        <v>1</v>
      </c>
      <c r="K1336" t="b">
        <v>0</v>
      </c>
      <c r="L1336" t="n">
        <v>11</v>
      </c>
      <c r="M1336" t="inlineStr">
        <is>
          <t>FF686868</t>
        </is>
      </c>
      <c r="N1336" t="inlineStr">
        <is>
          <t>00000000</t>
        </is>
      </c>
      <c r="O1336" t="inlineStr">
        <is>
          <t>left</t>
        </is>
      </c>
      <c r="P1336" t="n">
        <v/>
      </c>
      <c r="Q1336" t="b">
        <v>1</v>
      </c>
      <c r="R1336" t="b">
        <v>1</v>
      </c>
      <c r="S1336" t="n">
        <v/>
      </c>
      <c r="T1336" t="n">
        <v/>
      </c>
      <c r="U1336" t="n">
        <v/>
      </c>
      <c r="V1336" t="b">
        <v>0</v>
      </c>
      <c r="W1336" t="inlineStr"/>
      <c r="X1336" t="n">
        <v/>
      </c>
    </row>
    <row r="1337">
      <c r="A1337" t="inlineStr">
        <is>
          <t>ATF fuel</t>
        </is>
      </c>
      <c r="B1337" t="inlineStr">
        <is>
          <t>G135</t>
        </is>
      </c>
      <c r="C1337" t="n">
        <v>135</v>
      </c>
      <c r="D1337" t="n">
        <v>7</v>
      </c>
      <c r="E1337" t="inlineStr">
        <is>
          <t>Input</t>
        </is>
      </c>
      <c r="F1337" t="n">
        <v/>
      </c>
      <c r="G1337" t="inlineStr">
        <is>
          <t>ATF Price (Rs)</t>
        </is>
      </c>
      <c r="H1337" t="inlineStr"/>
      <c r="I1337" t="inlineStr">
        <is>
          <t>General</t>
        </is>
      </c>
      <c r="J1337" t="b">
        <v>1</v>
      </c>
      <c r="K1337" t="b">
        <v>0</v>
      </c>
      <c r="L1337" t="n">
        <v>11</v>
      </c>
      <c r="M1337" t="inlineStr">
        <is>
          <t>FF686868</t>
        </is>
      </c>
      <c r="N1337" t="inlineStr">
        <is>
          <t>00000000</t>
        </is>
      </c>
      <c r="O1337" t="inlineStr">
        <is>
          <t>left</t>
        </is>
      </c>
      <c r="P1337" t="n">
        <v/>
      </c>
      <c r="Q1337" t="b">
        <v>1</v>
      </c>
      <c r="R1337" t="b">
        <v>1</v>
      </c>
      <c r="S1337" t="n">
        <v/>
      </c>
      <c r="T1337" t="n">
        <v/>
      </c>
      <c r="U1337" t="n">
        <v/>
      </c>
      <c r="V1337" t="b">
        <v>0</v>
      </c>
      <c r="W1337" t="inlineStr"/>
      <c r="X1337" t="n">
        <v/>
      </c>
    </row>
    <row r="1338">
      <c r="A1338" t="inlineStr">
        <is>
          <t>ATF fuel</t>
        </is>
      </c>
      <c r="B1338" t="inlineStr">
        <is>
          <t>H135</t>
        </is>
      </c>
      <c r="C1338" t="n">
        <v>135</v>
      </c>
      <c r="D1338" t="n">
        <v>8</v>
      </c>
      <c r="E1338" t="inlineStr">
        <is>
          <t>Input</t>
        </is>
      </c>
      <c r="F1338" t="n">
        <v/>
      </c>
      <c r="G1338" t="inlineStr">
        <is>
          <t>Brent ($)</t>
        </is>
      </c>
      <c r="H1338" t="inlineStr"/>
      <c r="I1338" t="inlineStr">
        <is>
          <t>General</t>
        </is>
      </c>
      <c r="J1338" t="b">
        <v>1</v>
      </c>
      <c r="K1338" t="b">
        <v>0</v>
      </c>
      <c r="L1338" t="n">
        <v>11</v>
      </c>
      <c r="M1338" t="inlineStr">
        <is>
          <t>FF686868</t>
        </is>
      </c>
      <c r="N1338" t="inlineStr">
        <is>
          <t>00000000</t>
        </is>
      </c>
      <c r="O1338" t="inlineStr">
        <is>
          <t>left</t>
        </is>
      </c>
      <c r="P1338" t="n">
        <v/>
      </c>
      <c r="Q1338" t="b">
        <v>1</v>
      </c>
      <c r="R1338" t="b">
        <v>1</v>
      </c>
      <c r="S1338" t="n">
        <v/>
      </c>
      <c r="T1338" t="n">
        <v/>
      </c>
      <c r="U1338" t="n">
        <v/>
      </c>
      <c r="V1338" t="b">
        <v>0</v>
      </c>
      <c r="W1338" t="inlineStr"/>
      <c r="X1338" t="n">
        <v/>
      </c>
    </row>
    <row r="1339">
      <c r="A1339" t="inlineStr">
        <is>
          <t>ATF fuel</t>
        </is>
      </c>
      <c r="B1339" t="inlineStr">
        <is>
          <t>I135</t>
        </is>
      </c>
      <c r="C1339" t="n">
        <v>135</v>
      </c>
      <c r="D1339" t="n">
        <v>9</v>
      </c>
      <c r="E1339" t="inlineStr">
        <is>
          <t>Input</t>
        </is>
      </c>
      <c r="F1339" t="n">
        <v/>
      </c>
      <c r="G1339" t="inlineStr">
        <is>
          <t>US Oil ($)</t>
        </is>
      </c>
      <c r="H1339" t="inlineStr"/>
      <c r="I1339" t="inlineStr">
        <is>
          <t>General</t>
        </is>
      </c>
      <c r="J1339" t="b">
        <v>1</v>
      </c>
      <c r="K1339" t="b">
        <v>0</v>
      </c>
      <c r="L1339" t="n">
        <v>11</v>
      </c>
      <c r="M1339" t="inlineStr">
        <is>
          <t>FF686868</t>
        </is>
      </c>
      <c r="N1339" t="inlineStr">
        <is>
          <t>00000000</t>
        </is>
      </c>
      <c r="O1339" t="inlineStr">
        <is>
          <t>left</t>
        </is>
      </c>
      <c r="P1339" t="n">
        <v/>
      </c>
      <c r="Q1339" t="b">
        <v>1</v>
      </c>
      <c r="R1339" t="b">
        <v>1</v>
      </c>
      <c r="S1339" t="n">
        <v/>
      </c>
      <c r="T1339" t="n">
        <v/>
      </c>
      <c r="U1339" t="n">
        <v/>
      </c>
      <c r="V1339" t="b">
        <v>0</v>
      </c>
      <c r="W1339" t="inlineStr"/>
      <c r="X1339" t="n">
        <v/>
      </c>
    </row>
    <row r="1340">
      <c r="A1340" t="inlineStr">
        <is>
          <t>ATF fuel</t>
        </is>
      </c>
      <c r="B1340" t="inlineStr">
        <is>
          <t>J135</t>
        </is>
      </c>
      <c r="C1340" t="n">
        <v>135</v>
      </c>
      <c r="D1340" t="n">
        <v>10</v>
      </c>
      <c r="E1340" t="inlineStr">
        <is>
          <t>Input</t>
        </is>
      </c>
      <c r="F1340" t="n">
        <v/>
      </c>
      <c r="G1340" t="inlineStr">
        <is>
          <t>Premium</t>
        </is>
      </c>
      <c r="H1340" t="inlineStr"/>
      <c r="I1340" t="inlineStr">
        <is>
          <t>General</t>
        </is>
      </c>
      <c r="J1340" t="b">
        <v>1</v>
      </c>
      <c r="K1340" t="b">
        <v>0</v>
      </c>
      <c r="L1340" t="n">
        <v>11</v>
      </c>
      <c r="M1340" t="inlineStr">
        <is>
          <t>FF686868</t>
        </is>
      </c>
      <c r="N1340" t="inlineStr">
        <is>
          <t>00000000</t>
        </is>
      </c>
      <c r="O1340" t="inlineStr">
        <is>
          <t>left</t>
        </is>
      </c>
      <c r="P1340" t="n">
        <v/>
      </c>
      <c r="Q1340" t="b">
        <v>1</v>
      </c>
      <c r="R1340" t="b">
        <v>1</v>
      </c>
      <c r="S1340" t="n">
        <v/>
      </c>
      <c r="T1340" t="n">
        <v/>
      </c>
      <c r="U1340" t="n">
        <v/>
      </c>
      <c r="V1340" t="b">
        <v>0</v>
      </c>
      <c r="W1340" t="inlineStr"/>
      <c r="X1340" t="n">
        <v/>
      </c>
    </row>
    <row r="1341">
      <c r="A1341" t="inlineStr">
        <is>
          <t>ATF fuel</t>
        </is>
      </c>
      <c r="B1341" t="inlineStr">
        <is>
          <t>B136</t>
        </is>
      </c>
      <c r="C1341" t="n">
        <v>136</v>
      </c>
      <c r="D1341" t="n">
        <v>2</v>
      </c>
      <c r="E1341" t="inlineStr">
        <is>
          <t>Input</t>
        </is>
      </c>
      <c r="F1341" t="n">
        <v/>
      </c>
      <c r="G1341" t="inlineStr">
        <is>
          <t>April 01, 2010</t>
        </is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11</v>
      </c>
      <c r="M1341" t="inlineStr">
        <is>
          <t>Values must be of type &lt;class 'str'&gt;</t>
        </is>
      </c>
      <c r="N1341" t="inlineStr">
        <is>
          <t>00000000</t>
        </is>
      </c>
      <c r="O1341" t="n">
        <v/>
      </c>
      <c r="P1341" t="n">
        <v/>
      </c>
      <c r="R1341" t="b">
        <v>1</v>
      </c>
      <c r="S1341" t="n">
        <v/>
      </c>
      <c r="T1341" t="n">
        <v/>
      </c>
      <c r="U1341" t="n">
        <v/>
      </c>
      <c r="V1341" t="b">
        <v>0</v>
      </c>
      <c r="W1341" t="inlineStr"/>
      <c r="X1341" t="n">
        <v/>
      </c>
    </row>
    <row r="1342">
      <c r="A1342" t="inlineStr">
        <is>
          <t>ATF fuel</t>
        </is>
      </c>
      <c r="B1342" t="inlineStr">
        <is>
          <t>C136</t>
        </is>
      </c>
      <c r="C1342" t="n">
        <v>136</v>
      </c>
      <c r="D1342" t="n">
        <v>3</v>
      </c>
      <c r="E1342" t="inlineStr">
        <is>
          <t>Input</t>
        </is>
      </c>
      <c r="F1342" t="n">
        <v/>
      </c>
      <c r="G1342" t="n">
        <v>44361.80250000001</v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11</v>
      </c>
      <c r="M1342" t="inlineStr">
        <is>
          <t>Values must be of type &lt;class 'str'&gt;</t>
        </is>
      </c>
      <c r="N1342" t="inlineStr">
        <is>
          <t>00000000</t>
        </is>
      </c>
      <c r="O1342" t="n">
        <v/>
      </c>
      <c r="P1342" t="n">
        <v/>
      </c>
      <c r="R1342" t="b">
        <v>1</v>
      </c>
      <c r="S1342" t="n">
        <v/>
      </c>
      <c r="T1342" t="n">
        <v/>
      </c>
      <c r="U1342" t="n">
        <v/>
      </c>
      <c r="V1342" t="b">
        <v>0</v>
      </c>
      <c r="W1342" t="inlineStr"/>
      <c r="X1342" t="n">
        <v/>
      </c>
    </row>
    <row r="1343">
      <c r="A1343" t="inlineStr">
        <is>
          <t>ATF fuel</t>
        </is>
      </c>
      <c r="B1343" t="inlineStr">
        <is>
          <t>D136</t>
        </is>
      </c>
      <c r="C1343" t="n">
        <v>136</v>
      </c>
      <c r="D1343" t="n">
        <v>4</v>
      </c>
      <c r="E1343" t="inlineStr">
        <is>
          <t>Input</t>
        </is>
      </c>
      <c r="F1343" t="n">
        <v/>
      </c>
      <c r="G1343" t="n">
        <v>82.63</v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11</v>
      </c>
      <c r="M1343" t="inlineStr">
        <is>
          <t>Values must be of type &lt;class 'str'&gt;</t>
        </is>
      </c>
      <c r="N1343" t="inlineStr">
        <is>
          <t>00000000</t>
        </is>
      </c>
      <c r="O1343" t="n">
        <v/>
      </c>
      <c r="P1343" t="n">
        <v/>
      </c>
      <c r="R1343" t="b">
        <v>1</v>
      </c>
      <c r="S1343" t="n">
        <v/>
      </c>
      <c r="T1343" t="n">
        <v/>
      </c>
      <c r="U1343" t="n">
        <v/>
      </c>
      <c r="V1343" t="b">
        <v>0</v>
      </c>
      <c r="W1343" t="inlineStr"/>
      <c r="X1343" t="n">
        <v/>
      </c>
    </row>
    <row r="1344">
      <c r="A1344" t="inlineStr">
        <is>
          <t>ATF fuel</t>
        </is>
      </c>
      <c r="B1344" t="inlineStr">
        <is>
          <t>E136</t>
        </is>
      </c>
      <c r="C1344" t="n">
        <v>136</v>
      </c>
      <c r="D1344" t="n">
        <v>5</v>
      </c>
      <c r="E1344" t="inlineStr">
        <is>
          <t>Input</t>
        </is>
      </c>
      <c r="F1344" t="n">
        <v/>
      </c>
      <c r="G1344" t="n">
        <v>84.53</v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11</v>
      </c>
      <c r="M1344" t="inlineStr">
        <is>
          <t>Values must be of type &lt;class 'str'&gt;</t>
        </is>
      </c>
      <c r="N1344" t="inlineStr">
        <is>
          <t>00000000</t>
        </is>
      </c>
      <c r="O1344" t="n">
        <v/>
      </c>
      <c r="P1344" t="n">
        <v/>
      </c>
      <c r="R1344" t="b">
        <v>1</v>
      </c>
      <c r="S1344" t="n">
        <v/>
      </c>
      <c r="T1344" t="n">
        <v/>
      </c>
      <c r="U1344" t="n">
        <v/>
      </c>
      <c r="V1344" t="b">
        <v>0</v>
      </c>
      <c r="W1344" t="inlineStr"/>
      <c r="X1344" t="n">
        <v/>
      </c>
    </row>
    <row r="1345">
      <c r="A1345" t="inlineStr">
        <is>
          <t>ATF fuel</t>
        </is>
      </c>
      <c r="B1345" t="inlineStr">
        <is>
          <t>F136</t>
        </is>
      </c>
      <c r="C1345" t="n">
        <v>136</v>
      </c>
      <c r="D1345" t="n">
        <v>6</v>
      </c>
      <c r="E1345" t="inlineStr">
        <is>
          <t>Input</t>
        </is>
      </c>
      <c r="F1345" t="n">
        <v/>
      </c>
      <c r="G1345" t="inlineStr">
        <is>
          <t>April 01, 2010</t>
        </is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11</v>
      </c>
      <c r="M1345" t="inlineStr">
        <is>
          <t>Values must be of type &lt;class 'str'&gt;</t>
        </is>
      </c>
      <c r="N1345" t="inlineStr">
        <is>
          <t>00000000</t>
        </is>
      </c>
      <c r="O1345" t="inlineStr">
        <is>
          <t>left</t>
        </is>
      </c>
      <c r="P1345" t="n">
        <v/>
      </c>
      <c r="R1345" t="b">
        <v>1</v>
      </c>
      <c r="S1345" t="n">
        <v/>
      </c>
      <c r="T1345" t="n">
        <v/>
      </c>
      <c r="U1345" t="n">
        <v/>
      </c>
      <c r="V1345" t="b">
        <v>0</v>
      </c>
      <c r="W1345" t="inlineStr"/>
      <c r="X1345" t="n">
        <v/>
      </c>
    </row>
    <row r="1346">
      <c r="A1346" t="inlineStr">
        <is>
          <t>ATF fuel</t>
        </is>
      </c>
      <c r="B1346" t="inlineStr">
        <is>
          <t>G136</t>
        </is>
      </c>
      <c r="C1346" t="n">
        <v>136</v>
      </c>
      <c r="D1346" t="n">
        <v>7</v>
      </c>
      <c r="E1346" t="inlineStr">
        <is>
          <t>Input</t>
        </is>
      </c>
      <c r="F1346" t="n">
        <v/>
      </c>
      <c r="G1346" t="n">
        <v>100</v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11</v>
      </c>
      <c r="M1346" t="inlineStr">
        <is>
          <t>Values must be of type &lt;class 'str'&gt;</t>
        </is>
      </c>
      <c r="N1346" t="inlineStr">
        <is>
          <t>00000000</t>
        </is>
      </c>
      <c r="O1346" t="inlineStr">
        <is>
          <t>left</t>
        </is>
      </c>
      <c r="P1346" t="n">
        <v/>
      </c>
      <c r="R1346" t="b">
        <v>1</v>
      </c>
      <c r="S1346" t="n">
        <v/>
      </c>
      <c r="T1346" t="n">
        <v/>
      </c>
      <c r="U1346" t="n">
        <v/>
      </c>
      <c r="V1346" t="b">
        <v>0</v>
      </c>
      <c r="W1346" t="inlineStr"/>
      <c r="X1346" t="n">
        <v/>
      </c>
    </row>
    <row r="1347">
      <c r="A1347" t="inlineStr">
        <is>
          <t>ATF fuel</t>
        </is>
      </c>
      <c r="B1347" t="inlineStr">
        <is>
          <t>H136</t>
        </is>
      </c>
      <c r="C1347" t="n">
        <v>136</v>
      </c>
      <c r="D1347" t="n">
        <v>8</v>
      </c>
      <c r="E1347" t="inlineStr">
        <is>
          <t>Input</t>
        </is>
      </c>
      <c r="F1347" t="n">
        <v/>
      </c>
      <c r="G1347" t="n">
        <v>100</v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11</v>
      </c>
      <c r="M1347" t="inlineStr">
        <is>
          <t>Values must be of type &lt;class 'str'&gt;</t>
        </is>
      </c>
      <c r="N1347" t="inlineStr">
        <is>
          <t>00000000</t>
        </is>
      </c>
      <c r="O1347" t="inlineStr">
        <is>
          <t>left</t>
        </is>
      </c>
      <c r="P1347" t="n">
        <v/>
      </c>
      <c r="R1347" t="b">
        <v>1</v>
      </c>
      <c r="S1347" t="n">
        <v/>
      </c>
      <c r="T1347" t="n">
        <v/>
      </c>
      <c r="U1347" t="n">
        <v/>
      </c>
      <c r="V1347" t="b">
        <v>0</v>
      </c>
      <c r="W1347" t="inlineStr"/>
      <c r="X1347" t="n">
        <v/>
      </c>
    </row>
    <row r="1348">
      <c r="A1348" t="inlineStr">
        <is>
          <t>ATF fuel</t>
        </is>
      </c>
      <c r="B1348" t="inlineStr">
        <is>
          <t>I136</t>
        </is>
      </c>
      <c r="C1348" t="n">
        <v>136</v>
      </c>
      <c r="D1348" t="n">
        <v>9</v>
      </c>
      <c r="E1348" t="inlineStr">
        <is>
          <t>Input</t>
        </is>
      </c>
      <c r="F1348" t="n">
        <v/>
      </c>
      <c r="G1348" t="n">
        <v>100</v>
      </c>
      <c r="H1348" t="inlineStr"/>
      <c r="I1348" t="inlineStr">
        <is>
          <t>General</t>
        </is>
      </c>
      <c r="J1348" t="b">
        <v>0</v>
      </c>
      <c r="K1348" t="b">
        <v>0</v>
      </c>
      <c r="L1348" t="n">
        <v>11</v>
      </c>
      <c r="M1348" t="inlineStr">
        <is>
          <t>Values must be of type &lt;class 'str'&gt;</t>
        </is>
      </c>
      <c r="N1348" t="inlineStr">
        <is>
          <t>00000000</t>
        </is>
      </c>
      <c r="O1348" t="inlineStr">
        <is>
          <t>left</t>
        </is>
      </c>
      <c r="P1348" t="n">
        <v/>
      </c>
      <c r="R1348" t="b">
        <v>1</v>
      </c>
      <c r="S1348" t="n">
        <v/>
      </c>
      <c r="T1348" t="n">
        <v/>
      </c>
      <c r="U1348" t="n">
        <v/>
      </c>
      <c r="V1348" t="b">
        <v>0</v>
      </c>
      <c r="W1348" t="inlineStr"/>
      <c r="X1348" t="n">
        <v/>
      </c>
    </row>
    <row r="1349">
      <c r="A1349" t="inlineStr">
        <is>
          <t>ATF fuel</t>
        </is>
      </c>
      <c r="B1349" t="inlineStr">
        <is>
          <t>J136</t>
        </is>
      </c>
      <c r="C1349" t="n">
        <v>136</v>
      </c>
      <c r="D1349" t="n">
        <v>10</v>
      </c>
      <c r="E1349" t="inlineStr">
        <is>
          <t>Output</t>
        </is>
      </c>
      <c r="F1349" t="inlineStr">
        <is>
          <t>'=G136/H136-1</t>
        </is>
      </c>
      <c r="G1349" t="n">
        <v>0</v>
      </c>
      <c r="H1349" t="inlineStr"/>
      <c r="I1349" t="inlineStr">
        <is>
          <t>0.0%</t>
        </is>
      </c>
      <c r="J1349" t="b">
        <v>0</v>
      </c>
      <c r="K1349" t="b">
        <v>0</v>
      </c>
      <c r="L1349" t="n">
        <v>11</v>
      </c>
      <c r="M1349" t="inlineStr">
        <is>
          <t>Values must be of type &lt;class 'str'&gt;</t>
        </is>
      </c>
      <c r="N1349" t="inlineStr">
        <is>
          <t>00000000</t>
        </is>
      </c>
      <c r="O1349" t="n">
        <v/>
      </c>
      <c r="P1349" t="n">
        <v/>
      </c>
      <c r="R1349" t="b">
        <v>1</v>
      </c>
      <c r="S1349" t="inlineStr">
        <is>
          <t>G000295</t>
        </is>
      </c>
      <c r="T1349" t="inlineStr">
        <is>
          <t>Vertical</t>
        </is>
      </c>
      <c r="U1349" t="n">
        <v>93</v>
      </c>
      <c r="V1349" t="b">
        <v>1</v>
      </c>
      <c r="W1349" t="inlineStr">
        <is>
          <t>ATF fuel!J136:J228</t>
        </is>
      </c>
      <c r="X1349">
        <f>R[0]C[-3]/R[0]C[-2]-1</f>
        <v/>
      </c>
    </row>
    <row r="1350">
      <c r="A1350" t="inlineStr">
        <is>
          <t>ATF fuel</t>
        </is>
      </c>
      <c r="B1350" t="inlineStr">
        <is>
          <t>B137</t>
        </is>
      </c>
      <c r="C1350" t="n">
        <v>137</v>
      </c>
      <c r="D1350" t="n">
        <v>2</v>
      </c>
      <c r="E1350" t="inlineStr">
        <is>
          <t>Input</t>
        </is>
      </c>
      <c r="F1350" t="n">
        <v/>
      </c>
      <c r="G1350" t="inlineStr">
        <is>
          <t>May 01, 2010</t>
        </is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11</v>
      </c>
      <c r="M1350" t="inlineStr">
        <is>
          <t>Values must be of type &lt;class 'str'&gt;</t>
        </is>
      </c>
      <c r="N1350" t="inlineStr">
        <is>
          <t>00000000</t>
        </is>
      </c>
      <c r="O1350" t="n">
        <v/>
      </c>
      <c r="P1350" t="n">
        <v/>
      </c>
      <c r="R1350" t="b">
        <v>1</v>
      </c>
      <c r="S1350" t="n">
        <v/>
      </c>
      <c r="T1350" t="n">
        <v/>
      </c>
      <c r="U1350" t="n">
        <v/>
      </c>
      <c r="V1350" t="b">
        <v>0</v>
      </c>
      <c r="W1350" t="inlineStr"/>
      <c r="X1350" t="n">
        <v/>
      </c>
    </row>
    <row r="1351">
      <c r="A1351" t="inlineStr">
        <is>
          <t>ATF fuel</t>
        </is>
      </c>
      <c r="B1351" t="inlineStr">
        <is>
          <t>C137</t>
        </is>
      </c>
      <c r="C1351" t="n">
        <v>137</v>
      </c>
      <c r="D1351" t="n">
        <v>3</v>
      </c>
      <c r="E1351" t="inlineStr">
        <is>
          <t>Input</t>
        </is>
      </c>
      <c r="F1351" t="n">
        <v/>
      </c>
      <c r="G1351" t="n">
        <v>46016.395</v>
      </c>
      <c r="H1351" t="inlineStr"/>
      <c r="I1351" t="inlineStr">
        <is>
          <t>General</t>
        </is>
      </c>
      <c r="J1351" t="b">
        <v>0</v>
      </c>
      <c r="K1351" t="b">
        <v>0</v>
      </c>
      <c r="L1351" t="n">
        <v>11</v>
      </c>
      <c r="M1351" t="inlineStr">
        <is>
          <t>Values must be of type &lt;class 'str'&gt;</t>
        </is>
      </c>
      <c r="N1351" t="inlineStr">
        <is>
          <t>00000000</t>
        </is>
      </c>
      <c r="O1351" t="n">
        <v/>
      </c>
      <c r="P1351" t="n">
        <v/>
      </c>
      <c r="R1351" t="b">
        <v>1</v>
      </c>
      <c r="S1351" t="n">
        <v/>
      </c>
      <c r="T1351" t="n">
        <v/>
      </c>
      <c r="U1351" t="n">
        <v/>
      </c>
      <c r="V1351" t="b">
        <v>0</v>
      </c>
      <c r="W1351" t="inlineStr"/>
      <c r="X1351" t="n">
        <v/>
      </c>
    </row>
    <row r="1352">
      <c r="A1352" t="inlineStr">
        <is>
          <t>ATF fuel</t>
        </is>
      </c>
      <c r="B1352" t="inlineStr">
        <is>
          <t>D137</t>
        </is>
      </c>
      <c r="C1352" t="n">
        <v>137</v>
      </c>
      <c r="D1352" t="n">
        <v>4</v>
      </c>
      <c r="E1352" t="inlineStr">
        <is>
          <t>Input</t>
        </is>
      </c>
      <c r="F1352" t="n">
        <v/>
      </c>
      <c r="G1352" t="n">
        <v>88.09</v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11</v>
      </c>
      <c r="M1352" t="inlineStr">
        <is>
          <t>Values must be of type &lt;class 'str'&gt;</t>
        </is>
      </c>
      <c r="N1352" t="inlineStr">
        <is>
          <t>00000000</t>
        </is>
      </c>
      <c r="O1352" t="n">
        <v/>
      </c>
      <c r="P1352" t="n">
        <v/>
      </c>
      <c r="R1352" t="b">
        <v>1</v>
      </c>
      <c r="S1352" t="n">
        <v/>
      </c>
      <c r="T1352" t="n">
        <v/>
      </c>
      <c r="U1352" t="n">
        <v/>
      </c>
      <c r="V1352" t="b">
        <v>0</v>
      </c>
      <c r="W1352" t="inlineStr"/>
      <c r="X1352" t="n">
        <v/>
      </c>
    </row>
    <row r="1353">
      <c r="A1353" t="inlineStr">
        <is>
          <t>ATF fuel</t>
        </is>
      </c>
      <c r="B1353" t="inlineStr">
        <is>
          <t>E137</t>
        </is>
      </c>
      <c r="C1353" t="n">
        <v>137</v>
      </c>
      <c r="D1353" t="n">
        <v>5</v>
      </c>
      <c r="E1353" t="inlineStr">
        <is>
          <t>Input</t>
        </is>
      </c>
      <c r="F1353" t="n">
        <v/>
      </c>
      <c r="G1353" t="n">
        <v>86.19</v>
      </c>
      <c r="H1353" t="inlineStr"/>
      <c r="I1353" t="inlineStr">
        <is>
          <t>General</t>
        </is>
      </c>
      <c r="J1353" t="b">
        <v>0</v>
      </c>
      <c r="K1353" t="b">
        <v>0</v>
      </c>
      <c r="L1353" t="n">
        <v>11</v>
      </c>
      <c r="M1353" t="inlineStr">
        <is>
          <t>Values must be of type &lt;class 'str'&gt;</t>
        </is>
      </c>
      <c r="N1353" t="inlineStr">
        <is>
          <t>00000000</t>
        </is>
      </c>
      <c r="O1353" t="n">
        <v/>
      </c>
      <c r="P1353" t="n">
        <v/>
      </c>
      <c r="R1353" t="b">
        <v>1</v>
      </c>
      <c r="S1353" t="n">
        <v/>
      </c>
      <c r="T1353" t="n">
        <v/>
      </c>
      <c r="U1353" t="n">
        <v/>
      </c>
      <c r="V1353" t="b">
        <v>0</v>
      </c>
      <c r="W1353" t="inlineStr"/>
      <c r="X1353" t="n">
        <v/>
      </c>
    </row>
    <row r="1354">
      <c r="A1354" t="inlineStr">
        <is>
          <t>ATF fuel</t>
        </is>
      </c>
      <c r="B1354" t="inlineStr">
        <is>
          <t>F137</t>
        </is>
      </c>
      <c r="C1354" t="n">
        <v>137</v>
      </c>
      <c r="D1354" t="n">
        <v>6</v>
      </c>
      <c r="E1354" t="inlineStr">
        <is>
          <t>Input</t>
        </is>
      </c>
      <c r="F1354" t="n">
        <v/>
      </c>
      <c r="G1354" t="inlineStr">
        <is>
          <t>May 01, 2010</t>
        </is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11</v>
      </c>
      <c r="M1354" t="inlineStr">
        <is>
          <t>Values must be of type &lt;class 'str'&gt;</t>
        </is>
      </c>
      <c r="N1354" t="inlineStr">
        <is>
          <t>00000000</t>
        </is>
      </c>
      <c r="O1354" t="inlineStr">
        <is>
          <t>left</t>
        </is>
      </c>
      <c r="P1354" t="n">
        <v/>
      </c>
      <c r="R1354" t="b">
        <v>1</v>
      </c>
      <c r="S1354" t="n">
        <v/>
      </c>
      <c r="T1354" t="n">
        <v/>
      </c>
      <c r="U1354" t="n">
        <v/>
      </c>
      <c r="V1354" t="b">
        <v>0</v>
      </c>
      <c r="W1354" t="inlineStr"/>
      <c r="X1354" t="n">
        <v/>
      </c>
    </row>
    <row r="1355">
      <c r="A1355" t="inlineStr">
        <is>
          <t>ATF fuel</t>
        </is>
      </c>
      <c r="B1355" t="inlineStr">
        <is>
          <t>G137</t>
        </is>
      </c>
      <c r="C1355" t="n">
        <v>137</v>
      </c>
      <c r="D1355" t="n">
        <v>7</v>
      </c>
      <c r="E1355" t="inlineStr">
        <is>
          <t>Calculation</t>
        </is>
      </c>
      <c r="F1355" t="inlineStr">
        <is>
          <t>'=(1+(C137/C136)-1)*G136</t>
        </is>
      </c>
      <c r="G1355" t="n">
        <v>103.7297684195767</v>
      </c>
      <c r="H1355" t="inlineStr"/>
      <c r="I1355" t="inlineStr">
        <is>
          <t>General</t>
        </is>
      </c>
      <c r="J1355" t="b">
        <v>0</v>
      </c>
      <c r="K1355" t="b">
        <v>0</v>
      </c>
      <c r="L1355" t="n">
        <v>11</v>
      </c>
      <c r="M1355" t="inlineStr">
        <is>
          <t>Values must be of type &lt;class 'str'&gt;</t>
        </is>
      </c>
      <c r="N1355" t="inlineStr">
        <is>
          <t>00000000</t>
        </is>
      </c>
      <c r="O1355" t="inlineStr">
        <is>
          <t>left</t>
        </is>
      </c>
      <c r="P1355" t="n">
        <v/>
      </c>
      <c r="R1355" t="b">
        <v>1</v>
      </c>
      <c r="S1355" t="inlineStr">
        <is>
          <t>G000296</t>
        </is>
      </c>
      <c r="T1355" t="inlineStr">
        <is>
          <t>Horizontal</t>
        </is>
      </c>
      <c r="U1355" t="n">
        <v>3</v>
      </c>
      <c r="V1355" t="b">
        <v>1</v>
      </c>
      <c r="W1355" t="inlineStr">
        <is>
          <t>ATF fuel!G137:I137</t>
        </is>
      </c>
      <c r="X1355">
        <f>(1+(R[0]C[-4]/R[-1]C[-4])-1)*R[-1]C[0]</f>
        <v/>
      </c>
    </row>
    <row r="1356">
      <c r="A1356" t="inlineStr">
        <is>
          <t>ATF fuel</t>
        </is>
      </c>
      <c r="B1356" t="inlineStr">
        <is>
          <t>H137</t>
        </is>
      </c>
      <c r="C1356" t="n">
        <v>137</v>
      </c>
      <c r="D1356" t="n">
        <v>8</v>
      </c>
      <c r="E1356" t="inlineStr">
        <is>
          <t>Calculation</t>
        </is>
      </c>
      <c r="F1356" t="inlineStr">
        <is>
          <t>'=(1+(D137/D136)-1)*H136</t>
        </is>
      </c>
      <c r="G1356" t="n">
        <v>106.6077695752148</v>
      </c>
      <c r="H1356" t="inlineStr"/>
      <c r="I1356" t="inlineStr">
        <is>
          <t>General</t>
        </is>
      </c>
      <c r="J1356" t="b">
        <v>0</v>
      </c>
      <c r="K1356" t="b">
        <v>0</v>
      </c>
      <c r="L1356" t="n">
        <v>11</v>
      </c>
      <c r="M1356" t="inlineStr">
        <is>
          <t>Values must be of type &lt;class 'str'&gt;</t>
        </is>
      </c>
      <c r="N1356" t="inlineStr">
        <is>
          <t>00000000</t>
        </is>
      </c>
      <c r="O1356" t="inlineStr">
        <is>
          <t>left</t>
        </is>
      </c>
      <c r="P1356" t="n">
        <v/>
      </c>
      <c r="R1356" t="b">
        <v>1</v>
      </c>
      <c r="S1356" t="inlineStr">
        <is>
          <t>G000296</t>
        </is>
      </c>
      <c r="T1356" t="inlineStr">
        <is>
          <t>Horizontal</t>
        </is>
      </c>
      <c r="U1356" t="n">
        <v>3</v>
      </c>
      <c r="V1356" t="b">
        <v>1</v>
      </c>
      <c r="W1356" t="inlineStr">
        <is>
          <t>ATF fuel!G137:I137</t>
        </is>
      </c>
      <c r="X1356">
        <f>(1+(R[0]C[-4]/R[-1]C[-4])-1)*R[-1]C[0]</f>
        <v/>
      </c>
    </row>
    <row r="1357">
      <c r="A1357" t="inlineStr">
        <is>
          <t>ATF fuel</t>
        </is>
      </c>
      <c r="B1357" t="inlineStr">
        <is>
          <t>I137</t>
        </is>
      </c>
      <c r="C1357" t="n">
        <v>137</v>
      </c>
      <c r="D1357" t="n">
        <v>9</v>
      </c>
      <c r="E1357" t="inlineStr">
        <is>
          <t>Calculation</t>
        </is>
      </c>
      <c r="F1357" t="inlineStr">
        <is>
          <t>'=(1+(E137/E136)-1)*I136</t>
        </is>
      </c>
      <c r="G1357" t="n">
        <v>101.9637998343783</v>
      </c>
      <c r="H1357" t="inlineStr"/>
      <c r="I1357" t="inlineStr">
        <is>
          <t>General</t>
        </is>
      </c>
      <c r="J1357" t="b">
        <v>0</v>
      </c>
      <c r="K1357" t="b">
        <v>0</v>
      </c>
      <c r="L1357" t="n">
        <v>11</v>
      </c>
      <c r="M1357" t="inlineStr">
        <is>
          <t>Values must be of type &lt;class 'str'&gt;</t>
        </is>
      </c>
      <c r="N1357" t="inlineStr">
        <is>
          <t>00000000</t>
        </is>
      </c>
      <c r="O1357" t="inlineStr">
        <is>
          <t>left</t>
        </is>
      </c>
      <c r="P1357" t="n">
        <v/>
      </c>
      <c r="R1357" t="b">
        <v>1</v>
      </c>
      <c r="S1357" t="inlineStr">
        <is>
          <t>G000296</t>
        </is>
      </c>
      <c r="T1357" t="inlineStr">
        <is>
          <t>Horizontal</t>
        </is>
      </c>
      <c r="U1357" t="n">
        <v>3</v>
      </c>
      <c r="V1357" t="b">
        <v>1</v>
      </c>
      <c r="W1357" t="inlineStr">
        <is>
          <t>ATF fuel!G137:I137</t>
        </is>
      </c>
      <c r="X1357">
        <f>(1+(R[0]C[-4]/R[-1]C[-4])-1)*R[-1]C[0]</f>
        <v/>
      </c>
    </row>
    <row r="1358">
      <c r="A1358" t="inlineStr">
        <is>
          <t>ATF fuel</t>
        </is>
      </c>
      <c r="B1358" t="inlineStr">
        <is>
          <t>J137</t>
        </is>
      </c>
      <c r="C1358" t="n">
        <v>137</v>
      </c>
      <c r="D1358" t="n">
        <v>10</v>
      </c>
      <c r="E1358" t="inlineStr">
        <is>
          <t>Output</t>
        </is>
      </c>
      <c r="F1358" t="inlineStr">
        <is>
          <t>'=G137/H137-1</t>
        </is>
      </c>
      <c r="G1358" t="n">
        <v>-0.02699616704397512</v>
      </c>
      <c r="H1358" t="inlineStr"/>
      <c r="I1358" t="inlineStr">
        <is>
          <t>0.0%</t>
        </is>
      </c>
      <c r="J1358" t="b">
        <v>0</v>
      </c>
      <c r="K1358" t="b">
        <v>0</v>
      </c>
      <c r="L1358" t="n">
        <v>11</v>
      </c>
      <c r="M1358" t="inlineStr">
        <is>
          <t>Values must be of type &lt;class 'str'&gt;</t>
        </is>
      </c>
      <c r="N1358" t="inlineStr">
        <is>
          <t>00000000</t>
        </is>
      </c>
      <c r="O1358" t="n">
        <v/>
      </c>
      <c r="P1358" t="n">
        <v/>
      </c>
      <c r="R1358" t="b">
        <v>1</v>
      </c>
      <c r="S1358" t="inlineStr">
        <is>
          <t>G000295</t>
        </is>
      </c>
      <c r="T1358" t="inlineStr">
        <is>
          <t>Vertical</t>
        </is>
      </c>
      <c r="U1358" t="n">
        <v>93</v>
      </c>
      <c r="V1358" t="b">
        <v>1</v>
      </c>
      <c r="W1358" t="inlineStr">
        <is>
          <t>ATF fuel!J136:J228</t>
        </is>
      </c>
      <c r="X1358">
        <f>R[0]C[-3]/R[0]C[-2]-1</f>
        <v/>
      </c>
    </row>
    <row r="1359">
      <c r="A1359" t="inlineStr">
        <is>
          <t>ATF fuel</t>
        </is>
      </c>
      <c r="B1359" t="inlineStr">
        <is>
          <t>B138</t>
        </is>
      </c>
      <c r="C1359" t="n">
        <v>138</v>
      </c>
      <c r="D1359" t="n">
        <v>2</v>
      </c>
      <c r="E1359" t="inlineStr">
        <is>
          <t>Input</t>
        </is>
      </c>
      <c r="F1359" t="n">
        <v/>
      </c>
      <c r="G1359" t="inlineStr">
        <is>
          <t>June 01, 2010</t>
        </is>
      </c>
      <c r="H1359" t="inlineStr"/>
      <c r="I1359" t="inlineStr">
        <is>
          <t>General</t>
        </is>
      </c>
      <c r="J1359" t="b">
        <v>0</v>
      </c>
      <c r="K1359" t="b">
        <v>0</v>
      </c>
      <c r="L1359" t="n">
        <v>11</v>
      </c>
      <c r="M1359" t="inlineStr">
        <is>
          <t>Values must be of type &lt;class 'str'&gt;</t>
        </is>
      </c>
      <c r="N1359" t="inlineStr">
        <is>
          <t>00000000</t>
        </is>
      </c>
      <c r="O1359" t="n">
        <v/>
      </c>
      <c r="P1359" t="n">
        <v/>
      </c>
      <c r="R1359" t="b">
        <v>1</v>
      </c>
      <c r="S1359" t="n">
        <v/>
      </c>
      <c r="T1359" t="n">
        <v/>
      </c>
      <c r="U1359" t="n">
        <v/>
      </c>
      <c r="V1359" t="b">
        <v>0</v>
      </c>
      <c r="W1359" t="inlineStr"/>
      <c r="X1359" t="n">
        <v/>
      </c>
    </row>
    <row r="1360">
      <c r="A1360" t="inlineStr">
        <is>
          <t>ATF fuel</t>
        </is>
      </c>
      <c r="B1360" t="inlineStr">
        <is>
          <t>C138</t>
        </is>
      </c>
      <c r="C1360" t="n">
        <v>138</v>
      </c>
      <c r="D1360" t="n">
        <v>3</v>
      </c>
      <c r="E1360" t="inlineStr">
        <is>
          <t>Input</t>
        </is>
      </c>
      <c r="F1360" t="n">
        <v/>
      </c>
      <c r="G1360" t="n">
        <v>42951.23</v>
      </c>
      <c r="H1360" t="inlineStr"/>
      <c r="I1360" t="inlineStr">
        <is>
          <t>General</t>
        </is>
      </c>
      <c r="J1360" t="b">
        <v>0</v>
      </c>
      <c r="K1360" t="b">
        <v>0</v>
      </c>
      <c r="L1360" t="n">
        <v>11</v>
      </c>
      <c r="M1360" t="inlineStr">
        <is>
          <t>Values must be of type &lt;class 'str'&gt;</t>
        </is>
      </c>
      <c r="N1360" t="inlineStr">
        <is>
          <t>00000000</t>
        </is>
      </c>
      <c r="O1360" t="n">
        <v/>
      </c>
      <c r="P1360" t="n">
        <v/>
      </c>
      <c r="R1360" t="b">
        <v>1</v>
      </c>
      <c r="S1360" t="n">
        <v/>
      </c>
      <c r="T1360" t="n">
        <v/>
      </c>
      <c r="U1360" t="n">
        <v/>
      </c>
      <c r="V1360" t="b">
        <v>0</v>
      </c>
      <c r="W1360" t="inlineStr"/>
      <c r="X1360" t="n">
        <v/>
      </c>
    </row>
    <row r="1361">
      <c r="A1361" t="inlineStr">
        <is>
          <t>ATF fuel</t>
        </is>
      </c>
      <c r="B1361" t="inlineStr">
        <is>
          <t>D138</t>
        </is>
      </c>
      <c r="C1361" t="n">
        <v>138</v>
      </c>
      <c r="D1361" t="n">
        <v>4</v>
      </c>
      <c r="E1361" t="inlineStr">
        <is>
          <t>Input</t>
        </is>
      </c>
      <c r="F1361" t="n">
        <v/>
      </c>
      <c r="G1361" t="n">
        <v>73.08</v>
      </c>
      <c r="H1361" t="inlineStr"/>
      <c r="I1361" t="inlineStr">
        <is>
          <t>General</t>
        </is>
      </c>
      <c r="J1361" t="b">
        <v>0</v>
      </c>
      <c r="K1361" t="b">
        <v>0</v>
      </c>
      <c r="L1361" t="n">
        <v>11</v>
      </c>
      <c r="M1361" t="inlineStr">
        <is>
          <t>Values must be of type &lt;class 'str'&gt;</t>
        </is>
      </c>
      <c r="N1361" t="inlineStr">
        <is>
          <t>00000000</t>
        </is>
      </c>
      <c r="O1361" t="n">
        <v/>
      </c>
      <c r="P1361" t="n">
        <v/>
      </c>
      <c r="R1361" t="b">
        <v>1</v>
      </c>
      <c r="S1361" t="n">
        <v/>
      </c>
      <c r="T1361" t="n">
        <v/>
      </c>
      <c r="U1361" t="n">
        <v/>
      </c>
      <c r="V1361" t="b">
        <v>0</v>
      </c>
      <c r="W1361" t="inlineStr"/>
      <c r="X1361" t="n">
        <v/>
      </c>
    </row>
    <row r="1362">
      <c r="A1362" t="inlineStr">
        <is>
          <t>ATF fuel</t>
        </is>
      </c>
      <c r="B1362" t="inlineStr">
        <is>
          <t>E138</t>
        </is>
      </c>
      <c r="C1362" t="n">
        <v>138</v>
      </c>
      <c r="D1362" t="n">
        <v>5</v>
      </c>
      <c r="E1362" t="inlineStr">
        <is>
          <t>Input</t>
        </is>
      </c>
      <c r="F1362" t="n">
        <v/>
      </c>
      <c r="G1362" t="n">
        <v>72.7</v>
      </c>
      <c r="H1362" t="inlineStr"/>
      <c r="I1362" t="inlineStr">
        <is>
          <t>General</t>
        </is>
      </c>
      <c r="J1362" t="b">
        <v>0</v>
      </c>
      <c r="K1362" t="b">
        <v>0</v>
      </c>
      <c r="L1362" t="n">
        <v>11</v>
      </c>
      <c r="M1362" t="inlineStr">
        <is>
          <t>Values must be of type &lt;class 'str'&gt;</t>
        </is>
      </c>
      <c r="N1362" t="inlineStr">
        <is>
          <t>00000000</t>
        </is>
      </c>
      <c r="O1362" t="n">
        <v/>
      </c>
      <c r="P1362" t="n">
        <v/>
      </c>
      <c r="R1362" t="b">
        <v>1</v>
      </c>
      <c r="S1362" t="n">
        <v/>
      </c>
      <c r="T1362" t="n">
        <v/>
      </c>
      <c r="U1362" t="n">
        <v/>
      </c>
      <c r="V1362" t="b">
        <v>0</v>
      </c>
      <c r="W1362" t="inlineStr"/>
      <c r="X1362" t="n">
        <v/>
      </c>
    </row>
    <row r="1363">
      <c r="A1363" t="inlineStr">
        <is>
          <t>ATF fuel</t>
        </is>
      </c>
      <c r="B1363" t="inlineStr">
        <is>
          <t>F138</t>
        </is>
      </c>
      <c r="C1363" t="n">
        <v>138</v>
      </c>
      <c r="D1363" t="n">
        <v>6</v>
      </c>
      <c r="E1363" t="inlineStr">
        <is>
          <t>Input</t>
        </is>
      </c>
      <c r="F1363" t="n">
        <v/>
      </c>
      <c r="G1363" t="inlineStr">
        <is>
          <t>June 01, 2010</t>
        </is>
      </c>
      <c r="H1363" t="inlineStr"/>
      <c r="I1363" t="inlineStr">
        <is>
          <t>General</t>
        </is>
      </c>
      <c r="J1363" t="b">
        <v>0</v>
      </c>
      <c r="K1363" t="b">
        <v>0</v>
      </c>
      <c r="L1363" t="n">
        <v>11</v>
      </c>
      <c r="M1363" t="inlineStr">
        <is>
          <t>Values must be of type &lt;class 'str'&gt;</t>
        </is>
      </c>
      <c r="N1363" t="inlineStr">
        <is>
          <t>00000000</t>
        </is>
      </c>
      <c r="O1363" t="inlineStr">
        <is>
          <t>left</t>
        </is>
      </c>
      <c r="P1363" t="n">
        <v/>
      </c>
      <c r="R1363" t="b">
        <v>1</v>
      </c>
      <c r="S1363" t="n">
        <v/>
      </c>
      <c r="T1363" t="n">
        <v/>
      </c>
      <c r="U1363" t="n">
        <v/>
      </c>
      <c r="V1363" t="b">
        <v>0</v>
      </c>
      <c r="W1363" t="inlineStr"/>
      <c r="X1363" t="n">
        <v/>
      </c>
    </row>
    <row r="1364">
      <c r="A1364" t="inlineStr">
        <is>
          <t>ATF fuel</t>
        </is>
      </c>
      <c r="B1364" t="inlineStr">
        <is>
          <t>G138</t>
        </is>
      </c>
      <c r="C1364" t="n">
        <v>138</v>
      </c>
      <c r="D1364" t="n">
        <v>7</v>
      </c>
      <c r="E1364" t="inlineStr">
        <is>
          <t>Calculation</t>
        </is>
      </c>
      <c r="F1364" t="inlineStr">
        <is>
          <t>'=(1+(C138/C137)-1)*G137</t>
        </is>
      </c>
      <c r="G1364" t="n">
        <v>96.82029940059356</v>
      </c>
      <c r="H1364" t="inlineStr"/>
      <c r="I1364" t="inlineStr">
        <is>
          <t>General</t>
        </is>
      </c>
      <c r="J1364" t="b">
        <v>0</v>
      </c>
      <c r="K1364" t="b">
        <v>0</v>
      </c>
      <c r="L1364" t="n">
        <v>11</v>
      </c>
      <c r="M1364" t="inlineStr">
        <is>
          <t>Values must be of type &lt;class 'str'&gt;</t>
        </is>
      </c>
      <c r="N1364" t="inlineStr">
        <is>
          <t>00000000</t>
        </is>
      </c>
      <c r="O1364" t="inlineStr">
        <is>
          <t>left</t>
        </is>
      </c>
      <c r="P1364" t="n">
        <v/>
      </c>
      <c r="R1364" t="b">
        <v>1</v>
      </c>
      <c r="S1364" t="inlineStr">
        <is>
          <t>G000297</t>
        </is>
      </c>
      <c r="T1364" t="inlineStr">
        <is>
          <t>Horizontal</t>
        </is>
      </c>
      <c r="U1364" t="n">
        <v>3</v>
      </c>
      <c r="V1364" t="b">
        <v>1</v>
      </c>
      <c r="W1364" t="inlineStr">
        <is>
          <t>ATF fuel!G138:I138</t>
        </is>
      </c>
      <c r="X1364">
        <f>(1+(R[0]C[-4]/R[-1]C[-4])-1)*R[-1]C[0]</f>
        <v/>
      </c>
    </row>
    <row r="1365">
      <c r="A1365" t="inlineStr">
        <is>
          <t>ATF fuel</t>
        </is>
      </c>
      <c r="B1365" t="inlineStr">
        <is>
          <t>H138</t>
        </is>
      </c>
      <c r="C1365" t="n">
        <v>138</v>
      </c>
      <c r="D1365" t="n">
        <v>8</v>
      </c>
      <c r="E1365" t="inlineStr">
        <is>
          <t>Calculation</t>
        </is>
      </c>
      <c r="F1365" t="inlineStr">
        <is>
          <t>'=(1+(D138/D137)-1)*H137</t>
        </is>
      </c>
      <c r="G1365" t="n">
        <v>88.44245431441367</v>
      </c>
      <c r="H1365" t="inlineStr"/>
      <c r="I1365" t="inlineStr">
        <is>
          <t>General</t>
        </is>
      </c>
      <c r="J1365" t="b">
        <v>0</v>
      </c>
      <c r="K1365" t="b">
        <v>0</v>
      </c>
      <c r="L1365" t="n">
        <v>11</v>
      </c>
      <c r="M1365" t="inlineStr">
        <is>
          <t>Values must be of type &lt;class 'str'&gt;</t>
        </is>
      </c>
      <c r="N1365" t="inlineStr">
        <is>
          <t>00000000</t>
        </is>
      </c>
      <c r="O1365" t="inlineStr">
        <is>
          <t>left</t>
        </is>
      </c>
      <c r="P1365" t="n">
        <v/>
      </c>
      <c r="R1365" t="b">
        <v>1</v>
      </c>
      <c r="S1365" t="inlineStr">
        <is>
          <t>G000297</t>
        </is>
      </c>
      <c r="T1365" t="inlineStr">
        <is>
          <t>Horizontal</t>
        </is>
      </c>
      <c r="U1365" t="n">
        <v>3</v>
      </c>
      <c r="V1365" t="b">
        <v>1</v>
      </c>
      <c r="W1365" t="inlineStr">
        <is>
          <t>ATF fuel!G138:I138</t>
        </is>
      </c>
      <c r="X1365">
        <f>(1+(R[0]C[-4]/R[-1]C[-4])-1)*R[-1]C[0]</f>
        <v/>
      </c>
    </row>
    <row r="1366">
      <c r="A1366" t="inlineStr">
        <is>
          <t>ATF fuel</t>
        </is>
      </c>
      <c r="B1366" t="inlineStr">
        <is>
          <t>I138</t>
        </is>
      </c>
      <c r="C1366" t="n">
        <v>138</v>
      </c>
      <c r="D1366" t="n">
        <v>9</v>
      </c>
      <c r="E1366" t="inlineStr">
        <is>
          <t>Calculation</t>
        </is>
      </c>
      <c r="F1366" t="inlineStr">
        <is>
          <t>'=(1+(E138/E137)-1)*I137</t>
        </is>
      </c>
      <c r="G1366" t="n">
        <v>86.00496865018337</v>
      </c>
      <c r="H1366" t="inlineStr"/>
      <c r="I1366" t="inlineStr">
        <is>
          <t>General</t>
        </is>
      </c>
      <c r="J1366" t="b">
        <v>0</v>
      </c>
      <c r="K1366" t="b">
        <v>0</v>
      </c>
      <c r="L1366" t="n">
        <v>11</v>
      </c>
      <c r="M1366" t="inlineStr">
        <is>
          <t>Values must be of type &lt;class 'str'&gt;</t>
        </is>
      </c>
      <c r="N1366" t="inlineStr">
        <is>
          <t>00000000</t>
        </is>
      </c>
      <c r="O1366" t="inlineStr">
        <is>
          <t>left</t>
        </is>
      </c>
      <c r="P1366" t="n">
        <v/>
      </c>
      <c r="R1366" t="b">
        <v>1</v>
      </c>
      <c r="S1366" t="inlineStr">
        <is>
          <t>G000297</t>
        </is>
      </c>
      <c r="T1366" t="inlineStr">
        <is>
          <t>Horizontal</t>
        </is>
      </c>
      <c r="U1366" t="n">
        <v>3</v>
      </c>
      <c r="V1366" t="b">
        <v>1</v>
      </c>
      <c r="W1366" t="inlineStr">
        <is>
          <t>ATF fuel!G138:I138</t>
        </is>
      </c>
      <c r="X1366">
        <f>(1+(R[0]C[-4]/R[-1]C[-4])-1)*R[-1]C[0]</f>
        <v/>
      </c>
    </row>
    <row r="1367">
      <c r="A1367" t="inlineStr">
        <is>
          <t>ATF fuel</t>
        </is>
      </c>
      <c r="B1367" t="inlineStr">
        <is>
          <t>J138</t>
        </is>
      </c>
      <c r="C1367" t="n">
        <v>138</v>
      </c>
      <c r="D1367" t="n">
        <v>10</v>
      </c>
      <c r="E1367" t="inlineStr">
        <is>
          <t>Output</t>
        </is>
      </c>
      <c r="F1367" t="inlineStr">
        <is>
          <t>'=G138/H138-1</t>
        </is>
      </c>
      <c r="G1367" t="n">
        <v>0.09472651060085435</v>
      </c>
      <c r="H1367" t="inlineStr"/>
      <c r="I1367" t="inlineStr">
        <is>
          <t>0.0%</t>
        </is>
      </c>
      <c r="J1367" t="b">
        <v>0</v>
      </c>
      <c r="K1367" t="b">
        <v>0</v>
      </c>
      <c r="L1367" t="n">
        <v>11</v>
      </c>
      <c r="M1367" t="inlineStr">
        <is>
          <t>Values must be of type &lt;class 'str'&gt;</t>
        </is>
      </c>
      <c r="N1367" t="inlineStr">
        <is>
          <t>00000000</t>
        </is>
      </c>
      <c r="O1367" t="n">
        <v/>
      </c>
      <c r="P1367" t="n">
        <v/>
      </c>
      <c r="R1367" t="b">
        <v>1</v>
      </c>
      <c r="S1367" t="inlineStr">
        <is>
          <t>G000295</t>
        </is>
      </c>
      <c r="T1367" t="inlineStr">
        <is>
          <t>Vertical</t>
        </is>
      </c>
      <c r="U1367" t="n">
        <v>93</v>
      </c>
      <c r="V1367" t="b">
        <v>1</v>
      </c>
      <c r="W1367" t="inlineStr">
        <is>
          <t>ATF fuel!J136:J228</t>
        </is>
      </c>
      <c r="X1367">
        <f>R[0]C[-3]/R[0]C[-2]-1</f>
        <v/>
      </c>
    </row>
    <row r="1368">
      <c r="A1368" t="inlineStr">
        <is>
          <t>ATF fuel</t>
        </is>
      </c>
      <c r="B1368" t="inlineStr">
        <is>
          <t>B139</t>
        </is>
      </c>
      <c r="C1368" t="n">
        <v>139</v>
      </c>
      <c r="D1368" t="n">
        <v>2</v>
      </c>
      <c r="E1368" t="inlineStr">
        <is>
          <t>Input</t>
        </is>
      </c>
      <c r="F1368" t="n">
        <v/>
      </c>
      <c r="G1368" t="inlineStr">
        <is>
          <t>July 01, 2010</t>
        </is>
      </c>
      <c r="H1368" t="inlineStr"/>
      <c r="I1368" t="inlineStr">
        <is>
          <t>General</t>
        </is>
      </c>
      <c r="J1368" t="b">
        <v>0</v>
      </c>
      <c r="K1368" t="b">
        <v>0</v>
      </c>
      <c r="L1368" t="n">
        <v>11</v>
      </c>
      <c r="M1368" t="inlineStr">
        <is>
          <t>Values must be of type &lt;class 'str'&gt;</t>
        </is>
      </c>
      <c r="N1368" t="inlineStr">
        <is>
          <t>00000000</t>
        </is>
      </c>
      <c r="O1368" t="n">
        <v/>
      </c>
      <c r="P1368" t="n">
        <v/>
      </c>
      <c r="R1368" t="b">
        <v>1</v>
      </c>
      <c r="S1368" t="n">
        <v/>
      </c>
      <c r="T1368" t="n">
        <v/>
      </c>
      <c r="U1368" t="n">
        <v/>
      </c>
      <c r="V1368" t="b">
        <v>0</v>
      </c>
      <c r="W1368" t="inlineStr"/>
      <c r="X1368" t="n">
        <v/>
      </c>
    </row>
    <row r="1369">
      <c r="A1369" t="inlineStr">
        <is>
          <t>ATF fuel</t>
        </is>
      </c>
      <c r="B1369" t="inlineStr">
        <is>
          <t>C139</t>
        </is>
      </c>
      <c r="C1369" t="n">
        <v>139</v>
      </c>
      <c r="D1369" t="n">
        <v>3</v>
      </c>
      <c r="E1369" t="inlineStr">
        <is>
          <t>Input</t>
        </is>
      </c>
      <c r="F1369" t="n">
        <v/>
      </c>
      <c r="G1369" t="n">
        <v>45016.6925</v>
      </c>
      <c r="H1369" t="inlineStr"/>
      <c r="I1369" t="inlineStr">
        <is>
          <t>General</t>
        </is>
      </c>
      <c r="J1369" t="b">
        <v>0</v>
      </c>
      <c r="K1369" t="b">
        <v>0</v>
      </c>
      <c r="L1369" t="n">
        <v>11</v>
      </c>
      <c r="M1369" t="inlineStr">
        <is>
          <t>Values must be of type &lt;class 'str'&gt;</t>
        </is>
      </c>
      <c r="N1369" t="inlineStr">
        <is>
          <t>00000000</t>
        </is>
      </c>
      <c r="O1369" t="n">
        <v/>
      </c>
      <c r="P1369" t="n">
        <v/>
      </c>
      <c r="R1369" t="b">
        <v>1</v>
      </c>
      <c r="S1369" t="n">
        <v/>
      </c>
      <c r="T1369" t="n">
        <v/>
      </c>
      <c r="U1369" t="n">
        <v/>
      </c>
      <c r="V1369" t="b">
        <v>0</v>
      </c>
      <c r="W1369" t="inlineStr"/>
      <c r="X1369" t="n">
        <v/>
      </c>
    </row>
    <row r="1370">
      <c r="A1370" t="inlineStr">
        <is>
          <t>ATF fuel</t>
        </is>
      </c>
      <c r="B1370" t="inlineStr">
        <is>
          <t>D139</t>
        </is>
      </c>
      <c r="C1370" t="n">
        <v>139</v>
      </c>
      <c r="D1370" t="n">
        <v>4</v>
      </c>
      <c r="E1370" t="inlineStr">
        <is>
          <t>Input</t>
        </is>
      </c>
      <c r="F1370" t="n">
        <v/>
      </c>
      <c r="G1370" t="n">
        <v>71.73</v>
      </c>
      <c r="H1370" t="inlineStr"/>
      <c r="I1370" t="inlineStr">
        <is>
          <t>General</t>
        </is>
      </c>
      <c r="J1370" t="b">
        <v>0</v>
      </c>
      <c r="K1370" t="b">
        <v>0</v>
      </c>
      <c r="L1370" t="n">
        <v>11</v>
      </c>
      <c r="M1370" t="inlineStr">
        <is>
          <t>Values must be of type &lt;class 'str'&gt;</t>
        </is>
      </c>
      <c r="N1370" t="inlineStr">
        <is>
          <t>00000000</t>
        </is>
      </c>
      <c r="O1370" t="n">
        <v/>
      </c>
      <c r="P1370" t="n">
        <v/>
      </c>
      <c r="R1370" t="b">
        <v>1</v>
      </c>
      <c r="S1370" t="n">
        <v/>
      </c>
      <c r="T1370" t="n">
        <v/>
      </c>
      <c r="U1370" t="n">
        <v/>
      </c>
      <c r="V1370" t="b">
        <v>0</v>
      </c>
      <c r="W1370" t="inlineStr"/>
      <c r="X1370" t="n">
        <v/>
      </c>
    </row>
    <row r="1371">
      <c r="A1371" t="inlineStr">
        <is>
          <t>ATF fuel</t>
        </is>
      </c>
      <c r="B1371" t="inlineStr">
        <is>
          <t>E139</t>
        </is>
      </c>
      <c r="C1371" t="n">
        <v>139</v>
      </c>
      <c r="D1371" t="n">
        <v>5</v>
      </c>
      <c r="E1371" t="inlineStr">
        <is>
          <t>Input</t>
        </is>
      </c>
      <c r="F1371" t="n">
        <v/>
      </c>
      <c r="G1371" t="n">
        <v>72.95</v>
      </c>
      <c r="H1371" t="inlineStr"/>
      <c r="I1371" t="inlineStr">
        <is>
          <t>General</t>
        </is>
      </c>
      <c r="J1371" t="b">
        <v>0</v>
      </c>
      <c r="K1371" t="b">
        <v>0</v>
      </c>
      <c r="L1371" t="n">
        <v>11</v>
      </c>
      <c r="M1371" t="inlineStr">
        <is>
          <t>Values must be of type &lt;class 'str'&gt;</t>
        </is>
      </c>
      <c r="N1371" t="inlineStr">
        <is>
          <t>00000000</t>
        </is>
      </c>
      <c r="O1371" t="n">
        <v/>
      </c>
      <c r="P1371" t="n">
        <v/>
      </c>
      <c r="R1371" t="b">
        <v>1</v>
      </c>
      <c r="S1371" t="n">
        <v/>
      </c>
      <c r="T1371" t="n">
        <v/>
      </c>
      <c r="U1371" t="n">
        <v/>
      </c>
      <c r="V1371" t="b">
        <v>0</v>
      </c>
      <c r="W1371" t="inlineStr"/>
      <c r="X1371" t="n">
        <v/>
      </c>
    </row>
    <row r="1372">
      <c r="A1372" t="inlineStr">
        <is>
          <t>ATF fuel</t>
        </is>
      </c>
      <c r="B1372" t="inlineStr">
        <is>
          <t>F139</t>
        </is>
      </c>
      <c r="C1372" t="n">
        <v>139</v>
      </c>
      <c r="D1372" t="n">
        <v>6</v>
      </c>
      <c r="E1372" t="inlineStr">
        <is>
          <t>Input</t>
        </is>
      </c>
      <c r="F1372" t="n">
        <v/>
      </c>
      <c r="G1372" t="inlineStr">
        <is>
          <t>July 01, 2010</t>
        </is>
      </c>
      <c r="H1372" t="inlineStr"/>
      <c r="I1372" t="inlineStr">
        <is>
          <t>General</t>
        </is>
      </c>
      <c r="J1372" t="b">
        <v>0</v>
      </c>
      <c r="K1372" t="b">
        <v>0</v>
      </c>
      <c r="L1372" t="n">
        <v>11</v>
      </c>
      <c r="M1372" t="inlineStr">
        <is>
          <t>Values must be of type &lt;class 'str'&gt;</t>
        </is>
      </c>
      <c r="N1372" t="inlineStr">
        <is>
          <t>00000000</t>
        </is>
      </c>
      <c r="O1372" t="inlineStr">
        <is>
          <t>left</t>
        </is>
      </c>
      <c r="P1372" t="n">
        <v/>
      </c>
      <c r="R1372" t="b">
        <v>1</v>
      </c>
      <c r="S1372" t="n">
        <v/>
      </c>
      <c r="T1372" t="n">
        <v/>
      </c>
      <c r="U1372" t="n">
        <v/>
      </c>
      <c r="V1372" t="b">
        <v>0</v>
      </c>
      <c r="W1372" t="inlineStr"/>
      <c r="X1372" t="n">
        <v/>
      </c>
    </row>
    <row r="1373">
      <c r="A1373" t="inlineStr">
        <is>
          <t>ATF fuel</t>
        </is>
      </c>
      <c r="B1373" t="inlineStr">
        <is>
          <t>G139</t>
        </is>
      </c>
      <c r="C1373" t="n">
        <v>139</v>
      </c>
      <c r="D1373" t="n">
        <v>7</v>
      </c>
      <c r="E1373" t="inlineStr">
        <is>
          <t>Calculation</t>
        </is>
      </c>
      <c r="F1373" t="inlineStr">
        <is>
          <t>'=(1+(C139/C138)-1)*G138</t>
        </is>
      </c>
      <c r="G1373" t="n">
        <v>101.4762474991858</v>
      </c>
      <c r="H1373" t="inlineStr"/>
      <c r="I1373" t="inlineStr">
        <is>
          <t>General</t>
        </is>
      </c>
      <c r="J1373" t="b">
        <v>0</v>
      </c>
      <c r="K1373" t="b">
        <v>0</v>
      </c>
      <c r="L1373" t="n">
        <v>11</v>
      </c>
      <c r="M1373" t="inlineStr">
        <is>
          <t>Values must be of type &lt;class 'str'&gt;</t>
        </is>
      </c>
      <c r="N1373" t="inlineStr">
        <is>
          <t>00000000</t>
        </is>
      </c>
      <c r="O1373" t="inlineStr">
        <is>
          <t>left</t>
        </is>
      </c>
      <c r="P1373" t="n">
        <v/>
      </c>
      <c r="R1373" t="b">
        <v>1</v>
      </c>
      <c r="S1373" t="inlineStr">
        <is>
          <t>G000298</t>
        </is>
      </c>
      <c r="T1373" t="inlineStr">
        <is>
          <t>Horizontal</t>
        </is>
      </c>
      <c r="U1373" t="n">
        <v>3</v>
      </c>
      <c r="V1373" t="b">
        <v>1</v>
      </c>
      <c r="W1373" t="inlineStr">
        <is>
          <t>ATF fuel!G139:I139</t>
        </is>
      </c>
      <c r="X1373">
        <f>(1+(R[0]C[-4]/R[-1]C[-4])-1)*R[-1]C[0]</f>
        <v/>
      </c>
    </row>
    <row r="1374">
      <c r="A1374" t="inlineStr">
        <is>
          <t>ATF fuel</t>
        </is>
      </c>
      <c r="B1374" t="inlineStr">
        <is>
          <t>H139</t>
        </is>
      </c>
      <c r="C1374" t="n">
        <v>139</v>
      </c>
      <c r="D1374" t="n">
        <v>8</v>
      </c>
      <c r="E1374" t="inlineStr">
        <is>
          <t>Calculation</t>
        </is>
      </c>
      <c r="F1374" t="inlineStr">
        <is>
          <t>'=(1+(D139/D138)-1)*H138</t>
        </is>
      </c>
      <c r="G1374" t="n">
        <v>86.8086651337287</v>
      </c>
      <c r="H1374" t="inlineStr"/>
      <c r="I1374" t="inlineStr">
        <is>
          <t>General</t>
        </is>
      </c>
      <c r="J1374" t="b">
        <v>0</v>
      </c>
      <c r="K1374" t="b">
        <v>0</v>
      </c>
      <c r="L1374" t="n">
        <v>11</v>
      </c>
      <c r="M1374" t="inlineStr">
        <is>
          <t>Values must be of type &lt;class 'str'&gt;</t>
        </is>
      </c>
      <c r="N1374" t="inlineStr">
        <is>
          <t>00000000</t>
        </is>
      </c>
      <c r="O1374" t="inlineStr">
        <is>
          <t>left</t>
        </is>
      </c>
      <c r="P1374" t="n">
        <v/>
      </c>
      <c r="R1374" t="b">
        <v>1</v>
      </c>
      <c r="S1374" t="inlineStr">
        <is>
          <t>G000298</t>
        </is>
      </c>
      <c r="T1374" t="inlineStr">
        <is>
          <t>Horizontal</t>
        </is>
      </c>
      <c r="U1374" t="n">
        <v>3</v>
      </c>
      <c r="V1374" t="b">
        <v>1</v>
      </c>
      <c r="W1374" t="inlineStr">
        <is>
          <t>ATF fuel!G139:I139</t>
        </is>
      </c>
      <c r="X1374">
        <f>(1+(R[0]C[-4]/R[-1]C[-4])-1)*R[-1]C[0]</f>
        <v/>
      </c>
    </row>
    <row r="1375">
      <c r="A1375" t="inlineStr">
        <is>
          <t>ATF fuel</t>
        </is>
      </c>
      <c r="B1375" t="inlineStr">
        <is>
          <t>I139</t>
        </is>
      </c>
      <c r="C1375" t="n">
        <v>139</v>
      </c>
      <c r="D1375" t="n">
        <v>9</v>
      </c>
      <c r="E1375" t="inlineStr">
        <is>
          <t>Calculation</t>
        </is>
      </c>
      <c r="F1375" t="inlineStr">
        <is>
          <t>'=(1+(E139/E138)-1)*I138</t>
        </is>
      </c>
      <c r="G1375" t="n">
        <v>86.30072163728853</v>
      </c>
      <c r="H1375" t="inlineStr"/>
      <c r="I1375" t="inlineStr">
        <is>
          <t>General</t>
        </is>
      </c>
      <c r="J1375" t="b">
        <v>0</v>
      </c>
      <c r="K1375" t="b">
        <v>0</v>
      </c>
      <c r="L1375" t="n">
        <v>11</v>
      </c>
      <c r="M1375" t="inlineStr">
        <is>
          <t>Values must be of type &lt;class 'str'&gt;</t>
        </is>
      </c>
      <c r="N1375" t="inlineStr">
        <is>
          <t>00000000</t>
        </is>
      </c>
      <c r="O1375" t="inlineStr">
        <is>
          <t>left</t>
        </is>
      </c>
      <c r="P1375" t="n">
        <v/>
      </c>
      <c r="R1375" t="b">
        <v>1</v>
      </c>
      <c r="S1375" t="inlineStr">
        <is>
          <t>G000298</t>
        </is>
      </c>
      <c r="T1375" t="inlineStr">
        <is>
          <t>Horizontal</t>
        </is>
      </c>
      <c r="U1375" t="n">
        <v>3</v>
      </c>
      <c r="V1375" t="b">
        <v>1</v>
      </c>
      <c r="W1375" t="inlineStr">
        <is>
          <t>ATF fuel!G139:I139</t>
        </is>
      </c>
      <c r="X1375">
        <f>(1+(R[0]C[-4]/R[-1]C[-4])-1)*R[-1]C[0]</f>
        <v/>
      </c>
    </row>
    <row r="1376">
      <c r="A1376" t="inlineStr">
        <is>
          <t>ATF fuel</t>
        </is>
      </c>
      <c r="B1376" t="inlineStr">
        <is>
          <t>J139</t>
        </is>
      </c>
      <c r="C1376" t="n">
        <v>139</v>
      </c>
      <c r="D1376" t="n">
        <v>10</v>
      </c>
      <c r="E1376" t="inlineStr">
        <is>
          <t>Output</t>
        </is>
      </c>
      <c r="F1376" t="inlineStr">
        <is>
          <t>'=G139/H139-1</t>
        </is>
      </c>
      <c r="G1376" t="n">
        <v>0.1689644961463432</v>
      </c>
      <c r="H1376" t="inlineStr"/>
      <c r="I1376" t="inlineStr">
        <is>
          <t>0.0%</t>
        </is>
      </c>
      <c r="J1376" t="b">
        <v>0</v>
      </c>
      <c r="K1376" t="b">
        <v>0</v>
      </c>
      <c r="L1376" t="n">
        <v>11</v>
      </c>
      <c r="M1376" t="inlineStr">
        <is>
          <t>Values must be of type &lt;class 'str'&gt;</t>
        </is>
      </c>
      <c r="N1376" t="inlineStr">
        <is>
          <t>00000000</t>
        </is>
      </c>
      <c r="O1376" t="n">
        <v/>
      </c>
      <c r="P1376" t="n">
        <v/>
      </c>
      <c r="R1376" t="b">
        <v>1</v>
      </c>
      <c r="S1376" t="inlineStr">
        <is>
          <t>G000295</t>
        </is>
      </c>
      <c r="T1376" t="inlineStr">
        <is>
          <t>Vertical</t>
        </is>
      </c>
      <c r="U1376" t="n">
        <v>93</v>
      </c>
      <c r="V1376" t="b">
        <v>1</v>
      </c>
      <c r="W1376" t="inlineStr">
        <is>
          <t>ATF fuel!J136:J228</t>
        </is>
      </c>
      <c r="X1376">
        <f>R[0]C[-3]/R[0]C[-2]-1</f>
        <v/>
      </c>
    </row>
    <row r="1377">
      <c r="A1377" t="inlineStr">
        <is>
          <t>ATF fuel</t>
        </is>
      </c>
      <c r="B1377" t="inlineStr">
        <is>
          <t>B140</t>
        </is>
      </c>
      <c r="C1377" t="n">
        <v>140</v>
      </c>
      <c r="D1377" t="n">
        <v>2</v>
      </c>
      <c r="E1377" t="inlineStr">
        <is>
          <t>Input</t>
        </is>
      </c>
      <c r="F1377" t="n">
        <v/>
      </c>
      <c r="G1377" t="inlineStr">
        <is>
          <t>August 01, 2010</t>
        </is>
      </c>
      <c r="H1377" t="inlineStr"/>
      <c r="I1377" t="inlineStr">
        <is>
          <t>General</t>
        </is>
      </c>
      <c r="J1377" t="b">
        <v>0</v>
      </c>
      <c r="K1377" t="b">
        <v>0</v>
      </c>
      <c r="L1377" t="n">
        <v>11</v>
      </c>
      <c r="M1377" t="inlineStr">
        <is>
          <t>Values must be of type &lt;class 'str'&gt;</t>
        </is>
      </c>
      <c r="N1377" t="inlineStr">
        <is>
          <t>00000000</t>
        </is>
      </c>
      <c r="O1377" t="n">
        <v/>
      </c>
      <c r="P1377" t="n">
        <v/>
      </c>
      <c r="R1377" t="b">
        <v>1</v>
      </c>
      <c r="S1377" t="n">
        <v/>
      </c>
      <c r="T1377" t="n">
        <v/>
      </c>
      <c r="U1377" t="n">
        <v/>
      </c>
      <c r="V1377" t="b">
        <v>0</v>
      </c>
      <c r="W1377" t="inlineStr"/>
      <c r="X1377" t="n">
        <v/>
      </c>
    </row>
    <row r="1378">
      <c r="A1378" t="inlineStr">
        <is>
          <t>ATF fuel</t>
        </is>
      </c>
      <c r="B1378" t="inlineStr">
        <is>
          <t>C140</t>
        </is>
      </c>
      <c r="C1378" t="n">
        <v>140</v>
      </c>
      <c r="D1378" t="n">
        <v>3</v>
      </c>
      <c r="E1378" t="inlineStr">
        <is>
          <t>Input</t>
        </is>
      </c>
      <c r="F1378" t="n">
        <v/>
      </c>
      <c r="G1378" t="n">
        <v>44697.1475</v>
      </c>
      <c r="H1378" t="inlineStr"/>
      <c r="I1378" t="inlineStr">
        <is>
          <t>General</t>
        </is>
      </c>
      <c r="J1378" t="b">
        <v>0</v>
      </c>
      <c r="K1378" t="b">
        <v>0</v>
      </c>
      <c r="L1378" t="n">
        <v>11</v>
      </c>
      <c r="M1378" t="inlineStr">
        <is>
          <t>Values must be of type &lt;class 'str'&gt;</t>
        </is>
      </c>
      <c r="N1378" t="inlineStr">
        <is>
          <t>00000000</t>
        </is>
      </c>
      <c r="O1378" t="n">
        <v/>
      </c>
      <c r="P1378" t="n">
        <v/>
      </c>
      <c r="R1378" t="b">
        <v>1</v>
      </c>
      <c r="S1378" t="n">
        <v/>
      </c>
      <c r="T1378" t="n">
        <v/>
      </c>
      <c r="U1378" t="n">
        <v/>
      </c>
      <c r="V1378" t="b">
        <v>0</v>
      </c>
      <c r="W1378" t="inlineStr"/>
      <c r="X1378" t="n">
        <v/>
      </c>
    </row>
    <row r="1379">
      <c r="A1379" t="inlineStr">
        <is>
          <t>ATF fuel</t>
        </is>
      </c>
      <c r="B1379" t="inlineStr">
        <is>
          <t>D140</t>
        </is>
      </c>
      <c r="C1379" t="n">
        <v>140</v>
      </c>
      <c r="D1379" t="n">
        <v>4</v>
      </c>
      <c r="E1379" t="inlineStr">
        <is>
          <t>Input</t>
        </is>
      </c>
      <c r="F1379" t="n">
        <v/>
      </c>
      <c r="G1379" t="n">
        <v>81.93000000000001</v>
      </c>
      <c r="H1379" t="inlineStr"/>
      <c r="I1379" t="inlineStr">
        <is>
          <t>General</t>
        </is>
      </c>
      <c r="J1379" t="b">
        <v>0</v>
      </c>
      <c r="K1379" t="b">
        <v>0</v>
      </c>
      <c r="L1379" t="n">
        <v>11</v>
      </c>
      <c r="M1379" t="inlineStr">
        <is>
          <t>Values must be of type &lt;class 'str'&gt;</t>
        </is>
      </c>
      <c r="N1379" t="inlineStr">
        <is>
          <t>00000000</t>
        </is>
      </c>
      <c r="O1379" t="n">
        <v/>
      </c>
      <c r="P1379" t="n">
        <v/>
      </c>
      <c r="R1379" t="b">
        <v>1</v>
      </c>
      <c r="S1379" t="n">
        <v/>
      </c>
      <c r="T1379" t="n">
        <v/>
      </c>
      <c r="U1379" t="n">
        <v/>
      </c>
      <c r="V1379" t="b">
        <v>0</v>
      </c>
      <c r="W1379" t="inlineStr"/>
      <c r="X1379" t="n">
        <v/>
      </c>
    </row>
    <row r="1380">
      <c r="A1380" t="inlineStr">
        <is>
          <t>ATF fuel</t>
        </is>
      </c>
      <c r="B1380" t="inlineStr">
        <is>
          <t>E140</t>
        </is>
      </c>
      <c r="C1380" t="n">
        <v>140</v>
      </c>
      <c r="D1380" t="n">
        <v>5</v>
      </c>
      <c r="E1380" t="inlineStr">
        <is>
          <t>Input</t>
        </is>
      </c>
      <c r="F1380" t="n">
        <v/>
      </c>
      <c r="G1380" t="n">
        <v>81.25</v>
      </c>
      <c r="H1380" t="inlineStr"/>
      <c r="I1380" t="inlineStr">
        <is>
          <t>General</t>
        </is>
      </c>
      <c r="J1380" t="b">
        <v>0</v>
      </c>
      <c r="K1380" t="b">
        <v>0</v>
      </c>
      <c r="L1380" t="n">
        <v>11</v>
      </c>
      <c r="M1380" t="inlineStr">
        <is>
          <t>Values must be of type &lt;class 'str'&gt;</t>
        </is>
      </c>
      <c r="N1380" t="inlineStr">
        <is>
          <t>00000000</t>
        </is>
      </c>
      <c r="O1380" t="n">
        <v/>
      </c>
      <c r="P1380" t="n">
        <v/>
      </c>
      <c r="R1380" t="b">
        <v>1</v>
      </c>
      <c r="S1380" t="n">
        <v/>
      </c>
      <c r="T1380" t="n">
        <v/>
      </c>
      <c r="U1380" t="n">
        <v/>
      </c>
      <c r="V1380" t="b">
        <v>0</v>
      </c>
      <c r="W1380" t="inlineStr"/>
      <c r="X1380" t="n">
        <v/>
      </c>
    </row>
    <row r="1381">
      <c r="A1381" t="inlineStr">
        <is>
          <t>ATF fuel</t>
        </is>
      </c>
      <c r="B1381" t="inlineStr">
        <is>
          <t>F140</t>
        </is>
      </c>
      <c r="C1381" t="n">
        <v>140</v>
      </c>
      <c r="D1381" t="n">
        <v>6</v>
      </c>
      <c r="E1381" t="inlineStr">
        <is>
          <t>Input</t>
        </is>
      </c>
      <c r="F1381" t="n">
        <v/>
      </c>
      <c r="G1381" t="inlineStr">
        <is>
          <t>August 01, 2010</t>
        </is>
      </c>
      <c r="H1381" t="inlineStr"/>
      <c r="I1381" t="inlineStr">
        <is>
          <t>General</t>
        </is>
      </c>
      <c r="J1381" t="b">
        <v>0</v>
      </c>
      <c r="K1381" t="b">
        <v>0</v>
      </c>
      <c r="L1381" t="n">
        <v>11</v>
      </c>
      <c r="M1381" t="inlineStr">
        <is>
          <t>Values must be of type &lt;class 'str'&gt;</t>
        </is>
      </c>
      <c r="N1381" t="inlineStr">
        <is>
          <t>00000000</t>
        </is>
      </c>
      <c r="O1381" t="inlineStr">
        <is>
          <t>left</t>
        </is>
      </c>
      <c r="P1381" t="n">
        <v/>
      </c>
      <c r="R1381" t="b">
        <v>1</v>
      </c>
      <c r="S1381" t="n">
        <v/>
      </c>
      <c r="T1381" t="n">
        <v/>
      </c>
      <c r="U1381" t="n">
        <v/>
      </c>
      <c r="V1381" t="b">
        <v>0</v>
      </c>
      <c r="W1381" t="inlineStr"/>
      <c r="X1381" t="n">
        <v/>
      </c>
    </row>
    <row r="1382">
      <c r="A1382" t="inlineStr">
        <is>
          <t>ATF fuel</t>
        </is>
      </c>
      <c r="B1382" t="inlineStr">
        <is>
          <t>G140</t>
        </is>
      </c>
      <c r="C1382" t="n">
        <v>140</v>
      </c>
      <c r="D1382" t="n">
        <v>7</v>
      </c>
      <c r="E1382" t="inlineStr">
        <is>
          <t>Calculation</t>
        </is>
      </c>
      <c r="F1382" t="inlineStr">
        <is>
          <t>'=(1+(C140/C139)-1)*G139</t>
        </is>
      </c>
      <c r="G1382" t="n">
        <v>100.7559318627776</v>
      </c>
      <c r="H1382" t="inlineStr"/>
      <c r="I1382" t="inlineStr">
        <is>
          <t>General</t>
        </is>
      </c>
      <c r="J1382" t="b">
        <v>0</v>
      </c>
      <c r="K1382" t="b">
        <v>0</v>
      </c>
      <c r="L1382" t="n">
        <v>11</v>
      </c>
      <c r="M1382" t="inlineStr">
        <is>
          <t>Values must be of type &lt;class 'str'&gt;</t>
        </is>
      </c>
      <c r="N1382" t="inlineStr">
        <is>
          <t>00000000</t>
        </is>
      </c>
      <c r="O1382" t="inlineStr">
        <is>
          <t>left</t>
        </is>
      </c>
      <c r="P1382" t="n">
        <v/>
      </c>
      <c r="R1382" t="b">
        <v>1</v>
      </c>
      <c r="S1382" t="inlineStr">
        <is>
          <t>G000299</t>
        </is>
      </c>
      <c r="T1382" t="inlineStr">
        <is>
          <t>Horizontal</t>
        </is>
      </c>
      <c r="U1382" t="n">
        <v>3</v>
      </c>
      <c r="V1382" t="b">
        <v>1</v>
      </c>
      <c r="W1382" t="inlineStr">
        <is>
          <t>ATF fuel!G140:I140</t>
        </is>
      </c>
      <c r="X1382">
        <f>(1+(R[0]C[-4]/R[-1]C[-4])-1)*R[-1]C[0]</f>
        <v/>
      </c>
    </row>
    <row r="1383">
      <c r="A1383" t="inlineStr">
        <is>
          <t>ATF fuel</t>
        </is>
      </c>
      <c r="B1383" t="inlineStr">
        <is>
          <t>H140</t>
        </is>
      </c>
      <c r="C1383" t="n">
        <v>140</v>
      </c>
      <c r="D1383" t="n">
        <v>8</v>
      </c>
      <c r="E1383" t="inlineStr">
        <is>
          <t>Calculation</t>
        </is>
      </c>
      <c r="F1383" t="inlineStr">
        <is>
          <t>'=(1+(D140/D139)-1)*H139</t>
        </is>
      </c>
      <c r="G1383" t="n">
        <v>99.15285005445969</v>
      </c>
      <c r="H1383" t="inlineStr"/>
      <c r="I1383" t="inlineStr">
        <is>
          <t>General</t>
        </is>
      </c>
      <c r="J1383" t="b">
        <v>0</v>
      </c>
      <c r="K1383" t="b">
        <v>0</v>
      </c>
      <c r="L1383" t="n">
        <v>11</v>
      </c>
      <c r="M1383" t="inlineStr">
        <is>
          <t>Values must be of type &lt;class 'str'&gt;</t>
        </is>
      </c>
      <c r="N1383" t="inlineStr">
        <is>
          <t>00000000</t>
        </is>
      </c>
      <c r="O1383" t="inlineStr">
        <is>
          <t>left</t>
        </is>
      </c>
      <c r="P1383" t="n">
        <v/>
      </c>
      <c r="R1383" t="b">
        <v>1</v>
      </c>
      <c r="S1383" t="inlineStr">
        <is>
          <t>G000299</t>
        </is>
      </c>
      <c r="T1383" t="inlineStr">
        <is>
          <t>Horizontal</t>
        </is>
      </c>
      <c r="U1383" t="n">
        <v>3</v>
      </c>
      <c r="V1383" t="b">
        <v>1</v>
      </c>
      <c r="W1383" t="inlineStr">
        <is>
          <t>ATF fuel!G140:I140</t>
        </is>
      </c>
      <c r="X1383">
        <f>(1+(R[0]C[-4]/R[-1]C[-4])-1)*R[-1]C[0]</f>
        <v/>
      </c>
    </row>
    <row r="1384">
      <c r="A1384" t="inlineStr">
        <is>
          <t>ATF fuel</t>
        </is>
      </c>
      <c r="B1384" t="inlineStr">
        <is>
          <t>I140</t>
        </is>
      </c>
      <c r="C1384" t="n">
        <v>140</v>
      </c>
      <c r="D1384" t="n">
        <v>9</v>
      </c>
      <c r="E1384" t="inlineStr">
        <is>
          <t>Calculation</t>
        </is>
      </c>
      <c r="F1384" t="inlineStr">
        <is>
          <t>'=(1+(E140/E139)-1)*I139</t>
        </is>
      </c>
      <c r="G1384" t="n">
        <v>96.11972080918015</v>
      </c>
      <c r="H1384" t="inlineStr"/>
      <c r="I1384" t="inlineStr">
        <is>
          <t>General</t>
        </is>
      </c>
      <c r="J1384" t="b">
        <v>0</v>
      </c>
      <c r="K1384" t="b">
        <v>0</v>
      </c>
      <c r="L1384" t="n">
        <v>11</v>
      </c>
      <c r="M1384" t="inlineStr">
        <is>
          <t>Values must be of type &lt;class 'str'&gt;</t>
        </is>
      </c>
      <c r="N1384" t="inlineStr">
        <is>
          <t>00000000</t>
        </is>
      </c>
      <c r="O1384" t="inlineStr">
        <is>
          <t>left</t>
        </is>
      </c>
      <c r="P1384" t="n">
        <v/>
      </c>
      <c r="R1384" t="b">
        <v>1</v>
      </c>
      <c r="S1384" t="inlineStr">
        <is>
          <t>G000299</t>
        </is>
      </c>
      <c r="T1384" t="inlineStr">
        <is>
          <t>Horizontal</t>
        </is>
      </c>
      <c r="U1384" t="n">
        <v>3</v>
      </c>
      <c r="V1384" t="b">
        <v>1</v>
      </c>
      <c r="W1384" t="inlineStr">
        <is>
          <t>ATF fuel!G140:I140</t>
        </is>
      </c>
      <c r="X1384">
        <f>(1+(R[0]C[-4]/R[-1]C[-4])-1)*R[-1]C[0]</f>
        <v/>
      </c>
    </row>
    <row r="1385">
      <c r="A1385" t="inlineStr">
        <is>
          <t>ATF fuel</t>
        </is>
      </c>
      <c r="B1385" t="inlineStr">
        <is>
          <t>J140</t>
        </is>
      </c>
      <c r="C1385" t="n">
        <v>140</v>
      </c>
      <c r="D1385" t="n">
        <v>10</v>
      </c>
      <c r="E1385" t="inlineStr">
        <is>
          <t>Output</t>
        </is>
      </c>
      <c r="F1385" t="inlineStr">
        <is>
          <t>'=G140/H140-1</t>
        </is>
      </c>
      <c r="G1385" t="n">
        <v>0.01616778345188719</v>
      </c>
      <c r="H1385" t="inlineStr"/>
      <c r="I1385" t="inlineStr">
        <is>
          <t>0.0%</t>
        </is>
      </c>
      <c r="J1385" t="b">
        <v>0</v>
      </c>
      <c r="K1385" t="b">
        <v>0</v>
      </c>
      <c r="L1385" t="n">
        <v>11</v>
      </c>
      <c r="M1385" t="inlineStr">
        <is>
          <t>Values must be of type &lt;class 'str'&gt;</t>
        </is>
      </c>
      <c r="N1385" t="inlineStr">
        <is>
          <t>00000000</t>
        </is>
      </c>
      <c r="O1385" t="n">
        <v/>
      </c>
      <c r="P1385" t="n">
        <v/>
      </c>
      <c r="R1385" t="b">
        <v>1</v>
      </c>
      <c r="S1385" t="inlineStr">
        <is>
          <t>G000295</t>
        </is>
      </c>
      <c r="T1385" t="inlineStr">
        <is>
          <t>Vertical</t>
        </is>
      </c>
      <c r="U1385" t="n">
        <v>93</v>
      </c>
      <c r="V1385" t="b">
        <v>1</v>
      </c>
      <c r="W1385" t="inlineStr">
        <is>
          <t>ATF fuel!J136:J228</t>
        </is>
      </c>
      <c r="X1385">
        <f>R[0]C[-3]/R[0]C[-2]-1</f>
        <v/>
      </c>
    </row>
    <row r="1386">
      <c r="A1386" t="inlineStr">
        <is>
          <t>ATF fuel</t>
        </is>
      </c>
      <c r="B1386" t="inlineStr">
        <is>
          <t>B141</t>
        </is>
      </c>
      <c r="C1386" t="n">
        <v>141</v>
      </c>
      <c r="D1386" t="n">
        <v>2</v>
      </c>
      <c r="E1386" t="inlineStr">
        <is>
          <t>Input</t>
        </is>
      </c>
      <c r="F1386" t="n">
        <v/>
      </c>
      <c r="G1386" t="inlineStr">
        <is>
          <t>September 01, 2010</t>
        </is>
      </c>
      <c r="H1386" t="inlineStr"/>
      <c r="I1386" t="inlineStr">
        <is>
          <t>General</t>
        </is>
      </c>
      <c r="J1386" t="b">
        <v>0</v>
      </c>
      <c r="K1386" t="b">
        <v>0</v>
      </c>
      <c r="L1386" t="n">
        <v>11</v>
      </c>
      <c r="M1386" t="inlineStr">
        <is>
          <t>Values must be of type &lt;class 'str'&gt;</t>
        </is>
      </c>
      <c r="N1386" t="inlineStr">
        <is>
          <t>00000000</t>
        </is>
      </c>
      <c r="O1386" t="n">
        <v/>
      </c>
      <c r="P1386" t="n">
        <v/>
      </c>
      <c r="R1386" t="b">
        <v>1</v>
      </c>
      <c r="S1386" t="n">
        <v/>
      </c>
      <c r="T1386" t="n">
        <v/>
      </c>
      <c r="U1386" t="n">
        <v/>
      </c>
      <c r="V1386" t="b">
        <v>0</v>
      </c>
      <c r="W1386" t="inlineStr"/>
      <c r="X1386" t="n">
        <v/>
      </c>
    </row>
    <row r="1387">
      <c r="A1387" t="inlineStr">
        <is>
          <t>ATF fuel</t>
        </is>
      </c>
      <c r="B1387" t="inlineStr">
        <is>
          <t>C141</t>
        </is>
      </c>
      <c r="C1387" t="n">
        <v>141</v>
      </c>
      <c r="D1387" t="n">
        <v>3</v>
      </c>
      <c r="E1387" t="inlineStr">
        <is>
          <t>Input</t>
        </is>
      </c>
      <c r="F1387" t="n">
        <v/>
      </c>
      <c r="G1387" t="n">
        <v>43596.4</v>
      </c>
      <c r="H1387" t="inlineStr"/>
      <c r="I1387" t="inlineStr">
        <is>
          <t>General</t>
        </is>
      </c>
      <c r="J1387" t="b">
        <v>0</v>
      </c>
      <c r="K1387" t="b">
        <v>0</v>
      </c>
      <c r="L1387" t="n">
        <v>11</v>
      </c>
      <c r="M1387" t="inlineStr">
        <is>
          <t>Values must be of type &lt;class 'str'&gt;</t>
        </is>
      </c>
      <c r="N1387" t="inlineStr">
        <is>
          <t>00000000</t>
        </is>
      </c>
      <c r="O1387" t="n">
        <v/>
      </c>
      <c r="P1387" t="n">
        <v/>
      </c>
      <c r="R1387" t="b">
        <v>1</v>
      </c>
      <c r="S1387" t="n">
        <v/>
      </c>
      <c r="T1387" t="n">
        <v/>
      </c>
      <c r="U1387" t="n">
        <v/>
      </c>
      <c r="V1387" t="b">
        <v>0</v>
      </c>
      <c r="W1387" t="inlineStr"/>
      <c r="X1387" t="n">
        <v/>
      </c>
    </row>
    <row r="1388">
      <c r="A1388" t="inlineStr">
        <is>
          <t>ATF fuel</t>
        </is>
      </c>
      <c r="B1388" t="inlineStr">
        <is>
          <t>D141</t>
        </is>
      </c>
      <c r="C1388" t="n">
        <v>141</v>
      </c>
      <c r="D1388" t="n">
        <v>4</v>
      </c>
      <c r="E1388" t="inlineStr">
        <is>
          <t>Input</t>
        </is>
      </c>
      <c r="F1388" t="n">
        <v/>
      </c>
      <c r="G1388" t="n">
        <v>75.53</v>
      </c>
      <c r="H1388" t="inlineStr"/>
      <c r="I1388" t="inlineStr">
        <is>
          <t>General</t>
        </is>
      </c>
      <c r="J1388" t="b">
        <v>0</v>
      </c>
      <c r="K1388" t="b">
        <v>0</v>
      </c>
      <c r="L1388" t="n">
        <v>11</v>
      </c>
      <c r="M1388" t="inlineStr">
        <is>
          <t>Values must be of type &lt;class 'str'&gt;</t>
        </is>
      </c>
      <c r="N1388" t="inlineStr">
        <is>
          <t>00000000</t>
        </is>
      </c>
      <c r="O1388" t="n">
        <v/>
      </c>
      <c r="P1388" t="n">
        <v/>
      </c>
      <c r="R1388" t="b">
        <v>1</v>
      </c>
      <c r="S1388" t="n">
        <v/>
      </c>
      <c r="T1388" t="n">
        <v/>
      </c>
      <c r="U1388" t="n">
        <v/>
      </c>
      <c r="V1388" t="b">
        <v>0</v>
      </c>
      <c r="W1388" t="inlineStr"/>
      <c r="X1388" t="n">
        <v/>
      </c>
    </row>
    <row r="1389">
      <c r="A1389" t="inlineStr">
        <is>
          <t>ATF fuel</t>
        </is>
      </c>
      <c r="B1389" t="inlineStr">
        <is>
          <t>E141</t>
        </is>
      </c>
      <c r="C1389" t="n">
        <v>141</v>
      </c>
      <c r="D1389" t="n">
        <v>5</v>
      </c>
      <c r="E1389" t="inlineStr">
        <is>
          <t>Input</t>
        </is>
      </c>
      <c r="F1389" t="n">
        <v/>
      </c>
      <c r="G1389" t="n">
        <v>73.97</v>
      </c>
      <c r="H1389" t="inlineStr"/>
      <c r="I1389" t="inlineStr">
        <is>
          <t>General</t>
        </is>
      </c>
      <c r="J1389" t="b">
        <v>0</v>
      </c>
      <c r="K1389" t="b">
        <v>0</v>
      </c>
      <c r="L1389" t="n">
        <v>11</v>
      </c>
      <c r="M1389" t="inlineStr">
        <is>
          <t>Values must be of type &lt;class 'str'&gt;</t>
        </is>
      </c>
      <c r="N1389" t="inlineStr">
        <is>
          <t>00000000</t>
        </is>
      </c>
      <c r="O1389" t="n">
        <v/>
      </c>
      <c r="P1389" t="n">
        <v/>
      </c>
      <c r="R1389" t="b">
        <v>1</v>
      </c>
      <c r="S1389" t="n">
        <v/>
      </c>
      <c r="T1389" t="n">
        <v/>
      </c>
      <c r="U1389" t="n">
        <v/>
      </c>
      <c r="V1389" t="b">
        <v>0</v>
      </c>
      <c r="W1389" t="inlineStr"/>
      <c r="X1389" t="n">
        <v/>
      </c>
    </row>
    <row r="1390">
      <c r="A1390" t="inlineStr">
        <is>
          <t>ATF fuel</t>
        </is>
      </c>
      <c r="B1390" t="inlineStr">
        <is>
          <t>F141</t>
        </is>
      </c>
      <c r="C1390" t="n">
        <v>141</v>
      </c>
      <c r="D1390" t="n">
        <v>6</v>
      </c>
      <c r="E1390" t="inlineStr">
        <is>
          <t>Input</t>
        </is>
      </c>
      <c r="F1390" t="n">
        <v/>
      </c>
      <c r="G1390" t="inlineStr">
        <is>
          <t>September 01, 2010</t>
        </is>
      </c>
      <c r="H1390" t="inlineStr"/>
      <c r="I1390" t="inlineStr">
        <is>
          <t>General</t>
        </is>
      </c>
      <c r="J1390" t="b">
        <v>0</v>
      </c>
      <c r="K1390" t="b">
        <v>0</v>
      </c>
      <c r="L1390" t="n">
        <v>11</v>
      </c>
      <c r="M1390" t="inlineStr">
        <is>
          <t>Values must be of type &lt;class 'str'&gt;</t>
        </is>
      </c>
      <c r="N1390" t="inlineStr">
        <is>
          <t>00000000</t>
        </is>
      </c>
      <c r="O1390" t="inlineStr">
        <is>
          <t>left</t>
        </is>
      </c>
      <c r="P1390" t="n">
        <v/>
      </c>
      <c r="R1390" t="b">
        <v>1</v>
      </c>
      <c r="S1390" t="n">
        <v/>
      </c>
      <c r="T1390" t="n">
        <v/>
      </c>
      <c r="U1390" t="n">
        <v/>
      </c>
      <c r="V1390" t="b">
        <v>0</v>
      </c>
      <c r="W1390" t="inlineStr"/>
      <c r="X1390" t="n">
        <v/>
      </c>
    </row>
    <row r="1391">
      <c r="A1391" t="inlineStr">
        <is>
          <t>ATF fuel</t>
        </is>
      </c>
      <c r="B1391" t="inlineStr">
        <is>
          <t>G141</t>
        </is>
      </c>
      <c r="C1391" t="n">
        <v>141</v>
      </c>
      <c r="D1391" t="n">
        <v>7</v>
      </c>
      <c r="E1391" t="inlineStr">
        <is>
          <t>Calculation</t>
        </is>
      </c>
      <c r="F1391" t="inlineStr">
        <is>
          <t>'=(1+(C141/C140)-1)*G140</t>
        </is>
      </c>
      <c r="G1391" t="n">
        <v>98.27463615798749</v>
      </c>
      <c r="H1391" t="inlineStr"/>
      <c r="I1391" t="inlineStr">
        <is>
          <t>General</t>
        </is>
      </c>
      <c r="J1391" t="b">
        <v>0</v>
      </c>
      <c r="K1391" t="b">
        <v>0</v>
      </c>
      <c r="L1391" t="n">
        <v>11</v>
      </c>
      <c r="M1391" t="inlineStr">
        <is>
          <t>Values must be of type &lt;class 'str'&gt;</t>
        </is>
      </c>
      <c r="N1391" t="inlineStr">
        <is>
          <t>00000000</t>
        </is>
      </c>
      <c r="O1391" t="inlineStr">
        <is>
          <t>left</t>
        </is>
      </c>
      <c r="P1391" t="n">
        <v/>
      </c>
      <c r="R1391" t="b">
        <v>1</v>
      </c>
      <c r="S1391" t="inlineStr">
        <is>
          <t>G000300</t>
        </is>
      </c>
      <c r="T1391" t="inlineStr">
        <is>
          <t>Horizontal</t>
        </is>
      </c>
      <c r="U1391" t="n">
        <v>3</v>
      </c>
      <c r="V1391" t="b">
        <v>1</v>
      </c>
      <c r="W1391" t="inlineStr">
        <is>
          <t>ATF fuel!G141:I141</t>
        </is>
      </c>
      <c r="X1391">
        <f>(1+(R[0]C[-4]/R[-1]C[-4])-1)*R[-1]C[0]</f>
        <v/>
      </c>
    </row>
    <row r="1392">
      <c r="A1392" t="inlineStr">
        <is>
          <t>ATF fuel</t>
        </is>
      </c>
      <c r="B1392" t="inlineStr">
        <is>
          <t>H141</t>
        </is>
      </c>
      <c r="C1392" t="n">
        <v>141</v>
      </c>
      <c r="D1392" t="n">
        <v>8</v>
      </c>
      <c r="E1392" t="inlineStr">
        <is>
          <t>Calculation</t>
        </is>
      </c>
      <c r="F1392" t="inlineStr">
        <is>
          <t>'=(1+(D141/D140)-1)*H140</t>
        </is>
      </c>
      <c r="G1392" t="n">
        <v>91.40747912380496</v>
      </c>
      <c r="H1392" t="inlineStr"/>
      <c r="I1392" t="inlineStr">
        <is>
          <t>General</t>
        </is>
      </c>
      <c r="J1392" t="b">
        <v>0</v>
      </c>
      <c r="K1392" t="b">
        <v>0</v>
      </c>
      <c r="L1392" t="n">
        <v>11</v>
      </c>
      <c r="M1392" t="inlineStr">
        <is>
          <t>Values must be of type &lt;class 'str'&gt;</t>
        </is>
      </c>
      <c r="N1392" t="inlineStr">
        <is>
          <t>00000000</t>
        </is>
      </c>
      <c r="O1392" t="inlineStr">
        <is>
          <t>left</t>
        </is>
      </c>
      <c r="P1392" t="n">
        <v/>
      </c>
      <c r="R1392" t="b">
        <v>1</v>
      </c>
      <c r="S1392" t="inlineStr">
        <is>
          <t>G000300</t>
        </is>
      </c>
      <c r="T1392" t="inlineStr">
        <is>
          <t>Horizontal</t>
        </is>
      </c>
      <c r="U1392" t="n">
        <v>3</v>
      </c>
      <c r="V1392" t="b">
        <v>1</v>
      </c>
      <c r="W1392" t="inlineStr">
        <is>
          <t>ATF fuel!G141:I141</t>
        </is>
      </c>
      <c r="X1392">
        <f>(1+(R[0]C[-4]/R[-1]C[-4])-1)*R[-1]C[0]</f>
        <v/>
      </c>
    </row>
    <row r="1393">
      <c r="A1393" t="inlineStr">
        <is>
          <t>ATF fuel</t>
        </is>
      </c>
      <c r="B1393" t="inlineStr">
        <is>
          <t>I141</t>
        </is>
      </c>
      <c r="C1393" t="n">
        <v>141</v>
      </c>
      <c r="D1393" t="n">
        <v>9</v>
      </c>
      <c r="E1393" t="inlineStr">
        <is>
          <t>Calculation</t>
        </is>
      </c>
      <c r="F1393" t="inlineStr">
        <is>
          <t>'=(1+(E141/E140)-1)*I140</t>
        </is>
      </c>
      <c r="G1393" t="n">
        <v>87.50739382467762</v>
      </c>
      <c r="H1393" t="inlineStr"/>
      <c r="I1393" t="inlineStr">
        <is>
          <t>General</t>
        </is>
      </c>
      <c r="J1393" t="b">
        <v>0</v>
      </c>
      <c r="K1393" t="b">
        <v>0</v>
      </c>
      <c r="L1393" t="n">
        <v>11</v>
      </c>
      <c r="M1393" t="inlineStr">
        <is>
          <t>Values must be of type &lt;class 'str'&gt;</t>
        </is>
      </c>
      <c r="N1393" t="inlineStr">
        <is>
          <t>00000000</t>
        </is>
      </c>
      <c r="O1393" t="inlineStr">
        <is>
          <t>left</t>
        </is>
      </c>
      <c r="P1393" t="n">
        <v/>
      </c>
      <c r="R1393" t="b">
        <v>1</v>
      </c>
      <c r="S1393" t="inlineStr">
        <is>
          <t>G000300</t>
        </is>
      </c>
      <c r="T1393" t="inlineStr">
        <is>
          <t>Horizontal</t>
        </is>
      </c>
      <c r="U1393" t="n">
        <v>3</v>
      </c>
      <c r="V1393" t="b">
        <v>1</v>
      </c>
      <c r="W1393" t="inlineStr">
        <is>
          <t>ATF fuel!G141:I141</t>
        </is>
      </c>
      <c r="X1393">
        <f>(1+(R[0]C[-4]/R[-1]C[-4])-1)*R[-1]C[0]</f>
        <v/>
      </c>
    </row>
    <row r="1394">
      <c r="A1394" t="inlineStr">
        <is>
          <t>ATF fuel</t>
        </is>
      </c>
      <c r="B1394" t="inlineStr">
        <is>
          <t>J141</t>
        </is>
      </c>
      <c r="C1394" t="n">
        <v>141</v>
      </c>
      <c r="D1394" t="n">
        <v>10</v>
      </c>
      <c r="E1394" t="inlineStr">
        <is>
          <t>Output</t>
        </is>
      </c>
      <c r="F1394" t="inlineStr">
        <is>
          <t>'=G141/H141-1</t>
        </is>
      </c>
      <c r="G1394" t="n">
        <v>0.07512686160922843</v>
      </c>
      <c r="H1394" t="inlineStr"/>
      <c r="I1394" t="inlineStr">
        <is>
          <t>0.0%</t>
        </is>
      </c>
      <c r="J1394" t="b">
        <v>0</v>
      </c>
      <c r="K1394" t="b">
        <v>0</v>
      </c>
      <c r="L1394" t="n">
        <v>11</v>
      </c>
      <c r="M1394" t="inlineStr">
        <is>
          <t>Values must be of type &lt;class 'str'&gt;</t>
        </is>
      </c>
      <c r="N1394" t="inlineStr">
        <is>
          <t>00000000</t>
        </is>
      </c>
      <c r="O1394" t="n">
        <v/>
      </c>
      <c r="P1394" t="n">
        <v/>
      </c>
      <c r="R1394" t="b">
        <v>1</v>
      </c>
      <c r="S1394" t="inlineStr">
        <is>
          <t>G000295</t>
        </is>
      </c>
      <c r="T1394" t="inlineStr">
        <is>
          <t>Vertical</t>
        </is>
      </c>
      <c r="U1394" t="n">
        <v>93</v>
      </c>
      <c r="V1394" t="b">
        <v>1</v>
      </c>
      <c r="W1394" t="inlineStr">
        <is>
          <t>ATF fuel!J136:J228</t>
        </is>
      </c>
      <c r="X1394">
        <f>R[0]C[-3]/R[0]C[-2]-1</f>
        <v/>
      </c>
    </row>
    <row r="1395">
      <c r="A1395" t="inlineStr">
        <is>
          <t>ATF fuel</t>
        </is>
      </c>
      <c r="B1395" t="inlineStr">
        <is>
          <t>B142</t>
        </is>
      </c>
      <c r="C1395" t="n">
        <v>142</v>
      </c>
      <c r="D1395" t="n">
        <v>2</v>
      </c>
      <c r="E1395" t="inlineStr">
        <is>
          <t>Input</t>
        </is>
      </c>
      <c r="F1395" t="n">
        <v/>
      </c>
      <c r="G1395" t="inlineStr">
        <is>
          <t>October 01, 2010</t>
        </is>
      </c>
      <c r="H1395" t="inlineStr"/>
      <c r="I1395" t="inlineStr">
        <is>
          <t>General</t>
        </is>
      </c>
      <c r="J1395" t="b">
        <v>0</v>
      </c>
      <c r="K1395" t="b">
        <v>0</v>
      </c>
      <c r="L1395" t="n">
        <v>11</v>
      </c>
      <c r="M1395" t="inlineStr">
        <is>
          <t>Values must be of type &lt;class 'str'&gt;</t>
        </is>
      </c>
      <c r="N1395" t="inlineStr">
        <is>
          <t>00000000</t>
        </is>
      </c>
      <c r="O1395" t="n">
        <v/>
      </c>
      <c r="P1395" t="n">
        <v/>
      </c>
      <c r="R1395" t="b">
        <v>1</v>
      </c>
      <c r="S1395" t="n">
        <v/>
      </c>
      <c r="T1395" t="n">
        <v/>
      </c>
      <c r="U1395" t="n">
        <v/>
      </c>
      <c r="V1395" t="b">
        <v>0</v>
      </c>
      <c r="W1395" t="inlineStr"/>
      <c r="X1395" t="n">
        <v/>
      </c>
    </row>
    <row r="1396">
      <c r="A1396" t="inlineStr">
        <is>
          <t>ATF fuel</t>
        </is>
      </c>
      <c r="B1396" t="inlineStr">
        <is>
          <t>C142</t>
        </is>
      </c>
      <c r="C1396" t="n">
        <v>142</v>
      </c>
      <c r="D1396" t="n">
        <v>3</v>
      </c>
      <c r="E1396" t="inlineStr">
        <is>
          <t>Input</t>
        </is>
      </c>
      <c r="F1396" t="n">
        <v/>
      </c>
      <c r="G1396" t="n">
        <v>44195.2675</v>
      </c>
      <c r="H1396" t="inlineStr"/>
      <c r="I1396" t="inlineStr">
        <is>
          <t>General</t>
        </is>
      </c>
      <c r="J1396" t="b">
        <v>0</v>
      </c>
      <c r="K1396" t="b">
        <v>0</v>
      </c>
      <c r="L1396" t="n">
        <v>11</v>
      </c>
      <c r="M1396" t="inlineStr">
        <is>
          <t>Values must be of type &lt;class 'str'&gt;</t>
        </is>
      </c>
      <c r="N1396" t="inlineStr">
        <is>
          <t>00000000</t>
        </is>
      </c>
      <c r="O1396" t="n">
        <v/>
      </c>
      <c r="P1396" t="n">
        <v/>
      </c>
      <c r="R1396" t="b">
        <v>1</v>
      </c>
      <c r="S1396" t="n">
        <v/>
      </c>
      <c r="T1396" t="n">
        <v/>
      </c>
      <c r="U1396" t="n">
        <v/>
      </c>
      <c r="V1396" t="b">
        <v>0</v>
      </c>
      <c r="W1396" t="inlineStr"/>
      <c r="X1396" t="n">
        <v/>
      </c>
    </row>
    <row r="1397">
      <c r="A1397" t="inlineStr">
        <is>
          <t>ATF fuel</t>
        </is>
      </c>
      <c r="B1397" t="inlineStr">
        <is>
          <t>D142</t>
        </is>
      </c>
      <c r="C1397" t="n">
        <v>142</v>
      </c>
      <c r="D1397" t="n">
        <v>4</v>
      </c>
      <c r="E1397" t="inlineStr">
        <is>
          <t>Input</t>
        </is>
      </c>
      <c r="F1397" t="n">
        <v/>
      </c>
      <c r="G1397" t="n">
        <v>82.69</v>
      </c>
      <c r="H1397" t="inlineStr"/>
      <c r="I1397" t="inlineStr">
        <is>
          <t>General</t>
        </is>
      </c>
      <c r="J1397" t="b">
        <v>0</v>
      </c>
      <c r="K1397" t="b">
        <v>0</v>
      </c>
      <c r="L1397" t="n">
        <v>11</v>
      </c>
      <c r="M1397" t="inlineStr">
        <is>
          <t>Values must be of type &lt;class 'str'&gt;</t>
        </is>
      </c>
      <c r="N1397" t="inlineStr">
        <is>
          <t>00000000</t>
        </is>
      </c>
      <c r="O1397" t="n">
        <v/>
      </c>
      <c r="P1397" t="n">
        <v/>
      </c>
      <c r="R1397" t="b">
        <v>1</v>
      </c>
      <c r="S1397" t="n">
        <v/>
      </c>
      <c r="T1397" t="n">
        <v/>
      </c>
      <c r="U1397" t="n">
        <v/>
      </c>
      <c r="V1397" t="b">
        <v>0</v>
      </c>
      <c r="W1397" t="inlineStr"/>
      <c r="X1397" t="n">
        <v/>
      </c>
    </row>
    <row r="1398">
      <c r="A1398" t="inlineStr">
        <is>
          <t>ATF fuel</t>
        </is>
      </c>
      <c r="B1398" t="inlineStr">
        <is>
          <t>E142</t>
        </is>
      </c>
      <c r="C1398" t="n">
        <v>142</v>
      </c>
      <c r="D1398" t="n">
        <v>5</v>
      </c>
      <c r="E1398" t="inlineStr">
        <is>
          <t>Input</t>
        </is>
      </c>
      <c r="F1398" t="n">
        <v/>
      </c>
      <c r="G1398" t="n">
        <v>81.56999999999999</v>
      </c>
      <c r="H1398" t="inlineStr"/>
      <c r="I1398" t="inlineStr">
        <is>
          <t>General</t>
        </is>
      </c>
      <c r="J1398" t="b">
        <v>0</v>
      </c>
      <c r="K1398" t="b">
        <v>0</v>
      </c>
      <c r="L1398" t="n">
        <v>11</v>
      </c>
      <c r="M1398" t="inlineStr">
        <is>
          <t>Values must be of type &lt;class 'str'&gt;</t>
        </is>
      </c>
      <c r="N1398" t="inlineStr">
        <is>
          <t>00000000</t>
        </is>
      </c>
      <c r="O1398" t="n">
        <v/>
      </c>
      <c r="P1398" t="n">
        <v/>
      </c>
      <c r="R1398" t="b">
        <v>1</v>
      </c>
      <c r="S1398" t="n">
        <v/>
      </c>
      <c r="T1398" t="n">
        <v/>
      </c>
      <c r="U1398" t="n">
        <v/>
      </c>
      <c r="V1398" t="b">
        <v>0</v>
      </c>
      <c r="W1398" t="inlineStr"/>
      <c r="X1398" t="n">
        <v/>
      </c>
    </row>
    <row r="1399">
      <c r="A1399" t="inlineStr">
        <is>
          <t>ATF fuel</t>
        </is>
      </c>
      <c r="B1399" t="inlineStr">
        <is>
          <t>F142</t>
        </is>
      </c>
      <c r="C1399" t="n">
        <v>142</v>
      </c>
      <c r="D1399" t="n">
        <v>6</v>
      </c>
      <c r="E1399" t="inlineStr">
        <is>
          <t>Input</t>
        </is>
      </c>
      <c r="F1399" t="n">
        <v/>
      </c>
      <c r="G1399" t="inlineStr">
        <is>
          <t>October 01, 2010</t>
        </is>
      </c>
      <c r="H1399" t="inlineStr"/>
      <c r="I1399" t="inlineStr">
        <is>
          <t>General</t>
        </is>
      </c>
      <c r="J1399" t="b">
        <v>0</v>
      </c>
      <c r="K1399" t="b">
        <v>0</v>
      </c>
      <c r="L1399" t="n">
        <v>11</v>
      </c>
      <c r="M1399" t="inlineStr">
        <is>
          <t>Values must be of type &lt;class 'str'&gt;</t>
        </is>
      </c>
      <c r="N1399" t="inlineStr">
        <is>
          <t>00000000</t>
        </is>
      </c>
      <c r="O1399" t="inlineStr">
        <is>
          <t>left</t>
        </is>
      </c>
      <c r="P1399" t="n">
        <v/>
      </c>
      <c r="R1399" t="b">
        <v>1</v>
      </c>
      <c r="S1399" t="n">
        <v/>
      </c>
      <c r="T1399" t="n">
        <v/>
      </c>
      <c r="U1399" t="n">
        <v/>
      </c>
      <c r="V1399" t="b">
        <v>0</v>
      </c>
      <c r="W1399" t="inlineStr"/>
      <c r="X1399" t="n">
        <v/>
      </c>
    </row>
    <row r="1400">
      <c r="A1400" t="inlineStr">
        <is>
          <t>ATF fuel</t>
        </is>
      </c>
      <c r="B1400" t="inlineStr">
        <is>
          <t>G142</t>
        </is>
      </c>
      <c r="C1400" t="n">
        <v>142</v>
      </c>
      <c r="D1400" t="n">
        <v>7</v>
      </c>
      <c r="E1400" t="inlineStr">
        <is>
          <t>Calculation</t>
        </is>
      </c>
      <c r="F1400" t="inlineStr">
        <is>
          <t>'=(1+(C142/C141)-1)*G141</t>
        </is>
      </c>
      <c r="G1400" t="n">
        <v>99.62459821149064</v>
      </c>
      <c r="H1400" t="inlineStr"/>
      <c r="I1400" t="inlineStr">
        <is>
          <t>General</t>
        </is>
      </c>
      <c r="J1400" t="b">
        <v>0</v>
      </c>
      <c r="K1400" t="b">
        <v>0</v>
      </c>
      <c r="L1400" t="n">
        <v>11</v>
      </c>
      <c r="M1400" t="inlineStr">
        <is>
          <t>Values must be of type &lt;class 'str'&gt;</t>
        </is>
      </c>
      <c r="N1400" t="inlineStr">
        <is>
          <t>00000000</t>
        </is>
      </c>
      <c r="O1400" t="inlineStr">
        <is>
          <t>left</t>
        </is>
      </c>
      <c r="P1400" t="n">
        <v/>
      </c>
      <c r="R1400" t="b">
        <v>1</v>
      </c>
      <c r="S1400" t="inlineStr">
        <is>
          <t>G000301</t>
        </is>
      </c>
      <c r="T1400" t="inlineStr">
        <is>
          <t>Horizontal</t>
        </is>
      </c>
      <c r="U1400" t="n">
        <v>3</v>
      </c>
      <c r="V1400" t="b">
        <v>1</v>
      </c>
      <c r="W1400" t="inlineStr">
        <is>
          <t>ATF fuel!G142:I142</t>
        </is>
      </c>
      <c r="X1400">
        <f>(1+(R[0]C[-4]/R[-1]C[-4])-1)*R[-1]C[0]</f>
        <v/>
      </c>
    </row>
    <row r="1401">
      <c r="A1401" t="inlineStr">
        <is>
          <t>ATF fuel</t>
        </is>
      </c>
      <c r="B1401" t="inlineStr">
        <is>
          <t>H142</t>
        </is>
      </c>
      <c r="C1401" t="n">
        <v>142</v>
      </c>
      <c r="D1401" t="n">
        <v>8</v>
      </c>
      <c r="E1401" t="inlineStr">
        <is>
          <t>Calculation</t>
        </is>
      </c>
      <c r="F1401" t="inlineStr">
        <is>
          <t>'=(1+(D142/D141)-1)*H141</t>
        </is>
      </c>
      <c r="G1401" t="n">
        <v>100.0726128524749</v>
      </c>
      <c r="H1401" t="inlineStr"/>
      <c r="I1401" t="inlineStr">
        <is>
          <t>General</t>
        </is>
      </c>
      <c r="J1401" t="b">
        <v>0</v>
      </c>
      <c r="K1401" t="b">
        <v>0</v>
      </c>
      <c r="L1401" t="n">
        <v>11</v>
      </c>
      <c r="M1401" t="inlineStr">
        <is>
          <t>Values must be of type &lt;class 'str'&gt;</t>
        </is>
      </c>
      <c r="N1401" t="inlineStr">
        <is>
          <t>00000000</t>
        </is>
      </c>
      <c r="O1401" t="inlineStr">
        <is>
          <t>left</t>
        </is>
      </c>
      <c r="P1401" t="n">
        <v/>
      </c>
      <c r="R1401" t="b">
        <v>1</v>
      </c>
      <c r="S1401" t="inlineStr">
        <is>
          <t>G000301</t>
        </is>
      </c>
      <c r="T1401" t="inlineStr">
        <is>
          <t>Horizontal</t>
        </is>
      </c>
      <c r="U1401" t="n">
        <v>3</v>
      </c>
      <c r="V1401" t="b">
        <v>1</v>
      </c>
      <c r="W1401" t="inlineStr">
        <is>
          <t>ATF fuel!G142:I142</t>
        </is>
      </c>
      <c r="X1401">
        <f>(1+(R[0]C[-4]/R[-1]C[-4])-1)*R[-1]C[0]</f>
        <v/>
      </c>
    </row>
    <row r="1402">
      <c r="A1402" t="inlineStr">
        <is>
          <t>ATF fuel</t>
        </is>
      </c>
      <c r="B1402" t="inlineStr">
        <is>
          <t>I142</t>
        </is>
      </c>
      <c r="C1402" t="n">
        <v>142</v>
      </c>
      <c r="D1402" t="n">
        <v>9</v>
      </c>
      <c r="E1402" t="inlineStr">
        <is>
          <t>Calculation</t>
        </is>
      </c>
      <c r="F1402" t="inlineStr">
        <is>
          <t>'=(1+(E142/E141)-1)*I141</t>
        </is>
      </c>
      <c r="G1402" t="n">
        <v>96.49828463267477</v>
      </c>
      <c r="H1402" t="inlineStr"/>
      <c r="I1402" t="inlineStr">
        <is>
          <t>General</t>
        </is>
      </c>
      <c r="J1402" t="b">
        <v>0</v>
      </c>
      <c r="K1402" t="b">
        <v>0</v>
      </c>
      <c r="L1402" t="n">
        <v>11</v>
      </c>
      <c r="M1402" t="inlineStr">
        <is>
          <t>Values must be of type &lt;class 'str'&gt;</t>
        </is>
      </c>
      <c r="N1402" t="inlineStr">
        <is>
          <t>00000000</t>
        </is>
      </c>
      <c r="O1402" t="inlineStr">
        <is>
          <t>left</t>
        </is>
      </c>
      <c r="P1402" t="n">
        <v/>
      </c>
      <c r="R1402" t="b">
        <v>1</v>
      </c>
      <c r="S1402" t="inlineStr">
        <is>
          <t>G000301</t>
        </is>
      </c>
      <c r="T1402" t="inlineStr">
        <is>
          <t>Horizontal</t>
        </is>
      </c>
      <c r="U1402" t="n">
        <v>3</v>
      </c>
      <c r="V1402" t="b">
        <v>1</v>
      </c>
      <c r="W1402" t="inlineStr">
        <is>
          <t>ATF fuel!G142:I142</t>
        </is>
      </c>
      <c r="X1402">
        <f>(1+(R[0]C[-4]/R[-1]C[-4])-1)*R[-1]C[0]</f>
        <v/>
      </c>
    </row>
    <row r="1403">
      <c r="A1403" t="inlineStr">
        <is>
          <t>ATF fuel</t>
        </is>
      </c>
      <c r="B1403" t="inlineStr">
        <is>
          <t>J142</t>
        </is>
      </c>
      <c r="C1403" t="n">
        <v>142</v>
      </c>
      <c r="D1403" t="n">
        <v>10</v>
      </c>
      <c r="E1403" t="inlineStr">
        <is>
          <t>Output</t>
        </is>
      </c>
      <c r="F1403" t="inlineStr">
        <is>
          <t>'=G142/H142-1</t>
        </is>
      </c>
      <c r="G1403" t="n">
        <v>-0.004476895608239606</v>
      </c>
      <c r="H1403" t="inlineStr"/>
      <c r="I1403" t="inlineStr">
        <is>
          <t>0.0%</t>
        </is>
      </c>
      <c r="J1403" t="b">
        <v>0</v>
      </c>
      <c r="K1403" t="b">
        <v>0</v>
      </c>
      <c r="L1403" t="n">
        <v>11</v>
      </c>
      <c r="M1403" t="inlineStr">
        <is>
          <t>Values must be of type &lt;class 'str'&gt;</t>
        </is>
      </c>
      <c r="N1403" t="inlineStr">
        <is>
          <t>00000000</t>
        </is>
      </c>
      <c r="O1403" t="n">
        <v/>
      </c>
      <c r="P1403" t="n">
        <v/>
      </c>
      <c r="R1403" t="b">
        <v>1</v>
      </c>
      <c r="S1403" t="inlineStr">
        <is>
          <t>G000295</t>
        </is>
      </c>
      <c r="T1403" t="inlineStr">
        <is>
          <t>Vertical</t>
        </is>
      </c>
      <c r="U1403" t="n">
        <v>93</v>
      </c>
      <c r="V1403" t="b">
        <v>1</v>
      </c>
      <c r="W1403" t="inlineStr">
        <is>
          <t>ATF fuel!J136:J228</t>
        </is>
      </c>
      <c r="X1403">
        <f>R[0]C[-3]/R[0]C[-2]-1</f>
        <v/>
      </c>
    </row>
    <row r="1404">
      <c r="A1404" t="inlineStr">
        <is>
          <t>ATF fuel</t>
        </is>
      </c>
      <c r="B1404" t="inlineStr">
        <is>
          <t>B143</t>
        </is>
      </c>
      <c r="C1404" t="n">
        <v>143</v>
      </c>
      <c r="D1404" t="n">
        <v>2</v>
      </c>
      <c r="E1404" t="inlineStr">
        <is>
          <t>Input</t>
        </is>
      </c>
      <c r="F1404" t="n">
        <v/>
      </c>
      <c r="G1404" t="inlineStr">
        <is>
          <t>November 01, 2010</t>
        </is>
      </c>
      <c r="H1404" t="inlineStr"/>
      <c r="I1404" t="inlineStr">
        <is>
          <t>General</t>
        </is>
      </c>
      <c r="J1404" t="b">
        <v>0</v>
      </c>
      <c r="K1404" t="b">
        <v>0</v>
      </c>
      <c r="L1404" t="n">
        <v>11</v>
      </c>
      <c r="M1404" t="inlineStr">
        <is>
          <t>Values must be of type &lt;class 'str'&gt;</t>
        </is>
      </c>
      <c r="N1404" t="inlineStr">
        <is>
          <t>00000000</t>
        </is>
      </c>
      <c r="O1404" t="n">
        <v/>
      </c>
      <c r="P1404" t="n">
        <v/>
      </c>
      <c r="R1404" t="b">
        <v>1</v>
      </c>
      <c r="S1404" t="n">
        <v/>
      </c>
      <c r="T1404" t="n">
        <v/>
      </c>
      <c r="U1404" t="n">
        <v/>
      </c>
      <c r="V1404" t="b">
        <v>0</v>
      </c>
      <c r="W1404" t="inlineStr"/>
      <c r="X1404" t="n">
        <v/>
      </c>
    </row>
    <row r="1405">
      <c r="A1405" t="inlineStr">
        <is>
          <t>ATF fuel</t>
        </is>
      </c>
      <c r="B1405" t="inlineStr">
        <is>
          <t>C143</t>
        </is>
      </c>
      <c r="C1405" t="n">
        <v>143</v>
      </c>
      <c r="D1405" t="n">
        <v>3</v>
      </c>
      <c r="E1405" t="inlineStr">
        <is>
          <t>Input</t>
        </is>
      </c>
      <c r="F1405" t="n">
        <v/>
      </c>
      <c r="G1405" t="n">
        <v>45777</v>
      </c>
      <c r="H1405" t="inlineStr"/>
      <c r="I1405" t="inlineStr">
        <is>
          <t>General</t>
        </is>
      </c>
      <c r="J1405" t="b">
        <v>0</v>
      </c>
      <c r="K1405" t="b">
        <v>0</v>
      </c>
      <c r="L1405" t="n">
        <v>11</v>
      </c>
      <c r="M1405" t="inlineStr">
        <is>
          <t>Values must be of type &lt;class 'str'&gt;</t>
        </is>
      </c>
      <c r="N1405" t="inlineStr">
        <is>
          <t>00000000</t>
        </is>
      </c>
      <c r="O1405" t="n">
        <v/>
      </c>
      <c r="P1405" t="n">
        <v/>
      </c>
      <c r="R1405" t="b">
        <v>1</v>
      </c>
      <c r="S1405" t="n">
        <v/>
      </c>
      <c r="T1405" t="n">
        <v/>
      </c>
      <c r="U1405" t="n">
        <v/>
      </c>
      <c r="V1405" t="b">
        <v>0</v>
      </c>
      <c r="W1405" t="inlineStr"/>
      <c r="X1405" t="n">
        <v/>
      </c>
    </row>
    <row r="1406">
      <c r="A1406" t="inlineStr">
        <is>
          <t>ATF fuel</t>
        </is>
      </c>
      <c r="B1406" t="inlineStr">
        <is>
          <t>D143</t>
        </is>
      </c>
      <c r="C1406" t="n">
        <v>143</v>
      </c>
      <c r="D1406" t="n">
        <v>4</v>
      </c>
      <c r="E1406" t="inlineStr">
        <is>
          <t>Input</t>
        </is>
      </c>
      <c r="F1406" t="n">
        <v/>
      </c>
      <c r="G1406" t="n">
        <v>84.06</v>
      </c>
      <c r="H1406" t="inlineStr"/>
      <c r="I1406" t="inlineStr">
        <is>
          <t>General</t>
        </is>
      </c>
      <c r="J1406" t="b">
        <v>0</v>
      </c>
      <c r="K1406" t="b">
        <v>0</v>
      </c>
      <c r="L1406" t="n">
        <v>11</v>
      </c>
      <c r="M1406" t="inlineStr">
        <is>
          <t>Values must be of type &lt;class 'str'&gt;</t>
        </is>
      </c>
      <c r="N1406" t="inlineStr">
        <is>
          <t>00000000</t>
        </is>
      </c>
      <c r="O1406" t="n">
        <v/>
      </c>
      <c r="P1406" t="n">
        <v/>
      </c>
      <c r="R1406" t="b">
        <v>1</v>
      </c>
      <c r="S1406" t="n">
        <v/>
      </c>
      <c r="T1406" t="n">
        <v/>
      </c>
      <c r="U1406" t="n">
        <v/>
      </c>
      <c r="V1406" t="b">
        <v>0</v>
      </c>
      <c r="W1406" t="inlineStr"/>
      <c r="X1406" t="n">
        <v/>
      </c>
    </row>
    <row r="1407">
      <c r="A1407" t="inlineStr">
        <is>
          <t>ATF fuel</t>
        </is>
      </c>
      <c r="B1407" t="inlineStr">
        <is>
          <t>E143</t>
        </is>
      </c>
      <c r="C1407" t="n">
        <v>143</v>
      </c>
      <c r="D1407" t="n">
        <v>5</v>
      </c>
      <c r="E1407" t="inlineStr">
        <is>
          <t>Input</t>
        </is>
      </c>
      <c r="F1407" t="n">
        <v/>
      </c>
      <c r="G1407" t="n">
        <v>82.94</v>
      </c>
      <c r="H1407" t="inlineStr"/>
      <c r="I1407" t="inlineStr">
        <is>
          <t>General</t>
        </is>
      </c>
      <c r="J1407" t="b">
        <v>0</v>
      </c>
      <c r="K1407" t="b">
        <v>0</v>
      </c>
      <c r="L1407" t="n">
        <v>11</v>
      </c>
      <c r="M1407" t="inlineStr">
        <is>
          <t>Values must be of type &lt;class 'str'&gt;</t>
        </is>
      </c>
      <c r="N1407" t="inlineStr">
        <is>
          <t>00000000</t>
        </is>
      </c>
      <c r="O1407" t="n">
        <v/>
      </c>
      <c r="P1407" t="n">
        <v/>
      </c>
      <c r="R1407" t="b">
        <v>1</v>
      </c>
      <c r="S1407" t="n">
        <v/>
      </c>
      <c r="T1407" t="n">
        <v/>
      </c>
      <c r="U1407" t="n">
        <v/>
      </c>
      <c r="V1407" t="b">
        <v>0</v>
      </c>
      <c r="W1407" t="inlineStr"/>
      <c r="X1407" t="n">
        <v/>
      </c>
    </row>
    <row r="1408">
      <c r="A1408" t="inlineStr">
        <is>
          <t>ATF fuel</t>
        </is>
      </c>
      <c r="B1408" t="inlineStr">
        <is>
          <t>F143</t>
        </is>
      </c>
      <c r="C1408" t="n">
        <v>143</v>
      </c>
      <c r="D1408" t="n">
        <v>6</v>
      </c>
      <c r="E1408" t="inlineStr">
        <is>
          <t>Input</t>
        </is>
      </c>
      <c r="F1408" t="n">
        <v/>
      </c>
      <c r="G1408" t="inlineStr">
        <is>
          <t>November 01, 2010</t>
        </is>
      </c>
      <c r="H1408" t="inlineStr"/>
      <c r="I1408" t="inlineStr">
        <is>
          <t>General</t>
        </is>
      </c>
      <c r="J1408" t="b">
        <v>0</v>
      </c>
      <c r="K1408" t="b">
        <v>0</v>
      </c>
      <c r="L1408" t="n">
        <v>11</v>
      </c>
      <c r="M1408" t="inlineStr">
        <is>
          <t>Values must be of type &lt;class 'str'&gt;</t>
        </is>
      </c>
      <c r="N1408" t="inlineStr">
        <is>
          <t>00000000</t>
        </is>
      </c>
      <c r="O1408" t="inlineStr">
        <is>
          <t>left</t>
        </is>
      </c>
      <c r="P1408" t="n">
        <v/>
      </c>
      <c r="R1408" t="b">
        <v>1</v>
      </c>
      <c r="S1408" t="n">
        <v/>
      </c>
      <c r="T1408" t="n">
        <v/>
      </c>
      <c r="U1408" t="n">
        <v/>
      </c>
      <c r="V1408" t="b">
        <v>0</v>
      </c>
      <c r="W1408" t="inlineStr"/>
      <c r="X1408" t="n">
        <v/>
      </c>
    </row>
    <row r="1409">
      <c r="A1409" t="inlineStr">
        <is>
          <t>ATF fuel</t>
        </is>
      </c>
      <c r="B1409" t="inlineStr">
        <is>
          <t>G143</t>
        </is>
      </c>
      <c r="C1409" t="n">
        <v>143</v>
      </c>
      <c r="D1409" t="n">
        <v>7</v>
      </c>
      <c r="E1409" t="inlineStr">
        <is>
          <t>Calculation</t>
        </is>
      </c>
      <c r="F1409" t="inlineStr">
        <is>
          <t>'=(1+(C143/C142)-1)*G142</t>
        </is>
      </c>
      <c r="G1409" t="n">
        <v>103.1901262352899</v>
      </c>
      <c r="H1409" t="inlineStr"/>
      <c r="I1409" t="inlineStr">
        <is>
          <t>General</t>
        </is>
      </c>
      <c r="J1409" t="b">
        <v>0</v>
      </c>
      <c r="K1409" t="b">
        <v>0</v>
      </c>
      <c r="L1409" t="n">
        <v>11</v>
      </c>
      <c r="M1409" t="inlineStr">
        <is>
          <t>Values must be of type &lt;class 'str'&gt;</t>
        </is>
      </c>
      <c r="N1409" t="inlineStr">
        <is>
          <t>00000000</t>
        </is>
      </c>
      <c r="O1409" t="inlineStr">
        <is>
          <t>left</t>
        </is>
      </c>
      <c r="P1409" t="n">
        <v/>
      </c>
      <c r="R1409" t="b">
        <v>1</v>
      </c>
      <c r="S1409" t="inlineStr">
        <is>
          <t>G000302</t>
        </is>
      </c>
      <c r="T1409" t="inlineStr">
        <is>
          <t>Horizontal</t>
        </is>
      </c>
      <c r="U1409" t="n">
        <v>3</v>
      </c>
      <c r="V1409" t="b">
        <v>1</v>
      </c>
      <c r="W1409" t="inlineStr">
        <is>
          <t>ATF fuel!G143:I143</t>
        </is>
      </c>
      <c r="X1409">
        <f>(1+(R[0]C[-4]/R[-1]C[-4])-1)*R[-1]C[0]</f>
        <v/>
      </c>
    </row>
    <row r="1410">
      <c r="A1410" t="inlineStr">
        <is>
          <t>ATF fuel</t>
        </is>
      </c>
      <c r="B1410" t="inlineStr">
        <is>
          <t>H143</t>
        </is>
      </c>
      <c r="C1410" t="n">
        <v>143</v>
      </c>
      <c r="D1410" t="n">
        <v>8</v>
      </c>
      <c r="E1410" t="inlineStr">
        <is>
          <t>Calculation</t>
        </is>
      </c>
      <c r="F1410" t="inlineStr">
        <is>
          <t>'=(1+(D143/D142)-1)*H142</t>
        </is>
      </c>
      <c r="G1410" t="n">
        <v>101.7306063173182</v>
      </c>
      <c r="H1410" t="inlineStr"/>
      <c r="I1410" t="inlineStr">
        <is>
          <t>General</t>
        </is>
      </c>
      <c r="J1410" t="b">
        <v>0</v>
      </c>
      <c r="K1410" t="b">
        <v>0</v>
      </c>
      <c r="L1410" t="n">
        <v>11</v>
      </c>
      <c r="M1410" t="inlineStr">
        <is>
          <t>Values must be of type &lt;class 'str'&gt;</t>
        </is>
      </c>
      <c r="N1410" t="inlineStr">
        <is>
          <t>00000000</t>
        </is>
      </c>
      <c r="O1410" t="inlineStr">
        <is>
          <t>left</t>
        </is>
      </c>
      <c r="P1410" t="n">
        <v/>
      </c>
      <c r="R1410" t="b">
        <v>1</v>
      </c>
      <c r="S1410" t="inlineStr">
        <is>
          <t>G000302</t>
        </is>
      </c>
      <c r="T1410" t="inlineStr">
        <is>
          <t>Horizontal</t>
        </is>
      </c>
      <c r="U1410" t="n">
        <v>3</v>
      </c>
      <c r="V1410" t="b">
        <v>1</v>
      </c>
      <c r="W1410" t="inlineStr">
        <is>
          <t>ATF fuel!G143:I143</t>
        </is>
      </c>
      <c r="X1410">
        <f>(1+(R[0]C[-4]/R[-1]C[-4])-1)*R[-1]C[0]</f>
        <v/>
      </c>
    </row>
    <row r="1411">
      <c r="A1411" t="inlineStr">
        <is>
          <t>ATF fuel</t>
        </is>
      </c>
      <c r="B1411" t="inlineStr">
        <is>
          <t>I143</t>
        </is>
      </c>
      <c r="C1411" t="n">
        <v>143</v>
      </c>
      <c r="D1411" t="n">
        <v>9</v>
      </c>
      <c r="E1411" t="inlineStr">
        <is>
          <t>Calculation</t>
        </is>
      </c>
      <c r="F1411" t="inlineStr">
        <is>
          <t>'=(1+(E143/E142)-1)*I142</t>
        </is>
      </c>
      <c r="G1411" t="n">
        <v>98.11901100201113</v>
      </c>
      <c r="H1411" t="inlineStr"/>
      <c r="I1411" t="inlineStr">
        <is>
          <t>General</t>
        </is>
      </c>
      <c r="J1411" t="b">
        <v>0</v>
      </c>
      <c r="K1411" t="b">
        <v>0</v>
      </c>
      <c r="L1411" t="n">
        <v>11</v>
      </c>
      <c r="M1411" t="inlineStr">
        <is>
          <t>Values must be of type &lt;class 'str'&gt;</t>
        </is>
      </c>
      <c r="N1411" t="inlineStr">
        <is>
          <t>00000000</t>
        </is>
      </c>
      <c r="O1411" t="inlineStr">
        <is>
          <t>left</t>
        </is>
      </c>
      <c r="P1411" t="n">
        <v/>
      </c>
      <c r="R1411" t="b">
        <v>1</v>
      </c>
      <c r="S1411" t="inlineStr">
        <is>
          <t>G000302</t>
        </is>
      </c>
      <c r="T1411" t="inlineStr">
        <is>
          <t>Horizontal</t>
        </is>
      </c>
      <c r="U1411" t="n">
        <v>3</v>
      </c>
      <c r="V1411" t="b">
        <v>1</v>
      </c>
      <c r="W1411" t="inlineStr">
        <is>
          <t>ATF fuel!G143:I143</t>
        </is>
      </c>
      <c r="X1411">
        <f>(1+(R[0]C[-4]/R[-1]C[-4])-1)*R[-1]C[0]</f>
        <v/>
      </c>
    </row>
    <row r="1412">
      <c r="A1412" t="inlineStr">
        <is>
          <t>ATF fuel</t>
        </is>
      </c>
      <c r="B1412" t="inlineStr">
        <is>
          <t>J143</t>
        </is>
      </c>
      <c r="C1412" t="n">
        <v>143</v>
      </c>
      <c r="D1412" t="n">
        <v>10</v>
      </c>
      <c r="E1412" t="inlineStr">
        <is>
          <t>Output</t>
        </is>
      </c>
      <c r="F1412" t="inlineStr">
        <is>
          <t>'=G143/H143-1</t>
        </is>
      </c>
      <c r="G1412" t="n">
        <v>0.01434691063787752</v>
      </c>
      <c r="H1412" t="inlineStr"/>
      <c r="I1412" t="inlineStr">
        <is>
          <t>0.0%</t>
        </is>
      </c>
      <c r="J1412" t="b">
        <v>0</v>
      </c>
      <c r="K1412" t="b">
        <v>0</v>
      </c>
      <c r="L1412" t="n">
        <v>11</v>
      </c>
      <c r="M1412" t="inlineStr">
        <is>
          <t>Values must be of type &lt;class 'str'&gt;</t>
        </is>
      </c>
      <c r="N1412" t="inlineStr">
        <is>
          <t>00000000</t>
        </is>
      </c>
      <c r="O1412" t="n">
        <v/>
      </c>
      <c r="P1412" t="n">
        <v/>
      </c>
      <c r="R1412" t="b">
        <v>1</v>
      </c>
      <c r="S1412" t="inlineStr">
        <is>
          <t>G000295</t>
        </is>
      </c>
      <c r="T1412" t="inlineStr">
        <is>
          <t>Vertical</t>
        </is>
      </c>
      <c r="U1412" t="n">
        <v>93</v>
      </c>
      <c r="V1412" t="b">
        <v>1</v>
      </c>
      <c r="W1412" t="inlineStr">
        <is>
          <t>ATF fuel!J136:J228</t>
        </is>
      </c>
      <c r="X1412">
        <f>R[0]C[-3]/R[0]C[-2]-1</f>
        <v/>
      </c>
    </row>
    <row r="1413">
      <c r="A1413" t="inlineStr">
        <is>
          <t>ATF fuel</t>
        </is>
      </c>
      <c r="B1413" t="inlineStr">
        <is>
          <t>B144</t>
        </is>
      </c>
      <c r="C1413" t="n">
        <v>144</v>
      </c>
      <c r="D1413" t="n">
        <v>2</v>
      </c>
      <c r="E1413" t="inlineStr">
        <is>
          <t>Input</t>
        </is>
      </c>
      <c r="F1413" t="n">
        <v/>
      </c>
      <c r="G1413" t="inlineStr">
        <is>
          <t>December 01, 2010</t>
        </is>
      </c>
      <c r="H1413" t="inlineStr"/>
      <c r="I1413" t="inlineStr">
        <is>
          <t>General</t>
        </is>
      </c>
      <c r="J1413" t="b">
        <v>0</v>
      </c>
      <c r="K1413" t="b">
        <v>0</v>
      </c>
      <c r="L1413" t="n">
        <v>11</v>
      </c>
      <c r="M1413" t="inlineStr">
        <is>
          <t>Values must be of type &lt;class 'str'&gt;</t>
        </is>
      </c>
      <c r="N1413" t="inlineStr">
        <is>
          <t>00000000</t>
        </is>
      </c>
      <c r="O1413" t="n">
        <v/>
      </c>
      <c r="P1413" t="n">
        <v/>
      </c>
      <c r="R1413" t="b">
        <v>1</v>
      </c>
      <c r="S1413" t="n">
        <v/>
      </c>
      <c r="T1413" t="n">
        <v/>
      </c>
      <c r="U1413" t="n">
        <v/>
      </c>
      <c r="V1413" t="b">
        <v>0</v>
      </c>
      <c r="W1413" t="inlineStr"/>
      <c r="X1413" t="n">
        <v/>
      </c>
    </row>
    <row r="1414">
      <c r="A1414" t="inlineStr">
        <is>
          <t>ATF fuel</t>
        </is>
      </c>
      <c r="B1414" t="inlineStr">
        <is>
          <t>C144</t>
        </is>
      </c>
      <c r="C1414" t="n">
        <v>144</v>
      </c>
      <c r="D1414" t="n">
        <v>3</v>
      </c>
      <c r="E1414" t="inlineStr">
        <is>
          <t>Input</t>
        </is>
      </c>
      <c r="F1414" t="n">
        <v/>
      </c>
      <c r="G1414" t="n">
        <v>47892.11500000001</v>
      </c>
      <c r="H1414" t="inlineStr"/>
      <c r="I1414" t="inlineStr">
        <is>
          <t>General</t>
        </is>
      </c>
      <c r="J1414" t="b">
        <v>0</v>
      </c>
      <c r="K1414" t="b">
        <v>0</v>
      </c>
      <c r="L1414" t="n">
        <v>11</v>
      </c>
      <c r="M1414" t="inlineStr">
        <is>
          <t>Values must be of type &lt;class 'str'&gt;</t>
        </is>
      </c>
      <c r="N1414" t="inlineStr">
        <is>
          <t>00000000</t>
        </is>
      </c>
      <c r="O1414" t="n">
        <v/>
      </c>
      <c r="P1414" t="n">
        <v/>
      </c>
      <c r="R1414" t="b">
        <v>1</v>
      </c>
      <c r="S1414" t="n">
        <v/>
      </c>
      <c r="T1414" t="n">
        <v/>
      </c>
      <c r="U1414" t="n">
        <v/>
      </c>
      <c r="V1414" t="b">
        <v>0</v>
      </c>
      <c r="W1414" t="inlineStr"/>
      <c r="X1414" t="n">
        <v/>
      </c>
    </row>
    <row r="1415">
      <c r="A1415" t="inlineStr">
        <is>
          <t>ATF fuel</t>
        </is>
      </c>
      <c r="B1415" t="inlineStr">
        <is>
          <t>D144</t>
        </is>
      </c>
      <c r="C1415" t="n">
        <v>144</v>
      </c>
      <c r="D1415" t="n">
        <v>4</v>
      </c>
      <c r="E1415" t="inlineStr">
        <is>
          <t>Input</t>
        </is>
      </c>
      <c r="F1415" t="n">
        <v/>
      </c>
      <c r="G1415" t="n">
        <v>88.56</v>
      </c>
      <c r="H1415" t="inlineStr"/>
      <c r="I1415" t="inlineStr">
        <is>
          <t>General</t>
        </is>
      </c>
      <c r="J1415" t="b">
        <v>0</v>
      </c>
      <c r="K1415" t="b">
        <v>0</v>
      </c>
      <c r="L1415" t="n">
        <v>11</v>
      </c>
      <c r="M1415" t="inlineStr">
        <is>
          <t>Values must be of type &lt;class 'str'&gt;</t>
        </is>
      </c>
      <c r="N1415" t="inlineStr">
        <is>
          <t>00000000</t>
        </is>
      </c>
      <c r="O1415" t="n">
        <v/>
      </c>
      <c r="P1415" t="n">
        <v/>
      </c>
      <c r="R1415" t="b">
        <v>1</v>
      </c>
      <c r="S1415" t="n">
        <v/>
      </c>
      <c r="T1415" t="n">
        <v/>
      </c>
      <c r="U1415" t="n">
        <v/>
      </c>
      <c r="V1415" t="b">
        <v>0</v>
      </c>
      <c r="W1415" t="inlineStr"/>
      <c r="X1415" t="n">
        <v/>
      </c>
    </row>
    <row r="1416">
      <c r="A1416" t="inlineStr">
        <is>
          <t>ATF fuel</t>
        </is>
      </c>
      <c r="B1416" t="inlineStr">
        <is>
          <t>E144</t>
        </is>
      </c>
      <c r="C1416" t="n">
        <v>144</v>
      </c>
      <c r="D1416" t="n">
        <v>5</v>
      </c>
      <c r="E1416" t="inlineStr">
        <is>
          <t>Input</t>
        </is>
      </c>
      <c r="F1416" t="n">
        <v/>
      </c>
      <c r="G1416" t="n">
        <v>86.75</v>
      </c>
      <c r="H1416" t="inlineStr"/>
      <c r="I1416" t="inlineStr">
        <is>
          <t>General</t>
        </is>
      </c>
      <c r="J1416" t="b">
        <v>0</v>
      </c>
      <c r="K1416" t="b">
        <v>0</v>
      </c>
      <c r="L1416" t="n">
        <v>11</v>
      </c>
      <c r="M1416" t="inlineStr">
        <is>
          <t>Values must be of type &lt;class 'str'&gt;</t>
        </is>
      </c>
      <c r="N1416" t="inlineStr">
        <is>
          <t>00000000</t>
        </is>
      </c>
      <c r="O1416" t="n">
        <v/>
      </c>
      <c r="P1416" t="n">
        <v/>
      </c>
      <c r="R1416" t="b">
        <v>1</v>
      </c>
      <c r="S1416" t="n">
        <v/>
      </c>
      <c r="T1416" t="n">
        <v/>
      </c>
      <c r="U1416" t="n">
        <v/>
      </c>
      <c r="V1416" t="b">
        <v>0</v>
      </c>
      <c r="W1416" t="inlineStr"/>
      <c r="X1416" t="n">
        <v/>
      </c>
    </row>
    <row r="1417">
      <c r="A1417" t="inlineStr">
        <is>
          <t>ATF fuel</t>
        </is>
      </c>
      <c r="B1417" t="inlineStr">
        <is>
          <t>F144</t>
        </is>
      </c>
      <c r="C1417" t="n">
        <v>144</v>
      </c>
      <c r="D1417" t="n">
        <v>6</v>
      </c>
      <c r="E1417" t="inlineStr">
        <is>
          <t>Input</t>
        </is>
      </c>
      <c r="F1417" t="n">
        <v/>
      </c>
      <c r="G1417" t="inlineStr">
        <is>
          <t>December 01, 2010</t>
        </is>
      </c>
      <c r="H1417" t="inlineStr"/>
      <c r="I1417" t="inlineStr">
        <is>
          <t>General</t>
        </is>
      </c>
      <c r="J1417" t="b">
        <v>0</v>
      </c>
      <c r="K1417" t="b">
        <v>0</v>
      </c>
      <c r="L1417" t="n">
        <v>11</v>
      </c>
      <c r="M1417" t="inlineStr">
        <is>
          <t>Values must be of type &lt;class 'str'&gt;</t>
        </is>
      </c>
      <c r="N1417" t="inlineStr">
        <is>
          <t>00000000</t>
        </is>
      </c>
      <c r="O1417" t="inlineStr">
        <is>
          <t>left</t>
        </is>
      </c>
      <c r="P1417" t="n">
        <v/>
      </c>
      <c r="R1417" t="b">
        <v>1</v>
      </c>
      <c r="S1417" t="n">
        <v/>
      </c>
      <c r="T1417" t="n">
        <v/>
      </c>
      <c r="U1417" t="n">
        <v/>
      </c>
      <c r="V1417" t="b">
        <v>0</v>
      </c>
      <c r="W1417" t="inlineStr"/>
      <c r="X1417" t="n">
        <v/>
      </c>
    </row>
    <row r="1418">
      <c r="A1418" t="inlineStr">
        <is>
          <t>ATF fuel</t>
        </is>
      </c>
      <c r="B1418" t="inlineStr">
        <is>
          <t>G144</t>
        </is>
      </c>
      <c r="C1418" t="n">
        <v>144</v>
      </c>
      <c r="D1418" t="n">
        <v>7</v>
      </c>
      <c r="E1418" t="inlineStr">
        <is>
          <t>Calculation</t>
        </is>
      </c>
      <c r="F1418" t="inlineStr">
        <is>
          <t>'=(1+(C144/C143)-1)*G143</t>
        </is>
      </c>
      <c r="G1418" t="n">
        <v>107.9580005794399</v>
      </c>
      <c r="H1418" t="inlineStr"/>
      <c r="I1418" t="inlineStr">
        <is>
          <t>General</t>
        </is>
      </c>
      <c r="J1418" t="b">
        <v>0</v>
      </c>
      <c r="K1418" t="b">
        <v>0</v>
      </c>
      <c r="L1418" t="n">
        <v>11</v>
      </c>
      <c r="M1418" t="inlineStr">
        <is>
          <t>Values must be of type &lt;class 'str'&gt;</t>
        </is>
      </c>
      <c r="N1418" t="inlineStr">
        <is>
          <t>00000000</t>
        </is>
      </c>
      <c r="O1418" t="inlineStr">
        <is>
          <t>left</t>
        </is>
      </c>
      <c r="P1418" t="n">
        <v/>
      </c>
      <c r="R1418" t="b">
        <v>1</v>
      </c>
      <c r="S1418" t="inlineStr">
        <is>
          <t>G000303</t>
        </is>
      </c>
      <c r="T1418" t="inlineStr">
        <is>
          <t>Horizontal</t>
        </is>
      </c>
      <c r="U1418" t="n">
        <v>3</v>
      </c>
      <c r="V1418" t="b">
        <v>1</v>
      </c>
      <c r="W1418" t="inlineStr">
        <is>
          <t>ATF fuel!G144:I144</t>
        </is>
      </c>
      <c r="X1418">
        <f>(1+(R[0]C[-4]/R[-1]C[-4])-1)*R[-1]C[0]</f>
        <v/>
      </c>
    </row>
    <row r="1419">
      <c r="A1419" t="inlineStr">
        <is>
          <t>ATF fuel</t>
        </is>
      </c>
      <c r="B1419" t="inlineStr">
        <is>
          <t>H144</t>
        </is>
      </c>
      <c r="C1419" t="n">
        <v>144</v>
      </c>
      <c r="D1419" t="n">
        <v>8</v>
      </c>
      <c r="E1419" t="inlineStr">
        <is>
          <t>Calculation</t>
        </is>
      </c>
      <c r="F1419" t="inlineStr">
        <is>
          <t>'=(1+(D144/D143)-1)*H143</t>
        </is>
      </c>
      <c r="G1419" t="n">
        <v>107.1765702529349</v>
      </c>
      <c r="H1419" t="inlineStr"/>
      <c r="I1419" t="inlineStr">
        <is>
          <t>General</t>
        </is>
      </c>
      <c r="J1419" t="b">
        <v>0</v>
      </c>
      <c r="K1419" t="b">
        <v>0</v>
      </c>
      <c r="L1419" t="n">
        <v>11</v>
      </c>
      <c r="M1419" t="inlineStr">
        <is>
          <t>Values must be of type &lt;class 'str'&gt;</t>
        </is>
      </c>
      <c r="N1419" t="inlineStr">
        <is>
          <t>00000000</t>
        </is>
      </c>
      <c r="O1419" t="inlineStr">
        <is>
          <t>left</t>
        </is>
      </c>
      <c r="P1419" t="n">
        <v/>
      </c>
      <c r="R1419" t="b">
        <v>1</v>
      </c>
      <c r="S1419" t="inlineStr">
        <is>
          <t>G000303</t>
        </is>
      </c>
      <c r="T1419" t="inlineStr">
        <is>
          <t>Horizontal</t>
        </is>
      </c>
      <c r="U1419" t="n">
        <v>3</v>
      </c>
      <c r="V1419" t="b">
        <v>1</v>
      </c>
      <c r="W1419" t="inlineStr">
        <is>
          <t>ATF fuel!G144:I144</t>
        </is>
      </c>
      <c r="X1419">
        <f>(1+(R[0]C[-4]/R[-1]C[-4])-1)*R[-1]C[0]</f>
        <v/>
      </c>
    </row>
    <row r="1420">
      <c r="A1420" t="inlineStr">
        <is>
          <t>ATF fuel</t>
        </is>
      </c>
      <c r="B1420" t="inlineStr">
        <is>
          <t>I144</t>
        </is>
      </c>
      <c r="C1420" t="n">
        <v>144</v>
      </c>
      <c r="D1420" t="n">
        <v>9</v>
      </c>
      <c r="E1420" t="inlineStr">
        <is>
          <t>Calculation</t>
        </is>
      </c>
      <c r="F1420" t="inlineStr">
        <is>
          <t>'=(1+(E144/E143)-1)*I143</t>
        </is>
      </c>
      <c r="G1420" t="n">
        <v>102.6262865254939</v>
      </c>
      <c r="H1420" t="inlineStr"/>
      <c r="I1420" t="inlineStr">
        <is>
          <t>General</t>
        </is>
      </c>
      <c r="J1420" t="b">
        <v>0</v>
      </c>
      <c r="K1420" t="b">
        <v>0</v>
      </c>
      <c r="L1420" t="n">
        <v>11</v>
      </c>
      <c r="M1420" t="inlineStr">
        <is>
          <t>Values must be of type &lt;class 'str'&gt;</t>
        </is>
      </c>
      <c r="N1420" t="inlineStr">
        <is>
          <t>00000000</t>
        </is>
      </c>
      <c r="O1420" t="inlineStr">
        <is>
          <t>left</t>
        </is>
      </c>
      <c r="P1420" t="n">
        <v/>
      </c>
      <c r="R1420" t="b">
        <v>1</v>
      </c>
      <c r="S1420" t="inlineStr">
        <is>
          <t>G000303</t>
        </is>
      </c>
      <c r="T1420" t="inlineStr">
        <is>
          <t>Horizontal</t>
        </is>
      </c>
      <c r="U1420" t="n">
        <v>3</v>
      </c>
      <c r="V1420" t="b">
        <v>1</v>
      </c>
      <c r="W1420" t="inlineStr">
        <is>
          <t>ATF fuel!G144:I144</t>
        </is>
      </c>
      <c r="X1420">
        <f>(1+(R[0]C[-4]/R[-1]C[-4])-1)*R[-1]C[0]</f>
        <v/>
      </c>
    </row>
    <row r="1421">
      <c r="A1421" t="inlineStr">
        <is>
          <t>ATF fuel</t>
        </is>
      </c>
      <c r="B1421" t="inlineStr">
        <is>
          <t>J144</t>
        </is>
      </c>
      <c r="C1421" t="n">
        <v>144</v>
      </c>
      <c r="D1421" t="n">
        <v>10</v>
      </c>
      <c r="E1421" t="inlineStr">
        <is>
          <t>Output</t>
        </is>
      </c>
      <c r="F1421" t="inlineStr">
        <is>
          <t>'=G144/H144-1</t>
        </is>
      </c>
      <c r="G1421" t="n">
        <v>0.007291055541905234</v>
      </c>
      <c r="H1421" t="inlineStr"/>
      <c r="I1421" t="inlineStr">
        <is>
          <t>0.0%</t>
        </is>
      </c>
      <c r="J1421" t="b">
        <v>0</v>
      </c>
      <c r="K1421" t="b">
        <v>0</v>
      </c>
      <c r="L1421" t="n">
        <v>11</v>
      </c>
      <c r="M1421" t="inlineStr">
        <is>
          <t>Values must be of type &lt;class 'str'&gt;</t>
        </is>
      </c>
      <c r="N1421" t="inlineStr">
        <is>
          <t>00000000</t>
        </is>
      </c>
      <c r="O1421" t="n">
        <v/>
      </c>
      <c r="P1421" t="n">
        <v/>
      </c>
      <c r="R1421" t="b">
        <v>1</v>
      </c>
      <c r="S1421" t="inlineStr">
        <is>
          <t>G000295</t>
        </is>
      </c>
      <c r="T1421" t="inlineStr">
        <is>
          <t>Vertical</t>
        </is>
      </c>
      <c r="U1421" t="n">
        <v>93</v>
      </c>
      <c r="V1421" t="b">
        <v>1</v>
      </c>
      <c r="W1421" t="inlineStr">
        <is>
          <t>ATF fuel!J136:J228</t>
        </is>
      </c>
      <c r="X1421">
        <f>R[0]C[-3]/R[0]C[-2]-1</f>
        <v/>
      </c>
    </row>
    <row r="1422">
      <c r="A1422" t="inlineStr">
        <is>
          <t>ATF fuel</t>
        </is>
      </c>
      <c r="B1422" t="inlineStr">
        <is>
          <t>B145</t>
        </is>
      </c>
      <c r="C1422" t="n">
        <v>145</v>
      </c>
      <c r="D1422" t="n">
        <v>2</v>
      </c>
      <c r="E1422" t="inlineStr">
        <is>
          <t>Input</t>
        </is>
      </c>
      <c r="F1422" t="n">
        <v/>
      </c>
      <c r="G1422" t="inlineStr">
        <is>
          <t>January 01, 2011</t>
        </is>
      </c>
      <c r="H1422" t="inlineStr"/>
      <c r="I1422" t="inlineStr">
        <is>
          <t>General</t>
        </is>
      </c>
      <c r="J1422" t="b">
        <v>0</v>
      </c>
      <c r="K1422" t="b">
        <v>0</v>
      </c>
      <c r="L1422" t="n">
        <v>11</v>
      </c>
      <c r="M1422" t="inlineStr">
        <is>
          <t>Values must be of type &lt;class 'str'&gt;</t>
        </is>
      </c>
      <c r="N1422" t="inlineStr">
        <is>
          <t>00000000</t>
        </is>
      </c>
      <c r="O1422" t="n">
        <v/>
      </c>
      <c r="P1422" t="n">
        <v/>
      </c>
      <c r="R1422" t="b">
        <v>1</v>
      </c>
      <c r="S1422" t="n">
        <v/>
      </c>
      <c r="T1422" t="n">
        <v/>
      </c>
      <c r="U1422" t="n">
        <v/>
      </c>
      <c r="V1422" t="b">
        <v>0</v>
      </c>
      <c r="W1422" t="inlineStr"/>
      <c r="X1422" t="n">
        <v/>
      </c>
    </row>
    <row r="1423">
      <c r="A1423" t="inlineStr">
        <is>
          <t>ATF fuel</t>
        </is>
      </c>
      <c r="B1423" t="inlineStr">
        <is>
          <t>C145</t>
        </is>
      </c>
      <c r="C1423" t="n">
        <v>145</v>
      </c>
      <c r="D1423" t="n">
        <v>3</v>
      </c>
      <c r="E1423" t="inlineStr">
        <is>
          <t>Input</t>
        </is>
      </c>
      <c r="F1423" t="n">
        <v/>
      </c>
      <c r="G1423" t="n">
        <v>50576.88</v>
      </c>
      <c r="H1423" t="inlineStr"/>
      <c r="I1423" t="inlineStr">
        <is>
          <t>General</t>
        </is>
      </c>
      <c r="J1423" t="b">
        <v>0</v>
      </c>
      <c r="K1423" t="b">
        <v>0</v>
      </c>
      <c r="L1423" t="n">
        <v>11</v>
      </c>
      <c r="M1423" t="inlineStr">
        <is>
          <t>Values must be of type &lt;class 'str'&gt;</t>
        </is>
      </c>
      <c r="N1423" t="inlineStr">
        <is>
          <t>00000000</t>
        </is>
      </c>
      <c r="O1423" t="n">
        <v/>
      </c>
      <c r="P1423" t="n">
        <v/>
      </c>
      <c r="R1423" t="b">
        <v>1</v>
      </c>
      <c r="S1423" t="n">
        <v/>
      </c>
      <c r="T1423" t="n">
        <v/>
      </c>
      <c r="U1423" t="n">
        <v/>
      </c>
      <c r="V1423" t="b">
        <v>0</v>
      </c>
      <c r="W1423" t="inlineStr"/>
      <c r="X1423" t="n">
        <v/>
      </c>
    </row>
    <row r="1424">
      <c r="A1424" t="inlineStr">
        <is>
          <t>ATF fuel</t>
        </is>
      </c>
      <c r="B1424" t="inlineStr">
        <is>
          <t>D145</t>
        </is>
      </c>
      <c r="C1424" t="n">
        <v>145</v>
      </c>
      <c r="D1424" t="n">
        <v>4</v>
      </c>
      <c r="E1424" t="inlineStr">
        <is>
          <t>Input</t>
        </is>
      </c>
      <c r="F1424" t="n">
        <v/>
      </c>
      <c r="G1424" t="n">
        <v>95.81999999999999</v>
      </c>
      <c r="H1424" t="inlineStr"/>
      <c r="I1424" t="inlineStr">
        <is>
          <t>General</t>
        </is>
      </c>
      <c r="J1424" t="b">
        <v>0</v>
      </c>
      <c r="K1424" t="b">
        <v>0</v>
      </c>
      <c r="L1424" t="n">
        <v>11</v>
      </c>
      <c r="M1424" t="inlineStr">
        <is>
          <t>Values must be of type &lt;class 'str'&gt;</t>
        </is>
      </c>
      <c r="N1424" t="inlineStr">
        <is>
          <t>00000000</t>
        </is>
      </c>
      <c r="O1424" t="n">
        <v/>
      </c>
      <c r="P1424" t="n">
        <v/>
      </c>
      <c r="R1424" t="b">
        <v>1</v>
      </c>
      <c r="S1424" t="n">
        <v/>
      </c>
      <c r="T1424" t="n">
        <v/>
      </c>
      <c r="U1424" t="n">
        <v/>
      </c>
      <c r="V1424" t="b">
        <v>0</v>
      </c>
      <c r="W1424" t="inlineStr"/>
      <c r="X1424" t="n">
        <v/>
      </c>
    </row>
    <row r="1425">
      <c r="A1425" t="inlineStr">
        <is>
          <t>ATF fuel</t>
        </is>
      </c>
      <c r="B1425" t="inlineStr">
        <is>
          <t>E145</t>
        </is>
      </c>
      <c r="C1425" t="n">
        <v>145</v>
      </c>
      <c r="D1425" t="n">
        <v>5</v>
      </c>
      <c r="E1425" t="inlineStr">
        <is>
          <t>Input</t>
        </is>
      </c>
      <c r="F1425" t="n">
        <v/>
      </c>
      <c r="G1425" t="n">
        <v>91.59</v>
      </c>
      <c r="H1425" t="inlineStr"/>
      <c r="I1425" t="inlineStr">
        <is>
          <t>General</t>
        </is>
      </c>
      <c r="J1425" t="b">
        <v>0</v>
      </c>
      <c r="K1425" t="b">
        <v>0</v>
      </c>
      <c r="L1425" t="n">
        <v>11</v>
      </c>
      <c r="M1425" t="inlineStr">
        <is>
          <t>Values must be of type &lt;class 'str'&gt;</t>
        </is>
      </c>
      <c r="N1425" t="inlineStr">
        <is>
          <t>00000000</t>
        </is>
      </c>
      <c r="O1425" t="n">
        <v/>
      </c>
      <c r="P1425" t="n">
        <v/>
      </c>
      <c r="R1425" t="b">
        <v>1</v>
      </c>
      <c r="S1425" t="n">
        <v/>
      </c>
      <c r="T1425" t="n">
        <v/>
      </c>
      <c r="U1425" t="n">
        <v/>
      </c>
      <c r="V1425" t="b">
        <v>0</v>
      </c>
      <c r="W1425" t="inlineStr"/>
      <c r="X1425" t="n">
        <v/>
      </c>
    </row>
    <row r="1426">
      <c r="A1426" t="inlineStr">
        <is>
          <t>ATF fuel</t>
        </is>
      </c>
      <c r="B1426" t="inlineStr">
        <is>
          <t>F145</t>
        </is>
      </c>
      <c r="C1426" t="n">
        <v>145</v>
      </c>
      <c r="D1426" t="n">
        <v>6</v>
      </c>
      <c r="E1426" t="inlineStr">
        <is>
          <t>Input</t>
        </is>
      </c>
      <c r="F1426" t="n">
        <v/>
      </c>
      <c r="G1426" t="inlineStr">
        <is>
          <t>January 01, 2011</t>
        </is>
      </c>
      <c r="H1426" t="inlineStr"/>
      <c r="I1426" t="inlineStr">
        <is>
          <t>General</t>
        </is>
      </c>
      <c r="J1426" t="b">
        <v>0</v>
      </c>
      <c r="K1426" t="b">
        <v>0</v>
      </c>
      <c r="L1426" t="n">
        <v>11</v>
      </c>
      <c r="M1426" t="inlineStr">
        <is>
          <t>Values must be of type &lt;class 'str'&gt;</t>
        </is>
      </c>
      <c r="N1426" t="inlineStr">
        <is>
          <t>00000000</t>
        </is>
      </c>
      <c r="O1426" t="inlineStr">
        <is>
          <t>left</t>
        </is>
      </c>
      <c r="P1426" t="n">
        <v/>
      </c>
      <c r="R1426" t="b">
        <v>1</v>
      </c>
      <c r="S1426" t="n">
        <v/>
      </c>
      <c r="T1426" t="n">
        <v/>
      </c>
      <c r="U1426" t="n">
        <v/>
      </c>
      <c r="V1426" t="b">
        <v>0</v>
      </c>
      <c r="W1426" t="inlineStr"/>
      <c r="X1426" t="n">
        <v/>
      </c>
    </row>
    <row r="1427">
      <c r="A1427" t="inlineStr">
        <is>
          <t>ATF fuel</t>
        </is>
      </c>
      <c r="B1427" t="inlineStr">
        <is>
          <t>G145</t>
        </is>
      </c>
      <c r="C1427" t="n">
        <v>145</v>
      </c>
      <c r="D1427" t="n">
        <v>7</v>
      </c>
      <c r="E1427" t="inlineStr">
        <is>
          <t>Calculation</t>
        </is>
      </c>
      <c r="F1427" t="inlineStr">
        <is>
          <t>'=(1+(C145/C144)-1)*G144</t>
        </is>
      </c>
      <c r="G1427" t="n">
        <v>114.0099751357037</v>
      </c>
      <c r="H1427" t="inlineStr"/>
      <c r="I1427" t="inlineStr">
        <is>
          <t>General</t>
        </is>
      </c>
      <c r="J1427" t="b">
        <v>0</v>
      </c>
      <c r="K1427" t="b">
        <v>0</v>
      </c>
      <c r="L1427" t="n">
        <v>11</v>
      </c>
      <c r="M1427" t="inlineStr">
        <is>
          <t>Values must be of type &lt;class 'str'&gt;</t>
        </is>
      </c>
      <c r="N1427" t="inlineStr">
        <is>
          <t>00000000</t>
        </is>
      </c>
      <c r="O1427" t="inlineStr">
        <is>
          <t>left</t>
        </is>
      </c>
      <c r="P1427" t="n">
        <v/>
      </c>
      <c r="R1427" t="b">
        <v>1</v>
      </c>
      <c r="S1427" t="inlineStr">
        <is>
          <t>G000304</t>
        </is>
      </c>
      <c r="T1427" t="inlineStr">
        <is>
          <t>Horizontal</t>
        </is>
      </c>
      <c r="U1427" t="n">
        <v>3</v>
      </c>
      <c r="V1427" t="b">
        <v>1</v>
      </c>
      <c r="W1427" t="inlineStr">
        <is>
          <t>ATF fuel!G145:I145</t>
        </is>
      </c>
      <c r="X1427">
        <f>(1+(R[0]C[-4]/R[-1]C[-4])-1)*R[-1]C[0]</f>
        <v/>
      </c>
    </row>
    <row r="1428">
      <c r="A1428" t="inlineStr">
        <is>
          <t>ATF fuel</t>
        </is>
      </c>
      <c r="B1428" t="inlineStr">
        <is>
          <t>H145</t>
        </is>
      </c>
      <c r="C1428" t="n">
        <v>145</v>
      </c>
      <c r="D1428" t="n">
        <v>8</v>
      </c>
      <c r="E1428" t="inlineStr">
        <is>
          <t>Calculation</t>
        </is>
      </c>
      <c r="F1428" t="inlineStr">
        <is>
          <t>'=(1+(D145/D144)-1)*H144</t>
        </is>
      </c>
      <c r="G1428" t="n">
        <v>115.9627254023963</v>
      </c>
      <c r="H1428" t="inlineStr"/>
      <c r="I1428" t="inlineStr">
        <is>
          <t>General</t>
        </is>
      </c>
      <c r="J1428" t="b">
        <v>0</v>
      </c>
      <c r="K1428" t="b">
        <v>0</v>
      </c>
      <c r="L1428" t="n">
        <v>11</v>
      </c>
      <c r="M1428" t="inlineStr">
        <is>
          <t>Values must be of type &lt;class 'str'&gt;</t>
        </is>
      </c>
      <c r="N1428" t="inlineStr">
        <is>
          <t>00000000</t>
        </is>
      </c>
      <c r="O1428" t="inlineStr">
        <is>
          <t>left</t>
        </is>
      </c>
      <c r="P1428" t="n">
        <v/>
      </c>
      <c r="R1428" t="b">
        <v>1</v>
      </c>
      <c r="S1428" t="inlineStr">
        <is>
          <t>G000304</t>
        </is>
      </c>
      <c r="T1428" t="inlineStr">
        <is>
          <t>Horizontal</t>
        </is>
      </c>
      <c r="U1428" t="n">
        <v>3</v>
      </c>
      <c r="V1428" t="b">
        <v>1</v>
      </c>
      <c r="W1428" t="inlineStr">
        <is>
          <t>ATF fuel!G145:I145</t>
        </is>
      </c>
      <c r="X1428">
        <f>(1+(R[0]C[-4]/R[-1]C[-4])-1)*R[-1]C[0]</f>
        <v/>
      </c>
    </row>
    <row r="1429">
      <c r="A1429" t="inlineStr">
        <is>
          <t>ATF fuel</t>
        </is>
      </c>
      <c r="B1429" t="inlineStr">
        <is>
          <t>I145</t>
        </is>
      </c>
      <c r="C1429" t="n">
        <v>145</v>
      </c>
      <c r="D1429" t="n">
        <v>9</v>
      </c>
      <c r="E1429" t="inlineStr">
        <is>
          <t>Calculation</t>
        </is>
      </c>
      <c r="F1429" t="inlineStr">
        <is>
          <t>'=(1+(E145/E144)-1)*I144</t>
        </is>
      </c>
      <c r="G1429" t="n">
        <v>108.35206435585</v>
      </c>
      <c r="H1429" t="inlineStr"/>
      <c r="I1429" t="inlineStr">
        <is>
          <t>General</t>
        </is>
      </c>
      <c r="J1429" t="b">
        <v>0</v>
      </c>
      <c r="K1429" t="b">
        <v>0</v>
      </c>
      <c r="L1429" t="n">
        <v>11</v>
      </c>
      <c r="M1429" t="inlineStr">
        <is>
          <t>Values must be of type &lt;class 'str'&gt;</t>
        </is>
      </c>
      <c r="N1429" t="inlineStr">
        <is>
          <t>00000000</t>
        </is>
      </c>
      <c r="O1429" t="inlineStr">
        <is>
          <t>left</t>
        </is>
      </c>
      <c r="P1429" t="n">
        <v/>
      </c>
      <c r="R1429" t="b">
        <v>1</v>
      </c>
      <c r="S1429" t="inlineStr">
        <is>
          <t>G000304</t>
        </is>
      </c>
      <c r="T1429" t="inlineStr">
        <is>
          <t>Horizontal</t>
        </is>
      </c>
      <c r="U1429" t="n">
        <v>3</v>
      </c>
      <c r="V1429" t="b">
        <v>1</v>
      </c>
      <c r="W1429" t="inlineStr">
        <is>
          <t>ATF fuel!G145:I145</t>
        </is>
      </c>
      <c r="X1429">
        <f>(1+(R[0]C[-4]/R[-1]C[-4])-1)*R[-1]C[0]</f>
        <v/>
      </c>
    </row>
    <row r="1430">
      <c r="A1430" t="inlineStr">
        <is>
          <t>ATF fuel</t>
        </is>
      </c>
      <c r="B1430" t="inlineStr">
        <is>
          <t>J145</t>
        </is>
      </c>
      <c r="C1430" t="n">
        <v>145</v>
      </c>
      <c r="D1430" t="n">
        <v>10</v>
      </c>
      <c r="E1430" t="inlineStr">
        <is>
          <t>Output</t>
        </is>
      </c>
      <c r="F1430" t="inlineStr">
        <is>
          <t>'=G145/H145-1</t>
        </is>
      </c>
      <c r="G1430" t="n">
        <v>-0.01683946509463674</v>
      </c>
      <c r="H1430" t="inlineStr"/>
      <c r="I1430" t="inlineStr">
        <is>
          <t>0.0%</t>
        </is>
      </c>
      <c r="J1430" t="b">
        <v>0</v>
      </c>
      <c r="K1430" t="b">
        <v>0</v>
      </c>
      <c r="L1430" t="n">
        <v>11</v>
      </c>
      <c r="M1430" t="inlineStr">
        <is>
          <t>Values must be of type &lt;class 'str'&gt;</t>
        </is>
      </c>
      <c r="N1430" t="inlineStr">
        <is>
          <t>00000000</t>
        </is>
      </c>
      <c r="O1430" t="n">
        <v/>
      </c>
      <c r="P1430" t="n">
        <v/>
      </c>
      <c r="R1430" t="b">
        <v>1</v>
      </c>
      <c r="S1430" t="inlineStr">
        <is>
          <t>G000295</t>
        </is>
      </c>
      <c r="T1430" t="inlineStr">
        <is>
          <t>Vertical</t>
        </is>
      </c>
      <c r="U1430" t="n">
        <v>93</v>
      </c>
      <c r="V1430" t="b">
        <v>1</v>
      </c>
      <c r="W1430" t="inlineStr">
        <is>
          <t>ATF fuel!J136:J228</t>
        </is>
      </c>
      <c r="X1430">
        <f>R[0]C[-3]/R[0]C[-2]-1</f>
        <v/>
      </c>
    </row>
    <row r="1431">
      <c r="A1431" t="inlineStr">
        <is>
          <t>ATF fuel</t>
        </is>
      </c>
      <c r="B1431" t="inlineStr">
        <is>
          <t>B146</t>
        </is>
      </c>
      <c r="C1431" t="n">
        <v>146</v>
      </c>
      <c r="D1431" t="n">
        <v>2</v>
      </c>
      <c r="E1431" t="inlineStr">
        <is>
          <t>Input</t>
        </is>
      </c>
      <c r="F1431" t="n">
        <v/>
      </c>
      <c r="G1431" t="inlineStr">
        <is>
          <t>February 01, 2011</t>
        </is>
      </c>
      <c r="H1431" t="inlineStr"/>
      <c r="I1431" t="inlineStr">
        <is>
          <t>General</t>
        </is>
      </c>
      <c r="J1431" t="b">
        <v>0</v>
      </c>
      <c r="K1431" t="b">
        <v>0</v>
      </c>
      <c r="L1431" t="n">
        <v>11</v>
      </c>
      <c r="M1431" t="inlineStr">
        <is>
          <t>Values must be of type &lt;class 'str'&gt;</t>
        </is>
      </c>
      <c r="N1431" t="inlineStr">
        <is>
          <t>00000000</t>
        </is>
      </c>
      <c r="O1431" t="n">
        <v/>
      </c>
      <c r="P1431" t="n">
        <v/>
      </c>
      <c r="R1431" t="b">
        <v>1</v>
      </c>
      <c r="S1431" t="n">
        <v/>
      </c>
      <c r="T1431" t="n">
        <v/>
      </c>
      <c r="U1431" t="n">
        <v/>
      </c>
      <c r="V1431" t="b">
        <v>0</v>
      </c>
      <c r="W1431" t="inlineStr"/>
      <c r="X1431" t="n">
        <v/>
      </c>
    </row>
    <row r="1432">
      <c r="A1432" t="inlineStr">
        <is>
          <t>ATF fuel</t>
        </is>
      </c>
      <c r="B1432" t="inlineStr">
        <is>
          <t>C146</t>
        </is>
      </c>
      <c r="C1432" t="n">
        <v>146</v>
      </c>
      <c r="D1432" t="n">
        <v>3</v>
      </c>
      <c r="E1432" t="inlineStr">
        <is>
          <t>Input</t>
        </is>
      </c>
      <c r="F1432" t="n">
        <v/>
      </c>
      <c r="G1432" t="n">
        <v>53872.265</v>
      </c>
      <c r="H1432" t="inlineStr"/>
      <c r="I1432" t="inlineStr">
        <is>
          <t>General</t>
        </is>
      </c>
      <c r="J1432" t="b">
        <v>0</v>
      </c>
      <c r="K1432" t="b">
        <v>0</v>
      </c>
      <c r="L1432" t="n">
        <v>11</v>
      </c>
      <c r="M1432" t="inlineStr">
        <is>
          <t>Values must be of type &lt;class 'str'&gt;</t>
        </is>
      </c>
      <c r="N1432" t="inlineStr">
        <is>
          <t>00000000</t>
        </is>
      </c>
      <c r="O1432" t="n">
        <v/>
      </c>
      <c r="P1432" t="n">
        <v/>
      </c>
      <c r="R1432" t="b">
        <v>1</v>
      </c>
      <c r="S1432" t="n">
        <v/>
      </c>
      <c r="T1432" t="n">
        <v/>
      </c>
      <c r="U1432" t="n">
        <v/>
      </c>
      <c r="V1432" t="b">
        <v>0</v>
      </c>
      <c r="W1432" t="inlineStr"/>
      <c r="X1432" t="n">
        <v/>
      </c>
    </row>
    <row r="1433">
      <c r="A1433" t="inlineStr">
        <is>
          <t>ATF fuel</t>
        </is>
      </c>
      <c r="B1433" t="inlineStr">
        <is>
          <t>D146</t>
        </is>
      </c>
      <c r="C1433" t="n">
        <v>146</v>
      </c>
      <c r="D1433" t="n">
        <v>4</v>
      </c>
      <c r="E1433" t="inlineStr">
        <is>
          <t>Input</t>
        </is>
      </c>
      <c r="F1433" t="n">
        <v/>
      </c>
      <c r="G1433" t="n">
        <v>100.4</v>
      </c>
      <c r="H1433" t="inlineStr"/>
      <c r="I1433" t="inlineStr">
        <is>
          <t>General</t>
        </is>
      </c>
      <c r="J1433" t="b">
        <v>0</v>
      </c>
      <c r="K1433" t="b">
        <v>0</v>
      </c>
      <c r="L1433" t="n">
        <v>11</v>
      </c>
      <c r="M1433" t="inlineStr">
        <is>
          <t>Values must be of type &lt;class 'str'&gt;</t>
        </is>
      </c>
      <c r="N1433" t="inlineStr">
        <is>
          <t>00000000</t>
        </is>
      </c>
      <c r="O1433" t="n">
        <v/>
      </c>
      <c r="P1433" t="n">
        <v/>
      </c>
      <c r="R1433" t="b">
        <v>1</v>
      </c>
      <c r="S1433" t="n">
        <v/>
      </c>
      <c r="T1433" t="n">
        <v/>
      </c>
      <c r="U1433" t="n">
        <v/>
      </c>
      <c r="V1433" t="b">
        <v>0</v>
      </c>
      <c r="W1433" t="inlineStr"/>
      <c r="X1433" t="n">
        <v/>
      </c>
    </row>
    <row r="1434">
      <c r="A1434" t="inlineStr">
        <is>
          <t>ATF fuel</t>
        </is>
      </c>
      <c r="B1434" t="inlineStr">
        <is>
          <t>E146</t>
        </is>
      </c>
      <c r="C1434" t="n">
        <v>146</v>
      </c>
      <c r="D1434" t="n">
        <v>5</v>
      </c>
      <c r="E1434" t="inlineStr">
        <is>
          <t>Input</t>
        </is>
      </c>
      <c r="F1434" t="n">
        <v/>
      </c>
      <c r="G1434" t="n">
        <v>89.54000000000001</v>
      </c>
      <c r="H1434" t="inlineStr"/>
      <c r="I1434" t="inlineStr">
        <is>
          <t>General</t>
        </is>
      </c>
      <c r="J1434" t="b">
        <v>0</v>
      </c>
      <c r="K1434" t="b">
        <v>0</v>
      </c>
      <c r="L1434" t="n">
        <v>11</v>
      </c>
      <c r="M1434" t="inlineStr">
        <is>
          <t>Values must be of type &lt;class 'str'&gt;</t>
        </is>
      </c>
      <c r="N1434" t="inlineStr">
        <is>
          <t>00000000</t>
        </is>
      </c>
      <c r="O1434" t="n">
        <v/>
      </c>
      <c r="P1434" t="n">
        <v/>
      </c>
      <c r="R1434" t="b">
        <v>1</v>
      </c>
      <c r="S1434" t="n">
        <v/>
      </c>
      <c r="T1434" t="n">
        <v/>
      </c>
      <c r="U1434" t="n">
        <v/>
      </c>
      <c r="V1434" t="b">
        <v>0</v>
      </c>
      <c r="W1434" t="inlineStr"/>
      <c r="X1434" t="n">
        <v/>
      </c>
    </row>
    <row r="1435">
      <c r="A1435" t="inlineStr">
        <is>
          <t>ATF fuel</t>
        </is>
      </c>
      <c r="B1435" t="inlineStr">
        <is>
          <t>F146</t>
        </is>
      </c>
      <c r="C1435" t="n">
        <v>146</v>
      </c>
      <c r="D1435" t="n">
        <v>6</v>
      </c>
      <c r="E1435" t="inlineStr">
        <is>
          <t>Input</t>
        </is>
      </c>
      <c r="F1435" t="n">
        <v/>
      </c>
      <c r="G1435" t="inlineStr">
        <is>
          <t>February 01, 2011</t>
        </is>
      </c>
      <c r="H1435" t="inlineStr"/>
      <c r="I1435" t="inlineStr">
        <is>
          <t>General</t>
        </is>
      </c>
      <c r="J1435" t="b">
        <v>0</v>
      </c>
      <c r="K1435" t="b">
        <v>0</v>
      </c>
      <c r="L1435" t="n">
        <v>11</v>
      </c>
      <c r="M1435" t="inlineStr">
        <is>
          <t>Values must be of type &lt;class 'str'&gt;</t>
        </is>
      </c>
      <c r="N1435" t="inlineStr">
        <is>
          <t>00000000</t>
        </is>
      </c>
      <c r="O1435" t="inlineStr">
        <is>
          <t>left</t>
        </is>
      </c>
      <c r="P1435" t="n">
        <v/>
      </c>
      <c r="R1435" t="b">
        <v>1</v>
      </c>
      <c r="S1435" t="n">
        <v/>
      </c>
      <c r="T1435" t="n">
        <v/>
      </c>
      <c r="U1435" t="n">
        <v/>
      </c>
      <c r="V1435" t="b">
        <v>0</v>
      </c>
      <c r="W1435" t="inlineStr"/>
      <c r="X1435" t="n">
        <v/>
      </c>
    </row>
    <row r="1436">
      <c r="A1436" t="inlineStr">
        <is>
          <t>ATF fuel</t>
        </is>
      </c>
      <c r="B1436" t="inlineStr">
        <is>
          <t>G146</t>
        </is>
      </c>
      <c r="C1436" t="n">
        <v>146</v>
      </c>
      <c r="D1436" t="n">
        <v>7</v>
      </c>
      <c r="E1436" t="inlineStr">
        <is>
          <t>Calculation</t>
        </is>
      </c>
      <c r="F1436" t="inlineStr">
        <is>
          <t>'=(1+(C146/C145)-1)*G145</t>
        </is>
      </c>
      <c r="G1436" t="n">
        <v>121.4384041315724</v>
      </c>
      <c r="H1436" t="inlineStr"/>
      <c r="I1436" t="inlineStr">
        <is>
          <t>General</t>
        </is>
      </c>
      <c r="J1436" t="b">
        <v>0</v>
      </c>
      <c r="K1436" t="b">
        <v>0</v>
      </c>
      <c r="L1436" t="n">
        <v>11</v>
      </c>
      <c r="M1436" t="inlineStr">
        <is>
          <t>Values must be of type &lt;class 'str'&gt;</t>
        </is>
      </c>
      <c r="N1436" t="inlineStr">
        <is>
          <t>00000000</t>
        </is>
      </c>
      <c r="O1436" t="inlineStr">
        <is>
          <t>left</t>
        </is>
      </c>
      <c r="P1436" t="n">
        <v/>
      </c>
      <c r="R1436" t="b">
        <v>1</v>
      </c>
      <c r="S1436" t="inlineStr">
        <is>
          <t>G000305</t>
        </is>
      </c>
      <c r="T1436" t="inlineStr">
        <is>
          <t>Horizontal</t>
        </is>
      </c>
      <c r="U1436" t="n">
        <v>3</v>
      </c>
      <c r="V1436" t="b">
        <v>1</v>
      </c>
      <c r="W1436" t="inlineStr">
        <is>
          <t>ATF fuel!G146:I146</t>
        </is>
      </c>
      <c r="X1436">
        <f>(1+(R[0]C[-4]/R[-1]C[-4])-1)*R[-1]C[0]</f>
        <v/>
      </c>
    </row>
    <row r="1437">
      <c r="A1437" t="inlineStr">
        <is>
          <t>ATF fuel</t>
        </is>
      </c>
      <c r="B1437" t="inlineStr">
        <is>
          <t>H146</t>
        </is>
      </c>
      <c r="C1437" t="n">
        <v>146</v>
      </c>
      <c r="D1437" t="n">
        <v>8</v>
      </c>
      <c r="E1437" t="inlineStr">
        <is>
          <t>Calculation</t>
        </is>
      </c>
      <c r="F1437" t="inlineStr">
        <is>
          <t>'=(1+(D146/D145)-1)*H145</t>
        </is>
      </c>
      <c r="G1437" t="n">
        <v>121.5055064746461</v>
      </c>
      <c r="H1437" t="inlineStr"/>
      <c r="I1437" t="inlineStr">
        <is>
          <t>General</t>
        </is>
      </c>
      <c r="J1437" t="b">
        <v>0</v>
      </c>
      <c r="K1437" t="b">
        <v>0</v>
      </c>
      <c r="L1437" t="n">
        <v>11</v>
      </c>
      <c r="M1437" t="inlineStr">
        <is>
          <t>Values must be of type &lt;class 'str'&gt;</t>
        </is>
      </c>
      <c r="N1437" t="inlineStr">
        <is>
          <t>00000000</t>
        </is>
      </c>
      <c r="O1437" t="inlineStr">
        <is>
          <t>left</t>
        </is>
      </c>
      <c r="P1437" t="n">
        <v/>
      </c>
      <c r="R1437" t="b">
        <v>1</v>
      </c>
      <c r="S1437" t="inlineStr">
        <is>
          <t>G000305</t>
        </is>
      </c>
      <c r="T1437" t="inlineStr">
        <is>
          <t>Horizontal</t>
        </is>
      </c>
      <c r="U1437" t="n">
        <v>3</v>
      </c>
      <c r="V1437" t="b">
        <v>1</v>
      </c>
      <c r="W1437" t="inlineStr">
        <is>
          <t>ATF fuel!G146:I146</t>
        </is>
      </c>
      <c r="X1437">
        <f>(1+(R[0]C[-4]/R[-1]C[-4])-1)*R[-1]C[0]</f>
        <v/>
      </c>
    </row>
    <row r="1438">
      <c r="A1438" t="inlineStr">
        <is>
          <t>ATF fuel</t>
        </is>
      </c>
      <c r="B1438" t="inlineStr">
        <is>
          <t>I146</t>
        </is>
      </c>
      <c r="C1438" t="n">
        <v>146</v>
      </c>
      <c r="D1438" t="n">
        <v>9</v>
      </c>
      <c r="E1438" t="inlineStr">
        <is>
          <t>Calculation</t>
        </is>
      </c>
      <c r="F1438" t="inlineStr">
        <is>
          <t>'=(1+(E146/E145)-1)*I145</t>
        </is>
      </c>
      <c r="G1438" t="n">
        <v>105.9268898615876</v>
      </c>
      <c r="H1438" t="inlineStr"/>
      <c r="I1438" t="inlineStr">
        <is>
          <t>General</t>
        </is>
      </c>
      <c r="J1438" t="b">
        <v>0</v>
      </c>
      <c r="K1438" t="b">
        <v>0</v>
      </c>
      <c r="L1438" t="n">
        <v>11</v>
      </c>
      <c r="M1438" t="inlineStr">
        <is>
          <t>Values must be of type &lt;class 'str'&gt;</t>
        </is>
      </c>
      <c r="N1438" t="inlineStr">
        <is>
          <t>00000000</t>
        </is>
      </c>
      <c r="O1438" t="inlineStr">
        <is>
          <t>left</t>
        </is>
      </c>
      <c r="P1438" t="n">
        <v/>
      </c>
      <c r="R1438" t="b">
        <v>1</v>
      </c>
      <c r="S1438" t="inlineStr">
        <is>
          <t>G000305</t>
        </is>
      </c>
      <c r="T1438" t="inlineStr">
        <is>
          <t>Horizontal</t>
        </is>
      </c>
      <c r="U1438" t="n">
        <v>3</v>
      </c>
      <c r="V1438" t="b">
        <v>1</v>
      </c>
      <c r="W1438" t="inlineStr">
        <is>
          <t>ATF fuel!G146:I146</t>
        </is>
      </c>
      <c r="X1438">
        <f>(1+(R[0]C[-4]/R[-1]C[-4])-1)*R[-1]C[0]</f>
        <v/>
      </c>
    </row>
    <row r="1439">
      <c r="A1439" t="inlineStr">
        <is>
          <t>ATF fuel</t>
        </is>
      </c>
      <c r="B1439" t="inlineStr">
        <is>
          <t>J146</t>
        </is>
      </c>
      <c r="C1439" t="n">
        <v>146</v>
      </c>
      <c r="D1439" t="n">
        <v>10</v>
      </c>
      <c r="E1439" t="inlineStr">
        <is>
          <t>Output</t>
        </is>
      </c>
      <c r="F1439" t="inlineStr">
        <is>
          <t>'=G146/H146-1</t>
        </is>
      </c>
      <c r="G1439" t="n">
        <v>-0.0005522576302967597</v>
      </c>
      <c r="H1439" t="inlineStr"/>
      <c r="I1439" t="inlineStr">
        <is>
          <t>0.0%</t>
        </is>
      </c>
      <c r="J1439" t="b">
        <v>0</v>
      </c>
      <c r="K1439" t="b">
        <v>0</v>
      </c>
      <c r="L1439" t="n">
        <v>11</v>
      </c>
      <c r="M1439" t="inlineStr">
        <is>
          <t>Values must be of type &lt;class 'str'&gt;</t>
        </is>
      </c>
      <c r="N1439" t="inlineStr">
        <is>
          <t>00000000</t>
        </is>
      </c>
      <c r="O1439" t="n">
        <v/>
      </c>
      <c r="P1439" t="n">
        <v/>
      </c>
      <c r="R1439" t="b">
        <v>1</v>
      </c>
      <c r="S1439" t="inlineStr">
        <is>
          <t>G000295</t>
        </is>
      </c>
      <c r="T1439" t="inlineStr">
        <is>
          <t>Vertical</t>
        </is>
      </c>
      <c r="U1439" t="n">
        <v>93</v>
      </c>
      <c r="V1439" t="b">
        <v>1</v>
      </c>
      <c r="W1439" t="inlineStr">
        <is>
          <t>ATF fuel!J136:J228</t>
        </is>
      </c>
      <c r="X1439">
        <f>R[0]C[-3]/R[0]C[-2]-1</f>
        <v/>
      </c>
    </row>
    <row r="1440">
      <c r="A1440" t="inlineStr">
        <is>
          <t>ATF fuel</t>
        </is>
      </c>
      <c r="B1440" t="inlineStr">
        <is>
          <t>B147</t>
        </is>
      </c>
      <c r="C1440" t="n">
        <v>147</v>
      </c>
      <c r="D1440" t="n">
        <v>2</v>
      </c>
      <c r="E1440" t="inlineStr">
        <is>
          <t>Input</t>
        </is>
      </c>
      <c r="F1440" t="n">
        <v/>
      </c>
      <c r="G1440" t="inlineStr">
        <is>
          <t>March 01, 2011</t>
        </is>
      </c>
      <c r="H1440" t="inlineStr"/>
      <c r="I1440" t="inlineStr">
        <is>
          <t>General</t>
        </is>
      </c>
      <c r="J1440" t="b">
        <v>0</v>
      </c>
      <c r="K1440" t="b">
        <v>0</v>
      </c>
      <c r="L1440" t="n">
        <v>11</v>
      </c>
      <c r="M1440" t="inlineStr">
        <is>
          <t>Values must be of type &lt;class 'str'&gt;</t>
        </is>
      </c>
      <c r="N1440" t="inlineStr">
        <is>
          <t>00000000</t>
        </is>
      </c>
      <c r="O1440" t="n">
        <v/>
      </c>
      <c r="P1440" t="n">
        <v/>
      </c>
      <c r="R1440" t="b">
        <v>1</v>
      </c>
      <c r="S1440" t="n">
        <v/>
      </c>
      <c r="T1440" t="n">
        <v/>
      </c>
      <c r="U1440" t="n">
        <v/>
      </c>
      <c r="V1440" t="b">
        <v>0</v>
      </c>
      <c r="W1440" t="inlineStr"/>
      <c r="X1440" t="n">
        <v/>
      </c>
    </row>
    <row r="1441">
      <c r="A1441" t="inlineStr">
        <is>
          <t>ATF fuel</t>
        </is>
      </c>
      <c r="B1441" t="inlineStr">
        <is>
          <t>C147</t>
        </is>
      </c>
      <c r="C1441" t="n">
        <v>147</v>
      </c>
      <c r="D1441" t="n">
        <v>3</v>
      </c>
      <c r="E1441" t="inlineStr">
        <is>
          <t>Input</t>
        </is>
      </c>
      <c r="F1441" t="n">
        <v/>
      </c>
      <c r="G1441" t="n">
        <v>58021.2925</v>
      </c>
      <c r="H1441" t="inlineStr"/>
      <c r="I1441" t="inlineStr">
        <is>
          <t>General</t>
        </is>
      </c>
      <c r="J1441" t="b">
        <v>0</v>
      </c>
      <c r="K1441" t="b">
        <v>0</v>
      </c>
      <c r="L1441" t="n">
        <v>11</v>
      </c>
      <c r="M1441" t="inlineStr">
        <is>
          <t>Values must be of type &lt;class 'str'&gt;</t>
        </is>
      </c>
      <c r="N1441" t="inlineStr">
        <is>
          <t>00000000</t>
        </is>
      </c>
      <c r="O1441" t="n">
        <v/>
      </c>
      <c r="P1441" t="n">
        <v/>
      </c>
      <c r="R1441" t="b">
        <v>1</v>
      </c>
      <c r="S1441" t="n">
        <v/>
      </c>
      <c r="T1441" t="n">
        <v/>
      </c>
      <c r="U1441" t="n">
        <v/>
      </c>
      <c r="V1441" t="b">
        <v>0</v>
      </c>
      <c r="W1441" t="inlineStr"/>
      <c r="X1441" t="n">
        <v/>
      </c>
    </row>
    <row r="1442">
      <c r="A1442" t="inlineStr">
        <is>
          <t>ATF fuel</t>
        </is>
      </c>
      <c r="B1442" t="inlineStr">
        <is>
          <t>D147</t>
        </is>
      </c>
      <c r="C1442" t="n">
        <v>147</v>
      </c>
      <c r="D1442" t="n">
        <v>4</v>
      </c>
      <c r="E1442" t="inlineStr">
        <is>
          <t>Input</t>
        </is>
      </c>
      <c r="F1442" t="n">
        <v/>
      </c>
      <c r="G1442" t="n">
        <v>113.34</v>
      </c>
      <c r="H1442" t="inlineStr"/>
      <c r="I1442" t="inlineStr">
        <is>
          <t>General</t>
        </is>
      </c>
      <c r="J1442" t="b">
        <v>0</v>
      </c>
      <c r="K1442" t="b">
        <v>0</v>
      </c>
      <c r="L1442" t="n">
        <v>11</v>
      </c>
      <c r="M1442" t="inlineStr">
        <is>
          <t>Values must be of type &lt;class 'str'&gt;</t>
        </is>
      </c>
      <c r="N1442" t="inlineStr">
        <is>
          <t>00000000</t>
        </is>
      </c>
      <c r="O1442" t="n">
        <v/>
      </c>
      <c r="P1442" t="n">
        <v/>
      </c>
      <c r="R1442" t="b">
        <v>1</v>
      </c>
      <c r="S1442" t="n">
        <v/>
      </c>
      <c r="T1442" t="n">
        <v/>
      </c>
      <c r="U1442" t="n">
        <v/>
      </c>
      <c r="V1442" t="b">
        <v>0</v>
      </c>
      <c r="W1442" t="inlineStr"/>
      <c r="X1442" t="n">
        <v/>
      </c>
    </row>
    <row r="1443">
      <c r="A1443" t="inlineStr">
        <is>
          <t>ATF fuel</t>
        </is>
      </c>
      <c r="B1443" t="inlineStr">
        <is>
          <t>E147</t>
        </is>
      </c>
      <c r="C1443" t="n">
        <v>147</v>
      </c>
      <c r="D1443" t="n">
        <v>5</v>
      </c>
      <c r="E1443" t="inlineStr">
        <is>
          <t>Input</t>
        </is>
      </c>
      <c r="F1443" t="n">
        <v/>
      </c>
      <c r="G1443" t="n">
        <v>99.63</v>
      </c>
      <c r="H1443" t="inlineStr"/>
      <c r="I1443" t="inlineStr">
        <is>
          <t>General</t>
        </is>
      </c>
      <c r="J1443" t="b">
        <v>0</v>
      </c>
      <c r="K1443" t="b">
        <v>0</v>
      </c>
      <c r="L1443" t="n">
        <v>11</v>
      </c>
      <c r="M1443" t="inlineStr">
        <is>
          <t>Values must be of type &lt;class 'str'&gt;</t>
        </is>
      </c>
      <c r="N1443" t="inlineStr">
        <is>
          <t>00000000</t>
        </is>
      </c>
      <c r="O1443" t="n">
        <v/>
      </c>
      <c r="P1443" t="n">
        <v/>
      </c>
      <c r="R1443" t="b">
        <v>1</v>
      </c>
      <c r="S1443" t="n">
        <v/>
      </c>
      <c r="T1443" t="n">
        <v/>
      </c>
      <c r="U1443" t="n">
        <v/>
      </c>
      <c r="V1443" t="b">
        <v>0</v>
      </c>
      <c r="W1443" t="inlineStr"/>
      <c r="X1443" t="n">
        <v/>
      </c>
    </row>
    <row r="1444">
      <c r="A1444" t="inlineStr">
        <is>
          <t>ATF fuel</t>
        </is>
      </c>
      <c r="B1444" t="inlineStr">
        <is>
          <t>F147</t>
        </is>
      </c>
      <c r="C1444" t="n">
        <v>147</v>
      </c>
      <c r="D1444" t="n">
        <v>6</v>
      </c>
      <c r="E1444" t="inlineStr">
        <is>
          <t>Input</t>
        </is>
      </c>
      <c r="F1444" t="n">
        <v/>
      </c>
      <c r="G1444" t="inlineStr">
        <is>
          <t>March 01, 2011</t>
        </is>
      </c>
      <c r="H1444" t="inlineStr"/>
      <c r="I1444" t="inlineStr">
        <is>
          <t>General</t>
        </is>
      </c>
      <c r="J1444" t="b">
        <v>0</v>
      </c>
      <c r="K1444" t="b">
        <v>0</v>
      </c>
      <c r="L1444" t="n">
        <v>11</v>
      </c>
      <c r="M1444" t="inlineStr">
        <is>
          <t>Values must be of type &lt;class 'str'&gt;</t>
        </is>
      </c>
      <c r="N1444" t="inlineStr">
        <is>
          <t>00000000</t>
        </is>
      </c>
      <c r="O1444" t="inlineStr">
        <is>
          <t>left</t>
        </is>
      </c>
      <c r="P1444" t="n">
        <v/>
      </c>
      <c r="R1444" t="b">
        <v>1</v>
      </c>
      <c r="S1444" t="n">
        <v/>
      </c>
      <c r="T1444" t="n">
        <v/>
      </c>
      <c r="U1444" t="n">
        <v/>
      </c>
      <c r="V1444" t="b">
        <v>0</v>
      </c>
      <c r="W1444" t="inlineStr"/>
      <c r="X1444" t="n">
        <v/>
      </c>
    </row>
    <row r="1445">
      <c r="A1445" t="inlineStr">
        <is>
          <t>ATF fuel</t>
        </is>
      </c>
      <c r="B1445" t="inlineStr">
        <is>
          <t>G147</t>
        </is>
      </c>
      <c r="C1445" t="n">
        <v>147</v>
      </c>
      <c r="D1445" t="n">
        <v>7</v>
      </c>
      <c r="E1445" t="inlineStr">
        <is>
          <t>Calculation</t>
        </is>
      </c>
      <c r="F1445" t="inlineStr">
        <is>
          <t>'=(1+(C147/C146)-1)*G146</t>
        </is>
      </c>
      <c r="G1445" t="n">
        <v>130.7911068311527</v>
      </c>
      <c r="H1445" t="inlineStr"/>
      <c r="I1445" t="inlineStr">
        <is>
          <t>General</t>
        </is>
      </c>
      <c r="J1445" t="b">
        <v>0</v>
      </c>
      <c r="K1445" t="b">
        <v>0</v>
      </c>
      <c r="L1445" t="n">
        <v>11</v>
      </c>
      <c r="M1445" t="inlineStr">
        <is>
          <t>Values must be of type &lt;class 'str'&gt;</t>
        </is>
      </c>
      <c r="N1445" t="inlineStr">
        <is>
          <t>00000000</t>
        </is>
      </c>
      <c r="O1445" t="inlineStr">
        <is>
          <t>left</t>
        </is>
      </c>
      <c r="P1445" t="n">
        <v/>
      </c>
      <c r="R1445" t="b">
        <v>1</v>
      </c>
      <c r="S1445" t="inlineStr">
        <is>
          <t>G000306</t>
        </is>
      </c>
      <c r="T1445" t="inlineStr">
        <is>
          <t>Horizontal</t>
        </is>
      </c>
      <c r="U1445" t="n">
        <v>3</v>
      </c>
      <c r="V1445" t="b">
        <v>1</v>
      </c>
      <c r="W1445" t="inlineStr">
        <is>
          <t>ATF fuel!G147:I147</t>
        </is>
      </c>
      <c r="X1445">
        <f>(1+(R[0]C[-4]/R[-1]C[-4])-1)*R[-1]C[0]</f>
        <v/>
      </c>
    </row>
    <row r="1446">
      <c r="A1446" t="inlineStr">
        <is>
          <t>ATF fuel</t>
        </is>
      </c>
      <c r="B1446" t="inlineStr">
        <is>
          <t>H147</t>
        </is>
      </c>
      <c r="C1446" t="n">
        <v>147</v>
      </c>
      <c r="D1446" t="n">
        <v>8</v>
      </c>
      <c r="E1446" t="inlineStr">
        <is>
          <t>Calculation</t>
        </is>
      </c>
      <c r="F1446" t="inlineStr">
        <is>
          <t>'=(1+(D147/D146)-1)*H146</t>
        </is>
      </c>
      <c r="G1446" t="n">
        <v>137.1656783250637</v>
      </c>
      <c r="H1446" t="inlineStr"/>
      <c r="I1446" t="inlineStr">
        <is>
          <t>General</t>
        </is>
      </c>
      <c r="J1446" t="b">
        <v>0</v>
      </c>
      <c r="K1446" t="b">
        <v>0</v>
      </c>
      <c r="L1446" t="n">
        <v>11</v>
      </c>
      <c r="M1446" t="inlineStr">
        <is>
          <t>Values must be of type &lt;class 'str'&gt;</t>
        </is>
      </c>
      <c r="N1446" t="inlineStr">
        <is>
          <t>00000000</t>
        </is>
      </c>
      <c r="O1446" t="inlineStr">
        <is>
          <t>left</t>
        </is>
      </c>
      <c r="P1446" t="n">
        <v/>
      </c>
      <c r="R1446" t="b">
        <v>1</v>
      </c>
      <c r="S1446" t="inlineStr">
        <is>
          <t>G000306</t>
        </is>
      </c>
      <c r="T1446" t="inlineStr">
        <is>
          <t>Horizontal</t>
        </is>
      </c>
      <c r="U1446" t="n">
        <v>3</v>
      </c>
      <c r="V1446" t="b">
        <v>1</v>
      </c>
      <c r="W1446" t="inlineStr">
        <is>
          <t>ATF fuel!G147:I147</t>
        </is>
      </c>
      <c r="X1446">
        <f>(1+(R[0]C[-4]/R[-1]C[-4])-1)*R[-1]C[0]</f>
        <v/>
      </c>
    </row>
    <row r="1447">
      <c r="A1447" t="inlineStr">
        <is>
          <t>ATF fuel</t>
        </is>
      </c>
      <c r="B1447" t="inlineStr">
        <is>
          <t>I147</t>
        </is>
      </c>
      <c r="C1447" t="n">
        <v>147</v>
      </c>
      <c r="D1447" t="n">
        <v>9</v>
      </c>
      <c r="E1447" t="inlineStr">
        <is>
          <t>Calculation</t>
        </is>
      </c>
      <c r="F1447" t="inlineStr">
        <is>
          <t>'=(1+(E147/E146)-1)*I146</t>
        </is>
      </c>
      <c r="G1447" t="n">
        <v>117.8634804211523</v>
      </c>
      <c r="H1447" t="inlineStr"/>
      <c r="I1447" t="inlineStr">
        <is>
          <t>General</t>
        </is>
      </c>
      <c r="J1447" t="b">
        <v>0</v>
      </c>
      <c r="K1447" t="b">
        <v>0</v>
      </c>
      <c r="L1447" t="n">
        <v>11</v>
      </c>
      <c r="M1447" t="inlineStr">
        <is>
          <t>Values must be of type &lt;class 'str'&gt;</t>
        </is>
      </c>
      <c r="N1447" t="inlineStr">
        <is>
          <t>00000000</t>
        </is>
      </c>
      <c r="O1447" t="inlineStr">
        <is>
          <t>left</t>
        </is>
      </c>
      <c r="P1447" t="n">
        <v/>
      </c>
      <c r="R1447" t="b">
        <v>1</v>
      </c>
      <c r="S1447" t="inlineStr">
        <is>
          <t>G000306</t>
        </is>
      </c>
      <c r="T1447" t="inlineStr">
        <is>
          <t>Horizontal</t>
        </is>
      </c>
      <c r="U1447" t="n">
        <v>3</v>
      </c>
      <c r="V1447" t="b">
        <v>1</v>
      </c>
      <c r="W1447" t="inlineStr">
        <is>
          <t>ATF fuel!G147:I147</t>
        </is>
      </c>
      <c r="X1447">
        <f>(1+(R[0]C[-4]/R[-1]C[-4])-1)*R[-1]C[0]</f>
        <v/>
      </c>
    </row>
    <row r="1448">
      <c r="A1448" t="inlineStr">
        <is>
          <t>ATF fuel</t>
        </is>
      </c>
      <c r="B1448" t="inlineStr">
        <is>
          <t>J147</t>
        </is>
      </c>
      <c r="C1448" t="n">
        <v>147</v>
      </c>
      <c r="D1448" t="n">
        <v>10</v>
      </c>
      <c r="E1448" t="inlineStr">
        <is>
          <t>Output</t>
        </is>
      </c>
      <c r="F1448" t="inlineStr">
        <is>
          <t>'=G147/H147-1</t>
        </is>
      </c>
      <c r="G1448" t="n">
        <v>-0.04647351707621872</v>
      </c>
      <c r="H1448" t="inlineStr"/>
      <c r="I1448" t="inlineStr">
        <is>
          <t>0.0%</t>
        </is>
      </c>
      <c r="J1448" t="b">
        <v>0</v>
      </c>
      <c r="K1448" t="b">
        <v>0</v>
      </c>
      <c r="L1448" t="n">
        <v>11</v>
      </c>
      <c r="M1448" t="inlineStr">
        <is>
          <t>Values must be of type &lt;class 'str'&gt;</t>
        </is>
      </c>
      <c r="N1448" t="inlineStr">
        <is>
          <t>00000000</t>
        </is>
      </c>
      <c r="O1448" t="n">
        <v/>
      </c>
      <c r="P1448" t="n">
        <v/>
      </c>
      <c r="R1448" t="b">
        <v>1</v>
      </c>
      <c r="S1448" t="inlineStr">
        <is>
          <t>G000295</t>
        </is>
      </c>
      <c r="T1448" t="inlineStr">
        <is>
          <t>Vertical</t>
        </is>
      </c>
      <c r="U1448" t="n">
        <v>93</v>
      </c>
      <c r="V1448" t="b">
        <v>1</v>
      </c>
      <c r="W1448" t="inlineStr">
        <is>
          <t>ATF fuel!J136:J228</t>
        </is>
      </c>
      <c r="X1448">
        <f>R[0]C[-3]/R[0]C[-2]-1</f>
        <v/>
      </c>
    </row>
    <row r="1449">
      <c r="A1449" t="inlineStr">
        <is>
          <t>ATF fuel</t>
        </is>
      </c>
      <c r="B1449" t="inlineStr">
        <is>
          <t>B148</t>
        </is>
      </c>
      <c r="C1449" t="n">
        <v>148</v>
      </c>
      <c r="D1449" t="n">
        <v>2</v>
      </c>
      <c r="E1449" t="inlineStr">
        <is>
          <t>Input</t>
        </is>
      </c>
      <c r="F1449" t="n">
        <v/>
      </c>
      <c r="G1449" t="inlineStr">
        <is>
          <t>April 01, 2011</t>
        </is>
      </c>
      <c r="H1449" t="inlineStr"/>
      <c r="I1449" t="inlineStr">
        <is>
          <t>General</t>
        </is>
      </c>
      <c r="J1449" t="b">
        <v>0</v>
      </c>
      <c r="K1449" t="b">
        <v>0</v>
      </c>
      <c r="L1449" t="n">
        <v>11</v>
      </c>
      <c r="M1449" t="inlineStr">
        <is>
          <t>Values must be of type &lt;class 'str'&gt;</t>
        </is>
      </c>
      <c r="N1449" t="inlineStr">
        <is>
          <t>00000000</t>
        </is>
      </c>
      <c r="O1449" t="n">
        <v/>
      </c>
      <c r="P1449" t="n">
        <v/>
      </c>
      <c r="R1449" t="b">
        <v>1</v>
      </c>
      <c r="S1449" t="n">
        <v/>
      </c>
      <c r="T1449" t="n">
        <v/>
      </c>
      <c r="U1449" t="n">
        <v/>
      </c>
      <c r="V1449" t="b">
        <v>0</v>
      </c>
      <c r="W1449" t="inlineStr"/>
      <c r="X1449" t="n">
        <v/>
      </c>
    </row>
    <row r="1450">
      <c r="A1450" t="inlineStr">
        <is>
          <t>ATF fuel</t>
        </is>
      </c>
      <c r="B1450" t="inlineStr">
        <is>
          <t>C148</t>
        </is>
      </c>
      <c r="C1450" t="n">
        <v>148</v>
      </c>
      <c r="D1450" t="n">
        <v>3</v>
      </c>
      <c r="E1450" t="inlineStr">
        <is>
          <t>Input</t>
        </is>
      </c>
      <c r="F1450" t="n">
        <v/>
      </c>
      <c r="G1450" t="n">
        <v>62458.0975</v>
      </c>
      <c r="H1450" t="inlineStr"/>
      <c r="I1450" t="inlineStr">
        <is>
          <t>General</t>
        </is>
      </c>
      <c r="J1450" t="b">
        <v>0</v>
      </c>
      <c r="K1450" t="b">
        <v>0</v>
      </c>
      <c r="L1450" t="n">
        <v>11</v>
      </c>
      <c r="M1450" t="inlineStr">
        <is>
          <t>Values must be of type &lt;class 'str'&gt;</t>
        </is>
      </c>
      <c r="N1450" t="inlineStr">
        <is>
          <t>00000000</t>
        </is>
      </c>
      <c r="O1450" t="n">
        <v/>
      </c>
      <c r="P1450" t="n">
        <v/>
      </c>
      <c r="R1450" t="b">
        <v>1</v>
      </c>
      <c r="S1450" t="n">
        <v/>
      </c>
      <c r="T1450" t="n">
        <v/>
      </c>
      <c r="U1450" t="n">
        <v/>
      </c>
      <c r="V1450" t="b">
        <v>0</v>
      </c>
      <c r="W1450" t="inlineStr"/>
      <c r="X1450" t="n">
        <v/>
      </c>
    </row>
    <row r="1451">
      <c r="A1451" t="inlineStr">
        <is>
          <t>ATF fuel</t>
        </is>
      </c>
      <c r="B1451" t="inlineStr">
        <is>
          <t>D148</t>
        </is>
      </c>
      <c r="C1451" t="n">
        <v>148</v>
      </c>
      <c r="D1451" t="n">
        <v>4</v>
      </c>
      <c r="E1451" t="inlineStr">
        <is>
          <t>Input</t>
        </is>
      </c>
      <c r="F1451" t="n">
        <v/>
      </c>
      <c r="G1451" t="n">
        <v>118.63</v>
      </c>
      <c r="H1451" t="inlineStr"/>
      <c r="I1451" t="inlineStr">
        <is>
          <t>General</t>
        </is>
      </c>
      <c r="J1451" t="b">
        <v>0</v>
      </c>
      <c r="K1451" t="b">
        <v>0</v>
      </c>
      <c r="L1451" t="n">
        <v>11</v>
      </c>
      <c r="M1451" t="inlineStr">
        <is>
          <t>Values must be of type &lt;class 'str'&gt;</t>
        </is>
      </c>
      <c r="N1451" t="inlineStr">
        <is>
          <t>00000000</t>
        </is>
      </c>
      <c r="O1451" t="n">
        <v/>
      </c>
      <c r="P1451" t="n">
        <v/>
      </c>
      <c r="R1451" t="b">
        <v>1</v>
      </c>
      <c r="S1451" t="n">
        <v/>
      </c>
      <c r="T1451" t="n">
        <v/>
      </c>
      <c r="U1451" t="n">
        <v/>
      </c>
      <c r="V1451" t="b">
        <v>0</v>
      </c>
      <c r="W1451" t="inlineStr"/>
      <c r="X1451" t="n">
        <v/>
      </c>
    </row>
    <row r="1452">
      <c r="A1452" t="inlineStr">
        <is>
          <t>ATF fuel</t>
        </is>
      </c>
      <c r="B1452" t="inlineStr">
        <is>
          <t>E148</t>
        </is>
      </c>
      <c r="C1452" t="n">
        <v>148</v>
      </c>
      <c r="D1452" t="n">
        <v>5</v>
      </c>
      <c r="E1452" t="inlineStr">
        <is>
          <t>Input</t>
        </is>
      </c>
      <c r="F1452" t="n">
        <v/>
      </c>
      <c r="G1452" t="n">
        <v>107.55</v>
      </c>
      <c r="H1452" t="inlineStr"/>
      <c r="I1452" t="inlineStr">
        <is>
          <t>General</t>
        </is>
      </c>
      <c r="J1452" t="b">
        <v>0</v>
      </c>
      <c r="K1452" t="b">
        <v>0</v>
      </c>
      <c r="L1452" t="n">
        <v>11</v>
      </c>
      <c r="M1452" t="inlineStr">
        <is>
          <t>Values must be of type &lt;class 'str'&gt;</t>
        </is>
      </c>
      <c r="N1452" t="inlineStr">
        <is>
          <t>00000000</t>
        </is>
      </c>
      <c r="O1452" t="n">
        <v/>
      </c>
      <c r="P1452" t="n">
        <v/>
      </c>
      <c r="R1452" t="b">
        <v>1</v>
      </c>
      <c r="S1452" t="n">
        <v/>
      </c>
      <c r="T1452" t="n">
        <v/>
      </c>
      <c r="U1452" t="n">
        <v/>
      </c>
      <c r="V1452" t="b">
        <v>0</v>
      </c>
      <c r="W1452" t="inlineStr"/>
      <c r="X1452" t="n">
        <v/>
      </c>
    </row>
    <row r="1453">
      <c r="A1453" t="inlineStr">
        <is>
          <t>ATF fuel</t>
        </is>
      </c>
      <c r="B1453" t="inlineStr">
        <is>
          <t>F148</t>
        </is>
      </c>
      <c r="C1453" t="n">
        <v>148</v>
      </c>
      <c r="D1453" t="n">
        <v>6</v>
      </c>
      <c r="E1453" t="inlineStr">
        <is>
          <t>Input</t>
        </is>
      </c>
      <c r="F1453" t="n">
        <v/>
      </c>
      <c r="G1453" t="inlineStr">
        <is>
          <t>April 01, 2011</t>
        </is>
      </c>
      <c r="H1453" t="inlineStr"/>
      <c r="I1453" t="inlineStr">
        <is>
          <t>General</t>
        </is>
      </c>
      <c r="J1453" t="b">
        <v>0</v>
      </c>
      <c r="K1453" t="b">
        <v>0</v>
      </c>
      <c r="L1453" t="n">
        <v>11</v>
      </c>
      <c r="M1453" t="inlineStr">
        <is>
          <t>Values must be of type &lt;class 'str'&gt;</t>
        </is>
      </c>
      <c r="N1453" t="inlineStr">
        <is>
          <t>00000000</t>
        </is>
      </c>
      <c r="O1453" t="inlineStr">
        <is>
          <t>left</t>
        </is>
      </c>
      <c r="P1453" t="n">
        <v/>
      </c>
      <c r="R1453" t="b">
        <v>1</v>
      </c>
      <c r="S1453" t="n">
        <v/>
      </c>
      <c r="T1453" t="n">
        <v/>
      </c>
      <c r="U1453" t="n">
        <v/>
      </c>
      <c r="V1453" t="b">
        <v>0</v>
      </c>
      <c r="W1453" t="inlineStr"/>
      <c r="X1453" t="n">
        <v/>
      </c>
    </row>
    <row r="1454">
      <c r="A1454" t="inlineStr">
        <is>
          <t>ATF fuel</t>
        </is>
      </c>
      <c r="B1454" t="inlineStr">
        <is>
          <t>G148</t>
        </is>
      </c>
      <c r="C1454" t="n">
        <v>148</v>
      </c>
      <c r="D1454" t="n">
        <v>7</v>
      </c>
      <c r="E1454" t="inlineStr">
        <is>
          <t>Calculation</t>
        </is>
      </c>
      <c r="F1454" t="inlineStr">
        <is>
          <t>'=(1+(C148/C147)-1)*G147</t>
        </is>
      </c>
      <c r="G1454" t="n">
        <v>140.7925151373188</v>
      </c>
      <c r="H1454" t="inlineStr"/>
      <c r="I1454" t="inlineStr">
        <is>
          <t>General</t>
        </is>
      </c>
      <c r="J1454" t="b">
        <v>0</v>
      </c>
      <c r="K1454" t="b">
        <v>0</v>
      </c>
      <c r="L1454" t="n">
        <v>11</v>
      </c>
      <c r="M1454" t="inlineStr">
        <is>
          <t>Values must be of type &lt;class 'str'&gt;</t>
        </is>
      </c>
      <c r="N1454" t="inlineStr">
        <is>
          <t>00000000</t>
        </is>
      </c>
      <c r="O1454" t="inlineStr">
        <is>
          <t>left</t>
        </is>
      </c>
      <c r="P1454" t="n">
        <v/>
      </c>
      <c r="R1454" t="b">
        <v>1</v>
      </c>
      <c r="S1454" t="inlineStr">
        <is>
          <t>G000307</t>
        </is>
      </c>
      <c r="T1454" t="inlineStr">
        <is>
          <t>Horizontal</t>
        </is>
      </c>
      <c r="U1454" t="n">
        <v>3</v>
      </c>
      <c r="V1454" t="b">
        <v>1</v>
      </c>
      <c r="W1454" t="inlineStr">
        <is>
          <t>ATF fuel!G148:I148</t>
        </is>
      </c>
      <c r="X1454">
        <f>(1+(R[0]C[-4]/R[-1]C[-4])-1)*R[-1]C[0]</f>
        <v/>
      </c>
    </row>
    <row r="1455">
      <c r="A1455" t="inlineStr">
        <is>
          <t>ATF fuel</t>
        </is>
      </c>
      <c r="B1455" t="inlineStr">
        <is>
          <t>H148</t>
        </is>
      </c>
      <c r="C1455" t="n">
        <v>148</v>
      </c>
      <c r="D1455" t="n">
        <v>8</v>
      </c>
      <c r="E1455" t="inlineStr">
        <is>
          <t>Calculation</t>
        </is>
      </c>
      <c r="F1455" t="inlineStr">
        <is>
          <t>'=(1+(D148/D147)-1)*H147</t>
        </is>
      </c>
      <c r="G1455" t="n">
        <v>143.567711484933</v>
      </c>
      <c r="H1455" t="inlineStr"/>
      <c r="I1455" t="inlineStr">
        <is>
          <t>General</t>
        </is>
      </c>
      <c r="J1455" t="b">
        <v>0</v>
      </c>
      <c r="K1455" t="b">
        <v>0</v>
      </c>
      <c r="L1455" t="n">
        <v>11</v>
      </c>
      <c r="M1455" t="inlineStr">
        <is>
          <t>Values must be of type &lt;class 'str'&gt;</t>
        </is>
      </c>
      <c r="N1455" t="inlineStr">
        <is>
          <t>00000000</t>
        </is>
      </c>
      <c r="O1455" t="inlineStr">
        <is>
          <t>left</t>
        </is>
      </c>
      <c r="P1455" t="n">
        <v/>
      </c>
      <c r="R1455" t="b">
        <v>1</v>
      </c>
      <c r="S1455" t="inlineStr">
        <is>
          <t>G000307</t>
        </is>
      </c>
      <c r="T1455" t="inlineStr">
        <is>
          <t>Horizontal</t>
        </is>
      </c>
      <c r="U1455" t="n">
        <v>3</v>
      </c>
      <c r="V1455" t="b">
        <v>1</v>
      </c>
      <c r="W1455" t="inlineStr">
        <is>
          <t>ATF fuel!G148:I148</t>
        </is>
      </c>
      <c r="X1455">
        <f>(1+(R[0]C[-4]/R[-1]C[-4])-1)*R[-1]C[0]</f>
        <v/>
      </c>
    </row>
    <row r="1456">
      <c r="A1456" t="inlineStr">
        <is>
          <t>ATF fuel</t>
        </is>
      </c>
      <c r="B1456" t="inlineStr">
        <is>
          <t>I148</t>
        </is>
      </c>
      <c r="C1456" t="n">
        <v>148</v>
      </c>
      <c r="D1456" t="n">
        <v>9</v>
      </c>
      <c r="E1456" t="inlineStr">
        <is>
          <t>Calculation</t>
        </is>
      </c>
      <c r="F1456" t="inlineStr">
        <is>
          <t>'=(1+(E148/E147)-1)*I147</t>
        </is>
      </c>
      <c r="G1456" t="n">
        <v>127.2329350526441</v>
      </c>
      <c r="H1456" t="inlineStr"/>
      <c r="I1456" t="inlineStr">
        <is>
          <t>General</t>
        </is>
      </c>
      <c r="J1456" t="b">
        <v>0</v>
      </c>
      <c r="K1456" t="b">
        <v>0</v>
      </c>
      <c r="L1456" t="n">
        <v>11</v>
      </c>
      <c r="M1456" t="inlineStr">
        <is>
          <t>Values must be of type &lt;class 'str'&gt;</t>
        </is>
      </c>
      <c r="N1456" t="inlineStr">
        <is>
          <t>00000000</t>
        </is>
      </c>
      <c r="O1456" t="inlineStr">
        <is>
          <t>left</t>
        </is>
      </c>
      <c r="P1456" t="n">
        <v/>
      </c>
      <c r="R1456" t="b">
        <v>1</v>
      </c>
      <c r="S1456" t="inlineStr">
        <is>
          <t>G000307</t>
        </is>
      </c>
      <c r="T1456" t="inlineStr">
        <is>
          <t>Horizontal</t>
        </is>
      </c>
      <c r="U1456" t="n">
        <v>3</v>
      </c>
      <c r="V1456" t="b">
        <v>1</v>
      </c>
      <c r="W1456" t="inlineStr">
        <is>
          <t>ATF fuel!G148:I148</t>
        </is>
      </c>
      <c r="X1456">
        <f>(1+(R[0]C[-4]/R[-1]C[-4])-1)*R[-1]C[0]</f>
        <v/>
      </c>
    </row>
    <row r="1457">
      <c r="A1457" t="inlineStr">
        <is>
          <t>ATF fuel</t>
        </is>
      </c>
      <c r="B1457" t="inlineStr">
        <is>
          <t>J148</t>
        </is>
      </c>
      <c r="C1457" t="n">
        <v>148</v>
      </c>
      <c r="D1457" t="n">
        <v>10</v>
      </c>
      <c r="E1457" t="inlineStr">
        <is>
          <t>Output</t>
        </is>
      </c>
      <c r="F1457" t="inlineStr">
        <is>
          <t>'=G148/H148-1</t>
        </is>
      </c>
      <c r="G1457" t="n">
        <v>-0.01933022626682646</v>
      </c>
      <c r="H1457" t="inlineStr"/>
      <c r="I1457" t="inlineStr">
        <is>
          <t>0.0%</t>
        </is>
      </c>
      <c r="J1457" t="b">
        <v>0</v>
      </c>
      <c r="K1457" t="b">
        <v>0</v>
      </c>
      <c r="L1457" t="n">
        <v>11</v>
      </c>
      <c r="M1457" t="inlineStr">
        <is>
          <t>Values must be of type &lt;class 'str'&gt;</t>
        </is>
      </c>
      <c r="N1457" t="inlineStr">
        <is>
          <t>00000000</t>
        </is>
      </c>
      <c r="O1457" t="n">
        <v/>
      </c>
      <c r="P1457" t="n">
        <v/>
      </c>
      <c r="R1457" t="b">
        <v>1</v>
      </c>
      <c r="S1457" t="inlineStr">
        <is>
          <t>G000295</t>
        </is>
      </c>
      <c r="T1457" t="inlineStr">
        <is>
          <t>Vertical</t>
        </is>
      </c>
      <c r="U1457" t="n">
        <v>93</v>
      </c>
      <c r="V1457" t="b">
        <v>1</v>
      </c>
      <c r="W1457" t="inlineStr">
        <is>
          <t>ATF fuel!J136:J228</t>
        </is>
      </c>
      <c r="X1457">
        <f>R[0]C[-3]/R[0]C[-2]-1</f>
        <v/>
      </c>
    </row>
    <row r="1458">
      <c r="A1458" t="inlineStr">
        <is>
          <t>ATF fuel</t>
        </is>
      </c>
      <c r="B1458" t="inlineStr">
        <is>
          <t>B149</t>
        </is>
      </c>
      <c r="C1458" t="n">
        <v>149</v>
      </c>
      <c r="D1458" t="n">
        <v>2</v>
      </c>
      <c r="E1458" t="inlineStr">
        <is>
          <t>Input</t>
        </is>
      </c>
      <c r="F1458" t="n">
        <v/>
      </c>
      <c r="G1458" t="inlineStr">
        <is>
          <t>May 01, 2011</t>
        </is>
      </c>
      <c r="H1458" t="inlineStr"/>
      <c r="I1458" t="inlineStr">
        <is>
          <t>General</t>
        </is>
      </c>
      <c r="J1458" t="b">
        <v>0</v>
      </c>
      <c r="K1458" t="b">
        <v>0</v>
      </c>
      <c r="L1458" t="n">
        <v>11</v>
      </c>
      <c r="M1458" t="inlineStr">
        <is>
          <t>Values must be of type &lt;class 'str'&gt;</t>
        </is>
      </c>
      <c r="N1458" t="inlineStr">
        <is>
          <t>00000000</t>
        </is>
      </c>
      <c r="O1458" t="n">
        <v/>
      </c>
      <c r="P1458" t="n">
        <v/>
      </c>
      <c r="R1458" t="b">
        <v>1</v>
      </c>
      <c r="S1458" t="n">
        <v/>
      </c>
      <c r="T1458" t="n">
        <v/>
      </c>
      <c r="U1458" t="n">
        <v/>
      </c>
      <c r="V1458" t="b">
        <v>0</v>
      </c>
      <c r="W1458" t="inlineStr"/>
      <c r="X1458" t="n">
        <v/>
      </c>
    </row>
    <row r="1459">
      <c r="A1459" t="inlineStr">
        <is>
          <t>ATF fuel</t>
        </is>
      </c>
      <c r="B1459" t="inlineStr">
        <is>
          <t>C149</t>
        </is>
      </c>
      <c r="C1459" t="n">
        <v>149</v>
      </c>
      <c r="D1459" t="n">
        <v>3</v>
      </c>
      <c r="E1459" t="inlineStr">
        <is>
          <t>Input</t>
        </is>
      </c>
      <c r="F1459" t="n">
        <v/>
      </c>
      <c r="G1459" t="n">
        <v>63967.75</v>
      </c>
      <c r="H1459" t="inlineStr"/>
      <c r="I1459" t="inlineStr">
        <is>
          <t>General</t>
        </is>
      </c>
      <c r="J1459" t="b">
        <v>0</v>
      </c>
      <c r="K1459" t="b">
        <v>0</v>
      </c>
      <c r="L1459" t="n">
        <v>11</v>
      </c>
      <c r="M1459" t="inlineStr">
        <is>
          <t>Values must be of type &lt;class 'str'&gt;</t>
        </is>
      </c>
      <c r="N1459" t="inlineStr">
        <is>
          <t>00000000</t>
        </is>
      </c>
      <c r="O1459" t="n">
        <v/>
      </c>
      <c r="P1459" t="n">
        <v/>
      </c>
      <c r="R1459" t="b">
        <v>1</v>
      </c>
      <c r="S1459" t="n">
        <v/>
      </c>
      <c r="T1459" t="n">
        <v/>
      </c>
      <c r="U1459" t="n">
        <v/>
      </c>
      <c r="V1459" t="b">
        <v>0</v>
      </c>
      <c r="W1459" t="inlineStr"/>
      <c r="X1459" t="n">
        <v/>
      </c>
    </row>
    <row r="1460">
      <c r="A1460" t="inlineStr">
        <is>
          <t>ATF fuel</t>
        </is>
      </c>
      <c r="B1460" t="inlineStr">
        <is>
          <t>D149</t>
        </is>
      </c>
      <c r="C1460" t="n">
        <v>149</v>
      </c>
      <c r="D1460" t="n">
        <v>4</v>
      </c>
      <c r="E1460" t="inlineStr">
        <is>
          <t>Input</t>
        </is>
      </c>
      <c r="F1460" t="n">
        <v/>
      </c>
      <c r="G1460" t="n">
        <v>121.55</v>
      </c>
      <c r="H1460" t="inlineStr"/>
      <c r="I1460" t="inlineStr">
        <is>
          <t>General</t>
        </is>
      </c>
      <c r="J1460" t="b">
        <v>0</v>
      </c>
      <c r="K1460" t="b">
        <v>0</v>
      </c>
      <c r="L1460" t="n">
        <v>11</v>
      </c>
      <c r="M1460" t="inlineStr">
        <is>
          <t>Values must be of type &lt;class 'str'&gt;</t>
        </is>
      </c>
      <c r="N1460" t="inlineStr">
        <is>
          <t>00000000</t>
        </is>
      </c>
      <c r="O1460" t="n">
        <v/>
      </c>
      <c r="P1460" t="n">
        <v/>
      </c>
      <c r="R1460" t="b">
        <v>1</v>
      </c>
      <c r="S1460" t="n">
        <v/>
      </c>
      <c r="T1460" t="n">
        <v/>
      </c>
      <c r="U1460" t="n">
        <v/>
      </c>
      <c r="V1460" t="b">
        <v>0</v>
      </c>
      <c r="W1460" t="inlineStr"/>
      <c r="X1460" t="n">
        <v/>
      </c>
    </row>
    <row r="1461">
      <c r="A1461" t="inlineStr">
        <is>
          <t>ATF fuel</t>
        </is>
      </c>
      <c r="B1461" t="inlineStr">
        <is>
          <t>E149</t>
        </is>
      </c>
      <c r="C1461" t="n">
        <v>149</v>
      </c>
      <c r="D1461" t="n">
        <v>5</v>
      </c>
      <c r="E1461" t="inlineStr">
        <is>
          <t>Input</t>
        </is>
      </c>
      <c r="F1461" t="n">
        <v/>
      </c>
      <c r="G1461" t="n">
        <v>113.03</v>
      </c>
      <c r="H1461" t="inlineStr"/>
      <c r="I1461" t="inlineStr">
        <is>
          <t>General</t>
        </is>
      </c>
      <c r="J1461" t="b">
        <v>0</v>
      </c>
      <c r="K1461" t="b">
        <v>0</v>
      </c>
      <c r="L1461" t="n">
        <v>11</v>
      </c>
      <c r="M1461" t="inlineStr">
        <is>
          <t>Values must be of type &lt;class 'str'&gt;</t>
        </is>
      </c>
      <c r="N1461" t="inlineStr">
        <is>
          <t>00000000</t>
        </is>
      </c>
      <c r="O1461" t="n">
        <v/>
      </c>
      <c r="P1461" t="n">
        <v/>
      </c>
      <c r="R1461" t="b">
        <v>1</v>
      </c>
      <c r="S1461" t="n">
        <v/>
      </c>
      <c r="T1461" t="n">
        <v/>
      </c>
      <c r="U1461" t="n">
        <v/>
      </c>
      <c r="V1461" t="b">
        <v>0</v>
      </c>
      <c r="W1461" t="inlineStr"/>
      <c r="X1461" t="n">
        <v/>
      </c>
    </row>
    <row r="1462">
      <c r="A1462" t="inlineStr">
        <is>
          <t>ATF fuel</t>
        </is>
      </c>
      <c r="B1462" t="inlineStr">
        <is>
          <t>F149</t>
        </is>
      </c>
      <c r="C1462" t="n">
        <v>149</v>
      </c>
      <c r="D1462" t="n">
        <v>6</v>
      </c>
      <c r="E1462" t="inlineStr">
        <is>
          <t>Input</t>
        </is>
      </c>
      <c r="F1462" t="n">
        <v/>
      </c>
      <c r="G1462" t="inlineStr">
        <is>
          <t>May 01, 2011</t>
        </is>
      </c>
      <c r="H1462" t="inlineStr"/>
      <c r="I1462" t="inlineStr">
        <is>
          <t>General</t>
        </is>
      </c>
      <c r="J1462" t="b">
        <v>0</v>
      </c>
      <c r="K1462" t="b">
        <v>0</v>
      </c>
      <c r="L1462" t="n">
        <v>11</v>
      </c>
      <c r="M1462" t="inlineStr">
        <is>
          <t>Values must be of type &lt;class 'str'&gt;</t>
        </is>
      </c>
      <c r="N1462" t="inlineStr">
        <is>
          <t>00000000</t>
        </is>
      </c>
      <c r="O1462" t="inlineStr">
        <is>
          <t>left</t>
        </is>
      </c>
      <c r="P1462" t="n">
        <v/>
      </c>
      <c r="R1462" t="b">
        <v>1</v>
      </c>
      <c r="S1462" t="n">
        <v/>
      </c>
      <c r="T1462" t="n">
        <v/>
      </c>
      <c r="U1462" t="n">
        <v/>
      </c>
      <c r="V1462" t="b">
        <v>0</v>
      </c>
      <c r="W1462" t="inlineStr"/>
      <c r="X1462" t="n">
        <v/>
      </c>
    </row>
    <row r="1463">
      <c r="A1463" t="inlineStr">
        <is>
          <t>ATF fuel</t>
        </is>
      </c>
      <c r="B1463" t="inlineStr">
        <is>
          <t>G149</t>
        </is>
      </c>
      <c r="C1463" t="n">
        <v>149</v>
      </c>
      <c r="D1463" t="n">
        <v>7</v>
      </c>
      <c r="E1463" t="inlineStr">
        <is>
          <t>Calculation</t>
        </is>
      </c>
      <c r="F1463" t="inlineStr">
        <is>
          <t>'=(1+(C149/C148)-1)*G148</t>
        </is>
      </c>
      <c r="G1463" t="n">
        <v>144.1955610347437</v>
      </c>
      <c r="H1463" t="inlineStr"/>
      <c r="I1463" t="inlineStr">
        <is>
          <t>General</t>
        </is>
      </c>
      <c r="J1463" t="b">
        <v>0</v>
      </c>
      <c r="K1463" t="b">
        <v>0</v>
      </c>
      <c r="L1463" t="n">
        <v>11</v>
      </c>
      <c r="M1463" t="inlineStr">
        <is>
          <t>Values must be of type &lt;class 'str'&gt;</t>
        </is>
      </c>
      <c r="N1463" t="inlineStr">
        <is>
          <t>00000000</t>
        </is>
      </c>
      <c r="O1463" t="inlineStr">
        <is>
          <t>left</t>
        </is>
      </c>
      <c r="P1463" t="n">
        <v/>
      </c>
      <c r="R1463" t="b">
        <v>1</v>
      </c>
      <c r="S1463" t="inlineStr">
        <is>
          <t>G000308</t>
        </is>
      </c>
      <c r="T1463" t="inlineStr">
        <is>
          <t>Horizontal</t>
        </is>
      </c>
      <c r="U1463" t="n">
        <v>3</v>
      </c>
      <c r="V1463" t="b">
        <v>1</v>
      </c>
      <c r="W1463" t="inlineStr">
        <is>
          <t>ATF fuel!G149:I149</t>
        </is>
      </c>
      <c r="X1463">
        <f>(1+(R[0]C[-4]/R[-1]C[-4])-1)*R[-1]C[0]</f>
        <v/>
      </c>
    </row>
    <row r="1464">
      <c r="A1464" t="inlineStr">
        <is>
          <t>ATF fuel</t>
        </is>
      </c>
      <c r="B1464" t="inlineStr">
        <is>
          <t>H149</t>
        </is>
      </c>
      <c r="C1464" t="n">
        <v>149</v>
      </c>
      <c r="D1464" t="n">
        <v>8</v>
      </c>
      <c r="E1464" t="inlineStr">
        <is>
          <t>Calculation</t>
        </is>
      </c>
      <c r="F1464" t="inlineStr">
        <is>
          <t>'=(1+(D149/D148)-1)*H148</t>
        </is>
      </c>
      <c r="G1464" t="n">
        <v>147.1015369720442</v>
      </c>
      <c r="H1464" t="inlineStr"/>
      <c r="I1464" t="inlineStr">
        <is>
          <t>General</t>
        </is>
      </c>
      <c r="J1464" t="b">
        <v>0</v>
      </c>
      <c r="K1464" t="b">
        <v>0</v>
      </c>
      <c r="L1464" t="n">
        <v>11</v>
      </c>
      <c r="M1464" t="inlineStr">
        <is>
          <t>Values must be of type &lt;class 'str'&gt;</t>
        </is>
      </c>
      <c r="N1464" t="inlineStr">
        <is>
          <t>00000000</t>
        </is>
      </c>
      <c r="O1464" t="inlineStr">
        <is>
          <t>left</t>
        </is>
      </c>
      <c r="P1464" t="n">
        <v/>
      </c>
      <c r="R1464" t="b">
        <v>1</v>
      </c>
      <c r="S1464" t="inlineStr">
        <is>
          <t>G000308</t>
        </is>
      </c>
      <c r="T1464" t="inlineStr">
        <is>
          <t>Horizontal</t>
        </is>
      </c>
      <c r="U1464" t="n">
        <v>3</v>
      </c>
      <c r="V1464" t="b">
        <v>1</v>
      </c>
      <c r="W1464" t="inlineStr">
        <is>
          <t>ATF fuel!G149:I149</t>
        </is>
      </c>
      <c r="X1464">
        <f>(1+(R[0]C[-4]/R[-1]C[-4])-1)*R[-1]C[0]</f>
        <v/>
      </c>
    </row>
    <row r="1465">
      <c r="A1465" t="inlineStr">
        <is>
          <t>ATF fuel</t>
        </is>
      </c>
      <c r="B1465" t="inlineStr">
        <is>
          <t>I149</t>
        </is>
      </c>
      <c r="C1465" t="n">
        <v>149</v>
      </c>
      <c r="D1465" t="n">
        <v>9</v>
      </c>
      <c r="E1465" t="inlineStr">
        <is>
          <t>Calculation</t>
        </is>
      </c>
      <c r="F1465" t="inlineStr">
        <is>
          <t>'=(1+(E149/E148)-1)*I148</t>
        </is>
      </c>
      <c r="G1465" t="n">
        <v>133.7158405299894</v>
      </c>
      <c r="H1465" t="inlineStr"/>
      <c r="I1465" t="inlineStr">
        <is>
          <t>General</t>
        </is>
      </c>
      <c r="J1465" t="b">
        <v>0</v>
      </c>
      <c r="K1465" t="b">
        <v>0</v>
      </c>
      <c r="L1465" t="n">
        <v>11</v>
      </c>
      <c r="M1465" t="inlineStr">
        <is>
          <t>Values must be of type &lt;class 'str'&gt;</t>
        </is>
      </c>
      <c r="N1465" t="inlineStr">
        <is>
          <t>00000000</t>
        </is>
      </c>
      <c r="O1465" t="inlineStr">
        <is>
          <t>left</t>
        </is>
      </c>
      <c r="P1465" t="n">
        <v/>
      </c>
      <c r="R1465" t="b">
        <v>1</v>
      </c>
      <c r="S1465" t="inlineStr">
        <is>
          <t>G000308</t>
        </is>
      </c>
      <c r="T1465" t="inlineStr">
        <is>
          <t>Horizontal</t>
        </is>
      </c>
      <c r="U1465" t="n">
        <v>3</v>
      </c>
      <c r="V1465" t="b">
        <v>1</v>
      </c>
      <c r="W1465" t="inlineStr">
        <is>
          <t>ATF fuel!G149:I149</t>
        </is>
      </c>
      <c r="X1465">
        <f>(1+(R[0]C[-4]/R[-1]C[-4])-1)*R[-1]C[0]</f>
        <v/>
      </c>
    </row>
    <row r="1466">
      <c r="A1466" t="inlineStr">
        <is>
          <t>ATF fuel</t>
        </is>
      </c>
      <c r="B1466" t="inlineStr">
        <is>
          <t>J149</t>
        </is>
      </c>
      <c r="C1466" t="n">
        <v>149</v>
      </c>
      <c r="D1466" t="n">
        <v>10</v>
      </c>
      <c r="E1466" t="inlineStr">
        <is>
          <t>Output</t>
        </is>
      </c>
      <c r="F1466" t="inlineStr">
        <is>
          <t>'=G149/H149-1</t>
        </is>
      </c>
      <c r="G1466" t="n">
        <v>-0.01975489853551116</v>
      </c>
      <c r="H1466" t="inlineStr"/>
      <c r="I1466" t="inlineStr">
        <is>
          <t>0.0%</t>
        </is>
      </c>
      <c r="J1466" t="b">
        <v>0</v>
      </c>
      <c r="K1466" t="b">
        <v>0</v>
      </c>
      <c r="L1466" t="n">
        <v>11</v>
      </c>
      <c r="M1466" t="inlineStr">
        <is>
          <t>Values must be of type &lt;class 'str'&gt;</t>
        </is>
      </c>
      <c r="N1466" t="inlineStr">
        <is>
          <t>00000000</t>
        </is>
      </c>
      <c r="O1466" t="n">
        <v/>
      </c>
      <c r="P1466" t="n">
        <v/>
      </c>
      <c r="R1466" t="b">
        <v>1</v>
      </c>
      <c r="S1466" t="inlineStr">
        <is>
          <t>G000295</t>
        </is>
      </c>
      <c r="T1466" t="inlineStr">
        <is>
          <t>Vertical</t>
        </is>
      </c>
      <c r="U1466" t="n">
        <v>93</v>
      </c>
      <c r="V1466" t="b">
        <v>1</v>
      </c>
      <c r="W1466" t="inlineStr">
        <is>
          <t>ATF fuel!J136:J228</t>
        </is>
      </c>
      <c r="X1466">
        <f>R[0]C[-3]/R[0]C[-2]-1</f>
        <v/>
      </c>
    </row>
    <row r="1467">
      <c r="A1467" t="inlineStr">
        <is>
          <t>ATF fuel</t>
        </is>
      </c>
      <c r="B1467" t="inlineStr">
        <is>
          <t>B150</t>
        </is>
      </c>
      <c r="C1467" t="n">
        <v>150</v>
      </c>
      <c r="D1467" t="n">
        <v>2</v>
      </c>
      <c r="E1467" t="inlineStr">
        <is>
          <t>Input</t>
        </is>
      </c>
      <c r="F1467" t="n">
        <v/>
      </c>
      <c r="G1467" t="inlineStr">
        <is>
          <t>June 01, 2011</t>
        </is>
      </c>
      <c r="H1467" t="inlineStr"/>
      <c r="I1467" t="inlineStr">
        <is>
          <t>General</t>
        </is>
      </c>
      <c r="J1467" t="b">
        <v>0</v>
      </c>
      <c r="K1467" t="b">
        <v>0</v>
      </c>
      <c r="L1467" t="n">
        <v>11</v>
      </c>
      <c r="M1467" t="inlineStr">
        <is>
          <t>Values must be of type &lt;class 'str'&gt;</t>
        </is>
      </c>
      <c r="N1467" t="inlineStr">
        <is>
          <t>00000000</t>
        </is>
      </c>
      <c r="O1467" t="n">
        <v/>
      </c>
      <c r="P1467" t="n">
        <v/>
      </c>
      <c r="R1467" t="b">
        <v>1</v>
      </c>
      <c r="S1467" t="n">
        <v/>
      </c>
      <c r="T1467" t="n">
        <v/>
      </c>
      <c r="U1467" t="n">
        <v/>
      </c>
      <c r="V1467" t="b">
        <v>0</v>
      </c>
      <c r="W1467" t="inlineStr"/>
      <c r="X1467" t="n">
        <v/>
      </c>
    </row>
    <row r="1468">
      <c r="A1468" t="inlineStr">
        <is>
          <t>ATF fuel</t>
        </is>
      </c>
      <c r="B1468" t="inlineStr">
        <is>
          <t>C150</t>
        </is>
      </c>
      <c r="C1468" t="n">
        <v>150</v>
      </c>
      <c r="D1468" t="n">
        <v>3</v>
      </c>
      <c r="E1468" t="inlineStr">
        <is>
          <t>Input</t>
        </is>
      </c>
      <c r="F1468" t="n">
        <v/>
      </c>
      <c r="G1468" t="n">
        <v>59747.9725</v>
      </c>
      <c r="H1468" t="inlineStr"/>
      <c r="I1468" t="inlineStr">
        <is>
          <t>General</t>
        </is>
      </c>
      <c r="J1468" t="b">
        <v>0</v>
      </c>
      <c r="K1468" t="b">
        <v>0</v>
      </c>
      <c r="L1468" t="n">
        <v>11</v>
      </c>
      <c r="M1468" t="inlineStr">
        <is>
          <t>Values must be of type &lt;class 'str'&gt;</t>
        </is>
      </c>
      <c r="N1468" t="inlineStr">
        <is>
          <t>00000000</t>
        </is>
      </c>
      <c r="O1468" t="n">
        <v/>
      </c>
      <c r="P1468" t="n">
        <v/>
      </c>
      <c r="R1468" t="b">
        <v>1</v>
      </c>
      <c r="S1468" t="n">
        <v/>
      </c>
      <c r="T1468" t="n">
        <v/>
      </c>
      <c r="U1468" t="n">
        <v/>
      </c>
      <c r="V1468" t="b">
        <v>0</v>
      </c>
      <c r="W1468" t="inlineStr"/>
      <c r="X1468" t="n">
        <v/>
      </c>
    </row>
    <row r="1469">
      <c r="A1469" t="inlineStr">
        <is>
          <t>ATF fuel</t>
        </is>
      </c>
      <c r="B1469" t="inlineStr">
        <is>
          <t>D150</t>
        </is>
      </c>
      <c r="C1469" t="n">
        <v>150</v>
      </c>
      <c r="D1469" t="n">
        <v>4</v>
      </c>
      <c r="E1469" t="inlineStr">
        <is>
          <t>Input</t>
        </is>
      </c>
      <c r="F1469" t="n">
        <v/>
      </c>
      <c r="G1469" t="n">
        <v>115.09</v>
      </c>
      <c r="H1469" t="inlineStr"/>
      <c r="I1469" t="inlineStr">
        <is>
          <t>General</t>
        </is>
      </c>
      <c r="J1469" t="b">
        <v>0</v>
      </c>
      <c r="K1469" t="b">
        <v>0</v>
      </c>
      <c r="L1469" t="n">
        <v>11</v>
      </c>
      <c r="M1469" t="inlineStr">
        <is>
          <t>Values must be of type &lt;class 'str'&gt;</t>
        </is>
      </c>
      <c r="N1469" t="inlineStr">
        <is>
          <t>00000000</t>
        </is>
      </c>
      <c r="O1469" t="n">
        <v/>
      </c>
      <c r="P1469" t="n">
        <v/>
      </c>
      <c r="R1469" t="b">
        <v>1</v>
      </c>
      <c r="S1469" t="n">
        <v/>
      </c>
      <c r="T1469" t="n">
        <v/>
      </c>
      <c r="U1469" t="n">
        <v/>
      </c>
      <c r="V1469" t="b">
        <v>0</v>
      </c>
      <c r="W1469" t="inlineStr"/>
      <c r="X1469" t="n">
        <v/>
      </c>
    </row>
    <row r="1470">
      <c r="A1470" t="inlineStr">
        <is>
          <t>ATF fuel</t>
        </is>
      </c>
      <c r="B1470" t="inlineStr">
        <is>
          <t>E150</t>
        </is>
      </c>
      <c r="C1470" t="n">
        <v>150</v>
      </c>
      <c r="D1470" t="n">
        <v>5</v>
      </c>
      <c r="E1470" t="inlineStr">
        <is>
          <t>Input</t>
        </is>
      </c>
      <c r="F1470" t="n">
        <v/>
      </c>
      <c r="G1470" t="n">
        <v>100.3</v>
      </c>
      <c r="H1470" t="inlineStr"/>
      <c r="I1470" t="inlineStr">
        <is>
          <t>General</t>
        </is>
      </c>
      <c r="J1470" t="b">
        <v>0</v>
      </c>
      <c r="K1470" t="b">
        <v>0</v>
      </c>
      <c r="L1470" t="n">
        <v>11</v>
      </c>
      <c r="M1470" t="inlineStr">
        <is>
          <t>Values must be of type &lt;class 'str'&gt;</t>
        </is>
      </c>
      <c r="N1470" t="inlineStr">
        <is>
          <t>00000000</t>
        </is>
      </c>
      <c r="O1470" t="n">
        <v/>
      </c>
      <c r="P1470" t="n">
        <v/>
      </c>
      <c r="R1470" t="b">
        <v>1</v>
      </c>
      <c r="S1470" t="n">
        <v/>
      </c>
      <c r="T1470" t="n">
        <v/>
      </c>
      <c r="U1470" t="n">
        <v/>
      </c>
      <c r="V1470" t="b">
        <v>0</v>
      </c>
      <c r="W1470" t="inlineStr"/>
      <c r="X1470" t="n">
        <v/>
      </c>
    </row>
    <row r="1471">
      <c r="A1471" t="inlineStr">
        <is>
          <t>ATF fuel</t>
        </is>
      </c>
      <c r="B1471" t="inlineStr">
        <is>
          <t>F150</t>
        </is>
      </c>
      <c r="C1471" t="n">
        <v>150</v>
      </c>
      <c r="D1471" t="n">
        <v>6</v>
      </c>
      <c r="E1471" t="inlineStr">
        <is>
          <t>Input</t>
        </is>
      </c>
      <c r="F1471" t="n">
        <v/>
      </c>
      <c r="G1471" t="inlineStr">
        <is>
          <t>June 01, 2011</t>
        </is>
      </c>
      <c r="H1471" t="inlineStr"/>
      <c r="I1471" t="inlineStr">
        <is>
          <t>General</t>
        </is>
      </c>
      <c r="J1471" t="b">
        <v>0</v>
      </c>
      <c r="K1471" t="b">
        <v>0</v>
      </c>
      <c r="L1471" t="n">
        <v>11</v>
      </c>
      <c r="M1471" t="inlineStr">
        <is>
          <t>Values must be of type &lt;class 'str'&gt;</t>
        </is>
      </c>
      <c r="N1471" t="inlineStr">
        <is>
          <t>00000000</t>
        </is>
      </c>
      <c r="O1471" t="inlineStr">
        <is>
          <t>left</t>
        </is>
      </c>
      <c r="P1471" t="n">
        <v/>
      </c>
      <c r="R1471" t="b">
        <v>1</v>
      </c>
      <c r="S1471" t="n">
        <v/>
      </c>
      <c r="T1471" t="n">
        <v/>
      </c>
      <c r="U1471" t="n">
        <v/>
      </c>
      <c r="V1471" t="b">
        <v>0</v>
      </c>
      <c r="W1471" t="inlineStr"/>
      <c r="X1471" t="n">
        <v/>
      </c>
    </row>
    <row r="1472">
      <c r="A1472" t="inlineStr">
        <is>
          <t>ATF fuel</t>
        </is>
      </c>
      <c r="B1472" t="inlineStr">
        <is>
          <t>G150</t>
        </is>
      </c>
      <c r="C1472" t="n">
        <v>150</v>
      </c>
      <c r="D1472" t="n">
        <v>7</v>
      </c>
      <c r="E1472" t="inlineStr">
        <is>
          <t>Calculation</t>
        </is>
      </c>
      <c r="F1472" t="inlineStr">
        <is>
          <t>'=(1+(C150/C149)-1)*G149</t>
        </is>
      </c>
      <c r="G1472" t="n">
        <v>134.6833742835404</v>
      </c>
      <c r="H1472" t="inlineStr"/>
      <c r="I1472" t="inlineStr">
        <is>
          <t>General</t>
        </is>
      </c>
      <c r="J1472" t="b">
        <v>0</v>
      </c>
      <c r="K1472" t="b">
        <v>0</v>
      </c>
      <c r="L1472" t="n">
        <v>11</v>
      </c>
      <c r="M1472" t="inlineStr">
        <is>
          <t>Values must be of type &lt;class 'str'&gt;</t>
        </is>
      </c>
      <c r="N1472" t="inlineStr">
        <is>
          <t>00000000</t>
        </is>
      </c>
      <c r="O1472" t="inlineStr">
        <is>
          <t>left</t>
        </is>
      </c>
      <c r="P1472" t="n">
        <v/>
      </c>
      <c r="R1472" t="b">
        <v>1</v>
      </c>
      <c r="S1472" t="inlineStr">
        <is>
          <t>G000309</t>
        </is>
      </c>
      <c r="T1472" t="inlineStr">
        <is>
          <t>Horizontal</t>
        </is>
      </c>
      <c r="U1472" t="n">
        <v>3</v>
      </c>
      <c r="V1472" t="b">
        <v>1</v>
      </c>
      <c r="W1472" t="inlineStr">
        <is>
          <t>ATF fuel!G150:I150</t>
        </is>
      </c>
      <c r="X1472">
        <f>(1+(R[0]C[-4]/R[-1]C[-4])-1)*R[-1]C[0]</f>
        <v/>
      </c>
    </row>
    <row r="1473">
      <c r="A1473" t="inlineStr">
        <is>
          <t>ATF fuel</t>
        </is>
      </c>
      <c r="B1473" t="inlineStr">
        <is>
          <t>H150</t>
        </is>
      </c>
      <c r="C1473" t="n">
        <v>150</v>
      </c>
      <c r="D1473" t="n">
        <v>8</v>
      </c>
      <c r="E1473" t="inlineStr">
        <is>
          <t>Calculation</t>
        </is>
      </c>
      <c r="F1473" t="inlineStr">
        <is>
          <t>'=(1+(D150/D149)-1)*H149</t>
        </is>
      </c>
      <c r="G1473" t="n">
        <v>139.2835531889145</v>
      </c>
      <c r="H1473" t="inlineStr"/>
      <c r="I1473" t="inlineStr">
        <is>
          <t>General</t>
        </is>
      </c>
      <c r="J1473" t="b">
        <v>0</v>
      </c>
      <c r="K1473" t="b">
        <v>0</v>
      </c>
      <c r="L1473" t="n">
        <v>11</v>
      </c>
      <c r="M1473" t="inlineStr">
        <is>
          <t>Values must be of type &lt;class 'str'&gt;</t>
        </is>
      </c>
      <c r="N1473" t="inlineStr">
        <is>
          <t>00000000</t>
        </is>
      </c>
      <c r="O1473" t="inlineStr">
        <is>
          <t>left</t>
        </is>
      </c>
      <c r="P1473" t="n">
        <v/>
      </c>
      <c r="R1473" t="b">
        <v>1</v>
      </c>
      <c r="S1473" t="inlineStr">
        <is>
          <t>G000309</t>
        </is>
      </c>
      <c r="T1473" t="inlineStr">
        <is>
          <t>Horizontal</t>
        </is>
      </c>
      <c r="U1473" t="n">
        <v>3</v>
      </c>
      <c r="V1473" t="b">
        <v>1</v>
      </c>
      <c r="W1473" t="inlineStr">
        <is>
          <t>ATF fuel!G150:I150</t>
        </is>
      </c>
      <c r="X1473">
        <f>(1+(R[0]C[-4]/R[-1]C[-4])-1)*R[-1]C[0]</f>
        <v/>
      </c>
    </row>
    <row r="1474">
      <c r="A1474" t="inlineStr">
        <is>
          <t>ATF fuel</t>
        </is>
      </c>
      <c r="B1474" t="inlineStr">
        <is>
          <t>I150</t>
        </is>
      </c>
      <c r="C1474" t="n">
        <v>150</v>
      </c>
      <c r="D1474" t="n">
        <v>9</v>
      </c>
      <c r="E1474" t="inlineStr">
        <is>
          <t>Calculation</t>
        </is>
      </c>
      <c r="F1474" t="inlineStr">
        <is>
          <t>'=(1+(E150/E149)-1)*I149</t>
        </is>
      </c>
      <c r="G1474" t="n">
        <v>118.6560984265942</v>
      </c>
      <c r="H1474" t="inlineStr"/>
      <c r="I1474" t="inlineStr">
        <is>
          <t>General</t>
        </is>
      </c>
      <c r="J1474" t="b">
        <v>0</v>
      </c>
      <c r="K1474" t="b">
        <v>0</v>
      </c>
      <c r="L1474" t="n">
        <v>11</v>
      </c>
      <c r="M1474" t="inlineStr">
        <is>
          <t>Values must be of type &lt;class 'str'&gt;</t>
        </is>
      </c>
      <c r="N1474" t="inlineStr">
        <is>
          <t>00000000</t>
        </is>
      </c>
      <c r="O1474" t="inlineStr">
        <is>
          <t>left</t>
        </is>
      </c>
      <c r="P1474" t="n">
        <v/>
      </c>
      <c r="R1474" t="b">
        <v>1</v>
      </c>
      <c r="S1474" t="inlineStr">
        <is>
          <t>G000309</t>
        </is>
      </c>
      <c r="T1474" t="inlineStr">
        <is>
          <t>Horizontal</t>
        </is>
      </c>
      <c r="U1474" t="n">
        <v>3</v>
      </c>
      <c r="V1474" t="b">
        <v>1</v>
      </c>
      <c r="W1474" t="inlineStr">
        <is>
          <t>ATF fuel!G150:I150</t>
        </is>
      </c>
      <c r="X1474">
        <f>(1+(R[0]C[-4]/R[-1]C[-4])-1)*R[-1]C[0]</f>
        <v/>
      </c>
    </row>
    <row r="1475">
      <c r="A1475" t="inlineStr">
        <is>
          <t>ATF fuel</t>
        </is>
      </c>
      <c r="B1475" t="inlineStr">
        <is>
          <t>J150</t>
        </is>
      </c>
      <c r="C1475" t="n">
        <v>150</v>
      </c>
      <c r="D1475" t="n">
        <v>10</v>
      </c>
      <c r="E1475" t="inlineStr">
        <is>
          <t>Output</t>
        </is>
      </c>
      <c r="F1475" t="inlineStr">
        <is>
          <t>'=G150/H150-1</t>
        </is>
      </c>
      <c r="G1475" t="n">
        <v>-0.03302743791389939</v>
      </c>
      <c r="H1475" t="inlineStr"/>
      <c r="I1475" t="inlineStr">
        <is>
          <t>0.0%</t>
        </is>
      </c>
      <c r="J1475" t="b">
        <v>0</v>
      </c>
      <c r="K1475" t="b">
        <v>0</v>
      </c>
      <c r="L1475" t="n">
        <v>11</v>
      </c>
      <c r="M1475" t="inlineStr">
        <is>
          <t>Values must be of type &lt;class 'str'&gt;</t>
        </is>
      </c>
      <c r="N1475" t="inlineStr">
        <is>
          <t>00000000</t>
        </is>
      </c>
      <c r="O1475" t="n">
        <v/>
      </c>
      <c r="P1475" t="n">
        <v/>
      </c>
      <c r="R1475" t="b">
        <v>1</v>
      </c>
      <c r="S1475" t="inlineStr">
        <is>
          <t>G000295</t>
        </is>
      </c>
      <c r="T1475" t="inlineStr">
        <is>
          <t>Vertical</t>
        </is>
      </c>
      <c r="U1475" t="n">
        <v>93</v>
      </c>
      <c r="V1475" t="b">
        <v>1</v>
      </c>
      <c r="W1475" t="inlineStr">
        <is>
          <t>ATF fuel!J136:J228</t>
        </is>
      </c>
      <c r="X1475">
        <f>R[0]C[-3]/R[0]C[-2]-1</f>
        <v/>
      </c>
    </row>
    <row r="1476">
      <c r="A1476" t="inlineStr">
        <is>
          <t>ATF fuel</t>
        </is>
      </c>
      <c r="B1476" t="inlineStr">
        <is>
          <t>B151</t>
        </is>
      </c>
      <c r="C1476" t="n">
        <v>151</v>
      </c>
      <c r="D1476" t="n">
        <v>2</v>
      </c>
      <c r="E1476" t="inlineStr">
        <is>
          <t>Input</t>
        </is>
      </c>
      <c r="F1476" t="n">
        <v/>
      </c>
      <c r="G1476" t="inlineStr">
        <is>
          <t>July 01, 2011</t>
        </is>
      </c>
      <c r="H1476" t="inlineStr"/>
      <c r="I1476" t="inlineStr">
        <is>
          <t>General</t>
        </is>
      </c>
      <c r="J1476" t="b">
        <v>0</v>
      </c>
      <c r="K1476" t="b">
        <v>0</v>
      </c>
      <c r="L1476" t="n">
        <v>11</v>
      </c>
      <c r="M1476" t="inlineStr">
        <is>
          <t>Values must be of type &lt;class 'str'&gt;</t>
        </is>
      </c>
      <c r="N1476" t="inlineStr">
        <is>
          <t>00000000</t>
        </is>
      </c>
      <c r="O1476" t="n">
        <v/>
      </c>
      <c r="P1476" t="n">
        <v/>
      </c>
      <c r="R1476" t="b">
        <v>1</v>
      </c>
      <c r="S1476" t="n">
        <v/>
      </c>
      <c r="T1476" t="n">
        <v/>
      </c>
      <c r="U1476" t="n">
        <v/>
      </c>
      <c r="V1476" t="b">
        <v>0</v>
      </c>
      <c r="W1476" t="inlineStr"/>
      <c r="X1476" t="n">
        <v/>
      </c>
    </row>
    <row r="1477">
      <c r="A1477" t="inlineStr">
        <is>
          <t>ATF fuel</t>
        </is>
      </c>
      <c r="B1477" t="inlineStr">
        <is>
          <t>C151</t>
        </is>
      </c>
      <c r="C1477" t="n">
        <v>151</v>
      </c>
      <c r="D1477" t="n">
        <v>3</v>
      </c>
      <c r="E1477" t="inlineStr">
        <is>
          <t>Input</t>
        </is>
      </c>
      <c r="F1477" t="n">
        <v/>
      </c>
      <c r="G1477" t="n">
        <v>59498.0825</v>
      </c>
      <c r="H1477" t="inlineStr"/>
      <c r="I1477" t="inlineStr">
        <is>
          <t>General</t>
        </is>
      </c>
      <c r="J1477" t="b">
        <v>0</v>
      </c>
      <c r="K1477" t="b">
        <v>0</v>
      </c>
      <c r="L1477" t="n">
        <v>11</v>
      </c>
      <c r="M1477" t="inlineStr">
        <is>
          <t>Values must be of type &lt;class 'str'&gt;</t>
        </is>
      </c>
      <c r="N1477" t="inlineStr">
        <is>
          <t>00000000</t>
        </is>
      </c>
      <c r="O1477" t="n">
        <v/>
      </c>
      <c r="P1477" t="n">
        <v/>
      </c>
      <c r="R1477" t="b">
        <v>1</v>
      </c>
      <c r="S1477" t="n">
        <v/>
      </c>
      <c r="T1477" t="n">
        <v/>
      </c>
      <c r="U1477" t="n">
        <v/>
      </c>
      <c r="V1477" t="b">
        <v>0</v>
      </c>
      <c r="W1477" t="inlineStr"/>
      <c r="X1477" t="n">
        <v/>
      </c>
    </row>
    <row r="1478">
      <c r="A1478" t="inlineStr">
        <is>
          <t>ATF fuel</t>
        </is>
      </c>
      <c r="B1478" t="inlineStr">
        <is>
          <t>D151</t>
        </is>
      </c>
      <c r="C1478" t="n">
        <v>151</v>
      </c>
      <c r="D1478" t="n">
        <v>4</v>
      </c>
      <c r="E1478" t="inlineStr">
        <is>
          <t>Input</t>
        </is>
      </c>
      <c r="F1478" t="n">
        <v/>
      </c>
      <c r="G1478" t="n">
        <v>113.55</v>
      </c>
      <c r="H1478" t="inlineStr"/>
      <c r="I1478" t="inlineStr">
        <is>
          <t>General</t>
        </is>
      </c>
      <c r="J1478" t="b">
        <v>0</v>
      </c>
      <c r="K1478" t="b">
        <v>0</v>
      </c>
      <c r="L1478" t="n">
        <v>11</v>
      </c>
      <c r="M1478" t="inlineStr">
        <is>
          <t>Values must be of type &lt;class 'str'&gt;</t>
        </is>
      </c>
      <c r="N1478" t="inlineStr">
        <is>
          <t>00000000</t>
        </is>
      </c>
      <c r="O1478" t="n">
        <v/>
      </c>
      <c r="P1478" t="n">
        <v/>
      </c>
      <c r="R1478" t="b">
        <v>1</v>
      </c>
      <c r="S1478" t="n">
        <v/>
      </c>
      <c r="T1478" t="n">
        <v/>
      </c>
      <c r="U1478" t="n">
        <v/>
      </c>
      <c r="V1478" t="b">
        <v>0</v>
      </c>
      <c r="W1478" t="inlineStr"/>
      <c r="X1478" t="n">
        <v/>
      </c>
    </row>
    <row r="1479">
      <c r="A1479" t="inlineStr">
        <is>
          <t>ATF fuel</t>
        </is>
      </c>
      <c r="B1479" t="inlineStr">
        <is>
          <t>E151</t>
        </is>
      </c>
      <c r="C1479" t="n">
        <v>151</v>
      </c>
      <c r="D1479" t="n">
        <v>5</v>
      </c>
      <c r="E1479" t="inlineStr">
        <is>
          <t>Input</t>
        </is>
      </c>
      <c r="F1479" t="n">
        <v/>
      </c>
      <c r="G1479" t="n">
        <v>94.81</v>
      </c>
      <c r="H1479" t="inlineStr"/>
      <c r="I1479" t="inlineStr">
        <is>
          <t>General</t>
        </is>
      </c>
      <c r="J1479" t="b">
        <v>0</v>
      </c>
      <c r="K1479" t="b">
        <v>0</v>
      </c>
      <c r="L1479" t="n">
        <v>11</v>
      </c>
      <c r="M1479" t="inlineStr">
        <is>
          <t>Values must be of type &lt;class 'str'&gt;</t>
        </is>
      </c>
      <c r="N1479" t="inlineStr">
        <is>
          <t>00000000</t>
        </is>
      </c>
      <c r="O1479" t="n">
        <v/>
      </c>
      <c r="P1479" t="n">
        <v/>
      </c>
      <c r="R1479" t="b">
        <v>1</v>
      </c>
      <c r="S1479" t="n">
        <v/>
      </c>
      <c r="T1479" t="n">
        <v/>
      </c>
      <c r="U1479" t="n">
        <v/>
      </c>
      <c r="V1479" t="b">
        <v>0</v>
      </c>
      <c r="W1479" t="inlineStr"/>
      <c r="X1479" t="n">
        <v/>
      </c>
    </row>
    <row r="1480">
      <c r="A1480" t="inlineStr">
        <is>
          <t>ATF fuel</t>
        </is>
      </c>
      <c r="B1480" t="inlineStr">
        <is>
          <t>F151</t>
        </is>
      </c>
      <c r="C1480" t="n">
        <v>151</v>
      </c>
      <c r="D1480" t="n">
        <v>6</v>
      </c>
      <c r="E1480" t="inlineStr">
        <is>
          <t>Input</t>
        </is>
      </c>
      <c r="F1480" t="n">
        <v/>
      </c>
      <c r="G1480" t="inlineStr">
        <is>
          <t>July 01, 2011</t>
        </is>
      </c>
      <c r="H1480" t="inlineStr"/>
      <c r="I1480" t="inlineStr">
        <is>
          <t>General</t>
        </is>
      </c>
      <c r="J1480" t="b">
        <v>0</v>
      </c>
      <c r="K1480" t="b">
        <v>0</v>
      </c>
      <c r="L1480" t="n">
        <v>11</v>
      </c>
      <c r="M1480" t="inlineStr">
        <is>
          <t>Values must be of type &lt;class 'str'&gt;</t>
        </is>
      </c>
      <c r="N1480" t="inlineStr">
        <is>
          <t>00000000</t>
        </is>
      </c>
      <c r="O1480" t="inlineStr">
        <is>
          <t>left</t>
        </is>
      </c>
      <c r="P1480" t="n">
        <v/>
      </c>
      <c r="R1480" t="b">
        <v>1</v>
      </c>
      <c r="S1480" t="n">
        <v/>
      </c>
      <c r="T1480" t="n">
        <v/>
      </c>
      <c r="U1480" t="n">
        <v/>
      </c>
      <c r="V1480" t="b">
        <v>0</v>
      </c>
      <c r="W1480" t="inlineStr"/>
      <c r="X1480" t="n">
        <v/>
      </c>
    </row>
    <row r="1481">
      <c r="A1481" t="inlineStr">
        <is>
          <t>ATF fuel</t>
        </is>
      </c>
      <c r="B1481" t="inlineStr">
        <is>
          <t>G151</t>
        </is>
      </c>
      <c r="C1481" t="n">
        <v>151</v>
      </c>
      <c r="D1481" t="n">
        <v>7</v>
      </c>
      <c r="E1481" t="inlineStr">
        <is>
          <t>Calculation</t>
        </is>
      </c>
      <c r="F1481" t="inlineStr">
        <is>
          <t>'=(1+(C151/C150)-1)*G150</t>
        </is>
      </c>
      <c r="G1481" t="n">
        <v>134.1200743590163</v>
      </c>
      <c r="H1481" t="inlineStr"/>
      <c r="I1481" t="inlineStr">
        <is>
          <t>General</t>
        </is>
      </c>
      <c r="J1481" t="b">
        <v>0</v>
      </c>
      <c r="K1481" t="b">
        <v>0</v>
      </c>
      <c r="L1481" t="n">
        <v>11</v>
      </c>
      <c r="M1481" t="inlineStr">
        <is>
          <t>Values must be of type &lt;class 'str'&gt;</t>
        </is>
      </c>
      <c r="N1481" t="inlineStr">
        <is>
          <t>00000000</t>
        </is>
      </c>
      <c r="O1481" t="inlineStr">
        <is>
          <t>left</t>
        </is>
      </c>
      <c r="P1481" t="n">
        <v/>
      </c>
      <c r="R1481" t="b">
        <v>1</v>
      </c>
      <c r="S1481" t="inlineStr">
        <is>
          <t>G000310</t>
        </is>
      </c>
      <c r="T1481" t="inlineStr">
        <is>
          <t>Horizontal</t>
        </is>
      </c>
      <c r="U1481" t="n">
        <v>3</v>
      </c>
      <c r="V1481" t="b">
        <v>1</v>
      </c>
      <c r="W1481" t="inlineStr">
        <is>
          <t>ATF fuel!G151:I151</t>
        </is>
      </c>
      <c r="X1481">
        <f>(1+(R[0]C[-4]/R[-1]C[-4])-1)*R[-1]C[0]</f>
        <v/>
      </c>
    </row>
    <row r="1482">
      <c r="A1482" t="inlineStr">
        <is>
          <t>ATF fuel</t>
        </is>
      </c>
      <c r="B1482" t="inlineStr">
        <is>
          <t>H151</t>
        </is>
      </c>
      <c r="C1482" t="n">
        <v>151</v>
      </c>
      <c r="D1482" t="n">
        <v>8</v>
      </c>
      <c r="E1482" t="inlineStr">
        <is>
          <t>Calculation</t>
        </is>
      </c>
      <c r="F1482" t="inlineStr">
        <is>
          <t>'=(1+(D151/D150)-1)*H150</t>
        </is>
      </c>
      <c r="G1482" t="n">
        <v>137.4198233087257</v>
      </c>
      <c r="H1482" t="inlineStr"/>
      <c r="I1482" t="inlineStr">
        <is>
          <t>General</t>
        </is>
      </c>
      <c r="J1482" t="b">
        <v>0</v>
      </c>
      <c r="K1482" t="b">
        <v>0</v>
      </c>
      <c r="L1482" t="n">
        <v>11</v>
      </c>
      <c r="M1482" t="inlineStr">
        <is>
          <t>Values must be of type &lt;class 'str'&gt;</t>
        </is>
      </c>
      <c r="N1482" t="inlineStr">
        <is>
          <t>00000000</t>
        </is>
      </c>
      <c r="O1482" t="inlineStr">
        <is>
          <t>left</t>
        </is>
      </c>
      <c r="P1482" t="n">
        <v/>
      </c>
      <c r="R1482" t="b">
        <v>1</v>
      </c>
      <c r="S1482" t="inlineStr">
        <is>
          <t>G000310</t>
        </is>
      </c>
      <c r="T1482" t="inlineStr">
        <is>
          <t>Horizontal</t>
        </is>
      </c>
      <c r="U1482" t="n">
        <v>3</v>
      </c>
      <c r="V1482" t="b">
        <v>1</v>
      </c>
      <c r="W1482" t="inlineStr">
        <is>
          <t>ATF fuel!G151:I151</t>
        </is>
      </c>
      <c r="X1482">
        <f>(1+(R[0]C[-4]/R[-1]C[-4])-1)*R[-1]C[0]</f>
        <v/>
      </c>
    </row>
    <row r="1483">
      <c r="A1483" t="inlineStr">
        <is>
          <t>ATF fuel</t>
        </is>
      </c>
      <c r="B1483" t="inlineStr">
        <is>
          <t>I151</t>
        </is>
      </c>
      <c r="C1483" t="n">
        <v>151</v>
      </c>
      <c r="D1483" t="n">
        <v>9</v>
      </c>
      <c r="E1483" t="inlineStr">
        <is>
          <t>Calculation</t>
        </is>
      </c>
      <c r="F1483" t="inlineStr">
        <is>
          <t>'=(1+(E151/E150)-1)*I150</t>
        </is>
      </c>
      <c r="G1483" t="n">
        <v>112.1613628297646</v>
      </c>
      <c r="H1483" t="inlineStr"/>
      <c r="I1483" t="inlineStr">
        <is>
          <t>General</t>
        </is>
      </c>
      <c r="J1483" t="b">
        <v>0</v>
      </c>
      <c r="K1483" t="b">
        <v>0</v>
      </c>
      <c r="L1483" t="n">
        <v>11</v>
      </c>
      <c r="M1483" t="inlineStr">
        <is>
          <t>Values must be of type &lt;class 'str'&gt;</t>
        </is>
      </c>
      <c r="N1483" t="inlineStr">
        <is>
          <t>00000000</t>
        </is>
      </c>
      <c r="O1483" t="inlineStr">
        <is>
          <t>left</t>
        </is>
      </c>
      <c r="P1483" t="n">
        <v/>
      </c>
      <c r="R1483" t="b">
        <v>1</v>
      </c>
      <c r="S1483" t="inlineStr">
        <is>
          <t>G000310</t>
        </is>
      </c>
      <c r="T1483" t="inlineStr">
        <is>
          <t>Horizontal</t>
        </is>
      </c>
      <c r="U1483" t="n">
        <v>3</v>
      </c>
      <c r="V1483" t="b">
        <v>1</v>
      </c>
      <c r="W1483" t="inlineStr">
        <is>
          <t>ATF fuel!G151:I151</t>
        </is>
      </c>
      <c r="X1483">
        <f>(1+(R[0]C[-4]/R[-1]C[-4])-1)*R[-1]C[0]</f>
        <v/>
      </c>
    </row>
    <row r="1484">
      <c r="A1484" t="inlineStr">
        <is>
          <t>ATF fuel</t>
        </is>
      </c>
      <c r="B1484" t="inlineStr">
        <is>
          <t>J151</t>
        </is>
      </c>
      <c r="C1484" t="n">
        <v>151</v>
      </c>
      <c r="D1484" t="n">
        <v>10</v>
      </c>
      <c r="E1484" t="inlineStr">
        <is>
          <t>Output</t>
        </is>
      </c>
      <c r="F1484" t="inlineStr">
        <is>
          <t>'=G151/H151-1</t>
        </is>
      </c>
      <c r="G1484" t="n">
        <v>-0.02401217575644998</v>
      </c>
      <c r="H1484" t="inlineStr"/>
      <c r="I1484" t="inlineStr">
        <is>
          <t>0.0%</t>
        </is>
      </c>
      <c r="J1484" t="b">
        <v>0</v>
      </c>
      <c r="K1484" t="b">
        <v>0</v>
      </c>
      <c r="L1484" t="n">
        <v>11</v>
      </c>
      <c r="M1484" t="inlineStr">
        <is>
          <t>Values must be of type &lt;class 'str'&gt;</t>
        </is>
      </c>
      <c r="N1484" t="inlineStr">
        <is>
          <t>00000000</t>
        </is>
      </c>
      <c r="O1484" t="n">
        <v/>
      </c>
      <c r="P1484" t="n">
        <v/>
      </c>
      <c r="R1484" t="b">
        <v>1</v>
      </c>
      <c r="S1484" t="inlineStr">
        <is>
          <t>G000295</t>
        </is>
      </c>
      <c r="T1484" t="inlineStr">
        <is>
          <t>Vertical</t>
        </is>
      </c>
      <c r="U1484" t="n">
        <v>93</v>
      </c>
      <c r="V1484" t="b">
        <v>1</v>
      </c>
      <c r="W1484" t="inlineStr">
        <is>
          <t>ATF fuel!J136:J228</t>
        </is>
      </c>
      <c r="X1484">
        <f>R[0]C[-3]/R[0]C[-2]-1</f>
        <v/>
      </c>
    </row>
    <row r="1485">
      <c r="A1485" t="inlineStr">
        <is>
          <t>ATF fuel</t>
        </is>
      </c>
      <c r="B1485" t="inlineStr">
        <is>
          <t>B152</t>
        </is>
      </c>
      <c r="C1485" t="n">
        <v>152</v>
      </c>
      <c r="D1485" t="n">
        <v>2</v>
      </c>
      <c r="E1485" t="inlineStr">
        <is>
          <t>Input</t>
        </is>
      </c>
      <c r="F1485" t="n">
        <v/>
      </c>
      <c r="G1485" t="inlineStr">
        <is>
          <t>August 01, 2011</t>
        </is>
      </c>
      <c r="H1485" t="inlineStr"/>
      <c r="I1485" t="inlineStr">
        <is>
          <t>General</t>
        </is>
      </c>
      <c r="J1485" t="b">
        <v>0</v>
      </c>
      <c r="K1485" t="b">
        <v>0</v>
      </c>
      <c r="L1485" t="n">
        <v>11</v>
      </c>
      <c r="M1485" t="inlineStr">
        <is>
          <t>Values must be of type &lt;class 'str'&gt;</t>
        </is>
      </c>
      <c r="N1485" t="inlineStr">
        <is>
          <t>00000000</t>
        </is>
      </c>
      <c r="O1485" t="n">
        <v/>
      </c>
      <c r="P1485" t="n">
        <v/>
      </c>
      <c r="R1485" t="b">
        <v>1</v>
      </c>
      <c r="S1485" t="n">
        <v/>
      </c>
      <c r="T1485" t="n">
        <v/>
      </c>
      <c r="U1485" t="n">
        <v/>
      </c>
      <c r="V1485" t="b">
        <v>0</v>
      </c>
      <c r="W1485" t="inlineStr"/>
      <c r="X1485" t="n">
        <v/>
      </c>
    </row>
    <row r="1486">
      <c r="A1486" t="inlineStr">
        <is>
          <t>ATF fuel</t>
        </is>
      </c>
      <c r="B1486" t="inlineStr">
        <is>
          <t>C152</t>
        </is>
      </c>
      <c r="C1486" t="n">
        <v>152</v>
      </c>
      <c r="D1486" t="n">
        <v>3</v>
      </c>
      <c r="E1486" t="inlineStr">
        <is>
          <t>Input</t>
        </is>
      </c>
      <c r="F1486" t="n">
        <v/>
      </c>
      <c r="G1486" t="n">
        <v>61142.5</v>
      </c>
      <c r="H1486" t="inlineStr"/>
      <c r="I1486" t="inlineStr">
        <is>
          <t>General</t>
        </is>
      </c>
      <c r="J1486" t="b">
        <v>0</v>
      </c>
      <c r="K1486" t="b">
        <v>0</v>
      </c>
      <c r="L1486" t="n">
        <v>11</v>
      </c>
      <c r="M1486" t="inlineStr">
        <is>
          <t>Values must be of type &lt;class 'str'&gt;</t>
        </is>
      </c>
      <c r="N1486" t="inlineStr">
        <is>
          <t>00000000</t>
        </is>
      </c>
      <c r="O1486" t="n">
        <v/>
      </c>
      <c r="P1486" t="n">
        <v/>
      </c>
      <c r="R1486" t="b">
        <v>1</v>
      </c>
      <c r="S1486" t="n">
        <v/>
      </c>
      <c r="T1486" t="n">
        <v/>
      </c>
      <c r="U1486" t="n">
        <v/>
      </c>
      <c r="V1486" t="b">
        <v>0</v>
      </c>
      <c r="W1486" t="inlineStr"/>
      <c r="X1486" t="n">
        <v/>
      </c>
    </row>
    <row r="1487">
      <c r="A1487" t="inlineStr">
        <is>
          <t>ATF fuel</t>
        </is>
      </c>
      <c r="B1487" t="inlineStr">
        <is>
          <t>D152</t>
        </is>
      </c>
      <c r="C1487" t="n">
        <v>152</v>
      </c>
      <c r="D1487" t="n">
        <v>4</v>
      </c>
      <c r="E1487" t="inlineStr">
        <is>
          <t>Input</t>
        </is>
      </c>
      <c r="F1487" t="n">
        <v/>
      </c>
      <c r="G1487" t="n">
        <v>113.74</v>
      </c>
      <c r="H1487" t="inlineStr"/>
      <c r="I1487" t="inlineStr">
        <is>
          <t>General</t>
        </is>
      </c>
      <c r="J1487" t="b">
        <v>0</v>
      </c>
      <c r="K1487" t="b">
        <v>0</v>
      </c>
      <c r="L1487" t="n">
        <v>11</v>
      </c>
      <c r="M1487" t="inlineStr">
        <is>
          <t>Values must be of type &lt;class 'str'&gt;</t>
        </is>
      </c>
      <c r="N1487" t="inlineStr">
        <is>
          <t>00000000</t>
        </is>
      </c>
      <c r="O1487" t="n">
        <v/>
      </c>
      <c r="P1487" t="n">
        <v/>
      </c>
      <c r="R1487" t="b">
        <v>1</v>
      </c>
      <c r="S1487" t="n">
        <v/>
      </c>
      <c r="T1487" t="n">
        <v/>
      </c>
      <c r="U1487" t="n">
        <v/>
      </c>
      <c r="V1487" t="b">
        <v>0</v>
      </c>
      <c r="W1487" t="inlineStr"/>
      <c r="X1487" t="n">
        <v/>
      </c>
    </row>
    <row r="1488">
      <c r="A1488" t="inlineStr">
        <is>
          <t>ATF fuel</t>
        </is>
      </c>
      <c r="B1488" t="inlineStr">
        <is>
          <t>E152</t>
        </is>
      </c>
      <c r="C1488" t="n">
        <v>152</v>
      </c>
      <c r="D1488" t="n">
        <v>5</v>
      </c>
      <c r="E1488" t="inlineStr">
        <is>
          <t>Input</t>
        </is>
      </c>
      <c r="F1488" t="n">
        <v/>
      </c>
      <c r="G1488" t="n">
        <v>94.98</v>
      </c>
      <c r="H1488" t="inlineStr"/>
      <c r="I1488" t="inlineStr">
        <is>
          <t>General</t>
        </is>
      </c>
      <c r="J1488" t="b">
        <v>0</v>
      </c>
      <c r="K1488" t="b">
        <v>0</v>
      </c>
      <c r="L1488" t="n">
        <v>11</v>
      </c>
      <c r="M1488" t="inlineStr">
        <is>
          <t>Values must be of type &lt;class 'str'&gt;</t>
        </is>
      </c>
      <c r="N1488" t="inlineStr">
        <is>
          <t>00000000</t>
        </is>
      </c>
      <c r="O1488" t="n">
        <v/>
      </c>
      <c r="P1488" t="n">
        <v/>
      </c>
      <c r="R1488" t="b">
        <v>1</v>
      </c>
      <c r="S1488" t="n">
        <v/>
      </c>
      <c r="T1488" t="n">
        <v/>
      </c>
      <c r="U1488" t="n">
        <v/>
      </c>
      <c r="V1488" t="b">
        <v>0</v>
      </c>
      <c r="W1488" t="inlineStr"/>
      <c r="X1488" t="n">
        <v/>
      </c>
    </row>
    <row r="1489">
      <c r="A1489" t="inlineStr">
        <is>
          <t>ATF fuel</t>
        </is>
      </c>
      <c r="B1489" t="inlineStr">
        <is>
          <t>F152</t>
        </is>
      </c>
      <c r="C1489" t="n">
        <v>152</v>
      </c>
      <c r="D1489" t="n">
        <v>6</v>
      </c>
      <c r="E1489" t="inlineStr">
        <is>
          <t>Input</t>
        </is>
      </c>
      <c r="F1489" t="n">
        <v/>
      </c>
      <c r="G1489" t="inlineStr">
        <is>
          <t>August 01, 2011</t>
        </is>
      </c>
      <c r="H1489" t="inlineStr"/>
      <c r="I1489" t="inlineStr">
        <is>
          <t>General</t>
        </is>
      </c>
      <c r="J1489" t="b">
        <v>0</v>
      </c>
      <c r="K1489" t="b">
        <v>0</v>
      </c>
      <c r="L1489" t="n">
        <v>11</v>
      </c>
      <c r="M1489" t="inlineStr">
        <is>
          <t>Values must be of type &lt;class 'str'&gt;</t>
        </is>
      </c>
      <c r="N1489" t="inlineStr">
        <is>
          <t>00000000</t>
        </is>
      </c>
      <c r="O1489" t="inlineStr">
        <is>
          <t>left</t>
        </is>
      </c>
      <c r="P1489" t="n">
        <v/>
      </c>
      <c r="R1489" t="b">
        <v>1</v>
      </c>
      <c r="S1489" t="n">
        <v/>
      </c>
      <c r="T1489" t="n">
        <v/>
      </c>
      <c r="U1489" t="n">
        <v/>
      </c>
      <c r="V1489" t="b">
        <v>0</v>
      </c>
      <c r="W1489" t="inlineStr"/>
      <c r="X1489" t="n">
        <v/>
      </c>
    </row>
    <row r="1490">
      <c r="A1490" t="inlineStr">
        <is>
          <t>ATF fuel</t>
        </is>
      </c>
      <c r="B1490" t="inlineStr">
        <is>
          <t>G152</t>
        </is>
      </c>
      <c r="C1490" t="n">
        <v>152</v>
      </c>
      <c r="D1490" t="n">
        <v>7</v>
      </c>
      <c r="E1490" t="inlineStr">
        <is>
          <t>Calculation</t>
        </is>
      </c>
      <c r="F1490" t="inlineStr">
        <is>
          <t>'=(1+(C152/C151)-1)*G151</t>
        </is>
      </c>
      <c r="G1490" t="n">
        <v>137.8269063796494</v>
      </c>
      <c r="H1490" t="inlineStr"/>
      <c r="I1490" t="inlineStr">
        <is>
          <t>General</t>
        </is>
      </c>
      <c r="J1490" t="b">
        <v>0</v>
      </c>
      <c r="K1490" t="b">
        <v>0</v>
      </c>
      <c r="L1490" t="n">
        <v>11</v>
      </c>
      <c r="M1490" t="inlineStr">
        <is>
          <t>Values must be of type &lt;class 'str'&gt;</t>
        </is>
      </c>
      <c r="N1490" t="inlineStr">
        <is>
          <t>00000000</t>
        </is>
      </c>
      <c r="O1490" t="inlineStr">
        <is>
          <t>left</t>
        </is>
      </c>
      <c r="P1490" t="n">
        <v/>
      </c>
      <c r="R1490" t="b">
        <v>1</v>
      </c>
      <c r="S1490" t="inlineStr">
        <is>
          <t>G000311</t>
        </is>
      </c>
      <c r="T1490" t="inlineStr">
        <is>
          <t>Horizontal</t>
        </is>
      </c>
      <c r="U1490" t="n">
        <v>3</v>
      </c>
      <c r="V1490" t="b">
        <v>1</v>
      </c>
      <c r="W1490" t="inlineStr">
        <is>
          <t>ATF fuel!G152:I152</t>
        </is>
      </c>
      <c r="X1490">
        <f>(1+(R[0]C[-4]/R[-1]C[-4])-1)*R[-1]C[0]</f>
        <v/>
      </c>
    </row>
    <row r="1491">
      <c r="A1491" t="inlineStr">
        <is>
          <t>ATF fuel</t>
        </is>
      </c>
      <c r="B1491" t="inlineStr">
        <is>
          <t>H152</t>
        </is>
      </c>
      <c r="C1491" t="n">
        <v>152</v>
      </c>
      <c r="D1491" t="n">
        <v>8</v>
      </c>
      <c r="E1491" t="inlineStr">
        <is>
          <t>Calculation</t>
        </is>
      </c>
      <c r="F1491" t="inlineStr">
        <is>
          <t>'=(1+(D152/D151)-1)*H151</t>
        </is>
      </c>
      <c r="G1491" t="n">
        <v>137.6497640082295</v>
      </c>
      <c r="H1491" t="inlineStr"/>
      <c r="I1491" t="inlineStr">
        <is>
          <t>General</t>
        </is>
      </c>
      <c r="J1491" t="b">
        <v>0</v>
      </c>
      <c r="K1491" t="b">
        <v>0</v>
      </c>
      <c r="L1491" t="n">
        <v>11</v>
      </c>
      <c r="M1491" t="inlineStr">
        <is>
          <t>Values must be of type &lt;class 'str'&gt;</t>
        </is>
      </c>
      <c r="N1491" t="inlineStr">
        <is>
          <t>00000000</t>
        </is>
      </c>
      <c r="O1491" t="inlineStr">
        <is>
          <t>left</t>
        </is>
      </c>
      <c r="P1491" t="n">
        <v/>
      </c>
      <c r="R1491" t="b">
        <v>1</v>
      </c>
      <c r="S1491" t="inlineStr">
        <is>
          <t>G000311</t>
        </is>
      </c>
      <c r="T1491" t="inlineStr">
        <is>
          <t>Horizontal</t>
        </is>
      </c>
      <c r="U1491" t="n">
        <v>3</v>
      </c>
      <c r="V1491" t="b">
        <v>1</v>
      </c>
      <c r="W1491" t="inlineStr">
        <is>
          <t>ATF fuel!G152:I152</t>
        </is>
      </c>
      <c r="X1491">
        <f>(1+(R[0]C[-4]/R[-1]C[-4])-1)*R[-1]C[0]</f>
        <v/>
      </c>
    </row>
    <row r="1492">
      <c r="A1492" t="inlineStr">
        <is>
          <t>ATF fuel</t>
        </is>
      </c>
      <c r="B1492" t="inlineStr">
        <is>
          <t>I152</t>
        </is>
      </c>
      <c r="C1492" t="n">
        <v>152</v>
      </c>
      <c r="D1492" t="n">
        <v>9</v>
      </c>
      <c r="E1492" t="inlineStr">
        <is>
          <t>Calculation</t>
        </is>
      </c>
      <c r="F1492" t="inlineStr">
        <is>
          <t>'=(1+(E152/E151)-1)*I151</t>
        </is>
      </c>
      <c r="G1492" t="n">
        <v>112.3624748609961</v>
      </c>
      <c r="H1492" t="inlineStr"/>
      <c r="I1492" t="inlineStr">
        <is>
          <t>General</t>
        </is>
      </c>
      <c r="J1492" t="b">
        <v>0</v>
      </c>
      <c r="K1492" t="b">
        <v>0</v>
      </c>
      <c r="L1492" t="n">
        <v>11</v>
      </c>
      <c r="M1492" t="inlineStr">
        <is>
          <t>Values must be of type &lt;class 'str'&gt;</t>
        </is>
      </c>
      <c r="N1492" t="inlineStr">
        <is>
          <t>00000000</t>
        </is>
      </c>
      <c r="O1492" t="inlineStr">
        <is>
          <t>left</t>
        </is>
      </c>
      <c r="P1492" t="n">
        <v/>
      </c>
      <c r="R1492" t="b">
        <v>1</v>
      </c>
      <c r="S1492" t="inlineStr">
        <is>
          <t>G000311</t>
        </is>
      </c>
      <c r="T1492" t="inlineStr">
        <is>
          <t>Horizontal</t>
        </is>
      </c>
      <c r="U1492" t="n">
        <v>3</v>
      </c>
      <c r="V1492" t="b">
        <v>1</v>
      </c>
      <c r="W1492" t="inlineStr">
        <is>
          <t>ATF fuel!G152:I152</t>
        </is>
      </c>
      <c r="X1492">
        <f>(1+(R[0]C[-4]/R[-1]C[-4])-1)*R[-1]C[0]</f>
        <v/>
      </c>
    </row>
    <row r="1493">
      <c r="A1493" t="inlineStr">
        <is>
          <t>ATF fuel</t>
        </is>
      </c>
      <c r="B1493" t="inlineStr">
        <is>
          <t>J152</t>
        </is>
      </c>
      <c r="C1493" t="n">
        <v>152</v>
      </c>
      <c r="D1493" t="n">
        <v>10</v>
      </c>
      <c r="E1493" t="inlineStr">
        <is>
          <t>Output</t>
        </is>
      </c>
      <c r="F1493" t="inlineStr">
        <is>
          <t>'=G152/H152-1</t>
        </is>
      </c>
      <c r="G1493" t="n">
        <v>0.001286906466539728</v>
      </c>
      <c r="H1493" t="inlineStr"/>
      <c r="I1493" t="inlineStr">
        <is>
          <t>0.0%</t>
        </is>
      </c>
      <c r="J1493" t="b">
        <v>0</v>
      </c>
      <c r="K1493" t="b">
        <v>0</v>
      </c>
      <c r="L1493" t="n">
        <v>11</v>
      </c>
      <c r="M1493" t="inlineStr">
        <is>
          <t>Values must be of type &lt;class 'str'&gt;</t>
        </is>
      </c>
      <c r="N1493" t="inlineStr">
        <is>
          <t>00000000</t>
        </is>
      </c>
      <c r="O1493" t="n">
        <v/>
      </c>
      <c r="P1493" t="n">
        <v/>
      </c>
      <c r="R1493" t="b">
        <v>1</v>
      </c>
      <c r="S1493" t="inlineStr">
        <is>
          <t>G000295</t>
        </is>
      </c>
      <c r="T1493" t="inlineStr">
        <is>
          <t>Vertical</t>
        </is>
      </c>
      <c r="U1493" t="n">
        <v>93</v>
      </c>
      <c r="V1493" t="b">
        <v>1</v>
      </c>
      <c r="W1493" t="inlineStr">
        <is>
          <t>ATF fuel!J136:J228</t>
        </is>
      </c>
      <c r="X1493">
        <f>R[0]C[-3]/R[0]C[-2]-1</f>
        <v/>
      </c>
    </row>
    <row r="1494">
      <c r="A1494" t="inlineStr">
        <is>
          <t>ATF fuel</t>
        </is>
      </c>
      <c r="B1494" t="inlineStr">
        <is>
          <t>B153</t>
        </is>
      </c>
      <c r="C1494" t="n">
        <v>153</v>
      </c>
      <c r="D1494" t="n">
        <v>2</v>
      </c>
      <c r="E1494" t="inlineStr">
        <is>
          <t>Input</t>
        </is>
      </c>
      <c r="F1494" t="n">
        <v/>
      </c>
      <c r="G1494" t="inlineStr">
        <is>
          <t>September 01, 2011</t>
        </is>
      </c>
      <c r="H1494" t="inlineStr"/>
      <c r="I1494" t="inlineStr">
        <is>
          <t>General</t>
        </is>
      </c>
      <c r="J1494" t="b">
        <v>0</v>
      </c>
      <c r="K1494" t="b">
        <v>0</v>
      </c>
      <c r="L1494" t="n">
        <v>11</v>
      </c>
      <c r="M1494" t="inlineStr">
        <is>
          <t>Values must be of type &lt;class 'str'&gt;</t>
        </is>
      </c>
      <c r="N1494" t="inlineStr">
        <is>
          <t>00000000</t>
        </is>
      </c>
      <c r="O1494" t="n">
        <v/>
      </c>
      <c r="P1494" t="n">
        <v/>
      </c>
      <c r="R1494" t="b">
        <v>1</v>
      </c>
      <c r="S1494" t="n">
        <v/>
      </c>
      <c r="T1494" t="n">
        <v/>
      </c>
      <c r="U1494" t="n">
        <v/>
      </c>
      <c r="V1494" t="b">
        <v>0</v>
      </c>
      <c r="W1494" t="inlineStr"/>
      <c r="X1494" t="n">
        <v/>
      </c>
    </row>
    <row r="1495">
      <c r="A1495" t="inlineStr">
        <is>
          <t>ATF fuel</t>
        </is>
      </c>
      <c r="B1495" t="inlineStr">
        <is>
          <t>C153</t>
        </is>
      </c>
      <c r="C1495" t="n">
        <v>153</v>
      </c>
      <c r="D1495" t="n">
        <v>3</v>
      </c>
      <c r="E1495" t="inlineStr">
        <is>
          <t>Input</t>
        </is>
      </c>
      <c r="F1495" t="n">
        <v/>
      </c>
      <c r="G1495" t="n">
        <v>59492</v>
      </c>
      <c r="H1495" t="inlineStr"/>
      <c r="I1495" t="inlineStr">
        <is>
          <t>General</t>
        </is>
      </c>
      <c r="J1495" t="b">
        <v>0</v>
      </c>
      <c r="K1495" t="b">
        <v>0</v>
      </c>
      <c r="L1495" t="n">
        <v>11</v>
      </c>
      <c r="M1495" t="inlineStr">
        <is>
          <t>Values must be of type &lt;class 'str'&gt;</t>
        </is>
      </c>
      <c r="N1495" t="inlineStr">
        <is>
          <t>00000000</t>
        </is>
      </c>
      <c r="O1495" t="n">
        <v/>
      </c>
      <c r="P1495" t="n">
        <v/>
      </c>
      <c r="R1495" t="b">
        <v>1</v>
      </c>
      <c r="S1495" t="n">
        <v/>
      </c>
      <c r="T1495" t="n">
        <v/>
      </c>
      <c r="U1495" t="n">
        <v/>
      </c>
      <c r="V1495" t="b">
        <v>0</v>
      </c>
      <c r="W1495" t="inlineStr"/>
      <c r="X1495" t="n">
        <v/>
      </c>
    </row>
    <row r="1496">
      <c r="A1496" t="inlineStr">
        <is>
          <t>ATF fuel</t>
        </is>
      </c>
      <c r="B1496" t="inlineStr">
        <is>
          <t>D153</t>
        </is>
      </c>
      <c r="C1496" t="n">
        <v>153</v>
      </c>
      <c r="D1496" t="n">
        <v>4</v>
      </c>
      <c r="E1496" t="inlineStr">
        <is>
          <t>Input</t>
        </is>
      </c>
      <c r="F1496" t="n">
        <v/>
      </c>
      <c r="G1496" t="n">
        <v>117.5</v>
      </c>
      <c r="H1496" t="inlineStr"/>
      <c r="I1496" t="inlineStr">
        <is>
          <t>General</t>
        </is>
      </c>
      <c r="J1496" t="b">
        <v>0</v>
      </c>
      <c r="K1496" t="b">
        <v>0</v>
      </c>
      <c r="L1496" t="n">
        <v>11</v>
      </c>
      <c r="M1496" t="inlineStr">
        <is>
          <t>Values must be of type &lt;class 'str'&gt;</t>
        </is>
      </c>
      <c r="N1496" t="inlineStr">
        <is>
          <t>00000000</t>
        </is>
      </c>
      <c r="O1496" t="n">
        <v/>
      </c>
      <c r="P1496" t="n">
        <v/>
      </c>
      <c r="R1496" t="b">
        <v>1</v>
      </c>
      <c r="S1496" t="n">
        <v/>
      </c>
      <c r="T1496" t="n">
        <v/>
      </c>
      <c r="U1496" t="n">
        <v/>
      </c>
      <c r="V1496" t="b">
        <v>0</v>
      </c>
      <c r="W1496" t="inlineStr"/>
      <c r="X1496" t="n">
        <v/>
      </c>
    </row>
    <row r="1497">
      <c r="A1497" t="inlineStr">
        <is>
          <t>ATF fuel</t>
        </is>
      </c>
      <c r="B1497" t="inlineStr">
        <is>
          <t>E153</t>
        </is>
      </c>
      <c r="C1497" t="n">
        <v>153</v>
      </c>
      <c r="D1497" t="n">
        <v>5</v>
      </c>
      <c r="E1497" t="inlineStr">
        <is>
          <t>Input</t>
        </is>
      </c>
      <c r="F1497" t="n">
        <v/>
      </c>
      <c r="G1497" t="n">
        <v>88.93000000000001</v>
      </c>
      <c r="H1497" t="inlineStr"/>
      <c r="I1497" t="inlineStr">
        <is>
          <t>General</t>
        </is>
      </c>
      <c r="J1497" t="b">
        <v>0</v>
      </c>
      <c r="K1497" t="b">
        <v>0</v>
      </c>
      <c r="L1497" t="n">
        <v>11</v>
      </c>
      <c r="M1497" t="inlineStr">
        <is>
          <t>Values must be of type &lt;class 'str'&gt;</t>
        </is>
      </c>
      <c r="N1497" t="inlineStr">
        <is>
          <t>00000000</t>
        </is>
      </c>
      <c r="O1497" t="n">
        <v/>
      </c>
      <c r="P1497" t="n">
        <v/>
      </c>
      <c r="R1497" t="b">
        <v>1</v>
      </c>
      <c r="S1497" t="n">
        <v/>
      </c>
      <c r="T1497" t="n">
        <v/>
      </c>
      <c r="U1497" t="n">
        <v/>
      </c>
      <c r="V1497" t="b">
        <v>0</v>
      </c>
      <c r="W1497" t="inlineStr"/>
      <c r="X1497" t="n">
        <v/>
      </c>
    </row>
    <row r="1498">
      <c r="A1498" t="inlineStr">
        <is>
          <t>ATF fuel</t>
        </is>
      </c>
      <c r="B1498" t="inlineStr">
        <is>
          <t>F153</t>
        </is>
      </c>
      <c r="C1498" t="n">
        <v>153</v>
      </c>
      <c r="D1498" t="n">
        <v>6</v>
      </c>
      <c r="E1498" t="inlineStr">
        <is>
          <t>Input</t>
        </is>
      </c>
      <c r="F1498" t="n">
        <v/>
      </c>
      <c r="G1498" t="inlineStr">
        <is>
          <t>September 01, 2011</t>
        </is>
      </c>
      <c r="H1498" t="inlineStr"/>
      <c r="I1498" t="inlineStr">
        <is>
          <t>General</t>
        </is>
      </c>
      <c r="J1498" t="b">
        <v>0</v>
      </c>
      <c r="K1498" t="b">
        <v>0</v>
      </c>
      <c r="L1498" t="n">
        <v>11</v>
      </c>
      <c r="M1498" t="inlineStr">
        <is>
          <t>Values must be of type &lt;class 'str'&gt;</t>
        </is>
      </c>
      <c r="N1498" t="inlineStr">
        <is>
          <t>00000000</t>
        </is>
      </c>
      <c r="O1498" t="inlineStr">
        <is>
          <t>left</t>
        </is>
      </c>
      <c r="P1498" t="n">
        <v/>
      </c>
      <c r="R1498" t="b">
        <v>1</v>
      </c>
      <c r="S1498" t="n">
        <v/>
      </c>
      <c r="T1498" t="n">
        <v/>
      </c>
      <c r="U1498" t="n">
        <v/>
      </c>
      <c r="V1498" t="b">
        <v>0</v>
      </c>
      <c r="W1498" t="inlineStr"/>
      <c r="X1498" t="n">
        <v/>
      </c>
    </row>
    <row r="1499">
      <c r="A1499" t="inlineStr">
        <is>
          <t>ATF fuel</t>
        </is>
      </c>
      <c r="B1499" t="inlineStr">
        <is>
          <t>G153</t>
        </is>
      </c>
      <c r="C1499" t="n">
        <v>153</v>
      </c>
      <c r="D1499" t="n">
        <v>7</v>
      </c>
      <c r="E1499" t="inlineStr">
        <is>
          <t>Calculation</t>
        </is>
      </c>
      <c r="F1499" t="inlineStr">
        <is>
          <t>'=(1+(C153/C152)-1)*G152</t>
        </is>
      </c>
      <c r="G1499" t="n">
        <v>134.1063632389598</v>
      </c>
      <c r="H1499" t="inlineStr"/>
      <c r="I1499" t="inlineStr">
        <is>
          <t>General</t>
        </is>
      </c>
      <c r="J1499" t="b">
        <v>0</v>
      </c>
      <c r="K1499" t="b">
        <v>0</v>
      </c>
      <c r="L1499" t="n">
        <v>11</v>
      </c>
      <c r="M1499" t="inlineStr">
        <is>
          <t>Values must be of type &lt;class 'str'&gt;</t>
        </is>
      </c>
      <c r="N1499" t="inlineStr">
        <is>
          <t>00000000</t>
        </is>
      </c>
      <c r="O1499" t="inlineStr">
        <is>
          <t>left</t>
        </is>
      </c>
      <c r="P1499" t="n">
        <v/>
      </c>
      <c r="R1499" t="b">
        <v>1</v>
      </c>
      <c r="S1499" t="inlineStr">
        <is>
          <t>G000312</t>
        </is>
      </c>
      <c r="T1499" t="inlineStr">
        <is>
          <t>Horizontal</t>
        </is>
      </c>
      <c r="U1499" t="n">
        <v>3</v>
      </c>
      <c r="V1499" t="b">
        <v>1</v>
      </c>
      <c r="W1499" t="inlineStr">
        <is>
          <t>ATF fuel!G153:I153</t>
        </is>
      </c>
      <c r="X1499">
        <f>(1+(R[0]C[-4]/R[-1]C[-4])-1)*R[-1]C[0]</f>
        <v/>
      </c>
    </row>
    <row r="1500">
      <c r="A1500" t="inlineStr">
        <is>
          <t>ATF fuel</t>
        </is>
      </c>
      <c r="B1500" t="inlineStr">
        <is>
          <t>H153</t>
        </is>
      </c>
      <c r="C1500" t="n">
        <v>153</v>
      </c>
      <c r="D1500" t="n">
        <v>8</v>
      </c>
      <c r="E1500" t="inlineStr">
        <is>
          <t>Calculation</t>
        </is>
      </c>
      <c r="F1500" t="inlineStr">
        <is>
          <t>'=(1+(D153/D152)-1)*H152</t>
        </is>
      </c>
      <c r="G1500" t="n">
        <v>142.2001694299892</v>
      </c>
      <c r="H1500" t="inlineStr"/>
      <c r="I1500" t="inlineStr">
        <is>
          <t>General</t>
        </is>
      </c>
      <c r="J1500" t="b">
        <v>0</v>
      </c>
      <c r="K1500" t="b">
        <v>0</v>
      </c>
      <c r="L1500" t="n">
        <v>11</v>
      </c>
      <c r="M1500" t="inlineStr">
        <is>
          <t>Values must be of type &lt;class 'str'&gt;</t>
        </is>
      </c>
      <c r="N1500" t="inlineStr">
        <is>
          <t>00000000</t>
        </is>
      </c>
      <c r="O1500" t="inlineStr">
        <is>
          <t>left</t>
        </is>
      </c>
      <c r="P1500" t="n">
        <v/>
      </c>
      <c r="R1500" t="b">
        <v>1</v>
      </c>
      <c r="S1500" t="inlineStr">
        <is>
          <t>G000312</t>
        </is>
      </c>
      <c r="T1500" t="inlineStr">
        <is>
          <t>Horizontal</t>
        </is>
      </c>
      <c r="U1500" t="n">
        <v>3</v>
      </c>
      <c r="V1500" t="b">
        <v>1</v>
      </c>
      <c r="W1500" t="inlineStr">
        <is>
          <t>ATF fuel!G153:I153</t>
        </is>
      </c>
      <c r="X1500">
        <f>(1+(R[0]C[-4]/R[-1]C[-4])-1)*R[-1]C[0]</f>
        <v/>
      </c>
    </row>
    <row r="1501">
      <c r="A1501" t="inlineStr">
        <is>
          <t>ATF fuel</t>
        </is>
      </c>
      <c r="B1501" t="inlineStr">
        <is>
          <t>I153</t>
        </is>
      </c>
      <c r="C1501" t="n">
        <v>153</v>
      </c>
      <c r="D1501" t="n">
        <v>9</v>
      </c>
      <c r="E1501" t="inlineStr">
        <is>
          <t>Calculation</t>
        </is>
      </c>
      <c r="F1501" t="inlineStr">
        <is>
          <t>'=(1+(E153/E152)-1)*I152</t>
        </is>
      </c>
      <c r="G1501" t="n">
        <v>105.205252573051</v>
      </c>
      <c r="H1501" t="inlineStr"/>
      <c r="I1501" t="inlineStr">
        <is>
          <t>General</t>
        </is>
      </c>
      <c r="J1501" t="b">
        <v>0</v>
      </c>
      <c r="K1501" t="b">
        <v>0</v>
      </c>
      <c r="L1501" t="n">
        <v>11</v>
      </c>
      <c r="M1501" t="inlineStr">
        <is>
          <t>Values must be of type &lt;class 'str'&gt;</t>
        </is>
      </c>
      <c r="N1501" t="inlineStr">
        <is>
          <t>00000000</t>
        </is>
      </c>
      <c r="O1501" t="inlineStr">
        <is>
          <t>left</t>
        </is>
      </c>
      <c r="P1501" t="n">
        <v/>
      </c>
      <c r="R1501" t="b">
        <v>1</v>
      </c>
      <c r="S1501" t="inlineStr">
        <is>
          <t>G000312</t>
        </is>
      </c>
      <c r="T1501" t="inlineStr">
        <is>
          <t>Horizontal</t>
        </is>
      </c>
      <c r="U1501" t="n">
        <v>3</v>
      </c>
      <c r="V1501" t="b">
        <v>1</v>
      </c>
      <c r="W1501" t="inlineStr">
        <is>
          <t>ATF fuel!G153:I153</t>
        </is>
      </c>
      <c r="X1501">
        <f>(1+(R[0]C[-4]/R[-1]C[-4])-1)*R[-1]C[0]</f>
        <v/>
      </c>
    </row>
    <row r="1502">
      <c r="A1502" t="inlineStr">
        <is>
          <t>ATF fuel</t>
        </is>
      </c>
      <c r="B1502" t="inlineStr">
        <is>
          <t>J153</t>
        </is>
      </c>
      <c r="C1502" t="n">
        <v>153</v>
      </c>
      <c r="D1502" t="n">
        <v>10</v>
      </c>
      <c r="E1502" t="inlineStr">
        <is>
          <t>Output</t>
        </is>
      </c>
      <c r="F1502" t="inlineStr">
        <is>
          <t>'=G153/H153-1</t>
        </is>
      </c>
      <c r="G1502" t="n">
        <v>-0.0569184004735962</v>
      </c>
      <c r="H1502" t="inlineStr"/>
      <c r="I1502" t="inlineStr">
        <is>
          <t>0.0%</t>
        </is>
      </c>
      <c r="J1502" t="b">
        <v>0</v>
      </c>
      <c r="K1502" t="b">
        <v>0</v>
      </c>
      <c r="L1502" t="n">
        <v>11</v>
      </c>
      <c r="M1502" t="inlineStr">
        <is>
          <t>Values must be of type &lt;class 'str'&gt;</t>
        </is>
      </c>
      <c r="N1502" t="inlineStr">
        <is>
          <t>00000000</t>
        </is>
      </c>
      <c r="O1502" t="n">
        <v/>
      </c>
      <c r="P1502" t="n">
        <v/>
      </c>
      <c r="R1502" t="b">
        <v>1</v>
      </c>
      <c r="S1502" t="inlineStr">
        <is>
          <t>G000295</t>
        </is>
      </c>
      <c r="T1502" t="inlineStr">
        <is>
          <t>Vertical</t>
        </is>
      </c>
      <c r="U1502" t="n">
        <v>93</v>
      </c>
      <c r="V1502" t="b">
        <v>1</v>
      </c>
      <c r="W1502" t="inlineStr">
        <is>
          <t>ATF fuel!J136:J228</t>
        </is>
      </c>
      <c r="X1502">
        <f>R[0]C[-3]/R[0]C[-2]-1</f>
        <v/>
      </c>
    </row>
    <row r="1503">
      <c r="A1503" t="inlineStr">
        <is>
          <t>ATF fuel</t>
        </is>
      </c>
      <c r="B1503" t="inlineStr">
        <is>
          <t>B154</t>
        </is>
      </c>
      <c r="C1503" t="n">
        <v>154</v>
      </c>
      <c r="D1503" t="n">
        <v>2</v>
      </c>
      <c r="E1503" t="inlineStr">
        <is>
          <t>Input</t>
        </is>
      </c>
      <c r="F1503" t="n">
        <v/>
      </c>
      <c r="G1503" t="inlineStr">
        <is>
          <t>October 01, 2011</t>
        </is>
      </c>
      <c r="H1503" t="inlineStr"/>
      <c r="I1503" t="inlineStr">
        <is>
          <t>General</t>
        </is>
      </c>
      <c r="J1503" t="b">
        <v>0</v>
      </c>
      <c r="K1503" t="b">
        <v>0</v>
      </c>
      <c r="L1503" t="n">
        <v>11</v>
      </c>
      <c r="M1503" t="inlineStr">
        <is>
          <t>Values must be of type &lt;class 'str'&gt;</t>
        </is>
      </c>
      <c r="N1503" t="inlineStr">
        <is>
          <t>00000000</t>
        </is>
      </c>
      <c r="O1503" t="n">
        <v/>
      </c>
      <c r="P1503" t="n">
        <v/>
      </c>
      <c r="R1503" t="b">
        <v>1</v>
      </c>
      <c r="S1503" t="n">
        <v/>
      </c>
      <c r="T1503" t="n">
        <v/>
      </c>
      <c r="U1503" t="n">
        <v/>
      </c>
      <c r="V1503" t="b">
        <v>0</v>
      </c>
      <c r="W1503" t="inlineStr"/>
      <c r="X1503" t="n">
        <v/>
      </c>
    </row>
    <row r="1504">
      <c r="A1504" t="inlineStr">
        <is>
          <t>ATF fuel</t>
        </is>
      </c>
      <c r="B1504" t="inlineStr">
        <is>
          <t>C154</t>
        </is>
      </c>
      <c r="C1504" t="n">
        <v>154</v>
      </c>
      <c r="D1504" t="n">
        <v>3</v>
      </c>
      <c r="E1504" t="inlineStr">
        <is>
          <t>Input</t>
        </is>
      </c>
      <c r="F1504" t="n">
        <v/>
      </c>
      <c r="G1504" t="n">
        <v>61886.75</v>
      </c>
      <c r="H1504" t="inlineStr"/>
      <c r="I1504" t="inlineStr">
        <is>
          <t>General</t>
        </is>
      </c>
      <c r="J1504" t="b">
        <v>0</v>
      </c>
      <c r="K1504" t="b">
        <v>0</v>
      </c>
      <c r="L1504" t="n">
        <v>11</v>
      </c>
      <c r="M1504" t="inlineStr">
        <is>
          <t>Values must be of type &lt;class 'str'&gt;</t>
        </is>
      </c>
      <c r="N1504" t="inlineStr">
        <is>
          <t>00000000</t>
        </is>
      </c>
      <c r="O1504" t="n">
        <v/>
      </c>
      <c r="P1504" t="n">
        <v/>
      </c>
      <c r="R1504" t="b">
        <v>1</v>
      </c>
      <c r="S1504" t="n">
        <v/>
      </c>
      <c r="T1504" t="n">
        <v/>
      </c>
      <c r="U1504" t="n">
        <v/>
      </c>
      <c r="V1504" t="b">
        <v>0</v>
      </c>
      <c r="W1504" t="inlineStr"/>
      <c r="X1504" t="n">
        <v/>
      </c>
    </row>
    <row r="1505">
      <c r="A1505" t="inlineStr">
        <is>
          <t>ATF fuel</t>
        </is>
      </c>
      <c r="B1505" t="inlineStr">
        <is>
          <t>D154</t>
        </is>
      </c>
      <c r="C1505" t="n">
        <v>154</v>
      </c>
      <c r="D1505" t="n">
        <v>4</v>
      </c>
      <c r="E1505" t="inlineStr">
        <is>
          <t>Input</t>
        </is>
      </c>
      <c r="F1505" t="n">
        <v/>
      </c>
      <c r="G1505" t="n">
        <v>104.38</v>
      </c>
      <c r="H1505" t="inlineStr"/>
      <c r="I1505" t="inlineStr">
        <is>
          <t>General</t>
        </is>
      </c>
      <c r="J1505" t="b">
        <v>0</v>
      </c>
      <c r="K1505" t="b">
        <v>0</v>
      </c>
      <c r="L1505" t="n">
        <v>11</v>
      </c>
      <c r="M1505" t="inlineStr">
        <is>
          <t>Values must be of type &lt;class 'str'&gt;</t>
        </is>
      </c>
      <c r="N1505" t="inlineStr">
        <is>
          <t>00000000</t>
        </is>
      </c>
      <c r="O1505" t="n">
        <v/>
      </c>
      <c r="P1505" t="n">
        <v/>
      </c>
      <c r="R1505" t="b">
        <v>1</v>
      </c>
      <c r="S1505" t="n">
        <v/>
      </c>
      <c r="T1505" t="n">
        <v/>
      </c>
      <c r="U1505" t="n">
        <v/>
      </c>
      <c r="V1505" t="b">
        <v>0</v>
      </c>
      <c r="W1505" t="inlineStr"/>
      <c r="X1505" t="n">
        <v/>
      </c>
    </row>
    <row r="1506">
      <c r="A1506" t="inlineStr">
        <is>
          <t>ATF fuel</t>
        </is>
      </c>
      <c r="B1506" t="inlineStr">
        <is>
          <t>E154</t>
        </is>
      </c>
      <c r="C1506" t="n">
        <v>154</v>
      </c>
      <c r="D1506" t="n">
        <v>5</v>
      </c>
      <c r="E1506" t="inlineStr">
        <is>
          <t>Input</t>
        </is>
      </c>
      <c r="F1506" t="n">
        <v/>
      </c>
      <c r="G1506" t="n">
        <v>77.34</v>
      </c>
      <c r="H1506" t="inlineStr"/>
      <c r="I1506" t="inlineStr">
        <is>
          <t>General</t>
        </is>
      </c>
      <c r="J1506" t="b">
        <v>0</v>
      </c>
      <c r="K1506" t="b">
        <v>0</v>
      </c>
      <c r="L1506" t="n">
        <v>11</v>
      </c>
      <c r="M1506" t="inlineStr">
        <is>
          <t>Values must be of type &lt;class 'str'&gt;</t>
        </is>
      </c>
      <c r="N1506" t="inlineStr">
        <is>
          <t>00000000</t>
        </is>
      </c>
      <c r="O1506" t="n">
        <v/>
      </c>
      <c r="P1506" t="n">
        <v/>
      </c>
      <c r="R1506" t="b">
        <v>1</v>
      </c>
      <c r="S1506" t="n">
        <v/>
      </c>
      <c r="T1506" t="n">
        <v/>
      </c>
      <c r="U1506" t="n">
        <v/>
      </c>
      <c r="V1506" t="b">
        <v>0</v>
      </c>
      <c r="W1506" t="inlineStr"/>
      <c r="X1506" t="n">
        <v/>
      </c>
    </row>
    <row r="1507">
      <c r="A1507" t="inlineStr">
        <is>
          <t>ATF fuel</t>
        </is>
      </c>
      <c r="B1507" t="inlineStr">
        <is>
          <t>F154</t>
        </is>
      </c>
      <c r="C1507" t="n">
        <v>154</v>
      </c>
      <c r="D1507" t="n">
        <v>6</v>
      </c>
      <c r="E1507" t="inlineStr">
        <is>
          <t>Input</t>
        </is>
      </c>
      <c r="F1507" t="n">
        <v/>
      </c>
      <c r="G1507" t="inlineStr">
        <is>
          <t>October 01, 2011</t>
        </is>
      </c>
      <c r="H1507" t="inlineStr"/>
      <c r="I1507" t="inlineStr">
        <is>
          <t>General</t>
        </is>
      </c>
      <c r="J1507" t="b">
        <v>0</v>
      </c>
      <c r="K1507" t="b">
        <v>0</v>
      </c>
      <c r="L1507" t="n">
        <v>11</v>
      </c>
      <c r="M1507" t="inlineStr">
        <is>
          <t>Values must be of type &lt;class 'str'&gt;</t>
        </is>
      </c>
      <c r="N1507" t="inlineStr">
        <is>
          <t>00000000</t>
        </is>
      </c>
      <c r="O1507" t="inlineStr">
        <is>
          <t>left</t>
        </is>
      </c>
      <c r="P1507" t="n">
        <v/>
      </c>
      <c r="R1507" t="b">
        <v>1</v>
      </c>
      <c r="S1507" t="n">
        <v/>
      </c>
      <c r="T1507" t="n">
        <v/>
      </c>
      <c r="U1507" t="n">
        <v/>
      </c>
      <c r="V1507" t="b">
        <v>0</v>
      </c>
      <c r="W1507" t="inlineStr"/>
      <c r="X1507" t="n">
        <v/>
      </c>
    </row>
    <row r="1508">
      <c r="A1508" t="inlineStr">
        <is>
          <t>ATF fuel</t>
        </is>
      </c>
      <c r="B1508" t="inlineStr">
        <is>
          <t>G154</t>
        </is>
      </c>
      <c r="C1508" t="n">
        <v>154</v>
      </c>
      <c r="D1508" t="n">
        <v>7</v>
      </c>
      <c r="E1508" t="inlineStr">
        <is>
          <t>Calculation</t>
        </is>
      </c>
      <c r="F1508" t="inlineStr">
        <is>
          <t>'=(1+(C154/C153)-1)*G153</t>
        </is>
      </c>
      <c r="G1508" t="n">
        <v>139.5045884350618</v>
      </c>
      <c r="H1508" t="inlineStr"/>
      <c r="I1508" t="inlineStr">
        <is>
          <t>General</t>
        </is>
      </c>
      <c r="J1508" t="b">
        <v>0</v>
      </c>
      <c r="K1508" t="b">
        <v>0</v>
      </c>
      <c r="L1508" t="n">
        <v>11</v>
      </c>
      <c r="M1508" t="inlineStr">
        <is>
          <t>Values must be of type &lt;class 'str'&gt;</t>
        </is>
      </c>
      <c r="N1508" t="inlineStr">
        <is>
          <t>00000000</t>
        </is>
      </c>
      <c r="O1508" t="inlineStr">
        <is>
          <t>left</t>
        </is>
      </c>
      <c r="P1508" t="n">
        <v/>
      </c>
      <c r="R1508" t="b">
        <v>1</v>
      </c>
      <c r="S1508" t="inlineStr">
        <is>
          <t>G000313</t>
        </is>
      </c>
      <c r="T1508" t="inlineStr">
        <is>
          <t>Horizontal</t>
        </is>
      </c>
      <c r="U1508" t="n">
        <v>3</v>
      </c>
      <c r="V1508" t="b">
        <v>1</v>
      </c>
      <c r="W1508" t="inlineStr">
        <is>
          <t>ATF fuel!G154:I154</t>
        </is>
      </c>
      <c r="X1508">
        <f>(1+(R[0]C[-4]/R[-1]C[-4])-1)*R[-1]C[0]</f>
        <v/>
      </c>
    </row>
    <row r="1509">
      <c r="A1509" t="inlineStr">
        <is>
          <t>ATF fuel</t>
        </is>
      </c>
      <c r="B1509" t="inlineStr">
        <is>
          <t>H154</t>
        </is>
      </c>
      <c r="C1509" t="n">
        <v>154</v>
      </c>
      <c r="D1509" t="n">
        <v>8</v>
      </c>
      <c r="E1509" t="inlineStr">
        <is>
          <t>Calculation</t>
        </is>
      </c>
      <c r="F1509" t="inlineStr">
        <is>
          <t>'=(1+(D154/D153)-1)*H153</t>
        </is>
      </c>
      <c r="G1509" t="n">
        <v>126.322159022147</v>
      </c>
      <c r="H1509" t="inlineStr"/>
      <c r="I1509" t="inlineStr">
        <is>
          <t>General</t>
        </is>
      </c>
      <c r="J1509" t="b">
        <v>0</v>
      </c>
      <c r="K1509" t="b">
        <v>0</v>
      </c>
      <c r="L1509" t="n">
        <v>11</v>
      </c>
      <c r="M1509" t="inlineStr">
        <is>
          <t>Values must be of type &lt;class 'str'&gt;</t>
        </is>
      </c>
      <c r="N1509" t="inlineStr">
        <is>
          <t>00000000</t>
        </is>
      </c>
      <c r="O1509" t="inlineStr">
        <is>
          <t>left</t>
        </is>
      </c>
      <c r="P1509" t="n">
        <v/>
      </c>
      <c r="R1509" t="b">
        <v>1</v>
      </c>
      <c r="S1509" t="inlineStr">
        <is>
          <t>G000313</t>
        </is>
      </c>
      <c r="T1509" t="inlineStr">
        <is>
          <t>Horizontal</t>
        </is>
      </c>
      <c r="U1509" t="n">
        <v>3</v>
      </c>
      <c r="V1509" t="b">
        <v>1</v>
      </c>
      <c r="W1509" t="inlineStr">
        <is>
          <t>ATF fuel!G154:I154</t>
        </is>
      </c>
      <c r="X1509">
        <f>(1+(R[0]C[-4]/R[-1]C[-4])-1)*R[-1]C[0]</f>
        <v/>
      </c>
    </row>
    <row r="1510">
      <c r="A1510" t="inlineStr">
        <is>
          <t>ATF fuel</t>
        </is>
      </c>
      <c r="B1510" t="inlineStr">
        <is>
          <t>I154</t>
        </is>
      </c>
      <c r="C1510" t="n">
        <v>154</v>
      </c>
      <c r="D1510" t="n">
        <v>9</v>
      </c>
      <c r="E1510" t="inlineStr">
        <is>
          <t>Calculation</t>
        </is>
      </c>
      <c r="F1510" t="inlineStr">
        <is>
          <t>'=(1+(E154/E153)-1)*I153</t>
        </is>
      </c>
      <c r="G1510" t="n">
        <v>91.49414409085534</v>
      </c>
      <c r="H1510" t="inlineStr"/>
      <c r="I1510" t="inlineStr">
        <is>
          <t>General</t>
        </is>
      </c>
      <c r="J1510" t="b">
        <v>0</v>
      </c>
      <c r="K1510" t="b">
        <v>0</v>
      </c>
      <c r="L1510" t="n">
        <v>11</v>
      </c>
      <c r="M1510" t="inlineStr">
        <is>
          <t>Values must be of type &lt;class 'str'&gt;</t>
        </is>
      </c>
      <c r="N1510" t="inlineStr">
        <is>
          <t>00000000</t>
        </is>
      </c>
      <c r="O1510" t="inlineStr">
        <is>
          <t>left</t>
        </is>
      </c>
      <c r="P1510" t="n">
        <v/>
      </c>
      <c r="R1510" t="b">
        <v>1</v>
      </c>
      <c r="S1510" t="inlineStr">
        <is>
          <t>G000313</t>
        </is>
      </c>
      <c r="T1510" t="inlineStr">
        <is>
          <t>Horizontal</t>
        </is>
      </c>
      <c r="U1510" t="n">
        <v>3</v>
      </c>
      <c r="V1510" t="b">
        <v>1</v>
      </c>
      <c r="W1510" t="inlineStr">
        <is>
          <t>ATF fuel!G154:I154</t>
        </is>
      </c>
      <c r="X1510">
        <f>(1+(R[0]C[-4]/R[-1]C[-4])-1)*R[-1]C[0]</f>
        <v/>
      </c>
    </row>
    <row r="1511">
      <c r="A1511" t="inlineStr">
        <is>
          <t>ATF fuel</t>
        </is>
      </c>
      <c r="B1511" t="inlineStr">
        <is>
          <t>J154</t>
        </is>
      </c>
      <c r="C1511" t="n">
        <v>154</v>
      </c>
      <c r="D1511" t="n">
        <v>10</v>
      </c>
      <c r="E1511" t="inlineStr">
        <is>
          <t>Output</t>
        </is>
      </c>
      <c r="F1511" t="inlineStr">
        <is>
          <t>'=G154/H154-1</t>
        </is>
      </c>
      <c r="G1511" t="n">
        <v>0.1043556373241183</v>
      </c>
      <c r="H1511" t="inlineStr"/>
      <c r="I1511" t="inlineStr">
        <is>
          <t>0.0%</t>
        </is>
      </c>
      <c r="J1511" t="b">
        <v>0</v>
      </c>
      <c r="K1511" t="b">
        <v>0</v>
      </c>
      <c r="L1511" t="n">
        <v>11</v>
      </c>
      <c r="M1511" t="inlineStr">
        <is>
          <t>Values must be of type &lt;class 'str'&gt;</t>
        </is>
      </c>
      <c r="N1511" t="inlineStr">
        <is>
          <t>00000000</t>
        </is>
      </c>
      <c r="O1511" t="n">
        <v/>
      </c>
      <c r="P1511" t="n">
        <v/>
      </c>
      <c r="R1511" t="b">
        <v>1</v>
      </c>
      <c r="S1511" t="inlineStr">
        <is>
          <t>G000295</t>
        </is>
      </c>
      <c r="T1511" t="inlineStr">
        <is>
          <t>Vertical</t>
        </is>
      </c>
      <c r="U1511" t="n">
        <v>93</v>
      </c>
      <c r="V1511" t="b">
        <v>1</v>
      </c>
      <c r="W1511" t="inlineStr">
        <is>
          <t>ATF fuel!J136:J228</t>
        </is>
      </c>
      <c r="X1511">
        <f>R[0]C[-3]/R[0]C[-2]-1</f>
        <v/>
      </c>
    </row>
    <row r="1512">
      <c r="A1512" t="inlineStr">
        <is>
          <t>ATF fuel</t>
        </is>
      </c>
      <c r="B1512" t="inlineStr">
        <is>
          <t>B155</t>
        </is>
      </c>
      <c r="C1512" t="n">
        <v>155</v>
      </c>
      <c r="D1512" t="n">
        <v>2</v>
      </c>
      <c r="E1512" t="inlineStr">
        <is>
          <t>Input</t>
        </is>
      </c>
      <c r="F1512" t="n">
        <v/>
      </c>
      <c r="G1512" t="inlineStr">
        <is>
          <t>November 01, 2011</t>
        </is>
      </c>
      <c r="H1512" t="inlineStr"/>
      <c r="I1512" t="inlineStr">
        <is>
          <t>General</t>
        </is>
      </c>
      <c r="J1512" t="b">
        <v>0</v>
      </c>
      <c r="K1512" t="b">
        <v>0</v>
      </c>
      <c r="L1512" t="n">
        <v>11</v>
      </c>
      <c r="M1512" t="inlineStr">
        <is>
          <t>Values must be of type &lt;class 'str'&gt;</t>
        </is>
      </c>
      <c r="N1512" t="inlineStr">
        <is>
          <t>00000000</t>
        </is>
      </c>
      <c r="O1512" t="n">
        <v/>
      </c>
      <c r="P1512" t="n">
        <v/>
      </c>
      <c r="R1512" t="b">
        <v>1</v>
      </c>
      <c r="S1512" t="n">
        <v/>
      </c>
      <c r="T1512" t="n">
        <v/>
      </c>
      <c r="U1512" t="n">
        <v/>
      </c>
      <c r="V1512" t="b">
        <v>0</v>
      </c>
      <c r="W1512" t="inlineStr"/>
      <c r="X1512" t="n">
        <v/>
      </c>
    </row>
    <row r="1513">
      <c r="A1513" t="inlineStr">
        <is>
          <t>ATF fuel</t>
        </is>
      </c>
      <c r="B1513" t="inlineStr">
        <is>
          <t>C155</t>
        </is>
      </c>
      <c r="C1513" t="n">
        <v>155</v>
      </c>
      <c r="D1513" t="n">
        <v>3</v>
      </c>
      <c r="E1513" t="inlineStr">
        <is>
          <t>Input</t>
        </is>
      </c>
      <c r="F1513" t="n">
        <v/>
      </c>
      <c r="G1513" t="n">
        <v>64490.41500000001</v>
      </c>
      <c r="H1513" t="inlineStr"/>
      <c r="I1513" t="inlineStr">
        <is>
          <t>General</t>
        </is>
      </c>
      <c r="J1513" t="b">
        <v>0</v>
      </c>
      <c r="K1513" t="b">
        <v>0</v>
      </c>
      <c r="L1513" t="n">
        <v>11</v>
      </c>
      <c r="M1513" t="inlineStr">
        <is>
          <t>Values must be of type &lt;class 'str'&gt;</t>
        </is>
      </c>
      <c r="N1513" t="inlineStr">
        <is>
          <t>00000000</t>
        </is>
      </c>
      <c r="O1513" t="n">
        <v/>
      </c>
      <c r="P1513" t="n">
        <v/>
      </c>
      <c r="R1513" t="b">
        <v>1</v>
      </c>
      <c r="S1513" t="n">
        <v/>
      </c>
      <c r="T1513" t="n">
        <v/>
      </c>
      <c r="U1513" t="n">
        <v/>
      </c>
      <c r="V1513" t="b">
        <v>0</v>
      </c>
      <c r="W1513" t="inlineStr"/>
      <c r="X1513" t="n">
        <v/>
      </c>
    </row>
    <row r="1514">
      <c r="A1514" t="inlineStr">
        <is>
          <t>ATF fuel</t>
        </is>
      </c>
      <c r="B1514" t="inlineStr">
        <is>
          <t>D155</t>
        </is>
      </c>
      <c r="C1514" t="n">
        <v>155</v>
      </c>
      <c r="D1514" t="n">
        <v>4</v>
      </c>
      <c r="E1514" t="inlineStr">
        <is>
          <t>Input</t>
        </is>
      </c>
      <c r="F1514" t="n">
        <v/>
      </c>
      <c r="G1514" t="n">
        <v>112.22</v>
      </c>
      <c r="H1514" t="inlineStr"/>
      <c r="I1514" t="inlineStr">
        <is>
          <t>General</t>
        </is>
      </c>
      <c r="J1514" t="b">
        <v>0</v>
      </c>
      <c r="K1514" t="b">
        <v>0</v>
      </c>
      <c r="L1514" t="n">
        <v>11</v>
      </c>
      <c r="M1514" t="inlineStr">
        <is>
          <t>Values must be of type &lt;class 'str'&gt;</t>
        </is>
      </c>
      <c r="N1514" t="inlineStr">
        <is>
          <t>00000000</t>
        </is>
      </c>
      <c r="O1514" t="n">
        <v/>
      </c>
      <c r="P1514" t="n">
        <v/>
      </c>
      <c r="R1514" t="b">
        <v>1</v>
      </c>
      <c r="S1514" t="n">
        <v/>
      </c>
      <c r="T1514" t="n">
        <v/>
      </c>
      <c r="U1514" t="n">
        <v/>
      </c>
      <c r="V1514" t="b">
        <v>0</v>
      </c>
      <c r="W1514" t="inlineStr"/>
      <c r="X1514" t="n">
        <v/>
      </c>
    </row>
    <row r="1515">
      <c r="A1515" t="inlineStr">
        <is>
          <t>ATF fuel</t>
        </is>
      </c>
      <c r="B1515" t="inlineStr">
        <is>
          <t>E155</t>
        </is>
      </c>
      <c r="C1515" t="n">
        <v>155</v>
      </c>
      <c r="D1515" t="n">
        <v>5</v>
      </c>
      <c r="E1515" t="inlineStr">
        <is>
          <t>Input</t>
        </is>
      </c>
      <c r="F1515" t="n">
        <v/>
      </c>
      <c r="G1515" t="n">
        <v>92.19</v>
      </c>
      <c r="H1515" t="inlineStr"/>
      <c r="I1515" t="inlineStr">
        <is>
          <t>General</t>
        </is>
      </c>
      <c r="J1515" t="b">
        <v>0</v>
      </c>
      <c r="K1515" t="b">
        <v>0</v>
      </c>
      <c r="L1515" t="n">
        <v>11</v>
      </c>
      <c r="M1515" t="inlineStr">
        <is>
          <t>Values must be of type &lt;class 'str'&gt;</t>
        </is>
      </c>
      <c r="N1515" t="inlineStr">
        <is>
          <t>00000000</t>
        </is>
      </c>
      <c r="O1515" t="n">
        <v/>
      </c>
      <c r="P1515" t="n">
        <v/>
      </c>
      <c r="R1515" t="b">
        <v>1</v>
      </c>
      <c r="S1515" t="n">
        <v/>
      </c>
      <c r="T1515" t="n">
        <v/>
      </c>
      <c r="U1515" t="n">
        <v/>
      </c>
      <c r="V1515" t="b">
        <v>0</v>
      </c>
      <c r="W1515" t="inlineStr"/>
      <c r="X1515" t="n">
        <v/>
      </c>
    </row>
    <row r="1516">
      <c r="A1516" t="inlineStr">
        <is>
          <t>ATF fuel</t>
        </is>
      </c>
      <c r="B1516" t="inlineStr">
        <is>
          <t>F155</t>
        </is>
      </c>
      <c r="C1516" t="n">
        <v>155</v>
      </c>
      <c r="D1516" t="n">
        <v>6</v>
      </c>
      <c r="E1516" t="inlineStr">
        <is>
          <t>Input</t>
        </is>
      </c>
      <c r="F1516" t="n">
        <v/>
      </c>
      <c r="G1516" t="inlineStr">
        <is>
          <t>November 01, 2011</t>
        </is>
      </c>
      <c r="H1516" t="inlineStr"/>
      <c r="I1516" t="inlineStr">
        <is>
          <t>General</t>
        </is>
      </c>
      <c r="J1516" t="b">
        <v>0</v>
      </c>
      <c r="K1516" t="b">
        <v>0</v>
      </c>
      <c r="L1516" t="n">
        <v>11</v>
      </c>
      <c r="M1516" t="inlineStr">
        <is>
          <t>Values must be of type &lt;class 'str'&gt;</t>
        </is>
      </c>
      <c r="N1516" t="inlineStr">
        <is>
          <t>00000000</t>
        </is>
      </c>
      <c r="O1516" t="inlineStr">
        <is>
          <t>left</t>
        </is>
      </c>
      <c r="P1516" t="n">
        <v/>
      </c>
      <c r="R1516" t="b">
        <v>1</v>
      </c>
      <c r="S1516" t="n">
        <v/>
      </c>
      <c r="T1516" t="n">
        <v/>
      </c>
      <c r="U1516" t="n">
        <v/>
      </c>
      <c r="V1516" t="b">
        <v>0</v>
      </c>
      <c r="W1516" t="inlineStr"/>
      <c r="X1516" t="n">
        <v/>
      </c>
    </row>
    <row r="1517">
      <c r="A1517" t="inlineStr">
        <is>
          <t>ATF fuel</t>
        </is>
      </c>
      <c r="B1517" t="inlineStr">
        <is>
          <t>G155</t>
        </is>
      </c>
      <c r="C1517" t="n">
        <v>155</v>
      </c>
      <c r="D1517" t="n">
        <v>7</v>
      </c>
      <c r="E1517" t="inlineStr">
        <is>
          <t>Calculation</t>
        </is>
      </c>
      <c r="F1517" t="inlineStr">
        <is>
          <t>'=(1+(C155/C154)-1)*G154</t>
        </is>
      </c>
      <c r="G1517" t="n">
        <v>145.373748057239</v>
      </c>
      <c r="H1517" t="inlineStr"/>
      <c r="I1517" t="inlineStr">
        <is>
          <t>General</t>
        </is>
      </c>
      <c r="J1517" t="b">
        <v>0</v>
      </c>
      <c r="K1517" t="b">
        <v>0</v>
      </c>
      <c r="L1517" t="n">
        <v>11</v>
      </c>
      <c r="M1517" t="inlineStr">
        <is>
          <t>Values must be of type &lt;class 'str'&gt;</t>
        </is>
      </c>
      <c r="N1517" t="inlineStr">
        <is>
          <t>00000000</t>
        </is>
      </c>
      <c r="O1517" t="inlineStr">
        <is>
          <t>left</t>
        </is>
      </c>
      <c r="P1517" t="n">
        <v/>
      </c>
      <c r="R1517" t="b">
        <v>1</v>
      </c>
      <c r="S1517" t="inlineStr">
        <is>
          <t>G000314</t>
        </is>
      </c>
      <c r="T1517" t="inlineStr">
        <is>
          <t>Horizontal</t>
        </is>
      </c>
      <c r="U1517" t="n">
        <v>3</v>
      </c>
      <c r="V1517" t="b">
        <v>1</v>
      </c>
      <c r="W1517" t="inlineStr">
        <is>
          <t>ATF fuel!G155:I155</t>
        </is>
      </c>
      <c r="X1517">
        <f>(1+(R[0]C[-4]/R[-1]C[-4])-1)*R[-1]C[0]</f>
        <v/>
      </c>
    </row>
    <row r="1518">
      <c r="A1518" t="inlineStr">
        <is>
          <t>ATF fuel</t>
        </is>
      </c>
      <c r="B1518" t="inlineStr">
        <is>
          <t>H155</t>
        </is>
      </c>
      <c r="C1518" t="n">
        <v>155</v>
      </c>
      <c r="D1518" t="n">
        <v>8</v>
      </c>
      <c r="E1518" t="inlineStr">
        <is>
          <t>Calculation</t>
        </is>
      </c>
      <c r="F1518" t="inlineStr">
        <is>
          <t>'=(1+(D155/D154)-1)*H154</t>
        </is>
      </c>
      <c r="G1518" t="n">
        <v>135.8102384121991</v>
      </c>
      <c r="H1518" t="inlineStr"/>
      <c r="I1518" t="inlineStr">
        <is>
          <t>General</t>
        </is>
      </c>
      <c r="J1518" t="b">
        <v>0</v>
      </c>
      <c r="K1518" t="b">
        <v>0</v>
      </c>
      <c r="L1518" t="n">
        <v>11</v>
      </c>
      <c r="M1518" t="inlineStr">
        <is>
          <t>Values must be of type &lt;class 'str'&gt;</t>
        </is>
      </c>
      <c r="N1518" t="inlineStr">
        <is>
          <t>00000000</t>
        </is>
      </c>
      <c r="O1518" t="inlineStr">
        <is>
          <t>left</t>
        </is>
      </c>
      <c r="P1518" t="n">
        <v/>
      </c>
      <c r="R1518" t="b">
        <v>1</v>
      </c>
      <c r="S1518" t="inlineStr">
        <is>
          <t>G000314</t>
        </is>
      </c>
      <c r="T1518" t="inlineStr">
        <is>
          <t>Horizontal</t>
        </is>
      </c>
      <c r="U1518" t="n">
        <v>3</v>
      </c>
      <c r="V1518" t="b">
        <v>1</v>
      </c>
      <c r="W1518" t="inlineStr">
        <is>
          <t>ATF fuel!G155:I155</t>
        </is>
      </c>
      <c r="X1518">
        <f>(1+(R[0]C[-4]/R[-1]C[-4])-1)*R[-1]C[0]</f>
        <v/>
      </c>
    </row>
    <row r="1519">
      <c r="A1519" t="inlineStr">
        <is>
          <t>ATF fuel</t>
        </is>
      </c>
      <c r="B1519" t="inlineStr">
        <is>
          <t>I155</t>
        </is>
      </c>
      <c r="C1519" t="n">
        <v>155</v>
      </c>
      <c r="D1519" t="n">
        <v>9</v>
      </c>
      <c r="E1519" t="inlineStr">
        <is>
          <t>Calculation</t>
        </is>
      </c>
      <c r="F1519" t="inlineStr">
        <is>
          <t>'=(1+(E155/E154)-1)*I154</t>
        </is>
      </c>
      <c r="G1519" t="n">
        <v>109.0618715249024</v>
      </c>
      <c r="H1519" t="inlineStr"/>
      <c r="I1519" t="inlineStr">
        <is>
          <t>General</t>
        </is>
      </c>
      <c r="J1519" t="b">
        <v>0</v>
      </c>
      <c r="K1519" t="b">
        <v>0</v>
      </c>
      <c r="L1519" t="n">
        <v>11</v>
      </c>
      <c r="M1519" t="inlineStr">
        <is>
          <t>Values must be of type &lt;class 'str'&gt;</t>
        </is>
      </c>
      <c r="N1519" t="inlineStr">
        <is>
          <t>00000000</t>
        </is>
      </c>
      <c r="O1519" t="inlineStr">
        <is>
          <t>left</t>
        </is>
      </c>
      <c r="P1519" t="n">
        <v/>
      </c>
      <c r="R1519" t="b">
        <v>1</v>
      </c>
      <c r="S1519" t="inlineStr">
        <is>
          <t>G000314</t>
        </is>
      </c>
      <c r="T1519" t="inlineStr">
        <is>
          <t>Horizontal</t>
        </is>
      </c>
      <c r="U1519" t="n">
        <v>3</v>
      </c>
      <c r="V1519" t="b">
        <v>1</v>
      </c>
      <c r="W1519" t="inlineStr">
        <is>
          <t>ATF fuel!G155:I155</t>
        </is>
      </c>
      <c r="X1519">
        <f>(1+(R[0]C[-4]/R[-1]C[-4])-1)*R[-1]C[0]</f>
        <v/>
      </c>
    </row>
    <row r="1520">
      <c r="A1520" t="inlineStr">
        <is>
          <t>ATF fuel</t>
        </is>
      </c>
      <c r="B1520" t="inlineStr">
        <is>
          <t>J155</t>
        </is>
      </c>
      <c r="C1520" t="n">
        <v>155</v>
      </c>
      <c r="D1520" t="n">
        <v>10</v>
      </c>
      <c r="E1520" t="inlineStr">
        <is>
          <t>Output</t>
        </is>
      </c>
      <c r="F1520" t="inlineStr">
        <is>
          <t>'=G155/H155-1</t>
        </is>
      </c>
      <c r="G1520" t="n">
        <v>0.07041817875331002</v>
      </c>
      <c r="H1520" t="inlineStr"/>
      <c r="I1520" t="inlineStr">
        <is>
          <t>0.0%</t>
        </is>
      </c>
      <c r="J1520" t="b">
        <v>0</v>
      </c>
      <c r="K1520" t="b">
        <v>0</v>
      </c>
      <c r="L1520" t="n">
        <v>11</v>
      </c>
      <c r="M1520" t="inlineStr">
        <is>
          <t>Values must be of type &lt;class 'str'&gt;</t>
        </is>
      </c>
      <c r="N1520" t="inlineStr">
        <is>
          <t>00000000</t>
        </is>
      </c>
      <c r="O1520" t="n">
        <v/>
      </c>
      <c r="P1520" t="n">
        <v/>
      </c>
      <c r="R1520" t="b">
        <v>1</v>
      </c>
      <c r="S1520" t="inlineStr">
        <is>
          <t>G000295</t>
        </is>
      </c>
      <c r="T1520" t="inlineStr">
        <is>
          <t>Vertical</t>
        </is>
      </c>
      <c r="U1520" t="n">
        <v>93</v>
      </c>
      <c r="V1520" t="b">
        <v>1</v>
      </c>
      <c r="W1520" t="inlineStr">
        <is>
          <t>ATF fuel!J136:J228</t>
        </is>
      </c>
      <c r="X1520">
        <f>R[0]C[-3]/R[0]C[-2]-1</f>
        <v/>
      </c>
    </row>
    <row r="1521">
      <c r="A1521" t="inlineStr">
        <is>
          <t>ATF fuel</t>
        </is>
      </c>
      <c r="B1521" t="inlineStr">
        <is>
          <t>B156</t>
        </is>
      </c>
      <c r="C1521" t="n">
        <v>156</v>
      </c>
      <c r="D1521" t="n">
        <v>2</v>
      </c>
      <c r="E1521" t="inlineStr">
        <is>
          <t>Input</t>
        </is>
      </c>
      <c r="F1521" t="n">
        <v/>
      </c>
      <c r="G1521" t="inlineStr">
        <is>
          <t>December 01, 2011</t>
        </is>
      </c>
      <c r="H1521" t="inlineStr"/>
      <c r="I1521" t="inlineStr">
        <is>
          <t>General</t>
        </is>
      </c>
      <c r="J1521" t="b">
        <v>0</v>
      </c>
      <c r="K1521" t="b">
        <v>0</v>
      </c>
      <c r="L1521" t="n">
        <v>11</v>
      </c>
      <c r="M1521" t="inlineStr">
        <is>
          <t>Values must be of type &lt;class 'str'&gt;</t>
        </is>
      </c>
      <c r="N1521" t="inlineStr">
        <is>
          <t>00000000</t>
        </is>
      </c>
      <c r="O1521" t="n">
        <v/>
      </c>
      <c r="P1521" t="n">
        <v/>
      </c>
      <c r="R1521" t="b">
        <v>1</v>
      </c>
      <c r="S1521" t="n">
        <v/>
      </c>
      <c r="T1521" t="n">
        <v/>
      </c>
      <c r="U1521" t="n">
        <v/>
      </c>
      <c r="V1521" t="b">
        <v>0</v>
      </c>
      <c r="W1521" t="inlineStr"/>
      <c r="X1521" t="n">
        <v/>
      </c>
    </row>
    <row r="1522">
      <c r="A1522" t="inlineStr">
        <is>
          <t>ATF fuel</t>
        </is>
      </c>
      <c r="B1522" t="inlineStr">
        <is>
          <t>C156</t>
        </is>
      </c>
      <c r="C1522" t="n">
        <v>156</v>
      </c>
      <c r="D1522" t="n">
        <v>3</v>
      </c>
      <c r="E1522" t="inlineStr">
        <is>
          <t>Input</t>
        </is>
      </c>
      <c r="F1522" t="n">
        <v/>
      </c>
      <c r="G1522" t="n">
        <v>68172.64999999999</v>
      </c>
      <c r="H1522" t="inlineStr"/>
      <c r="I1522" t="inlineStr">
        <is>
          <t>General</t>
        </is>
      </c>
      <c r="J1522" t="b">
        <v>0</v>
      </c>
      <c r="K1522" t="b">
        <v>0</v>
      </c>
      <c r="L1522" t="n">
        <v>11</v>
      </c>
      <c r="M1522" t="inlineStr">
        <is>
          <t>Values must be of type &lt;class 'str'&gt;</t>
        </is>
      </c>
      <c r="N1522" t="inlineStr">
        <is>
          <t>00000000</t>
        </is>
      </c>
      <c r="O1522" t="n">
        <v/>
      </c>
      <c r="P1522" t="n">
        <v/>
      </c>
      <c r="R1522" t="b">
        <v>1</v>
      </c>
      <c r="S1522" t="n">
        <v/>
      </c>
      <c r="T1522" t="n">
        <v/>
      </c>
      <c r="U1522" t="n">
        <v/>
      </c>
      <c r="V1522" t="b">
        <v>0</v>
      </c>
      <c r="W1522" t="inlineStr"/>
      <c r="X1522" t="n">
        <v/>
      </c>
    </row>
    <row r="1523">
      <c r="A1523" t="inlineStr">
        <is>
          <t>ATF fuel</t>
        </is>
      </c>
      <c r="B1523" t="inlineStr">
        <is>
          <t>D156</t>
        </is>
      </c>
      <c r="C1523" t="n">
        <v>156</v>
      </c>
      <c r="D1523" t="n">
        <v>4</v>
      </c>
      <c r="E1523" t="inlineStr">
        <is>
          <t>Input</t>
        </is>
      </c>
      <c r="F1523" t="n">
        <v/>
      </c>
      <c r="G1523" t="n">
        <v>110.16</v>
      </c>
      <c r="H1523" t="inlineStr"/>
      <c r="I1523" t="inlineStr">
        <is>
          <t>General</t>
        </is>
      </c>
      <c r="J1523" t="b">
        <v>0</v>
      </c>
      <c r="K1523" t="b">
        <v>0</v>
      </c>
      <c r="L1523" t="n">
        <v>11</v>
      </c>
      <c r="M1523" t="inlineStr">
        <is>
          <t>Values must be of type &lt;class 'str'&gt;</t>
        </is>
      </c>
      <c r="N1523" t="inlineStr">
        <is>
          <t>00000000</t>
        </is>
      </c>
      <c r="O1523" t="n">
        <v/>
      </c>
      <c r="P1523" t="n">
        <v/>
      </c>
      <c r="R1523" t="b">
        <v>1</v>
      </c>
      <c r="S1523" t="n">
        <v/>
      </c>
      <c r="T1523" t="n">
        <v/>
      </c>
      <c r="U1523" t="n">
        <v/>
      </c>
      <c r="V1523" t="b">
        <v>0</v>
      </c>
      <c r="W1523" t="inlineStr"/>
      <c r="X1523" t="n">
        <v/>
      </c>
    </row>
    <row r="1524">
      <c r="A1524" t="inlineStr">
        <is>
          <t>ATF fuel</t>
        </is>
      </c>
      <c r="B1524" t="inlineStr">
        <is>
          <t>E156</t>
        </is>
      </c>
      <c r="C1524" t="n">
        <v>156</v>
      </c>
      <c r="D1524" t="n">
        <v>5</v>
      </c>
      <c r="E1524" t="inlineStr">
        <is>
          <t>Input</t>
        </is>
      </c>
      <c r="F1524" t="n">
        <v/>
      </c>
      <c r="G1524" t="n">
        <v>100.2</v>
      </c>
      <c r="H1524" t="inlineStr"/>
      <c r="I1524" t="inlineStr">
        <is>
          <t>General</t>
        </is>
      </c>
      <c r="J1524" t="b">
        <v>0</v>
      </c>
      <c r="K1524" t="b">
        <v>0</v>
      </c>
      <c r="L1524" t="n">
        <v>11</v>
      </c>
      <c r="M1524" t="inlineStr">
        <is>
          <t>Values must be of type &lt;class 'str'&gt;</t>
        </is>
      </c>
      <c r="N1524" t="inlineStr">
        <is>
          <t>00000000</t>
        </is>
      </c>
      <c r="O1524" t="n">
        <v/>
      </c>
      <c r="P1524" t="n">
        <v/>
      </c>
      <c r="R1524" t="b">
        <v>1</v>
      </c>
      <c r="S1524" t="n">
        <v/>
      </c>
      <c r="T1524" t="n">
        <v/>
      </c>
      <c r="U1524" t="n">
        <v/>
      </c>
      <c r="V1524" t="b">
        <v>0</v>
      </c>
      <c r="W1524" t="inlineStr"/>
      <c r="X1524" t="n">
        <v/>
      </c>
    </row>
    <row r="1525">
      <c r="A1525" t="inlineStr">
        <is>
          <t>ATF fuel</t>
        </is>
      </c>
      <c r="B1525" t="inlineStr">
        <is>
          <t>F156</t>
        </is>
      </c>
      <c r="C1525" t="n">
        <v>156</v>
      </c>
      <c r="D1525" t="n">
        <v>6</v>
      </c>
      <c r="E1525" t="inlineStr">
        <is>
          <t>Input</t>
        </is>
      </c>
      <c r="F1525" t="n">
        <v/>
      </c>
      <c r="G1525" t="inlineStr">
        <is>
          <t>December 01, 2011</t>
        </is>
      </c>
      <c r="H1525" t="inlineStr"/>
      <c r="I1525" t="inlineStr">
        <is>
          <t>General</t>
        </is>
      </c>
      <c r="J1525" t="b">
        <v>0</v>
      </c>
      <c r="K1525" t="b">
        <v>0</v>
      </c>
      <c r="L1525" t="n">
        <v>11</v>
      </c>
      <c r="M1525" t="inlineStr">
        <is>
          <t>Values must be of type &lt;class 'str'&gt;</t>
        </is>
      </c>
      <c r="N1525" t="inlineStr">
        <is>
          <t>00000000</t>
        </is>
      </c>
      <c r="O1525" t="inlineStr">
        <is>
          <t>left</t>
        </is>
      </c>
      <c r="P1525" t="n">
        <v/>
      </c>
      <c r="R1525" t="b">
        <v>1</v>
      </c>
      <c r="S1525" t="n">
        <v/>
      </c>
      <c r="T1525" t="n">
        <v/>
      </c>
      <c r="U1525" t="n">
        <v/>
      </c>
      <c r="V1525" t="b">
        <v>0</v>
      </c>
      <c r="W1525" t="inlineStr"/>
      <c r="X1525" t="n">
        <v/>
      </c>
    </row>
    <row r="1526">
      <c r="A1526" t="inlineStr">
        <is>
          <t>ATF fuel</t>
        </is>
      </c>
      <c r="B1526" t="inlineStr">
        <is>
          <t>G156</t>
        </is>
      </c>
      <c r="C1526" t="n">
        <v>156</v>
      </c>
      <c r="D1526" t="n">
        <v>7</v>
      </c>
      <c r="E1526" t="inlineStr">
        <is>
          <t>Calculation</t>
        </is>
      </c>
      <c r="F1526" t="inlineStr">
        <is>
          <t>'=(1+(C156/C155)-1)*G155</t>
        </is>
      </c>
      <c r="G1526" t="n">
        <v>153.6742110512753</v>
      </c>
      <c r="H1526" t="inlineStr"/>
      <c r="I1526" t="inlineStr">
        <is>
          <t>General</t>
        </is>
      </c>
      <c r="J1526" t="b">
        <v>0</v>
      </c>
      <c r="K1526" t="b">
        <v>0</v>
      </c>
      <c r="L1526" t="n">
        <v>11</v>
      </c>
      <c r="M1526" t="inlineStr">
        <is>
          <t>Values must be of type &lt;class 'str'&gt;</t>
        </is>
      </c>
      <c r="N1526" t="inlineStr">
        <is>
          <t>00000000</t>
        </is>
      </c>
      <c r="O1526" t="inlineStr">
        <is>
          <t>left</t>
        </is>
      </c>
      <c r="P1526" t="n">
        <v/>
      </c>
      <c r="R1526" t="b">
        <v>1</v>
      </c>
      <c r="S1526" t="inlineStr">
        <is>
          <t>G000315</t>
        </is>
      </c>
      <c r="T1526" t="inlineStr">
        <is>
          <t>Horizontal</t>
        </is>
      </c>
      <c r="U1526" t="n">
        <v>3</v>
      </c>
      <c r="V1526" t="b">
        <v>1</v>
      </c>
      <c r="W1526" t="inlineStr">
        <is>
          <t>ATF fuel!G156:I156</t>
        </is>
      </c>
      <c r="X1526">
        <f>(1+(R[0]C[-4]/R[-1]C[-4])-1)*R[-1]C[0]</f>
        <v/>
      </c>
    </row>
    <row r="1527">
      <c r="A1527" t="inlineStr">
        <is>
          <t>ATF fuel</t>
        </is>
      </c>
      <c r="B1527" t="inlineStr">
        <is>
          <t>H156</t>
        </is>
      </c>
      <c r="C1527" t="n">
        <v>156</v>
      </c>
      <c r="D1527" t="n">
        <v>8</v>
      </c>
      <c r="E1527" t="inlineStr">
        <is>
          <t>Calculation</t>
        </is>
      </c>
      <c r="F1527" t="inlineStr">
        <is>
          <t>'=(1+(D156/D155)-1)*H155</t>
        </is>
      </c>
      <c r="G1527" t="n">
        <v>133.3171971438946</v>
      </c>
      <c r="H1527" t="inlineStr"/>
      <c r="I1527" t="inlineStr">
        <is>
          <t>General</t>
        </is>
      </c>
      <c r="J1527" t="b">
        <v>0</v>
      </c>
      <c r="K1527" t="b">
        <v>0</v>
      </c>
      <c r="L1527" t="n">
        <v>11</v>
      </c>
      <c r="M1527" t="inlineStr">
        <is>
          <t>Values must be of type &lt;class 'str'&gt;</t>
        </is>
      </c>
      <c r="N1527" t="inlineStr">
        <is>
          <t>00000000</t>
        </is>
      </c>
      <c r="O1527" t="inlineStr">
        <is>
          <t>left</t>
        </is>
      </c>
      <c r="P1527" t="n">
        <v/>
      </c>
      <c r="R1527" t="b">
        <v>1</v>
      </c>
      <c r="S1527" t="inlineStr">
        <is>
          <t>G000315</t>
        </is>
      </c>
      <c r="T1527" t="inlineStr">
        <is>
          <t>Horizontal</t>
        </is>
      </c>
      <c r="U1527" t="n">
        <v>3</v>
      </c>
      <c r="V1527" t="b">
        <v>1</v>
      </c>
      <c r="W1527" t="inlineStr">
        <is>
          <t>ATF fuel!G156:I156</t>
        </is>
      </c>
      <c r="X1527">
        <f>(1+(R[0]C[-4]/R[-1]C[-4])-1)*R[-1]C[0]</f>
        <v/>
      </c>
    </row>
    <row r="1528">
      <c r="A1528" t="inlineStr">
        <is>
          <t>ATF fuel</t>
        </is>
      </c>
      <c r="B1528" t="inlineStr">
        <is>
          <t>I156</t>
        </is>
      </c>
      <c r="C1528" t="n">
        <v>156</v>
      </c>
      <c r="D1528" t="n">
        <v>9</v>
      </c>
      <c r="E1528" t="inlineStr">
        <is>
          <t>Calculation</t>
        </is>
      </c>
      <c r="F1528" t="inlineStr">
        <is>
          <t>'=(1+(E156/E155)-1)*I155</t>
        </is>
      </c>
      <c r="G1528" t="n">
        <v>118.5377972317521</v>
      </c>
      <c r="H1528" t="inlineStr"/>
      <c r="I1528" t="inlineStr">
        <is>
          <t>General</t>
        </is>
      </c>
      <c r="J1528" t="b">
        <v>0</v>
      </c>
      <c r="K1528" t="b">
        <v>0</v>
      </c>
      <c r="L1528" t="n">
        <v>11</v>
      </c>
      <c r="M1528" t="inlineStr">
        <is>
          <t>Values must be of type &lt;class 'str'&gt;</t>
        </is>
      </c>
      <c r="N1528" t="inlineStr">
        <is>
          <t>00000000</t>
        </is>
      </c>
      <c r="O1528" t="inlineStr">
        <is>
          <t>left</t>
        </is>
      </c>
      <c r="P1528" t="n">
        <v/>
      </c>
      <c r="R1528" t="b">
        <v>1</v>
      </c>
      <c r="S1528" t="inlineStr">
        <is>
          <t>G000315</t>
        </is>
      </c>
      <c r="T1528" t="inlineStr">
        <is>
          <t>Horizontal</t>
        </is>
      </c>
      <c r="U1528" t="n">
        <v>3</v>
      </c>
      <c r="V1528" t="b">
        <v>1</v>
      </c>
      <c r="W1528" t="inlineStr">
        <is>
          <t>ATF fuel!G156:I156</t>
        </is>
      </c>
      <c r="X1528">
        <f>(1+(R[0]C[-4]/R[-1]C[-4])-1)*R[-1]C[0]</f>
        <v/>
      </c>
    </row>
    <row r="1529">
      <c r="A1529" t="inlineStr">
        <is>
          <t>ATF fuel</t>
        </is>
      </c>
      <c r="B1529" t="inlineStr">
        <is>
          <t>J156</t>
        </is>
      </c>
      <c r="C1529" t="n">
        <v>156</v>
      </c>
      <c r="D1529" t="n">
        <v>10</v>
      </c>
      <c r="E1529" t="inlineStr">
        <is>
          <t>Output</t>
        </is>
      </c>
      <c r="F1529" t="inlineStr">
        <is>
          <t>'=G156/H156-1</t>
        </is>
      </c>
      <c r="G1529" t="n">
        <v>0.1526960838023659</v>
      </c>
      <c r="H1529" t="inlineStr"/>
      <c r="I1529" t="inlineStr">
        <is>
          <t>0.0%</t>
        </is>
      </c>
      <c r="J1529" t="b">
        <v>0</v>
      </c>
      <c r="K1529" t="b">
        <v>0</v>
      </c>
      <c r="L1529" t="n">
        <v>11</v>
      </c>
      <c r="M1529" t="inlineStr">
        <is>
          <t>Values must be of type &lt;class 'str'&gt;</t>
        </is>
      </c>
      <c r="N1529" t="inlineStr">
        <is>
          <t>00000000</t>
        </is>
      </c>
      <c r="O1529" t="n">
        <v/>
      </c>
      <c r="P1529" t="n">
        <v/>
      </c>
      <c r="R1529" t="b">
        <v>1</v>
      </c>
      <c r="S1529" t="inlineStr">
        <is>
          <t>G000295</t>
        </is>
      </c>
      <c r="T1529" t="inlineStr">
        <is>
          <t>Vertical</t>
        </is>
      </c>
      <c r="U1529" t="n">
        <v>93</v>
      </c>
      <c r="V1529" t="b">
        <v>1</v>
      </c>
      <c r="W1529" t="inlineStr">
        <is>
          <t>ATF fuel!J136:J228</t>
        </is>
      </c>
      <c r="X1529">
        <f>R[0]C[-3]/R[0]C[-2]-1</f>
        <v/>
      </c>
    </row>
    <row r="1530">
      <c r="A1530" t="inlineStr">
        <is>
          <t>ATF fuel</t>
        </is>
      </c>
      <c r="B1530" t="inlineStr">
        <is>
          <t>B157</t>
        </is>
      </c>
      <c r="C1530" t="n">
        <v>157</v>
      </c>
      <c r="D1530" t="n">
        <v>2</v>
      </c>
      <c r="E1530" t="inlineStr">
        <is>
          <t>Input</t>
        </is>
      </c>
      <c r="F1530" t="n">
        <v/>
      </c>
      <c r="G1530" t="inlineStr">
        <is>
          <t>January 01, 2012</t>
        </is>
      </c>
      <c r="H1530" t="inlineStr"/>
      <c r="I1530" t="inlineStr">
        <is>
          <t>General</t>
        </is>
      </c>
      <c r="J1530" t="b">
        <v>0</v>
      </c>
      <c r="K1530" t="b">
        <v>0</v>
      </c>
      <c r="L1530" t="n">
        <v>11</v>
      </c>
      <c r="M1530" t="inlineStr">
        <is>
          <t>Values must be of type &lt;class 'str'&gt;</t>
        </is>
      </c>
      <c r="N1530" t="inlineStr">
        <is>
          <t>00000000</t>
        </is>
      </c>
      <c r="O1530" t="n">
        <v/>
      </c>
      <c r="P1530" t="n">
        <v/>
      </c>
      <c r="R1530" t="b">
        <v>1</v>
      </c>
      <c r="S1530" t="n">
        <v/>
      </c>
      <c r="T1530" t="n">
        <v/>
      </c>
      <c r="U1530" t="n">
        <v/>
      </c>
      <c r="V1530" t="b">
        <v>0</v>
      </c>
      <c r="W1530" t="inlineStr"/>
      <c r="X1530" t="n">
        <v/>
      </c>
    </row>
    <row r="1531">
      <c r="A1531" t="inlineStr">
        <is>
          <t>ATF fuel</t>
        </is>
      </c>
      <c r="B1531" t="inlineStr">
        <is>
          <t>C157</t>
        </is>
      </c>
      <c r="C1531" t="n">
        <v>157</v>
      </c>
      <c r="D1531" t="n">
        <v>3</v>
      </c>
      <c r="E1531" t="inlineStr">
        <is>
          <t>Input</t>
        </is>
      </c>
      <c r="F1531" t="n">
        <v/>
      </c>
      <c r="G1531" t="n">
        <v>66600.0575</v>
      </c>
      <c r="H1531" t="inlineStr"/>
      <c r="I1531" t="inlineStr">
        <is>
          <t>General</t>
        </is>
      </c>
      <c r="J1531" t="b">
        <v>0</v>
      </c>
      <c r="K1531" t="b">
        <v>0</v>
      </c>
      <c r="L1531" t="n">
        <v>11</v>
      </c>
      <c r="M1531" t="inlineStr">
        <is>
          <t>Values must be of type &lt;class 'str'&gt;</t>
        </is>
      </c>
      <c r="N1531" t="inlineStr">
        <is>
          <t>00000000</t>
        </is>
      </c>
      <c r="O1531" t="n">
        <v/>
      </c>
      <c r="P1531" t="n">
        <v/>
      </c>
      <c r="R1531" t="b">
        <v>1</v>
      </c>
      <c r="S1531" t="n">
        <v/>
      </c>
      <c r="T1531" t="n">
        <v/>
      </c>
      <c r="U1531" t="n">
        <v/>
      </c>
      <c r="V1531" t="b">
        <v>0</v>
      </c>
      <c r="W1531" t="inlineStr"/>
      <c r="X1531" t="n">
        <v/>
      </c>
    </row>
    <row r="1532">
      <c r="A1532" t="inlineStr">
        <is>
          <t>ATF fuel</t>
        </is>
      </c>
      <c r="B1532" t="inlineStr">
        <is>
          <t>D157</t>
        </is>
      </c>
      <c r="C1532" t="n">
        <v>157</v>
      </c>
      <c r="D1532" t="n">
        <v>4</v>
      </c>
      <c r="E1532" t="inlineStr">
        <is>
          <t>Input</t>
        </is>
      </c>
      <c r="F1532" t="n">
        <v/>
      </c>
      <c r="G1532" t="n">
        <v>111.07</v>
      </c>
      <c r="H1532" t="inlineStr"/>
      <c r="I1532" t="inlineStr">
        <is>
          <t>General</t>
        </is>
      </c>
      <c r="J1532" t="b">
        <v>0</v>
      </c>
      <c r="K1532" t="b">
        <v>0</v>
      </c>
      <c r="L1532" t="n">
        <v>11</v>
      </c>
      <c r="M1532" t="inlineStr">
        <is>
          <t>Values must be of type &lt;class 'str'&gt;</t>
        </is>
      </c>
      <c r="N1532" t="inlineStr">
        <is>
          <t>00000000</t>
        </is>
      </c>
      <c r="O1532" t="n">
        <v/>
      </c>
      <c r="P1532" t="n">
        <v/>
      </c>
      <c r="R1532" t="b">
        <v>1</v>
      </c>
      <c r="S1532" t="n">
        <v/>
      </c>
      <c r="T1532" t="n">
        <v/>
      </c>
      <c r="U1532" t="n">
        <v/>
      </c>
      <c r="V1532" t="b">
        <v>0</v>
      </c>
      <c r="W1532" t="inlineStr"/>
      <c r="X1532" t="n">
        <v/>
      </c>
    </row>
    <row r="1533">
      <c r="A1533" t="inlineStr">
        <is>
          <t>ATF fuel</t>
        </is>
      </c>
      <c r="B1533" t="inlineStr">
        <is>
          <t>E157</t>
        </is>
      </c>
      <c r="C1533" t="n">
        <v>157</v>
      </c>
      <c r="D1533" t="n">
        <v>5</v>
      </c>
      <c r="E1533" t="inlineStr">
        <is>
          <t>Input</t>
        </is>
      </c>
      <c r="F1533" t="n">
        <v/>
      </c>
      <c r="G1533" t="n">
        <v>102.96</v>
      </c>
      <c r="H1533" t="inlineStr"/>
      <c r="I1533" t="inlineStr">
        <is>
          <t>General</t>
        </is>
      </c>
      <c r="J1533" t="b">
        <v>0</v>
      </c>
      <c r="K1533" t="b">
        <v>0</v>
      </c>
      <c r="L1533" t="n">
        <v>11</v>
      </c>
      <c r="M1533" t="inlineStr">
        <is>
          <t>Values must be of type &lt;class 'str'&gt;</t>
        </is>
      </c>
      <c r="N1533" t="inlineStr">
        <is>
          <t>00000000</t>
        </is>
      </c>
      <c r="O1533" t="n">
        <v/>
      </c>
      <c r="P1533" t="n">
        <v/>
      </c>
      <c r="R1533" t="b">
        <v>1</v>
      </c>
      <c r="S1533" t="n">
        <v/>
      </c>
      <c r="T1533" t="n">
        <v/>
      </c>
      <c r="U1533" t="n">
        <v/>
      </c>
      <c r="V1533" t="b">
        <v>0</v>
      </c>
      <c r="W1533" t="inlineStr"/>
      <c r="X1533" t="n">
        <v/>
      </c>
    </row>
    <row r="1534">
      <c r="A1534" t="inlineStr">
        <is>
          <t>ATF fuel</t>
        </is>
      </c>
      <c r="B1534" t="inlineStr">
        <is>
          <t>F157</t>
        </is>
      </c>
      <c r="C1534" t="n">
        <v>157</v>
      </c>
      <c r="D1534" t="n">
        <v>6</v>
      </c>
      <c r="E1534" t="inlineStr">
        <is>
          <t>Input</t>
        </is>
      </c>
      <c r="F1534" t="n">
        <v/>
      </c>
      <c r="G1534" t="inlineStr">
        <is>
          <t>January 01, 2012</t>
        </is>
      </c>
      <c r="H1534" t="inlineStr"/>
      <c r="I1534" t="inlineStr">
        <is>
          <t>General</t>
        </is>
      </c>
      <c r="J1534" t="b">
        <v>0</v>
      </c>
      <c r="K1534" t="b">
        <v>0</v>
      </c>
      <c r="L1534" t="n">
        <v>11</v>
      </c>
      <c r="M1534" t="inlineStr">
        <is>
          <t>Values must be of type &lt;class 'str'&gt;</t>
        </is>
      </c>
      <c r="N1534" t="inlineStr">
        <is>
          <t>00000000</t>
        </is>
      </c>
      <c r="O1534" t="inlineStr">
        <is>
          <t>left</t>
        </is>
      </c>
      <c r="P1534" t="n">
        <v/>
      </c>
      <c r="R1534" t="b">
        <v>1</v>
      </c>
      <c r="S1534" t="n">
        <v/>
      </c>
      <c r="T1534" t="n">
        <v/>
      </c>
      <c r="U1534" t="n">
        <v/>
      </c>
      <c r="V1534" t="b">
        <v>0</v>
      </c>
      <c r="W1534" t="inlineStr"/>
      <c r="X1534" t="n">
        <v/>
      </c>
    </row>
    <row r="1535">
      <c r="A1535" t="inlineStr">
        <is>
          <t>ATF fuel</t>
        </is>
      </c>
      <c r="B1535" t="inlineStr">
        <is>
          <t>G157</t>
        </is>
      </c>
      <c r="C1535" t="n">
        <v>157</v>
      </c>
      <c r="D1535" t="n">
        <v>7</v>
      </c>
      <c r="E1535" t="inlineStr">
        <is>
          <t>Calculation</t>
        </is>
      </c>
      <c r="F1535" t="inlineStr">
        <is>
          <t>'=(1+(C157/C156)-1)*G156</t>
        </is>
      </c>
      <c r="G1535" t="n">
        <v>150.1292863381733</v>
      </c>
      <c r="H1535" t="inlineStr"/>
      <c r="I1535" t="inlineStr">
        <is>
          <t>General</t>
        </is>
      </c>
      <c r="J1535" t="b">
        <v>0</v>
      </c>
      <c r="K1535" t="b">
        <v>0</v>
      </c>
      <c r="L1535" t="n">
        <v>11</v>
      </c>
      <c r="M1535" t="inlineStr">
        <is>
          <t>Values must be of type &lt;class 'str'&gt;</t>
        </is>
      </c>
      <c r="N1535" t="inlineStr">
        <is>
          <t>00000000</t>
        </is>
      </c>
      <c r="O1535" t="inlineStr">
        <is>
          <t>left</t>
        </is>
      </c>
      <c r="P1535" t="n">
        <v/>
      </c>
      <c r="R1535" t="b">
        <v>1</v>
      </c>
      <c r="S1535" t="inlineStr">
        <is>
          <t>G000316</t>
        </is>
      </c>
      <c r="T1535" t="inlineStr">
        <is>
          <t>Horizontal</t>
        </is>
      </c>
      <c r="U1535" t="n">
        <v>3</v>
      </c>
      <c r="V1535" t="b">
        <v>1</v>
      </c>
      <c r="W1535" t="inlineStr">
        <is>
          <t>ATF fuel!G157:I157</t>
        </is>
      </c>
      <c r="X1535">
        <f>(1+(R[0]C[-4]/R[-1]C[-4])-1)*R[-1]C[0]</f>
        <v/>
      </c>
    </row>
    <row r="1536">
      <c r="A1536" t="inlineStr">
        <is>
          <t>ATF fuel</t>
        </is>
      </c>
      <c r="B1536" t="inlineStr">
        <is>
          <t>H157</t>
        </is>
      </c>
      <c r="C1536" t="n">
        <v>157</v>
      </c>
      <c r="D1536" t="n">
        <v>8</v>
      </c>
      <c r="E1536" t="inlineStr">
        <is>
          <t>Calculation</t>
        </is>
      </c>
      <c r="F1536" t="inlineStr">
        <is>
          <t>'=(1+(D157/D156)-1)*H156</t>
        </is>
      </c>
      <c r="G1536" t="n">
        <v>134.4184920730971</v>
      </c>
      <c r="H1536" t="inlineStr"/>
      <c r="I1536" t="inlineStr">
        <is>
          <t>General</t>
        </is>
      </c>
      <c r="J1536" t="b">
        <v>0</v>
      </c>
      <c r="K1536" t="b">
        <v>0</v>
      </c>
      <c r="L1536" t="n">
        <v>11</v>
      </c>
      <c r="M1536" t="inlineStr">
        <is>
          <t>Values must be of type &lt;class 'str'&gt;</t>
        </is>
      </c>
      <c r="N1536" t="inlineStr">
        <is>
          <t>00000000</t>
        </is>
      </c>
      <c r="O1536" t="inlineStr">
        <is>
          <t>left</t>
        </is>
      </c>
      <c r="P1536" t="n">
        <v/>
      </c>
      <c r="R1536" t="b">
        <v>1</v>
      </c>
      <c r="S1536" t="inlineStr">
        <is>
          <t>G000316</t>
        </is>
      </c>
      <c r="T1536" t="inlineStr">
        <is>
          <t>Horizontal</t>
        </is>
      </c>
      <c r="U1536" t="n">
        <v>3</v>
      </c>
      <c r="V1536" t="b">
        <v>1</v>
      </c>
      <c r="W1536" t="inlineStr">
        <is>
          <t>ATF fuel!G157:I157</t>
        </is>
      </c>
      <c r="X1536">
        <f>(1+(R[0]C[-4]/R[-1]C[-4])-1)*R[-1]C[0]</f>
        <v/>
      </c>
    </row>
    <row r="1537">
      <c r="A1537" t="inlineStr">
        <is>
          <t>ATF fuel</t>
        </is>
      </c>
      <c r="B1537" t="inlineStr">
        <is>
          <t>I157</t>
        </is>
      </c>
      <c r="C1537" t="n">
        <v>157</v>
      </c>
      <c r="D1537" t="n">
        <v>9</v>
      </c>
      <c r="E1537" t="inlineStr">
        <is>
          <t>Calculation</t>
        </is>
      </c>
      <c r="F1537" t="inlineStr">
        <is>
          <t>'=(1+(E157/E156)-1)*I156</t>
        </is>
      </c>
      <c r="G1537" t="n">
        <v>121.8029102093932</v>
      </c>
      <c r="H1537" t="inlineStr"/>
      <c r="I1537" t="inlineStr">
        <is>
          <t>General</t>
        </is>
      </c>
      <c r="J1537" t="b">
        <v>0</v>
      </c>
      <c r="K1537" t="b">
        <v>0</v>
      </c>
      <c r="L1537" t="n">
        <v>11</v>
      </c>
      <c r="M1537" t="inlineStr">
        <is>
          <t>Values must be of type &lt;class 'str'&gt;</t>
        </is>
      </c>
      <c r="N1537" t="inlineStr">
        <is>
          <t>00000000</t>
        </is>
      </c>
      <c r="O1537" t="inlineStr">
        <is>
          <t>left</t>
        </is>
      </c>
      <c r="P1537" t="n">
        <v/>
      </c>
      <c r="R1537" t="b">
        <v>1</v>
      </c>
      <c r="S1537" t="inlineStr">
        <is>
          <t>G000316</t>
        </is>
      </c>
      <c r="T1537" t="inlineStr">
        <is>
          <t>Horizontal</t>
        </is>
      </c>
      <c r="U1537" t="n">
        <v>3</v>
      </c>
      <c r="V1537" t="b">
        <v>1</v>
      </c>
      <c r="W1537" t="inlineStr">
        <is>
          <t>ATF fuel!G157:I157</t>
        </is>
      </c>
      <c r="X1537">
        <f>(1+(R[0]C[-4]/R[-1]C[-4])-1)*R[-1]C[0]</f>
        <v/>
      </c>
    </row>
    <row r="1538">
      <c r="A1538" t="inlineStr">
        <is>
          <t>ATF fuel</t>
        </is>
      </c>
      <c r="B1538" t="inlineStr">
        <is>
          <t>J157</t>
        </is>
      </c>
      <c r="C1538" t="n">
        <v>157</v>
      </c>
      <c r="D1538" t="n">
        <v>10</v>
      </c>
      <c r="E1538" t="inlineStr">
        <is>
          <t>Output</t>
        </is>
      </c>
      <c r="F1538" t="inlineStr">
        <is>
          <t>'=G157/H157-1</t>
        </is>
      </c>
      <c r="G1538" t="n">
        <v>0.1168797092034974</v>
      </c>
      <c r="H1538" t="inlineStr"/>
      <c r="I1538" t="inlineStr">
        <is>
          <t>0.0%</t>
        </is>
      </c>
      <c r="J1538" t="b">
        <v>0</v>
      </c>
      <c r="K1538" t="b">
        <v>0</v>
      </c>
      <c r="L1538" t="n">
        <v>11</v>
      </c>
      <c r="M1538" t="inlineStr">
        <is>
          <t>Values must be of type &lt;class 'str'&gt;</t>
        </is>
      </c>
      <c r="N1538" t="inlineStr">
        <is>
          <t>00000000</t>
        </is>
      </c>
      <c r="O1538" t="n">
        <v/>
      </c>
      <c r="P1538" t="n">
        <v/>
      </c>
      <c r="R1538" t="b">
        <v>1</v>
      </c>
      <c r="S1538" t="inlineStr">
        <is>
          <t>G000295</t>
        </is>
      </c>
      <c r="T1538" t="inlineStr">
        <is>
          <t>Vertical</t>
        </is>
      </c>
      <c r="U1538" t="n">
        <v>93</v>
      </c>
      <c r="V1538" t="b">
        <v>1</v>
      </c>
      <c r="W1538" t="inlineStr">
        <is>
          <t>ATF fuel!J136:J228</t>
        </is>
      </c>
      <c r="X1538">
        <f>R[0]C[-3]/R[0]C[-2]-1</f>
        <v/>
      </c>
    </row>
    <row r="1539">
      <c r="A1539" t="inlineStr">
        <is>
          <t>ATF fuel</t>
        </is>
      </c>
      <c r="B1539" t="inlineStr">
        <is>
          <t>B158</t>
        </is>
      </c>
      <c r="C1539" t="n">
        <v>158</v>
      </c>
      <c r="D1539" t="n">
        <v>2</v>
      </c>
      <c r="E1539" t="inlineStr">
        <is>
          <t>Input</t>
        </is>
      </c>
      <c r="F1539" t="n">
        <v/>
      </c>
      <c r="G1539" t="inlineStr">
        <is>
          <t>February 01, 2012</t>
        </is>
      </c>
      <c r="H1539" t="inlineStr"/>
      <c r="I1539" t="inlineStr">
        <is>
          <t>General</t>
        </is>
      </c>
      <c r="J1539" t="b">
        <v>0</v>
      </c>
      <c r="K1539" t="b">
        <v>0</v>
      </c>
      <c r="L1539" t="n">
        <v>11</v>
      </c>
      <c r="M1539" t="inlineStr">
        <is>
          <t>Values must be of type &lt;class 'str'&gt;</t>
        </is>
      </c>
      <c r="N1539" t="inlineStr">
        <is>
          <t>00000000</t>
        </is>
      </c>
      <c r="O1539" t="n">
        <v/>
      </c>
      <c r="P1539" t="n">
        <v/>
      </c>
      <c r="R1539" t="b">
        <v>1</v>
      </c>
      <c r="S1539" t="n">
        <v/>
      </c>
      <c r="T1539" t="n">
        <v/>
      </c>
      <c r="U1539" t="n">
        <v/>
      </c>
      <c r="V1539" t="b">
        <v>0</v>
      </c>
      <c r="W1539" t="inlineStr"/>
      <c r="X1539" t="n">
        <v/>
      </c>
    </row>
    <row r="1540">
      <c r="A1540" t="inlineStr">
        <is>
          <t>ATF fuel</t>
        </is>
      </c>
      <c r="B1540" t="inlineStr">
        <is>
          <t>C158</t>
        </is>
      </c>
      <c r="C1540" t="n">
        <v>158</v>
      </c>
      <c r="D1540" t="n">
        <v>3</v>
      </c>
      <c r="E1540" t="inlineStr">
        <is>
          <t>Input</t>
        </is>
      </c>
      <c r="F1540" t="n">
        <v/>
      </c>
      <c r="G1540" t="n">
        <v>66407.39</v>
      </c>
      <c r="H1540" t="inlineStr"/>
      <c r="I1540" t="inlineStr">
        <is>
          <t>General</t>
        </is>
      </c>
      <c r="J1540" t="b">
        <v>0</v>
      </c>
      <c r="K1540" t="b">
        <v>0</v>
      </c>
      <c r="L1540" t="n">
        <v>11</v>
      </c>
      <c r="M1540" t="inlineStr">
        <is>
          <t>Values must be of type &lt;class 'str'&gt;</t>
        </is>
      </c>
      <c r="N1540" t="inlineStr">
        <is>
          <t>00000000</t>
        </is>
      </c>
      <c r="O1540" t="n">
        <v/>
      </c>
      <c r="P1540" t="n">
        <v/>
      </c>
      <c r="R1540" t="b">
        <v>1</v>
      </c>
      <c r="S1540" t="n">
        <v/>
      </c>
      <c r="T1540" t="n">
        <v/>
      </c>
      <c r="U1540" t="n">
        <v/>
      </c>
      <c r="V1540" t="b">
        <v>0</v>
      </c>
      <c r="W1540" t="inlineStr"/>
      <c r="X1540" t="n">
        <v/>
      </c>
    </row>
    <row r="1541">
      <c r="A1541" t="inlineStr">
        <is>
          <t>ATF fuel</t>
        </is>
      </c>
      <c r="B1541" t="inlineStr">
        <is>
          <t>D158</t>
        </is>
      </c>
      <c r="C1541" t="n">
        <v>158</v>
      </c>
      <c r="D1541" t="n">
        <v>4</v>
      </c>
      <c r="E1541" t="inlineStr">
        <is>
          <t>Input</t>
        </is>
      </c>
      <c r="F1541" t="n">
        <v/>
      </c>
      <c r="G1541" t="n">
        <v>116.86</v>
      </c>
      <c r="H1541" t="inlineStr"/>
      <c r="I1541" t="inlineStr">
        <is>
          <t>General</t>
        </is>
      </c>
      <c r="J1541" t="b">
        <v>0</v>
      </c>
      <c r="K1541" t="b">
        <v>0</v>
      </c>
      <c r="L1541" t="n">
        <v>11</v>
      </c>
      <c r="M1541" t="inlineStr">
        <is>
          <t>Values must be of type &lt;class 'str'&gt;</t>
        </is>
      </c>
      <c r="N1541" t="inlineStr">
        <is>
          <t>00000000</t>
        </is>
      </c>
      <c r="O1541" t="n">
        <v/>
      </c>
      <c r="P1541" t="n">
        <v/>
      </c>
      <c r="R1541" t="b">
        <v>1</v>
      </c>
      <c r="S1541" t="n">
        <v/>
      </c>
      <c r="T1541" t="n">
        <v/>
      </c>
      <c r="U1541" t="n">
        <v/>
      </c>
      <c r="V1541" t="b">
        <v>0</v>
      </c>
      <c r="W1541" t="inlineStr"/>
      <c r="X1541" t="n">
        <v/>
      </c>
    </row>
    <row r="1542">
      <c r="A1542" t="inlineStr">
        <is>
          <t>ATF fuel</t>
        </is>
      </c>
      <c r="B1542" t="inlineStr">
        <is>
          <t>E158</t>
        </is>
      </c>
      <c r="C1542" t="n">
        <v>158</v>
      </c>
      <c r="D1542" t="n">
        <v>5</v>
      </c>
      <c r="E1542" t="inlineStr">
        <is>
          <t>Input</t>
        </is>
      </c>
      <c r="F1542" t="n">
        <v/>
      </c>
      <c r="G1542" t="n">
        <v>97.63</v>
      </c>
      <c r="H1542" t="inlineStr"/>
      <c r="I1542" t="inlineStr">
        <is>
          <t>General</t>
        </is>
      </c>
      <c r="J1542" t="b">
        <v>0</v>
      </c>
      <c r="K1542" t="b">
        <v>0</v>
      </c>
      <c r="L1542" t="n">
        <v>11</v>
      </c>
      <c r="M1542" t="inlineStr">
        <is>
          <t>Values must be of type &lt;class 'str'&gt;</t>
        </is>
      </c>
      <c r="N1542" t="inlineStr">
        <is>
          <t>00000000</t>
        </is>
      </c>
      <c r="O1542" t="n">
        <v/>
      </c>
      <c r="P1542" t="n">
        <v/>
      </c>
      <c r="R1542" t="b">
        <v>1</v>
      </c>
      <c r="S1542" t="n">
        <v/>
      </c>
      <c r="T1542" t="n">
        <v/>
      </c>
      <c r="U1542" t="n">
        <v/>
      </c>
      <c r="V1542" t="b">
        <v>0</v>
      </c>
      <c r="W1542" t="inlineStr"/>
      <c r="X1542" t="n">
        <v/>
      </c>
    </row>
    <row r="1543">
      <c r="A1543" t="inlineStr">
        <is>
          <t>ATF fuel</t>
        </is>
      </c>
      <c r="B1543" t="inlineStr">
        <is>
          <t>F158</t>
        </is>
      </c>
      <c r="C1543" t="n">
        <v>158</v>
      </c>
      <c r="D1543" t="n">
        <v>6</v>
      </c>
      <c r="E1543" t="inlineStr">
        <is>
          <t>Input</t>
        </is>
      </c>
      <c r="F1543" t="n">
        <v/>
      </c>
      <c r="G1543" t="inlineStr">
        <is>
          <t>February 01, 2012</t>
        </is>
      </c>
      <c r="H1543" t="inlineStr"/>
      <c r="I1543" t="inlineStr">
        <is>
          <t>General</t>
        </is>
      </c>
      <c r="J1543" t="b">
        <v>0</v>
      </c>
      <c r="K1543" t="b">
        <v>0</v>
      </c>
      <c r="L1543" t="n">
        <v>11</v>
      </c>
      <c r="M1543" t="inlineStr">
        <is>
          <t>Values must be of type &lt;class 'str'&gt;</t>
        </is>
      </c>
      <c r="N1543" t="inlineStr">
        <is>
          <t>00000000</t>
        </is>
      </c>
      <c r="O1543" t="inlineStr">
        <is>
          <t>left</t>
        </is>
      </c>
      <c r="P1543" t="n">
        <v/>
      </c>
      <c r="R1543" t="b">
        <v>1</v>
      </c>
      <c r="S1543" t="n">
        <v/>
      </c>
      <c r="T1543" t="n">
        <v/>
      </c>
      <c r="U1543" t="n">
        <v/>
      </c>
      <c r="V1543" t="b">
        <v>0</v>
      </c>
      <c r="W1543" t="inlineStr"/>
      <c r="X1543" t="n">
        <v/>
      </c>
    </row>
    <row r="1544">
      <c r="A1544" t="inlineStr">
        <is>
          <t>ATF fuel</t>
        </is>
      </c>
      <c r="B1544" t="inlineStr">
        <is>
          <t>G158</t>
        </is>
      </c>
      <c r="C1544" t="n">
        <v>158</v>
      </c>
      <c r="D1544" t="n">
        <v>7</v>
      </c>
      <c r="E1544" t="inlineStr">
        <is>
          <t>Calculation</t>
        </is>
      </c>
      <c r="F1544" t="inlineStr">
        <is>
          <t>'=(1+(C158/C157)-1)*G157</t>
        </is>
      </c>
      <c r="G1544" t="n">
        <v>149.6949768891828</v>
      </c>
      <c r="H1544" t="inlineStr"/>
      <c r="I1544" t="inlineStr">
        <is>
          <t>General</t>
        </is>
      </c>
      <c r="J1544" t="b">
        <v>0</v>
      </c>
      <c r="K1544" t="b">
        <v>0</v>
      </c>
      <c r="L1544" t="n">
        <v>11</v>
      </c>
      <c r="M1544" t="inlineStr">
        <is>
          <t>Values must be of type &lt;class 'str'&gt;</t>
        </is>
      </c>
      <c r="N1544" t="inlineStr">
        <is>
          <t>00000000</t>
        </is>
      </c>
      <c r="O1544" t="inlineStr">
        <is>
          <t>left</t>
        </is>
      </c>
      <c r="P1544" t="n">
        <v/>
      </c>
      <c r="R1544" t="b">
        <v>1</v>
      </c>
      <c r="S1544" t="inlineStr">
        <is>
          <t>G000317</t>
        </is>
      </c>
      <c r="T1544" t="inlineStr">
        <is>
          <t>Horizontal</t>
        </is>
      </c>
      <c r="U1544" t="n">
        <v>3</v>
      </c>
      <c r="V1544" t="b">
        <v>1</v>
      </c>
      <c r="W1544" t="inlineStr">
        <is>
          <t>ATF fuel!G158:I158</t>
        </is>
      </c>
      <c r="X1544">
        <f>(1+(R[0]C[-4]/R[-1]C[-4])-1)*R[-1]C[0]</f>
        <v/>
      </c>
    </row>
    <row r="1545">
      <c r="A1545" t="inlineStr">
        <is>
          <t>ATF fuel</t>
        </is>
      </c>
      <c r="B1545" t="inlineStr">
        <is>
          <t>H158</t>
        </is>
      </c>
      <c r="C1545" t="n">
        <v>158</v>
      </c>
      <c r="D1545" t="n">
        <v>8</v>
      </c>
      <c r="E1545" t="inlineStr">
        <is>
          <t>Calculation</t>
        </is>
      </c>
      <c r="F1545" t="inlineStr">
        <is>
          <t>'=(1+(D158/D157)-1)*H157</t>
        </is>
      </c>
      <c r="G1545" t="n">
        <v>141.4256323369238</v>
      </c>
      <c r="H1545" t="inlineStr"/>
      <c r="I1545" t="inlineStr">
        <is>
          <t>General</t>
        </is>
      </c>
      <c r="J1545" t="b">
        <v>0</v>
      </c>
      <c r="K1545" t="b">
        <v>0</v>
      </c>
      <c r="L1545" t="n">
        <v>11</v>
      </c>
      <c r="M1545" t="inlineStr">
        <is>
          <t>Values must be of type &lt;class 'str'&gt;</t>
        </is>
      </c>
      <c r="N1545" t="inlineStr">
        <is>
          <t>00000000</t>
        </is>
      </c>
      <c r="O1545" t="inlineStr">
        <is>
          <t>left</t>
        </is>
      </c>
      <c r="P1545" t="n">
        <v/>
      </c>
      <c r="R1545" t="b">
        <v>1</v>
      </c>
      <c r="S1545" t="inlineStr">
        <is>
          <t>G000317</t>
        </is>
      </c>
      <c r="T1545" t="inlineStr">
        <is>
          <t>Horizontal</t>
        </is>
      </c>
      <c r="U1545" t="n">
        <v>3</v>
      </c>
      <c r="V1545" t="b">
        <v>1</v>
      </c>
      <c r="W1545" t="inlineStr">
        <is>
          <t>ATF fuel!G158:I158</t>
        </is>
      </c>
      <c r="X1545">
        <f>(1+(R[0]C[-4]/R[-1]C[-4])-1)*R[-1]C[0]</f>
        <v/>
      </c>
    </row>
    <row r="1546">
      <c r="A1546" t="inlineStr">
        <is>
          <t>ATF fuel</t>
        </is>
      </c>
      <c r="B1546" t="inlineStr">
        <is>
          <t>I158</t>
        </is>
      </c>
      <c r="C1546" t="n">
        <v>158</v>
      </c>
      <c r="D1546" t="n">
        <v>9</v>
      </c>
      <c r="E1546" t="inlineStr">
        <is>
          <t>Calculation</t>
        </is>
      </c>
      <c r="F1546" t="inlineStr">
        <is>
          <t>'=(1+(E158/E157)-1)*I157</t>
        </is>
      </c>
      <c r="G1546" t="n">
        <v>115.4974565243109</v>
      </c>
      <c r="H1546" t="inlineStr"/>
      <c r="I1546" t="inlineStr">
        <is>
          <t>General</t>
        </is>
      </c>
      <c r="J1546" t="b">
        <v>0</v>
      </c>
      <c r="K1546" t="b">
        <v>0</v>
      </c>
      <c r="L1546" t="n">
        <v>11</v>
      </c>
      <c r="M1546" t="inlineStr">
        <is>
          <t>Values must be of type &lt;class 'str'&gt;</t>
        </is>
      </c>
      <c r="N1546" t="inlineStr">
        <is>
          <t>00000000</t>
        </is>
      </c>
      <c r="O1546" t="inlineStr">
        <is>
          <t>left</t>
        </is>
      </c>
      <c r="P1546" t="n">
        <v/>
      </c>
      <c r="R1546" t="b">
        <v>1</v>
      </c>
      <c r="S1546" t="inlineStr">
        <is>
          <t>G000317</t>
        </is>
      </c>
      <c r="T1546" t="inlineStr">
        <is>
          <t>Horizontal</t>
        </is>
      </c>
      <c r="U1546" t="n">
        <v>3</v>
      </c>
      <c r="V1546" t="b">
        <v>1</v>
      </c>
      <c r="W1546" t="inlineStr">
        <is>
          <t>ATF fuel!G158:I158</t>
        </is>
      </c>
      <c r="X1546">
        <f>(1+(R[0]C[-4]/R[-1]C[-4])-1)*R[-1]C[0]</f>
        <v/>
      </c>
    </row>
    <row r="1547">
      <c r="A1547" t="inlineStr">
        <is>
          <t>ATF fuel</t>
        </is>
      </c>
      <c r="B1547" t="inlineStr">
        <is>
          <t>J158</t>
        </is>
      </c>
      <c r="C1547" t="n">
        <v>158</v>
      </c>
      <c r="D1547" t="n">
        <v>10</v>
      </c>
      <c r="E1547" t="inlineStr">
        <is>
          <t>Output</t>
        </is>
      </c>
      <c r="F1547" t="inlineStr">
        <is>
          <t>'=G158/H158-1</t>
        </is>
      </c>
      <c r="G1547" t="n">
        <v>0.05847132811510902</v>
      </c>
      <c r="H1547" t="inlineStr"/>
      <c r="I1547" t="inlineStr">
        <is>
          <t>0.0%</t>
        </is>
      </c>
      <c r="J1547" t="b">
        <v>0</v>
      </c>
      <c r="K1547" t="b">
        <v>0</v>
      </c>
      <c r="L1547" t="n">
        <v>11</v>
      </c>
      <c r="M1547" t="inlineStr">
        <is>
          <t>Values must be of type &lt;class 'str'&gt;</t>
        </is>
      </c>
      <c r="N1547" t="inlineStr">
        <is>
          <t>00000000</t>
        </is>
      </c>
      <c r="O1547" t="n">
        <v/>
      </c>
      <c r="P1547" t="n">
        <v/>
      </c>
      <c r="R1547" t="b">
        <v>1</v>
      </c>
      <c r="S1547" t="inlineStr">
        <is>
          <t>G000295</t>
        </is>
      </c>
      <c r="T1547" t="inlineStr">
        <is>
          <t>Vertical</t>
        </is>
      </c>
      <c r="U1547" t="n">
        <v>93</v>
      </c>
      <c r="V1547" t="b">
        <v>1</v>
      </c>
      <c r="W1547" t="inlineStr">
        <is>
          <t>ATF fuel!J136:J228</t>
        </is>
      </c>
      <c r="X1547">
        <f>R[0]C[-3]/R[0]C[-2]-1</f>
        <v/>
      </c>
    </row>
    <row r="1548">
      <c r="A1548" t="inlineStr">
        <is>
          <t>ATF fuel</t>
        </is>
      </c>
      <c r="B1548" t="inlineStr">
        <is>
          <t>B159</t>
        </is>
      </c>
      <c r="C1548" t="n">
        <v>159</v>
      </c>
      <c r="D1548" t="n">
        <v>2</v>
      </c>
      <c r="E1548" t="inlineStr">
        <is>
          <t>Input</t>
        </is>
      </c>
      <c r="F1548" t="n">
        <v/>
      </c>
      <c r="G1548" t="inlineStr">
        <is>
          <t>March 01, 2012</t>
        </is>
      </c>
      <c r="H1548" t="inlineStr"/>
      <c r="I1548" t="inlineStr">
        <is>
          <t>General</t>
        </is>
      </c>
      <c r="J1548" t="b">
        <v>0</v>
      </c>
      <c r="K1548" t="b">
        <v>0</v>
      </c>
      <c r="L1548" t="n">
        <v>11</v>
      </c>
      <c r="M1548" t="inlineStr">
        <is>
          <t>Values must be of type &lt;class 'str'&gt;</t>
        </is>
      </c>
      <c r="N1548" t="inlineStr">
        <is>
          <t>00000000</t>
        </is>
      </c>
      <c r="O1548" t="n">
        <v/>
      </c>
      <c r="P1548" t="n">
        <v/>
      </c>
      <c r="R1548" t="b">
        <v>1</v>
      </c>
      <c r="S1548" t="n">
        <v/>
      </c>
      <c r="T1548" t="n">
        <v/>
      </c>
      <c r="U1548" t="n">
        <v/>
      </c>
      <c r="V1548" t="b">
        <v>0</v>
      </c>
      <c r="W1548" t="inlineStr"/>
      <c r="X1548" t="n">
        <v/>
      </c>
    </row>
    <row r="1549">
      <c r="A1549" t="inlineStr">
        <is>
          <t>ATF fuel</t>
        </is>
      </c>
      <c r="B1549" t="inlineStr">
        <is>
          <t>C159</t>
        </is>
      </c>
      <c r="C1549" t="n">
        <v>159</v>
      </c>
      <c r="D1549" t="n">
        <v>3</v>
      </c>
      <c r="E1549" t="inlineStr">
        <is>
          <t>Input</t>
        </is>
      </c>
      <c r="F1549" t="n">
        <v/>
      </c>
      <c r="G1549" t="n">
        <v>68179.9025</v>
      </c>
      <c r="H1549" t="inlineStr"/>
      <c r="I1549" t="inlineStr">
        <is>
          <t>General</t>
        </is>
      </c>
      <c r="J1549" t="b">
        <v>0</v>
      </c>
      <c r="K1549" t="b">
        <v>0</v>
      </c>
      <c r="L1549" t="n">
        <v>11</v>
      </c>
      <c r="M1549" t="inlineStr">
        <is>
          <t>Values must be of type &lt;class 'str'&gt;</t>
        </is>
      </c>
      <c r="N1549" t="inlineStr">
        <is>
          <t>00000000</t>
        </is>
      </c>
      <c r="O1549" t="n">
        <v/>
      </c>
      <c r="P1549" t="n">
        <v/>
      </c>
      <c r="R1549" t="b">
        <v>1</v>
      </c>
      <c r="S1549" t="n">
        <v/>
      </c>
      <c r="T1549" t="n">
        <v/>
      </c>
      <c r="U1549" t="n">
        <v/>
      </c>
      <c r="V1549" t="b">
        <v>0</v>
      </c>
      <c r="W1549" t="inlineStr"/>
      <c r="X1549" t="n">
        <v/>
      </c>
    </row>
    <row r="1550">
      <c r="A1550" t="inlineStr">
        <is>
          <t>ATF fuel</t>
        </is>
      </c>
      <c r="B1550" t="inlineStr">
        <is>
          <t>D159</t>
        </is>
      </c>
      <c r="C1550" t="n">
        <v>159</v>
      </c>
      <c r="D1550" t="n">
        <v>4</v>
      </c>
      <c r="E1550" t="inlineStr">
        <is>
          <t>Input</t>
        </is>
      </c>
      <c r="F1550" t="n">
        <v/>
      </c>
      <c r="G1550" t="n">
        <v>125.37</v>
      </c>
      <c r="H1550" t="inlineStr"/>
      <c r="I1550" t="inlineStr">
        <is>
          <t>General</t>
        </is>
      </c>
      <c r="J1550" t="b">
        <v>0</v>
      </c>
      <c r="K1550" t="b">
        <v>0</v>
      </c>
      <c r="L1550" t="n">
        <v>11</v>
      </c>
      <c r="M1550" t="inlineStr">
        <is>
          <t>Values must be of type &lt;class 'str'&gt;</t>
        </is>
      </c>
      <c r="N1550" t="inlineStr">
        <is>
          <t>00000000</t>
        </is>
      </c>
      <c r="O1550" t="n">
        <v/>
      </c>
      <c r="P1550" t="n">
        <v/>
      </c>
      <c r="R1550" t="b">
        <v>1</v>
      </c>
      <c r="S1550" t="n">
        <v/>
      </c>
      <c r="T1550" t="n">
        <v/>
      </c>
      <c r="U1550" t="n">
        <v/>
      </c>
      <c r="V1550" t="b">
        <v>0</v>
      </c>
      <c r="W1550" t="inlineStr"/>
      <c r="X1550" t="n">
        <v/>
      </c>
    </row>
    <row r="1551">
      <c r="A1551" t="inlineStr">
        <is>
          <t>ATF fuel</t>
        </is>
      </c>
      <c r="B1551" t="inlineStr">
        <is>
          <t>E159</t>
        </is>
      </c>
      <c r="C1551" t="n">
        <v>159</v>
      </c>
      <c r="D1551" t="n">
        <v>5</v>
      </c>
      <c r="E1551" t="inlineStr">
        <is>
          <t>Input</t>
        </is>
      </c>
      <c r="F1551" t="n">
        <v/>
      </c>
      <c r="G1551" t="n">
        <v>108.76</v>
      </c>
      <c r="H1551" t="inlineStr"/>
      <c r="I1551" t="inlineStr">
        <is>
          <t>General</t>
        </is>
      </c>
      <c r="J1551" t="b">
        <v>0</v>
      </c>
      <c r="K1551" t="b">
        <v>0</v>
      </c>
      <c r="L1551" t="n">
        <v>11</v>
      </c>
      <c r="M1551" t="inlineStr">
        <is>
          <t>Values must be of type &lt;class 'str'&gt;</t>
        </is>
      </c>
      <c r="N1551" t="inlineStr">
        <is>
          <t>00000000</t>
        </is>
      </c>
      <c r="O1551" t="n">
        <v/>
      </c>
      <c r="P1551" t="n">
        <v/>
      </c>
      <c r="R1551" t="b">
        <v>1</v>
      </c>
      <c r="S1551" t="n">
        <v/>
      </c>
      <c r="T1551" t="n">
        <v/>
      </c>
      <c r="U1551" t="n">
        <v/>
      </c>
      <c r="V1551" t="b">
        <v>0</v>
      </c>
      <c r="W1551" t="inlineStr"/>
      <c r="X1551" t="n">
        <v/>
      </c>
    </row>
    <row r="1552">
      <c r="A1552" t="inlineStr">
        <is>
          <t>ATF fuel</t>
        </is>
      </c>
      <c r="B1552" t="inlineStr">
        <is>
          <t>F159</t>
        </is>
      </c>
      <c r="C1552" t="n">
        <v>159</v>
      </c>
      <c r="D1552" t="n">
        <v>6</v>
      </c>
      <c r="E1552" t="inlineStr">
        <is>
          <t>Input</t>
        </is>
      </c>
      <c r="F1552" t="n">
        <v/>
      </c>
      <c r="G1552" t="inlineStr">
        <is>
          <t>March 01, 2012</t>
        </is>
      </c>
      <c r="H1552" t="inlineStr"/>
      <c r="I1552" t="inlineStr">
        <is>
          <t>General</t>
        </is>
      </c>
      <c r="J1552" t="b">
        <v>0</v>
      </c>
      <c r="K1552" t="b">
        <v>0</v>
      </c>
      <c r="L1552" t="n">
        <v>11</v>
      </c>
      <c r="M1552" t="inlineStr">
        <is>
          <t>Values must be of type &lt;class 'str'&gt;</t>
        </is>
      </c>
      <c r="N1552" t="inlineStr">
        <is>
          <t>00000000</t>
        </is>
      </c>
      <c r="O1552" t="inlineStr">
        <is>
          <t>left</t>
        </is>
      </c>
      <c r="P1552" t="n">
        <v/>
      </c>
      <c r="R1552" t="b">
        <v>1</v>
      </c>
      <c r="S1552" t="n">
        <v/>
      </c>
      <c r="T1552" t="n">
        <v/>
      </c>
      <c r="U1552" t="n">
        <v/>
      </c>
      <c r="V1552" t="b">
        <v>0</v>
      </c>
      <c r="W1552" t="inlineStr"/>
      <c r="X1552" t="n">
        <v/>
      </c>
    </row>
    <row r="1553">
      <c r="A1553" t="inlineStr">
        <is>
          <t>ATF fuel</t>
        </is>
      </c>
      <c r="B1553" t="inlineStr">
        <is>
          <t>G159</t>
        </is>
      </c>
      <c r="C1553" t="n">
        <v>159</v>
      </c>
      <c r="D1553" t="n">
        <v>7</v>
      </c>
      <c r="E1553" t="inlineStr">
        <is>
          <t>Calculation</t>
        </is>
      </c>
      <c r="F1553" t="inlineStr">
        <is>
          <t>'=(1+(C159/C158)-1)*G158</t>
        </is>
      </c>
      <c r="G1553" t="n">
        <v>153.6905595754363</v>
      </c>
      <c r="H1553" t="inlineStr"/>
      <c r="I1553" t="inlineStr">
        <is>
          <t>General</t>
        </is>
      </c>
      <c r="J1553" t="b">
        <v>0</v>
      </c>
      <c r="K1553" t="b">
        <v>0</v>
      </c>
      <c r="L1553" t="n">
        <v>11</v>
      </c>
      <c r="M1553" t="inlineStr">
        <is>
          <t>Values must be of type &lt;class 'str'&gt;</t>
        </is>
      </c>
      <c r="N1553" t="inlineStr">
        <is>
          <t>00000000</t>
        </is>
      </c>
      <c r="O1553" t="inlineStr">
        <is>
          <t>left</t>
        </is>
      </c>
      <c r="P1553" t="n">
        <v/>
      </c>
      <c r="R1553" t="b">
        <v>1</v>
      </c>
      <c r="S1553" t="inlineStr">
        <is>
          <t>G000318</t>
        </is>
      </c>
      <c r="T1553" t="inlineStr">
        <is>
          <t>Horizontal</t>
        </is>
      </c>
      <c r="U1553" t="n">
        <v>3</v>
      </c>
      <c r="V1553" t="b">
        <v>1</v>
      </c>
      <c r="W1553" t="inlineStr">
        <is>
          <t>ATF fuel!G159:I159</t>
        </is>
      </c>
      <c r="X1553">
        <f>(1+(R[0]C[-4]/R[-1]C[-4])-1)*R[-1]C[0]</f>
        <v/>
      </c>
    </row>
    <row r="1554">
      <c r="A1554" t="inlineStr">
        <is>
          <t>ATF fuel</t>
        </is>
      </c>
      <c r="B1554" t="inlineStr">
        <is>
          <t>H159</t>
        </is>
      </c>
      <c r="C1554" t="n">
        <v>159</v>
      </c>
      <c r="D1554" t="n">
        <v>8</v>
      </c>
      <c r="E1554" t="inlineStr">
        <is>
          <t>Calculation</t>
        </is>
      </c>
      <c r="F1554" t="inlineStr">
        <is>
          <t>'=(1+(D159/D158)-1)*H158</t>
        </is>
      </c>
      <c r="G1554" t="n">
        <v>151.7245552462788</v>
      </c>
      <c r="H1554" t="inlineStr"/>
      <c r="I1554" t="inlineStr">
        <is>
          <t>General</t>
        </is>
      </c>
      <c r="J1554" t="b">
        <v>0</v>
      </c>
      <c r="K1554" t="b">
        <v>0</v>
      </c>
      <c r="L1554" t="n">
        <v>11</v>
      </c>
      <c r="M1554" t="inlineStr">
        <is>
          <t>Values must be of type &lt;class 'str'&gt;</t>
        </is>
      </c>
      <c r="N1554" t="inlineStr">
        <is>
          <t>00000000</t>
        </is>
      </c>
      <c r="O1554" t="inlineStr">
        <is>
          <t>left</t>
        </is>
      </c>
      <c r="P1554" t="n">
        <v/>
      </c>
      <c r="R1554" t="b">
        <v>1</v>
      </c>
      <c r="S1554" t="inlineStr">
        <is>
          <t>G000318</t>
        </is>
      </c>
      <c r="T1554" t="inlineStr">
        <is>
          <t>Horizontal</t>
        </is>
      </c>
      <c r="U1554" t="n">
        <v>3</v>
      </c>
      <c r="V1554" t="b">
        <v>1</v>
      </c>
      <c r="W1554" t="inlineStr">
        <is>
          <t>ATF fuel!G159:I159</t>
        </is>
      </c>
      <c r="X1554">
        <f>(1+(R[0]C[-4]/R[-1]C[-4])-1)*R[-1]C[0]</f>
        <v/>
      </c>
    </row>
    <row r="1555">
      <c r="A1555" t="inlineStr">
        <is>
          <t>ATF fuel</t>
        </is>
      </c>
      <c r="B1555" t="inlineStr">
        <is>
          <t>I159</t>
        </is>
      </c>
      <c r="C1555" t="n">
        <v>159</v>
      </c>
      <c r="D1555" t="n">
        <v>9</v>
      </c>
      <c r="E1555" t="inlineStr">
        <is>
          <t>Calculation</t>
        </is>
      </c>
      <c r="F1555" t="inlineStr">
        <is>
          <t>'=(1+(E159/E158)-1)*I158</t>
        </is>
      </c>
      <c r="G1555" t="n">
        <v>128.6643795102331</v>
      </c>
      <c r="H1555" t="inlineStr"/>
      <c r="I1555" t="inlineStr">
        <is>
          <t>General</t>
        </is>
      </c>
      <c r="J1555" t="b">
        <v>0</v>
      </c>
      <c r="K1555" t="b">
        <v>0</v>
      </c>
      <c r="L1555" t="n">
        <v>11</v>
      </c>
      <c r="M1555" t="inlineStr">
        <is>
          <t>Values must be of type &lt;class 'str'&gt;</t>
        </is>
      </c>
      <c r="N1555" t="inlineStr">
        <is>
          <t>00000000</t>
        </is>
      </c>
      <c r="O1555" t="inlineStr">
        <is>
          <t>left</t>
        </is>
      </c>
      <c r="P1555" t="n">
        <v/>
      </c>
      <c r="R1555" t="b">
        <v>1</v>
      </c>
      <c r="S1555" t="inlineStr">
        <is>
          <t>G000318</t>
        </is>
      </c>
      <c r="T1555" t="inlineStr">
        <is>
          <t>Horizontal</t>
        </is>
      </c>
      <c r="U1555" t="n">
        <v>3</v>
      </c>
      <c r="V1555" t="b">
        <v>1</v>
      </c>
      <c r="W1555" t="inlineStr">
        <is>
          <t>ATF fuel!G159:I159</t>
        </is>
      </c>
      <c r="X1555">
        <f>(1+(R[0]C[-4]/R[-1]C[-4])-1)*R[-1]C[0]</f>
        <v/>
      </c>
    </row>
    <row r="1556">
      <c r="A1556" t="inlineStr">
        <is>
          <t>ATF fuel</t>
        </is>
      </c>
      <c r="B1556" t="inlineStr">
        <is>
          <t>J159</t>
        </is>
      </c>
      <c r="C1556" t="n">
        <v>159</v>
      </c>
      <c r="D1556" t="n">
        <v>10</v>
      </c>
      <c r="E1556" t="inlineStr">
        <is>
          <t>Output</t>
        </is>
      </c>
      <c r="F1556" t="inlineStr">
        <is>
          <t>'=G159/H159-1</t>
        </is>
      </c>
      <c r="G1556" t="n">
        <v>0.01295772016577246</v>
      </c>
      <c r="H1556" t="inlineStr"/>
      <c r="I1556" t="inlineStr">
        <is>
          <t>0.0%</t>
        </is>
      </c>
      <c r="J1556" t="b">
        <v>0</v>
      </c>
      <c r="K1556" t="b">
        <v>0</v>
      </c>
      <c r="L1556" t="n">
        <v>11</v>
      </c>
      <c r="M1556" t="inlineStr">
        <is>
          <t>Values must be of type &lt;class 'str'&gt;</t>
        </is>
      </c>
      <c r="N1556" t="inlineStr">
        <is>
          <t>00000000</t>
        </is>
      </c>
      <c r="O1556" t="n">
        <v/>
      </c>
      <c r="P1556" t="n">
        <v/>
      </c>
      <c r="R1556" t="b">
        <v>1</v>
      </c>
      <c r="S1556" t="inlineStr">
        <is>
          <t>G000295</t>
        </is>
      </c>
      <c r="T1556" t="inlineStr">
        <is>
          <t>Vertical</t>
        </is>
      </c>
      <c r="U1556" t="n">
        <v>93</v>
      </c>
      <c r="V1556" t="b">
        <v>1</v>
      </c>
      <c r="W1556" t="inlineStr">
        <is>
          <t>ATF fuel!J136:J228</t>
        </is>
      </c>
      <c r="X1556">
        <f>R[0]C[-3]/R[0]C[-2]-1</f>
        <v/>
      </c>
    </row>
    <row r="1557">
      <c r="A1557" t="inlineStr">
        <is>
          <t>ATF fuel</t>
        </is>
      </c>
      <c r="B1557" t="inlineStr">
        <is>
          <t>B160</t>
        </is>
      </c>
      <c r="C1557" t="n">
        <v>160</v>
      </c>
      <c r="D1557" t="n">
        <v>2</v>
      </c>
      <c r="E1557" t="inlineStr">
        <is>
          <t>Input</t>
        </is>
      </c>
      <c r="F1557" t="n">
        <v/>
      </c>
      <c r="G1557" t="inlineStr">
        <is>
          <t>April 01, 2012</t>
        </is>
      </c>
      <c r="H1557" t="inlineStr"/>
      <c r="I1557" t="inlineStr">
        <is>
          <t>General</t>
        </is>
      </c>
      <c r="J1557" t="b">
        <v>0</v>
      </c>
      <c r="K1557" t="b">
        <v>0</v>
      </c>
      <c r="L1557" t="n">
        <v>11</v>
      </c>
      <c r="M1557" t="inlineStr">
        <is>
          <t>Values must be of type &lt;class 'str'&gt;</t>
        </is>
      </c>
      <c r="N1557" t="inlineStr">
        <is>
          <t>00000000</t>
        </is>
      </c>
      <c r="O1557" t="n">
        <v/>
      </c>
      <c r="P1557" t="n">
        <v/>
      </c>
      <c r="R1557" t="b">
        <v>1</v>
      </c>
      <c r="S1557" t="n">
        <v/>
      </c>
      <c r="T1557" t="n">
        <v/>
      </c>
      <c r="U1557" t="n">
        <v/>
      </c>
      <c r="V1557" t="b">
        <v>0</v>
      </c>
      <c r="W1557" t="inlineStr"/>
      <c r="X1557" t="n">
        <v/>
      </c>
    </row>
    <row r="1558">
      <c r="A1558" t="inlineStr">
        <is>
          <t>ATF fuel</t>
        </is>
      </c>
      <c r="B1558" t="inlineStr">
        <is>
          <t>C160</t>
        </is>
      </c>
      <c r="C1558" t="n">
        <v>160</v>
      </c>
      <c r="D1558" t="n">
        <v>3</v>
      </c>
      <c r="E1558" t="inlineStr">
        <is>
          <t>Input</t>
        </is>
      </c>
      <c r="F1558" t="n">
        <v/>
      </c>
      <c r="G1558" t="n">
        <v>71514.10250000001</v>
      </c>
      <c r="H1558" t="inlineStr"/>
      <c r="I1558" t="inlineStr">
        <is>
          <t>General</t>
        </is>
      </c>
      <c r="J1558" t="b">
        <v>0</v>
      </c>
      <c r="K1558" t="b">
        <v>0</v>
      </c>
      <c r="L1558" t="n">
        <v>11</v>
      </c>
      <c r="M1558" t="inlineStr">
        <is>
          <t>Values must be of type &lt;class 'str'&gt;</t>
        </is>
      </c>
      <c r="N1558" t="inlineStr">
        <is>
          <t>00000000</t>
        </is>
      </c>
      <c r="O1558" t="n">
        <v/>
      </c>
      <c r="P1558" t="n">
        <v/>
      </c>
      <c r="R1558" t="b">
        <v>1</v>
      </c>
      <c r="S1558" t="n">
        <v/>
      </c>
      <c r="T1558" t="n">
        <v/>
      </c>
      <c r="U1558" t="n">
        <v/>
      </c>
      <c r="V1558" t="b">
        <v>0</v>
      </c>
      <c r="W1558" t="inlineStr"/>
      <c r="X1558" t="n">
        <v/>
      </c>
    </row>
    <row r="1559">
      <c r="A1559" t="inlineStr">
        <is>
          <t>ATF fuel</t>
        </is>
      </c>
      <c r="B1559" t="inlineStr">
        <is>
          <t>D160</t>
        </is>
      </c>
      <c r="C1559" t="n">
        <v>160</v>
      </c>
      <c r="D1559" t="n">
        <v>4</v>
      </c>
      <c r="E1559" t="inlineStr">
        <is>
          <t>Input</t>
        </is>
      </c>
      <c r="F1559" t="n">
        <v/>
      </c>
      <c r="G1559" t="n">
        <v>121.89</v>
      </c>
      <c r="H1559" t="inlineStr"/>
      <c r="I1559" t="inlineStr">
        <is>
          <t>General</t>
        </is>
      </c>
      <c r="J1559" t="b">
        <v>0</v>
      </c>
      <c r="K1559" t="b">
        <v>0</v>
      </c>
      <c r="L1559" t="n">
        <v>11</v>
      </c>
      <c r="M1559" t="inlineStr">
        <is>
          <t>Values must be of type &lt;class 'str'&gt;</t>
        </is>
      </c>
      <c r="N1559" t="inlineStr">
        <is>
          <t>00000000</t>
        </is>
      </c>
      <c r="O1559" t="n">
        <v/>
      </c>
      <c r="P1559" t="n">
        <v/>
      </c>
      <c r="R1559" t="b">
        <v>1</v>
      </c>
      <c r="S1559" t="n">
        <v/>
      </c>
      <c r="T1559" t="n">
        <v/>
      </c>
      <c r="U1559" t="n">
        <v/>
      </c>
      <c r="V1559" t="b">
        <v>0</v>
      </c>
      <c r="W1559" t="inlineStr"/>
      <c r="X1559" t="n">
        <v/>
      </c>
    </row>
    <row r="1560">
      <c r="A1560" t="inlineStr">
        <is>
          <t>ATF fuel</t>
        </is>
      </c>
      <c r="B1560" t="inlineStr">
        <is>
          <t>E160</t>
        </is>
      </c>
      <c r="C1560" t="n">
        <v>160</v>
      </c>
      <c r="D1560" t="n">
        <v>5</v>
      </c>
      <c r="E1560" t="inlineStr">
        <is>
          <t>Input</t>
        </is>
      </c>
      <c r="F1560" t="n">
        <v/>
      </c>
      <c r="G1560" t="n">
        <v>105.25</v>
      </c>
      <c r="H1560" t="inlineStr"/>
      <c r="I1560" t="inlineStr">
        <is>
          <t>General</t>
        </is>
      </c>
      <c r="J1560" t="b">
        <v>0</v>
      </c>
      <c r="K1560" t="b">
        <v>0</v>
      </c>
      <c r="L1560" t="n">
        <v>11</v>
      </c>
      <c r="M1560" t="inlineStr">
        <is>
          <t>Values must be of type &lt;class 'str'&gt;</t>
        </is>
      </c>
      <c r="N1560" t="inlineStr">
        <is>
          <t>00000000</t>
        </is>
      </c>
      <c r="O1560" t="n">
        <v/>
      </c>
      <c r="P1560" t="n">
        <v/>
      </c>
      <c r="R1560" t="b">
        <v>1</v>
      </c>
      <c r="S1560" t="n">
        <v/>
      </c>
      <c r="T1560" t="n">
        <v/>
      </c>
      <c r="U1560" t="n">
        <v/>
      </c>
      <c r="V1560" t="b">
        <v>0</v>
      </c>
      <c r="W1560" t="inlineStr"/>
      <c r="X1560" t="n">
        <v/>
      </c>
    </row>
    <row r="1561">
      <c r="A1561" t="inlineStr">
        <is>
          <t>ATF fuel</t>
        </is>
      </c>
      <c r="B1561" t="inlineStr">
        <is>
          <t>F160</t>
        </is>
      </c>
      <c r="C1561" t="n">
        <v>160</v>
      </c>
      <c r="D1561" t="n">
        <v>6</v>
      </c>
      <c r="E1561" t="inlineStr">
        <is>
          <t>Input</t>
        </is>
      </c>
      <c r="F1561" t="n">
        <v/>
      </c>
      <c r="G1561" t="inlineStr">
        <is>
          <t>April 01, 2012</t>
        </is>
      </c>
      <c r="H1561" t="inlineStr"/>
      <c r="I1561" t="inlineStr">
        <is>
          <t>General</t>
        </is>
      </c>
      <c r="J1561" t="b">
        <v>0</v>
      </c>
      <c r="K1561" t="b">
        <v>0</v>
      </c>
      <c r="L1561" t="n">
        <v>11</v>
      </c>
      <c r="M1561" t="inlineStr">
        <is>
          <t>Values must be of type &lt;class 'str'&gt;</t>
        </is>
      </c>
      <c r="N1561" t="inlineStr">
        <is>
          <t>00000000</t>
        </is>
      </c>
      <c r="O1561" t="inlineStr">
        <is>
          <t>left</t>
        </is>
      </c>
      <c r="P1561" t="n">
        <v/>
      </c>
      <c r="R1561" t="b">
        <v>1</v>
      </c>
      <c r="S1561" t="n">
        <v/>
      </c>
      <c r="T1561" t="n">
        <v/>
      </c>
      <c r="U1561" t="n">
        <v/>
      </c>
      <c r="V1561" t="b">
        <v>0</v>
      </c>
      <c r="W1561" t="inlineStr"/>
      <c r="X1561" t="n">
        <v/>
      </c>
    </row>
    <row r="1562">
      <c r="A1562" t="inlineStr">
        <is>
          <t>ATF fuel</t>
        </is>
      </c>
      <c r="B1562" t="inlineStr">
        <is>
          <t>G160</t>
        </is>
      </c>
      <c r="C1562" t="n">
        <v>160</v>
      </c>
      <c r="D1562" t="n">
        <v>7</v>
      </c>
      <c r="E1562" t="inlineStr">
        <is>
          <t>Calculation</t>
        </is>
      </c>
      <c r="F1562" t="inlineStr">
        <is>
          <t>'=(1+(C160/C159)-1)*G159</t>
        </is>
      </c>
      <c r="G1562" t="n">
        <v>161.2064850160223</v>
      </c>
      <c r="H1562" t="inlineStr"/>
      <c r="I1562" t="inlineStr">
        <is>
          <t>General</t>
        </is>
      </c>
      <c r="J1562" t="b">
        <v>0</v>
      </c>
      <c r="K1562" t="b">
        <v>0</v>
      </c>
      <c r="L1562" t="n">
        <v>11</v>
      </c>
      <c r="M1562" t="inlineStr">
        <is>
          <t>Values must be of type &lt;class 'str'&gt;</t>
        </is>
      </c>
      <c r="N1562" t="inlineStr">
        <is>
          <t>00000000</t>
        </is>
      </c>
      <c r="O1562" t="inlineStr">
        <is>
          <t>left</t>
        </is>
      </c>
      <c r="P1562" t="n">
        <v/>
      </c>
      <c r="R1562" t="b">
        <v>1</v>
      </c>
      <c r="S1562" t="inlineStr">
        <is>
          <t>G000319</t>
        </is>
      </c>
      <c r="T1562" t="inlineStr">
        <is>
          <t>Horizontal</t>
        </is>
      </c>
      <c r="U1562" t="n">
        <v>3</v>
      </c>
      <c r="V1562" t="b">
        <v>1</v>
      </c>
      <c r="W1562" t="inlineStr">
        <is>
          <t>ATF fuel!G160:I160</t>
        </is>
      </c>
      <c r="X1562">
        <f>(1+(R[0]C[-4]/R[-1]C[-4])-1)*R[-1]C[0]</f>
        <v/>
      </c>
    </row>
    <row r="1563">
      <c r="A1563" t="inlineStr">
        <is>
          <t>ATF fuel</t>
        </is>
      </c>
      <c r="B1563" t="inlineStr">
        <is>
          <t>H160</t>
        </is>
      </c>
      <c r="C1563" t="n">
        <v>160</v>
      </c>
      <c r="D1563" t="n">
        <v>8</v>
      </c>
      <c r="E1563" t="inlineStr">
        <is>
          <t>Calculation</t>
        </is>
      </c>
      <c r="F1563" t="inlineStr">
        <is>
          <t>'=(1+(D160/D159)-1)*H159</t>
        </is>
      </c>
      <c r="G1563" t="n">
        <v>147.5130098027352</v>
      </c>
      <c r="H1563" t="inlineStr"/>
      <c r="I1563" t="inlineStr">
        <is>
          <t>General</t>
        </is>
      </c>
      <c r="J1563" t="b">
        <v>0</v>
      </c>
      <c r="K1563" t="b">
        <v>0</v>
      </c>
      <c r="L1563" t="n">
        <v>11</v>
      </c>
      <c r="M1563" t="inlineStr">
        <is>
          <t>Values must be of type &lt;class 'str'&gt;</t>
        </is>
      </c>
      <c r="N1563" t="inlineStr">
        <is>
          <t>00000000</t>
        </is>
      </c>
      <c r="O1563" t="inlineStr">
        <is>
          <t>left</t>
        </is>
      </c>
      <c r="P1563" t="n">
        <v/>
      </c>
      <c r="R1563" t="b">
        <v>1</v>
      </c>
      <c r="S1563" t="inlineStr">
        <is>
          <t>G000319</t>
        </is>
      </c>
      <c r="T1563" t="inlineStr">
        <is>
          <t>Horizontal</t>
        </is>
      </c>
      <c r="U1563" t="n">
        <v>3</v>
      </c>
      <c r="V1563" t="b">
        <v>1</v>
      </c>
      <c r="W1563" t="inlineStr">
        <is>
          <t>ATF fuel!G160:I160</t>
        </is>
      </c>
      <c r="X1563">
        <f>(1+(R[0]C[-4]/R[-1]C[-4])-1)*R[-1]C[0]</f>
        <v/>
      </c>
    </row>
    <row r="1564">
      <c r="A1564" t="inlineStr">
        <is>
          <t>ATF fuel</t>
        </is>
      </c>
      <c r="B1564" t="inlineStr">
        <is>
          <t>I160</t>
        </is>
      </c>
      <c r="C1564" t="n">
        <v>160</v>
      </c>
      <c r="D1564" t="n">
        <v>9</v>
      </c>
      <c r="E1564" t="inlineStr">
        <is>
          <t>Calculation</t>
        </is>
      </c>
      <c r="F1564" t="inlineStr">
        <is>
          <t>'=(1+(E160/E159)-1)*I159</t>
        </is>
      </c>
      <c r="G1564" t="n">
        <v>124.5120075712765</v>
      </c>
      <c r="H1564" t="inlineStr"/>
      <c r="I1564" t="inlineStr">
        <is>
          <t>General</t>
        </is>
      </c>
      <c r="J1564" t="b">
        <v>0</v>
      </c>
      <c r="K1564" t="b">
        <v>0</v>
      </c>
      <c r="L1564" t="n">
        <v>11</v>
      </c>
      <c r="M1564" t="inlineStr">
        <is>
          <t>Values must be of type &lt;class 'str'&gt;</t>
        </is>
      </c>
      <c r="N1564" t="inlineStr">
        <is>
          <t>00000000</t>
        </is>
      </c>
      <c r="O1564" t="inlineStr">
        <is>
          <t>left</t>
        </is>
      </c>
      <c r="P1564" t="n">
        <v/>
      </c>
      <c r="R1564" t="b">
        <v>1</v>
      </c>
      <c r="S1564" t="inlineStr">
        <is>
          <t>G000319</t>
        </is>
      </c>
      <c r="T1564" t="inlineStr">
        <is>
          <t>Horizontal</t>
        </is>
      </c>
      <c r="U1564" t="n">
        <v>3</v>
      </c>
      <c r="V1564" t="b">
        <v>1</v>
      </c>
      <c r="W1564" t="inlineStr">
        <is>
          <t>ATF fuel!G160:I160</t>
        </is>
      </c>
      <c r="X1564">
        <f>(1+(R[0]C[-4]/R[-1]C[-4])-1)*R[-1]C[0]</f>
        <v/>
      </c>
    </row>
    <row r="1565">
      <c r="A1565" t="inlineStr">
        <is>
          <t>ATF fuel</t>
        </is>
      </c>
      <c r="B1565" t="inlineStr">
        <is>
          <t>J160</t>
        </is>
      </c>
      <c r="C1565" t="n">
        <v>160</v>
      </c>
      <c r="D1565" t="n">
        <v>10</v>
      </c>
      <c r="E1565" t="inlineStr">
        <is>
          <t>Output</t>
        </is>
      </c>
      <c r="F1565" t="inlineStr">
        <is>
          <t>'=G160/H160-1</t>
        </is>
      </c>
      <c r="G1565" t="n">
        <v>0.09282893238771961</v>
      </c>
      <c r="H1565" t="inlineStr"/>
      <c r="I1565" t="inlineStr">
        <is>
          <t>0.0%</t>
        </is>
      </c>
      <c r="J1565" t="b">
        <v>0</v>
      </c>
      <c r="K1565" t="b">
        <v>0</v>
      </c>
      <c r="L1565" t="n">
        <v>11</v>
      </c>
      <c r="M1565" t="inlineStr">
        <is>
          <t>Values must be of type &lt;class 'str'&gt;</t>
        </is>
      </c>
      <c r="N1565" t="inlineStr">
        <is>
          <t>00000000</t>
        </is>
      </c>
      <c r="O1565" t="n">
        <v/>
      </c>
      <c r="P1565" t="n">
        <v/>
      </c>
      <c r="R1565" t="b">
        <v>1</v>
      </c>
      <c r="S1565" t="inlineStr">
        <is>
          <t>G000295</t>
        </is>
      </c>
      <c r="T1565" t="inlineStr">
        <is>
          <t>Vertical</t>
        </is>
      </c>
      <c r="U1565" t="n">
        <v>93</v>
      </c>
      <c r="V1565" t="b">
        <v>1</v>
      </c>
      <c r="W1565" t="inlineStr">
        <is>
          <t>ATF fuel!J136:J228</t>
        </is>
      </c>
      <c r="X1565">
        <f>R[0]C[-3]/R[0]C[-2]-1</f>
        <v/>
      </c>
    </row>
    <row r="1566">
      <c r="A1566" t="inlineStr">
        <is>
          <t>ATF fuel</t>
        </is>
      </c>
      <c r="B1566" t="inlineStr">
        <is>
          <t>B161</t>
        </is>
      </c>
      <c r="C1566" t="n">
        <v>161</v>
      </c>
      <c r="D1566" t="n">
        <v>2</v>
      </c>
      <c r="E1566" t="inlineStr">
        <is>
          <t>Input</t>
        </is>
      </c>
      <c r="F1566" t="n">
        <v/>
      </c>
      <c r="G1566" t="inlineStr">
        <is>
          <t>May 01, 2012</t>
        </is>
      </c>
      <c r="H1566" t="inlineStr"/>
      <c r="I1566" t="inlineStr">
        <is>
          <t>General</t>
        </is>
      </c>
      <c r="J1566" t="b">
        <v>0</v>
      </c>
      <c r="K1566" t="b">
        <v>0</v>
      </c>
      <c r="L1566" t="n">
        <v>11</v>
      </c>
      <c r="M1566" t="inlineStr">
        <is>
          <t>Values must be of type &lt;class 'str'&gt;</t>
        </is>
      </c>
      <c r="N1566" t="inlineStr">
        <is>
          <t>FFFFFF00</t>
        </is>
      </c>
      <c r="O1566" t="n">
        <v/>
      </c>
      <c r="P1566" t="n">
        <v/>
      </c>
      <c r="R1566" t="b">
        <v>1</v>
      </c>
      <c r="S1566" t="n">
        <v/>
      </c>
      <c r="T1566" t="n">
        <v/>
      </c>
      <c r="U1566" t="n">
        <v/>
      </c>
      <c r="V1566" t="b">
        <v>0</v>
      </c>
      <c r="W1566" t="inlineStr"/>
      <c r="X1566" t="n">
        <v/>
      </c>
    </row>
    <row r="1567">
      <c r="A1567" t="inlineStr">
        <is>
          <t>ATF fuel</t>
        </is>
      </c>
      <c r="B1567" t="inlineStr">
        <is>
          <t>C161</t>
        </is>
      </c>
      <c r="C1567" t="n">
        <v>161</v>
      </c>
      <c r="D1567" t="n">
        <v>3</v>
      </c>
      <c r="E1567" t="inlineStr">
        <is>
          <t>Input</t>
        </is>
      </c>
      <c r="F1567" t="n">
        <v/>
      </c>
      <c r="G1567" t="n">
        <v>71028.2375</v>
      </c>
      <c r="H1567" t="inlineStr"/>
      <c r="I1567" t="inlineStr">
        <is>
          <t>General</t>
        </is>
      </c>
      <c r="J1567" t="b">
        <v>0</v>
      </c>
      <c r="K1567" t="b">
        <v>0</v>
      </c>
      <c r="L1567" t="n">
        <v>11</v>
      </c>
      <c r="M1567" t="inlineStr">
        <is>
          <t>Values must be of type &lt;class 'str'&gt;</t>
        </is>
      </c>
      <c r="N1567" t="inlineStr">
        <is>
          <t>FFFFFF00</t>
        </is>
      </c>
      <c r="O1567" t="n">
        <v/>
      </c>
      <c r="P1567" t="n">
        <v/>
      </c>
      <c r="R1567" t="b">
        <v>1</v>
      </c>
      <c r="S1567" t="n">
        <v/>
      </c>
      <c r="T1567" t="n">
        <v/>
      </c>
      <c r="U1567" t="n">
        <v/>
      </c>
      <c r="V1567" t="b">
        <v>0</v>
      </c>
      <c r="W1567" t="inlineStr"/>
      <c r="X1567" t="n">
        <v/>
      </c>
    </row>
    <row r="1568">
      <c r="A1568" t="inlineStr">
        <is>
          <t>ATF fuel</t>
        </is>
      </c>
      <c r="B1568" t="inlineStr">
        <is>
          <t>D161</t>
        </is>
      </c>
      <c r="C1568" t="n">
        <v>161</v>
      </c>
      <c r="D1568" t="n">
        <v>4</v>
      </c>
      <c r="E1568" t="inlineStr">
        <is>
          <t>Input</t>
        </is>
      </c>
      <c r="F1568" t="n">
        <v/>
      </c>
      <c r="G1568" t="n">
        <v>111.89</v>
      </c>
      <c r="H1568" t="inlineStr"/>
      <c r="I1568" t="inlineStr">
        <is>
          <t>General</t>
        </is>
      </c>
      <c r="J1568" t="b">
        <v>0</v>
      </c>
      <c r="K1568" t="b">
        <v>0</v>
      </c>
      <c r="L1568" t="n">
        <v>11</v>
      </c>
      <c r="M1568" t="inlineStr">
        <is>
          <t>Values must be of type &lt;class 'str'&gt;</t>
        </is>
      </c>
      <c r="N1568" t="inlineStr">
        <is>
          <t>FFFFFF00</t>
        </is>
      </c>
      <c r="O1568" t="n">
        <v/>
      </c>
      <c r="P1568" t="n">
        <v/>
      </c>
      <c r="R1568" t="b">
        <v>1</v>
      </c>
      <c r="S1568" t="n">
        <v/>
      </c>
      <c r="T1568" t="n">
        <v/>
      </c>
      <c r="U1568" t="n">
        <v/>
      </c>
      <c r="V1568" t="b">
        <v>0</v>
      </c>
      <c r="W1568" t="inlineStr"/>
      <c r="X1568" t="n">
        <v/>
      </c>
    </row>
    <row r="1569">
      <c r="A1569" t="inlineStr">
        <is>
          <t>ATF fuel</t>
        </is>
      </c>
      <c r="B1569" t="inlineStr">
        <is>
          <t>E161</t>
        </is>
      </c>
      <c r="C1569" t="n">
        <v>161</v>
      </c>
      <c r="D1569" t="n">
        <v>5</v>
      </c>
      <c r="E1569" t="inlineStr">
        <is>
          <t>Input</t>
        </is>
      </c>
      <c r="F1569" t="n">
        <v/>
      </c>
      <c r="G1569" t="n">
        <v>106.17</v>
      </c>
      <c r="H1569" t="inlineStr"/>
      <c r="I1569" t="inlineStr">
        <is>
          <t>General</t>
        </is>
      </c>
      <c r="J1569" t="b">
        <v>0</v>
      </c>
      <c r="K1569" t="b">
        <v>0</v>
      </c>
      <c r="L1569" t="n">
        <v>11</v>
      </c>
      <c r="M1569" t="inlineStr">
        <is>
          <t>Values must be of type &lt;class 'str'&gt;</t>
        </is>
      </c>
      <c r="N1569" t="inlineStr">
        <is>
          <t>FFFFFF00</t>
        </is>
      </c>
      <c r="O1569" t="n">
        <v/>
      </c>
      <c r="P1569" t="n">
        <v/>
      </c>
      <c r="R1569" t="b">
        <v>1</v>
      </c>
      <c r="S1569" t="n">
        <v/>
      </c>
      <c r="T1569" t="n">
        <v/>
      </c>
      <c r="U1569" t="n">
        <v/>
      </c>
      <c r="V1569" t="b">
        <v>0</v>
      </c>
      <c r="W1569" t="inlineStr"/>
      <c r="X1569" t="n">
        <v/>
      </c>
    </row>
    <row r="1570">
      <c r="A1570" t="inlineStr">
        <is>
          <t>ATF fuel</t>
        </is>
      </c>
      <c r="B1570" t="inlineStr">
        <is>
          <t>F161</t>
        </is>
      </c>
      <c r="C1570" t="n">
        <v>161</v>
      </c>
      <c r="D1570" t="n">
        <v>6</v>
      </c>
      <c r="E1570" t="inlineStr">
        <is>
          <t>Input</t>
        </is>
      </c>
      <c r="F1570" t="n">
        <v/>
      </c>
      <c r="G1570" t="inlineStr">
        <is>
          <t>May 01, 2012</t>
        </is>
      </c>
      <c r="H1570" t="inlineStr"/>
      <c r="I1570" t="inlineStr">
        <is>
          <t>General</t>
        </is>
      </c>
      <c r="J1570" t="b">
        <v>0</v>
      </c>
      <c r="K1570" t="b">
        <v>0</v>
      </c>
      <c r="L1570" t="n">
        <v>11</v>
      </c>
      <c r="M1570" t="inlineStr">
        <is>
          <t>Values must be of type &lt;class 'str'&gt;</t>
        </is>
      </c>
      <c r="N1570" t="inlineStr">
        <is>
          <t>FFFFFF00</t>
        </is>
      </c>
      <c r="O1570" t="inlineStr">
        <is>
          <t>left</t>
        </is>
      </c>
      <c r="P1570" t="n">
        <v/>
      </c>
      <c r="R1570" t="b">
        <v>1</v>
      </c>
      <c r="S1570" t="n">
        <v/>
      </c>
      <c r="T1570" t="n">
        <v/>
      </c>
      <c r="U1570" t="n">
        <v/>
      </c>
      <c r="V1570" t="b">
        <v>0</v>
      </c>
      <c r="W1570" t="inlineStr"/>
      <c r="X1570" t="n">
        <v/>
      </c>
    </row>
    <row r="1571">
      <c r="A1571" t="inlineStr">
        <is>
          <t>ATF fuel</t>
        </is>
      </c>
      <c r="B1571" t="inlineStr">
        <is>
          <t>G161</t>
        </is>
      </c>
      <c r="C1571" t="n">
        <v>161</v>
      </c>
      <c r="D1571" t="n">
        <v>7</v>
      </c>
      <c r="E1571" t="inlineStr">
        <is>
          <t>Calculation</t>
        </is>
      </c>
      <c r="F1571" t="inlineStr">
        <is>
          <t>'=(1+(C161/C160)-1)*G160</t>
        </is>
      </c>
      <c r="G1571" t="n">
        <v>160.1112522422864</v>
      </c>
      <c r="H1571" t="inlineStr"/>
      <c r="I1571" t="inlineStr">
        <is>
          <t>General</t>
        </is>
      </c>
      <c r="J1571" t="b">
        <v>0</v>
      </c>
      <c r="K1571" t="b">
        <v>0</v>
      </c>
      <c r="L1571" t="n">
        <v>11</v>
      </c>
      <c r="M1571" t="inlineStr">
        <is>
          <t>Values must be of type &lt;class 'str'&gt;</t>
        </is>
      </c>
      <c r="N1571" t="inlineStr">
        <is>
          <t>FFFFFF00</t>
        </is>
      </c>
      <c r="O1571" t="inlineStr">
        <is>
          <t>left</t>
        </is>
      </c>
      <c r="P1571" t="n">
        <v/>
      </c>
      <c r="R1571" t="b">
        <v>1</v>
      </c>
      <c r="S1571" t="inlineStr">
        <is>
          <t>G000320</t>
        </is>
      </c>
      <c r="T1571" t="inlineStr">
        <is>
          <t>Horizontal</t>
        </is>
      </c>
      <c r="U1571" t="n">
        <v>3</v>
      </c>
      <c r="V1571" t="b">
        <v>1</v>
      </c>
      <c r="W1571" t="inlineStr">
        <is>
          <t>ATF fuel!G161:I161</t>
        </is>
      </c>
      <c r="X1571">
        <f>(1+(R[0]C[-4]/R[-1]C[-4])-1)*R[-1]C[0]</f>
        <v/>
      </c>
    </row>
    <row r="1572">
      <c r="A1572" t="inlineStr">
        <is>
          <t>ATF fuel</t>
        </is>
      </c>
      <c r="B1572" t="inlineStr">
        <is>
          <t>H161</t>
        </is>
      </c>
      <c r="C1572" t="n">
        <v>161</v>
      </c>
      <c r="D1572" t="n">
        <v>8</v>
      </c>
      <c r="E1572" t="inlineStr">
        <is>
          <t>Calculation</t>
        </is>
      </c>
      <c r="F1572" t="inlineStr">
        <is>
          <t>'=(1+(D161/D160)-1)*H160</t>
        </is>
      </c>
      <c r="G1572" t="n">
        <v>135.4108677235872</v>
      </c>
      <c r="H1572" t="inlineStr"/>
      <c r="I1572" t="inlineStr">
        <is>
          <t>General</t>
        </is>
      </c>
      <c r="J1572" t="b">
        <v>0</v>
      </c>
      <c r="K1572" t="b">
        <v>0</v>
      </c>
      <c r="L1572" t="n">
        <v>11</v>
      </c>
      <c r="M1572" t="inlineStr">
        <is>
          <t>Values must be of type &lt;class 'str'&gt;</t>
        </is>
      </c>
      <c r="N1572" t="inlineStr">
        <is>
          <t>FFFFFF00</t>
        </is>
      </c>
      <c r="O1572" t="inlineStr">
        <is>
          <t>left</t>
        </is>
      </c>
      <c r="P1572" t="n">
        <v/>
      </c>
      <c r="R1572" t="b">
        <v>1</v>
      </c>
      <c r="S1572" t="inlineStr">
        <is>
          <t>G000320</t>
        </is>
      </c>
      <c r="T1572" t="inlineStr">
        <is>
          <t>Horizontal</t>
        </is>
      </c>
      <c r="U1572" t="n">
        <v>3</v>
      </c>
      <c r="V1572" t="b">
        <v>1</v>
      </c>
      <c r="W1572" t="inlineStr">
        <is>
          <t>ATF fuel!G161:I161</t>
        </is>
      </c>
      <c r="X1572">
        <f>(1+(R[0]C[-4]/R[-1]C[-4])-1)*R[-1]C[0]</f>
        <v/>
      </c>
    </row>
    <row r="1573">
      <c r="A1573" t="inlineStr">
        <is>
          <t>ATF fuel</t>
        </is>
      </c>
      <c r="B1573" t="inlineStr">
        <is>
          <t>I161</t>
        </is>
      </c>
      <c r="C1573" t="n">
        <v>161</v>
      </c>
      <c r="D1573" t="n">
        <v>9</v>
      </c>
      <c r="E1573" t="inlineStr">
        <is>
          <t>Calculation</t>
        </is>
      </c>
      <c r="F1573" t="inlineStr">
        <is>
          <t>'=(1+(E161/E160)-1)*I160</t>
        </is>
      </c>
      <c r="G1573" t="n">
        <v>125.6003785638236</v>
      </c>
      <c r="H1573" t="inlineStr"/>
      <c r="I1573" t="inlineStr">
        <is>
          <t>General</t>
        </is>
      </c>
      <c r="J1573" t="b">
        <v>0</v>
      </c>
      <c r="K1573" t="b">
        <v>0</v>
      </c>
      <c r="L1573" t="n">
        <v>11</v>
      </c>
      <c r="M1573" t="inlineStr">
        <is>
          <t>Values must be of type &lt;class 'str'&gt;</t>
        </is>
      </c>
      <c r="N1573" t="inlineStr">
        <is>
          <t>FFFFFF00</t>
        </is>
      </c>
      <c r="O1573" t="inlineStr">
        <is>
          <t>left</t>
        </is>
      </c>
      <c r="P1573" t="n">
        <v/>
      </c>
      <c r="R1573" t="b">
        <v>1</v>
      </c>
      <c r="S1573" t="inlineStr">
        <is>
          <t>G000320</t>
        </is>
      </c>
      <c r="T1573" t="inlineStr">
        <is>
          <t>Horizontal</t>
        </is>
      </c>
      <c r="U1573" t="n">
        <v>3</v>
      </c>
      <c r="V1573" t="b">
        <v>1</v>
      </c>
      <c r="W1573" t="inlineStr">
        <is>
          <t>ATF fuel!G161:I161</t>
        </is>
      </c>
      <c r="X1573">
        <f>(1+(R[0]C[-4]/R[-1]C[-4])-1)*R[-1]C[0]</f>
        <v/>
      </c>
    </row>
    <row r="1574">
      <c r="A1574" t="inlineStr">
        <is>
          <t>ATF fuel</t>
        </is>
      </c>
      <c r="B1574" t="inlineStr">
        <is>
          <t>J161</t>
        </is>
      </c>
      <c r="C1574" t="n">
        <v>161</v>
      </c>
      <c r="D1574" t="n">
        <v>10</v>
      </c>
      <c r="E1574" t="inlineStr">
        <is>
          <t>Output</t>
        </is>
      </c>
      <c r="F1574" t="inlineStr">
        <is>
          <t>'=G161/H161-1</t>
        </is>
      </c>
      <c r="G1574" t="n">
        <v>0.1824106508874888</v>
      </c>
      <c r="H1574" t="inlineStr"/>
      <c r="I1574" t="inlineStr">
        <is>
          <t>0.0%</t>
        </is>
      </c>
      <c r="J1574" t="b">
        <v>0</v>
      </c>
      <c r="K1574" t="b">
        <v>0</v>
      </c>
      <c r="L1574" t="n">
        <v>11</v>
      </c>
      <c r="M1574" t="inlineStr">
        <is>
          <t>Values must be of type &lt;class 'str'&gt;</t>
        </is>
      </c>
      <c r="N1574" t="inlineStr">
        <is>
          <t>FFFFFF00</t>
        </is>
      </c>
      <c r="O1574" t="n">
        <v/>
      </c>
      <c r="P1574" t="n">
        <v/>
      </c>
      <c r="R1574" t="b">
        <v>1</v>
      </c>
      <c r="S1574" t="inlineStr">
        <is>
          <t>G000295</t>
        </is>
      </c>
      <c r="T1574" t="inlineStr">
        <is>
          <t>Vertical</t>
        </is>
      </c>
      <c r="U1574" t="n">
        <v>93</v>
      </c>
      <c r="V1574" t="b">
        <v>1</v>
      </c>
      <c r="W1574" t="inlineStr">
        <is>
          <t>ATF fuel!J136:J228</t>
        </is>
      </c>
      <c r="X1574">
        <f>R[0]C[-3]/R[0]C[-2]-1</f>
        <v/>
      </c>
    </row>
    <row r="1575">
      <c r="A1575" t="inlineStr">
        <is>
          <t>ATF fuel</t>
        </is>
      </c>
      <c r="B1575" t="inlineStr">
        <is>
          <t>B162</t>
        </is>
      </c>
      <c r="C1575" t="n">
        <v>162</v>
      </c>
      <c r="D1575" t="n">
        <v>2</v>
      </c>
      <c r="E1575" t="inlineStr">
        <is>
          <t>Input</t>
        </is>
      </c>
      <c r="F1575" t="n">
        <v/>
      </c>
      <c r="G1575" t="inlineStr">
        <is>
          <t>June 01, 2012</t>
        </is>
      </c>
      <c r="H1575" t="inlineStr"/>
      <c r="I1575" t="inlineStr">
        <is>
          <t>General</t>
        </is>
      </c>
      <c r="J1575" t="b">
        <v>0</v>
      </c>
      <c r="K1575" t="b">
        <v>0</v>
      </c>
      <c r="L1575" t="n">
        <v>11</v>
      </c>
      <c r="M1575" t="inlineStr">
        <is>
          <t>Values must be of type &lt;class 'str'&gt;</t>
        </is>
      </c>
      <c r="N1575" t="inlineStr">
        <is>
          <t>00000000</t>
        </is>
      </c>
      <c r="O1575" t="n">
        <v/>
      </c>
      <c r="P1575" t="n">
        <v/>
      </c>
      <c r="R1575" t="b">
        <v>1</v>
      </c>
      <c r="S1575" t="n">
        <v/>
      </c>
      <c r="T1575" t="n">
        <v/>
      </c>
      <c r="U1575" t="n">
        <v/>
      </c>
      <c r="V1575" t="b">
        <v>0</v>
      </c>
      <c r="W1575" t="inlineStr"/>
      <c r="X1575" t="n">
        <v/>
      </c>
    </row>
    <row r="1576">
      <c r="A1576" t="inlineStr">
        <is>
          <t>ATF fuel</t>
        </is>
      </c>
      <c r="B1576" t="inlineStr">
        <is>
          <t>C162</t>
        </is>
      </c>
      <c r="C1576" t="n">
        <v>162</v>
      </c>
      <c r="D1576" t="n">
        <v>3</v>
      </c>
      <c r="E1576" t="inlineStr">
        <is>
          <t>Input</t>
        </is>
      </c>
      <c r="F1576" t="n">
        <v/>
      </c>
      <c r="G1576" t="n">
        <v>69315.495</v>
      </c>
      <c r="H1576" t="inlineStr"/>
      <c r="I1576" t="inlineStr">
        <is>
          <t>General</t>
        </is>
      </c>
      <c r="J1576" t="b">
        <v>0</v>
      </c>
      <c r="K1576" t="b">
        <v>0</v>
      </c>
      <c r="L1576" t="n">
        <v>11</v>
      </c>
      <c r="M1576" t="inlineStr">
        <is>
          <t>Values must be of type &lt;class 'str'&gt;</t>
        </is>
      </c>
      <c r="N1576" t="inlineStr">
        <is>
          <t>00000000</t>
        </is>
      </c>
      <c r="O1576" t="n">
        <v/>
      </c>
      <c r="P1576" t="n">
        <v/>
      </c>
      <c r="R1576" t="b">
        <v>1</v>
      </c>
      <c r="S1576" t="n">
        <v/>
      </c>
      <c r="T1576" t="n">
        <v/>
      </c>
      <c r="U1576" t="n">
        <v/>
      </c>
      <c r="V1576" t="b">
        <v>0</v>
      </c>
      <c r="W1576" t="inlineStr"/>
      <c r="X1576" t="n">
        <v/>
      </c>
    </row>
    <row r="1577">
      <c r="A1577" t="inlineStr">
        <is>
          <t>ATF fuel</t>
        </is>
      </c>
      <c r="B1577" t="inlineStr">
        <is>
          <t>D162</t>
        </is>
      </c>
      <c r="C1577" t="n">
        <v>162</v>
      </c>
      <c r="D1577" t="n">
        <v>4</v>
      </c>
      <c r="E1577" t="inlineStr">
        <is>
          <t>Input</t>
        </is>
      </c>
      <c r="F1577" t="n">
        <v/>
      </c>
      <c r="G1577" t="n">
        <v>98.59999999999999</v>
      </c>
      <c r="H1577" t="inlineStr"/>
      <c r="I1577" t="inlineStr">
        <is>
          <t>General</t>
        </is>
      </c>
      <c r="J1577" t="b">
        <v>0</v>
      </c>
      <c r="K1577" t="b">
        <v>0</v>
      </c>
      <c r="L1577" t="n">
        <v>11</v>
      </c>
      <c r="M1577" t="inlineStr">
        <is>
          <t>Values must be of type &lt;class 'str'&gt;</t>
        </is>
      </c>
      <c r="N1577" t="inlineStr">
        <is>
          <t>00000000</t>
        </is>
      </c>
      <c r="O1577" t="n">
        <v/>
      </c>
      <c r="P1577" t="n">
        <v/>
      </c>
      <c r="R1577" t="b">
        <v>1</v>
      </c>
      <c r="S1577" t="n">
        <v/>
      </c>
      <c r="T1577" t="n">
        <v/>
      </c>
      <c r="U1577" t="n">
        <v/>
      </c>
      <c r="V1577" t="b">
        <v>0</v>
      </c>
      <c r="W1577" t="inlineStr"/>
      <c r="X1577" t="n">
        <v/>
      </c>
    </row>
    <row r="1578">
      <c r="A1578" t="inlineStr">
        <is>
          <t>ATF fuel</t>
        </is>
      </c>
      <c r="B1578" t="inlineStr">
        <is>
          <t>E162</t>
        </is>
      </c>
      <c r="C1578" t="n">
        <v>162</v>
      </c>
      <c r="D1578" t="n">
        <v>5</v>
      </c>
      <c r="E1578" t="inlineStr">
        <is>
          <t>Input</t>
        </is>
      </c>
      <c r="F1578" t="n">
        <v/>
      </c>
      <c r="G1578" t="n">
        <v>83.17</v>
      </c>
      <c r="H1578" t="inlineStr"/>
      <c r="I1578" t="inlineStr">
        <is>
          <t>General</t>
        </is>
      </c>
      <c r="J1578" t="b">
        <v>0</v>
      </c>
      <c r="K1578" t="b">
        <v>0</v>
      </c>
      <c r="L1578" t="n">
        <v>11</v>
      </c>
      <c r="M1578" t="inlineStr">
        <is>
          <t>Values must be of type &lt;class 'str'&gt;</t>
        </is>
      </c>
      <c r="N1578" t="inlineStr">
        <is>
          <t>00000000</t>
        </is>
      </c>
      <c r="O1578" t="n">
        <v/>
      </c>
      <c r="P1578" t="n">
        <v/>
      </c>
      <c r="R1578" t="b">
        <v>1</v>
      </c>
      <c r="S1578" t="n">
        <v/>
      </c>
      <c r="T1578" t="n">
        <v/>
      </c>
      <c r="U1578" t="n">
        <v/>
      </c>
      <c r="V1578" t="b">
        <v>0</v>
      </c>
      <c r="W1578" t="inlineStr"/>
      <c r="X1578" t="n">
        <v/>
      </c>
    </row>
    <row r="1579">
      <c r="A1579" t="inlineStr">
        <is>
          <t>ATF fuel</t>
        </is>
      </c>
      <c r="B1579" t="inlineStr">
        <is>
          <t>F162</t>
        </is>
      </c>
      <c r="C1579" t="n">
        <v>162</v>
      </c>
      <c r="D1579" t="n">
        <v>6</v>
      </c>
      <c r="E1579" t="inlineStr">
        <is>
          <t>Input</t>
        </is>
      </c>
      <c r="F1579" t="n">
        <v/>
      </c>
      <c r="G1579" t="inlineStr">
        <is>
          <t>June 01, 2012</t>
        </is>
      </c>
      <c r="H1579" t="inlineStr"/>
      <c r="I1579" t="inlineStr">
        <is>
          <t>General</t>
        </is>
      </c>
      <c r="J1579" t="b">
        <v>0</v>
      </c>
      <c r="K1579" t="b">
        <v>0</v>
      </c>
      <c r="L1579" t="n">
        <v>11</v>
      </c>
      <c r="M1579" t="inlineStr">
        <is>
          <t>Values must be of type &lt;class 'str'&gt;</t>
        </is>
      </c>
      <c r="N1579" t="inlineStr">
        <is>
          <t>00000000</t>
        </is>
      </c>
      <c r="O1579" t="inlineStr">
        <is>
          <t>left</t>
        </is>
      </c>
      <c r="P1579" t="n">
        <v/>
      </c>
      <c r="R1579" t="b">
        <v>1</v>
      </c>
      <c r="S1579" t="n">
        <v/>
      </c>
      <c r="T1579" t="n">
        <v/>
      </c>
      <c r="U1579" t="n">
        <v/>
      </c>
      <c r="V1579" t="b">
        <v>0</v>
      </c>
      <c r="W1579" t="inlineStr"/>
      <c r="X1579" t="n">
        <v/>
      </c>
    </row>
    <row r="1580">
      <c r="A1580" t="inlineStr">
        <is>
          <t>ATF fuel</t>
        </is>
      </c>
      <c r="B1580" t="inlineStr">
        <is>
          <t>G162</t>
        </is>
      </c>
      <c r="C1580" t="n">
        <v>162</v>
      </c>
      <c r="D1580" t="n">
        <v>7</v>
      </c>
      <c r="E1580" t="inlineStr">
        <is>
          <t>Calculation</t>
        </is>
      </c>
      <c r="F1580" t="inlineStr">
        <is>
          <t>'=(1+(C162/C161)-1)*G161</t>
        </is>
      </c>
      <c r="G1580" t="n">
        <v>156.2504025845205</v>
      </c>
      <c r="H1580" t="inlineStr"/>
      <c r="I1580" t="inlineStr">
        <is>
          <t>General</t>
        </is>
      </c>
      <c r="J1580" t="b">
        <v>0</v>
      </c>
      <c r="K1580" t="b">
        <v>0</v>
      </c>
      <c r="L1580" t="n">
        <v>11</v>
      </c>
      <c r="M1580" t="inlineStr">
        <is>
          <t>Values must be of type &lt;class 'str'&gt;</t>
        </is>
      </c>
      <c r="N1580" t="inlineStr">
        <is>
          <t>00000000</t>
        </is>
      </c>
      <c r="O1580" t="inlineStr">
        <is>
          <t>left</t>
        </is>
      </c>
      <c r="P1580" t="n">
        <v/>
      </c>
      <c r="R1580" t="b">
        <v>1</v>
      </c>
      <c r="S1580" t="inlineStr">
        <is>
          <t>G000321</t>
        </is>
      </c>
      <c r="T1580" t="inlineStr">
        <is>
          <t>Horizontal</t>
        </is>
      </c>
      <c r="U1580" t="n">
        <v>3</v>
      </c>
      <c r="V1580" t="b">
        <v>1</v>
      </c>
      <c r="W1580" t="inlineStr">
        <is>
          <t>ATF fuel!G162:I162</t>
        </is>
      </c>
      <c r="X1580">
        <f>(1+(R[0]C[-4]/R[-1]C[-4])-1)*R[-1]C[0]</f>
        <v/>
      </c>
    </row>
    <row r="1581">
      <c r="A1581" t="inlineStr">
        <is>
          <t>ATF fuel</t>
        </is>
      </c>
      <c r="B1581" t="inlineStr">
        <is>
          <t>H162</t>
        </is>
      </c>
      <c r="C1581" t="n">
        <v>162</v>
      </c>
      <c r="D1581" t="n">
        <v>8</v>
      </c>
      <c r="E1581" t="inlineStr">
        <is>
          <t>Calculation</t>
        </is>
      </c>
      <c r="F1581" t="inlineStr">
        <is>
          <t>'=(1+(D162/D161)-1)*H161</t>
        </is>
      </c>
      <c r="G1581" t="n">
        <v>119.3271209003995</v>
      </c>
      <c r="H1581" t="inlineStr"/>
      <c r="I1581" t="inlineStr">
        <is>
          <t>General</t>
        </is>
      </c>
      <c r="J1581" t="b">
        <v>0</v>
      </c>
      <c r="K1581" t="b">
        <v>0</v>
      </c>
      <c r="L1581" t="n">
        <v>11</v>
      </c>
      <c r="M1581" t="inlineStr">
        <is>
          <t>Values must be of type &lt;class 'str'&gt;</t>
        </is>
      </c>
      <c r="N1581" t="inlineStr">
        <is>
          <t>00000000</t>
        </is>
      </c>
      <c r="O1581" t="inlineStr">
        <is>
          <t>left</t>
        </is>
      </c>
      <c r="P1581" t="n">
        <v/>
      </c>
      <c r="R1581" t="b">
        <v>1</v>
      </c>
      <c r="S1581" t="inlineStr">
        <is>
          <t>G000321</t>
        </is>
      </c>
      <c r="T1581" t="inlineStr">
        <is>
          <t>Horizontal</t>
        </is>
      </c>
      <c r="U1581" t="n">
        <v>3</v>
      </c>
      <c r="V1581" t="b">
        <v>1</v>
      </c>
      <c r="W1581" t="inlineStr">
        <is>
          <t>ATF fuel!G162:I162</t>
        </is>
      </c>
      <c r="X1581">
        <f>(1+(R[0]C[-4]/R[-1]C[-4])-1)*R[-1]C[0]</f>
        <v/>
      </c>
    </row>
    <row r="1582">
      <c r="A1582" t="inlineStr">
        <is>
          <t>ATF fuel</t>
        </is>
      </c>
      <c r="B1582" t="inlineStr">
        <is>
          <t>I162</t>
        </is>
      </c>
      <c r="C1582" t="n">
        <v>162</v>
      </c>
      <c r="D1582" t="n">
        <v>9</v>
      </c>
      <c r="E1582" t="inlineStr">
        <is>
          <t>Calculation</t>
        </is>
      </c>
      <c r="F1582" t="inlineStr">
        <is>
          <t>'=(1+(E162/E161)-1)*I161</t>
        </is>
      </c>
      <c r="G1582" t="n">
        <v>98.39110375014792</v>
      </c>
      <c r="H1582" t="inlineStr"/>
      <c r="I1582" t="inlineStr">
        <is>
          <t>General</t>
        </is>
      </c>
      <c r="J1582" t="b">
        <v>0</v>
      </c>
      <c r="K1582" t="b">
        <v>0</v>
      </c>
      <c r="L1582" t="n">
        <v>11</v>
      </c>
      <c r="M1582" t="inlineStr">
        <is>
          <t>Values must be of type &lt;class 'str'&gt;</t>
        </is>
      </c>
      <c r="N1582" t="inlineStr">
        <is>
          <t>00000000</t>
        </is>
      </c>
      <c r="O1582" t="inlineStr">
        <is>
          <t>left</t>
        </is>
      </c>
      <c r="P1582" t="n">
        <v/>
      </c>
      <c r="R1582" t="b">
        <v>1</v>
      </c>
      <c r="S1582" t="inlineStr">
        <is>
          <t>G000321</t>
        </is>
      </c>
      <c r="T1582" t="inlineStr">
        <is>
          <t>Horizontal</t>
        </is>
      </c>
      <c r="U1582" t="n">
        <v>3</v>
      </c>
      <c r="V1582" t="b">
        <v>1</v>
      </c>
      <c r="W1582" t="inlineStr">
        <is>
          <t>ATF fuel!G162:I162</t>
        </is>
      </c>
      <c r="X1582">
        <f>(1+(R[0]C[-4]/R[-1]C[-4])-1)*R[-1]C[0]</f>
        <v/>
      </c>
    </row>
    <row r="1583">
      <c r="A1583" t="inlineStr">
        <is>
          <t>ATF fuel</t>
        </is>
      </c>
      <c r="B1583" t="inlineStr">
        <is>
          <t>J162</t>
        </is>
      </c>
      <c r="C1583" t="n">
        <v>162</v>
      </c>
      <c r="D1583" t="n">
        <v>10</v>
      </c>
      <c r="E1583" t="inlineStr">
        <is>
          <t>Output</t>
        </is>
      </c>
      <c r="F1583" t="inlineStr">
        <is>
          <t>'=G162/H162-1</t>
        </is>
      </c>
      <c r="G1583" t="n">
        <v>0.3094290837280855</v>
      </c>
      <c r="H1583" t="inlineStr"/>
      <c r="I1583" t="inlineStr">
        <is>
          <t>0.0%</t>
        </is>
      </c>
      <c r="J1583" t="b">
        <v>0</v>
      </c>
      <c r="K1583" t="b">
        <v>0</v>
      </c>
      <c r="L1583" t="n">
        <v>11</v>
      </c>
      <c r="M1583" t="inlineStr">
        <is>
          <t>Values must be of type &lt;class 'str'&gt;</t>
        </is>
      </c>
      <c r="N1583" t="inlineStr">
        <is>
          <t>00000000</t>
        </is>
      </c>
      <c r="O1583" t="n">
        <v/>
      </c>
      <c r="P1583" t="n">
        <v/>
      </c>
      <c r="R1583" t="b">
        <v>1</v>
      </c>
      <c r="S1583" t="inlineStr">
        <is>
          <t>G000295</t>
        </is>
      </c>
      <c r="T1583" t="inlineStr">
        <is>
          <t>Vertical</t>
        </is>
      </c>
      <c r="U1583" t="n">
        <v>93</v>
      </c>
      <c r="V1583" t="b">
        <v>1</v>
      </c>
      <c r="W1583" t="inlineStr">
        <is>
          <t>ATF fuel!J136:J228</t>
        </is>
      </c>
      <c r="X1583">
        <f>R[0]C[-3]/R[0]C[-2]-1</f>
        <v/>
      </c>
    </row>
    <row r="1584">
      <c r="A1584" t="inlineStr">
        <is>
          <t>ATF fuel</t>
        </is>
      </c>
      <c r="B1584" t="inlineStr">
        <is>
          <t>B163</t>
        </is>
      </c>
      <c r="C1584" t="n">
        <v>163</v>
      </c>
      <c r="D1584" t="n">
        <v>2</v>
      </c>
      <c r="E1584" t="inlineStr">
        <is>
          <t>Input</t>
        </is>
      </c>
      <c r="F1584" t="n">
        <v/>
      </c>
      <c r="G1584" t="inlineStr">
        <is>
          <t>July 01, 2012</t>
        </is>
      </c>
      <c r="H1584" t="inlineStr"/>
      <c r="I1584" t="inlineStr">
        <is>
          <t>General</t>
        </is>
      </c>
      <c r="J1584" t="b">
        <v>0</v>
      </c>
      <c r="K1584" t="b">
        <v>0</v>
      </c>
      <c r="L1584" t="n">
        <v>11</v>
      </c>
      <c r="M1584" t="inlineStr">
        <is>
          <t>Values must be of type &lt;class 'str'&gt;</t>
        </is>
      </c>
      <c r="N1584" t="inlineStr">
        <is>
          <t>00000000</t>
        </is>
      </c>
      <c r="O1584" t="n">
        <v/>
      </c>
      <c r="P1584" t="n">
        <v/>
      </c>
      <c r="R1584" t="b">
        <v>1</v>
      </c>
      <c r="S1584" t="n">
        <v/>
      </c>
      <c r="T1584" t="n">
        <v/>
      </c>
      <c r="U1584" t="n">
        <v/>
      </c>
      <c r="V1584" t="b">
        <v>0</v>
      </c>
      <c r="W1584" t="inlineStr"/>
      <c r="X1584" t="n">
        <v/>
      </c>
    </row>
    <row r="1585">
      <c r="A1585" t="inlineStr">
        <is>
          <t>ATF fuel</t>
        </is>
      </c>
      <c r="B1585" t="inlineStr">
        <is>
          <t>C163</t>
        </is>
      </c>
      <c r="C1585" t="n">
        <v>163</v>
      </c>
      <c r="D1585" t="n">
        <v>3</v>
      </c>
      <c r="E1585" t="inlineStr">
        <is>
          <t>Input</t>
        </is>
      </c>
      <c r="F1585" t="n">
        <v/>
      </c>
      <c r="G1585" t="n">
        <v>64652</v>
      </c>
      <c r="H1585" t="inlineStr"/>
      <c r="I1585" t="inlineStr">
        <is>
          <t>General</t>
        </is>
      </c>
      <c r="J1585" t="b">
        <v>0</v>
      </c>
      <c r="K1585" t="b">
        <v>0</v>
      </c>
      <c r="L1585" t="n">
        <v>11</v>
      </c>
      <c r="M1585" t="inlineStr">
        <is>
          <t>Values must be of type &lt;class 'str'&gt;</t>
        </is>
      </c>
      <c r="N1585" t="inlineStr">
        <is>
          <t>00000000</t>
        </is>
      </c>
      <c r="O1585" t="n">
        <v/>
      </c>
      <c r="P1585" t="n">
        <v/>
      </c>
      <c r="R1585" t="b">
        <v>1</v>
      </c>
      <c r="S1585" t="n">
        <v/>
      </c>
      <c r="T1585" t="n">
        <v/>
      </c>
      <c r="U1585" t="n">
        <v/>
      </c>
      <c r="V1585" t="b">
        <v>0</v>
      </c>
      <c r="W1585" t="inlineStr"/>
      <c r="X1585" t="n">
        <v/>
      </c>
    </row>
    <row r="1586">
      <c r="A1586" t="inlineStr">
        <is>
          <t>ATF fuel</t>
        </is>
      </c>
      <c r="B1586" t="inlineStr">
        <is>
          <t>D163</t>
        </is>
      </c>
      <c r="C1586" t="n">
        <v>163</v>
      </c>
      <c r="D1586" t="n">
        <v>4</v>
      </c>
      <c r="E1586" t="inlineStr">
        <is>
          <t>Input</t>
        </is>
      </c>
      <c r="F1586" t="n">
        <v/>
      </c>
      <c r="G1586" t="n">
        <v>99.23</v>
      </c>
      <c r="H1586" t="inlineStr"/>
      <c r="I1586" t="inlineStr">
        <is>
          <t>General</t>
        </is>
      </c>
      <c r="J1586" t="b">
        <v>0</v>
      </c>
      <c r="K1586" t="b">
        <v>0</v>
      </c>
      <c r="L1586" t="n">
        <v>11</v>
      </c>
      <c r="M1586" t="inlineStr">
        <is>
          <t>Values must be of type &lt;class 'str'&gt;</t>
        </is>
      </c>
      <c r="N1586" t="inlineStr">
        <is>
          <t>00000000</t>
        </is>
      </c>
      <c r="O1586" t="n">
        <v/>
      </c>
      <c r="P1586" t="n">
        <v/>
      </c>
      <c r="R1586" t="b">
        <v>1</v>
      </c>
      <c r="S1586" t="n">
        <v/>
      </c>
      <c r="T1586" t="n">
        <v/>
      </c>
      <c r="U1586" t="n">
        <v/>
      </c>
      <c r="V1586" t="b">
        <v>0</v>
      </c>
      <c r="W1586" t="inlineStr"/>
      <c r="X1586" t="n">
        <v/>
      </c>
    </row>
    <row r="1587">
      <c r="A1587" t="inlineStr">
        <is>
          <t>ATF fuel</t>
        </is>
      </c>
      <c r="B1587" t="inlineStr">
        <is>
          <t>E163</t>
        </is>
      </c>
      <c r="C1587" t="n">
        <v>163</v>
      </c>
      <c r="D1587" t="n">
        <v>5</v>
      </c>
      <c r="E1587" t="inlineStr">
        <is>
          <t>Input</t>
        </is>
      </c>
      <c r="F1587" t="n">
        <v/>
      </c>
      <c r="G1587" t="n">
        <v>83.72</v>
      </c>
      <c r="H1587" t="inlineStr"/>
      <c r="I1587" t="inlineStr">
        <is>
          <t>General</t>
        </is>
      </c>
      <c r="J1587" t="b">
        <v>0</v>
      </c>
      <c r="K1587" t="b">
        <v>0</v>
      </c>
      <c r="L1587" t="n">
        <v>11</v>
      </c>
      <c r="M1587" t="inlineStr">
        <is>
          <t>Values must be of type &lt;class 'str'&gt;</t>
        </is>
      </c>
      <c r="N1587" t="inlineStr">
        <is>
          <t>00000000</t>
        </is>
      </c>
      <c r="O1587" t="n">
        <v/>
      </c>
      <c r="P1587" t="n">
        <v/>
      </c>
      <c r="R1587" t="b">
        <v>1</v>
      </c>
      <c r="S1587" t="n">
        <v/>
      </c>
      <c r="T1587" t="n">
        <v/>
      </c>
      <c r="U1587" t="n">
        <v/>
      </c>
      <c r="V1587" t="b">
        <v>0</v>
      </c>
      <c r="W1587" t="inlineStr"/>
      <c r="X1587" t="n">
        <v/>
      </c>
    </row>
    <row r="1588">
      <c r="A1588" t="inlineStr">
        <is>
          <t>ATF fuel</t>
        </is>
      </c>
      <c r="B1588" t="inlineStr">
        <is>
          <t>F163</t>
        </is>
      </c>
      <c r="C1588" t="n">
        <v>163</v>
      </c>
      <c r="D1588" t="n">
        <v>6</v>
      </c>
      <c r="E1588" t="inlineStr">
        <is>
          <t>Input</t>
        </is>
      </c>
      <c r="F1588" t="n">
        <v/>
      </c>
      <c r="G1588" t="inlineStr">
        <is>
          <t>July 01, 2012</t>
        </is>
      </c>
      <c r="H1588" t="inlineStr"/>
      <c r="I1588" t="inlineStr">
        <is>
          <t>General</t>
        </is>
      </c>
      <c r="J1588" t="b">
        <v>0</v>
      </c>
      <c r="K1588" t="b">
        <v>0</v>
      </c>
      <c r="L1588" t="n">
        <v>11</v>
      </c>
      <c r="M1588" t="inlineStr">
        <is>
          <t>Values must be of type &lt;class 'str'&gt;</t>
        </is>
      </c>
      <c r="N1588" t="inlineStr">
        <is>
          <t>00000000</t>
        </is>
      </c>
      <c r="O1588" t="inlineStr">
        <is>
          <t>left</t>
        </is>
      </c>
      <c r="P1588" t="n">
        <v/>
      </c>
      <c r="R1588" t="b">
        <v>1</v>
      </c>
      <c r="S1588" t="n">
        <v/>
      </c>
      <c r="T1588" t="n">
        <v/>
      </c>
      <c r="U1588" t="n">
        <v/>
      </c>
      <c r="V1588" t="b">
        <v>0</v>
      </c>
      <c r="W1588" t="inlineStr"/>
      <c r="X1588" t="n">
        <v/>
      </c>
    </row>
    <row r="1589">
      <c r="A1589" t="inlineStr">
        <is>
          <t>ATF fuel</t>
        </is>
      </c>
      <c r="B1589" t="inlineStr">
        <is>
          <t>G163</t>
        </is>
      </c>
      <c r="C1589" t="n">
        <v>163</v>
      </c>
      <c r="D1589" t="n">
        <v>7</v>
      </c>
      <c r="E1589" t="inlineStr">
        <is>
          <t>Calculation</t>
        </is>
      </c>
      <c r="F1589" t="inlineStr">
        <is>
          <t>'=(1+(C163/C162)-1)*G162</t>
        </is>
      </c>
      <c r="G1589" t="n">
        <v>145.7379915976135</v>
      </c>
      <c r="H1589" t="inlineStr"/>
      <c r="I1589" t="inlineStr">
        <is>
          <t>General</t>
        </is>
      </c>
      <c r="J1589" t="b">
        <v>0</v>
      </c>
      <c r="K1589" t="b">
        <v>0</v>
      </c>
      <c r="L1589" t="n">
        <v>11</v>
      </c>
      <c r="M1589" t="inlineStr">
        <is>
          <t>Values must be of type &lt;class 'str'&gt;</t>
        </is>
      </c>
      <c r="N1589" t="inlineStr">
        <is>
          <t>00000000</t>
        </is>
      </c>
      <c r="O1589" t="inlineStr">
        <is>
          <t>left</t>
        </is>
      </c>
      <c r="P1589" t="n">
        <v/>
      </c>
      <c r="R1589" t="b">
        <v>1</v>
      </c>
      <c r="S1589" t="inlineStr">
        <is>
          <t>G000322</t>
        </is>
      </c>
      <c r="T1589" t="inlineStr">
        <is>
          <t>Horizontal</t>
        </is>
      </c>
      <c r="U1589" t="n">
        <v>3</v>
      </c>
      <c r="V1589" t="b">
        <v>1</v>
      </c>
      <c r="W1589" t="inlineStr">
        <is>
          <t>ATF fuel!G163:I163</t>
        </is>
      </c>
      <c r="X1589">
        <f>(1+(R[0]C[-4]/R[-1]C[-4])-1)*R[-1]C[0]</f>
        <v/>
      </c>
    </row>
    <row r="1590">
      <c r="A1590" t="inlineStr">
        <is>
          <t>ATF fuel</t>
        </is>
      </c>
      <c r="B1590" t="inlineStr">
        <is>
          <t>H163</t>
        </is>
      </c>
      <c r="C1590" t="n">
        <v>163</v>
      </c>
      <c r="D1590" t="n">
        <v>8</v>
      </c>
      <c r="E1590" t="inlineStr">
        <is>
          <t>Calculation</t>
        </is>
      </c>
      <c r="F1590" t="inlineStr">
        <is>
          <t>'=(1+(D163/D162)-1)*H162</t>
        </is>
      </c>
      <c r="G1590" t="n">
        <v>120.0895558513858</v>
      </c>
      <c r="H1590" t="inlineStr"/>
      <c r="I1590" t="inlineStr">
        <is>
          <t>General</t>
        </is>
      </c>
      <c r="J1590" t="b">
        <v>0</v>
      </c>
      <c r="K1590" t="b">
        <v>0</v>
      </c>
      <c r="L1590" t="n">
        <v>11</v>
      </c>
      <c r="M1590" t="inlineStr">
        <is>
          <t>Values must be of type &lt;class 'str'&gt;</t>
        </is>
      </c>
      <c r="N1590" t="inlineStr">
        <is>
          <t>00000000</t>
        </is>
      </c>
      <c r="O1590" t="inlineStr">
        <is>
          <t>left</t>
        </is>
      </c>
      <c r="P1590" t="n">
        <v/>
      </c>
      <c r="R1590" t="b">
        <v>1</v>
      </c>
      <c r="S1590" t="inlineStr">
        <is>
          <t>G000322</t>
        </is>
      </c>
      <c r="T1590" t="inlineStr">
        <is>
          <t>Horizontal</t>
        </is>
      </c>
      <c r="U1590" t="n">
        <v>3</v>
      </c>
      <c r="V1590" t="b">
        <v>1</v>
      </c>
      <c r="W1590" t="inlineStr">
        <is>
          <t>ATF fuel!G163:I163</t>
        </is>
      </c>
      <c r="X1590">
        <f>(1+(R[0]C[-4]/R[-1]C[-4])-1)*R[-1]C[0]</f>
        <v/>
      </c>
    </row>
    <row r="1591">
      <c r="A1591" t="inlineStr">
        <is>
          <t>ATF fuel</t>
        </is>
      </c>
      <c r="B1591" t="inlineStr">
        <is>
          <t>I163</t>
        </is>
      </c>
      <c r="C1591" t="n">
        <v>163</v>
      </c>
      <c r="D1591" t="n">
        <v>9</v>
      </c>
      <c r="E1591" t="inlineStr">
        <is>
          <t>Calculation</t>
        </is>
      </c>
      <c r="F1591" t="inlineStr">
        <is>
          <t>'=(1+(E163/E162)-1)*I162</t>
        </is>
      </c>
      <c r="G1591" t="n">
        <v>99.04176032177926</v>
      </c>
      <c r="H1591" t="inlineStr"/>
      <c r="I1591" t="inlineStr">
        <is>
          <t>General</t>
        </is>
      </c>
      <c r="J1591" t="b">
        <v>0</v>
      </c>
      <c r="K1591" t="b">
        <v>0</v>
      </c>
      <c r="L1591" t="n">
        <v>11</v>
      </c>
      <c r="M1591" t="inlineStr">
        <is>
          <t>Values must be of type &lt;class 'str'&gt;</t>
        </is>
      </c>
      <c r="N1591" t="inlineStr">
        <is>
          <t>00000000</t>
        </is>
      </c>
      <c r="O1591" t="inlineStr">
        <is>
          <t>left</t>
        </is>
      </c>
      <c r="P1591" t="n">
        <v/>
      </c>
      <c r="R1591" t="b">
        <v>1</v>
      </c>
      <c r="S1591" t="inlineStr">
        <is>
          <t>G000322</t>
        </is>
      </c>
      <c r="T1591" t="inlineStr">
        <is>
          <t>Horizontal</t>
        </is>
      </c>
      <c r="U1591" t="n">
        <v>3</v>
      </c>
      <c r="V1591" t="b">
        <v>1</v>
      </c>
      <c r="W1591" t="inlineStr">
        <is>
          <t>ATF fuel!G163:I163</t>
        </is>
      </c>
      <c r="X1591">
        <f>(1+(R[0]C[-4]/R[-1]C[-4])-1)*R[-1]C[0]</f>
        <v/>
      </c>
    </row>
    <row r="1592">
      <c r="A1592" t="inlineStr">
        <is>
          <t>ATF fuel</t>
        </is>
      </c>
      <c r="B1592" t="inlineStr">
        <is>
          <t>J163</t>
        </is>
      </c>
      <c r="C1592" t="n">
        <v>163</v>
      </c>
      <c r="D1592" t="n">
        <v>10</v>
      </c>
      <c r="E1592" t="inlineStr">
        <is>
          <t>Output</t>
        </is>
      </c>
      <c r="F1592" t="inlineStr">
        <is>
          <t>'=G163/H163-1</t>
        </is>
      </c>
      <c r="G1592" t="n">
        <v>0.2135775718745134</v>
      </c>
      <c r="H1592" t="inlineStr"/>
      <c r="I1592" t="inlineStr">
        <is>
          <t>0.0%</t>
        </is>
      </c>
      <c r="J1592" t="b">
        <v>0</v>
      </c>
      <c r="K1592" t="b">
        <v>0</v>
      </c>
      <c r="L1592" t="n">
        <v>11</v>
      </c>
      <c r="M1592" t="inlineStr">
        <is>
          <t>Values must be of type &lt;class 'str'&gt;</t>
        </is>
      </c>
      <c r="N1592" t="inlineStr">
        <is>
          <t>00000000</t>
        </is>
      </c>
      <c r="O1592" t="n">
        <v/>
      </c>
      <c r="P1592" t="n">
        <v/>
      </c>
      <c r="R1592" t="b">
        <v>1</v>
      </c>
      <c r="S1592" t="inlineStr">
        <is>
          <t>G000295</t>
        </is>
      </c>
      <c r="T1592" t="inlineStr">
        <is>
          <t>Vertical</t>
        </is>
      </c>
      <c r="U1592" t="n">
        <v>93</v>
      </c>
      <c r="V1592" t="b">
        <v>1</v>
      </c>
      <c r="W1592" t="inlineStr">
        <is>
          <t>ATF fuel!J136:J228</t>
        </is>
      </c>
      <c r="X1592">
        <f>R[0]C[-3]/R[0]C[-2]-1</f>
        <v/>
      </c>
    </row>
    <row r="1593">
      <c r="A1593" t="inlineStr">
        <is>
          <t>ATF fuel</t>
        </is>
      </c>
      <c r="B1593" t="inlineStr">
        <is>
          <t>B164</t>
        </is>
      </c>
      <c r="C1593" t="n">
        <v>164</v>
      </c>
      <c r="D1593" t="n">
        <v>2</v>
      </c>
      <c r="E1593" t="inlineStr">
        <is>
          <t>Input</t>
        </is>
      </c>
      <c r="F1593" t="n">
        <v/>
      </c>
      <c r="G1593" t="inlineStr">
        <is>
          <t>August 01, 2012</t>
        </is>
      </c>
      <c r="H1593" t="inlineStr"/>
      <c r="I1593" t="inlineStr">
        <is>
          <t>General</t>
        </is>
      </c>
      <c r="J1593" t="b">
        <v>0</v>
      </c>
      <c r="K1593" t="b">
        <v>0</v>
      </c>
      <c r="L1593" t="n">
        <v>11</v>
      </c>
      <c r="M1593" t="inlineStr">
        <is>
          <t>Values must be of type &lt;class 'str'&gt;</t>
        </is>
      </c>
      <c r="N1593" t="inlineStr">
        <is>
          <t>00000000</t>
        </is>
      </c>
      <c r="O1593" t="n">
        <v/>
      </c>
      <c r="P1593" t="n">
        <v/>
      </c>
      <c r="R1593" t="b">
        <v>1</v>
      </c>
      <c r="S1593" t="n">
        <v/>
      </c>
      <c r="T1593" t="n">
        <v/>
      </c>
      <c r="U1593" t="n">
        <v/>
      </c>
      <c r="V1593" t="b">
        <v>0</v>
      </c>
      <c r="W1593" t="inlineStr"/>
      <c r="X1593" t="n">
        <v/>
      </c>
    </row>
    <row r="1594">
      <c r="A1594" t="inlineStr">
        <is>
          <t>ATF fuel</t>
        </is>
      </c>
      <c r="B1594" t="inlineStr">
        <is>
          <t>C164</t>
        </is>
      </c>
      <c r="C1594" t="n">
        <v>164</v>
      </c>
      <c r="D1594" t="n">
        <v>3</v>
      </c>
      <c r="E1594" t="inlineStr">
        <is>
          <t>Input</t>
        </is>
      </c>
      <c r="F1594" t="n">
        <v/>
      </c>
      <c r="G1594" t="n">
        <v>68561.29000000001</v>
      </c>
      <c r="H1594" t="inlineStr"/>
      <c r="I1594" t="inlineStr">
        <is>
          <t>General</t>
        </is>
      </c>
      <c r="J1594" t="b">
        <v>0</v>
      </c>
      <c r="K1594" t="b">
        <v>0</v>
      </c>
      <c r="L1594" t="n">
        <v>11</v>
      </c>
      <c r="M1594" t="inlineStr">
        <is>
          <t>Values must be of type &lt;class 'str'&gt;</t>
        </is>
      </c>
      <c r="N1594" t="inlineStr">
        <is>
          <t>00000000</t>
        </is>
      </c>
      <c r="O1594" t="n">
        <v/>
      </c>
      <c r="P1594" t="n">
        <v/>
      </c>
      <c r="R1594" t="b">
        <v>1</v>
      </c>
      <c r="S1594" t="n">
        <v/>
      </c>
      <c r="T1594" t="n">
        <v/>
      </c>
      <c r="U1594" t="n">
        <v/>
      </c>
      <c r="V1594" t="b">
        <v>0</v>
      </c>
      <c r="W1594" t="inlineStr"/>
      <c r="X1594" t="n">
        <v/>
      </c>
    </row>
    <row r="1595">
      <c r="A1595" t="inlineStr">
        <is>
          <t>ATF fuel</t>
        </is>
      </c>
      <c r="B1595" t="inlineStr">
        <is>
          <t>D164</t>
        </is>
      </c>
      <c r="C1595" t="n">
        <v>164</v>
      </c>
      <c r="D1595" t="n">
        <v>4</v>
      </c>
      <c r="E1595" t="inlineStr">
        <is>
          <t>Input</t>
        </is>
      </c>
      <c r="F1595" t="n">
        <v/>
      </c>
      <c r="G1595" t="n">
        <v>113.52</v>
      </c>
      <c r="H1595" t="inlineStr"/>
      <c r="I1595" t="inlineStr">
        <is>
          <t>General</t>
        </is>
      </c>
      <c r="J1595" t="b">
        <v>0</v>
      </c>
      <c r="K1595" t="b">
        <v>0</v>
      </c>
      <c r="L1595" t="n">
        <v>11</v>
      </c>
      <c r="M1595" t="inlineStr">
        <is>
          <t>Values must be of type &lt;class 'str'&gt;</t>
        </is>
      </c>
      <c r="N1595" t="inlineStr">
        <is>
          <t>00000000</t>
        </is>
      </c>
      <c r="O1595" t="n">
        <v/>
      </c>
      <c r="P1595" t="n">
        <v/>
      </c>
      <c r="R1595" t="b">
        <v>1</v>
      </c>
      <c r="S1595" t="n">
        <v/>
      </c>
      <c r="T1595" t="n">
        <v/>
      </c>
      <c r="U1595" t="n">
        <v/>
      </c>
      <c r="V1595" t="b">
        <v>0</v>
      </c>
      <c r="W1595" t="inlineStr"/>
      <c r="X1595" t="n">
        <v/>
      </c>
    </row>
    <row r="1596">
      <c r="A1596" t="inlineStr">
        <is>
          <t>ATF fuel</t>
        </is>
      </c>
      <c r="B1596" t="inlineStr">
        <is>
          <t>E164</t>
        </is>
      </c>
      <c r="C1596" t="n">
        <v>164</v>
      </c>
      <c r="D1596" t="n">
        <v>5</v>
      </c>
      <c r="E1596" t="inlineStr">
        <is>
          <t>Input</t>
        </is>
      </c>
      <c r="F1596" t="n">
        <v/>
      </c>
      <c r="G1596" t="n">
        <v>88.98999999999999</v>
      </c>
      <c r="H1596" t="inlineStr"/>
      <c r="I1596" t="inlineStr">
        <is>
          <t>General</t>
        </is>
      </c>
      <c r="J1596" t="b">
        <v>0</v>
      </c>
      <c r="K1596" t="b">
        <v>0</v>
      </c>
      <c r="L1596" t="n">
        <v>11</v>
      </c>
      <c r="M1596" t="inlineStr">
        <is>
          <t>Values must be of type &lt;class 'str'&gt;</t>
        </is>
      </c>
      <c r="N1596" t="inlineStr">
        <is>
          <t>00000000</t>
        </is>
      </c>
      <c r="O1596" t="n">
        <v/>
      </c>
      <c r="P1596" t="n">
        <v/>
      </c>
      <c r="R1596" t="b">
        <v>1</v>
      </c>
      <c r="S1596" t="n">
        <v/>
      </c>
      <c r="T1596" t="n">
        <v/>
      </c>
      <c r="U1596" t="n">
        <v/>
      </c>
      <c r="V1596" t="b">
        <v>0</v>
      </c>
      <c r="W1596" t="inlineStr"/>
      <c r="X1596" t="n">
        <v/>
      </c>
    </row>
    <row r="1597">
      <c r="A1597" t="inlineStr">
        <is>
          <t>ATF fuel</t>
        </is>
      </c>
      <c r="B1597" t="inlineStr">
        <is>
          <t>F164</t>
        </is>
      </c>
      <c r="C1597" t="n">
        <v>164</v>
      </c>
      <c r="D1597" t="n">
        <v>6</v>
      </c>
      <c r="E1597" t="inlineStr">
        <is>
          <t>Input</t>
        </is>
      </c>
      <c r="F1597" t="n">
        <v/>
      </c>
      <c r="G1597" t="inlineStr">
        <is>
          <t>August 01, 2012</t>
        </is>
      </c>
      <c r="H1597" t="inlineStr"/>
      <c r="I1597" t="inlineStr">
        <is>
          <t>General</t>
        </is>
      </c>
      <c r="J1597" t="b">
        <v>0</v>
      </c>
      <c r="K1597" t="b">
        <v>0</v>
      </c>
      <c r="L1597" t="n">
        <v>11</v>
      </c>
      <c r="M1597" t="inlineStr">
        <is>
          <t>Values must be of type &lt;class 'str'&gt;</t>
        </is>
      </c>
      <c r="N1597" t="inlineStr">
        <is>
          <t>00000000</t>
        </is>
      </c>
      <c r="O1597" t="inlineStr">
        <is>
          <t>left</t>
        </is>
      </c>
      <c r="P1597" t="n">
        <v/>
      </c>
      <c r="R1597" t="b">
        <v>1</v>
      </c>
      <c r="S1597" t="n">
        <v/>
      </c>
      <c r="T1597" t="n">
        <v/>
      </c>
      <c r="U1597" t="n">
        <v/>
      </c>
      <c r="V1597" t="b">
        <v>0</v>
      </c>
      <c r="W1597" t="inlineStr"/>
      <c r="X1597" t="n">
        <v/>
      </c>
    </row>
    <row r="1598">
      <c r="A1598" t="inlineStr">
        <is>
          <t>ATF fuel</t>
        </is>
      </c>
      <c r="B1598" t="inlineStr">
        <is>
          <t>G164</t>
        </is>
      </c>
      <c r="C1598" t="n">
        <v>164</v>
      </c>
      <c r="D1598" t="n">
        <v>7</v>
      </c>
      <c r="E1598" t="inlineStr">
        <is>
          <t>Calculation</t>
        </is>
      </c>
      <c r="F1598" t="inlineStr">
        <is>
          <t>'=(1+(C164/C163)-1)*G163</t>
        </is>
      </c>
      <c r="G1598" t="n">
        <v>154.5502800523038</v>
      </c>
      <c r="H1598" t="inlineStr"/>
      <c r="I1598" t="inlineStr">
        <is>
          <t>General</t>
        </is>
      </c>
      <c r="J1598" t="b">
        <v>0</v>
      </c>
      <c r="K1598" t="b">
        <v>0</v>
      </c>
      <c r="L1598" t="n">
        <v>11</v>
      </c>
      <c r="M1598" t="inlineStr">
        <is>
          <t>Values must be of type &lt;class 'str'&gt;</t>
        </is>
      </c>
      <c r="N1598" t="inlineStr">
        <is>
          <t>00000000</t>
        </is>
      </c>
      <c r="O1598" t="inlineStr">
        <is>
          <t>left</t>
        </is>
      </c>
      <c r="P1598" t="n">
        <v/>
      </c>
      <c r="R1598" t="b">
        <v>1</v>
      </c>
      <c r="S1598" t="inlineStr">
        <is>
          <t>G000323</t>
        </is>
      </c>
      <c r="T1598" t="inlineStr">
        <is>
          <t>Horizontal</t>
        </is>
      </c>
      <c r="U1598" t="n">
        <v>3</v>
      </c>
      <c r="V1598" t="b">
        <v>1</v>
      </c>
      <c r="W1598" t="inlineStr">
        <is>
          <t>ATF fuel!G164:I164</t>
        </is>
      </c>
      <c r="X1598">
        <f>(1+(R[0]C[-4]/R[-1]C[-4])-1)*R[-1]C[0]</f>
        <v/>
      </c>
    </row>
    <row r="1599">
      <c r="A1599" t="inlineStr">
        <is>
          <t>ATF fuel</t>
        </is>
      </c>
      <c r="B1599" t="inlineStr">
        <is>
          <t>H164</t>
        </is>
      </c>
      <c r="C1599" t="n">
        <v>164</v>
      </c>
      <c r="D1599" t="n">
        <v>8</v>
      </c>
      <c r="E1599" t="inlineStr">
        <is>
          <t>Calculation</t>
        </is>
      </c>
      <c r="F1599" t="inlineStr">
        <is>
          <t>'=(1+(D164/D163)-1)*H163</t>
        </is>
      </c>
      <c r="G1599" t="n">
        <v>137.3835168824883</v>
      </c>
      <c r="H1599" t="inlineStr"/>
      <c r="I1599" t="inlineStr">
        <is>
          <t>General</t>
        </is>
      </c>
      <c r="J1599" t="b">
        <v>0</v>
      </c>
      <c r="K1599" t="b">
        <v>0</v>
      </c>
      <c r="L1599" t="n">
        <v>11</v>
      </c>
      <c r="M1599" t="inlineStr">
        <is>
          <t>Values must be of type &lt;class 'str'&gt;</t>
        </is>
      </c>
      <c r="N1599" t="inlineStr">
        <is>
          <t>00000000</t>
        </is>
      </c>
      <c r="O1599" t="inlineStr">
        <is>
          <t>left</t>
        </is>
      </c>
      <c r="P1599" t="n">
        <v/>
      </c>
      <c r="R1599" t="b">
        <v>1</v>
      </c>
      <c r="S1599" t="inlineStr">
        <is>
          <t>G000323</t>
        </is>
      </c>
      <c r="T1599" t="inlineStr">
        <is>
          <t>Horizontal</t>
        </is>
      </c>
      <c r="U1599" t="n">
        <v>3</v>
      </c>
      <c r="V1599" t="b">
        <v>1</v>
      </c>
      <c r="W1599" t="inlineStr">
        <is>
          <t>ATF fuel!G164:I164</t>
        </is>
      </c>
      <c r="X1599">
        <f>(1+(R[0]C[-4]/R[-1]C[-4])-1)*R[-1]C[0]</f>
        <v/>
      </c>
    </row>
    <row r="1600">
      <c r="A1600" t="inlineStr">
        <is>
          <t>ATF fuel</t>
        </is>
      </c>
      <c r="B1600" t="inlineStr">
        <is>
          <t>I164</t>
        </is>
      </c>
      <c r="C1600" t="n">
        <v>164</v>
      </c>
      <c r="D1600" t="n">
        <v>9</v>
      </c>
      <c r="E1600" t="inlineStr">
        <is>
          <t>Calculation</t>
        </is>
      </c>
      <c r="F1600" t="inlineStr">
        <is>
          <t>'=(1+(E164/E163)-1)*I163</t>
        </is>
      </c>
      <c r="G1600" t="n">
        <v>105.2762332899562</v>
      </c>
      <c r="H1600" t="inlineStr"/>
      <c r="I1600" t="inlineStr">
        <is>
          <t>General</t>
        </is>
      </c>
      <c r="J1600" t="b">
        <v>0</v>
      </c>
      <c r="K1600" t="b">
        <v>0</v>
      </c>
      <c r="L1600" t="n">
        <v>11</v>
      </c>
      <c r="M1600" t="inlineStr">
        <is>
          <t>Values must be of type &lt;class 'str'&gt;</t>
        </is>
      </c>
      <c r="N1600" t="inlineStr">
        <is>
          <t>00000000</t>
        </is>
      </c>
      <c r="O1600" t="inlineStr">
        <is>
          <t>left</t>
        </is>
      </c>
      <c r="P1600" t="n">
        <v/>
      </c>
      <c r="R1600" t="b">
        <v>1</v>
      </c>
      <c r="S1600" t="inlineStr">
        <is>
          <t>G000323</t>
        </is>
      </c>
      <c r="T1600" t="inlineStr">
        <is>
          <t>Horizontal</t>
        </is>
      </c>
      <c r="U1600" t="n">
        <v>3</v>
      </c>
      <c r="V1600" t="b">
        <v>1</v>
      </c>
      <c r="W1600" t="inlineStr">
        <is>
          <t>ATF fuel!G164:I164</t>
        </is>
      </c>
      <c r="X1600">
        <f>(1+(R[0]C[-4]/R[-1]C[-4])-1)*R[-1]C[0]</f>
        <v/>
      </c>
    </row>
    <row r="1601">
      <c r="A1601" t="inlineStr">
        <is>
          <t>ATF fuel</t>
        </is>
      </c>
      <c r="B1601" t="inlineStr">
        <is>
          <t>J164</t>
        </is>
      </c>
      <c r="C1601" t="n">
        <v>164</v>
      </c>
      <c r="D1601" t="n">
        <v>10</v>
      </c>
      <c r="E1601" t="inlineStr">
        <is>
          <t>Output</t>
        </is>
      </c>
      <c r="F1601" t="inlineStr">
        <is>
          <t>'=G164/H164-1</t>
        </is>
      </c>
      <c r="G1601" t="n">
        <v>0.1249550423468864</v>
      </c>
      <c r="H1601" t="inlineStr"/>
      <c r="I1601" t="inlineStr">
        <is>
          <t>0.0%</t>
        </is>
      </c>
      <c r="J1601" t="b">
        <v>0</v>
      </c>
      <c r="K1601" t="b">
        <v>0</v>
      </c>
      <c r="L1601" t="n">
        <v>11</v>
      </c>
      <c r="M1601" t="inlineStr">
        <is>
          <t>Values must be of type &lt;class 'str'&gt;</t>
        </is>
      </c>
      <c r="N1601" t="inlineStr">
        <is>
          <t>00000000</t>
        </is>
      </c>
      <c r="O1601" t="n">
        <v/>
      </c>
      <c r="P1601" t="n">
        <v/>
      </c>
      <c r="R1601" t="b">
        <v>1</v>
      </c>
      <c r="S1601" t="inlineStr">
        <is>
          <t>G000295</t>
        </is>
      </c>
      <c r="T1601" t="inlineStr">
        <is>
          <t>Vertical</t>
        </is>
      </c>
      <c r="U1601" t="n">
        <v>93</v>
      </c>
      <c r="V1601" t="b">
        <v>1</v>
      </c>
      <c r="W1601" t="inlineStr">
        <is>
          <t>ATF fuel!J136:J228</t>
        </is>
      </c>
      <c r="X1601">
        <f>R[0]C[-3]/R[0]C[-2]-1</f>
        <v/>
      </c>
    </row>
    <row r="1602">
      <c r="A1602" t="inlineStr">
        <is>
          <t>ATF fuel</t>
        </is>
      </c>
      <c r="B1602" t="inlineStr">
        <is>
          <t>B165</t>
        </is>
      </c>
      <c r="C1602" t="n">
        <v>165</v>
      </c>
      <c r="D1602" t="n">
        <v>2</v>
      </c>
      <c r="E1602" t="inlineStr">
        <is>
          <t>Input</t>
        </is>
      </c>
      <c r="F1602" t="n">
        <v/>
      </c>
      <c r="G1602" t="inlineStr">
        <is>
          <t>September 01, 2012</t>
        </is>
      </c>
      <c r="H1602" t="inlineStr"/>
      <c r="I1602" t="inlineStr">
        <is>
          <t>General</t>
        </is>
      </c>
      <c r="J1602" t="b">
        <v>0</v>
      </c>
      <c r="K1602" t="b">
        <v>0</v>
      </c>
      <c r="L1602" t="n">
        <v>11</v>
      </c>
      <c r="M1602" t="inlineStr">
        <is>
          <t>Values must be of type &lt;class 'str'&gt;</t>
        </is>
      </c>
      <c r="N1602" t="inlineStr">
        <is>
          <t>00000000</t>
        </is>
      </c>
      <c r="O1602" t="n">
        <v/>
      </c>
      <c r="P1602" t="n">
        <v/>
      </c>
      <c r="R1602" t="b">
        <v>1</v>
      </c>
      <c r="S1602" t="n">
        <v/>
      </c>
      <c r="T1602" t="n">
        <v/>
      </c>
      <c r="U1602" t="n">
        <v/>
      </c>
      <c r="V1602" t="b">
        <v>0</v>
      </c>
      <c r="W1602" t="inlineStr"/>
      <c r="X1602" t="n">
        <v/>
      </c>
    </row>
    <row r="1603">
      <c r="A1603" t="inlineStr">
        <is>
          <t>ATF fuel</t>
        </is>
      </c>
      <c r="B1603" t="inlineStr">
        <is>
          <t>C165</t>
        </is>
      </c>
      <c r="C1603" t="n">
        <v>165</v>
      </c>
      <c r="D1603" t="n">
        <v>3</v>
      </c>
      <c r="E1603" t="inlineStr">
        <is>
          <t>Input</t>
        </is>
      </c>
      <c r="F1603" t="n">
        <v/>
      </c>
      <c r="G1603" t="n">
        <v>75263.3425</v>
      </c>
      <c r="H1603" t="inlineStr"/>
      <c r="I1603" t="inlineStr">
        <is>
          <t>General</t>
        </is>
      </c>
      <c r="J1603" t="b">
        <v>0</v>
      </c>
      <c r="K1603" t="b">
        <v>0</v>
      </c>
      <c r="L1603" t="n">
        <v>11</v>
      </c>
      <c r="M1603" t="inlineStr">
        <is>
          <t>Values must be of type &lt;class 'str'&gt;</t>
        </is>
      </c>
      <c r="N1603" t="inlineStr">
        <is>
          <t>00000000</t>
        </is>
      </c>
      <c r="O1603" t="n">
        <v/>
      </c>
      <c r="P1603" t="n">
        <v/>
      </c>
      <c r="R1603" t="b">
        <v>1</v>
      </c>
      <c r="S1603" t="n">
        <v/>
      </c>
      <c r="T1603" t="n">
        <v/>
      </c>
      <c r="U1603" t="n">
        <v/>
      </c>
      <c r="V1603" t="b">
        <v>0</v>
      </c>
      <c r="W1603" t="inlineStr"/>
      <c r="X1603" t="n">
        <v/>
      </c>
    </row>
    <row r="1604">
      <c r="A1604" t="inlineStr">
        <is>
          <t>ATF fuel</t>
        </is>
      </c>
      <c r="B1604" t="inlineStr">
        <is>
          <t>D165</t>
        </is>
      </c>
      <c r="C1604" t="n">
        <v>165</v>
      </c>
      <c r="D1604" t="n">
        <v>4</v>
      </c>
      <c r="E1604" t="inlineStr">
        <is>
          <t>Input</t>
        </is>
      </c>
      <c r="F1604" t="n">
        <v/>
      </c>
      <c r="G1604" t="n">
        <v>114.86</v>
      </c>
      <c r="H1604" t="inlineStr"/>
      <c r="I1604" t="inlineStr">
        <is>
          <t>General</t>
        </is>
      </c>
      <c r="J1604" t="b">
        <v>0</v>
      </c>
      <c r="K1604" t="b">
        <v>0</v>
      </c>
      <c r="L1604" t="n">
        <v>11</v>
      </c>
      <c r="M1604" t="inlineStr">
        <is>
          <t>Values must be of type &lt;class 'str'&gt;</t>
        </is>
      </c>
      <c r="N1604" t="inlineStr">
        <is>
          <t>00000000</t>
        </is>
      </c>
      <c r="O1604" t="n">
        <v/>
      </c>
      <c r="P1604" t="n">
        <v/>
      </c>
      <c r="R1604" t="b">
        <v>1</v>
      </c>
      <c r="S1604" t="n">
        <v/>
      </c>
      <c r="T1604" t="n">
        <v/>
      </c>
      <c r="U1604" t="n">
        <v/>
      </c>
      <c r="V1604" t="b">
        <v>0</v>
      </c>
      <c r="W1604" t="inlineStr"/>
      <c r="X1604" t="n">
        <v/>
      </c>
    </row>
    <row r="1605">
      <c r="A1605" t="inlineStr">
        <is>
          <t>ATF fuel</t>
        </is>
      </c>
      <c r="B1605" t="inlineStr">
        <is>
          <t>E165</t>
        </is>
      </c>
      <c r="C1605" t="n">
        <v>165</v>
      </c>
      <c r="D1605" t="n">
        <v>5</v>
      </c>
      <c r="E1605" t="inlineStr">
        <is>
          <t>Input</t>
        </is>
      </c>
      <c r="F1605" t="n">
        <v/>
      </c>
      <c r="G1605" t="n">
        <v>95.34</v>
      </c>
      <c r="H1605" t="inlineStr"/>
      <c r="I1605" t="inlineStr">
        <is>
          <t>General</t>
        </is>
      </c>
      <c r="J1605" t="b">
        <v>0</v>
      </c>
      <c r="K1605" t="b">
        <v>0</v>
      </c>
      <c r="L1605" t="n">
        <v>11</v>
      </c>
      <c r="M1605" t="inlineStr">
        <is>
          <t>Values must be of type &lt;class 'str'&gt;</t>
        </is>
      </c>
      <c r="N1605" t="inlineStr">
        <is>
          <t>00000000</t>
        </is>
      </c>
      <c r="O1605" t="n">
        <v/>
      </c>
      <c r="P1605" t="n">
        <v/>
      </c>
      <c r="R1605" t="b">
        <v>1</v>
      </c>
      <c r="S1605" t="n">
        <v/>
      </c>
      <c r="T1605" t="n">
        <v/>
      </c>
      <c r="U1605" t="n">
        <v/>
      </c>
      <c r="V1605" t="b">
        <v>0</v>
      </c>
      <c r="W1605" t="inlineStr"/>
      <c r="X1605" t="n">
        <v/>
      </c>
    </row>
    <row r="1606">
      <c r="A1606" t="inlineStr">
        <is>
          <t>ATF fuel</t>
        </is>
      </c>
      <c r="B1606" t="inlineStr">
        <is>
          <t>F165</t>
        </is>
      </c>
      <c r="C1606" t="n">
        <v>165</v>
      </c>
      <c r="D1606" t="n">
        <v>6</v>
      </c>
      <c r="E1606" t="inlineStr">
        <is>
          <t>Input</t>
        </is>
      </c>
      <c r="F1606" t="n">
        <v/>
      </c>
      <c r="G1606" t="inlineStr">
        <is>
          <t>September 01, 2012</t>
        </is>
      </c>
      <c r="H1606" t="inlineStr"/>
      <c r="I1606" t="inlineStr">
        <is>
          <t>General</t>
        </is>
      </c>
      <c r="J1606" t="b">
        <v>0</v>
      </c>
      <c r="K1606" t="b">
        <v>0</v>
      </c>
      <c r="L1606" t="n">
        <v>11</v>
      </c>
      <c r="M1606" t="inlineStr">
        <is>
          <t>Values must be of type &lt;class 'str'&gt;</t>
        </is>
      </c>
      <c r="N1606" t="inlineStr">
        <is>
          <t>00000000</t>
        </is>
      </c>
      <c r="O1606" t="inlineStr">
        <is>
          <t>left</t>
        </is>
      </c>
      <c r="P1606" t="n">
        <v/>
      </c>
      <c r="R1606" t="b">
        <v>1</v>
      </c>
      <c r="S1606" t="n">
        <v/>
      </c>
      <c r="T1606" t="n">
        <v/>
      </c>
      <c r="U1606" t="n">
        <v/>
      </c>
      <c r="V1606" t="b">
        <v>0</v>
      </c>
      <c r="W1606" t="inlineStr"/>
      <c r="X1606" t="n">
        <v/>
      </c>
    </row>
    <row r="1607">
      <c r="A1607" t="inlineStr">
        <is>
          <t>ATF fuel</t>
        </is>
      </c>
      <c r="B1607" t="inlineStr">
        <is>
          <t>G165</t>
        </is>
      </c>
      <c r="C1607" t="n">
        <v>165</v>
      </c>
      <c r="D1607" t="n">
        <v>7</v>
      </c>
      <c r="E1607" t="inlineStr">
        <is>
          <t>Calculation</t>
        </is>
      </c>
      <c r="F1607" t="inlineStr">
        <is>
          <t>'=(1+(C165/C164)-1)*G164</t>
        </is>
      </c>
      <c r="G1607" t="n">
        <v>169.6579901143555</v>
      </c>
      <c r="H1607" t="inlineStr"/>
      <c r="I1607" t="inlineStr">
        <is>
          <t>General</t>
        </is>
      </c>
      <c r="J1607" t="b">
        <v>0</v>
      </c>
      <c r="K1607" t="b">
        <v>0</v>
      </c>
      <c r="L1607" t="n">
        <v>11</v>
      </c>
      <c r="M1607" t="inlineStr">
        <is>
          <t>Values must be of type &lt;class 'str'&gt;</t>
        </is>
      </c>
      <c r="N1607" t="inlineStr">
        <is>
          <t>00000000</t>
        </is>
      </c>
      <c r="O1607" t="inlineStr">
        <is>
          <t>left</t>
        </is>
      </c>
      <c r="P1607" t="n">
        <v/>
      </c>
      <c r="R1607" t="b">
        <v>1</v>
      </c>
      <c r="S1607" t="inlineStr">
        <is>
          <t>G000324</t>
        </is>
      </c>
      <c r="T1607" t="inlineStr">
        <is>
          <t>Horizontal</t>
        </is>
      </c>
      <c r="U1607" t="n">
        <v>3</v>
      </c>
      <c r="V1607" t="b">
        <v>1</v>
      </c>
      <c r="W1607" t="inlineStr">
        <is>
          <t>ATF fuel!G165:I165</t>
        </is>
      </c>
      <c r="X1607">
        <f>(1+(R[0]C[-4]/R[-1]C[-4])-1)*R[-1]C[0]</f>
        <v/>
      </c>
    </row>
    <row r="1608">
      <c r="A1608" t="inlineStr">
        <is>
          <t>ATF fuel</t>
        </is>
      </c>
      <c r="B1608" t="inlineStr">
        <is>
          <t>H165</t>
        </is>
      </c>
      <c r="C1608" t="n">
        <v>165</v>
      </c>
      <c r="D1608" t="n">
        <v>8</v>
      </c>
      <c r="E1608" t="inlineStr">
        <is>
          <t>Calculation</t>
        </is>
      </c>
      <c r="F1608" t="inlineStr">
        <is>
          <t>'=(1+(D165/D164)-1)*H164</t>
        </is>
      </c>
      <c r="G1608" t="n">
        <v>139.0052039210941</v>
      </c>
      <c r="H1608" t="inlineStr"/>
      <c r="I1608" t="inlineStr">
        <is>
          <t>General</t>
        </is>
      </c>
      <c r="J1608" t="b">
        <v>0</v>
      </c>
      <c r="K1608" t="b">
        <v>0</v>
      </c>
      <c r="L1608" t="n">
        <v>11</v>
      </c>
      <c r="M1608" t="inlineStr">
        <is>
          <t>Values must be of type &lt;class 'str'&gt;</t>
        </is>
      </c>
      <c r="N1608" t="inlineStr">
        <is>
          <t>00000000</t>
        </is>
      </c>
      <c r="O1608" t="inlineStr">
        <is>
          <t>left</t>
        </is>
      </c>
      <c r="P1608" t="n">
        <v/>
      </c>
      <c r="R1608" t="b">
        <v>1</v>
      </c>
      <c r="S1608" t="inlineStr">
        <is>
          <t>G000324</t>
        </is>
      </c>
      <c r="T1608" t="inlineStr">
        <is>
          <t>Horizontal</t>
        </is>
      </c>
      <c r="U1608" t="n">
        <v>3</v>
      </c>
      <c r="V1608" t="b">
        <v>1</v>
      </c>
      <c r="W1608" t="inlineStr">
        <is>
          <t>ATF fuel!G165:I165</t>
        </is>
      </c>
      <c r="X1608">
        <f>(1+(R[0]C[-4]/R[-1]C[-4])-1)*R[-1]C[0]</f>
        <v/>
      </c>
    </row>
    <row r="1609">
      <c r="A1609" t="inlineStr">
        <is>
          <t>ATF fuel</t>
        </is>
      </c>
      <c r="B1609" t="inlineStr">
        <is>
          <t>I165</t>
        </is>
      </c>
      <c r="C1609" t="n">
        <v>165</v>
      </c>
      <c r="D1609" t="n">
        <v>9</v>
      </c>
      <c r="E1609" t="inlineStr">
        <is>
          <t>Calculation</t>
        </is>
      </c>
      <c r="F1609" t="inlineStr">
        <is>
          <t>'=(1+(E165/E164)-1)*I164</t>
        </is>
      </c>
      <c r="G1609" t="n">
        <v>112.7883591624276</v>
      </c>
      <c r="H1609" t="inlineStr"/>
      <c r="I1609" t="inlineStr">
        <is>
          <t>General</t>
        </is>
      </c>
      <c r="J1609" t="b">
        <v>0</v>
      </c>
      <c r="K1609" t="b">
        <v>0</v>
      </c>
      <c r="L1609" t="n">
        <v>11</v>
      </c>
      <c r="M1609" t="inlineStr">
        <is>
          <t>Values must be of type &lt;class 'str'&gt;</t>
        </is>
      </c>
      <c r="N1609" t="inlineStr">
        <is>
          <t>00000000</t>
        </is>
      </c>
      <c r="O1609" t="inlineStr">
        <is>
          <t>left</t>
        </is>
      </c>
      <c r="P1609" t="n">
        <v/>
      </c>
      <c r="R1609" t="b">
        <v>1</v>
      </c>
      <c r="S1609" t="inlineStr">
        <is>
          <t>G000324</t>
        </is>
      </c>
      <c r="T1609" t="inlineStr">
        <is>
          <t>Horizontal</t>
        </is>
      </c>
      <c r="U1609" t="n">
        <v>3</v>
      </c>
      <c r="V1609" t="b">
        <v>1</v>
      </c>
      <c r="W1609" t="inlineStr">
        <is>
          <t>ATF fuel!G165:I165</t>
        </is>
      </c>
      <c r="X1609">
        <f>(1+(R[0]C[-4]/R[-1]C[-4])-1)*R[-1]C[0]</f>
        <v/>
      </c>
    </row>
    <row r="1610">
      <c r="A1610" t="inlineStr">
        <is>
          <t>ATF fuel</t>
        </is>
      </c>
      <c r="B1610" t="inlineStr">
        <is>
          <t>J165</t>
        </is>
      </c>
      <c r="C1610" t="n">
        <v>165</v>
      </c>
      <c r="D1610" t="n">
        <v>10</v>
      </c>
      <c r="E1610" t="inlineStr">
        <is>
          <t>Output</t>
        </is>
      </c>
      <c r="F1610" t="inlineStr">
        <is>
          <t>'=G165/H165-1</t>
        </is>
      </c>
      <c r="G1610" t="n">
        <v>0.2205153859610993</v>
      </c>
      <c r="H1610" t="inlineStr"/>
      <c r="I1610" t="inlineStr">
        <is>
          <t>0.0%</t>
        </is>
      </c>
      <c r="J1610" t="b">
        <v>0</v>
      </c>
      <c r="K1610" t="b">
        <v>0</v>
      </c>
      <c r="L1610" t="n">
        <v>11</v>
      </c>
      <c r="M1610" t="inlineStr">
        <is>
          <t>Values must be of type &lt;class 'str'&gt;</t>
        </is>
      </c>
      <c r="N1610" t="inlineStr">
        <is>
          <t>00000000</t>
        </is>
      </c>
      <c r="O1610" t="n">
        <v/>
      </c>
      <c r="P1610" t="n">
        <v/>
      </c>
      <c r="R1610" t="b">
        <v>1</v>
      </c>
      <c r="S1610" t="inlineStr">
        <is>
          <t>G000295</t>
        </is>
      </c>
      <c r="T1610" t="inlineStr">
        <is>
          <t>Vertical</t>
        </is>
      </c>
      <c r="U1610" t="n">
        <v>93</v>
      </c>
      <c r="V1610" t="b">
        <v>1</v>
      </c>
      <c r="W1610" t="inlineStr">
        <is>
          <t>ATF fuel!J136:J228</t>
        </is>
      </c>
      <c r="X1610">
        <f>R[0]C[-3]/R[0]C[-2]-1</f>
        <v/>
      </c>
    </row>
    <row r="1611">
      <c r="A1611" t="inlineStr">
        <is>
          <t>ATF fuel</t>
        </is>
      </c>
      <c r="B1611" t="inlineStr">
        <is>
          <t>B166</t>
        </is>
      </c>
      <c r="C1611" t="n">
        <v>166</v>
      </c>
      <c r="D1611" t="n">
        <v>2</v>
      </c>
      <c r="E1611" t="inlineStr">
        <is>
          <t>Input</t>
        </is>
      </c>
      <c r="F1611" t="n">
        <v/>
      </c>
      <c r="G1611" t="inlineStr">
        <is>
          <t>October 01, 2012</t>
        </is>
      </c>
      <c r="H1611" t="inlineStr"/>
      <c r="I1611" t="inlineStr">
        <is>
          <t>General</t>
        </is>
      </c>
      <c r="J1611" t="b">
        <v>0</v>
      </c>
      <c r="K1611" t="b">
        <v>0</v>
      </c>
      <c r="L1611" t="n">
        <v>11</v>
      </c>
      <c r="M1611" t="inlineStr">
        <is>
          <t>Values must be of type &lt;class 'str'&gt;</t>
        </is>
      </c>
      <c r="N1611" t="inlineStr">
        <is>
          <t>00000000</t>
        </is>
      </c>
      <c r="O1611" t="n">
        <v/>
      </c>
      <c r="P1611" t="n">
        <v/>
      </c>
      <c r="R1611" t="b">
        <v>1</v>
      </c>
      <c r="S1611" t="n">
        <v/>
      </c>
      <c r="T1611" t="n">
        <v/>
      </c>
      <c r="U1611" t="n">
        <v/>
      </c>
      <c r="V1611" t="b">
        <v>0</v>
      </c>
      <c r="W1611" t="inlineStr"/>
      <c r="X1611" t="n">
        <v/>
      </c>
    </row>
    <row r="1612">
      <c r="A1612" t="inlineStr">
        <is>
          <t>ATF fuel</t>
        </is>
      </c>
      <c r="B1612" t="inlineStr">
        <is>
          <t>C166</t>
        </is>
      </c>
      <c r="C1612" t="n">
        <v>166</v>
      </c>
      <c r="D1612" t="n">
        <v>3</v>
      </c>
      <c r="E1612" t="inlineStr">
        <is>
          <t>Input</t>
        </is>
      </c>
      <c r="F1612" t="n">
        <v/>
      </c>
      <c r="G1612" t="n">
        <v>73406.565</v>
      </c>
      <c r="H1612" t="inlineStr"/>
      <c r="I1612" t="inlineStr">
        <is>
          <t>General</t>
        </is>
      </c>
      <c r="J1612" t="b">
        <v>0</v>
      </c>
      <c r="K1612" t="b">
        <v>0</v>
      </c>
      <c r="L1612" t="n">
        <v>11</v>
      </c>
      <c r="M1612" t="inlineStr">
        <is>
          <t>Values must be of type &lt;class 'str'&gt;</t>
        </is>
      </c>
      <c r="N1612" t="inlineStr">
        <is>
          <t>00000000</t>
        </is>
      </c>
      <c r="O1612" t="n">
        <v/>
      </c>
      <c r="P1612" t="n">
        <v/>
      </c>
      <c r="R1612" t="b">
        <v>1</v>
      </c>
      <c r="S1612" t="n">
        <v/>
      </c>
      <c r="T1612" t="n">
        <v/>
      </c>
      <c r="U1612" t="n">
        <v/>
      </c>
      <c r="V1612" t="b">
        <v>0</v>
      </c>
      <c r="W1612" t="inlineStr"/>
      <c r="X1612" t="n">
        <v/>
      </c>
    </row>
    <row r="1613">
      <c r="A1613" t="inlineStr">
        <is>
          <t>ATF fuel</t>
        </is>
      </c>
      <c r="B1613" t="inlineStr">
        <is>
          <t>D166</t>
        </is>
      </c>
      <c r="C1613" t="n">
        <v>166</v>
      </c>
      <c r="D1613" t="n">
        <v>4</v>
      </c>
      <c r="E1613" t="inlineStr">
        <is>
          <t>Input</t>
        </is>
      </c>
      <c r="F1613" t="n">
        <v/>
      </c>
      <c r="G1613" t="n">
        <v>114.32</v>
      </c>
      <c r="H1613" t="inlineStr"/>
      <c r="I1613" t="inlineStr">
        <is>
          <t>General</t>
        </is>
      </c>
      <c r="J1613" t="b">
        <v>0</v>
      </c>
      <c r="K1613" t="b">
        <v>0</v>
      </c>
      <c r="L1613" t="n">
        <v>11</v>
      </c>
      <c r="M1613" t="inlineStr">
        <is>
          <t>Values must be of type &lt;class 'str'&gt;</t>
        </is>
      </c>
      <c r="N1613" t="inlineStr">
        <is>
          <t>00000000</t>
        </is>
      </c>
      <c r="O1613" t="n">
        <v/>
      </c>
      <c r="P1613" t="n">
        <v/>
      </c>
      <c r="R1613" t="b">
        <v>1</v>
      </c>
      <c r="S1613" t="n">
        <v/>
      </c>
      <c r="T1613" t="n">
        <v/>
      </c>
      <c r="U1613" t="n">
        <v/>
      </c>
      <c r="V1613" t="b">
        <v>0</v>
      </c>
      <c r="W1613" t="inlineStr"/>
      <c r="X1613" t="n">
        <v/>
      </c>
    </row>
    <row r="1614">
      <c r="A1614" t="inlineStr">
        <is>
          <t>ATF fuel</t>
        </is>
      </c>
      <c r="B1614" t="inlineStr">
        <is>
          <t>E166</t>
        </is>
      </c>
      <c r="C1614" t="n">
        <v>166</v>
      </c>
      <c r="D1614" t="n">
        <v>5</v>
      </c>
      <c r="E1614" t="inlineStr">
        <is>
          <t>Input</t>
        </is>
      </c>
      <c r="F1614" t="n">
        <v/>
      </c>
      <c r="G1614" t="n">
        <v>92.44</v>
      </c>
      <c r="H1614" t="inlineStr"/>
      <c r="I1614" t="inlineStr">
        <is>
          <t>General</t>
        </is>
      </c>
      <c r="J1614" t="b">
        <v>0</v>
      </c>
      <c r="K1614" t="b">
        <v>0</v>
      </c>
      <c r="L1614" t="n">
        <v>11</v>
      </c>
      <c r="M1614" t="inlineStr">
        <is>
          <t>Values must be of type &lt;class 'str'&gt;</t>
        </is>
      </c>
      <c r="N1614" t="inlineStr">
        <is>
          <t>00000000</t>
        </is>
      </c>
      <c r="O1614" t="n">
        <v/>
      </c>
      <c r="P1614" t="n">
        <v/>
      </c>
      <c r="R1614" t="b">
        <v>1</v>
      </c>
      <c r="S1614" t="n">
        <v/>
      </c>
      <c r="T1614" t="n">
        <v/>
      </c>
      <c r="U1614" t="n">
        <v/>
      </c>
      <c r="V1614" t="b">
        <v>0</v>
      </c>
      <c r="W1614" t="inlineStr"/>
      <c r="X1614" t="n">
        <v/>
      </c>
    </row>
    <row r="1615">
      <c r="A1615" t="inlineStr">
        <is>
          <t>ATF fuel</t>
        </is>
      </c>
      <c r="B1615" t="inlineStr">
        <is>
          <t>F166</t>
        </is>
      </c>
      <c r="C1615" t="n">
        <v>166</v>
      </c>
      <c r="D1615" t="n">
        <v>6</v>
      </c>
      <c r="E1615" t="inlineStr">
        <is>
          <t>Input</t>
        </is>
      </c>
      <c r="F1615" t="n">
        <v/>
      </c>
      <c r="G1615" t="inlineStr">
        <is>
          <t>October 01, 2012</t>
        </is>
      </c>
      <c r="H1615" t="inlineStr"/>
      <c r="I1615" t="inlineStr">
        <is>
          <t>General</t>
        </is>
      </c>
      <c r="J1615" t="b">
        <v>0</v>
      </c>
      <c r="K1615" t="b">
        <v>0</v>
      </c>
      <c r="L1615" t="n">
        <v>11</v>
      </c>
      <c r="M1615" t="inlineStr">
        <is>
          <t>Values must be of type &lt;class 'str'&gt;</t>
        </is>
      </c>
      <c r="N1615" t="inlineStr">
        <is>
          <t>00000000</t>
        </is>
      </c>
      <c r="O1615" t="inlineStr">
        <is>
          <t>left</t>
        </is>
      </c>
      <c r="P1615" t="n">
        <v/>
      </c>
      <c r="R1615" t="b">
        <v>1</v>
      </c>
      <c r="S1615" t="n">
        <v/>
      </c>
      <c r="T1615" t="n">
        <v/>
      </c>
      <c r="U1615" t="n">
        <v/>
      </c>
      <c r="V1615" t="b">
        <v>0</v>
      </c>
      <c r="W1615" t="inlineStr"/>
      <c r="X1615" t="n">
        <v/>
      </c>
    </row>
    <row r="1616">
      <c r="A1616" t="inlineStr">
        <is>
          <t>ATF fuel</t>
        </is>
      </c>
      <c r="B1616" t="inlineStr">
        <is>
          <t>G166</t>
        </is>
      </c>
      <c r="C1616" t="n">
        <v>166</v>
      </c>
      <c r="D1616" t="n">
        <v>7</v>
      </c>
      <c r="E1616" t="inlineStr">
        <is>
          <t>Calculation</t>
        </is>
      </c>
      <c r="F1616" t="inlineStr">
        <is>
          <t>'=(1+(C166/C165)-1)*G165</t>
        </is>
      </c>
      <c r="G1616" t="n">
        <v>165.4724579777837</v>
      </c>
      <c r="H1616" t="inlineStr"/>
      <c r="I1616" t="inlineStr">
        <is>
          <t>General</t>
        </is>
      </c>
      <c r="J1616" t="b">
        <v>0</v>
      </c>
      <c r="K1616" t="b">
        <v>0</v>
      </c>
      <c r="L1616" t="n">
        <v>11</v>
      </c>
      <c r="M1616" t="inlineStr">
        <is>
          <t>Values must be of type &lt;class 'str'&gt;</t>
        </is>
      </c>
      <c r="N1616" t="inlineStr">
        <is>
          <t>00000000</t>
        </is>
      </c>
      <c r="O1616" t="inlineStr">
        <is>
          <t>left</t>
        </is>
      </c>
      <c r="P1616" t="n">
        <v/>
      </c>
      <c r="R1616" t="b">
        <v>1</v>
      </c>
      <c r="S1616" t="inlineStr">
        <is>
          <t>G000325</t>
        </is>
      </c>
      <c r="T1616" t="inlineStr">
        <is>
          <t>Horizontal</t>
        </is>
      </c>
      <c r="U1616" t="n">
        <v>3</v>
      </c>
      <c r="V1616" t="b">
        <v>1</v>
      </c>
      <c r="W1616" t="inlineStr">
        <is>
          <t>ATF fuel!G166:I166</t>
        </is>
      </c>
      <c r="X1616">
        <f>(1+(R[0]C[-4]/R[-1]C[-4])-1)*R[-1]C[0]</f>
        <v/>
      </c>
    </row>
    <row r="1617">
      <c r="A1617" t="inlineStr">
        <is>
          <t>ATF fuel</t>
        </is>
      </c>
      <c r="B1617" t="inlineStr">
        <is>
          <t>H166</t>
        </is>
      </c>
      <c r="C1617" t="n">
        <v>166</v>
      </c>
      <c r="D1617" t="n">
        <v>8</v>
      </c>
      <c r="E1617" t="inlineStr">
        <is>
          <t>Calculation</t>
        </is>
      </c>
      <c r="F1617" t="inlineStr">
        <is>
          <t>'=(1+(D166/D165)-1)*H165</t>
        </is>
      </c>
      <c r="G1617" t="n">
        <v>138.3516882488201</v>
      </c>
      <c r="H1617" t="inlineStr"/>
      <c r="I1617" t="inlineStr">
        <is>
          <t>General</t>
        </is>
      </c>
      <c r="J1617" t="b">
        <v>0</v>
      </c>
      <c r="K1617" t="b">
        <v>0</v>
      </c>
      <c r="L1617" t="n">
        <v>11</v>
      </c>
      <c r="M1617" t="inlineStr">
        <is>
          <t>Values must be of type &lt;class 'str'&gt;</t>
        </is>
      </c>
      <c r="N1617" t="inlineStr">
        <is>
          <t>00000000</t>
        </is>
      </c>
      <c r="O1617" t="inlineStr">
        <is>
          <t>left</t>
        </is>
      </c>
      <c r="P1617" t="n">
        <v/>
      </c>
      <c r="R1617" t="b">
        <v>1</v>
      </c>
      <c r="S1617" t="inlineStr">
        <is>
          <t>G000325</t>
        </is>
      </c>
      <c r="T1617" t="inlineStr">
        <is>
          <t>Horizontal</t>
        </is>
      </c>
      <c r="U1617" t="n">
        <v>3</v>
      </c>
      <c r="V1617" t="b">
        <v>1</v>
      </c>
      <c r="W1617" t="inlineStr">
        <is>
          <t>ATF fuel!G166:I166</t>
        </is>
      </c>
      <c r="X1617">
        <f>(1+(R[0]C[-4]/R[-1]C[-4])-1)*R[-1]C[0]</f>
        <v/>
      </c>
    </row>
    <row r="1618">
      <c r="A1618" t="inlineStr">
        <is>
          <t>ATF fuel</t>
        </is>
      </c>
      <c r="B1618" t="inlineStr">
        <is>
          <t>I166</t>
        </is>
      </c>
      <c r="C1618" t="n">
        <v>166</v>
      </c>
      <c r="D1618" t="n">
        <v>9</v>
      </c>
      <c r="E1618" t="inlineStr">
        <is>
          <t>Calculation</t>
        </is>
      </c>
      <c r="F1618" t="inlineStr">
        <is>
          <t>'=(1+(E166/E165)-1)*I165</t>
        </is>
      </c>
      <c r="G1618" t="n">
        <v>109.3576245120076</v>
      </c>
      <c r="H1618" t="inlineStr"/>
      <c r="I1618" t="inlineStr">
        <is>
          <t>General</t>
        </is>
      </c>
      <c r="J1618" t="b">
        <v>0</v>
      </c>
      <c r="K1618" t="b">
        <v>0</v>
      </c>
      <c r="L1618" t="n">
        <v>11</v>
      </c>
      <c r="M1618" t="inlineStr">
        <is>
          <t>Values must be of type &lt;class 'str'&gt;</t>
        </is>
      </c>
      <c r="N1618" t="inlineStr">
        <is>
          <t>00000000</t>
        </is>
      </c>
      <c r="O1618" t="inlineStr">
        <is>
          <t>left</t>
        </is>
      </c>
      <c r="P1618" t="n">
        <v/>
      </c>
      <c r="R1618" t="b">
        <v>1</v>
      </c>
      <c r="S1618" t="inlineStr">
        <is>
          <t>G000325</t>
        </is>
      </c>
      <c r="T1618" t="inlineStr">
        <is>
          <t>Horizontal</t>
        </is>
      </c>
      <c r="U1618" t="n">
        <v>3</v>
      </c>
      <c r="V1618" t="b">
        <v>1</v>
      </c>
      <c r="W1618" t="inlineStr">
        <is>
          <t>ATF fuel!G166:I166</t>
        </is>
      </c>
      <c r="X1618">
        <f>(1+(R[0]C[-4]/R[-1]C[-4])-1)*R[-1]C[0]</f>
        <v/>
      </c>
    </row>
    <row r="1619">
      <c r="A1619" t="inlineStr">
        <is>
          <t>ATF fuel</t>
        </is>
      </c>
      <c r="B1619" t="inlineStr">
        <is>
          <t>J166</t>
        </is>
      </c>
      <c r="C1619" t="n">
        <v>166</v>
      </c>
      <c r="D1619" t="n">
        <v>10</v>
      </c>
      <c r="E1619" t="inlineStr">
        <is>
          <t>Output</t>
        </is>
      </c>
      <c r="F1619" t="inlineStr">
        <is>
          <t>'=G166/H166-1</t>
        </is>
      </c>
      <c r="G1619" t="n">
        <v>0.1960277469125491</v>
      </c>
      <c r="H1619" t="inlineStr"/>
      <c r="I1619" t="inlineStr">
        <is>
          <t>0.0%</t>
        </is>
      </c>
      <c r="J1619" t="b">
        <v>0</v>
      </c>
      <c r="K1619" t="b">
        <v>0</v>
      </c>
      <c r="L1619" t="n">
        <v>11</v>
      </c>
      <c r="M1619" t="inlineStr">
        <is>
          <t>Values must be of type &lt;class 'str'&gt;</t>
        </is>
      </c>
      <c r="N1619" t="inlineStr">
        <is>
          <t>00000000</t>
        </is>
      </c>
      <c r="O1619" t="n">
        <v/>
      </c>
      <c r="P1619" t="n">
        <v/>
      </c>
      <c r="R1619" t="b">
        <v>1</v>
      </c>
      <c r="S1619" t="inlineStr">
        <is>
          <t>G000295</t>
        </is>
      </c>
      <c r="T1619" t="inlineStr">
        <is>
          <t>Vertical</t>
        </is>
      </c>
      <c r="U1619" t="n">
        <v>93</v>
      </c>
      <c r="V1619" t="b">
        <v>1</v>
      </c>
      <c r="W1619" t="inlineStr">
        <is>
          <t>ATF fuel!J136:J228</t>
        </is>
      </c>
      <c r="X1619">
        <f>R[0]C[-3]/R[0]C[-2]-1</f>
        <v/>
      </c>
    </row>
    <row r="1620">
      <c r="A1620" t="inlineStr">
        <is>
          <t>ATF fuel</t>
        </is>
      </c>
      <c r="B1620" t="inlineStr">
        <is>
          <t>B167</t>
        </is>
      </c>
      <c r="C1620" t="n">
        <v>167</v>
      </c>
      <c r="D1620" t="n">
        <v>2</v>
      </c>
      <c r="E1620" t="inlineStr">
        <is>
          <t>Input</t>
        </is>
      </c>
      <c r="F1620" t="n">
        <v/>
      </c>
      <c r="G1620" t="inlineStr">
        <is>
          <t>November 01, 2012</t>
        </is>
      </c>
      <c r="H1620" t="inlineStr"/>
      <c r="I1620" t="inlineStr">
        <is>
          <t>General</t>
        </is>
      </c>
      <c r="J1620" t="b">
        <v>0</v>
      </c>
      <c r="K1620" t="b">
        <v>0</v>
      </c>
      <c r="L1620" t="n">
        <v>11</v>
      </c>
      <c r="M1620" t="inlineStr">
        <is>
          <t>Values must be of type &lt;class 'str'&gt;</t>
        </is>
      </c>
      <c r="N1620" t="inlineStr">
        <is>
          <t>00000000</t>
        </is>
      </c>
      <c r="O1620" t="n">
        <v/>
      </c>
      <c r="P1620" t="n">
        <v/>
      </c>
      <c r="R1620" t="b">
        <v>1</v>
      </c>
      <c r="S1620" t="n">
        <v/>
      </c>
      <c r="T1620" t="n">
        <v/>
      </c>
      <c r="U1620" t="n">
        <v/>
      </c>
      <c r="V1620" t="b">
        <v>0</v>
      </c>
      <c r="W1620" t="inlineStr"/>
      <c r="X1620" t="n">
        <v/>
      </c>
    </row>
    <row r="1621">
      <c r="A1621" t="inlineStr">
        <is>
          <t>ATF fuel</t>
        </is>
      </c>
      <c r="B1621" t="inlineStr">
        <is>
          <t>C167</t>
        </is>
      </c>
      <c r="C1621" t="n">
        <v>167</v>
      </c>
      <c r="D1621" t="n">
        <v>3</v>
      </c>
      <c r="E1621" t="inlineStr">
        <is>
          <t>Input</t>
        </is>
      </c>
      <c r="F1621" t="n">
        <v/>
      </c>
      <c r="G1621" t="n">
        <v>71455.92999999999</v>
      </c>
      <c r="H1621" t="inlineStr"/>
      <c r="I1621" t="inlineStr">
        <is>
          <t>General</t>
        </is>
      </c>
      <c r="J1621" t="b">
        <v>0</v>
      </c>
      <c r="K1621" t="b">
        <v>0</v>
      </c>
      <c r="L1621" t="n">
        <v>11</v>
      </c>
      <c r="M1621" t="inlineStr">
        <is>
          <t>Values must be of type &lt;class 'str'&gt;</t>
        </is>
      </c>
      <c r="N1621" t="inlineStr">
        <is>
          <t>00000000</t>
        </is>
      </c>
      <c r="O1621" t="n">
        <v/>
      </c>
      <c r="P1621" t="n">
        <v/>
      </c>
      <c r="R1621" t="b">
        <v>1</v>
      </c>
      <c r="S1621" t="n">
        <v/>
      </c>
      <c r="T1621" t="n">
        <v/>
      </c>
      <c r="U1621" t="n">
        <v/>
      </c>
      <c r="V1621" t="b">
        <v>0</v>
      </c>
      <c r="W1621" t="inlineStr"/>
      <c r="X1621" t="n">
        <v/>
      </c>
    </row>
    <row r="1622">
      <c r="A1622" t="inlineStr">
        <is>
          <t>ATF fuel</t>
        </is>
      </c>
      <c r="B1622" t="inlineStr">
        <is>
          <t>D167</t>
        </is>
      </c>
      <c r="C1622" t="n">
        <v>167</v>
      </c>
      <c r="D1622" t="n">
        <v>4</v>
      </c>
      <c r="E1622" t="inlineStr">
        <is>
          <t>Input</t>
        </is>
      </c>
      <c r="F1622" t="n">
        <v/>
      </c>
      <c r="G1622" t="n">
        <v>108.61</v>
      </c>
      <c r="H1622" t="inlineStr"/>
      <c r="I1622" t="inlineStr">
        <is>
          <t>General</t>
        </is>
      </c>
      <c r="J1622" t="b">
        <v>0</v>
      </c>
      <c r="K1622" t="b">
        <v>0</v>
      </c>
      <c r="L1622" t="n">
        <v>11</v>
      </c>
      <c r="M1622" t="inlineStr">
        <is>
          <t>Values must be of type &lt;class 'str'&gt;</t>
        </is>
      </c>
      <c r="N1622" t="inlineStr">
        <is>
          <t>00000000</t>
        </is>
      </c>
      <c r="O1622" t="n">
        <v/>
      </c>
      <c r="P1622" t="n">
        <v/>
      </c>
      <c r="R1622" t="b">
        <v>1</v>
      </c>
      <c r="S1622" t="n">
        <v/>
      </c>
      <c r="T1622" t="n">
        <v/>
      </c>
      <c r="U1622" t="n">
        <v/>
      </c>
      <c r="V1622" t="b">
        <v>0</v>
      </c>
      <c r="W1622" t="inlineStr"/>
      <c r="X1622" t="n">
        <v/>
      </c>
    </row>
    <row r="1623">
      <c r="A1623" t="inlineStr">
        <is>
          <t>ATF fuel</t>
        </is>
      </c>
      <c r="B1623" t="inlineStr">
        <is>
          <t>E167</t>
        </is>
      </c>
      <c r="C1623" t="n">
        <v>167</v>
      </c>
      <c r="D1623" t="n">
        <v>5</v>
      </c>
      <c r="E1623" t="inlineStr">
        <is>
          <t>Input</t>
        </is>
      </c>
      <c r="F1623" t="n">
        <v/>
      </c>
      <c r="G1623" t="n">
        <v>87.05</v>
      </c>
      <c r="H1623" t="inlineStr"/>
      <c r="I1623" t="inlineStr">
        <is>
          <t>General</t>
        </is>
      </c>
      <c r="J1623" t="b">
        <v>0</v>
      </c>
      <c r="K1623" t="b">
        <v>0</v>
      </c>
      <c r="L1623" t="n">
        <v>11</v>
      </c>
      <c r="M1623" t="inlineStr">
        <is>
          <t>Values must be of type &lt;class 'str'&gt;</t>
        </is>
      </c>
      <c r="N1623" t="inlineStr">
        <is>
          <t>00000000</t>
        </is>
      </c>
      <c r="O1623" t="n">
        <v/>
      </c>
      <c r="P1623" t="n">
        <v/>
      </c>
      <c r="R1623" t="b">
        <v>1</v>
      </c>
      <c r="S1623" t="n">
        <v/>
      </c>
      <c r="T1623" t="n">
        <v/>
      </c>
      <c r="U1623" t="n">
        <v/>
      </c>
      <c r="V1623" t="b">
        <v>0</v>
      </c>
      <c r="W1623" t="inlineStr"/>
      <c r="X1623" t="n">
        <v/>
      </c>
    </row>
    <row r="1624">
      <c r="A1624" t="inlineStr">
        <is>
          <t>ATF fuel</t>
        </is>
      </c>
      <c r="B1624" t="inlineStr">
        <is>
          <t>F167</t>
        </is>
      </c>
      <c r="C1624" t="n">
        <v>167</v>
      </c>
      <c r="D1624" t="n">
        <v>6</v>
      </c>
      <c r="E1624" t="inlineStr">
        <is>
          <t>Input</t>
        </is>
      </c>
      <c r="F1624" t="n">
        <v/>
      </c>
      <c r="G1624" t="inlineStr">
        <is>
          <t>November 01, 2012</t>
        </is>
      </c>
      <c r="H1624" t="inlineStr"/>
      <c r="I1624" t="inlineStr">
        <is>
          <t>General</t>
        </is>
      </c>
      <c r="J1624" t="b">
        <v>0</v>
      </c>
      <c r="K1624" t="b">
        <v>0</v>
      </c>
      <c r="L1624" t="n">
        <v>11</v>
      </c>
      <c r="M1624" t="inlineStr">
        <is>
          <t>Values must be of type &lt;class 'str'&gt;</t>
        </is>
      </c>
      <c r="N1624" t="inlineStr">
        <is>
          <t>00000000</t>
        </is>
      </c>
      <c r="O1624" t="inlineStr">
        <is>
          <t>left</t>
        </is>
      </c>
      <c r="P1624" t="n">
        <v/>
      </c>
      <c r="R1624" t="b">
        <v>1</v>
      </c>
      <c r="S1624" t="n">
        <v/>
      </c>
      <c r="T1624" t="n">
        <v/>
      </c>
      <c r="U1624" t="n">
        <v/>
      </c>
      <c r="V1624" t="b">
        <v>0</v>
      </c>
      <c r="W1624" t="inlineStr"/>
      <c r="X1624" t="n">
        <v/>
      </c>
    </row>
    <row r="1625">
      <c r="A1625" t="inlineStr">
        <is>
          <t>ATF fuel</t>
        </is>
      </c>
      <c r="B1625" t="inlineStr">
        <is>
          <t>G167</t>
        </is>
      </c>
      <c r="C1625" t="n">
        <v>167</v>
      </c>
      <c r="D1625" t="n">
        <v>7</v>
      </c>
      <c r="E1625" t="inlineStr">
        <is>
          <t>Calculation</t>
        </is>
      </c>
      <c r="F1625" t="inlineStr">
        <is>
          <t>'=(1+(C167/C166)-1)*G166</t>
        </is>
      </c>
      <c r="G1625" t="n">
        <v>161.0753530585235</v>
      </c>
      <c r="H1625" t="inlineStr"/>
      <c r="I1625" t="inlineStr">
        <is>
          <t>General</t>
        </is>
      </c>
      <c r="J1625" t="b">
        <v>0</v>
      </c>
      <c r="K1625" t="b">
        <v>0</v>
      </c>
      <c r="L1625" t="n">
        <v>11</v>
      </c>
      <c r="M1625" t="inlineStr">
        <is>
          <t>Values must be of type &lt;class 'str'&gt;</t>
        </is>
      </c>
      <c r="N1625" t="inlineStr">
        <is>
          <t>00000000</t>
        </is>
      </c>
      <c r="O1625" t="inlineStr">
        <is>
          <t>left</t>
        </is>
      </c>
      <c r="P1625" t="n">
        <v/>
      </c>
      <c r="R1625" t="b">
        <v>1</v>
      </c>
      <c r="S1625" t="inlineStr">
        <is>
          <t>G000326</t>
        </is>
      </c>
      <c r="T1625" t="inlineStr">
        <is>
          <t>Horizontal</t>
        </is>
      </c>
      <c r="U1625" t="n">
        <v>3</v>
      </c>
      <c r="V1625" t="b">
        <v>1</v>
      </c>
      <c r="W1625" t="inlineStr">
        <is>
          <t>ATF fuel!G167:I167</t>
        </is>
      </c>
      <c r="X1625">
        <f>(1+(R[0]C[-4]/R[-1]C[-4])-1)*R[-1]C[0]</f>
        <v/>
      </c>
    </row>
    <row r="1626">
      <c r="A1626" t="inlineStr">
        <is>
          <t>ATF fuel</t>
        </is>
      </c>
      <c r="B1626" t="inlineStr">
        <is>
          <t>H167</t>
        </is>
      </c>
      <c r="C1626" t="n">
        <v>167</v>
      </c>
      <c r="D1626" t="n">
        <v>8</v>
      </c>
      <c r="E1626" t="inlineStr">
        <is>
          <t>Calculation</t>
        </is>
      </c>
      <c r="F1626" t="inlineStr">
        <is>
          <t>'=(1+(D167/D166)-1)*H166</t>
        </is>
      </c>
      <c r="G1626" t="n">
        <v>131.4413651216266</v>
      </c>
      <c r="H1626" t="inlineStr"/>
      <c r="I1626" t="inlineStr">
        <is>
          <t>General</t>
        </is>
      </c>
      <c r="J1626" t="b">
        <v>0</v>
      </c>
      <c r="K1626" t="b">
        <v>0</v>
      </c>
      <c r="L1626" t="n">
        <v>11</v>
      </c>
      <c r="M1626" t="inlineStr">
        <is>
          <t>Values must be of type &lt;class 'str'&gt;</t>
        </is>
      </c>
      <c r="N1626" t="inlineStr">
        <is>
          <t>00000000</t>
        </is>
      </c>
      <c r="O1626" t="inlineStr">
        <is>
          <t>left</t>
        </is>
      </c>
      <c r="P1626" t="n">
        <v/>
      </c>
      <c r="R1626" t="b">
        <v>1</v>
      </c>
      <c r="S1626" t="inlineStr">
        <is>
          <t>G000326</t>
        </is>
      </c>
      <c r="T1626" t="inlineStr">
        <is>
          <t>Horizontal</t>
        </is>
      </c>
      <c r="U1626" t="n">
        <v>3</v>
      </c>
      <c r="V1626" t="b">
        <v>1</v>
      </c>
      <c r="W1626" t="inlineStr">
        <is>
          <t>ATF fuel!G167:I167</t>
        </is>
      </c>
      <c r="X1626">
        <f>(1+(R[0]C[-4]/R[-1]C[-4])-1)*R[-1]C[0]</f>
        <v/>
      </c>
    </row>
    <row r="1627">
      <c r="A1627" t="inlineStr">
        <is>
          <t>ATF fuel</t>
        </is>
      </c>
      <c r="B1627" t="inlineStr">
        <is>
          <t>I167</t>
        </is>
      </c>
      <c r="C1627" t="n">
        <v>167</v>
      </c>
      <c r="D1627" t="n">
        <v>9</v>
      </c>
      <c r="E1627" t="inlineStr">
        <is>
          <t>Calculation</t>
        </is>
      </c>
      <c r="F1627" t="inlineStr">
        <is>
          <t>'=(1+(E167/E166)-1)*I166</t>
        </is>
      </c>
      <c r="G1627" t="n">
        <v>102.9811901100201</v>
      </c>
      <c r="H1627" t="inlineStr"/>
      <c r="I1627" t="inlineStr">
        <is>
          <t>General</t>
        </is>
      </c>
      <c r="J1627" t="b">
        <v>0</v>
      </c>
      <c r="K1627" t="b">
        <v>0</v>
      </c>
      <c r="L1627" t="n">
        <v>11</v>
      </c>
      <c r="M1627" t="inlineStr">
        <is>
          <t>Values must be of type &lt;class 'str'&gt;</t>
        </is>
      </c>
      <c r="N1627" t="inlineStr">
        <is>
          <t>00000000</t>
        </is>
      </c>
      <c r="O1627" t="inlineStr">
        <is>
          <t>left</t>
        </is>
      </c>
      <c r="P1627" t="n">
        <v/>
      </c>
      <c r="R1627" t="b">
        <v>1</v>
      </c>
      <c r="S1627" t="inlineStr">
        <is>
          <t>G000326</t>
        </is>
      </c>
      <c r="T1627" t="inlineStr">
        <is>
          <t>Horizontal</t>
        </is>
      </c>
      <c r="U1627" t="n">
        <v>3</v>
      </c>
      <c r="V1627" t="b">
        <v>1</v>
      </c>
      <c r="W1627" t="inlineStr">
        <is>
          <t>ATF fuel!G167:I167</t>
        </is>
      </c>
      <c r="X1627">
        <f>(1+(R[0]C[-4]/R[-1]C[-4])-1)*R[-1]C[0]</f>
        <v/>
      </c>
    </row>
    <row r="1628">
      <c r="A1628" t="inlineStr">
        <is>
          <t>ATF fuel</t>
        </is>
      </c>
      <c r="B1628" t="inlineStr">
        <is>
          <t>J167</t>
        </is>
      </c>
      <c r="C1628" t="n">
        <v>167</v>
      </c>
      <c r="D1628" t="n">
        <v>10</v>
      </c>
      <c r="E1628" t="inlineStr">
        <is>
          <t>Output</t>
        </is>
      </c>
      <c r="F1628" t="inlineStr">
        <is>
          <t>'=G167/H167-1</t>
        </is>
      </c>
      <c r="G1628" t="n">
        <v>0.2254540487271692</v>
      </c>
      <c r="H1628" t="inlineStr"/>
      <c r="I1628" t="inlineStr">
        <is>
          <t>0.0%</t>
        </is>
      </c>
      <c r="J1628" t="b">
        <v>0</v>
      </c>
      <c r="K1628" t="b">
        <v>0</v>
      </c>
      <c r="L1628" t="n">
        <v>11</v>
      </c>
      <c r="M1628" t="inlineStr">
        <is>
          <t>Values must be of type &lt;class 'str'&gt;</t>
        </is>
      </c>
      <c r="N1628" t="inlineStr">
        <is>
          <t>00000000</t>
        </is>
      </c>
      <c r="O1628" t="n">
        <v/>
      </c>
      <c r="P1628" t="n">
        <v/>
      </c>
      <c r="R1628" t="b">
        <v>1</v>
      </c>
      <c r="S1628" t="inlineStr">
        <is>
          <t>G000295</t>
        </is>
      </c>
      <c r="T1628" t="inlineStr">
        <is>
          <t>Vertical</t>
        </is>
      </c>
      <c r="U1628" t="n">
        <v>93</v>
      </c>
      <c r="V1628" t="b">
        <v>1</v>
      </c>
      <c r="W1628" t="inlineStr">
        <is>
          <t>ATF fuel!J136:J228</t>
        </is>
      </c>
      <c r="X1628">
        <f>R[0]C[-3]/R[0]C[-2]-1</f>
        <v/>
      </c>
    </row>
    <row r="1629">
      <c r="A1629" t="inlineStr">
        <is>
          <t>ATF fuel</t>
        </is>
      </c>
      <c r="B1629" t="inlineStr">
        <is>
          <t>B168</t>
        </is>
      </c>
      <c r="C1629" t="n">
        <v>168</v>
      </c>
      <c r="D1629" t="n">
        <v>2</v>
      </c>
      <c r="E1629" t="inlineStr">
        <is>
          <t>Input</t>
        </is>
      </c>
      <c r="F1629" t="n">
        <v/>
      </c>
      <c r="G1629" t="inlineStr">
        <is>
          <t>December 01, 2012</t>
        </is>
      </c>
      <c r="H1629" t="inlineStr"/>
      <c r="I1629" t="inlineStr">
        <is>
          <t>General</t>
        </is>
      </c>
      <c r="J1629" t="b">
        <v>0</v>
      </c>
      <c r="K1629" t="b">
        <v>0</v>
      </c>
      <c r="L1629" t="n">
        <v>11</v>
      </c>
      <c r="M1629" t="inlineStr">
        <is>
          <t>Values must be of type &lt;class 'str'&gt;</t>
        </is>
      </c>
      <c r="N1629" t="inlineStr">
        <is>
          <t>00000000</t>
        </is>
      </c>
      <c r="O1629" t="n">
        <v/>
      </c>
      <c r="P1629" t="n">
        <v/>
      </c>
      <c r="R1629" t="b">
        <v>1</v>
      </c>
      <c r="S1629" t="n">
        <v/>
      </c>
      <c r="T1629" t="n">
        <v/>
      </c>
      <c r="U1629" t="n">
        <v/>
      </c>
      <c r="V1629" t="b">
        <v>0</v>
      </c>
      <c r="W1629" t="inlineStr"/>
      <c r="X1629" t="n">
        <v/>
      </c>
    </row>
    <row r="1630">
      <c r="A1630" t="inlineStr">
        <is>
          <t>ATF fuel</t>
        </is>
      </c>
      <c r="B1630" t="inlineStr">
        <is>
          <t>C168</t>
        </is>
      </c>
      <c r="C1630" t="n">
        <v>168</v>
      </c>
      <c r="D1630" t="n">
        <v>3</v>
      </c>
      <c r="E1630" t="inlineStr">
        <is>
          <t>Input</t>
        </is>
      </c>
      <c r="F1630" t="n">
        <v/>
      </c>
      <c r="G1630" t="n">
        <v>70760.785</v>
      </c>
      <c r="H1630" t="inlineStr"/>
      <c r="I1630" t="inlineStr">
        <is>
          <t>General</t>
        </is>
      </c>
      <c r="J1630" t="b">
        <v>0</v>
      </c>
      <c r="K1630" t="b">
        <v>0</v>
      </c>
      <c r="L1630" t="n">
        <v>11</v>
      </c>
      <c r="M1630" t="inlineStr">
        <is>
          <t>Values must be of type &lt;class 'str'&gt;</t>
        </is>
      </c>
      <c r="N1630" t="inlineStr">
        <is>
          <t>00000000</t>
        </is>
      </c>
      <c r="O1630" t="n">
        <v/>
      </c>
      <c r="P1630" t="n">
        <v/>
      </c>
      <c r="R1630" t="b">
        <v>1</v>
      </c>
      <c r="S1630" t="n">
        <v/>
      </c>
      <c r="T1630" t="n">
        <v/>
      </c>
      <c r="U1630" t="n">
        <v/>
      </c>
      <c r="V1630" t="b">
        <v>0</v>
      </c>
      <c r="W1630" t="inlineStr"/>
      <c r="X1630" t="n">
        <v/>
      </c>
    </row>
    <row r="1631">
      <c r="A1631" t="inlineStr">
        <is>
          <t>ATF fuel</t>
        </is>
      </c>
      <c r="B1631" t="inlineStr">
        <is>
          <t>D168</t>
        </is>
      </c>
      <c r="C1631" t="n">
        <v>168</v>
      </c>
      <c r="D1631" t="n">
        <v>4</v>
      </c>
      <c r="E1631" t="inlineStr">
        <is>
          <t>Input</t>
        </is>
      </c>
      <c r="F1631" t="n">
        <v/>
      </c>
      <c r="G1631" t="n">
        <v>107.6</v>
      </c>
      <c r="H1631" t="inlineStr"/>
      <c r="I1631" t="inlineStr">
        <is>
          <t>General</t>
        </is>
      </c>
      <c r="J1631" t="b">
        <v>0</v>
      </c>
      <c r="K1631" t="b">
        <v>0</v>
      </c>
      <c r="L1631" t="n">
        <v>11</v>
      </c>
      <c r="M1631" t="inlineStr">
        <is>
          <t>Values must be of type &lt;class 'str'&gt;</t>
        </is>
      </c>
      <c r="N1631" t="inlineStr">
        <is>
          <t>00000000</t>
        </is>
      </c>
      <c r="O1631" t="n">
        <v/>
      </c>
      <c r="P1631" t="n">
        <v/>
      </c>
      <c r="R1631" t="b">
        <v>1</v>
      </c>
      <c r="S1631" t="n">
        <v/>
      </c>
      <c r="T1631" t="n">
        <v/>
      </c>
      <c r="U1631" t="n">
        <v/>
      </c>
      <c r="V1631" t="b">
        <v>0</v>
      </c>
      <c r="W1631" t="inlineStr"/>
      <c r="X1631" t="n">
        <v/>
      </c>
    </row>
    <row r="1632">
      <c r="A1632" t="inlineStr">
        <is>
          <t>ATF fuel</t>
        </is>
      </c>
      <c r="B1632" t="inlineStr">
        <is>
          <t>E168</t>
        </is>
      </c>
      <c r="C1632" t="n">
        <v>168</v>
      </c>
      <c r="D1632" t="n">
        <v>5</v>
      </c>
      <c r="E1632" t="inlineStr">
        <is>
          <t>Input</t>
        </is>
      </c>
      <c r="F1632" t="n">
        <v/>
      </c>
      <c r="G1632" t="n">
        <v>88.69</v>
      </c>
      <c r="H1632" t="inlineStr"/>
      <c r="I1632" t="inlineStr">
        <is>
          <t>General</t>
        </is>
      </c>
      <c r="J1632" t="b">
        <v>0</v>
      </c>
      <c r="K1632" t="b">
        <v>0</v>
      </c>
      <c r="L1632" t="n">
        <v>11</v>
      </c>
      <c r="M1632" t="inlineStr">
        <is>
          <t>Values must be of type &lt;class 'str'&gt;</t>
        </is>
      </c>
      <c r="N1632" t="inlineStr">
        <is>
          <t>00000000</t>
        </is>
      </c>
      <c r="O1632" t="n">
        <v/>
      </c>
      <c r="P1632" t="n">
        <v/>
      </c>
      <c r="R1632" t="b">
        <v>1</v>
      </c>
      <c r="S1632" t="n">
        <v/>
      </c>
      <c r="T1632" t="n">
        <v/>
      </c>
      <c r="U1632" t="n">
        <v/>
      </c>
      <c r="V1632" t="b">
        <v>0</v>
      </c>
      <c r="W1632" t="inlineStr"/>
      <c r="X1632" t="n">
        <v/>
      </c>
    </row>
    <row r="1633">
      <c r="A1633" t="inlineStr">
        <is>
          <t>ATF fuel</t>
        </is>
      </c>
      <c r="B1633" t="inlineStr">
        <is>
          <t>F168</t>
        </is>
      </c>
      <c r="C1633" t="n">
        <v>168</v>
      </c>
      <c r="D1633" t="n">
        <v>6</v>
      </c>
      <c r="E1633" t="inlineStr">
        <is>
          <t>Input</t>
        </is>
      </c>
      <c r="F1633" t="n">
        <v/>
      </c>
      <c r="G1633" t="inlineStr">
        <is>
          <t>December 01, 2012</t>
        </is>
      </c>
      <c r="H1633" t="inlineStr"/>
      <c r="I1633" t="inlineStr">
        <is>
          <t>General</t>
        </is>
      </c>
      <c r="J1633" t="b">
        <v>0</v>
      </c>
      <c r="K1633" t="b">
        <v>0</v>
      </c>
      <c r="L1633" t="n">
        <v>11</v>
      </c>
      <c r="M1633" t="inlineStr">
        <is>
          <t>Values must be of type &lt;class 'str'&gt;</t>
        </is>
      </c>
      <c r="N1633" t="inlineStr">
        <is>
          <t>00000000</t>
        </is>
      </c>
      <c r="O1633" t="inlineStr">
        <is>
          <t>left</t>
        </is>
      </c>
      <c r="P1633" t="n">
        <v/>
      </c>
      <c r="R1633" t="b">
        <v>1</v>
      </c>
      <c r="S1633" t="n">
        <v/>
      </c>
      <c r="T1633" t="n">
        <v/>
      </c>
      <c r="U1633" t="n">
        <v/>
      </c>
      <c r="V1633" t="b">
        <v>0</v>
      </c>
      <c r="W1633" t="inlineStr"/>
      <c r="X1633" t="n">
        <v/>
      </c>
    </row>
    <row r="1634">
      <c r="A1634" t="inlineStr">
        <is>
          <t>ATF fuel</t>
        </is>
      </c>
      <c r="B1634" t="inlineStr">
        <is>
          <t>G168</t>
        </is>
      </c>
      <c r="C1634" t="n">
        <v>168</v>
      </c>
      <c r="D1634" t="n">
        <v>7</v>
      </c>
      <c r="E1634" t="inlineStr">
        <is>
          <t>Calculation</t>
        </is>
      </c>
      <c r="F1634" t="inlineStr">
        <is>
          <t>'=(1+(C168/C167)-1)*G167</t>
        </is>
      </c>
      <c r="G1634" t="n">
        <v>159.5083630787994</v>
      </c>
      <c r="H1634" t="inlineStr"/>
      <c r="I1634" t="inlineStr">
        <is>
          <t>General</t>
        </is>
      </c>
      <c r="J1634" t="b">
        <v>0</v>
      </c>
      <c r="K1634" t="b">
        <v>0</v>
      </c>
      <c r="L1634" t="n">
        <v>11</v>
      </c>
      <c r="M1634" t="inlineStr">
        <is>
          <t>Values must be of type &lt;class 'str'&gt;</t>
        </is>
      </c>
      <c r="N1634" t="inlineStr">
        <is>
          <t>00000000</t>
        </is>
      </c>
      <c r="O1634" t="inlineStr">
        <is>
          <t>left</t>
        </is>
      </c>
      <c r="P1634" t="n">
        <v/>
      </c>
      <c r="R1634" t="b">
        <v>1</v>
      </c>
      <c r="S1634" t="inlineStr">
        <is>
          <t>G000327</t>
        </is>
      </c>
      <c r="T1634" t="inlineStr">
        <is>
          <t>Horizontal</t>
        </is>
      </c>
      <c r="U1634" t="n">
        <v>3</v>
      </c>
      <c r="V1634" t="b">
        <v>1</v>
      </c>
      <c r="W1634" t="inlineStr">
        <is>
          <t>ATF fuel!G168:I168</t>
        </is>
      </c>
      <c r="X1634">
        <f>(1+(R[0]C[-4]/R[-1]C[-4])-1)*R[-1]C[0]</f>
        <v/>
      </c>
    </row>
    <row r="1635">
      <c r="A1635" t="inlineStr">
        <is>
          <t>ATF fuel</t>
        </is>
      </c>
      <c r="B1635" t="inlineStr">
        <is>
          <t>H168</t>
        </is>
      </c>
      <c r="C1635" t="n">
        <v>168</v>
      </c>
      <c r="D1635" t="n">
        <v>8</v>
      </c>
      <c r="E1635" t="inlineStr">
        <is>
          <t>Calculation</t>
        </is>
      </c>
      <c r="F1635" t="inlineStr">
        <is>
          <t>'=(1+(D168/D167)-1)*H167</t>
        </is>
      </c>
      <c r="G1635" t="n">
        <v>130.2190487716327</v>
      </c>
      <c r="H1635" t="inlineStr"/>
      <c r="I1635" t="inlineStr">
        <is>
          <t>General</t>
        </is>
      </c>
      <c r="J1635" t="b">
        <v>0</v>
      </c>
      <c r="K1635" t="b">
        <v>0</v>
      </c>
      <c r="L1635" t="n">
        <v>11</v>
      </c>
      <c r="M1635" t="inlineStr">
        <is>
          <t>Values must be of type &lt;class 'str'&gt;</t>
        </is>
      </c>
      <c r="N1635" t="inlineStr">
        <is>
          <t>00000000</t>
        </is>
      </c>
      <c r="O1635" t="inlineStr">
        <is>
          <t>left</t>
        </is>
      </c>
      <c r="P1635" t="n">
        <v/>
      </c>
      <c r="R1635" t="b">
        <v>1</v>
      </c>
      <c r="S1635" t="inlineStr">
        <is>
          <t>G000327</t>
        </is>
      </c>
      <c r="T1635" t="inlineStr">
        <is>
          <t>Horizontal</t>
        </is>
      </c>
      <c r="U1635" t="n">
        <v>3</v>
      </c>
      <c r="V1635" t="b">
        <v>1</v>
      </c>
      <c r="W1635" t="inlineStr">
        <is>
          <t>ATF fuel!G168:I168</t>
        </is>
      </c>
      <c r="X1635">
        <f>(1+(R[0]C[-4]/R[-1]C[-4])-1)*R[-1]C[0]</f>
        <v/>
      </c>
    </row>
    <row r="1636">
      <c r="A1636" t="inlineStr">
        <is>
          <t>ATF fuel</t>
        </is>
      </c>
      <c r="B1636" t="inlineStr">
        <is>
          <t>I168</t>
        </is>
      </c>
      <c r="C1636" t="n">
        <v>168</v>
      </c>
      <c r="D1636" t="n">
        <v>9</v>
      </c>
      <c r="E1636" t="inlineStr">
        <is>
          <t>Calculation</t>
        </is>
      </c>
      <c r="F1636" t="inlineStr">
        <is>
          <t>'=(1+(E168/E167)-1)*I167</t>
        </is>
      </c>
      <c r="G1636" t="n">
        <v>104.92132970543</v>
      </c>
      <c r="H1636" t="inlineStr"/>
      <c r="I1636" t="inlineStr">
        <is>
          <t>General</t>
        </is>
      </c>
      <c r="J1636" t="b">
        <v>0</v>
      </c>
      <c r="K1636" t="b">
        <v>0</v>
      </c>
      <c r="L1636" t="n">
        <v>11</v>
      </c>
      <c r="M1636" t="inlineStr">
        <is>
          <t>Values must be of type &lt;class 'str'&gt;</t>
        </is>
      </c>
      <c r="N1636" t="inlineStr">
        <is>
          <t>00000000</t>
        </is>
      </c>
      <c r="O1636" t="inlineStr">
        <is>
          <t>left</t>
        </is>
      </c>
      <c r="P1636" t="n">
        <v/>
      </c>
      <c r="R1636" t="b">
        <v>1</v>
      </c>
      <c r="S1636" t="inlineStr">
        <is>
          <t>G000327</t>
        </is>
      </c>
      <c r="T1636" t="inlineStr">
        <is>
          <t>Horizontal</t>
        </is>
      </c>
      <c r="U1636" t="n">
        <v>3</v>
      </c>
      <c r="V1636" t="b">
        <v>1</v>
      </c>
      <c r="W1636" t="inlineStr">
        <is>
          <t>ATF fuel!G168:I168</t>
        </is>
      </c>
      <c r="X1636">
        <f>(1+(R[0]C[-4]/R[-1]C[-4])-1)*R[-1]C[0]</f>
        <v/>
      </c>
    </row>
    <row r="1637">
      <c r="A1637" t="inlineStr">
        <is>
          <t>ATF fuel</t>
        </is>
      </c>
      <c r="B1637" t="inlineStr">
        <is>
          <t>J168</t>
        </is>
      </c>
      <c r="C1637" t="n">
        <v>168</v>
      </c>
      <c r="D1637" t="n">
        <v>10</v>
      </c>
      <c r="E1637" t="inlineStr">
        <is>
          <t>Output</t>
        </is>
      </c>
      <c r="F1637" t="inlineStr">
        <is>
          <t>'=G168/H168-1</t>
        </is>
      </c>
      <c r="G1637" t="n">
        <v>0.2249234239034557</v>
      </c>
      <c r="H1637" t="inlineStr"/>
      <c r="I1637" t="inlineStr">
        <is>
          <t>0.0%</t>
        </is>
      </c>
      <c r="J1637" t="b">
        <v>0</v>
      </c>
      <c r="K1637" t="b">
        <v>0</v>
      </c>
      <c r="L1637" t="n">
        <v>11</v>
      </c>
      <c r="M1637" t="inlineStr">
        <is>
          <t>Values must be of type &lt;class 'str'&gt;</t>
        </is>
      </c>
      <c r="N1637" t="inlineStr">
        <is>
          <t>00000000</t>
        </is>
      </c>
      <c r="O1637" t="n">
        <v/>
      </c>
      <c r="P1637" t="n">
        <v/>
      </c>
      <c r="R1637" t="b">
        <v>1</v>
      </c>
      <c r="S1637" t="inlineStr">
        <is>
          <t>G000295</t>
        </is>
      </c>
      <c r="T1637" t="inlineStr">
        <is>
          <t>Vertical</t>
        </is>
      </c>
      <c r="U1637" t="n">
        <v>93</v>
      </c>
      <c r="V1637" t="b">
        <v>1</v>
      </c>
      <c r="W1637" t="inlineStr">
        <is>
          <t>ATF fuel!J136:J228</t>
        </is>
      </c>
      <c r="X1637">
        <f>R[0]C[-3]/R[0]C[-2]-1</f>
        <v/>
      </c>
    </row>
    <row r="1638">
      <c r="A1638" t="inlineStr">
        <is>
          <t>ATF fuel</t>
        </is>
      </c>
      <c r="B1638" t="inlineStr">
        <is>
          <t>B169</t>
        </is>
      </c>
      <c r="C1638" t="n">
        <v>169</v>
      </c>
      <c r="D1638" t="n">
        <v>2</v>
      </c>
      <c r="E1638" t="inlineStr">
        <is>
          <t>Input</t>
        </is>
      </c>
      <c r="F1638" t="n">
        <v/>
      </c>
      <c r="G1638" t="inlineStr">
        <is>
          <t>January 01, 2013</t>
        </is>
      </c>
      <c r="H1638" t="inlineStr"/>
      <c r="I1638" t="inlineStr">
        <is>
          <t>General</t>
        </is>
      </c>
      <c r="J1638" t="b">
        <v>0</v>
      </c>
      <c r="K1638" t="b">
        <v>0</v>
      </c>
      <c r="L1638" t="n">
        <v>11</v>
      </c>
      <c r="M1638" t="inlineStr">
        <is>
          <t>Values must be of type &lt;class 'str'&gt;</t>
        </is>
      </c>
      <c r="N1638" t="inlineStr">
        <is>
          <t>00000000</t>
        </is>
      </c>
      <c r="O1638" t="n">
        <v/>
      </c>
      <c r="P1638" t="n">
        <v/>
      </c>
      <c r="R1638" t="b">
        <v>1</v>
      </c>
      <c r="S1638" t="n">
        <v/>
      </c>
      <c r="T1638" t="n">
        <v/>
      </c>
      <c r="U1638" t="n">
        <v/>
      </c>
      <c r="V1638" t="b">
        <v>0</v>
      </c>
      <c r="W1638" t="inlineStr"/>
      <c r="X1638" t="n">
        <v/>
      </c>
    </row>
    <row r="1639">
      <c r="A1639" t="inlineStr">
        <is>
          <t>ATF fuel</t>
        </is>
      </c>
      <c r="B1639" t="inlineStr">
        <is>
          <t>C169</t>
        </is>
      </c>
      <c r="C1639" t="n">
        <v>169</v>
      </c>
      <c r="D1639" t="n">
        <v>3</v>
      </c>
      <c r="E1639" t="inlineStr">
        <is>
          <t>Input</t>
        </is>
      </c>
      <c r="F1639" t="n">
        <v/>
      </c>
      <c r="G1639" t="n">
        <v>70473.55</v>
      </c>
      <c r="H1639" t="inlineStr"/>
      <c r="I1639" t="inlineStr">
        <is>
          <t>General</t>
        </is>
      </c>
      <c r="J1639" t="b">
        <v>0</v>
      </c>
      <c r="K1639" t="b">
        <v>0</v>
      </c>
      <c r="L1639" t="n">
        <v>11</v>
      </c>
      <c r="M1639" t="inlineStr">
        <is>
          <t>Values must be of type &lt;class 'str'&gt;</t>
        </is>
      </c>
      <c r="N1639" t="inlineStr">
        <is>
          <t>00000000</t>
        </is>
      </c>
      <c r="O1639" t="n">
        <v/>
      </c>
      <c r="P1639" t="n">
        <v/>
      </c>
      <c r="R1639" t="b">
        <v>1</v>
      </c>
      <c r="S1639" t="n">
        <v/>
      </c>
      <c r="T1639" t="n">
        <v/>
      </c>
      <c r="U1639" t="n">
        <v/>
      </c>
      <c r="V1639" t="b">
        <v>0</v>
      </c>
      <c r="W1639" t="inlineStr"/>
      <c r="X1639" t="n">
        <v/>
      </c>
    </row>
    <row r="1640">
      <c r="A1640" t="inlineStr">
        <is>
          <t>ATF fuel</t>
        </is>
      </c>
      <c r="B1640" t="inlineStr">
        <is>
          <t>D169</t>
        </is>
      </c>
      <c r="C1640" t="n">
        <v>169</v>
      </c>
      <c r="D1640" t="n">
        <v>4</v>
      </c>
      <c r="E1640" t="inlineStr">
        <is>
          <t>Input</t>
        </is>
      </c>
      <c r="F1640" t="n">
        <v/>
      </c>
      <c r="G1640" t="n">
        <v>112.97</v>
      </c>
      <c r="H1640" t="inlineStr"/>
      <c r="I1640" t="inlineStr">
        <is>
          <t>General</t>
        </is>
      </c>
      <c r="J1640" t="b">
        <v>0</v>
      </c>
      <c r="K1640" t="b">
        <v>0</v>
      </c>
      <c r="L1640" t="n">
        <v>11</v>
      </c>
      <c r="M1640" t="inlineStr">
        <is>
          <t>Values must be of type &lt;class 'str'&gt;</t>
        </is>
      </c>
      <c r="N1640" t="inlineStr">
        <is>
          <t>00000000</t>
        </is>
      </c>
      <c r="O1640" t="n">
        <v/>
      </c>
      <c r="P1640" t="n">
        <v/>
      </c>
      <c r="R1640" t="b">
        <v>1</v>
      </c>
      <c r="S1640" t="n">
        <v/>
      </c>
      <c r="T1640" t="n">
        <v/>
      </c>
      <c r="U1640" t="n">
        <v/>
      </c>
      <c r="V1640" t="b">
        <v>0</v>
      </c>
      <c r="W1640" t="inlineStr"/>
      <c r="X1640" t="n">
        <v/>
      </c>
    </row>
    <row r="1641">
      <c r="A1641" t="inlineStr">
        <is>
          <t>ATF fuel</t>
        </is>
      </c>
      <c r="B1641" t="inlineStr">
        <is>
          <t>E169</t>
        </is>
      </c>
      <c r="C1641" t="n">
        <v>169</v>
      </c>
      <c r="D1641" t="n">
        <v>5</v>
      </c>
      <c r="E1641" t="inlineStr">
        <is>
          <t>Input</t>
        </is>
      </c>
      <c r="F1641" t="n">
        <v/>
      </c>
      <c r="G1641" t="n">
        <v>93.14</v>
      </c>
      <c r="H1641" t="inlineStr"/>
      <c r="I1641" t="inlineStr">
        <is>
          <t>General</t>
        </is>
      </c>
      <c r="J1641" t="b">
        <v>0</v>
      </c>
      <c r="K1641" t="b">
        <v>0</v>
      </c>
      <c r="L1641" t="n">
        <v>11</v>
      </c>
      <c r="M1641" t="inlineStr">
        <is>
          <t>Values must be of type &lt;class 'str'&gt;</t>
        </is>
      </c>
      <c r="N1641" t="inlineStr">
        <is>
          <t>00000000</t>
        </is>
      </c>
      <c r="O1641" t="n">
        <v/>
      </c>
      <c r="P1641" t="n">
        <v/>
      </c>
      <c r="R1641" t="b">
        <v>1</v>
      </c>
      <c r="S1641" t="n">
        <v/>
      </c>
      <c r="T1641" t="n">
        <v/>
      </c>
      <c r="U1641" t="n">
        <v/>
      </c>
      <c r="V1641" t="b">
        <v>0</v>
      </c>
      <c r="W1641" t="inlineStr"/>
      <c r="X1641" t="n">
        <v/>
      </c>
    </row>
    <row r="1642">
      <c r="A1642" t="inlineStr">
        <is>
          <t>ATF fuel</t>
        </is>
      </c>
      <c r="B1642" t="inlineStr">
        <is>
          <t>F169</t>
        </is>
      </c>
      <c r="C1642" t="n">
        <v>169</v>
      </c>
      <c r="D1642" t="n">
        <v>6</v>
      </c>
      <c r="E1642" t="inlineStr">
        <is>
          <t>Input</t>
        </is>
      </c>
      <c r="F1642" t="n">
        <v/>
      </c>
      <c r="G1642" t="inlineStr">
        <is>
          <t>January 01, 2013</t>
        </is>
      </c>
      <c r="H1642" t="inlineStr"/>
      <c r="I1642" t="inlineStr">
        <is>
          <t>General</t>
        </is>
      </c>
      <c r="J1642" t="b">
        <v>0</v>
      </c>
      <c r="K1642" t="b">
        <v>0</v>
      </c>
      <c r="L1642" t="n">
        <v>11</v>
      </c>
      <c r="M1642" t="inlineStr">
        <is>
          <t>Values must be of type &lt;class 'str'&gt;</t>
        </is>
      </c>
      <c r="N1642" t="inlineStr">
        <is>
          <t>00000000</t>
        </is>
      </c>
      <c r="O1642" t="inlineStr">
        <is>
          <t>left</t>
        </is>
      </c>
      <c r="P1642" t="n">
        <v/>
      </c>
      <c r="R1642" t="b">
        <v>1</v>
      </c>
      <c r="S1642" t="n">
        <v/>
      </c>
      <c r="T1642" t="n">
        <v/>
      </c>
      <c r="U1642" t="n">
        <v/>
      </c>
      <c r="V1642" t="b">
        <v>0</v>
      </c>
      <c r="W1642" t="inlineStr"/>
      <c r="X1642" t="n">
        <v/>
      </c>
    </row>
    <row r="1643">
      <c r="A1643" t="inlineStr">
        <is>
          <t>ATF fuel</t>
        </is>
      </c>
      <c r="B1643" t="inlineStr">
        <is>
          <t>G169</t>
        </is>
      </c>
      <c r="C1643" t="n">
        <v>169</v>
      </c>
      <c r="D1643" t="n">
        <v>7</v>
      </c>
      <c r="E1643" t="inlineStr">
        <is>
          <t>Calculation</t>
        </is>
      </c>
      <c r="F1643" t="inlineStr">
        <is>
          <t>'=(1+(C169/C168)-1)*G168</t>
        </is>
      </c>
      <c r="G1643" t="n">
        <v>158.8608803711254</v>
      </c>
      <c r="H1643" t="inlineStr"/>
      <c r="I1643" t="inlineStr">
        <is>
          <t>General</t>
        </is>
      </c>
      <c r="J1643" t="b">
        <v>0</v>
      </c>
      <c r="K1643" t="b">
        <v>0</v>
      </c>
      <c r="L1643" t="n">
        <v>11</v>
      </c>
      <c r="M1643" t="inlineStr">
        <is>
          <t>Values must be of type &lt;class 'str'&gt;</t>
        </is>
      </c>
      <c r="N1643" t="inlineStr">
        <is>
          <t>00000000</t>
        </is>
      </c>
      <c r="O1643" t="inlineStr">
        <is>
          <t>left</t>
        </is>
      </c>
      <c r="P1643" t="n">
        <v/>
      </c>
      <c r="R1643" t="b">
        <v>1</v>
      </c>
      <c r="S1643" t="inlineStr">
        <is>
          <t>G000328</t>
        </is>
      </c>
      <c r="T1643" t="inlineStr">
        <is>
          <t>Horizontal</t>
        </is>
      </c>
      <c r="U1643" t="n">
        <v>3</v>
      </c>
      <c r="V1643" t="b">
        <v>1</v>
      </c>
      <c r="W1643" t="inlineStr">
        <is>
          <t>ATF fuel!G169:I169</t>
        </is>
      </c>
      <c r="X1643">
        <f>(1+(R[0]C[-4]/R[-1]C[-4])-1)*R[-1]C[0]</f>
        <v/>
      </c>
    </row>
    <row r="1644">
      <c r="A1644" t="inlineStr">
        <is>
          <t>ATF fuel</t>
        </is>
      </c>
      <c r="B1644" t="inlineStr">
        <is>
          <t>H169</t>
        </is>
      </c>
      <c r="C1644" t="n">
        <v>169</v>
      </c>
      <c r="D1644" t="n">
        <v>8</v>
      </c>
      <c r="E1644" t="inlineStr">
        <is>
          <t>Calculation</t>
        </is>
      </c>
      <c r="F1644" t="inlineStr">
        <is>
          <t>'=(1+(D169/D168)-1)*H168</t>
        </is>
      </c>
      <c r="G1644" t="n">
        <v>136.7178990681352</v>
      </c>
      <c r="H1644" t="inlineStr"/>
      <c r="I1644" t="inlineStr">
        <is>
          <t>General</t>
        </is>
      </c>
      <c r="J1644" t="b">
        <v>0</v>
      </c>
      <c r="K1644" t="b">
        <v>0</v>
      </c>
      <c r="L1644" t="n">
        <v>11</v>
      </c>
      <c r="M1644" t="inlineStr">
        <is>
          <t>Values must be of type &lt;class 'str'&gt;</t>
        </is>
      </c>
      <c r="N1644" t="inlineStr">
        <is>
          <t>00000000</t>
        </is>
      </c>
      <c r="O1644" t="inlineStr">
        <is>
          <t>left</t>
        </is>
      </c>
      <c r="P1644" t="n">
        <v/>
      </c>
      <c r="R1644" t="b">
        <v>1</v>
      </c>
      <c r="S1644" t="inlineStr">
        <is>
          <t>G000328</t>
        </is>
      </c>
      <c r="T1644" t="inlineStr">
        <is>
          <t>Horizontal</t>
        </is>
      </c>
      <c r="U1644" t="n">
        <v>3</v>
      </c>
      <c r="V1644" t="b">
        <v>1</v>
      </c>
      <c r="W1644" t="inlineStr">
        <is>
          <t>ATF fuel!G169:I169</t>
        </is>
      </c>
      <c r="X1644">
        <f>(1+(R[0]C[-4]/R[-1]C[-4])-1)*R[-1]C[0]</f>
        <v/>
      </c>
    </row>
    <row r="1645">
      <c r="A1645" t="inlineStr">
        <is>
          <t>ATF fuel</t>
        </is>
      </c>
      <c r="B1645" t="inlineStr">
        <is>
          <t>I169</t>
        </is>
      </c>
      <c r="C1645" t="n">
        <v>169</v>
      </c>
      <c r="D1645" t="n">
        <v>9</v>
      </c>
      <c r="E1645" t="inlineStr">
        <is>
          <t>Calculation</t>
        </is>
      </c>
      <c r="F1645" t="inlineStr">
        <is>
          <t>'=(1+(E169/E168)-1)*I168</t>
        </is>
      </c>
      <c r="G1645" t="n">
        <v>110.1857328759021</v>
      </c>
      <c r="H1645" t="inlineStr"/>
      <c r="I1645" t="inlineStr">
        <is>
          <t>General</t>
        </is>
      </c>
      <c r="J1645" t="b">
        <v>0</v>
      </c>
      <c r="K1645" t="b">
        <v>0</v>
      </c>
      <c r="L1645" t="n">
        <v>11</v>
      </c>
      <c r="M1645" t="inlineStr">
        <is>
          <t>Values must be of type &lt;class 'str'&gt;</t>
        </is>
      </c>
      <c r="N1645" t="inlineStr">
        <is>
          <t>00000000</t>
        </is>
      </c>
      <c r="O1645" t="inlineStr">
        <is>
          <t>left</t>
        </is>
      </c>
      <c r="P1645" t="n">
        <v/>
      </c>
      <c r="R1645" t="b">
        <v>1</v>
      </c>
      <c r="S1645" t="inlineStr">
        <is>
          <t>G000328</t>
        </is>
      </c>
      <c r="T1645" t="inlineStr">
        <is>
          <t>Horizontal</t>
        </is>
      </c>
      <c r="U1645" t="n">
        <v>3</v>
      </c>
      <c r="V1645" t="b">
        <v>1</v>
      </c>
      <c r="W1645" t="inlineStr">
        <is>
          <t>ATF fuel!G169:I169</t>
        </is>
      </c>
      <c r="X1645">
        <f>(1+(R[0]C[-4]/R[-1]C[-4])-1)*R[-1]C[0]</f>
        <v/>
      </c>
    </row>
    <row r="1646">
      <c r="A1646" t="inlineStr">
        <is>
          <t>ATF fuel</t>
        </is>
      </c>
      <c r="B1646" t="inlineStr">
        <is>
          <t>J169</t>
        </is>
      </c>
      <c r="C1646" t="n">
        <v>169</v>
      </c>
      <c r="D1646" t="n">
        <v>10</v>
      </c>
      <c r="E1646" t="inlineStr">
        <is>
          <t>Output</t>
        </is>
      </c>
      <c r="F1646" t="inlineStr">
        <is>
          <t>'=G169/H169-1</t>
        </is>
      </c>
      <c r="G1646" t="n">
        <v>0.1619610998553669</v>
      </c>
      <c r="H1646" t="inlineStr"/>
      <c r="I1646" t="inlineStr">
        <is>
          <t>0.0%</t>
        </is>
      </c>
      <c r="J1646" t="b">
        <v>0</v>
      </c>
      <c r="K1646" t="b">
        <v>0</v>
      </c>
      <c r="L1646" t="n">
        <v>11</v>
      </c>
      <c r="M1646" t="inlineStr">
        <is>
          <t>Values must be of type &lt;class 'str'&gt;</t>
        </is>
      </c>
      <c r="N1646" t="inlineStr">
        <is>
          <t>00000000</t>
        </is>
      </c>
      <c r="O1646" t="n">
        <v/>
      </c>
      <c r="P1646" t="n">
        <v/>
      </c>
      <c r="R1646" t="b">
        <v>1</v>
      </c>
      <c r="S1646" t="inlineStr">
        <is>
          <t>G000295</t>
        </is>
      </c>
      <c r="T1646" t="inlineStr">
        <is>
          <t>Vertical</t>
        </is>
      </c>
      <c r="U1646" t="n">
        <v>93</v>
      </c>
      <c r="V1646" t="b">
        <v>1</v>
      </c>
      <c r="W1646" t="inlineStr">
        <is>
          <t>ATF fuel!J136:J228</t>
        </is>
      </c>
      <c r="X1646">
        <f>R[0]C[-3]/R[0]C[-2]-1</f>
        <v/>
      </c>
    </row>
    <row r="1647">
      <c r="A1647" t="inlineStr">
        <is>
          <t>ATF fuel</t>
        </is>
      </c>
      <c r="B1647" t="inlineStr">
        <is>
          <t>B170</t>
        </is>
      </c>
      <c r="C1647" t="n">
        <v>170</v>
      </c>
      <c r="D1647" t="n">
        <v>2</v>
      </c>
      <c r="E1647" t="inlineStr">
        <is>
          <t>Input</t>
        </is>
      </c>
      <c r="F1647" t="n">
        <v/>
      </c>
      <c r="G1647" t="inlineStr">
        <is>
          <t>February 01, 2013</t>
        </is>
      </c>
      <c r="H1647" t="inlineStr"/>
      <c r="I1647" t="inlineStr">
        <is>
          <t>General</t>
        </is>
      </c>
      <c r="J1647" t="b">
        <v>0</v>
      </c>
      <c r="K1647" t="b">
        <v>0</v>
      </c>
      <c r="L1647" t="n">
        <v>11</v>
      </c>
      <c r="M1647" t="inlineStr">
        <is>
          <t>Values must be of type &lt;class 'str'&gt;</t>
        </is>
      </c>
      <c r="N1647" t="inlineStr">
        <is>
          <t>00000000</t>
        </is>
      </c>
      <c r="O1647" t="n">
        <v/>
      </c>
      <c r="P1647" t="n">
        <v/>
      </c>
      <c r="R1647" t="b">
        <v>1</v>
      </c>
      <c r="S1647" t="n">
        <v/>
      </c>
      <c r="T1647" t="n">
        <v/>
      </c>
      <c r="U1647" t="n">
        <v/>
      </c>
      <c r="V1647" t="b">
        <v>0</v>
      </c>
      <c r="W1647" t="inlineStr"/>
      <c r="X1647" t="n">
        <v/>
      </c>
    </row>
    <row r="1648">
      <c r="A1648" t="inlineStr">
        <is>
          <t>ATF fuel</t>
        </is>
      </c>
      <c r="B1648" t="inlineStr">
        <is>
          <t>C170</t>
        </is>
      </c>
      <c r="C1648" t="n">
        <v>170</v>
      </c>
      <c r="D1648" t="n">
        <v>3</v>
      </c>
      <c r="E1648" t="inlineStr">
        <is>
          <t>Input</t>
        </is>
      </c>
      <c r="F1648" t="n">
        <v/>
      </c>
      <c r="G1648" t="n">
        <v>71872.72249999999</v>
      </c>
      <c r="H1648" t="inlineStr"/>
      <c r="I1648" t="inlineStr">
        <is>
          <t>General</t>
        </is>
      </c>
      <c r="J1648" t="b">
        <v>0</v>
      </c>
      <c r="K1648" t="b">
        <v>0</v>
      </c>
      <c r="L1648" t="n">
        <v>11</v>
      </c>
      <c r="M1648" t="inlineStr">
        <is>
          <t>Values must be of type &lt;class 'str'&gt;</t>
        </is>
      </c>
      <c r="N1648" t="inlineStr">
        <is>
          <t>00000000</t>
        </is>
      </c>
      <c r="O1648" t="n">
        <v/>
      </c>
      <c r="P1648" t="n">
        <v/>
      </c>
      <c r="R1648" t="b">
        <v>1</v>
      </c>
      <c r="S1648" t="n">
        <v/>
      </c>
      <c r="T1648" t="n">
        <v/>
      </c>
      <c r="U1648" t="n">
        <v/>
      </c>
      <c r="V1648" t="b">
        <v>0</v>
      </c>
      <c r="W1648" t="inlineStr"/>
      <c r="X1648" t="n">
        <v/>
      </c>
    </row>
    <row r="1649">
      <c r="A1649" t="inlineStr">
        <is>
          <t>ATF fuel</t>
        </is>
      </c>
      <c r="B1649" t="inlineStr">
        <is>
          <t>D170</t>
        </is>
      </c>
      <c r="C1649" t="n">
        <v>170</v>
      </c>
      <c r="D1649" t="n">
        <v>4</v>
      </c>
      <c r="E1649" t="inlineStr">
        <is>
          <t>Input</t>
        </is>
      </c>
      <c r="F1649" t="n">
        <v/>
      </c>
      <c r="G1649" t="n">
        <v>118.29</v>
      </c>
      <c r="H1649" t="inlineStr"/>
      <c r="I1649" t="inlineStr">
        <is>
          <t>General</t>
        </is>
      </c>
      <c r="J1649" t="b">
        <v>0</v>
      </c>
      <c r="K1649" t="b">
        <v>0</v>
      </c>
      <c r="L1649" t="n">
        <v>11</v>
      </c>
      <c r="M1649" t="inlineStr">
        <is>
          <t>Values must be of type &lt;class 'str'&gt;</t>
        </is>
      </c>
      <c r="N1649" t="inlineStr">
        <is>
          <t>00000000</t>
        </is>
      </c>
      <c r="O1649" t="n">
        <v/>
      </c>
      <c r="P1649" t="n">
        <v/>
      </c>
      <c r="R1649" t="b">
        <v>1</v>
      </c>
      <c r="S1649" t="n">
        <v/>
      </c>
      <c r="T1649" t="n">
        <v/>
      </c>
      <c r="U1649" t="n">
        <v/>
      </c>
      <c r="V1649" t="b">
        <v>0</v>
      </c>
      <c r="W1649" t="inlineStr"/>
      <c r="X1649" t="n">
        <v/>
      </c>
    </row>
    <row r="1650">
      <c r="A1650" t="inlineStr">
        <is>
          <t>ATF fuel</t>
        </is>
      </c>
      <c r="B1650" t="inlineStr">
        <is>
          <t>E170</t>
        </is>
      </c>
      <c r="C1650" t="n">
        <v>170</v>
      </c>
      <c r="D1650" t="n">
        <v>5</v>
      </c>
      <c r="E1650" t="inlineStr">
        <is>
          <t>Input</t>
        </is>
      </c>
      <c r="F1650" t="n">
        <v/>
      </c>
      <c r="G1650" t="n">
        <v>97.45999999999999</v>
      </c>
      <c r="H1650" t="inlineStr"/>
      <c r="I1650" t="inlineStr">
        <is>
          <t>General</t>
        </is>
      </c>
      <c r="J1650" t="b">
        <v>0</v>
      </c>
      <c r="K1650" t="b">
        <v>0</v>
      </c>
      <c r="L1650" t="n">
        <v>11</v>
      </c>
      <c r="M1650" t="inlineStr">
        <is>
          <t>Values must be of type &lt;class 'str'&gt;</t>
        </is>
      </c>
      <c r="N1650" t="inlineStr">
        <is>
          <t>00000000</t>
        </is>
      </c>
      <c r="O1650" t="n">
        <v/>
      </c>
      <c r="P1650" t="n">
        <v/>
      </c>
      <c r="R1650" t="b">
        <v>1</v>
      </c>
      <c r="S1650" t="n">
        <v/>
      </c>
      <c r="T1650" t="n">
        <v/>
      </c>
      <c r="U1650" t="n">
        <v/>
      </c>
      <c r="V1650" t="b">
        <v>0</v>
      </c>
      <c r="W1650" t="inlineStr"/>
      <c r="X1650" t="n">
        <v/>
      </c>
    </row>
    <row r="1651">
      <c r="A1651" t="inlineStr">
        <is>
          <t>ATF fuel</t>
        </is>
      </c>
      <c r="B1651" t="inlineStr">
        <is>
          <t>F170</t>
        </is>
      </c>
      <c r="C1651" t="n">
        <v>170</v>
      </c>
      <c r="D1651" t="n">
        <v>6</v>
      </c>
      <c r="E1651" t="inlineStr">
        <is>
          <t>Input</t>
        </is>
      </c>
      <c r="F1651" t="n">
        <v/>
      </c>
      <c r="G1651" t="inlineStr">
        <is>
          <t>February 01, 2013</t>
        </is>
      </c>
      <c r="H1651" t="inlineStr"/>
      <c r="I1651" t="inlineStr">
        <is>
          <t>General</t>
        </is>
      </c>
      <c r="J1651" t="b">
        <v>0</v>
      </c>
      <c r="K1651" t="b">
        <v>0</v>
      </c>
      <c r="L1651" t="n">
        <v>11</v>
      </c>
      <c r="M1651" t="inlineStr">
        <is>
          <t>Values must be of type &lt;class 'str'&gt;</t>
        </is>
      </c>
      <c r="N1651" t="inlineStr">
        <is>
          <t>00000000</t>
        </is>
      </c>
      <c r="O1651" t="inlineStr">
        <is>
          <t>left</t>
        </is>
      </c>
      <c r="P1651" t="n">
        <v/>
      </c>
      <c r="R1651" t="b">
        <v>1</v>
      </c>
      <c r="S1651" t="n">
        <v/>
      </c>
      <c r="T1651" t="n">
        <v/>
      </c>
      <c r="U1651" t="n">
        <v/>
      </c>
      <c r="V1651" t="b">
        <v>0</v>
      </c>
      <c r="W1651" t="inlineStr"/>
      <c r="X1651" t="n">
        <v/>
      </c>
    </row>
    <row r="1652">
      <c r="A1652" t="inlineStr">
        <is>
          <t>ATF fuel</t>
        </is>
      </c>
      <c r="B1652" t="inlineStr">
        <is>
          <t>G170</t>
        </is>
      </c>
      <c r="C1652" t="n">
        <v>170</v>
      </c>
      <c r="D1652" t="n">
        <v>7</v>
      </c>
      <c r="E1652" t="inlineStr">
        <is>
          <t>Calculation</t>
        </is>
      </c>
      <c r="F1652" t="inlineStr">
        <is>
          <t>'=(1+(C170/C169)-1)*G169</t>
        </is>
      </c>
      <c r="G1652" t="n">
        <v>162.0148831869487</v>
      </c>
      <c r="H1652" t="inlineStr"/>
      <c r="I1652" t="inlineStr">
        <is>
          <t>General</t>
        </is>
      </c>
      <c r="J1652" t="b">
        <v>0</v>
      </c>
      <c r="K1652" t="b">
        <v>0</v>
      </c>
      <c r="L1652" t="n">
        <v>11</v>
      </c>
      <c r="M1652" t="inlineStr">
        <is>
          <t>Values must be of type &lt;class 'str'&gt;</t>
        </is>
      </c>
      <c r="N1652" t="inlineStr">
        <is>
          <t>00000000</t>
        </is>
      </c>
      <c r="O1652" t="inlineStr">
        <is>
          <t>left</t>
        </is>
      </c>
      <c r="P1652" t="n">
        <v/>
      </c>
      <c r="R1652" t="b">
        <v>1</v>
      </c>
      <c r="S1652" t="inlineStr">
        <is>
          <t>G000329</t>
        </is>
      </c>
      <c r="T1652" t="inlineStr">
        <is>
          <t>Horizontal</t>
        </is>
      </c>
      <c r="U1652" t="n">
        <v>3</v>
      </c>
      <c r="V1652" t="b">
        <v>1</v>
      </c>
      <c r="W1652" t="inlineStr">
        <is>
          <t>ATF fuel!G170:I170</t>
        </is>
      </c>
      <c r="X1652">
        <f>(1+(R[0]C[-4]/R[-1]C[-4])-1)*R[-1]C[0]</f>
        <v/>
      </c>
    </row>
    <row r="1653">
      <c r="A1653" t="inlineStr">
        <is>
          <t>ATF fuel</t>
        </is>
      </c>
      <c r="B1653" t="inlineStr">
        <is>
          <t>H170</t>
        </is>
      </c>
      <c r="C1653" t="n">
        <v>170</v>
      </c>
      <c r="D1653" t="n">
        <v>8</v>
      </c>
      <c r="E1653" t="inlineStr">
        <is>
          <t>Calculation</t>
        </is>
      </c>
      <c r="F1653" t="inlineStr">
        <is>
          <t>'=(1+(D170/D169)-1)*H169</t>
        </is>
      </c>
      <c r="G1653" t="n">
        <v>143.1562386542419</v>
      </c>
      <c r="H1653" t="inlineStr"/>
      <c r="I1653" t="inlineStr">
        <is>
          <t>General</t>
        </is>
      </c>
      <c r="J1653" t="b">
        <v>0</v>
      </c>
      <c r="K1653" t="b">
        <v>0</v>
      </c>
      <c r="L1653" t="n">
        <v>11</v>
      </c>
      <c r="M1653" t="inlineStr">
        <is>
          <t>Values must be of type &lt;class 'str'&gt;</t>
        </is>
      </c>
      <c r="N1653" t="inlineStr">
        <is>
          <t>00000000</t>
        </is>
      </c>
      <c r="O1653" t="inlineStr">
        <is>
          <t>left</t>
        </is>
      </c>
      <c r="P1653" t="n">
        <v/>
      </c>
      <c r="R1653" t="b">
        <v>1</v>
      </c>
      <c r="S1653" t="inlineStr">
        <is>
          <t>G000329</t>
        </is>
      </c>
      <c r="T1653" t="inlineStr">
        <is>
          <t>Horizontal</t>
        </is>
      </c>
      <c r="U1653" t="n">
        <v>3</v>
      </c>
      <c r="V1653" t="b">
        <v>1</v>
      </c>
      <c r="W1653" t="inlineStr">
        <is>
          <t>ATF fuel!G170:I170</t>
        </is>
      </c>
      <c r="X1653">
        <f>(1+(R[0]C[-4]/R[-1]C[-4])-1)*R[-1]C[0]</f>
        <v/>
      </c>
    </row>
    <row r="1654">
      <c r="A1654" t="inlineStr">
        <is>
          <t>ATF fuel</t>
        </is>
      </c>
      <c r="B1654" t="inlineStr">
        <is>
          <t>I170</t>
        </is>
      </c>
      <c r="C1654" t="n">
        <v>170</v>
      </c>
      <c r="D1654" t="n">
        <v>9</v>
      </c>
      <c r="E1654" t="inlineStr">
        <is>
          <t>Calculation</t>
        </is>
      </c>
      <c r="F1654" t="inlineStr">
        <is>
          <t>'=(1+(E170/E169)-1)*I169</t>
        </is>
      </c>
      <c r="G1654" t="n">
        <v>115.2963444930794</v>
      </c>
      <c r="H1654" t="inlineStr"/>
      <c r="I1654" t="inlineStr">
        <is>
          <t>General</t>
        </is>
      </c>
      <c r="J1654" t="b">
        <v>0</v>
      </c>
      <c r="K1654" t="b">
        <v>0</v>
      </c>
      <c r="L1654" t="n">
        <v>11</v>
      </c>
      <c r="M1654" t="inlineStr">
        <is>
          <t>Values must be of type &lt;class 'str'&gt;</t>
        </is>
      </c>
      <c r="N1654" t="inlineStr">
        <is>
          <t>00000000</t>
        </is>
      </c>
      <c r="O1654" t="inlineStr">
        <is>
          <t>left</t>
        </is>
      </c>
      <c r="P1654" t="n">
        <v/>
      </c>
      <c r="R1654" t="b">
        <v>1</v>
      </c>
      <c r="S1654" t="inlineStr">
        <is>
          <t>G000329</t>
        </is>
      </c>
      <c r="T1654" t="inlineStr">
        <is>
          <t>Horizontal</t>
        </is>
      </c>
      <c r="U1654" t="n">
        <v>3</v>
      </c>
      <c r="V1654" t="b">
        <v>1</v>
      </c>
      <c r="W1654" t="inlineStr">
        <is>
          <t>ATF fuel!G170:I170</t>
        </is>
      </c>
      <c r="X1654">
        <f>(1+(R[0]C[-4]/R[-1]C[-4])-1)*R[-1]C[0]</f>
        <v/>
      </c>
    </row>
    <row r="1655">
      <c r="A1655" t="inlineStr">
        <is>
          <t>ATF fuel</t>
        </is>
      </c>
      <c r="B1655" t="inlineStr">
        <is>
          <t>J170</t>
        </is>
      </c>
      <c r="C1655" t="n">
        <v>170</v>
      </c>
      <c r="D1655" t="n">
        <v>10</v>
      </c>
      <c r="E1655" t="inlineStr">
        <is>
          <t>Output</t>
        </is>
      </c>
      <c r="F1655" t="inlineStr">
        <is>
          <t>'=G170/H170-1</t>
        </is>
      </c>
      <c r="G1655" t="n">
        <v>0.1317347026576685</v>
      </c>
      <c r="H1655" t="inlineStr"/>
      <c r="I1655" t="inlineStr">
        <is>
          <t>0.0%</t>
        </is>
      </c>
      <c r="J1655" t="b">
        <v>0</v>
      </c>
      <c r="K1655" t="b">
        <v>0</v>
      </c>
      <c r="L1655" t="n">
        <v>11</v>
      </c>
      <c r="M1655" t="inlineStr">
        <is>
          <t>Values must be of type &lt;class 'str'&gt;</t>
        </is>
      </c>
      <c r="N1655" t="inlineStr">
        <is>
          <t>00000000</t>
        </is>
      </c>
      <c r="O1655" t="n">
        <v/>
      </c>
      <c r="P1655" t="n">
        <v/>
      </c>
      <c r="R1655" t="b">
        <v>1</v>
      </c>
      <c r="S1655" t="inlineStr">
        <is>
          <t>G000295</t>
        </is>
      </c>
      <c r="T1655" t="inlineStr">
        <is>
          <t>Vertical</t>
        </is>
      </c>
      <c r="U1655" t="n">
        <v>93</v>
      </c>
      <c r="V1655" t="b">
        <v>1</v>
      </c>
      <c r="W1655" t="inlineStr">
        <is>
          <t>ATF fuel!J136:J228</t>
        </is>
      </c>
      <c r="X1655">
        <f>R[0]C[-3]/R[0]C[-2]-1</f>
        <v/>
      </c>
    </row>
    <row r="1656">
      <c r="A1656" t="inlineStr">
        <is>
          <t>ATF fuel</t>
        </is>
      </c>
      <c r="B1656" t="inlineStr">
        <is>
          <t>B171</t>
        </is>
      </c>
      <c r="C1656" t="n">
        <v>171</v>
      </c>
      <c r="D1656" t="n">
        <v>2</v>
      </c>
      <c r="E1656" t="inlineStr">
        <is>
          <t>Input</t>
        </is>
      </c>
      <c r="F1656" t="n">
        <v/>
      </c>
      <c r="G1656" t="inlineStr">
        <is>
          <t>March 01, 2013</t>
        </is>
      </c>
      <c r="H1656" t="inlineStr"/>
      <c r="I1656" t="inlineStr">
        <is>
          <t>General</t>
        </is>
      </c>
      <c r="J1656" t="b">
        <v>0</v>
      </c>
      <c r="K1656" t="b">
        <v>0</v>
      </c>
      <c r="L1656" t="n">
        <v>11</v>
      </c>
      <c r="M1656" t="inlineStr">
        <is>
          <t>Values must be of type &lt;class 'str'&gt;</t>
        </is>
      </c>
      <c r="N1656" t="inlineStr">
        <is>
          <t>00000000</t>
        </is>
      </c>
      <c r="O1656" t="n">
        <v/>
      </c>
      <c r="P1656" t="n">
        <v/>
      </c>
      <c r="R1656" t="b">
        <v>1</v>
      </c>
      <c r="S1656" t="n">
        <v/>
      </c>
      <c r="T1656" t="n">
        <v/>
      </c>
      <c r="U1656" t="n">
        <v/>
      </c>
      <c r="V1656" t="b">
        <v>0</v>
      </c>
      <c r="W1656" t="inlineStr"/>
      <c r="X1656" t="n">
        <v/>
      </c>
    </row>
    <row r="1657">
      <c r="A1657" t="inlineStr">
        <is>
          <t>ATF fuel</t>
        </is>
      </c>
      <c r="B1657" t="inlineStr">
        <is>
          <t>C171</t>
        </is>
      </c>
      <c r="C1657" t="n">
        <v>171</v>
      </c>
      <c r="D1657" t="n">
        <v>3</v>
      </c>
      <c r="E1657" t="inlineStr">
        <is>
          <t>Input</t>
        </is>
      </c>
      <c r="F1657" t="n">
        <v/>
      </c>
      <c r="G1657" t="n">
        <v>74502.5475</v>
      </c>
      <c r="H1657" t="inlineStr"/>
      <c r="I1657" t="inlineStr">
        <is>
          <t>General</t>
        </is>
      </c>
      <c r="J1657" t="b">
        <v>0</v>
      </c>
      <c r="K1657" t="b">
        <v>0</v>
      </c>
      <c r="L1657" t="n">
        <v>11</v>
      </c>
      <c r="M1657" t="inlineStr">
        <is>
          <t>Values must be of type &lt;class 'str'&gt;</t>
        </is>
      </c>
      <c r="N1657" t="inlineStr">
        <is>
          <t>00000000</t>
        </is>
      </c>
      <c r="O1657" t="n">
        <v/>
      </c>
      <c r="P1657" t="n">
        <v/>
      </c>
      <c r="R1657" t="b">
        <v>1</v>
      </c>
      <c r="S1657" t="n">
        <v/>
      </c>
      <c r="T1657" t="n">
        <v/>
      </c>
      <c r="U1657" t="n">
        <v/>
      </c>
      <c r="V1657" t="b">
        <v>0</v>
      </c>
      <c r="W1657" t="inlineStr"/>
      <c r="X1657" t="n">
        <v/>
      </c>
    </row>
    <row r="1658">
      <c r="A1658" t="inlineStr">
        <is>
          <t>ATF fuel</t>
        </is>
      </c>
      <c r="B1658" t="inlineStr">
        <is>
          <t>D171</t>
        </is>
      </c>
      <c r="C1658" t="n">
        <v>171</v>
      </c>
      <c r="D1658" t="n">
        <v>4</v>
      </c>
      <c r="E1658" t="inlineStr">
        <is>
          <t>Input</t>
        </is>
      </c>
      <c r="F1658" t="n">
        <v/>
      </c>
      <c r="G1658" t="n">
        <v>108.64</v>
      </c>
      <c r="H1658" t="inlineStr"/>
      <c r="I1658" t="inlineStr">
        <is>
          <t>General</t>
        </is>
      </c>
      <c r="J1658" t="b">
        <v>0</v>
      </c>
      <c r="K1658" t="b">
        <v>0</v>
      </c>
      <c r="L1658" t="n">
        <v>11</v>
      </c>
      <c r="M1658" t="inlineStr">
        <is>
          <t>Values must be of type &lt;class 'str'&gt;</t>
        </is>
      </c>
      <c r="N1658" t="inlineStr">
        <is>
          <t>00000000</t>
        </is>
      </c>
      <c r="O1658" t="n">
        <v/>
      </c>
      <c r="P1658" t="n">
        <v/>
      </c>
      <c r="R1658" t="b">
        <v>1</v>
      </c>
      <c r="S1658" t="n">
        <v/>
      </c>
      <c r="T1658" t="n">
        <v/>
      </c>
      <c r="U1658" t="n">
        <v/>
      </c>
      <c r="V1658" t="b">
        <v>0</v>
      </c>
      <c r="W1658" t="inlineStr"/>
      <c r="X1658" t="n">
        <v/>
      </c>
    </row>
    <row r="1659">
      <c r="A1659" t="inlineStr">
        <is>
          <t>ATF fuel</t>
        </is>
      </c>
      <c r="B1659" t="inlineStr">
        <is>
          <t>E171</t>
        </is>
      </c>
      <c r="C1659" t="n">
        <v>171</v>
      </c>
      <c r="D1659" t="n">
        <v>5</v>
      </c>
      <c r="E1659" t="inlineStr">
        <is>
          <t>Input</t>
        </is>
      </c>
      <c r="F1659" t="n">
        <v/>
      </c>
      <c r="G1659" t="n">
        <v>90.70999999999999</v>
      </c>
      <c r="H1659" t="inlineStr"/>
      <c r="I1659" t="inlineStr">
        <is>
          <t>General</t>
        </is>
      </c>
      <c r="J1659" t="b">
        <v>0</v>
      </c>
      <c r="K1659" t="b">
        <v>0</v>
      </c>
      <c r="L1659" t="n">
        <v>11</v>
      </c>
      <c r="M1659" t="inlineStr">
        <is>
          <t>Values must be of type &lt;class 'str'&gt;</t>
        </is>
      </c>
      <c r="N1659" t="inlineStr">
        <is>
          <t>00000000</t>
        </is>
      </c>
      <c r="O1659" t="n">
        <v/>
      </c>
      <c r="P1659" t="n">
        <v/>
      </c>
      <c r="R1659" t="b">
        <v>1</v>
      </c>
      <c r="S1659" t="n">
        <v/>
      </c>
      <c r="T1659" t="n">
        <v/>
      </c>
      <c r="U1659" t="n">
        <v/>
      </c>
      <c r="V1659" t="b">
        <v>0</v>
      </c>
      <c r="W1659" t="inlineStr"/>
      <c r="X1659" t="n">
        <v/>
      </c>
    </row>
    <row r="1660">
      <c r="A1660" t="inlineStr">
        <is>
          <t>ATF fuel</t>
        </is>
      </c>
      <c r="B1660" t="inlineStr">
        <is>
          <t>F171</t>
        </is>
      </c>
      <c r="C1660" t="n">
        <v>171</v>
      </c>
      <c r="D1660" t="n">
        <v>6</v>
      </c>
      <c r="E1660" t="inlineStr">
        <is>
          <t>Input</t>
        </is>
      </c>
      <c r="F1660" t="n">
        <v/>
      </c>
      <c r="G1660" t="inlineStr">
        <is>
          <t>March 01, 2013</t>
        </is>
      </c>
      <c r="H1660" t="inlineStr"/>
      <c r="I1660" t="inlineStr">
        <is>
          <t>General</t>
        </is>
      </c>
      <c r="J1660" t="b">
        <v>0</v>
      </c>
      <c r="K1660" t="b">
        <v>0</v>
      </c>
      <c r="L1660" t="n">
        <v>11</v>
      </c>
      <c r="M1660" t="inlineStr">
        <is>
          <t>Values must be of type &lt;class 'str'&gt;</t>
        </is>
      </c>
      <c r="N1660" t="inlineStr">
        <is>
          <t>00000000</t>
        </is>
      </c>
      <c r="O1660" t="inlineStr">
        <is>
          <t>left</t>
        </is>
      </c>
      <c r="P1660" t="n">
        <v/>
      </c>
      <c r="R1660" t="b">
        <v>1</v>
      </c>
      <c r="S1660" t="n">
        <v/>
      </c>
      <c r="T1660" t="n">
        <v/>
      </c>
      <c r="U1660" t="n">
        <v/>
      </c>
      <c r="V1660" t="b">
        <v>0</v>
      </c>
      <c r="W1660" t="inlineStr"/>
      <c r="X1660" t="n">
        <v/>
      </c>
    </row>
    <row r="1661">
      <c r="A1661" t="inlineStr">
        <is>
          <t>ATF fuel</t>
        </is>
      </c>
      <c r="B1661" t="inlineStr">
        <is>
          <t>G171</t>
        </is>
      </c>
      <c r="C1661" t="n">
        <v>171</v>
      </c>
      <c r="D1661" t="n">
        <v>7</v>
      </c>
      <c r="E1661" t="inlineStr">
        <is>
          <t>Calculation</t>
        </is>
      </c>
      <c r="F1661" t="inlineStr">
        <is>
          <t>'=(1+(C171/C170)-1)*G170</t>
        </is>
      </c>
      <c r="G1661" t="n">
        <v>167.9430124598744</v>
      </c>
      <c r="H1661" t="inlineStr"/>
      <c r="I1661" t="inlineStr">
        <is>
          <t>General</t>
        </is>
      </c>
      <c r="J1661" t="b">
        <v>0</v>
      </c>
      <c r="K1661" t="b">
        <v>0</v>
      </c>
      <c r="L1661" t="n">
        <v>11</v>
      </c>
      <c r="M1661" t="inlineStr">
        <is>
          <t>Values must be of type &lt;class 'str'&gt;</t>
        </is>
      </c>
      <c r="N1661" t="inlineStr">
        <is>
          <t>00000000</t>
        </is>
      </c>
      <c r="O1661" t="inlineStr">
        <is>
          <t>left</t>
        </is>
      </c>
      <c r="P1661" t="n">
        <v/>
      </c>
      <c r="R1661" t="b">
        <v>1</v>
      </c>
      <c r="S1661" t="inlineStr">
        <is>
          <t>G000330</t>
        </is>
      </c>
      <c r="T1661" t="inlineStr">
        <is>
          <t>Horizontal</t>
        </is>
      </c>
      <c r="U1661" t="n">
        <v>3</v>
      </c>
      <c r="V1661" t="b">
        <v>1</v>
      </c>
      <c r="W1661" t="inlineStr">
        <is>
          <t>ATF fuel!G171:I171</t>
        </is>
      </c>
      <c r="X1661">
        <f>(1+(R[0]C[-4]/R[-1]C[-4])-1)*R[-1]C[0]</f>
        <v/>
      </c>
    </row>
    <row r="1662">
      <c r="A1662" t="inlineStr">
        <is>
          <t>ATF fuel</t>
        </is>
      </c>
      <c r="B1662" t="inlineStr">
        <is>
          <t>H171</t>
        </is>
      </c>
      <c r="C1662" t="n">
        <v>171</v>
      </c>
      <c r="D1662" t="n">
        <v>8</v>
      </c>
      <c r="E1662" t="inlineStr">
        <is>
          <t>Calculation</t>
        </is>
      </c>
      <c r="F1662" t="inlineStr">
        <is>
          <t>'=(1+(D171/D170)-1)*H170</t>
        </is>
      </c>
      <c r="G1662" t="n">
        <v>131.4776715478641</v>
      </c>
      <c r="H1662" t="inlineStr"/>
      <c r="I1662" t="inlineStr">
        <is>
          <t>General</t>
        </is>
      </c>
      <c r="J1662" t="b">
        <v>0</v>
      </c>
      <c r="K1662" t="b">
        <v>0</v>
      </c>
      <c r="L1662" t="n">
        <v>11</v>
      </c>
      <c r="M1662" t="inlineStr">
        <is>
          <t>Values must be of type &lt;class 'str'&gt;</t>
        </is>
      </c>
      <c r="N1662" t="inlineStr">
        <is>
          <t>00000000</t>
        </is>
      </c>
      <c r="O1662" t="inlineStr">
        <is>
          <t>left</t>
        </is>
      </c>
      <c r="P1662" t="n">
        <v/>
      </c>
      <c r="R1662" t="b">
        <v>1</v>
      </c>
      <c r="S1662" t="inlineStr">
        <is>
          <t>G000330</t>
        </is>
      </c>
      <c r="T1662" t="inlineStr">
        <is>
          <t>Horizontal</t>
        </is>
      </c>
      <c r="U1662" t="n">
        <v>3</v>
      </c>
      <c r="V1662" t="b">
        <v>1</v>
      </c>
      <c r="W1662" t="inlineStr">
        <is>
          <t>ATF fuel!G171:I171</t>
        </is>
      </c>
      <c r="X1662">
        <f>(1+(R[0]C[-4]/R[-1]C[-4])-1)*R[-1]C[0]</f>
        <v/>
      </c>
    </row>
    <row r="1663">
      <c r="A1663" t="inlineStr">
        <is>
          <t>ATF fuel</t>
        </is>
      </c>
      <c r="B1663" t="inlineStr">
        <is>
          <t>I171</t>
        </is>
      </c>
      <c r="C1663" t="n">
        <v>171</v>
      </c>
      <c r="D1663" t="n">
        <v>9</v>
      </c>
      <c r="E1663" t="inlineStr">
        <is>
          <t>Calculation</t>
        </is>
      </c>
      <c r="F1663" t="inlineStr">
        <is>
          <t>'=(1+(E171/E170)-1)*I170</t>
        </is>
      </c>
      <c r="G1663" t="n">
        <v>107.3110138412398</v>
      </c>
      <c r="H1663" t="inlineStr"/>
      <c r="I1663" t="inlineStr">
        <is>
          <t>General</t>
        </is>
      </c>
      <c r="J1663" t="b">
        <v>0</v>
      </c>
      <c r="K1663" t="b">
        <v>0</v>
      </c>
      <c r="L1663" t="n">
        <v>11</v>
      </c>
      <c r="M1663" t="inlineStr">
        <is>
          <t>Values must be of type &lt;class 'str'&gt;</t>
        </is>
      </c>
      <c r="N1663" t="inlineStr">
        <is>
          <t>00000000</t>
        </is>
      </c>
      <c r="O1663" t="inlineStr">
        <is>
          <t>left</t>
        </is>
      </c>
      <c r="P1663" t="n">
        <v/>
      </c>
      <c r="R1663" t="b">
        <v>1</v>
      </c>
      <c r="S1663" t="inlineStr">
        <is>
          <t>G000330</t>
        </is>
      </c>
      <c r="T1663" t="inlineStr">
        <is>
          <t>Horizontal</t>
        </is>
      </c>
      <c r="U1663" t="n">
        <v>3</v>
      </c>
      <c r="V1663" t="b">
        <v>1</v>
      </c>
      <c r="W1663" t="inlineStr">
        <is>
          <t>ATF fuel!G171:I171</t>
        </is>
      </c>
      <c r="X1663">
        <f>(1+(R[0]C[-4]/R[-1]C[-4])-1)*R[-1]C[0]</f>
        <v/>
      </c>
    </row>
    <row r="1664">
      <c r="A1664" t="inlineStr">
        <is>
          <t>ATF fuel</t>
        </is>
      </c>
      <c r="B1664" t="inlineStr">
        <is>
          <t>J171</t>
        </is>
      </c>
      <c r="C1664" t="n">
        <v>171</v>
      </c>
      <c r="D1664" t="n">
        <v>10</v>
      </c>
      <c r="E1664" t="inlineStr">
        <is>
          <t>Output</t>
        </is>
      </c>
      <c r="F1664" t="inlineStr">
        <is>
          <t>'=G171/H171-1</t>
        </is>
      </c>
      <c r="G1664" t="n">
        <v>0.277350066233377</v>
      </c>
      <c r="H1664" t="inlineStr"/>
      <c r="I1664" t="inlineStr">
        <is>
          <t>0.0%</t>
        </is>
      </c>
      <c r="J1664" t="b">
        <v>0</v>
      </c>
      <c r="K1664" t="b">
        <v>0</v>
      </c>
      <c r="L1664" t="n">
        <v>11</v>
      </c>
      <c r="M1664" t="inlineStr">
        <is>
          <t>Values must be of type &lt;class 'str'&gt;</t>
        </is>
      </c>
      <c r="N1664" t="inlineStr">
        <is>
          <t>00000000</t>
        </is>
      </c>
      <c r="O1664" t="n">
        <v/>
      </c>
      <c r="P1664" t="n">
        <v/>
      </c>
      <c r="R1664" t="b">
        <v>1</v>
      </c>
      <c r="S1664" t="inlineStr">
        <is>
          <t>G000295</t>
        </is>
      </c>
      <c r="T1664" t="inlineStr">
        <is>
          <t>Vertical</t>
        </is>
      </c>
      <c r="U1664" t="n">
        <v>93</v>
      </c>
      <c r="V1664" t="b">
        <v>1</v>
      </c>
      <c r="W1664" t="inlineStr">
        <is>
          <t>ATF fuel!J136:J228</t>
        </is>
      </c>
      <c r="X1664">
        <f>R[0]C[-3]/R[0]C[-2]-1</f>
        <v/>
      </c>
    </row>
    <row r="1665">
      <c r="A1665" t="inlineStr">
        <is>
          <t>ATF fuel</t>
        </is>
      </c>
      <c r="B1665" t="inlineStr">
        <is>
          <t>B172</t>
        </is>
      </c>
      <c r="C1665" t="n">
        <v>172</v>
      </c>
      <c r="D1665" t="n">
        <v>2</v>
      </c>
      <c r="E1665" t="inlineStr">
        <is>
          <t>Input</t>
        </is>
      </c>
      <c r="F1665" t="n">
        <v/>
      </c>
      <c r="G1665" t="inlineStr">
        <is>
          <t>April 01, 2013</t>
        </is>
      </c>
      <c r="H1665" t="inlineStr"/>
      <c r="I1665" t="inlineStr">
        <is>
          <t>General</t>
        </is>
      </c>
      <c r="J1665" t="b">
        <v>0</v>
      </c>
      <c r="K1665" t="b">
        <v>0</v>
      </c>
      <c r="L1665" t="n">
        <v>11</v>
      </c>
      <c r="M1665" t="inlineStr">
        <is>
          <t>Values must be of type &lt;class 'str'&gt;</t>
        </is>
      </c>
      <c r="N1665" t="inlineStr">
        <is>
          <t>00000000</t>
        </is>
      </c>
      <c r="O1665" t="n">
        <v/>
      </c>
      <c r="P1665" t="n">
        <v/>
      </c>
      <c r="R1665" t="b">
        <v>1</v>
      </c>
      <c r="S1665" t="n">
        <v/>
      </c>
      <c r="T1665" t="n">
        <v/>
      </c>
      <c r="U1665" t="n">
        <v/>
      </c>
      <c r="V1665" t="b">
        <v>0</v>
      </c>
      <c r="W1665" t="inlineStr"/>
      <c r="X1665" t="n">
        <v/>
      </c>
    </row>
    <row r="1666">
      <c r="A1666" t="inlineStr">
        <is>
          <t>ATF fuel</t>
        </is>
      </c>
      <c r="B1666" t="inlineStr">
        <is>
          <t>C172</t>
        </is>
      </c>
      <c r="C1666" t="n">
        <v>172</v>
      </c>
      <c r="D1666" t="n">
        <v>3</v>
      </c>
      <c r="E1666" t="inlineStr">
        <is>
          <t>Input</t>
        </is>
      </c>
      <c r="F1666" t="n">
        <v/>
      </c>
      <c r="G1666" t="n">
        <v>70671.505</v>
      </c>
      <c r="H1666" t="inlineStr"/>
      <c r="I1666" t="inlineStr">
        <is>
          <t>General</t>
        </is>
      </c>
      <c r="J1666" t="b">
        <v>0</v>
      </c>
      <c r="K1666" t="b">
        <v>0</v>
      </c>
      <c r="L1666" t="n">
        <v>11</v>
      </c>
      <c r="M1666" t="inlineStr">
        <is>
          <t>Values must be of type &lt;class 'str'&gt;</t>
        </is>
      </c>
      <c r="N1666" t="inlineStr">
        <is>
          <t>00000000</t>
        </is>
      </c>
      <c r="O1666" t="n">
        <v/>
      </c>
      <c r="P1666" t="n">
        <v/>
      </c>
      <c r="R1666" t="b">
        <v>1</v>
      </c>
      <c r="S1666" t="n">
        <v/>
      </c>
      <c r="T1666" t="n">
        <v/>
      </c>
      <c r="U1666" t="n">
        <v/>
      </c>
      <c r="V1666" t="b">
        <v>0</v>
      </c>
      <c r="W1666" t="inlineStr"/>
      <c r="X1666" t="n">
        <v/>
      </c>
    </row>
    <row r="1667">
      <c r="A1667" t="inlineStr">
        <is>
          <t>ATF fuel</t>
        </is>
      </c>
      <c r="B1667" t="inlineStr">
        <is>
          <t>D172</t>
        </is>
      </c>
      <c r="C1667" t="n">
        <v>172</v>
      </c>
      <c r="D1667" t="n">
        <v>4</v>
      </c>
      <c r="E1667" t="inlineStr">
        <is>
          <t>Input</t>
        </is>
      </c>
      <c r="F1667" t="n">
        <v/>
      </c>
      <c r="G1667" t="n">
        <v>104.08</v>
      </c>
      <c r="H1667" t="inlineStr"/>
      <c r="I1667" t="inlineStr">
        <is>
          <t>General</t>
        </is>
      </c>
      <c r="J1667" t="b">
        <v>0</v>
      </c>
      <c r="K1667" t="b">
        <v>0</v>
      </c>
      <c r="L1667" t="n">
        <v>11</v>
      </c>
      <c r="M1667" t="inlineStr">
        <is>
          <t>Values must be of type &lt;class 'str'&gt;</t>
        </is>
      </c>
      <c r="N1667" t="inlineStr">
        <is>
          <t>00000000</t>
        </is>
      </c>
      <c r="O1667" t="n">
        <v/>
      </c>
      <c r="P1667" t="n">
        <v/>
      </c>
      <c r="R1667" t="b">
        <v>1</v>
      </c>
      <c r="S1667" t="n">
        <v/>
      </c>
      <c r="T1667" t="n">
        <v/>
      </c>
      <c r="U1667" t="n">
        <v/>
      </c>
      <c r="V1667" t="b">
        <v>0</v>
      </c>
      <c r="W1667" t="inlineStr"/>
      <c r="X1667" t="n">
        <v/>
      </c>
    </row>
    <row r="1668">
      <c r="A1668" t="inlineStr">
        <is>
          <t>ATF fuel</t>
        </is>
      </c>
      <c r="B1668" t="inlineStr">
        <is>
          <t>E172</t>
        </is>
      </c>
      <c r="C1668" t="n">
        <v>172</v>
      </c>
      <c r="D1668" t="n">
        <v>5</v>
      </c>
      <c r="E1668" t="inlineStr">
        <is>
          <t>Input</t>
        </is>
      </c>
      <c r="F1668" t="n">
        <v/>
      </c>
      <c r="G1668" t="n">
        <v>97.09999999999999</v>
      </c>
      <c r="H1668" t="inlineStr"/>
      <c r="I1668" t="inlineStr">
        <is>
          <t>General</t>
        </is>
      </c>
      <c r="J1668" t="b">
        <v>0</v>
      </c>
      <c r="K1668" t="b">
        <v>0</v>
      </c>
      <c r="L1668" t="n">
        <v>11</v>
      </c>
      <c r="M1668" t="inlineStr">
        <is>
          <t>Values must be of type &lt;class 'str'&gt;</t>
        </is>
      </c>
      <c r="N1668" t="inlineStr">
        <is>
          <t>00000000</t>
        </is>
      </c>
      <c r="O1668" t="n">
        <v/>
      </c>
      <c r="P1668" t="n">
        <v/>
      </c>
      <c r="R1668" t="b">
        <v>1</v>
      </c>
      <c r="S1668" t="n">
        <v/>
      </c>
      <c r="T1668" t="n">
        <v/>
      </c>
      <c r="U1668" t="n">
        <v/>
      </c>
      <c r="V1668" t="b">
        <v>0</v>
      </c>
      <c r="W1668" t="inlineStr"/>
      <c r="X1668" t="n">
        <v/>
      </c>
    </row>
    <row r="1669">
      <c r="A1669" t="inlineStr">
        <is>
          <t>ATF fuel</t>
        </is>
      </c>
      <c r="B1669" t="inlineStr">
        <is>
          <t>F172</t>
        </is>
      </c>
      <c r="C1669" t="n">
        <v>172</v>
      </c>
      <c r="D1669" t="n">
        <v>6</v>
      </c>
      <c r="E1669" t="inlineStr">
        <is>
          <t>Input</t>
        </is>
      </c>
      <c r="F1669" t="n">
        <v/>
      </c>
      <c r="G1669" t="inlineStr">
        <is>
          <t>April 01, 2013</t>
        </is>
      </c>
      <c r="H1669" t="inlineStr"/>
      <c r="I1669" t="inlineStr">
        <is>
          <t>General</t>
        </is>
      </c>
      <c r="J1669" t="b">
        <v>0</v>
      </c>
      <c r="K1669" t="b">
        <v>0</v>
      </c>
      <c r="L1669" t="n">
        <v>11</v>
      </c>
      <c r="M1669" t="inlineStr">
        <is>
          <t>Values must be of type &lt;class 'str'&gt;</t>
        </is>
      </c>
      <c r="N1669" t="inlineStr">
        <is>
          <t>00000000</t>
        </is>
      </c>
      <c r="O1669" t="inlineStr">
        <is>
          <t>left</t>
        </is>
      </c>
      <c r="P1669" t="n">
        <v/>
      </c>
      <c r="R1669" t="b">
        <v>1</v>
      </c>
      <c r="S1669" t="n">
        <v/>
      </c>
      <c r="T1669" t="n">
        <v/>
      </c>
      <c r="U1669" t="n">
        <v/>
      </c>
      <c r="V1669" t="b">
        <v>0</v>
      </c>
      <c r="W1669" t="inlineStr"/>
      <c r="X1669" t="n">
        <v/>
      </c>
    </row>
    <row r="1670">
      <c r="A1670" t="inlineStr">
        <is>
          <t>ATF fuel</t>
        </is>
      </c>
      <c r="B1670" t="inlineStr">
        <is>
          <t>G172</t>
        </is>
      </c>
      <c r="C1670" t="n">
        <v>172</v>
      </c>
      <c r="D1670" t="n">
        <v>7</v>
      </c>
      <c r="E1670" t="inlineStr">
        <is>
          <t>Calculation</t>
        </is>
      </c>
      <c r="F1670" t="inlineStr">
        <is>
          <t>'=(1+(C172/C171)-1)*G171</t>
        </is>
      </c>
      <c r="G1670" t="n">
        <v>159.3071088578961</v>
      </c>
      <c r="H1670" t="inlineStr"/>
      <c r="I1670" t="inlineStr">
        <is>
          <t>General</t>
        </is>
      </c>
      <c r="J1670" t="b">
        <v>0</v>
      </c>
      <c r="K1670" t="b">
        <v>0</v>
      </c>
      <c r="L1670" t="n">
        <v>11</v>
      </c>
      <c r="M1670" t="inlineStr">
        <is>
          <t>Values must be of type &lt;class 'str'&gt;</t>
        </is>
      </c>
      <c r="N1670" t="inlineStr">
        <is>
          <t>00000000</t>
        </is>
      </c>
      <c r="O1670" t="inlineStr">
        <is>
          <t>left</t>
        </is>
      </c>
      <c r="P1670" t="n">
        <v/>
      </c>
      <c r="R1670" t="b">
        <v>1</v>
      </c>
      <c r="S1670" t="inlineStr">
        <is>
          <t>G000331</t>
        </is>
      </c>
      <c r="T1670" t="inlineStr">
        <is>
          <t>Horizontal</t>
        </is>
      </c>
      <c r="U1670" t="n">
        <v>3</v>
      </c>
      <c r="V1670" t="b">
        <v>1</v>
      </c>
      <c r="W1670" t="inlineStr">
        <is>
          <t>ATF fuel!G172:I172</t>
        </is>
      </c>
      <c r="X1670">
        <f>(1+(R[0]C[-4]/R[-1]C[-4])-1)*R[-1]C[0]</f>
        <v/>
      </c>
    </row>
    <row r="1671">
      <c r="A1671" t="inlineStr">
        <is>
          <t>ATF fuel</t>
        </is>
      </c>
      <c r="B1671" t="inlineStr">
        <is>
          <t>H172</t>
        </is>
      </c>
      <c r="C1671" t="n">
        <v>172</v>
      </c>
      <c r="D1671" t="n">
        <v>8</v>
      </c>
      <c r="E1671" t="inlineStr">
        <is>
          <t>Calculation</t>
        </is>
      </c>
      <c r="F1671" t="inlineStr">
        <is>
          <t>'=(1+(D172/D171)-1)*H171</t>
        </is>
      </c>
      <c r="G1671" t="n">
        <v>125.9590947597726</v>
      </c>
      <c r="H1671" t="inlineStr"/>
      <c r="I1671" t="inlineStr">
        <is>
          <t>General</t>
        </is>
      </c>
      <c r="J1671" t="b">
        <v>0</v>
      </c>
      <c r="K1671" t="b">
        <v>0</v>
      </c>
      <c r="L1671" t="n">
        <v>11</v>
      </c>
      <c r="M1671" t="inlineStr">
        <is>
          <t>Values must be of type &lt;class 'str'&gt;</t>
        </is>
      </c>
      <c r="N1671" t="inlineStr">
        <is>
          <t>00000000</t>
        </is>
      </c>
      <c r="O1671" t="inlineStr">
        <is>
          <t>left</t>
        </is>
      </c>
      <c r="P1671" t="n">
        <v/>
      </c>
      <c r="R1671" t="b">
        <v>1</v>
      </c>
      <c r="S1671" t="inlineStr">
        <is>
          <t>G000331</t>
        </is>
      </c>
      <c r="T1671" t="inlineStr">
        <is>
          <t>Horizontal</t>
        </is>
      </c>
      <c r="U1671" t="n">
        <v>3</v>
      </c>
      <c r="V1671" t="b">
        <v>1</v>
      </c>
      <c r="W1671" t="inlineStr">
        <is>
          <t>ATF fuel!G172:I172</t>
        </is>
      </c>
      <c r="X1671">
        <f>(1+(R[0]C[-4]/R[-1]C[-4])-1)*R[-1]C[0]</f>
        <v/>
      </c>
    </row>
    <row r="1672">
      <c r="A1672" t="inlineStr">
        <is>
          <t>ATF fuel</t>
        </is>
      </c>
      <c r="B1672" t="inlineStr">
        <is>
          <t>I172</t>
        </is>
      </c>
      <c r="C1672" t="n">
        <v>172</v>
      </c>
      <c r="D1672" t="n">
        <v>9</v>
      </c>
      <c r="E1672" t="inlineStr">
        <is>
          <t>Calculation</t>
        </is>
      </c>
      <c r="F1672" t="inlineStr">
        <is>
          <t>'=(1+(E172/E171)-1)*I171</t>
        </is>
      </c>
      <c r="G1672" t="n">
        <v>114.8704601916479</v>
      </c>
      <c r="H1672" t="inlineStr"/>
      <c r="I1672" t="inlineStr">
        <is>
          <t>General</t>
        </is>
      </c>
      <c r="J1672" t="b">
        <v>0</v>
      </c>
      <c r="K1672" t="b">
        <v>0</v>
      </c>
      <c r="L1672" t="n">
        <v>11</v>
      </c>
      <c r="M1672" t="inlineStr">
        <is>
          <t>Values must be of type &lt;class 'str'&gt;</t>
        </is>
      </c>
      <c r="N1672" t="inlineStr">
        <is>
          <t>00000000</t>
        </is>
      </c>
      <c r="O1672" t="inlineStr">
        <is>
          <t>left</t>
        </is>
      </c>
      <c r="P1672" t="n">
        <v/>
      </c>
      <c r="R1672" t="b">
        <v>1</v>
      </c>
      <c r="S1672" t="inlineStr">
        <is>
          <t>G000331</t>
        </is>
      </c>
      <c r="T1672" t="inlineStr">
        <is>
          <t>Horizontal</t>
        </is>
      </c>
      <c r="U1672" t="n">
        <v>3</v>
      </c>
      <c r="V1672" t="b">
        <v>1</v>
      </c>
      <c r="W1672" t="inlineStr">
        <is>
          <t>ATF fuel!G172:I172</t>
        </is>
      </c>
      <c r="X1672">
        <f>(1+(R[0]C[-4]/R[-1]C[-4])-1)*R[-1]C[0]</f>
        <v/>
      </c>
    </row>
    <row r="1673">
      <c r="A1673" t="inlineStr">
        <is>
          <t>ATF fuel</t>
        </is>
      </c>
      <c r="B1673" t="inlineStr">
        <is>
          <t>J172</t>
        </is>
      </c>
      <c r="C1673" t="n">
        <v>172</v>
      </c>
      <c r="D1673" t="n">
        <v>10</v>
      </c>
      <c r="E1673" t="inlineStr">
        <is>
          <t>Output</t>
        </is>
      </c>
      <c r="F1673" t="inlineStr">
        <is>
          <t>'=G172/H172-1</t>
        </is>
      </c>
      <c r="G1673" t="n">
        <v>0.2647527291437304</v>
      </c>
      <c r="H1673" t="inlineStr"/>
      <c r="I1673" t="inlineStr">
        <is>
          <t>0.0%</t>
        </is>
      </c>
      <c r="J1673" t="b">
        <v>0</v>
      </c>
      <c r="K1673" t="b">
        <v>0</v>
      </c>
      <c r="L1673" t="n">
        <v>11</v>
      </c>
      <c r="M1673" t="inlineStr">
        <is>
          <t>Values must be of type &lt;class 'str'&gt;</t>
        </is>
      </c>
      <c r="N1673" t="inlineStr">
        <is>
          <t>00000000</t>
        </is>
      </c>
      <c r="O1673" t="n">
        <v/>
      </c>
      <c r="P1673" t="n">
        <v/>
      </c>
      <c r="R1673" t="b">
        <v>1</v>
      </c>
      <c r="S1673" t="inlineStr">
        <is>
          <t>G000295</t>
        </is>
      </c>
      <c r="T1673" t="inlineStr">
        <is>
          <t>Vertical</t>
        </is>
      </c>
      <c r="U1673" t="n">
        <v>93</v>
      </c>
      <c r="V1673" t="b">
        <v>1</v>
      </c>
      <c r="W1673" t="inlineStr">
        <is>
          <t>ATF fuel!J136:J228</t>
        </is>
      </c>
      <c r="X1673">
        <f>R[0]C[-3]/R[0]C[-2]-1</f>
        <v/>
      </c>
    </row>
    <row r="1674">
      <c r="A1674" t="inlineStr">
        <is>
          <t>ATF fuel</t>
        </is>
      </c>
      <c r="B1674" t="inlineStr">
        <is>
          <t>B173</t>
        </is>
      </c>
      <c r="C1674" t="n">
        <v>173</v>
      </c>
      <c r="D1674" t="n">
        <v>2</v>
      </c>
      <c r="E1674" t="inlineStr">
        <is>
          <t>Input</t>
        </is>
      </c>
      <c r="F1674" t="n">
        <v/>
      </c>
      <c r="G1674" t="inlineStr">
        <is>
          <t>May 01, 2013</t>
        </is>
      </c>
      <c r="H1674" t="inlineStr"/>
      <c r="I1674" t="inlineStr">
        <is>
          <t>General</t>
        </is>
      </c>
      <c r="J1674" t="b">
        <v>0</v>
      </c>
      <c r="K1674" t="b">
        <v>0</v>
      </c>
      <c r="L1674" t="n">
        <v>11</v>
      </c>
      <c r="M1674" t="inlineStr">
        <is>
          <t>Values must be of type &lt;class 'str'&gt;</t>
        </is>
      </c>
      <c r="N1674" t="inlineStr">
        <is>
          <t>00000000</t>
        </is>
      </c>
      <c r="O1674" t="n">
        <v/>
      </c>
      <c r="P1674" t="n">
        <v/>
      </c>
      <c r="R1674" t="b">
        <v>1</v>
      </c>
      <c r="S1674" t="n">
        <v/>
      </c>
      <c r="T1674" t="n">
        <v/>
      </c>
      <c r="U1674" t="n">
        <v/>
      </c>
      <c r="V1674" t="b">
        <v>0</v>
      </c>
      <c r="W1674" t="inlineStr"/>
      <c r="X1674" t="n">
        <v/>
      </c>
    </row>
    <row r="1675">
      <c r="A1675" t="inlineStr">
        <is>
          <t>ATF fuel</t>
        </is>
      </c>
      <c r="B1675" t="inlineStr">
        <is>
          <t>C173</t>
        </is>
      </c>
      <c r="C1675" t="n">
        <v>173</v>
      </c>
      <c r="D1675" t="n">
        <v>3</v>
      </c>
      <c r="E1675" t="inlineStr">
        <is>
          <t>Input</t>
        </is>
      </c>
      <c r="F1675" t="n">
        <v/>
      </c>
      <c r="G1675" t="n">
        <v>66995.0975</v>
      </c>
      <c r="H1675" t="inlineStr"/>
      <c r="I1675" t="inlineStr">
        <is>
          <t>General</t>
        </is>
      </c>
      <c r="J1675" t="b">
        <v>0</v>
      </c>
      <c r="K1675" t="b">
        <v>0</v>
      </c>
      <c r="L1675" t="n">
        <v>11</v>
      </c>
      <c r="M1675" t="inlineStr">
        <is>
          <t>Values must be of type &lt;class 'str'&gt;</t>
        </is>
      </c>
      <c r="N1675" t="inlineStr">
        <is>
          <t>00000000</t>
        </is>
      </c>
      <c r="O1675" t="n">
        <v/>
      </c>
      <c r="P1675" t="n">
        <v/>
      </c>
      <c r="R1675" t="b">
        <v>1</v>
      </c>
      <c r="S1675" t="n">
        <v/>
      </c>
      <c r="T1675" t="n">
        <v/>
      </c>
      <c r="U1675" t="n">
        <v/>
      </c>
      <c r="V1675" t="b">
        <v>0</v>
      </c>
      <c r="W1675" t="inlineStr"/>
      <c r="X1675" t="n">
        <v/>
      </c>
    </row>
    <row r="1676">
      <c r="A1676" t="inlineStr">
        <is>
          <t>ATF fuel</t>
        </is>
      </c>
      <c r="B1676" t="inlineStr">
        <is>
          <t>D173</t>
        </is>
      </c>
      <c r="C1676" t="n">
        <v>173</v>
      </c>
      <c r="D1676" t="n">
        <v>4</v>
      </c>
      <c r="E1676" t="inlineStr">
        <is>
          <t>Input</t>
        </is>
      </c>
      <c r="F1676" t="n">
        <v/>
      </c>
      <c r="G1676" t="n">
        <v>103.59</v>
      </c>
      <c r="H1676" t="inlineStr"/>
      <c r="I1676" t="inlineStr">
        <is>
          <t>General</t>
        </is>
      </c>
      <c r="J1676" t="b">
        <v>0</v>
      </c>
      <c r="K1676" t="b">
        <v>0</v>
      </c>
      <c r="L1676" t="n">
        <v>11</v>
      </c>
      <c r="M1676" t="inlineStr">
        <is>
          <t>Values must be of type &lt;class 'str'&gt;</t>
        </is>
      </c>
      <c r="N1676" t="inlineStr">
        <is>
          <t>00000000</t>
        </is>
      </c>
      <c r="O1676" t="n">
        <v/>
      </c>
      <c r="P1676" t="n">
        <v/>
      </c>
      <c r="R1676" t="b">
        <v>1</v>
      </c>
      <c r="S1676" t="n">
        <v/>
      </c>
      <c r="T1676" t="n">
        <v/>
      </c>
      <c r="U1676" t="n">
        <v/>
      </c>
      <c r="V1676" t="b">
        <v>0</v>
      </c>
      <c r="W1676" t="inlineStr"/>
      <c r="X1676" t="n">
        <v/>
      </c>
    </row>
    <row r="1677">
      <c r="A1677" t="inlineStr">
        <is>
          <t>ATF fuel</t>
        </is>
      </c>
      <c r="B1677" t="inlineStr">
        <is>
          <t>E173</t>
        </is>
      </c>
      <c r="C1677" t="n">
        <v>173</v>
      </c>
      <c r="D1677" t="n">
        <v>5</v>
      </c>
      <c r="E1677" t="inlineStr">
        <is>
          <t>Input</t>
        </is>
      </c>
      <c r="F1677" t="n">
        <v/>
      </c>
      <c r="G1677" t="n">
        <v>90.73999999999999</v>
      </c>
      <c r="H1677" t="inlineStr"/>
      <c r="I1677" t="inlineStr">
        <is>
          <t>General</t>
        </is>
      </c>
      <c r="J1677" t="b">
        <v>0</v>
      </c>
      <c r="K1677" t="b">
        <v>0</v>
      </c>
      <c r="L1677" t="n">
        <v>11</v>
      </c>
      <c r="M1677" t="inlineStr">
        <is>
          <t>Values must be of type &lt;class 'str'&gt;</t>
        </is>
      </c>
      <c r="N1677" t="inlineStr">
        <is>
          <t>00000000</t>
        </is>
      </c>
      <c r="O1677" t="n">
        <v/>
      </c>
      <c r="P1677" t="n">
        <v/>
      </c>
      <c r="R1677" t="b">
        <v>1</v>
      </c>
      <c r="S1677" t="n">
        <v/>
      </c>
      <c r="T1677" t="n">
        <v/>
      </c>
      <c r="U1677" t="n">
        <v/>
      </c>
      <c r="V1677" t="b">
        <v>0</v>
      </c>
      <c r="W1677" t="inlineStr"/>
      <c r="X1677" t="n">
        <v/>
      </c>
    </row>
    <row r="1678">
      <c r="A1678" t="inlineStr">
        <is>
          <t>ATF fuel</t>
        </is>
      </c>
      <c r="B1678" t="inlineStr">
        <is>
          <t>F173</t>
        </is>
      </c>
      <c r="C1678" t="n">
        <v>173</v>
      </c>
      <c r="D1678" t="n">
        <v>6</v>
      </c>
      <c r="E1678" t="inlineStr">
        <is>
          <t>Input</t>
        </is>
      </c>
      <c r="F1678" t="n">
        <v/>
      </c>
      <c r="G1678" t="inlineStr">
        <is>
          <t>May 01, 2013</t>
        </is>
      </c>
      <c r="H1678" t="inlineStr"/>
      <c r="I1678" t="inlineStr">
        <is>
          <t>General</t>
        </is>
      </c>
      <c r="J1678" t="b">
        <v>0</v>
      </c>
      <c r="K1678" t="b">
        <v>0</v>
      </c>
      <c r="L1678" t="n">
        <v>11</v>
      </c>
      <c r="M1678" t="inlineStr">
        <is>
          <t>Values must be of type &lt;class 'str'&gt;</t>
        </is>
      </c>
      <c r="N1678" t="inlineStr">
        <is>
          <t>00000000</t>
        </is>
      </c>
      <c r="O1678" t="inlineStr">
        <is>
          <t>left</t>
        </is>
      </c>
      <c r="P1678" t="n">
        <v/>
      </c>
      <c r="R1678" t="b">
        <v>1</v>
      </c>
      <c r="S1678" t="n">
        <v/>
      </c>
      <c r="T1678" t="n">
        <v/>
      </c>
      <c r="U1678" t="n">
        <v/>
      </c>
      <c r="V1678" t="b">
        <v>0</v>
      </c>
      <c r="W1678" t="inlineStr"/>
      <c r="X1678" t="n">
        <v/>
      </c>
    </row>
    <row r="1679">
      <c r="A1679" t="inlineStr">
        <is>
          <t>ATF fuel</t>
        </is>
      </c>
      <c r="B1679" t="inlineStr">
        <is>
          <t>G173</t>
        </is>
      </c>
      <c r="C1679" t="n">
        <v>173</v>
      </c>
      <c r="D1679" t="n">
        <v>7</v>
      </c>
      <c r="E1679" t="inlineStr">
        <is>
          <t>Calculation</t>
        </is>
      </c>
      <c r="F1679" t="inlineStr">
        <is>
          <t>'=(1+(C173/C172)-1)*G172</t>
        </is>
      </c>
      <c r="G1679" t="n">
        <v>151.019782165073</v>
      </c>
      <c r="H1679" t="inlineStr"/>
      <c r="I1679" t="inlineStr">
        <is>
          <t>General</t>
        </is>
      </c>
      <c r="J1679" t="b">
        <v>0</v>
      </c>
      <c r="K1679" t="b">
        <v>0</v>
      </c>
      <c r="L1679" t="n">
        <v>11</v>
      </c>
      <c r="M1679" t="inlineStr">
        <is>
          <t>Values must be of type &lt;class 'str'&gt;</t>
        </is>
      </c>
      <c r="N1679" t="inlineStr">
        <is>
          <t>00000000</t>
        </is>
      </c>
      <c r="O1679" t="inlineStr">
        <is>
          <t>left</t>
        </is>
      </c>
      <c r="P1679" t="n">
        <v/>
      </c>
      <c r="R1679" t="b">
        <v>1</v>
      </c>
      <c r="S1679" t="inlineStr">
        <is>
          <t>G000332</t>
        </is>
      </c>
      <c r="T1679" t="inlineStr">
        <is>
          <t>Horizontal</t>
        </is>
      </c>
      <c r="U1679" t="n">
        <v>3</v>
      </c>
      <c r="V1679" t="b">
        <v>1</v>
      </c>
      <c r="W1679" t="inlineStr">
        <is>
          <t>ATF fuel!G173:I173</t>
        </is>
      </c>
      <c r="X1679">
        <f>(1+(R[0]C[-4]/R[-1]C[-4])-1)*R[-1]C[0]</f>
        <v/>
      </c>
    </row>
    <row r="1680">
      <c r="A1680" t="inlineStr">
        <is>
          <t>ATF fuel</t>
        </is>
      </c>
      <c r="B1680" t="inlineStr">
        <is>
          <t>H173</t>
        </is>
      </c>
      <c r="C1680" t="n">
        <v>173</v>
      </c>
      <c r="D1680" t="n">
        <v>8</v>
      </c>
      <c r="E1680" t="inlineStr">
        <is>
          <t>Calculation</t>
        </is>
      </c>
      <c r="F1680" t="inlineStr">
        <is>
          <t>'=(1+(D173/D172)-1)*H172</t>
        </is>
      </c>
      <c r="G1680" t="n">
        <v>125.3660897978943</v>
      </c>
      <c r="H1680" t="inlineStr"/>
      <c r="I1680" t="inlineStr">
        <is>
          <t>General</t>
        </is>
      </c>
      <c r="J1680" t="b">
        <v>0</v>
      </c>
      <c r="K1680" t="b">
        <v>0</v>
      </c>
      <c r="L1680" t="n">
        <v>11</v>
      </c>
      <c r="M1680" t="inlineStr">
        <is>
          <t>Values must be of type &lt;class 'str'&gt;</t>
        </is>
      </c>
      <c r="N1680" t="inlineStr">
        <is>
          <t>00000000</t>
        </is>
      </c>
      <c r="O1680" t="inlineStr">
        <is>
          <t>left</t>
        </is>
      </c>
      <c r="P1680" t="n">
        <v/>
      </c>
      <c r="R1680" t="b">
        <v>1</v>
      </c>
      <c r="S1680" t="inlineStr">
        <is>
          <t>G000332</t>
        </is>
      </c>
      <c r="T1680" t="inlineStr">
        <is>
          <t>Horizontal</t>
        </is>
      </c>
      <c r="U1680" t="n">
        <v>3</v>
      </c>
      <c r="V1680" t="b">
        <v>1</v>
      </c>
      <c r="W1680" t="inlineStr">
        <is>
          <t>ATF fuel!G173:I173</t>
        </is>
      </c>
      <c r="X1680">
        <f>(1+(R[0]C[-4]/R[-1]C[-4])-1)*R[-1]C[0]</f>
        <v/>
      </c>
    </row>
    <row r="1681">
      <c r="A1681" t="inlineStr">
        <is>
          <t>ATF fuel</t>
        </is>
      </c>
      <c r="B1681" t="inlineStr">
        <is>
          <t>I173</t>
        </is>
      </c>
      <c r="C1681" t="n">
        <v>173</v>
      </c>
      <c r="D1681" t="n">
        <v>9</v>
      </c>
      <c r="E1681" t="inlineStr">
        <is>
          <t>Calculation</t>
        </is>
      </c>
      <c r="F1681" t="inlineStr">
        <is>
          <t>'=(1+(E173/E172)-1)*I172</t>
        </is>
      </c>
      <c r="G1681" t="n">
        <v>107.3465041996924</v>
      </c>
      <c r="H1681" t="inlineStr"/>
      <c r="I1681" t="inlineStr">
        <is>
          <t>General</t>
        </is>
      </c>
      <c r="J1681" t="b">
        <v>0</v>
      </c>
      <c r="K1681" t="b">
        <v>0</v>
      </c>
      <c r="L1681" t="n">
        <v>11</v>
      </c>
      <c r="M1681" t="inlineStr">
        <is>
          <t>Values must be of type &lt;class 'str'&gt;</t>
        </is>
      </c>
      <c r="N1681" t="inlineStr">
        <is>
          <t>00000000</t>
        </is>
      </c>
      <c r="O1681" t="inlineStr">
        <is>
          <t>left</t>
        </is>
      </c>
      <c r="P1681" t="n">
        <v/>
      </c>
      <c r="R1681" t="b">
        <v>1</v>
      </c>
      <c r="S1681" t="inlineStr">
        <is>
          <t>G000332</t>
        </is>
      </c>
      <c r="T1681" t="inlineStr">
        <is>
          <t>Horizontal</t>
        </is>
      </c>
      <c r="U1681" t="n">
        <v>3</v>
      </c>
      <c r="V1681" t="b">
        <v>1</v>
      </c>
      <c r="W1681" t="inlineStr">
        <is>
          <t>ATF fuel!G173:I173</t>
        </is>
      </c>
      <c r="X1681">
        <f>(1+(R[0]C[-4]/R[-1]C[-4])-1)*R[-1]C[0]</f>
        <v/>
      </c>
    </row>
    <row r="1682">
      <c r="A1682" t="inlineStr">
        <is>
          <t>ATF fuel</t>
        </is>
      </c>
      <c r="B1682" t="inlineStr">
        <is>
          <t>J173</t>
        </is>
      </c>
      <c r="C1682" t="n">
        <v>173</v>
      </c>
      <c r="D1682" t="n">
        <v>10</v>
      </c>
      <c r="E1682" t="inlineStr">
        <is>
          <t>Output</t>
        </is>
      </c>
      <c r="F1682" t="inlineStr">
        <is>
          <t>'=G173/H173-1</t>
        </is>
      </c>
      <c r="G1682" t="n">
        <v>0.2046302346075846</v>
      </c>
      <c r="H1682" t="inlineStr"/>
      <c r="I1682" t="inlineStr">
        <is>
          <t>0.0%</t>
        </is>
      </c>
      <c r="J1682" t="b">
        <v>0</v>
      </c>
      <c r="K1682" t="b">
        <v>0</v>
      </c>
      <c r="L1682" t="n">
        <v>11</v>
      </c>
      <c r="M1682" t="inlineStr">
        <is>
          <t>Values must be of type &lt;class 'str'&gt;</t>
        </is>
      </c>
      <c r="N1682" t="inlineStr">
        <is>
          <t>00000000</t>
        </is>
      </c>
      <c r="O1682" t="n">
        <v/>
      </c>
      <c r="P1682" t="n">
        <v/>
      </c>
      <c r="R1682" t="b">
        <v>1</v>
      </c>
      <c r="S1682" t="inlineStr">
        <is>
          <t>G000295</t>
        </is>
      </c>
      <c r="T1682" t="inlineStr">
        <is>
          <t>Vertical</t>
        </is>
      </c>
      <c r="U1682" t="n">
        <v>93</v>
      </c>
      <c r="V1682" t="b">
        <v>1</v>
      </c>
      <c r="W1682" t="inlineStr">
        <is>
          <t>ATF fuel!J136:J228</t>
        </is>
      </c>
      <c r="X1682">
        <f>R[0]C[-3]/R[0]C[-2]-1</f>
        <v/>
      </c>
    </row>
    <row r="1683">
      <c r="A1683" t="inlineStr">
        <is>
          <t>ATF fuel</t>
        </is>
      </c>
      <c r="B1683" t="inlineStr">
        <is>
          <t>B174</t>
        </is>
      </c>
      <c r="C1683" t="n">
        <v>174</v>
      </c>
      <c r="D1683" t="n">
        <v>2</v>
      </c>
      <c r="E1683" t="inlineStr">
        <is>
          <t>Input</t>
        </is>
      </c>
      <c r="F1683" t="n">
        <v/>
      </c>
      <c r="G1683" t="inlineStr">
        <is>
          <t>June 01, 2013</t>
        </is>
      </c>
      <c r="H1683" t="inlineStr"/>
      <c r="I1683" t="inlineStr">
        <is>
          <t>General</t>
        </is>
      </c>
      <c r="J1683" t="b">
        <v>0</v>
      </c>
      <c r="K1683" t="b">
        <v>0</v>
      </c>
      <c r="L1683" t="n">
        <v>11</v>
      </c>
      <c r="M1683" t="inlineStr">
        <is>
          <t>Values must be of type &lt;class 'str'&gt;</t>
        </is>
      </c>
      <c r="N1683" t="inlineStr">
        <is>
          <t>00000000</t>
        </is>
      </c>
      <c r="O1683" t="n">
        <v/>
      </c>
      <c r="P1683" t="n">
        <v/>
      </c>
      <c r="R1683" t="b">
        <v>1</v>
      </c>
      <c r="S1683" t="n">
        <v/>
      </c>
      <c r="T1683" t="n">
        <v/>
      </c>
      <c r="U1683" t="n">
        <v/>
      </c>
      <c r="V1683" t="b">
        <v>0</v>
      </c>
      <c r="W1683" t="inlineStr"/>
      <c r="X1683" t="n">
        <v/>
      </c>
    </row>
    <row r="1684">
      <c r="A1684" t="inlineStr">
        <is>
          <t>ATF fuel</t>
        </is>
      </c>
      <c r="B1684" t="inlineStr">
        <is>
          <t>C174</t>
        </is>
      </c>
      <c r="C1684" t="n">
        <v>174</v>
      </c>
      <c r="D1684" t="n">
        <v>3</v>
      </c>
      <c r="E1684" t="inlineStr">
        <is>
          <t>Input</t>
        </is>
      </c>
      <c r="F1684" t="n">
        <v/>
      </c>
      <c r="G1684" t="n">
        <v>66745.17249999999</v>
      </c>
      <c r="H1684" t="inlineStr"/>
      <c r="I1684" t="inlineStr">
        <is>
          <t>General</t>
        </is>
      </c>
      <c r="J1684" t="b">
        <v>0</v>
      </c>
      <c r="K1684" t="b">
        <v>0</v>
      </c>
      <c r="L1684" t="n">
        <v>11</v>
      </c>
      <c r="M1684" t="inlineStr">
        <is>
          <t>Values must be of type &lt;class 'str'&gt;</t>
        </is>
      </c>
      <c r="N1684" t="inlineStr">
        <is>
          <t>00000000</t>
        </is>
      </c>
      <c r="O1684" t="n">
        <v/>
      </c>
      <c r="P1684" t="n">
        <v/>
      </c>
      <c r="R1684" t="b">
        <v>1</v>
      </c>
      <c r="S1684" t="n">
        <v/>
      </c>
      <c r="T1684" t="n">
        <v/>
      </c>
      <c r="U1684" t="n">
        <v/>
      </c>
      <c r="V1684" t="b">
        <v>0</v>
      </c>
      <c r="W1684" t="inlineStr"/>
      <c r="X1684" t="n">
        <v/>
      </c>
    </row>
    <row r="1685">
      <c r="A1685" t="inlineStr">
        <is>
          <t>ATF fuel</t>
        </is>
      </c>
      <c r="B1685" t="inlineStr">
        <is>
          <t>D174</t>
        </is>
      </c>
      <c r="C1685" t="n">
        <v>174</v>
      </c>
      <c r="D1685" t="n">
        <v>4</v>
      </c>
      <c r="E1685" t="inlineStr">
        <is>
          <t>Input</t>
        </is>
      </c>
      <c r="F1685" t="n">
        <v/>
      </c>
      <c r="G1685" t="n">
        <v>101.5</v>
      </c>
      <c r="H1685" t="inlineStr"/>
      <c r="I1685" t="inlineStr">
        <is>
          <t>General</t>
        </is>
      </c>
      <c r="J1685" t="b">
        <v>0</v>
      </c>
      <c r="K1685" t="b">
        <v>0</v>
      </c>
      <c r="L1685" t="n">
        <v>11</v>
      </c>
      <c r="M1685" t="inlineStr">
        <is>
          <t>Values must be of type &lt;class 'str'&gt;</t>
        </is>
      </c>
      <c r="N1685" t="inlineStr">
        <is>
          <t>00000000</t>
        </is>
      </c>
      <c r="O1685" t="n">
        <v/>
      </c>
      <c r="P1685" t="n">
        <v/>
      </c>
      <c r="R1685" t="b">
        <v>1</v>
      </c>
      <c r="S1685" t="n">
        <v/>
      </c>
      <c r="T1685" t="n">
        <v/>
      </c>
      <c r="U1685" t="n">
        <v/>
      </c>
      <c r="V1685" t="b">
        <v>0</v>
      </c>
      <c r="W1685" t="inlineStr"/>
      <c r="X1685" t="n">
        <v/>
      </c>
    </row>
    <row r="1686">
      <c r="A1686" t="inlineStr">
        <is>
          <t>ATF fuel</t>
        </is>
      </c>
      <c r="B1686" t="inlineStr">
        <is>
          <t>E174</t>
        </is>
      </c>
      <c r="C1686" t="n">
        <v>174</v>
      </c>
      <c r="D1686" t="n">
        <v>5</v>
      </c>
      <c r="E1686" t="inlineStr">
        <is>
          <t>Input</t>
        </is>
      </c>
      <c r="F1686" t="n">
        <v/>
      </c>
      <c r="G1686" t="n">
        <v>93.41</v>
      </c>
      <c r="H1686" t="inlineStr"/>
      <c r="I1686" t="inlineStr">
        <is>
          <t>General</t>
        </is>
      </c>
      <c r="J1686" t="b">
        <v>0</v>
      </c>
      <c r="K1686" t="b">
        <v>0</v>
      </c>
      <c r="L1686" t="n">
        <v>11</v>
      </c>
      <c r="M1686" t="inlineStr">
        <is>
          <t>Values must be of type &lt;class 'str'&gt;</t>
        </is>
      </c>
      <c r="N1686" t="inlineStr">
        <is>
          <t>00000000</t>
        </is>
      </c>
      <c r="O1686" t="n">
        <v/>
      </c>
      <c r="P1686" t="n">
        <v/>
      </c>
      <c r="R1686" t="b">
        <v>1</v>
      </c>
      <c r="S1686" t="n">
        <v/>
      </c>
      <c r="T1686" t="n">
        <v/>
      </c>
      <c r="U1686" t="n">
        <v/>
      </c>
      <c r="V1686" t="b">
        <v>0</v>
      </c>
      <c r="W1686" t="inlineStr"/>
      <c r="X1686" t="n">
        <v/>
      </c>
    </row>
    <row r="1687">
      <c r="A1687" t="inlineStr">
        <is>
          <t>ATF fuel</t>
        </is>
      </c>
      <c r="B1687" t="inlineStr">
        <is>
          <t>F174</t>
        </is>
      </c>
      <c r="C1687" t="n">
        <v>174</v>
      </c>
      <c r="D1687" t="n">
        <v>6</v>
      </c>
      <c r="E1687" t="inlineStr">
        <is>
          <t>Input</t>
        </is>
      </c>
      <c r="F1687" t="n">
        <v/>
      </c>
      <c r="G1687" t="inlineStr">
        <is>
          <t>June 01, 2013</t>
        </is>
      </c>
      <c r="H1687" t="inlineStr"/>
      <c r="I1687" t="inlineStr">
        <is>
          <t>General</t>
        </is>
      </c>
      <c r="J1687" t="b">
        <v>0</v>
      </c>
      <c r="K1687" t="b">
        <v>0</v>
      </c>
      <c r="L1687" t="n">
        <v>11</v>
      </c>
      <c r="M1687" t="inlineStr">
        <is>
          <t>Values must be of type &lt;class 'str'&gt;</t>
        </is>
      </c>
      <c r="N1687" t="inlineStr">
        <is>
          <t>00000000</t>
        </is>
      </c>
      <c r="O1687" t="inlineStr">
        <is>
          <t>left</t>
        </is>
      </c>
      <c r="P1687" t="n">
        <v/>
      </c>
      <c r="R1687" t="b">
        <v>1</v>
      </c>
      <c r="S1687" t="n">
        <v/>
      </c>
      <c r="T1687" t="n">
        <v/>
      </c>
      <c r="U1687" t="n">
        <v/>
      </c>
      <c r="V1687" t="b">
        <v>0</v>
      </c>
      <c r="W1687" t="inlineStr"/>
      <c r="X1687" t="n">
        <v/>
      </c>
    </row>
    <row r="1688">
      <c r="A1688" t="inlineStr">
        <is>
          <t>ATF fuel</t>
        </is>
      </c>
      <c r="B1688" t="inlineStr">
        <is>
          <t>G174</t>
        </is>
      </c>
      <c r="C1688" t="n">
        <v>174</v>
      </c>
      <c r="D1688" t="n">
        <v>7</v>
      </c>
      <c r="E1688" t="inlineStr">
        <is>
          <t>Calculation</t>
        </is>
      </c>
      <c r="F1688" t="inlineStr">
        <is>
          <t>'=(1+(C174/C173)-1)*G173</t>
        </is>
      </c>
      <c r="G1688" t="n">
        <v>150.4564033438449</v>
      </c>
      <c r="H1688" t="inlineStr"/>
      <c r="I1688" t="inlineStr">
        <is>
          <t>General</t>
        </is>
      </c>
      <c r="J1688" t="b">
        <v>0</v>
      </c>
      <c r="K1688" t="b">
        <v>0</v>
      </c>
      <c r="L1688" t="n">
        <v>11</v>
      </c>
      <c r="M1688" t="inlineStr">
        <is>
          <t>Values must be of type &lt;class 'str'&gt;</t>
        </is>
      </c>
      <c r="N1688" t="inlineStr">
        <is>
          <t>00000000</t>
        </is>
      </c>
      <c r="O1688" t="inlineStr">
        <is>
          <t>left</t>
        </is>
      </c>
      <c r="P1688" t="n">
        <v/>
      </c>
      <c r="R1688" t="b">
        <v>1</v>
      </c>
      <c r="S1688" t="inlineStr">
        <is>
          <t>G000333</t>
        </is>
      </c>
      <c r="T1688" t="inlineStr">
        <is>
          <t>Horizontal</t>
        </is>
      </c>
      <c r="U1688" t="n">
        <v>3</v>
      </c>
      <c r="V1688" t="b">
        <v>1</v>
      </c>
      <c r="W1688" t="inlineStr">
        <is>
          <t>ATF fuel!G174:I174</t>
        </is>
      </c>
      <c r="X1688">
        <f>(1+(R[0]C[-4]/R[-1]C[-4])-1)*R[-1]C[0]</f>
        <v/>
      </c>
    </row>
    <row r="1689">
      <c r="A1689" t="inlineStr">
        <is>
          <t>ATF fuel</t>
        </is>
      </c>
      <c r="B1689" t="inlineStr">
        <is>
          <t>H174</t>
        </is>
      </c>
      <c r="C1689" t="n">
        <v>174</v>
      </c>
      <c r="D1689" t="n">
        <v>8</v>
      </c>
      <c r="E1689" t="inlineStr">
        <is>
          <t>Calculation</t>
        </is>
      </c>
      <c r="F1689" t="inlineStr">
        <is>
          <t>'=(1+(D174/D173)-1)*H173</t>
        </is>
      </c>
      <c r="G1689" t="n">
        <v>122.8367421033524</v>
      </c>
      <c r="H1689" t="inlineStr"/>
      <c r="I1689" t="inlineStr">
        <is>
          <t>General</t>
        </is>
      </c>
      <c r="J1689" t="b">
        <v>0</v>
      </c>
      <c r="K1689" t="b">
        <v>0</v>
      </c>
      <c r="L1689" t="n">
        <v>11</v>
      </c>
      <c r="M1689" t="inlineStr">
        <is>
          <t>Values must be of type &lt;class 'str'&gt;</t>
        </is>
      </c>
      <c r="N1689" t="inlineStr">
        <is>
          <t>00000000</t>
        </is>
      </c>
      <c r="O1689" t="inlineStr">
        <is>
          <t>left</t>
        </is>
      </c>
      <c r="P1689" t="n">
        <v/>
      </c>
      <c r="R1689" t="b">
        <v>1</v>
      </c>
      <c r="S1689" t="inlineStr">
        <is>
          <t>G000333</t>
        </is>
      </c>
      <c r="T1689" t="inlineStr">
        <is>
          <t>Horizontal</t>
        </is>
      </c>
      <c r="U1689" t="n">
        <v>3</v>
      </c>
      <c r="V1689" t="b">
        <v>1</v>
      </c>
      <c r="W1689" t="inlineStr">
        <is>
          <t>ATF fuel!G174:I174</t>
        </is>
      </c>
      <c r="X1689">
        <f>(1+(R[0]C[-4]/R[-1]C[-4])-1)*R[-1]C[0]</f>
        <v/>
      </c>
    </row>
    <row r="1690">
      <c r="A1690" t="inlineStr">
        <is>
          <t>ATF fuel</t>
        </is>
      </c>
      <c r="B1690" t="inlineStr">
        <is>
          <t>I174</t>
        </is>
      </c>
      <c r="C1690" t="n">
        <v>174</v>
      </c>
      <c r="D1690" t="n">
        <v>9</v>
      </c>
      <c r="E1690" t="inlineStr">
        <is>
          <t>Calculation</t>
        </is>
      </c>
      <c r="F1690" t="inlineStr">
        <is>
          <t>'=(1+(E174/E173)-1)*I173</t>
        </is>
      </c>
      <c r="G1690" t="n">
        <v>110.5051461019756</v>
      </c>
      <c r="H1690" t="inlineStr"/>
      <c r="I1690" t="inlineStr">
        <is>
          <t>General</t>
        </is>
      </c>
      <c r="J1690" t="b">
        <v>0</v>
      </c>
      <c r="K1690" t="b">
        <v>0</v>
      </c>
      <c r="L1690" t="n">
        <v>11</v>
      </c>
      <c r="M1690" t="inlineStr">
        <is>
          <t>Values must be of type &lt;class 'str'&gt;</t>
        </is>
      </c>
      <c r="N1690" t="inlineStr">
        <is>
          <t>00000000</t>
        </is>
      </c>
      <c r="O1690" t="inlineStr">
        <is>
          <t>left</t>
        </is>
      </c>
      <c r="P1690" t="n">
        <v/>
      </c>
      <c r="R1690" t="b">
        <v>1</v>
      </c>
      <c r="S1690" t="inlineStr">
        <is>
          <t>G000333</t>
        </is>
      </c>
      <c r="T1690" t="inlineStr">
        <is>
          <t>Horizontal</t>
        </is>
      </c>
      <c r="U1690" t="n">
        <v>3</v>
      </c>
      <c r="V1690" t="b">
        <v>1</v>
      </c>
      <c r="W1690" t="inlineStr">
        <is>
          <t>ATF fuel!G174:I174</t>
        </is>
      </c>
      <c r="X1690">
        <f>(1+(R[0]C[-4]/R[-1]C[-4])-1)*R[-1]C[0]</f>
        <v/>
      </c>
    </row>
    <row r="1691">
      <c r="A1691" t="inlineStr">
        <is>
          <t>ATF fuel</t>
        </is>
      </c>
      <c r="B1691" t="inlineStr">
        <is>
          <t>J174</t>
        </is>
      </c>
      <c r="C1691" t="n">
        <v>174</v>
      </c>
      <c r="D1691" t="n">
        <v>10</v>
      </c>
      <c r="E1691" t="inlineStr">
        <is>
          <t>Output</t>
        </is>
      </c>
      <c r="F1691" t="inlineStr">
        <is>
          <t>'=G174/H174-1</t>
        </is>
      </c>
      <c r="G1691" t="n">
        <v>0.2248485328376246</v>
      </c>
      <c r="H1691" t="inlineStr"/>
      <c r="I1691" t="inlineStr">
        <is>
          <t>0.0%</t>
        </is>
      </c>
      <c r="J1691" t="b">
        <v>0</v>
      </c>
      <c r="K1691" t="b">
        <v>0</v>
      </c>
      <c r="L1691" t="n">
        <v>11</v>
      </c>
      <c r="M1691" t="inlineStr">
        <is>
          <t>Values must be of type &lt;class 'str'&gt;</t>
        </is>
      </c>
      <c r="N1691" t="inlineStr">
        <is>
          <t>00000000</t>
        </is>
      </c>
      <c r="O1691" t="n">
        <v/>
      </c>
      <c r="P1691" t="n">
        <v/>
      </c>
      <c r="R1691" t="b">
        <v>1</v>
      </c>
      <c r="S1691" t="inlineStr">
        <is>
          <t>G000295</t>
        </is>
      </c>
      <c r="T1691" t="inlineStr">
        <is>
          <t>Vertical</t>
        </is>
      </c>
      <c r="U1691" t="n">
        <v>93</v>
      </c>
      <c r="V1691" t="b">
        <v>1</v>
      </c>
      <c r="W1691" t="inlineStr">
        <is>
          <t>ATF fuel!J136:J228</t>
        </is>
      </c>
      <c r="X1691">
        <f>R[0]C[-3]/R[0]C[-2]-1</f>
        <v/>
      </c>
    </row>
    <row r="1692">
      <c r="A1692" t="inlineStr">
        <is>
          <t>ATF fuel</t>
        </is>
      </c>
      <c r="B1692" t="inlineStr">
        <is>
          <t>B175</t>
        </is>
      </c>
      <c r="C1692" t="n">
        <v>175</v>
      </c>
      <c r="D1692" t="n">
        <v>2</v>
      </c>
      <c r="E1692" t="inlineStr">
        <is>
          <t>Input</t>
        </is>
      </c>
      <c r="F1692" t="n">
        <v/>
      </c>
      <c r="G1692" t="inlineStr">
        <is>
          <t>July 01, 2013</t>
        </is>
      </c>
      <c r="H1692" t="inlineStr"/>
      <c r="I1692" t="inlineStr">
        <is>
          <t>General</t>
        </is>
      </c>
      <c r="J1692" t="b">
        <v>0</v>
      </c>
      <c r="K1692" t="b">
        <v>0</v>
      </c>
      <c r="L1692" t="n">
        <v>11</v>
      </c>
      <c r="M1692" t="inlineStr">
        <is>
          <t>Values must be of type &lt;class 'str'&gt;</t>
        </is>
      </c>
      <c r="N1692" t="inlineStr">
        <is>
          <t>00000000</t>
        </is>
      </c>
      <c r="O1692" t="n">
        <v/>
      </c>
      <c r="P1692" t="n">
        <v/>
      </c>
      <c r="R1692" t="b">
        <v>1</v>
      </c>
      <c r="S1692" t="n">
        <v/>
      </c>
      <c r="T1692" t="n">
        <v/>
      </c>
      <c r="U1692" t="n">
        <v/>
      </c>
      <c r="V1692" t="b">
        <v>0</v>
      </c>
      <c r="W1692" t="inlineStr"/>
      <c r="X1692" t="n">
        <v/>
      </c>
    </row>
    <row r="1693">
      <c r="A1693" t="inlineStr">
        <is>
          <t>ATF fuel</t>
        </is>
      </c>
      <c r="B1693" t="inlineStr">
        <is>
          <t>C175</t>
        </is>
      </c>
      <c r="C1693" t="n">
        <v>175</v>
      </c>
      <c r="D1693" t="n">
        <v>3</v>
      </c>
      <c r="E1693" t="inlineStr">
        <is>
          <t>Input</t>
        </is>
      </c>
      <c r="F1693" t="n">
        <v/>
      </c>
      <c r="G1693" t="n">
        <v>70506.75</v>
      </c>
      <c r="H1693" t="inlineStr"/>
      <c r="I1693" t="inlineStr">
        <is>
          <t>General</t>
        </is>
      </c>
      <c r="J1693" t="b">
        <v>0</v>
      </c>
      <c r="K1693" t="b">
        <v>0</v>
      </c>
      <c r="L1693" t="n">
        <v>11</v>
      </c>
      <c r="M1693" t="inlineStr">
        <is>
          <t>Values must be of type &lt;class 'str'&gt;</t>
        </is>
      </c>
      <c r="N1693" t="inlineStr">
        <is>
          <t>00000000</t>
        </is>
      </c>
      <c r="O1693" t="n">
        <v/>
      </c>
      <c r="P1693" t="n">
        <v/>
      </c>
      <c r="R1693" t="b">
        <v>1</v>
      </c>
      <c r="S1693" t="n">
        <v/>
      </c>
      <c r="T1693" t="n">
        <v/>
      </c>
      <c r="U1693" t="n">
        <v/>
      </c>
      <c r="V1693" t="b">
        <v>0</v>
      </c>
      <c r="W1693" t="inlineStr"/>
      <c r="X1693" t="n">
        <v/>
      </c>
    </row>
    <row r="1694">
      <c r="A1694" t="inlineStr">
        <is>
          <t>ATF fuel</t>
        </is>
      </c>
      <c r="B1694" t="inlineStr">
        <is>
          <t>D175</t>
        </is>
      </c>
      <c r="C1694" t="n">
        <v>175</v>
      </c>
      <c r="D1694" t="n">
        <v>4</v>
      </c>
      <c r="E1694" t="inlineStr">
        <is>
          <t>Input</t>
        </is>
      </c>
      <c r="F1694" t="n">
        <v/>
      </c>
      <c r="G1694" t="n">
        <v>108.43</v>
      </c>
      <c r="H1694" t="inlineStr"/>
      <c r="I1694" t="inlineStr">
        <is>
          <t>General</t>
        </is>
      </c>
      <c r="J1694" t="b">
        <v>0</v>
      </c>
      <c r="K1694" t="b">
        <v>0</v>
      </c>
      <c r="L1694" t="n">
        <v>11</v>
      </c>
      <c r="M1694" t="inlineStr">
        <is>
          <t>Values must be of type &lt;class 'str'&gt;</t>
        </is>
      </c>
      <c r="N1694" t="inlineStr">
        <is>
          <t>00000000</t>
        </is>
      </c>
      <c r="O1694" t="n">
        <v/>
      </c>
      <c r="P1694" t="n">
        <v/>
      </c>
      <c r="R1694" t="b">
        <v>1</v>
      </c>
      <c r="S1694" t="n">
        <v/>
      </c>
      <c r="T1694" t="n">
        <v/>
      </c>
      <c r="U1694" t="n">
        <v/>
      </c>
      <c r="V1694" t="b">
        <v>0</v>
      </c>
      <c r="W1694" t="inlineStr"/>
      <c r="X1694" t="n">
        <v/>
      </c>
    </row>
    <row r="1695">
      <c r="A1695" t="inlineStr">
        <is>
          <t>ATF fuel</t>
        </is>
      </c>
      <c r="B1695" t="inlineStr">
        <is>
          <t>E175</t>
        </is>
      </c>
      <c r="C1695" t="n">
        <v>175</v>
      </c>
      <c r="D1695" t="n">
        <v>5</v>
      </c>
      <c r="E1695" t="inlineStr">
        <is>
          <t>Input</t>
        </is>
      </c>
      <c r="F1695" t="n">
        <v/>
      </c>
      <c r="G1695" t="n">
        <v>97.94</v>
      </c>
      <c r="H1695" t="inlineStr"/>
      <c r="I1695" t="inlineStr">
        <is>
          <t>General</t>
        </is>
      </c>
      <c r="J1695" t="b">
        <v>0</v>
      </c>
      <c r="K1695" t="b">
        <v>0</v>
      </c>
      <c r="L1695" t="n">
        <v>11</v>
      </c>
      <c r="M1695" t="inlineStr">
        <is>
          <t>Values must be of type &lt;class 'str'&gt;</t>
        </is>
      </c>
      <c r="N1695" t="inlineStr">
        <is>
          <t>00000000</t>
        </is>
      </c>
      <c r="O1695" t="n">
        <v/>
      </c>
      <c r="P1695" t="n">
        <v/>
      </c>
      <c r="R1695" t="b">
        <v>1</v>
      </c>
      <c r="S1695" t="n">
        <v/>
      </c>
      <c r="T1695" t="n">
        <v/>
      </c>
      <c r="U1695" t="n">
        <v/>
      </c>
      <c r="V1695" t="b">
        <v>0</v>
      </c>
      <c r="W1695" t="inlineStr"/>
      <c r="X1695" t="n">
        <v/>
      </c>
    </row>
    <row r="1696">
      <c r="A1696" t="inlineStr">
        <is>
          <t>ATF fuel</t>
        </is>
      </c>
      <c r="B1696" t="inlineStr">
        <is>
          <t>F175</t>
        </is>
      </c>
      <c r="C1696" t="n">
        <v>175</v>
      </c>
      <c r="D1696" t="n">
        <v>6</v>
      </c>
      <c r="E1696" t="inlineStr">
        <is>
          <t>Input</t>
        </is>
      </c>
      <c r="F1696" t="n">
        <v/>
      </c>
      <c r="G1696" t="inlineStr">
        <is>
          <t>July 01, 2013</t>
        </is>
      </c>
      <c r="H1696" t="inlineStr"/>
      <c r="I1696" t="inlineStr">
        <is>
          <t>General</t>
        </is>
      </c>
      <c r="J1696" t="b">
        <v>0</v>
      </c>
      <c r="K1696" t="b">
        <v>0</v>
      </c>
      <c r="L1696" t="n">
        <v>11</v>
      </c>
      <c r="M1696" t="inlineStr">
        <is>
          <t>Values must be of type &lt;class 'str'&gt;</t>
        </is>
      </c>
      <c r="N1696" t="inlineStr">
        <is>
          <t>00000000</t>
        </is>
      </c>
      <c r="O1696" t="inlineStr">
        <is>
          <t>left</t>
        </is>
      </c>
      <c r="P1696" t="n">
        <v/>
      </c>
      <c r="R1696" t="b">
        <v>1</v>
      </c>
      <c r="S1696" t="n">
        <v/>
      </c>
      <c r="T1696" t="n">
        <v/>
      </c>
      <c r="U1696" t="n">
        <v/>
      </c>
      <c r="V1696" t="b">
        <v>0</v>
      </c>
      <c r="W1696" t="inlineStr"/>
      <c r="X1696" t="n">
        <v/>
      </c>
    </row>
    <row r="1697">
      <c r="A1697" t="inlineStr">
        <is>
          <t>ATF fuel</t>
        </is>
      </c>
      <c r="B1697" t="inlineStr">
        <is>
          <t>G175</t>
        </is>
      </c>
      <c r="C1697" t="n">
        <v>175</v>
      </c>
      <c r="D1697" t="n">
        <v>7</v>
      </c>
      <c r="E1697" t="inlineStr">
        <is>
          <t>Calculation</t>
        </is>
      </c>
      <c r="F1697" t="inlineStr">
        <is>
          <t>'=(1+(C175/C174)-1)*G174</t>
        </is>
      </c>
      <c r="G1697" t="n">
        <v>158.9357195303321</v>
      </c>
      <c r="H1697" t="inlineStr"/>
      <c r="I1697" t="inlineStr">
        <is>
          <t>General</t>
        </is>
      </c>
      <c r="J1697" t="b">
        <v>0</v>
      </c>
      <c r="K1697" t="b">
        <v>0</v>
      </c>
      <c r="L1697" t="n">
        <v>11</v>
      </c>
      <c r="M1697" t="inlineStr">
        <is>
          <t>Values must be of type &lt;class 'str'&gt;</t>
        </is>
      </c>
      <c r="N1697" t="inlineStr">
        <is>
          <t>00000000</t>
        </is>
      </c>
      <c r="O1697" t="inlineStr">
        <is>
          <t>left</t>
        </is>
      </c>
      <c r="P1697" t="n">
        <v/>
      </c>
      <c r="R1697" t="b">
        <v>1</v>
      </c>
      <c r="S1697" t="inlineStr">
        <is>
          <t>G000334</t>
        </is>
      </c>
      <c r="T1697" t="inlineStr">
        <is>
          <t>Horizontal</t>
        </is>
      </c>
      <c r="U1697" t="n">
        <v>3</v>
      </c>
      <c r="V1697" t="b">
        <v>1</v>
      </c>
      <c r="W1697" t="inlineStr">
        <is>
          <t>ATF fuel!G175:I175</t>
        </is>
      </c>
      <c r="X1697">
        <f>(1+(R[0]C[-4]/R[-1]C[-4])-1)*R[-1]C[0]</f>
        <v/>
      </c>
    </row>
    <row r="1698">
      <c r="A1698" t="inlineStr">
        <is>
          <t>ATF fuel</t>
        </is>
      </c>
      <c r="B1698" t="inlineStr">
        <is>
          <t>H175</t>
        </is>
      </c>
      <c r="C1698" t="n">
        <v>175</v>
      </c>
      <c r="D1698" t="n">
        <v>8</v>
      </c>
      <c r="E1698" t="inlineStr">
        <is>
          <t>Calculation</t>
        </is>
      </c>
      <c r="F1698" t="inlineStr">
        <is>
          <t>'=(1+(D175/D174)-1)*H174</t>
        </is>
      </c>
      <c r="G1698" t="n">
        <v>131.223526564202</v>
      </c>
      <c r="H1698" t="inlineStr"/>
      <c r="I1698" t="inlineStr">
        <is>
          <t>General</t>
        </is>
      </c>
      <c r="J1698" t="b">
        <v>0</v>
      </c>
      <c r="K1698" t="b">
        <v>0</v>
      </c>
      <c r="L1698" t="n">
        <v>11</v>
      </c>
      <c r="M1698" t="inlineStr">
        <is>
          <t>Values must be of type &lt;class 'str'&gt;</t>
        </is>
      </c>
      <c r="N1698" t="inlineStr">
        <is>
          <t>00000000</t>
        </is>
      </c>
      <c r="O1698" t="inlineStr">
        <is>
          <t>left</t>
        </is>
      </c>
      <c r="P1698" t="n">
        <v/>
      </c>
      <c r="R1698" t="b">
        <v>1</v>
      </c>
      <c r="S1698" t="inlineStr">
        <is>
          <t>G000334</t>
        </is>
      </c>
      <c r="T1698" t="inlineStr">
        <is>
          <t>Horizontal</t>
        </is>
      </c>
      <c r="U1698" t="n">
        <v>3</v>
      </c>
      <c r="V1698" t="b">
        <v>1</v>
      </c>
      <c r="W1698" t="inlineStr">
        <is>
          <t>ATF fuel!G175:I175</t>
        </is>
      </c>
      <c r="X1698">
        <f>(1+(R[0]C[-4]/R[-1]C[-4])-1)*R[-1]C[0]</f>
        <v/>
      </c>
    </row>
    <row r="1699">
      <c r="A1699" t="inlineStr">
        <is>
          <t>ATF fuel</t>
        </is>
      </c>
      <c r="B1699" t="inlineStr">
        <is>
          <t>I175</t>
        </is>
      </c>
      <c r="C1699" t="n">
        <v>175</v>
      </c>
      <c r="D1699" t="n">
        <v>9</v>
      </c>
      <c r="E1699" t="inlineStr">
        <is>
          <t>Calculation</t>
        </is>
      </c>
      <c r="F1699" t="inlineStr">
        <is>
          <t>'=(1+(E175/E174)-1)*I174</t>
        </is>
      </c>
      <c r="G1699" t="n">
        <v>115.8641902283213</v>
      </c>
      <c r="H1699" t="inlineStr"/>
      <c r="I1699" t="inlineStr">
        <is>
          <t>General</t>
        </is>
      </c>
      <c r="J1699" t="b">
        <v>0</v>
      </c>
      <c r="K1699" t="b">
        <v>0</v>
      </c>
      <c r="L1699" t="n">
        <v>11</v>
      </c>
      <c r="M1699" t="inlineStr">
        <is>
          <t>Values must be of type &lt;class 'str'&gt;</t>
        </is>
      </c>
      <c r="N1699" t="inlineStr">
        <is>
          <t>00000000</t>
        </is>
      </c>
      <c r="O1699" t="inlineStr">
        <is>
          <t>left</t>
        </is>
      </c>
      <c r="P1699" t="n">
        <v/>
      </c>
      <c r="R1699" t="b">
        <v>1</v>
      </c>
      <c r="S1699" t="inlineStr">
        <is>
          <t>G000334</t>
        </is>
      </c>
      <c r="T1699" t="inlineStr">
        <is>
          <t>Horizontal</t>
        </is>
      </c>
      <c r="U1699" t="n">
        <v>3</v>
      </c>
      <c r="V1699" t="b">
        <v>1</v>
      </c>
      <c r="W1699" t="inlineStr">
        <is>
          <t>ATF fuel!G175:I175</t>
        </is>
      </c>
      <c r="X1699">
        <f>(1+(R[0]C[-4]/R[-1]C[-4])-1)*R[-1]C[0]</f>
        <v/>
      </c>
    </row>
    <row r="1700">
      <c r="A1700" t="inlineStr">
        <is>
          <t>ATF fuel</t>
        </is>
      </c>
      <c r="B1700" t="inlineStr">
        <is>
          <t>J175</t>
        </is>
      </c>
      <c r="C1700" t="n">
        <v>175</v>
      </c>
      <c r="D1700" t="n">
        <v>10</v>
      </c>
      <c r="E1700" t="inlineStr">
        <is>
          <t>Output</t>
        </is>
      </c>
      <c r="F1700" t="inlineStr">
        <is>
          <t>'=G175/H175-1</t>
        </is>
      </c>
      <c r="G1700" t="n">
        <v>0.2111831139713483</v>
      </c>
      <c r="H1700" t="inlineStr"/>
      <c r="I1700" t="inlineStr">
        <is>
          <t>0.0%</t>
        </is>
      </c>
      <c r="J1700" t="b">
        <v>0</v>
      </c>
      <c r="K1700" t="b">
        <v>0</v>
      </c>
      <c r="L1700" t="n">
        <v>11</v>
      </c>
      <c r="M1700" t="inlineStr">
        <is>
          <t>Values must be of type &lt;class 'str'&gt;</t>
        </is>
      </c>
      <c r="N1700" t="inlineStr">
        <is>
          <t>00000000</t>
        </is>
      </c>
      <c r="O1700" t="n">
        <v/>
      </c>
      <c r="P1700" t="n">
        <v/>
      </c>
      <c r="R1700" t="b">
        <v>1</v>
      </c>
      <c r="S1700" t="inlineStr">
        <is>
          <t>G000295</t>
        </is>
      </c>
      <c r="T1700" t="inlineStr">
        <is>
          <t>Vertical</t>
        </is>
      </c>
      <c r="U1700" t="n">
        <v>93</v>
      </c>
      <c r="V1700" t="b">
        <v>1</v>
      </c>
      <c r="W1700" t="inlineStr">
        <is>
          <t>ATF fuel!J136:J228</t>
        </is>
      </c>
      <c r="X1700">
        <f>R[0]C[-3]/R[0]C[-2]-1</f>
        <v/>
      </c>
    </row>
    <row r="1701">
      <c r="A1701" t="inlineStr">
        <is>
          <t>ATF fuel</t>
        </is>
      </c>
      <c r="B1701" t="inlineStr">
        <is>
          <t>B176</t>
        </is>
      </c>
      <c r="C1701" t="n">
        <v>176</v>
      </c>
      <c r="D1701" t="n">
        <v>2</v>
      </c>
      <c r="E1701" t="inlineStr">
        <is>
          <t>Input</t>
        </is>
      </c>
      <c r="F1701" t="n">
        <v/>
      </c>
      <c r="G1701" t="inlineStr">
        <is>
          <t>August 01, 2013</t>
        </is>
      </c>
      <c r="H1701" t="inlineStr"/>
      <c r="I1701" t="inlineStr">
        <is>
          <t>General</t>
        </is>
      </c>
      <c r="J1701" t="b">
        <v>0</v>
      </c>
      <c r="K1701" t="b">
        <v>0</v>
      </c>
      <c r="L1701" t="n">
        <v>11</v>
      </c>
      <c r="M1701" t="inlineStr">
        <is>
          <t>Values must be of type &lt;class 'str'&gt;</t>
        </is>
      </c>
      <c r="N1701" t="inlineStr">
        <is>
          <t>00000000</t>
        </is>
      </c>
      <c r="O1701" t="n">
        <v/>
      </c>
      <c r="P1701" t="n">
        <v/>
      </c>
      <c r="R1701" t="b">
        <v>1</v>
      </c>
      <c r="S1701" t="n">
        <v/>
      </c>
      <c r="T1701" t="n">
        <v/>
      </c>
      <c r="U1701" t="n">
        <v/>
      </c>
      <c r="V1701" t="b">
        <v>0</v>
      </c>
      <c r="W1701" t="inlineStr"/>
      <c r="X1701" t="n">
        <v/>
      </c>
    </row>
    <row r="1702">
      <c r="A1702" t="inlineStr">
        <is>
          <t>ATF fuel</t>
        </is>
      </c>
      <c r="B1702" t="inlineStr">
        <is>
          <t>C176</t>
        </is>
      </c>
      <c r="C1702" t="n">
        <v>176</v>
      </c>
      <c r="D1702" t="n">
        <v>3</v>
      </c>
      <c r="E1702" t="inlineStr">
        <is>
          <t>Input</t>
        </is>
      </c>
      <c r="F1702" t="n">
        <v/>
      </c>
      <c r="G1702" t="n">
        <v>74827.64499999999</v>
      </c>
      <c r="H1702" t="inlineStr"/>
      <c r="I1702" t="inlineStr">
        <is>
          <t>General</t>
        </is>
      </c>
      <c r="J1702" t="b">
        <v>0</v>
      </c>
      <c r="K1702" t="b">
        <v>0</v>
      </c>
      <c r="L1702" t="n">
        <v>11</v>
      </c>
      <c r="M1702" t="inlineStr">
        <is>
          <t>Values must be of type &lt;class 'str'&gt;</t>
        </is>
      </c>
      <c r="N1702" t="inlineStr">
        <is>
          <t>00000000</t>
        </is>
      </c>
      <c r="O1702" t="n">
        <v/>
      </c>
      <c r="P1702" t="n">
        <v/>
      </c>
      <c r="R1702" t="b">
        <v>1</v>
      </c>
      <c r="S1702" t="n">
        <v/>
      </c>
      <c r="T1702" t="n">
        <v/>
      </c>
      <c r="U1702" t="n">
        <v/>
      </c>
      <c r="V1702" t="b">
        <v>0</v>
      </c>
      <c r="W1702" t="inlineStr"/>
      <c r="X1702" t="n">
        <v/>
      </c>
    </row>
    <row r="1703">
      <c r="A1703" t="inlineStr">
        <is>
          <t>ATF fuel</t>
        </is>
      </c>
      <c r="B1703" t="inlineStr">
        <is>
          <t>D176</t>
        </is>
      </c>
      <c r="C1703" t="n">
        <v>176</v>
      </c>
      <c r="D1703" t="n">
        <v>4</v>
      </c>
      <c r="E1703" t="inlineStr">
        <is>
          <t>Input</t>
        </is>
      </c>
      <c r="F1703" t="n">
        <v/>
      </c>
      <c r="G1703" t="n">
        <v>108.49</v>
      </c>
      <c r="H1703" t="inlineStr"/>
      <c r="I1703" t="inlineStr">
        <is>
          <t>General</t>
        </is>
      </c>
      <c r="J1703" t="b">
        <v>0</v>
      </c>
      <c r="K1703" t="b">
        <v>0</v>
      </c>
      <c r="L1703" t="n">
        <v>11</v>
      </c>
      <c r="M1703" t="inlineStr">
        <is>
          <t>Values must be of type &lt;class 'str'&gt;</t>
        </is>
      </c>
      <c r="N1703" t="inlineStr">
        <is>
          <t>00000000</t>
        </is>
      </c>
      <c r="O1703" t="n">
        <v/>
      </c>
      <c r="P1703" t="n">
        <v/>
      </c>
      <c r="R1703" t="b">
        <v>1</v>
      </c>
      <c r="S1703" t="n">
        <v/>
      </c>
      <c r="T1703" t="n">
        <v/>
      </c>
      <c r="U1703" t="n">
        <v/>
      </c>
      <c r="V1703" t="b">
        <v>0</v>
      </c>
      <c r="W1703" t="inlineStr"/>
      <c r="X1703" t="n">
        <v/>
      </c>
    </row>
    <row r="1704">
      <c r="A1704" t="inlineStr">
        <is>
          <t>ATF fuel</t>
        </is>
      </c>
      <c r="B1704" t="inlineStr">
        <is>
          <t>E176</t>
        </is>
      </c>
      <c r="C1704" t="n">
        <v>176</v>
      </c>
      <c r="D1704" t="n">
        <v>5</v>
      </c>
      <c r="E1704" t="inlineStr">
        <is>
          <t>Input</t>
        </is>
      </c>
      <c r="F1704" t="n">
        <v/>
      </c>
      <c r="G1704" t="n">
        <v>107.93</v>
      </c>
      <c r="H1704" t="inlineStr"/>
      <c r="I1704" t="inlineStr">
        <is>
          <t>General</t>
        </is>
      </c>
      <c r="J1704" t="b">
        <v>0</v>
      </c>
      <c r="K1704" t="b">
        <v>0</v>
      </c>
      <c r="L1704" t="n">
        <v>11</v>
      </c>
      <c r="M1704" t="inlineStr">
        <is>
          <t>Values must be of type &lt;class 'str'&gt;</t>
        </is>
      </c>
      <c r="N1704" t="inlineStr">
        <is>
          <t>00000000</t>
        </is>
      </c>
      <c r="O1704" t="n">
        <v/>
      </c>
      <c r="P1704" t="n">
        <v/>
      </c>
      <c r="R1704" t="b">
        <v>1</v>
      </c>
      <c r="S1704" t="n">
        <v/>
      </c>
      <c r="T1704" t="n">
        <v/>
      </c>
      <c r="U1704" t="n">
        <v/>
      </c>
      <c r="V1704" t="b">
        <v>0</v>
      </c>
      <c r="W1704" t="inlineStr"/>
      <c r="X1704" t="n">
        <v/>
      </c>
    </row>
    <row r="1705">
      <c r="A1705" t="inlineStr">
        <is>
          <t>ATF fuel</t>
        </is>
      </c>
      <c r="B1705" t="inlineStr">
        <is>
          <t>F176</t>
        </is>
      </c>
      <c r="C1705" t="n">
        <v>176</v>
      </c>
      <c r="D1705" t="n">
        <v>6</v>
      </c>
      <c r="E1705" t="inlineStr">
        <is>
          <t>Input</t>
        </is>
      </c>
      <c r="F1705" t="n">
        <v/>
      </c>
      <c r="G1705" t="inlineStr">
        <is>
          <t>August 01, 2013</t>
        </is>
      </c>
      <c r="H1705" t="inlineStr"/>
      <c r="I1705" t="inlineStr">
        <is>
          <t>General</t>
        </is>
      </c>
      <c r="J1705" t="b">
        <v>0</v>
      </c>
      <c r="K1705" t="b">
        <v>0</v>
      </c>
      <c r="L1705" t="n">
        <v>11</v>
      </c>
      <c r="M1705" t="inlineStr">
        <is>
          <t>Values must be of type &lt;class 'str'&gt;</t>
        </is>
      </c>
      <c r="N1705" t="inlineStr">
        <is>
          <t>00000000</t>
        </is>
      </c>
      <c r="O1705" t="inlineStr">
        <is>
          <t>left</t>
        </is>
      </c>
      <c r="P1705" t="n">
        <v/>
      </c>
      <c r="R1705" t="b">
        <v>1</v>
      </c>
      <c r="S1705" t="n">
        <v/>
      </c>
      <c r="T1705" t="n">
        <v/>
      </c>
      <c r="U1705" t="n">
        <v/>
      </c>
      <c r="V1705" t="b">
        <v>0</v>
      </c>
      <c r="W1705" t="inlineStr"/>
      <c r="X1705" t="n">
        <v/>
      </c>
    </row>
    <row r="1706">
      <c r="A1706" t="inlineStr">
        <is>
          <t>ATF fuel</t>
        </is>
      </c>
      <c r="B1706" t="inlineStr">
        <is>
          <t>G176</t>
        </is>
      </c>
      <c r="C1706" t="n">
        <v>176</v>
      </c>
      <c r="D1706" t="n">
        <v>7</v>
      </c>
      <c r="E1706" t="inlineStr">
        <is>
          <t>Calculation</t>
        </is>
      </c>
      <c r="F1706" t="inlineStr">
        <is>
          <t>'=(1+(C176/C175)-1)*G175</t>
        </is>
      </c>
      <c r="G1706" t="n">
        <v>168.6758444948215</v>
      </c>
      <c r="H1706" t="inlineStr"/>
      <c r="I1706" t="inlineStr">
        <is>
          <t>General</t>
        </is>
      </c>
      <c r="J1706" t="b">
        <v>0</v>
      </c>
      <c r="K1706" t="b">
        <v>0</v>
      </c>
      <c r="L1706" t="n">
        <v>11</v>
      </c>
      <c r="M1706" t="inlineStr">
        <is>
          <t>Values must be of type &lt;class 'str'&gt;</t>
        </is>
      </c>
      <c r="N1706" t="inlineStr">
        <is>
          <t>00000000</t>
        </is>
      </c>
      <c r="O1706" t="inlineStr">
        <is>
          <t>left</t>
        </is>
      </c>
      <c r="P1706" t="n">
        <v/>
      </c>
      <c r="R1706" t="b">
        <v>1</v>
      </c>
      <c r="S1706" t="inlineStr">
        <is>
          <t>G000335</t>
        </is>
      </c>
      <c r="T1706" t="inlineStr">
        <is>
          <t>Horizontal</t>
        </is>
      </c>
      <c r="U1706" t="n">
        <v>3</v>
      </c>
      <c r="V1706" t="b">
        <v>1</v>
      </c>
      <c r="W1706" t="inlineStr">
        <is>
          <t>ATF fuel!G176:I176</t>
        </is>
      </c>
      <c r="X1706">
        <f>(1+(R[0]C[-4]/R[-1]C[-4])-1)*R[-1]C[0]</f>
        <v/>
      </c>
    </row>
    <row r="1707">
      <c r="A1707" t="inlineStr">
        <is>
          <t>ATF fuel</t>
        </is>
      </c>
      <c r="B1707" t="inlineStr">
        <is>
          <t>H176</t>
        </is>
      </c>
      <c r="C1707" t="n">
        <v>176</v>
      </c>
      <c r="D1707" t="n">
        <v>8</v>
      </c>
      <c r="E1707" t="inlineStr">
        <is>
          <t>Calculation</t>
        </is>
      </c>
      <c r="F1707" t="inlineStr">
        <is>
          <t>'=(1+(D176/D175)-1)*H175</t>
        </is>
      </c>
      <c r="G1707" t="n">
        <v>131.2961394166769</v>
      </c>
      <c r="H1707" t="inlineStr"/>
      <c r="I1707" t="inlineStr">
        <is>
          <t>General</t>
        </is>
      </c>
      <c r="J1707" t="b">
        <v>0</v>
      </c>
      <c r="K1707" t="b">
        <v>0</v>
      </c>
      <c r="L1707" t="n">
        <v>11</v>
      </c>
      <c r="M1707" t="inlineStr">
        <is>
          <t>Values must be of type &lt;class 'str'&gt;</t>
        </is>
      </c>
      <c r="N1707" t="inlineStr">
        <is>
          <t>00000000</t>
        </is>
      </c>
      <c r="O1707" t="inlineStr">
        <is>
          <t>left</t>
        </is>
      </c>
      <c r="P1707" t="n">
        <v/>
      </c>
      <c r="R1707" t="b">
        <v>1</v>
      </c>
      <c r="S1707" t="inlineStr">
        <is>
          <t>G000335</t>
        </is>
      </c>
      <c r="T1707" t="inlineStr">
        <is>
          <t>Horizontal</t>
        </is>
      </c>
      <c r="U1707" t="n">
        <v>3</v>
      </c>
      <c r="V1707" t="b">
        <v>1</v>
      </c>
      <c r="W1707" t="inlineStr">
        <is>
          <t>ATF fuel!G176:I176</t>
        </is>
      </c>
      <c r="X1707">
        <f>(1+(R[0]C[-4]/R[-1]C[-4])-1)*R[-1]C[0]</f>
        <v/>
      </c>
    </row>
    <row r="1708">
      <c r="A1708" t="inlineStr">
        <is>
          <t>ATF fuel</t>
        </is>
      </c>
      <c r="B1708" t="inlineStr">
        <is>
          <t>I176</t>
        </is>
      </c>
      <c r="C1708" t="n">
        <v>176</v>
      </c>
      <c r="D1708" t="n">
        <v>9</v>
      </c>
      <c r="E1708" t="inlineStr">
        <is>
          <t>Calculation</t>
        </is>
      </c>
      <c r="F1708" t="inlineStr">
        <is>
          <t>'=(1+(E176/E175)-1)*I175</t>
        </is>
      </c>
      <c r="G1708" t="n">
        <v>127.6824795930439</v>
      </c>
      <c r="H1708" t="inlineStr"/>
      <c r="I1708" t="inlineStr">
        <is>
          <t>General</t>
        </is>
      </c>
      <c r="J1708" t="b">
        <v>0</v>
      </c>
      <c r="K1708" t="b">
        <v>0</v>
      </c>
      <c r="L1708" t="n">
        <v>11</v>
      </c>
      <c r="M1708" t="inlineStr">
        <is>
          <t>Values must be of type &lt;class 'str'&gt;</t>
        </is>
      </c>
      <c r="N1708" t="inlineStr">
        <is>
          <t>00000000</t>
        </is>
      </c>
      <c r="O1708" t="inlineStr">
        <is>
          <t>left</t>
        </is>
      </c>
      <c r="P1708" t="n">
        <v/>
      </c>
      <c r="R1708" t="b">
        <v>1</v>
      </c>
      <c r="S1708" t="inlineStr">
        <is>
          <t>G000335</t>
        </is>
      </c>
      <c r="T1708" t="inlineStr">
        <is>
          <t>Horizontal</t>
        </is>
      </c>
      <c r="U1708" t="n">
        <v>3</v>
      </c>
      <c r="V1708" t="b">
        <v>1</v>
      </c>
      <c r="W1708" t="inlineStr">
        <is>
          <t>ATF fuel!G176:I176</t>
        </is>
      </c>
      <c r="X1708">
        <f>(1+(R[0]C[-4]/R[-1]C[-4])-1)*R[-1]C[0]</f>
        <v/>
      </c>
    </row>
    <row r="1709">
      <c r="A1709" t="inlineStr">
        <is>
          <t>ATF fuel</t>
        </is>
      </c>
      <c r="B1709" t="inlineStr">
        <is>
          <t>J176</t>
        </is>
      </c>
      <c r="C1709" t="n">
        <v>176</v>
      </c>
      <c r="D1709" t="n">
        <v>10</v>
      </c>
      <c r="E1709" t="inlineStr">
        <is>
          <t>Output</t>
        </is>
      </c>
      <c r="F1709" t="inlineStr">
        <is>
          <t>'=G176/H176-1</t>
        </is>
      </c>
      <c r="G1709" t="n">
        <v>0.2846976708090232</v>
      </c>
      <c r="H1709" t="inlineStr"/>
      <c r="I1709" t="inlineStr">
        <is>
          <t>0.0%</t>
        </is>
      </c>
      <c r="J1709" t="b">
        <v>0</v>
      </c>
      <c r="K1709" t="b">
        <v>0</v>
      </c>
      <c r="L1709" t="n">
        <v>11</v>
      </c>
      <c r="M1709" t="inlineStr">
        <is>
          <t>Values must be of type &lt;class 'str'&gt;</t>
        </is>
      </c>
      <c r="N1709" t="inlineStr">
        <is>
          <t>00000000</t>
        </is>
      </c>
      <c r="O1709" t="n">
        <v/>
      </c>
      <c r="P1709" t="n">
        <v/>
      </c>
      <c r="R1709" t="b">
        <v>1</v>
      </c>
      <c r="S1709" t="inlineStr">
        <is>
          <t>G000295</t>
        </is>
      </c>
      <c r="T1709" t="inlineStr">
        <is>
          <t>Vertical</t>
        </is>
      </c>
      <c r="U1709" t="n">
        <v>93</v>
      </c>
      <c r="V1709" t="b">
        <v>1</v>
      </c>
      <c r="W1709" t="inlineStr">
        <is>
          <t>ATF fuel!J136:J228</t>
        </is>
      </c>
      <c r="X1709">
        <f>R[0]C[-3]/R[0]C[-2]-1</f>
        <v/>
      </c>
    </row>
    <row r="1710">
      <c r="A1710" t="inlineStr">
        <is>
          <t>ATF fuel</t>
        </is>
      </c>
      <c r="B1710" t="inlineStr">
        <is>
          <t>B177</t>
        </is>
      </c>
      <c r="C1710" t="n">
        <v>177</v>
      </c>
      <c r="D1710" t="n">
        <v>2</v>
      </c>
      <c r="E1710" t="inlineStr">
        <is>
          <t>Input</t>
        </is>
      </c>
      <c r="F1710" t="n">
        <v/>
      </c>
      <c r="G1710" t="inlineStr">
        <is>
          <t>September 01, 2013</t>
        </is>
      </c>
      <c r="H1710" t="inlineStr"/>
      <c r="I1710" t="inlineStr">
        <is>
          <t>General</t>
        </is>
      </c>
      <c r="J1710" t="b">
        <v>0</v>
      </c>
      <c r="K1710" t="b">
        <v>0</v>
      </c>
      <c r="L1710" t="n">
        <v>11</v>
      </c>
      <c r="M1710" t="inlineStr">
        <is>
          <t>Values must be of type &lt;class 'str'&gt;</t>
        </is>
      </c>
      <c r="N1710" t="inlineStr">
        <is>
          <t>00000000</t>
        </is>
      </c>
      <c r="O1710" t="n">
        <v/>
      </c>
      <c r="P1710" t="n">
        <v/>
      </c>
      <c r="R1710" t="b">
        <v>1</v>
      </c>
      <c r="S1710" t="n">
        <v/>
      </c>
      <c r="T1710" t="n">
        <v/>
      </c>
      <c r="U1710" t="n">
        <v/>
      </c>
      <c r="V1710" t="b">
        <v>0</v>
      </c>
      <c r="W1710" t="inlineStr"/>
      <c r="X1710" t="n">
        <v/>
      </c>
    </row>
    <row r="1711">
      <c r="A1711" t="inlineStr">
        <is>
          <t>ATF fuel</t>
        </is>
      </c>
      <c r="B1711" t="inlineStr">
        <is>
          <t>C177</t>
        </is>
      </c>
      <c r="C1711" t="n">
        <v>177</v>
      </c>
      <c r="D1711" t="n">
        <v>3</v>
      </c>
      <c r="E1711" t="inlineStr">
        <is>
          <t>Input</t>
        </is>
      </c>
      <c r="F1711" t="n">
        <v/>
      </c>
      <c r="G1711" t="n">
        <v>80012.23999999999</v>
      </c>
      <c r="H1711" t="inlineStr"/>
      <c r="I1711" t="inlineStr">
        <is>
          <t>General</t>
        </is>
      </c>
      <c r="J1711" t="b">
        <v>0</v>
      </c>
      <c r="K1711" t="b">
        <v>0</v>
      </c>
      <c r="L1711" t="n">
        <v>11</v>
      </c>
      <c r="M1711" t="inlineStr">
        <is>
          <t>Values must be of type &lt;class 'str'&gt;</t>
        </is>
      </c>
      <c r="N1711" t="inlineStr">
        <is>
          <t>00000000</t>
        </is>
      </c>
      <c r="O1711" t="n">
        <v/>
      </c>
      <c r="P1711" t="n">
        <v/>
      </c>
      <c r="R1711" t="b">
        <v>1</v>
      </c>
      <c r="S1711" t="n">
        <v/>
      </c>
      <c r="T1711" t="n">
        <v/>
      </c>
      <c r="U1711" t="n">
        <v/>
      </c>
      <c r="V1711" t="b">
        <v>0</v>
      </c>
      <c r="W1711" t="inlineStr"/>
      <c r="X1711" t="n">
        <v/>
      </c>
    </row>
    <row r="1712">
      <c r="A1712" t="inlineStr">
        <is>
          <t>ATF fuel</t>
        </is>
      </c>
      <c r="B1712" t="inlineStr">
        <is>
          <t>D177</t>
        </is>
      </c>
      <c r="C1712" t="n">
        <v>177</v>
      </c>
      <c r="D1712" t="n">
        <v>4</v>
      </c>
      <c r="E1712" t="inlineStr">
        <is>
          <t>Input</t>
        </is>
      </c>
      <c r="F1712" t="n">
        <v/>
      </c>
      <c r="G1712" t="n">
        <v>112.37</v>
      </c>
      <c r="H1712" t="inlineStr"/>
      <c r="I1712" t="inlineStr">
        <is>
          <t>General</t>
        </is>
      </c>
      <c r="J1712" t="b">
        <v>0</v>
      </c>
      <c r="K1712" t="b">
        <v>0</v>
      </c>
      <c r="L1712" t="n">
        <v>11</v>
      </c>
      <c r="M1712" t="inlineStr">
        <is>
          <t>Values must be of type &lt;class 'str'&gt;</t>
        </is>
      </c>
      <c r="N1712" t="inlineStr">
        <is>
          <t>00000000</t>
        </is>
      </c>
      <c r="O1712" t="n">
        <v/>
      </c>
      <c r="P1712" t="n">
        <v/>
      </c>
      <c r="R1712" t="b">
        <v>1</v>
      </c>
      <c r="S1712" t="n">
        <v/>
      </c>
      <c r="T1712" t="n">
        <v/>
      </c>
      <c r="U1712" t="n">
        <v/>
      </c>
      <c r="V1712" t="b">
        <v>0</v>
      </c>
      <c r="W1712" t="inlineStr"/>
      <c r="X1712" t="n">
        <v/>
      </c>
    </row>
    <row r="1713">
      <c r="A1713" t="inlineStr">
        <is>
          <t>ATF fuel</t>
        </is>
      </c>
      <c r="B1713" t="inlineStr">
        <is>
          <t>E177</t>
        </is>
      </c>
      <c r="C1713" t="n">
        <v>177</v>
      </c>
      <c r="D1713" t="n">
        <v>5</v>
      </c>
      <c r="E1713" t="inlineStr">
        <is>
          <t>Input</t>
        </is>
      </c>
      <c r="F1713" t="n">
        <v/>
      </c>
      <c r="G1713" t="n">
        <v>108.67</v>
      </c>
      <c r="H1713" t="inlineStr"/>
      <c r="I1713" t="inlineStr">
        <is>
          <t>General</t>
        </is>
      </c>
      <c r="J1713" t="b">
        <v>0</v>
      </c>
      <c r="K1713" t="b">
        <v>0</v>
      </c>
      <c r="L1713" t="n">
        <v>11</v>
      </c>
      <c r="M1713" t="inlineStr">
        <is>
          <t>Values must be of type &lt;class 'str'&gt;</t>
        </is>
      </c>
      <c r="N1713" t="inlineStr">
        <is>
          <t>00000000</t>
        </is>
      </c>
      <c r="O1713" t="n">
        <v/>
      </c>
      <c r="P1713" t="n">
        <v/>
      </c>
      <c r="R1713" t="b">
        <v>1</v>
      </c>
      <c r="S1713" t="n">
        <v/>
      </c>
      <c r="T1713" t="n">
        <v/>
      </c>
      <c r="U1713" t="n">
        <v/>
      </c>
      <c r="V1713" t="b">
        <v>0</v>
      </c>
      <c r="W1713" t="inlineStr"/>
      <c r="X1713" t="n">
        <v/>
      </c>
    </row>
    <row r="1714">
      <c r="A1714" t="inlineStr">
        <is>
          <t>ATF fuel</t>
        </is>
      </c>
      <c r="B1714" t="inlineStr">
        <is>
          <t>F177</t>
        </is>
      </c>
      <c r="C1714" t="n">
        <v>177</v>
      </c>
      <c r="D1714" t="n">
        <v>6</v>
      </c>
      <c r="E1714" t="inlineStr">
        <is>
          <t>Input</t>
        </is>
      </c>
      <c r="F1714" t="n">
        <v/>
      </c>
      <c r="G1714" t="inlineStr">
        <is>
          <t>September 01, 2013</t>
        </is>
      </c>
      <c r="H1714" t="inlineStr"/>
      <c r="I1714" t="inlineStr">
        <is>
          <t>General</t>
        </is>
      </c>
      <c r="J1714" t="b">
        <v>0</v>
      </c>
      <c r="K1714" t="b">
        <v>0</v>
      </c>
      <c r="L1714" t="n">
        <v>11</v>
      </c>
      <c r="M1714" t="inlineStr">
        <is>
          <t>Values must be of type &lt;class 'str'&gt;</t>
        </is>
      </c>
      <c r="N1714" t="inlineStr">
        <is>
          <t>00000000</t>
        </is>
      </c>
      <c r="O1714" t="inlineStr">
        <is>
          <t>left</t>
        </is>
      </c>
      <c r="P1714" t="n">
        <v/>
      </c>
      <c r="R1714" t="b">
        <v>1</v>
      </c>
      <c r="S1714" t="n">
        <v/>
      </c>
      <c r="T1714" t="n">
        <v/>
      </c>
      <c r="U1714" t="n">
        <v/>
      </c>
      <c r="V1714" t="b">
        <v>0</v>
      </c>
      <c r="W1714" t="inlineStr"/>
      <c r="X1714" t="n">
        <v/>
      </c>
    </row>
    <row r="1715">
      <c r="A1715" t="inlineStr">
        <is>
          <t>ATF fuel</t>
        </is>
      </c>
      <c r="B1715" t="inlineStr">
        <is>
          <t>G177</t>
        </is>
      </c>
      <c r="C1715" t="n">
        <v>177</v>
      </c>
      <c r="D1715" t="n">
        <v>7</v>
      </c>
      <c r="E1715" t="inlineStr">
        <is>
          <t>Calculation</t>
        </is>
      </c>
      <c r="F1715" t="inlineStr">
        <is>
          <t>'=(1+(C177/C176)-1)*G176</t>
        </is>
      </c>
      <c r="G1715" t="n">
        <v>180.36291469446</v>
      </c>
      <c r="H1715" t="inlineStr"/>
      <c r="I1715" t="inlineStr">
        <is>
          <t>General</t>
        </is>
      </c>
      <c r="J1715" t="b">
        <v>0</v>
      </c>
      <c r="K1715" t="b">
        <v>0</v>
      </c>
      <c r="L1715" t="n">
        <v>11</v>
      </c>
      <c r="M1715" t="inlineStr">
        <is>
          <t>Values must be of type &lt;class 'str'&gt;</t>
        </is>
      </c>
      <c r="N1715" t="inlineStr">
        <is>
          <t>00000000</t>
        </is>
      </c>
      <c r="O1715" t="inlineStr">
        <is>
          <t>left</t>
        </is>
      </c>
      <c r="P1715" t="n">
        <v/>
      </c>
      <c r="R1715" t="b">
        <v>1</v>
      </c>
      <c r="S1715" t="inlineStr">
        <is>
          <t>G000336</t>
        </is>
      </c>
      <c r="T1715" t="inlineStr">
        <is>
          <t>Horizontal</t>
        </is>
      </c>
      <c r="U1715" t="n">
        <v>3</v>
      </c>
      <c r="V1715" t="b">
        <v>1</v>
      </c>
      <c r="W1715" t="inlineStr">
        <is>
          <t>ATF fuel!G177:I177</t>
        </is>
      </c>
      <c r="X1715">
        <f>(1+(R[0]C[-4]/R[-1]C[-4])-1)*R[-1]C[0]</f>
        <v/>
      </c>
    </row>
    <row r="1716">
      <c r="A1716" t="inlineStr">
        <is>
          <t>ATF fuel</t>
        </is>
      </c>
      <c r="B1716" t="inlineStr">
        <is>
          <t>H177</t>
        </is>
      </c>
      <c r="C1716" t="n">
        <v>177</v>
      </c>
      <c r="D1716" t="n">
        <v>8</v>
      </c>
      <c r="E1716" t="inlineStr">
        <is>
          <t>Calculation</t>
        </is>
      </c>
      <c r="F1716" t="inlineStr">
        <is>
          <t>'=(1+(D177/D176)-1)*H176</t>
        </is>
      </c>
      <c r="G1716" t="n">
        <v>135.9917705433863</v>
      </c>
      <c r="H1716" t="inlineStr"/>
      <c r="I1716" t="inlineStr">
        <is>
          <t>General</t>
        </is>
      </c>
      <c r="J1716" t="b">
        <v>0</v>
      </c>
      <c r="K1716" t="b">
        <v>0</v>
      </c>
      <c r="L1716" t="n">
        <v>11</v>
      </c>
      <c r="M1716" t="inlineStr">
        <is>
          <t>Values must be of type &lt;class 'str'&gt;</t>
        </is>
      </c>
      <c r="N1716" t="inlineStr">
        <is>
          <t>00000000</t>
        </is>
      </c>
      <c r="O1716" t="inlineStr">
        <is>
          <t>left</t>
        </is>
      </c>
      <c r="P1716" t="n">
        <v/>
      </c>
      <c r="R1716" t="b">
        <v>1</v>
      </c>
      <c r="S1716" t="inlineStr">
        <is>
          <t>G000336</t>
        </is>
      </c>
      <c r="T1716" t="inlineStr">
        <is>
          <t>Horizontal</t>
        </is>
      </c>
      <c r="U1716" t="n">
        <v>3</v>
      </c>
      <c r="V1716" t="b">
        <v>1</v>
      </c>
      <c r="W1716" t="inlineStr">
        <is>
          <t>ATF fuel!G177:I177</t>
        </is>
      </c>
      <c r="X1716">
        <f>(1+(R[0]C[-4]/R[-1]C[-4])-1)*R[-1]C[0]</f>
        <v/>
      </c>
    </row>
    <row r="1717">
      <c r="A1717" t="inlineStr">
        <is>
          <t>ATF fuel</t>
        </is>
      </c>
      <c r="B1717" t="inlineStr">
        <is>
          <t>I177</t>
        </is>
      </c>
      <c r="C1717" t="n">
        <v>177</v>
      </c>
      <c r="D1717" t="n">
        <v>9</v>
      </c>
      <c r="E1717" t="inlineStr">
        <is>
          <t>Calculation</t>
        </is>
      </c>
      <c r="F1717" t="inlineStr">
        <is>
          <t>'=(1+(E177/E176)-1)*I176</t>
        </is>
      </c>
      <c r="G1717" t="n">
        <v>128.5579084348752</v>
      </c>
      <c r="H1717" t="inlineStr"/>
      <c r="I1717" t="inlineStr">
        <is>
          <t>General</t>
        </is>
      </c>
      <c r="J1717" t="b">
        <v>0</v>
      </c>
      <c r="K1717" t="b">
        <v>0</v>
      </c>
      <c r="L1717" t="n">
        <v>11</v>
      </c>
      <c r="M1717" t="inlineStr">
        <is>
          <t>Values must be of type &lt;class 'str'&gt;</t>
        </is>
      </c>
      <c r="N1717" t="inlineStr">
        <is>
          <t>00000000</t>
        </is>
      </c>
      <c r="O1717" t="inlineStr">
        <is>
          <t>left</t>
        </is>
      </c>
      <c r="P1717" t="n">
        <v/>
      </c>
      <c r="R1717" t="b">
        <v>1</v>
      </c>
      <c r="S1717" t="inlineStr">
        <is>
          <t>G000336</t>
        </is>
      </c>
      <c r="T1717" t="inlineStr">
        <is>
          <t>Horizontal</t>
        </is>
      </c>
      <c r="U1717" t="n">
        <v>3</v>
      </c>
      <c r="V1717" t="b">
        <v>1</v>
      </c>
      <c r="W1717" t="inlineStr">
        <is>
          <t>ATF fuel!G177:I177</t>
        </is>
      </c>
      <c r="X1717">
        <f>(1+(R[0]C[-4]/R[-1]C[-4])-1)*R[-1]C[0]</f>
        <v/>
      </c>
    </row>
    <row r="1718">
      <c r="A1718" t="inlineStr">
        <is>
          <t>ATF fuel</t>
        </is>
      </c>
      <c r="B1718" t="inlineStr">
        <is>
          <t>J177</t>
        </is>
      </c>
      <c r="C1718" t="n">
        <v>177</v>
      </c>
      <c r="D1718" t="n">
        <v>10</v>
      </c>
      <c r="E1718" t="inlineStr">
        <is>
          <t>Output</t>
        </is>
      </c>
      <c r="F1718" t="inlineStr">
        <is>
          <t>'=G177/H177-1</t>
        </is>
      </c>
      <c r="G1718" t="n">
        <v>0.3262781561985599</v>
      </c>
      <c r="H1718" t="inlineStr"/>
      <c r="I1718" t="inlineStr">
        <is>
          <t>0.0%</t>
        </is>
      </c>
      <c r="J1718" t="b">
        <v>0</v>
      </c>
      <c r="K1718" t="b">
        <v>0</v>
      </c>
      <c r="L1718" t="n">
        <v>11</v>
      </c>
      <c r="M1718" t="inlineStr">
        <is>
          <t>Values must be of type &lt;class 'str'&gt;</t>
        </is>
      </c>
      <c r="N1718" t="inlineStr">
        <is>
          <t>00000000</t>
        </is>
      </c>
      <c r="O1718" t="n">
        <v/>
      </c>
      <c r="P1718" t="n">
        <v/>
      </c>
      <c r="R1718" t="b">
        <v>1</v>
      </c>
      <c r="S1718" t="inlineStr">
        <is>
          <t>G000295</t>
        </is>
      </c>
      <c r="T1718" t="inlineStr">
        <is>
          <t>Vertical</t>
        </is>
      </c>
      <c r="U1718" t="n">
        <v>93</v>
      </c>
      <c r="V1718" t="b">
        <v>1</v>
      </c>
      <c r="W1718" t="inlineStr">
        <is>
          <t>ATF fuel!J136:J228</t>
        </is>
      </c>
      <c r="X1718">
        <f>R[0]C[-3]/R[0]C[-2]-1</f>
        <v/>
      </c>
    </row>
    <row r="1719">
      <c r="A1719" t="inlineStr">
        <is>
          <t>ATF fuel</t>
        </is>
      </c>
      <c r="B1719" t="inlineStr">
        <is>
          <t>B178</t>
        </is>
      </c>
      <c r="C1719" t="n">
        <v>178</v>
      </c>
      <c r="D1719" t="n">
        <v>2</v>
      </c>
      <c r="E1719" t="inlineStr">
        <is>
          <t>Input</t>
        </is>
      </c>
      <c r="F1719" t="n">
        <v/>
      </c>
      <c r="G1719" t="inlineStr">
        <is>
          <t>October 01, 2013</t>
        </is>
      </c>
      <c r="H1719" t="inlineStr"/>
      <c r="I1719" t="inlineStr">
        <is>
          <t>General</t>
        </is>
      </c>
      <c r="J1719" t="b">
        <v>0</v>
      </c>
      <c r="K1719" t="b">
        <v>0</v>
      </c>
      <c r="L1719" t="n">
        <v>11</v>
      </c>
      <c r="M1719" t="inlineStr">
        <is>
          <t>Values must be of type &lt;class 'str'&gt;</t>
        </is>
      </c>
      <c r="N1719" t="inlineStr">
        <is>
          <t>FFFFFF00</t>
        </is>
      </c>
      <c r="O1719" t="n">
        <v/>
      </c>
      <c r="P1719" t="n">
        <v/>
      </c>
      <c r="R1719" t="b">
        <v>1</v>
      </c>
      <c r="S1719" t="n">
        <v/>
      </c>
      <c r="T1719" t="n">
        <v/>
      </c>
      <c r="U1719" t="n">
        <v/>
      </c>
      <c r="V1719" t="b">
        <v>0</v>
      </c>
      <c r="W1719" t="inlineStr"/>
      <c r="X1719" t="n">
        <v/>
      </c>
    </row>
    <row r="1720">
      <c r="A1720" t="inlineStr">
        <is>
          <t>ATF fuel</t>
        </is>
      </c>
      <c r="B1720" t="inlineStr">
        <is>
          <t>C178</t>
        </is>
      </c>
      <c r="C1720" t="n">
        <v>178</v>
      </c>
      <c r="D1720" t="n">
        <v>3</v>
      </c>
      <c r="E1720" t="inlineStr">
        <is>
          <t>Input</t>
        </is>
      </c>
      <c r="F1720" t="n">
        <v/>
      </c>
      <c r="G1720" t="n">
        <v>82073.53749999999</v>
      </c>
      <c r="H1720" t="inlineStr"/>
      <c r="I1720" t="inlineStr">
        <is>
          <t>General</t>
        </is>
      </c>
      <c r="J1720" t="b">
        <v>0</v>
      </c>
      <c r="K1720" t="b">
        <v>0</v>
      </c>
      <c r="L1720" t="n">
        <v>11</v>
      </c>
      <c r="M1720" t="inlineStr">
        <is>
          <t>Values must be of type &lt;class 'str'&gt;</t>
        </is>
      </c>
      <c r="N1720" t="inlineStr">
        <is>
          <t>FFFFFF00</t>
        </is>
      </c>
      <c r="O1720" t="n">
        <v/>
      </c>
      <c r="P1720" t="n">
        <v/>
      </c>
      <c r="R1720" t="b">
        <v>1</v>
      </c>
      <c r="S1720" t="n">
        <v/>
      </c>
      <c r="T1720" t="n">
        <v/>
      </c>
      <c r="U1720" t="n">
        <v/>
      </c>
      <c r="V1720" t="b">
        <v>0</v>
      </c>
      <c r="W1720" t="inlineStr"/>
      <c r="X1720" t="n">
        <v/>
      </c>
    </row>
    <row r="1721">
      <c r="A1721" t="inlineStr">
        <is>
          <t>ATF fuel</t>
        </is>
      </c>
      <c r="B1721" t="inlineStr">
        <is>
          <t>D178</t>
        </is>
      </c>
      <c r="C1721" t="n">
        <v>178</v>
      </c>
      <c r="D1721" t="n">
        <v>4</v>
      </c>
      <c r="E1721" t="inlineStr">
        <is>
          <t>Input</t>
        </is>
      </c>
      <c r="F1721" t="n">
        <v/>
      </c>
      <c r="G1721" t="n">
        <v>109.02</v>
      </c>
      <c r="H1721" t="inlineStr"/>
      <c r="I1721" t="inlineStr">
        <is>
          <t>General</t>
        </is>
      </c>
      <c r="J1721" t="b">
        <v>0</v>
      </c>
      <c r="K1721" t="b">
        <v>0</v>
      </c>
      <c r="L1721" t="n">
        <v>11</v>
      </c>
      <c r="M1721" t="inlineStr">
        <is>
          <t>Values must be of type &lt;class 'str'&gt;</t>
        </is>
      </c>
      <c r="N1721" t="inlineStr">
        <is>
          <t>FFFFFF00</t>
        </is>
      </c>
      <c r="O1721" t="n">
        <v/>
      </c>
      <c r="P1721" t="n">
        <v/>
      </c>
      <c r="R1721" t="b">
        <v>1</v>
      </c>
      <c r="S1721" t="n">
        <v/>
      </c>
      <c r="T1721" t="n">
        <v/>
      </c>
      <c r="U1721" t="n">
        <v/>
      </c>
      <c r="V1721" t="b">
        <v>0</v>
      </c>
      <c r="W1721" t="inlineStr"/>
      <c r="X1721" t="n">
        <v/>
      </c>
    </row>
    <row r="1722">
      <c r="A1722" t="inlineStr">
        <is>
          <t>ATF fuel</t>
        </is>
      </c>
      <c r="B1722" t="inlineStr">
        <is>
          <t>E178</t>
        </is>
      </c>
      <c r="C1722" t="n">
        <v>178</v>
      </c>
      <c r="D1722" t="n">
        <v>5</v>
      </c>
      <c r="E1722" t="inlineStr">
        <is>
          <t>Input</t>
        </is>
      </c>
      <c r="F1722" t="n">
        <v/>
      </c>
      <c r="G1722" t="n">
        <v>102.09</v>
      </c>
      <c r="H1722" t="inlineStr"/>
      <c r="I1722" t="inlineStr">
        <is>
          <t>General</t>
        </is>
      </c>
      <c r="J1722" t="b">
        <v>0</v>
      </c>
      <c r="K1722" t="b">
        <v>0</v>
      </c>
      <c r="L1722" t="n">
        <v>11</v>
      </c>
      <c r="M1722" t="inlineStr">
        <is>
          <t>Values must be of type &lt;class 'str'&gt;</t>
        </is>
      </c>
      <c r="N1722" t="inlineStr">
        <is>
          <t>FFFFFF00</t>
        </is>
      </c>
      <c r="O1722" t="n">
        <v/>
      </c>
      <c r="P1722" t="n">
        <v/>
      </c>
      <c r="R1722" t="b">
        <v>1</v>
      </c>
      <c r="S1722" t="n">
        <v/>
      </c>
      <c r="T1722" t="n">
        <v/>
      </c>
      <c r="U1722" t="n">
        <v/>
      </c>
      <c r="V1722" t="b">
        <v>0</v>
      </c>
      <c r="W1722" t="inlineStr"/>
      <c r="X1722" t="n">
        <v/>
      </c>
    </row>
    <row r="1723">
      <c r="A1723" t="inlineStr">
        <is>
          <t>ATF fuel</t>
        </is>
      </c>
      <c r="B1723" t="inlineStr">
        <is>
          <t>F178</t>
        </is>
      </c>
      <c r="C1723" t="n">
        <v>178</v>
      </c>
      <c r="D1723" t="n">
        <v>6</v>
      </c>
      <c r="E1723" t="inlineStr">
        <is>
          <t>Input</t>
        </is>
      </c>
      <c r="F1723" t="n">
        <v/>
      </c>
      <c r="G1723" t="inlineStr">
        <is>
          <t>October 01, 2013</t>
        </is>
      </c>
      <c r="H1723" t="inlineStr"/>
      <c r="I1723" t="inlineStr">
        <is>
          <t>General</t>
        </is>
      </c>
      <c r="J1723" t="b">
        <v>0</v>
      </c>
      <c r="K1723" t="b">
        <v>0</v>
      </c>
      <c r="L1723" t="n">
        <v>11</v>
      </c>
      <c r="M1723" t="inlineStr">
        <is>
          <t>Values must be of type &lt;class 'str'&gt;</t>
        </is>
      </c>
      <c r="N1723" t="inlineStr">
        <is>
          <t>FFFFFF00</t>
        </is>
      </c>
      <c r="O1723" t="inlineStr">
        <is>
          <t>left</t>
        </is>
      </c>
      <c r="P1723" t="n">
        <v/>
      </c>
      <c r="R1723" t="b">
        <v>1</v>
      </c>
      <c r="S1723" t="n">
        <v/>
      </c>
      <c r="T1723" t="n">
        <v/>
      </c>
      <c r="U1723" t="n">
        <v/>
      </c>
      <c r="V1723" t="b">
        <v>0</v>
      </c>
      <c r="W1723" t="inlineStr"/>
      <c r="X1723" t="n">
        <v/>
      </c>
    </row>
    <row r="1724">
      <c r="A1724" t="inlineStr">
        <is>
          <t>ATF fuel</t>
        </is>
      </c>
      <c r="B1724" t="inlineStr">
        <is>
          <t>G178</t>
        </is>
      </c>
      <c r="C1724" t="n">
        <v>178</v>
      </c>
      <c r="D1724" t="n">
        <v>7</v>
      </c>
      <c r="E1724" t="inlineStr">
        <is>
          <t>Calculation</t>
        </is>
      </c>
      <c r="F1724" t="inlineStr">
        <is>
          <t>'=(1+(C178/C177)-1)*G177</t>
        </is>
      </c>
      <c r="G1724" t="n">
        <v>185.0094740852783</v>
      </c>
      <c r="H1724" t="inlineStr"/>
      <c r="I1724" t="inlineStr">
        <is>
          <t>General</t>
        </is>
      </c>
      <c r="J1724" t="b">
        <v>0</v>
      </c>
      <c r="K1724" t="b">
        <v>0</v>
      </c>
      <c r="L1724" t="n">
        <v>11</v>
      </c>
      <c r="M1724" t="inlineStr">
        <is>
          <t>Values must be of type &lt;class 'str'&gt;</t>
        </is>
      </c>
      <c r="N1724" t="inlineStr">
        <is>
          <t>FFFFFF00</t>
        </is>
      </c>
      <c r="O1724" t="inlineStr">
        <is>
          <t>left</t>
        </is>
      </c>
      <c r="P1724" t="n">
        <v/>
      </c>
      <c r="R1724" t="b">
        <v>1</v>
      </c>
      <c r="S1724" t="inlineStr">
        <is>
          <t>G000337</t>
        </is>
      </c>
      <c r="T1724" t="inlineStr">
        <is>
          <t>Horizontal</t>
        </is>
      </c>
      <c r="U1724" t="n">
        <v>3</v>
      </c>
      <c r="V1724" t="b">
        <v>1</v>
      </c>
      <c r="W1724" t="inlineStr">
        <is>
          <t>ATF fuel!G178:I178</t>
        </is>
      </c>
      <c r="X1724">
        <f>(1+(R[0]C[-4]/R[-1]C[-4])-1)*R[-1]C[0]</f>
        <v/>
      </c>
    </row>
    <row r="1725">
      <c r="A1725" t="inlineStr">
        <is>
          <t>ATF fuel</t>
        </is>
      </c>
      <c r="B1725" t="inlineStr">
        <is>
          <t>H178</t>
        </is>
      </c>
      <c r="C1725" t="n">
        <v>178</v>
      </c>
      <c r="D1725" t="n">
        <v>8</v>
      </c>
      <c r="E1725" t="inlineStr">
        <is>
          <t>Calculation</t>
        </is>
      </c>
      <c r="F1725" t="inlineStr">
        <is>
          <t>'=(1+(D178/D177)-1)*H177</t>
        </is>
      </c>
      <c r="G1725" t="n">
        <v>131.9375529468717</v>
      </c>
      <c r="H1725" t="inlineStr"/>
      <c r="I1725" t="inlineStr">
        <is>
          <t>General</t>
        </is>
      </c>
      <c r="J1725" t="b">
        <v>0</v>
      </c>
      <c r="K1725" t="b">
        <v>0</v>
      </c>
      <c r="L1725" t="n">
        <v>11</v>
      </c>
      <c r="M1725" t="inlineStr">
        <is>
          <t>Values must be of type &lt;class 'str'&gt;</t>
        </is>
      </c>
      <c r="N1725" t="inlineStr">
        <is>
          <t>FFFFFF00</t>
        </is>
      </c>
      <c r="O1725" t="inlineStr">
        <is>
          <t>left</t>
        </is>
      </c>
      <c r="P1725" t="n">
        <v/>
      </c>
      <c r="R1725" t="b">
        <v>1</v>
      </c>
      <c r="S1725" t="inlineStr">
        <is>
          <t>G000337</t>
        </is>
      </c>
      <c r="T1725" t="inlineStr">
        <is>
          <t>Horizontal</t>
        </is>
      </c>
      <c r="U1725" t="n">
        <v>3</v>
      </c>
      <c r="V1725" t="b">
        <v>1</v>
      </c>
      <c r="W1725" t="inlineStr">
        <is>
          <t>ATF fuel!G178:I178</t>
        </is>
      </c>
      <c r="X1725">
        <f>(1+(R[0]C[-4]/R[-1]C[-4])-1)*R[-1]C[0]</f>
        <v/>
      </c>
    </row>
    <row r="1726">
      <c r="A1726" t="inlineStr">
        <is>
          <t>ATF fuel</t>
        </is>
      </c>
      <c r="B1726" t="inlineStr">
        <is>
          <t>I178</t>
        </is>
      </c>
      <c r="C1726" t="n">
        <v>178</v>
      </c>
      <c r="D1726" t="n">
        <v>9</v>
      </c>
      <c r="E1726" t="inlineStr">
        <is>
          <t>Calculation</t>
        </is>
      </c>
      <c r="F1726" t="inlineStr">
        <is>
          <t>'=(1+(E178/E177)-1)*I177</t>
        </is>
      </c>
      <c r="G1726" t="n">
        <v>120.7736898142671</v>
      </c>
      <c r="H1726" t="inlineStr"/>
      <c r="I1726" t="inlineStr">
        <is>
          <t>General</t>
        </is>
      </c>
      <c r="J1726" t="b">
        <v>0</v>
      </c>
      <c r="K1726" t="b">
        <v>0</v>
      </c>
      <c r="L1726" t="n">
        <v>11</v>
      </c>
      <c r="M1726" t="inlineStr">
        <is>
          <t>Values must be of type &lt;class 'str'&gt;</t>
        </is>
      </c>
      <c r="N1726" t="inlineStr">
        <is>
          <t>FFFFFF00</t>
        </is>
      </c>
      <c r="O1726" t="inlineStr">
        <is>
          <t>left</t>
        </is>
      </c>
      <c r="P1726" t="n">
        <v/>
      </c>
      <c r="R1726" t="b">
        <v>1</v>
      </c>
      <c r="S1726" t="inlineStr">
        <is>
          <t>G000337</t>
        </is>
      </c>
      <c r="T1726" t="inlineStr">
        <is>
          <t>Horizontal</t>
        </is>
      </c>
      <c r="U1726" t="n">
        <v>3</v>
      </c>
      <c r="V1726" t="b">
        <v>1</v>
      </c>
      <c r="W1726" t="inlineStr">
        <is>
          <t>ATF fuel!G178:I178</t>
        </is>
      </c>
      <c r="X1726">
        <f>(1+(R[0]C[-4]/R[-1]C[-4])-1)*R[-1]C[0]</f>
        <v/>
      </c>
    </row>
    <row r="1727">
      <c r="A1727" t="inlineStr">
        <is>
          <t>ATF fuel</t>
        </is>
      </c>
      <c r="B1727" t="inlineStr">
        <is>
          <t>J178</t>
        </is>
      </c>
      <c r="C1727" t="n">
        <v>178</v>
      </c>
      <c r="D1727" t="n">
        <v>10</v>
      </c>
      <c r="E1727" t="inlineStr">
        <is>
          <t>Output</t>
        </is>
      </c>
      <c r="F1727" t="inlineStr">
        <is>
          <t>'=G178/H178-1</t>
        </is>
      </c>
      <c r="G1727" t="n">
        <v>0.4022503067021219</v>
      </c>
      <c r="H1727" t="inlineStr"/>
      <c r="I1727" t="inlineStr">
        <is>
          <t>0.0%</t>
        </is>
      </c>
      <c r="J1727" t="b">
        <v>0</v>
      </c>
      <c r="K1727" t="b">
        <v>0</v>
      </c>
      <c r="L1727" t="n">
        <v>11</v>
      </c>
      <c r="M1727" t="inlineStr">
        <is>
          <t>Values must be of type &lt;class 'str'&gt;</t>
        </is>
      </c>
      <c r="N1727" t="inlineStr">
        <is>
          <t>FFFFFF00</t>
        </is>
      </c>
      <c r="O1727" t="n">
        <v/>
      </c>
      <c r="P1727" t="n">
        <v/>
      </c>
      <c r="R1727" t="b">
        <v>1</v>
      </c>
      <c r="S1727" t="inlineStr">
        <is>
          <t>G000295</t>
        </is>
      </c>
      <c r="T1727" t="inlineStr">
        <is>
          <t>Vertical</t>
        </is>
      </c>
      <c r="U1727" t="n">
        <v>93</v>
      </c>
      <c r="V1727" t="b">
        <v>1</v>
      </c>
      <c r="W1727" t="inlineStr">
        <is>
          <t>ATF fuel!J136:J228</t>
        </is>
      </c>
      <c r="X1727">
        <f>R[0]C[-3]/R[0]C[-2]-1</f>
        <v/>
      </c>
    </row>
    <row r="1728">
      <c r="A1728" t="inlineStr">
        <is>
          <t>ATF fuel</t>
        </is>
      </c>
      <c r="B1728" t="inlineStr">
        <is>
          <t>B179</t>
        </is>
      </c>
      <c r="C1728" t="n">
        <v>179</v>
      </c>
      <c r="D1728" t="n">
        <v>2</v>
      </c>
      <c r="E1728" t="inlineStr">
        <is>
          <t>Input</t>
        </is>
      </c>
      <c r="F1728" t="n">
        <v/>
      </c>
      <c r="G1728" t="inlineStr">
        <is>
          <t>November 01, 2013</t>
        </is>
      </c>
      <c r="H1728" t="inlineStr"/>
      <c r="I1728" t="inlineStr">
        <is>
          <t>General</t>
        </is>
      </c>
      <c r="J1728" t="b">
        <v>0</v>
      </c>
      <c r="K1728" t="b">
        <v>0</v>
      </c>
      <c r="L1728" t="n">
        <v>11</v>
      </c>
      <c r="M1728" t="inlineStr">
        <is>
          <t>Values must be of type &lt;class 'str'&gt;</t>
        </is>
      </c>
      <c r="N1728" t="inlineStr">
        <is>
          <t>00000000</t>
        </is>
      </c>
      <c r="O1728" t="n">
        <v/>
      </c>
      <c r="P1728" t="n">
        <v/>
      </c>
      <c r="R1728" t="b">
        <v>1</v>
      </c>
      <c r="S1728" t="n">
        <v/>
      </c>
      <c r="T1728" t="n">
        <v/>
      </c>
      <c r="U1728" t="n">
        <v/>
      </c>
      <c r="V1728" t="b">
        <v>0</v>
      </c>
      <c r="W1728" t="inlineStr"/>
      <c r="X1728" t="n">
        <v/>
      </c>
    </row>
    <row r="1729">
      <c r="A1729" t="inlineStr">
        <is>
          <t>ATF fuel</t>
        </is>
      </c>
      <c r="B1729" t="inlineStr">
        <is>
          <t>C179</t>
        </is>
      </c>
      <c r="C1729" t="n">
        <v>179</v>
      </c>
      <c r="D1729" t="n">
        <v>3</v>
      </c>
      <c r="E1729" t="inlineStr">
        <is>
          <t>Input</t>
        </is>
      </c>
      <c r="F1729" t="n">
        <v/>
      </c>
      <c r="G1729" t="n">
        <v>78427.93000000001</v>
      </c>
      <c r="H1729" t="inlineStr"/>
      <c r="I1729" t="inlineStr">
        <is>
          <t>General</t>
        </is>
      </c>
      <c r="J1729" t="b">
        <v>0</v>
      </c>
      <c r="K1729" t="b">
        <v>0</v>
      </c>
      <c r="L1729" t="n">
        <v>11</v>
      </c>
      <c r="M1729" t="inlineStr">
        <is>
          <t>Values must be of type &lt;class 'str'&gt;</t>
        </is>
      </c>
      <c r="N1729" t="inlineStr">
        <is>
          <t>00000000</t>
        </is>
      </c>
      <c r="O1729" t="n">
        <v/>
      </c>
      <c r="P1729" t="n">
        <v/>
      </c>
      <c r="R1729" t="b">
        <v>1</v>
      </c>
      <c r="S1729" t="n">
        <v/>
      </c>
      <c r="T1729" t="n">
        <v/>
      </c>
      <c r="U1729" t="n">
        <v/>
      </c>
      <c r="V1729" t="b">
        <v>0</v>
      </c>
      <c r="W1729" t="inlineStr"/>
      <c r="X1729" t="n">
        <v/>
      </c>
    </row>
    <row r="1730">
      <c r="A1730" t="inlineStr">
        <is>
          <t>ATF fuel</t>
        </is>
      </c>
      <c r="B1730" t="inlineStr">
        <is>
          <t>D179</t>
        </is>
      </c>
      <c r="C1730" t="n">
        <v>179</v>
      </c>
      <c r="D1730" t="n">
        <v>4</v>
      </c>
      <c r="E1730" t="inlineStr">
        <is>
          <t>Input</t>
        </is>
      </c>
      <c r="F1730" t="n">
        <v/>
      </c>
      <c r="G1730" t="n">
        <v>105.76</v>
      </c>
      <c r="H1730" t="inlineStr"/>
      <c r="I1730" t="inlineStr">
        <is>
          <t>General</t>
        </is>
      </c>
      <c r="J1730" t="b">
        <v>0</v>
      </c>
      <c r="K1730" t="b">
        <v>0</v>
      </c>
      <c r="L1730" t="n">
        <v>11</v>
      </c>
      <c r="M1730" t="inlineStr">
        <is>
          <t>Values must be of type &lt;class 'str'&gt;</t>
        </is>
      </c>
      <c r="N1730" t="inlineStr">
        <is>
          <t>00000000</t>
        </is>
      </c>
      <c r="O1730" t="n">
        <v/>
      </c>
      <c r="P1730" t="n">
        <v/>
      </c>
      <c r="R1730" t="b">
        <v>1</v>
      </c>
      <c r="S1730" t="n">
        <v/>
      </c>
      <c r="T1730" t="n">
        <v/>
      </c>
      <c r="U1730" t="n">
        <v/>
      </c>
      <c r="V1730" t="b">
        <v>0</v>
      </c>
      <c r="W1730" t="inlineStr"/>
      <c r="X1730" t="n">
        <v/>
      </c>
    </row>
    <row r="1731">
      <c r="A1731" t="inlineStr">
        <is>
          <t>ATF fuel</t>
        </is>
      </c>
      <c r="B1731" t="inlineStr">
        <is>
          <t>E179</t>
        </is>
      </c>
      <c r="C1731" t="n">
        <v>179</v>
      </c>
      <c r="D1731" t="n">
        <v>5</v>
      </c>
      <c r="E1731" t="inlineStr">
        <is>
          <t>Input</t>
        </is>
      </c>
      <c r="F1731" t="n">
        <v/>
      </c>
      <c r="G1731" t="n">
        <v>94.56</v>
      </c>
      <c r="H1731" t="inlineStr"/>
      <c r="I1731" t="inlineStr">
        <is>
          <t>General</t>
        </is>
      </c>
      <c r="J1731" t="b">
        <v>0</v>
      </c>
      <c r="K1731" t="b">
        <v>0</v>
      </c>
      <c r="L1731" t="n">
        <v>11</v>
      </c>
      <c r="M1731" t="inlineStr">
        <is>
          <t>Values must be of type &lt;class 'str'&gt;</t>
        </is>
      </c>
      <c r="N1731" t="inlineStr">
        <is>
          <t>00000000</t>
        </is>
      </c>
      <c r="O1731" t="n">
        <v/>
      </c>
      <c r="P1731" t="n">
        <v/>
      </c>
      <c r="R1731" t="b">
        <v>1</v>
      </c>
      <c r="S1731" t="n">
        <v/>
      </c>
      <c r="T1731" t="n">
        <v/>
      </c>
      <c r="U1731" t="n">
        <v/>
      </c>
      <c r="V1731" t="b">
        <v>0</v>
      </c>
      <c r="W1731" t="inlineStr"/>
      <c r="X1731" t="n">
        <v/>
      </c>
    </row>
    <row r="1732">
      <c r="A1732" t="inlineStr">
        <is>
          <t>ATF fuel</t>
        </is>
      </c>
      <c r="B1732" t="inlineStr">
        <is>
          <t>F179</t>
        </is>
      </c>
      <c r="C1732" t="n">
        <v>179</v>
      </c>
      <c r="D1732" t="n">
        <v>6</v>
      </c>
      <c r="E1732" t="inlineStr">
        <is>
          <t>Input</t>
        </is>
      </c>
      <c r="F1732" t="n">
        <v/>
      </c>
      <c r="G1732" t="inlineStr">
        <is>
          <t>November 01, 2013</t>
        </is>
      </c>
      <c r="H1732" t="inlineStr"/>
      <c r="I1732" t="inlineStr">
        <is>
          <t>General</t>
        </is>
      </c>
      <c r="J1732" t="b">
        <v>0</v>
      </c>
      <c r="K1732" t="b">
        <v>0</v>
      </c>
      <c r="L1732" t="n">
        <v>11</v>
      </c>
      <c r="M1732" t="inlineStr">
        <is>
          <t>Values must be of type &lt;class 'str'&gt;</t>
        </is>
      </c>
      <c r="N1732" t="inlineStr">
        <is>
          <t>00000000</t>
        </is>
      </c>
      <c r="O1732" t="inlineStr">
        <is>
          <t>left</t>
        </is>
      </c>
      <c r="P1732" t="n">
        <v/>
      </c>
      <c r="R1732" t="b">
        <v>1</v>
      </c>
      <c r="S1732" t="n">
        <v/>
      </c>
      <c r="T1732" t="n">
        <v/>
      </c>
      <c r="U1732" t="n">
        <v/>
      </c>
      <c r="V1732" t="b">
        <v>0</v>
      </c>
      <c r="W1732" t="inlineStr"/>
      <c r="X1732" t="n">
        <v/>
      </c>
    </row>
    <row r="1733">
      <c r="A1733" t="inlineStr">
        <is>
          <t>ATF fuel</t>
        </is>
      </c>
      <c r="B1733" t="inlineStr">
        <is>
          <t>G179</t>
        </is>
      </c>
      <c r="C1733" t="n">
        <v>179</v>
      </c>
      <c r="D1733" t="n">
        <v>7</v>
      </c>
      <c r="E1733" t="inlineStr">
        <is>
          <t>Calculation</t>
        </is>
      </c>
      <c r="F1733" t="inlineStr">
        <is>
          <t>'=(1+(C179/C178)-1)*G178</t>
        </is>
      </c>
      <c r="G1733" t="n">
        <v>176.7915764919603</v>
      </c>
      <c r="H1733" t="inlineStr"/>
      <c r="I1733" t="inlineStr">
        <is>
          <t>General</t>
        </is>
      </c>
      <c r="J1733" t="b">
        <v>0</v>
      </c>
      <c r="K1733" t="b">
        <v>0</v>
      </c>
      <c r="L1733" t="n">
        <v>11</v>
      </c>
      <c r="M1733" t="inlineStr">
        <is>
          <t>Values must be of type &lt;class 'str'&gt;</t>
        </is>
      </c>
      <c r="N1733" t="inlineStr">
        <is>
          <t>00000000</t>
        </is>
      </c>
      <c r="O1733" t="inlineStr">
        <is>
          <t>left</t>
        </is>
      </c>
      <c r="P1733" t="n">
        <v/>
      </c>
      <c r="R1733" t="b">
        <v>1</v>
      </c>
      <c r="S1733" t="inlineStr">
        <is>
          <t>G000338</t>
        </is>
      </c>
      <c r="T1733" t="inlineStr">
        <is>
          <t>Horizontal</t>
        </is>
      </c>
      <c r="U1733" t="n">
        <v>3</v>
      </c>
      <c r="V1733" t="b">
        <v>1</v>
      </c>
      <c r="W1733" t="inlineStr">
        <is>
          <t>ATF fuel!G179:I179</t>
        </is>
      </c>
      <c r="X1733">
        <f>(1+(R[0]C[-4]/R[-1]C[-4])-1)*R[-1]C[0]</f>
        <v/>
      </c>
    </row>
    <row r="1734">
      <c r="A1734" t="inlineStr">
        <is>
          <t>ATF fuel</t>
        </is>
      </c>
      <c r="B1734" t="inlineStr">
        <is>
          <t>H179</t>
        </is>
      </c>
      <c r="C1734" t="n">
        <v>179</v>
      </c>
      <c r="D1734" t="n">
        <v>8</v>
      </c>
      <c r="E1734" t="inlineStr">
        <is>
          <t>Calculation</t>
        </is>
      </c>
      <c r="F1734" t="inlineStr">
        <is>
          <t>'=(1+(D179/D178)-1)*H178</t>
        </is>
      </c>
      <c r="G1734" t="n">
        <v>127.9922546290695</v>
      </c>
      <c r="H1734" t="inlineStr"/>
      <c r="I1734" t="inlineStr">
        <is>
          <t>General</t>
        </is>
      </c>
      <c r="J1734" t="b">
        <v>0</v>
      </c>
      <c r="K1734" t="b">
        <v>0</v>
      </c>
      <c r="L1734" t="n">
        <v>11</v>
      </c>
      <c r="M1734" t="inlineStr">
        <is>
          <t>Values must be of type &lt;class 'str'&gt;</t>
        </is>
      </c>
      <c r="N1734" t="inlineStr">
        <is>
          <t>00000000</t>
        </is>
      </c>
      <c r="O1734" t="inlineStr">
        <is>
          <t>left</t>
        </is>
      </c>
      <c r="P1734" t="n">
        <v/>
      </c>
      <c r="R1734" t="b">
        <v>1</v>
      </c>
      <c r="S1734" t="inlineStr">
        <is>
          <t>G000338</t>
        </is>
      </c>
      <c r="T1734" t="inlineStr">
        <is>
          <t>Horizontal</t>
        </is>
      </c>
      <c r="U1734" t="n">
        <v>3</v>
      </c>
      <c r="V1734" t="b">
        <v>1</v>
      </c>
      <c r="W1734" t="inlineStr">
        <is>
          <t>ATF fuel!G179:I179</t>
        </is>
      </c>
      <c r="X1734">
        <f>(1+(R[0]C[-4]/R[-1]C[-4])-1)*R[-1]C[0]</f>
        <v/>
      </c>
    </row>
    <row r="1735">
      <c r="A1735" t="inlineStr">
        <is>
          <t>ATF fuel</t>
        </is>
      </c>
      <c r="B1735" t="inlineStr">
        <is>
          <t>I179</t>
        </is>
      </c>
      <c r="C1735" t="n">
        <v>179</v>
      </c>
      <c r="D1735" t="n">
        <v>9</v>
      </c>
      <c r="E1735" t="inlineStr">
        <is>
          <t>Calculation</t>
        </is>
      </c>
      <c r="F1735" t="inlineStr">
        <is>
          <t>'=(1+(E179/E178)-1)*I178</t>
        </is>
      </c>
      <c r="G1735" t="n">
        <v>111.8656098426594</v>
      </c>
      <c r="H1735" t="inlineStr"/>
      <c r="I1735" t="inlineStr">
        <is>
          <t>General</t>
        </is>
      </c>
      <c r="J1735" t="b">
        <v>0</v>
      </c>
      <c r="K1735" t="b">
        <v>0</v>
      </c>
      <c r="L1735" t="n">
        <v>11</v>
      </c>
      <c r="M1735" t="inlineStr">
        <is>
          <t>Values must be of type &lt;class 'str'&gt;</t>
        </is>
      </c>
      <c r="N1735" t="inlineStr">
        <is>
          <t>00000000</t>
        </is>
      </c>
      <c r="O1735" t="inlineStr">
        <is>
          <t>left</t>
        </is>
      </c>
      <c r="P1735" t="n">
        <v/>
      </c>
      <c r="R1735" t="b">
        <v>1</v>
      </c>
      <c r="S1735" t="inlineStr">
        <is>
          <t>G000338</t>
        </is>
      </c>
      <c r="T1735" t="inlineStr">
        <is>
          <t>Horizontal</t>
        </is>
      </c>
      <c r="U1735" t="n">
        <v>3</v>
      </c>
      <c r="V1735" t="b">
        <v>1</v>
      </c>
      <c r="W1735" t="inlineStr">
        <is>
          <t>ATF fuel!G179:I179</t>
        </is>
      </c>
      <c r="X1735">
        <f>(1+(R[0]C[-4]/R[-1]C[-4])-1)*R[-1]C[0]</f>
        <v/>
      </c>
    </row>
    <row r="1736">
      <c r="A1736" t="inlineStr">
        <is>
          <t>ATF fuel</t>
        </is>
      </c>
      <c r="B1736" t="inlineStr">
        <is>
          <t>J179</t>
        </is>
      </c>
      <c r="C1736" t="n">
        <v>179</v>
      </c>
      <c r="D1736" t="n">
        <v>10</v>
      </c>
      <c r="E1736" t="inlineStr">
        <is>
          <t>Output</t>
        </is>
      </c>
      <c r="F1736" t="inlineStr">
        <is>
          <t>'=G179/H179-1</t>
        </is>
      </c>
      <c r="G1736" t="n">
        <v>0.3812677728376199</v>
      </c>
      <c r="H1736" t="inlineStr"/>
      <c r="I1736" t="inlineStr">
        <is>
          <t>0.0%</t>
        </is>
      </c>
      <c r="J1736" t="b">
        <v>0</v>
      </c>
      <c r="K1736" t="b">
        <v>0</v>
      </c>
      <c r="L1736" t="n">
        <v>11</v>
      </c>
      <c r="M1736" t="inlineStr">
        <is>
          <t>Values must be of type &lt;class 'str'&gt;</t>
        </is>
      </c>
      <c r="N1736" t="inlineStr">
        <is>
          <t>00000000</t>
        </is>
      </c>
      <c r="O1736" t="n">
        <v/>
      </c>
      <c r="P1736" t="n">
        <v/>
      </c>
      <c r="R1736" t="b">
        <v>1</v>
      </c>
      <c r="S1736" t="inlineStr">
        <is>
          <t>G000295</t>
        </is>
      </c>
      <c r="T1736" t="inlineStr">
        <is>
          <t>Vertical</t>
        </is>
      </c>
      <c r="U1736" t="n">
        <v>93</v>
      </c>
      <c r="V1736" t="b">
        <v>1</v>
      </c>
      <c r="W1736" t="inlineStr">
        <is>
          <t>ATF fuel!J136:J228</t>
        </is>
      </c>
      <c r="X1736">
        <f>R[0]C[-3]/R[0]C[-2]-1</f>
        <v/>
      </c>
    </row>
    <row r="1737">
      <c r="A1737" t="inlineStr">
        <is>
          <t>ATF fuel</t>
        </is>
      </c>
      <c r="B1737" t="inlineStr">
        <is>
          <t>B180</t>
        </is>
      </c>
      <c r="C1737" t="n">
        <v>180</v>
      </c>
      <c r="D1737" t="n">
        <v>2</v>
      </c>
      <c r="E1737" t="inlineStr">
        <is>
          <t>Input</t>
        </is>
      </c>
      <c r="F1737" t="n">
        <v/>
      </c>
      <c r="G1737" t="inlineStr">
        <is>
          <t>December 01, 2013</t>
        </is>
      </c>
      <c r="H1737" t="inlineStr"/>
      <c r="I1737" t="inlineStr">
        <is>
          <t>General</t>
        </is>
      </c>
      <c r="J1737" t="b">
        <v>0</v>
      </c>
      <c r="K1737" t="b">
        <v>0</v>
      </c>
      <c r="L1737" t="n">
        <v>11</v>
      </c>
      <c r="M1737" t="inlineStr">
        <is>
          <t>Values must be of type &lt;class 'str'&gt;</t>
        </is>
      </c>
      <c r="N1737" t="inlineStr">
        <is>
          <t>00000000</t>
        </is>
      </c>
      <c r="O1737" t="n">
        <v/>
      </c>
      <c r="P1737" t="n">
        <v/>
      </c>
      <c r="R1737" t="b">
        <v>1</v>
      </c>
      <c r="S1737" t="n">
        <v/>
      </c>
      <c r="T1737" t="n">
        <v/>
      </c>
      <c r="U1737" t="n">
        <v/>
      </c>
      <c r="V1737" t="b">
        <v>0</v>
      </c>
      <c r="W1737" t="inlineStr"/>
      <c r="X1737" t="n">
        <v/>
      </c>
    </row>
    <row r="1738">
      <c r="A1738" t="inlineStr">
        <is>
          <t>ATF fuel</t>
        </is>
      </c>
      <c r="B1738" t="inlineStr">
        <is>
          <t>C180</t>
        </is>
      </c>
      <c r="C1738" t="n">
        <v>180</v>
      </c>
      <c r="D1738" t="n">
        <v>3</v>
      </c>
      <c r="E1738" t="inlineStr">
        <is>
          <t>Input</t>
        </is>
      </c>
      <c r="F1738" t="n">
        <v/>
      </c>
      <c r="G1738" t="n">
        <v>79031.935</v>
      </c>
      <c r="H1738" t="inlineStr"/>
      <c r="I1738" t="inlineStr">
        <is>
          <t>General</t>
        </is>
      </c>
      <c r="J1738" t="b">
        <v>0</v>
      </c>
      <c r="K1738" t="b">
        <v>0</v>
      </c>
      <c r="L1738" t="n">
        <v>11</v>
      </c>
      <c r="M1738" t="inlineStr">
        <is>
          <t>Values must be of type &lt;class 'str'&gt;</t>
        </is>
      </c>
      <c r="N1738" t="inlineStr">
        <is>
          <t>00000000</t>
        </is>
      </c>
      <c r="O1738" t="n">
        <v/>
      </c>
      <c r="P1738" t="n">
        <v/>
      </c>
      <c r="R1738" t="b">
        <v>1</v>
      </c>
      <c r="S1738" t="n">
        <v/>
      </c>
      <c r="T1738" t="n">
        <v/>
      </c>
      <c r="U1738" t="n">
        <v/>
      </c>
      <c r="V1738" t="b">
        <v>0</v>
      </c>
      <c r="W1738" t="inlineStr"/>
      <c r="X1738" t="n">
        <v/>
      </c>
    </row>
    <row r="1739">
      <c r="A1739" t="inlineStr">
        <is>
          <t>ATF fuel</t>
        </is>
      </c>
      <c r="B1739" t="inlineStr">
        <is>
          <t>D180</t>
        </is>
      </c>
      <c r="C1739" t="n">
        <v>180</v>
      </c>
      <c r="D1739" t="n">
        <v>4</v>
      </c>
      <c r="E1739" t="inlineStr">
        <is>
          <t>Input</t>
        </is>
      </c>
      <c r="F1739" t="n">
        <v/>
      </c>
      <c r="G1739" t="n">
        <v>108.91</v>
      </c>
      <c r="H1739" t="inlineStr"/>
      <c r="I1739" t="inlineStr">
        <is>
          <t>General</t>
        </is>
      </c>
      <c r="J1739" t="b">
        <v>0</v>
      </c>
      <c r="K1739" t="b">
        <v>0</v>
      </c>
      <c r="L1739" t="n">
        <v>11</v>
      </c>
      <c r="M1739" t="inlineStr">
        <is>
          <t>Values must be of type &lt;class 'str'&gt;</t>
        </is>
      </c>
      <c r="N1739" t="inlineStr">
        <is>
          <t>00000000</t>
        </is>
      </c>
      <c r="O1739" t="n">
        <v/>
      </c>
      <c r="P1739" t="n">
        <v/>
      </c>
      <c r="R1739" t="b">
        <v>1</v>
      </c>
      <c r="S1739" t="n">
        <v/>
      </c>
      <c r="T1739" t="n">
        <v/>
      </c>
      <c r="U1739" t="n">
        <v/>
      </c>
      <c r="V1739" t="b">
        <v>0</v>
      </c>
      <c r="W1739" t="inlineStr"/>
      <c r="X1739" t="n">
        <v/>
      </c>
    </row>
    <row r="1740">
      <c r="A1740" t="inlineStr">
        <is>
          <t>ATF fuel</t>
        </is>
      </c>
      <c r="B1740" t="inlineStr">
        <is>
          <t>E180</t>
        </is>
      </c>
      <c r="C1740" t="n">
        <v>180</v>
      </c>
      <c r="D1740" t="n">
        <v>5</v>
      </c>
      <c r="E1740" t="inlineStr">
        <is>
          <t>Input</t>
        </is>
      </c>
      <c r="F1740" t="n">
        <v/>
      </c>
      <c r="G1740" t="n">
        <v>93.61</v>
      </c>
      <c r="H1740" t="inlineStr"/>
      <c r="I1740" t="inlineStr">
        <is>
          <t>General</t>
        </is>
      </c>
      <c r="J1740" t="b">
        <v>0</v>
      </c>
      <c r="K1740" t="b">
        <v>0</v>
      </c>
      <c r="L1740" t="n">
        <v>11</v>
      </c>
      <c r="M1740" t="inlineStr">
        <is>
          <t>Values must be of type &lt;class 'str'&gt;</t>
        </is>
      </c>
      <c r="N1740" t="inlineStr">
        <is>
          <t>00000000</t>
        </is>
      </c>
      <c r="O1740" t="n">
        <v/>
      </c>
      <c r="P1740" t="n">
        <v/>
      </c>
      <c r="R1740" t="b">
        <v>1</v>
      </c>
      <c r="S1740" t="n">
        <v/>
      </c>
      <c r="T1740" t="n">
        <v/>
      </c>
      <c r="U1740" t="n">
        <v/>
      </c>
      <c r="V1740" t="b">
        <v>0</v>
      </c>
      <c r="W1740" t="inlineStr"/>
      <c r="X1740" t="n">
        <v/>
      </c>
    </row>
    <row r="1741">
      <c r="A1741" t="inlineStr">
        <is>
          <t>ATF fuel</t>
        </is>
      </c>
      <c r="B1741" t="inlineStr">
        <is>
          <t>F180</t>
        </is>
      </c>
      <c r="C1741" t="n">
        <v>180</v>
      </c>
      <c r="D1741" t="n">
        <v>6</v>
      </c>
      <c r="E1741" t="inlineStr">
        <is>
          <t>Input</t>
        </is>
      </c>
      <c r="F1741" t="n">
        <v/>
      </c>
      <c r="G1741" t="inlineStr">
        <is>
          <t>December 01, 2013</t>
        </is>
      </c>
      <c r="H1741" t="inlineStr"/>
      <c r="I1741" t="inlineStr">
        <is>
          <t>General</t>
        </is>
      </c>
      <c r="J1741" t="b">
        <v>0</v>
      </c>
      <c r="K1741" t="b">
        <v>0</v>
      </c>
      <c r="L1741" t="n">
        <v>11</v>
      </c>
      <c r="M1741" t="inlineStr">
        <is>
          <t>Values must be of type &lt;class 'str'&gt;</t>
        </is>
      </c>
      <c r="N1741" t="inlineStr">
        <is>
          <t>00000000</t>
        </is>
      </c>
      <c r="O1741" t="inlineStr">
        <is>
          <t>left</t>
        </is>
      </c>
      <c r="P1741" t="n">
        <v/>
      </c>
      <c r="R1741" t="b">
        <v>1</v>
      </c>
      <c r="S1741" t="n">
        <v/>
      </c>
      <c r="T1741" t="n">
        <v/>
      </c>
      <c r="U1741" t="n">
        <v/>
      </c>
      <c r="V1741" t="b">
        <v>0</v>
      </c>
      <c r="W1741" t="inlineStr"/>
      <c r="X1741" t="n">
        <v/>
      </c>
    </row>
    <row r="1742">
      <c r="A1742" t="inlineStr">
        <is>
          <t>ATF fuel</t>
        </is>
      </c>
      <c r="B1742" t="inlineStr">
        <is>
          <t>G180</t>
        </is>
      </c>
      <c r="C1742" t="n">
        <v>180</v>
      </c>
      <c r="D1742" t="n">
        <v>7</v>
      </c>
      <c r="E1742" t="inlineStr">
        <is>
          <t>Calculation</t>
        </is>
      </c>
      <c r="F1742" t="inlineStr">
        <is>
          <t>'=(1+(C180/C179)-1)*G179</t>
        </is>
      </c>
      <c r="G1742" t="n">
        <v>178.1531194545124</v>
      </c>
      <c r="H1742" t="inlineStr"/>
      <c r="I1742" t="inlineStr">
        <is>
          <t>General</t>
        </is>
      </c>
      <c r="J1742" t="b">
        <v>0</v>
      </c>
      <c r="K1742" t="b">
        <v>0</v>
      </c>
      <c r="L1742" t="n">
        <v>11</v>
      </c>
      <c r="M1742" t="inlineStr">
        <is>
          <t>Values must be of type &lt;class 'str'&gt;</t>
        </is>
      </c>
      <c r="N1742" t="inlineStr">
        <is>
          <t>00000000</t>
        </is>
      </c>
      <c r="O1742" t="inlineStr">
        <is>
          <t>left</t>
        </is>
      </c>
      <c r="P1742" t="n">
        <v/>
      </c>
      <c r="R1742" t="b">
        <v>1</v>
      </c>
      <c r="S1742" t="inlineStr">
        <is>
          <t>G000339</t>
        </is>
      </c>
      <c r="T1742" t="inlineStr">
        <is>
          <t>Horizontal</t>
        </is>
      </c>
      <c r="U1742" t="n">
        <v>3</v>
      </c>
      <c r="V1742" t="b">
        <v>1</v>
      </c>
      <c r="W1742" t="inlineStr">
        <is>
          <t>ATF fuel!G180:I180</t>
        </is>
      </c>
      <c r="X1742">
        <f>(1+(R[0]C[-4]/R[-1]C[-4])-1)*R[-1]C[0]</f>
        <v/>
      </c>
    </row>
    <row r="1743">
      <c r="A1743" t="inlineStr">
        <is>
          <t>ATF fuel</t>
        </is>
      </c>
      <c r="B1743" t="inlineStr">
        <is>
          <t>H180</t>
        </is>
      </c>
      <c r="C1743" t="n">
        <v>180</v>
      </c>
      <c r="D1743" t="n">
        <v>8</v>
      </c>
      <c r="E1743" t="inlineStr">
        <is>
          <t>Calculation</t>
        </is>
      </c>
      <c r="F1743" t="inlineStr">
        <is>
          <t>'=(1+(D180/D179)-1)*H179</t>
        </is>
      </c>
      <c r="G1743" t="n">
        <v>131.8044293840011</v>
      </c>
      <c r="H1743" t="inlineStr"/>
      <c r="I1743" t="inlineStr">
        <is>
          <t>General</t>
        </is>
      </c>
      <c r="J1743" t="b">
        <v>0</v>
      </c>
      <c r="K1743" t="b">
        <v>0</v>
      </c>
      <c r="L1743" t="n">
        <v>11</v>
      </c>
      <c r="M1743" t="inlineStr">
        <is>
          <t>Values must be of type &lt;class 'str'&gt;</t>
        </is>
      </c>
      <c r="N1743" t="inlineStr">
        <is>
          <t>00000000</t>
        </is>
      </c>
      <c r="O1743" t="inlineStr">
        <is>
          <t>left</t>
        </is>
      </c>
      <c r="P1743" t="n">
        <v/>
      </c>
      <c r="R1743" t="b">
        <v>1</v>
      </c>
      <c r="S1743" t="inlineStr">
        <is>
          <t>G000339</t>
        </is>
      </c>
      <c r="T1743" t="inlineStr">
        <is>
          <t>Horizontal</t>
        </is>
      </c>
      <c r="U1743" t="n">
        <v>3</v>
      </c>
      <c r="V1743" t="b">
        <v>1</v>
      </c>
      <c r="W1743" t="inlineStr">
        <is>
          <t>ATF fuel!G180:I180</t>
        </is>
      </c>
      <c r="X1743">
        <f>(1+(R[0]C[-4]/R[-1]C[-4])-1)*R[-1]C[0]</f>
        <v/>
      </c>
    </row>
    <row r="1744">
      <c r="A1744" t="inlineStr">
        <is>
          <t>ATF fuel</t>
        </is>
      </c>
      <c r="B1744" t="inlineStr">
        <is>
          <t>I180</t>
        </is>
      </c>
      <c r="C1744" t="n">
        <v>180</v>
      </c>
      <c r="D1744" t="n">
        <v>9</v>
      </c>
      <c r="E1744" t="inlineStr">
        <is>
          <t>Calculation</t>
        </is>
      </c>
      <c r="F1744" t="inlineStr">
        <is>
          <t>'=(1+(E180/E179)-1)*I179</t>
        </is>
      </c>
      <c r="G1744" t="n">
        <v>110.7417484916598</v>
      </c>
      <c r="H1744" t="inlineStr"/>
      <c r="I1744" t="inlineStr">
        <is>
          <t>General</t>
        </is>
      </c>
      <c r="J1744" t="b">
        <v>0</v>
      </c>
      <c r="K1744" t="b">
        <v>0</v>
      </c>
      <c r="L1744" t="n">
        <v>11</v>
      </c>
      <c r="M1744" t="inlineStr">
        <is>
          <t>Values must be of type &lt;class 'str'&gt;</t>
        </is>
      </c>
      <c r="N1744" t="inlineStr">
        <is>
          <t>00000000</t>
        </is>
      </c>
      <c r="O1744" t="inlineStr">
        <is>
          <t>left</t>
        </is>
      </c>
      <c r="P1744" t="n">
        <v/>
      </c>
      <c r="R1744" t="b">
        <v>1</v>
      </c>
      <c r="S1744" t="inlineStr">
        <is>
          <t>G000339</t>
        </is>
      </c>
      <c r="T1744" t="inlineStr">
        <is>
          <t>Horizontal</t>
        </is>
      </c>
      <c r="U1744" t="n">
        <v>3</v>
      </c>
      <c r="V1744" t="b">
        <v>1</v>
      </c>
      <c r="W1744" t="inlineStr">
        <is>
          <t>ATF fuel!G180:I180</t>
        </is>
      </c>
      <c r="X1744">
        <f>(1+(R[0]C[-4]/R[-1]C[-4])-1)*R[-1]C[0]</f>
        <v/>
      </c>
    </row>
    <row r="1745">
      <c r="A1745" t="inlineStr">
        <is>
          <t>ATF fuel</t>
        </is>
      </c>
      <c r="B1745" t="inlineStr">
        <is>
          <t>J180</t>
        </is>
      </c>
      <c r="C1745" t="n">
        <v>180</v>
      </c>
      <c r="D1745" t="n">
        <v>10</v>
      </c>
      <c r="E1745" t="inlineStr">
        <is>
          <t>Output</t>
        </is>
      </c>
      <c r="F1745" t="inlineStr">
        <is>
          <t>'=G180/H180-1</t>
        </is>
      </c>
      <c r="G1745" t="n">
        <v>0.3516474392182853</v>
      </c>
      <c r="H1745" t="inlineStr"/>
      <c r="I1745" t="inlineStr">
        <is>
          <t>0.0%</t>
        </is>
      </c>
      <c r="J1745" t="b">
        <v>0</v>
      </c>
      <c r="K1745" t="b">
        <v>0</v>
      </c>
      <c r="L1745" t="n">
        <v>11</v>
      </c>
      <c r="M1745" t="inlineStr">
        <is>
          <t>Values must be of type &lt;class 'str'&gt;</t>
        </is>
      </c>
      <c r="N1745" t="inlineStr">
        <is>
          <t>00000000</t>
        </is>
      </c>
      <c r="O1745" t="n">
        <v/>
      </c>
      <c r="P1745" t="n">
        <v/>
      </c>
      <c r="R1745" t="b">
        <v>1</v>
      </c>
      <c r="S1745" t="inlineStr">
        <is>
          <t>G000295</t>
        </is>
      </c>
      <c r="T1745" t="inlineStr">
        <is>
          <t>Vertical</t>
        </is>
      </c>
      <c r="U1745" t="n">
        <v>93</v>
      </c>
      <c r="V1745" t="b">
        <v>1</v>
      </c>
      <c r="W1745" t="inlineStr">
        <is>
          <t>ATF fuel!J136:J228</t>
        </is>
      </c>
      <c r="X1745">
        <f>R[0]C[-3]/R[0]C[-2]-1</f>
        <v/>
      </c>
    </row>
    <row r="1746">
      <c r="A1746" t="inlineStr">
        <is>
          <t>ATF fuel</t>
        </is>
      </c>
      <c r="B1746" t="inlineStr">
        <is>
          <t>B181</t>
        </is>
      </c>
      <c r="C1746" t="n">
        <v>181</v>
      </c>
      <c r="D1746" t="n">
        <v>2</v>
      </c>
      <c r="E1746" t="inlineStr">
        <is>
          <t>Input</t>
        </is>
      </c>
      <c r="F1746" t="n">
        <v/>
      </c>
      <c r="G1746" t="inlineStr">
        <is>
          <t>January 01, 2014</t>
        </is>
      </c>
      <c r="H1746" t="inlineStr"/>
      <c r="I1746" t="inlineStr">
        <is>
          <t>General</t>
        </is>
      </c>
      <c r="J1746" t="b">
        <v>0</v>
      </c>
      <c r="K1746" t="b">
        <v>0</v>
      </c>
      <c r="L1746" t="n">
        <v>11</v>
      </c>
      <c r="M1746" t="inlineStr">
        <is>
          <t>Values must be of type &lt;class 'str'&gt;</t>
        </is>
      </c>
      <c r="N1746" t="inlineStr">
        <is>
          <t>00000000</t>
        </is>
      </c>
      <c r="O1746" t="n">
        <v/>
      </c>
      <c r="P1746" t="n">
        <v/>
      </c>
      <c r="R1746" t="b">
        <v>1</v>
      </c>
      <c r="S1746" t="n">
        <v/>
      </c>
      <c r="T1746" t="n">
        <v/>
      </c>
      <c r="U1746" t="n">
        <v/>
      </c>
      <c r="V1746" t="b">
        <v>0</v>
      </c>
      <c r="W1746" t="inlineStr"/>
      <c r="X1746" t="n">
        <v/>
      </c>
    </row>
    <row r="1747">
      <c r="A1747" t="inlineStr">
        <is>
          <t>ATF fuel</t>
        </is>
      </c>
      <c r="B1747" t="inlineStr">
        <is>
          <t>C181</t>
        </is>
      </c>
      <c r="C1747" t="n">
        <v>181</v>
      </c>
      <c r="D1747" t="n">
        <v>3</v>
      </c>
      <c r="E1747" t="inlineStr">
        <is>
          <t>Input</t>
        </is>
      </c>
      <c r="F1747" t="n">
        <v/>
      </c>
      <c r="G1747" t="n">
        <v>81109.5325</v>
      </c>
      <c r="H1747" t="inlineStr"/>
      <c r="I1747" t="inlineStr">
        <is>
          <t>General</t>
        </is>
      </c>
      <c r="J1747" t="b">
        <v>0</v>
      </c>
      <c r="K1747" t="b">
        <v>0</v>
      </c>
      <c r="L1747" t="n">
        <v>11</v>
      </c>
      <c r="M1747" t="inlineStr">
        <is>
          <t>Values must be of type &lt;class 'str'&gt;</t>
        </is>
      </c>
      <c r="N1747" t="inlineStr">
        <is>
          <t>00000000</t>
        </is>
      </c>
      <c r="O1747" t="n">
        <v/>
      </c>
      <c r="P1747" t="n">
        <v/>
      </c>
      <c r="R1747" t="b">
        <v>1</v>
      </c>
      <c r="S1747" t="n">
        <v/>
      </c>
      <c r="T1747" t="n">
        <v/>
      </c>
      <c r="U1747" t="n">
        <v/>
      </c>
      <c r="V1747" t="b">
        <v>0</v>
      </c>
      <c r="W1747" t="inlineStr"/>
      <c r="X1747" t="n">
        <v/>
      </c>
    </row>
    <row r="1748">
      <c r="A1748" t="inlineStr">
        <is>
          <t>ATF fuel</t>
        </is>
      </c>
      <c r="B1748" t="inlineStr">
        <is>
          <t>D181</t>
        </is>
      </c>
      <c r="C1748" t="n">
        <v>181</v>
      </c>
      <c r="D1748" t="n">
        <v>4</v>
      </c>
      <c r="E1748" t="inlineStr">
        <is>
          <t>Input</t>
        </is>
      </c>
      <c r="F1748" t="n">
        <v/>
      </c>
      <c r="G1748" t="n">
        <v>106.44</v>
      </c>
      <c r="H1748" t="inlineStr"/>
      <c r="I1748" t="inlineStr">
        <is>
          <t>General</t>
        </is>
      </c>
      <c r="J1748" t="b">
        <v>0</v>
      </c>
      <c r="K1748" t="b">
        <v>0</v>
      </c>
      <c r="L1748" t="n">
        <v>11</v>
      </c>
      <c r="M1748" t="inlineStr">
        <is>
          <t>Values must be of type &lt;class 'str'&gt;</t>
        </is>
      </c>
      <c r="N1748" t="inlineStr">
        <is>
          <t>00000000</t>
        </is>
      </c>
      <c r="O1748" t="n">
        <v/>
      </c>
      <c r="P1748" t="n">
        <v/>
      </c>
      <c r="R1748" t="b">
        <v>1</v>
      </c>
      <c r="S1748" t="n">
        <v/>
      </c>
      <c r="T1748" t="n">
        <v/>
      </c>
      <c r="U1748" t="n">
        <v/>
      </c>
      <c r="V1748" t="b">
        <v>0</v>
      </c>
      <c r="W1748" t="inlineStr"/>
      <c r="X1748" t="n">
        <v/>
      </c>
    </row>
    <row r="1749">
      <c r="A1749" t="inlineStr">
        <is>
          <t>ATF fuel</t>
        </is>
      </c>
      <c r="B1749" t="inlineStr">
        <is>
          <t>E181</t>
        </is>
      </c>
      <c r="C1749" t="n">
        <v>181</v>
      </c>
      <c r="D1749" t="n">
        <v>5</v>
      </c>
      <c r="E1749" t="inlineStr">
        <is>
          <t>Input</t>
        </is>
      </c>
      <c r="F1749" t="n">
        <v/>
      </c>
      <c r="G1749" t="n">
        <v>95.14</v>
      </c>
      <c r="H1749" t="inlineStr"/>
      <c r="I1749" t="inlineStr">
        <is>
          <t>General</t>
        </is>
      </c>
      <c r="J1749" t="b">
        <v>0</v>
      </c>
      <c r="K1749" t="b">
        <v>0</v>
      </c>
      <c r="L1749" t="n">
        <v>11</v>
      </c>
      <c r="M1749" t="inlineStr">
        <is>
          <t>Values must be of type &lt;class 'str'&gt;</t>
        </is>
      </c>
      <c r="N1749" t="inlineStr">
        <is>
          <t>00000000</t>
        </is>
      </c>
      <c r="O1749" t="n">
        <v/>
      </c>
      <c r="P1749" t="n">
        <v/>
      </c>
      <c r="R1749" t="b">
        <v>1</v>
      </c>
      <c r="S1749" t="n">
        <v/>
      </c>
      <c r="T1749" t="n">
        <v/>
      </c>
      <c r="U1749" t="n">
        <v/>
      </c>
      <c r="V1749" t="b">
        <v>0</v>
      </c>
      <c r="W1749" t="inlineStr"/>
      <c r="X1749" t="n">
        <v/>
      </c>
    </row>
    <row r="1750">
      <c r="A1750" t="inlineStr">
        <is>
          <t>ATF fuel</t>
        </is>
      </c>
      <c r="B1750" t="inlineStr">
        <is>
          <t>F181</t>
        </is>
      </c>
      <c r="C1750" t="n">
        <v>181</v>
      </c>
      <c r="D1750" t="n">
        <v>6</v>
      </c>
      <c r="E1750" t="inlineStr">
        <is>
          <t>Input</t>
        </is>
      </c>
      <c r="F1750" t="n">
        <v/>
      </c>
      <c r="G1750" t="inlineStr">
        <is>
          <t>January 01, 2014</t>
        </is>
      </c>
      <c r="H1750" t="inlineStr"/>
      <c r="I1750" t="inlineStr">
        <is>
          <t>General</t>
        </is>
      </c>
      <c r="J1750" t="b">
        <v>0</v>
      </c>
      <c r="K1750" t="b">
        <v>0</v>
      </c>
      <c r="L1750" t="n">
        <v>11</v>
      </c>
      <c r="M1750" t="inlineStr">
        <is>
          <t>Values must be of type &lt;class 'str'&gt;</t>
        </is>
      </c>
      <c r="N1750" t="inlineStr">
        <is>
          <t>00000000</t>
        </is>
      </c>
      <c r="O1750" t="inlineStr">
        <is>
          <t>left</t>
        </is>
      </c>
      <c r="P1750" t="n">
        <v/>
      </c>
      <c r="R1750" t="b">
        <v>1</v>
      </c>
      <c r="S1750" t="n">
        <v/>
      </c>
      <c r="T1750" t="n">
        <v/>
      </c>
      <c r="U1750" t="n">
        <v/>
      </c>
      <c r="V1750" t="b">
        <v>0</v>
      </c>
      <c r="W1750" t="inlineStr"/>
      <c r="X1750" t="n">
        <v/>
      </c>
    </row>
    <row r="1751">
      <c r="A1751" t="inlineStr">
        <is>
          <t>ATF fuel</t>
        </is>
      </c>
      <c r="B1751" t="inlineStr">
        <is>
          <t>G181</t>
        </is>
      </c>
      <c r="C1751" t="n">
        <v>181</v>
      </c>
      <c r="D1751" t="n">
        <v>7</v>
      </c>
      <c r="E1751" t="inlineStr">
        <is>
          <t>Calculation</t>
        </is>
      </c>
      <c r="F1751" t="inlineStr">
        <is>
          <t>'=(1+(C181/C180)-1)*G180</t>
        </is>
      </c>
      <c r="G1751" t="n">
        <v>182.8364221674713</v>
      </c>
      <c r="H1751" t="inlineStr"/>
      <c r="I1751" t="inlineStr">
        <is>
          <t>General</t>
        </is>
      </c>
      <c r="J1751" t="b">
        <v>0</v>
      </c>
      <c r="K1751" t="b">
        <v>0</v>
      </c>
      <c r="L1751" t="n">
        <v>11</v>
      </c>
      <c r="M1751" t="inlineStr">
        <is>
          <t>Values must be of type &lt;class 'str'&gt;</t>
        </is>
      </c>
      <c r="N1751" t="inlineStr">
        <is>
          <t>00000000</t>
        </is>
      </c>
      <c r="O1751" t="inlineStr">
        <is>
          <t>left</t>
        </is>
      </c>
      <c r="P1751" t="n">
        <v/>
      </c>
      <c r="R1751" t="b">
        <v>1</v>
      </c>
      <c r="S1751" t="inlineStr">
        <is>
          <t>G000340</t>
        </is>
      </c>
      <c r="T1751" t="inlineStr">
        <is>
          <t>Horizontal</t>
        </is>
      </c>
      <c r="U1751" t="n">
        <v>3</v>
      </c>
      <c r="V1751" t="b">
        <v>1</v>
      </c>
      <c r="W1751" t="inlineStr">
        <is>
          <t>ATF fuel!G181:I181</t>
        </is>
      </c>
      <c r="X1751">
        <f>(1+(R[0]C[-4]/R[-1]C[-4])-1)*R[-1]C[0]</f>
        <v/>
      </c>
    </row>
    <row r="1752">
      <c r="A1752" t="inlineStr">
        <is>
          <t>ATF fuel</t>
        </is>
      </c>
      <c r="B1752" t="inlineStr">
        <is>
          <t>H181</t>
        </is>
      </c>
      <c r="C1752" t="n">
        <v>181</v>
      </c>
      <c r="D1752" t="n">
        <v>8</v>
      </c>
      <c r="E1752" t="inlineStr">
        <is>
          <t>Calculation</t>
        </is>
      </c>
      <c r="F1752" t="inlineStr">
        <is>
          <t>'=(1+(D181/D180)-1)*H180</t>
        </is>
      </c>
      <c r="G1752" t="n">
        <v>128.8152002904515</v>
      </c>
      <c r="H1752" t="inlineStr"/>
      <c r="I1752" t="inlineStr">
        <is>
          <t>General</t>
        </is>
      </c>
      <c r="J1752" t="b">
        <v>0</v>
      </c>
      <c r="K1752" t="b">
        <v>0</v>
      </c>
      <c r="L1752" t="n">
        <v>11</v>
      </c>
      <c r="M1752" t="inlineStr">
        <is>
          <t>Values must be of type &lt;class 'str'&gt;</t>
        </is>
      </c>
      <c r="N1752" t="inlineStr">
        <is>
          <t>00000000</t>
        </is>
      </c>
      <c r="O1752" t="inlineStr">
        <is>
          <t>left</t>
        </is>
      </c>
      <c r="P1752" t="n">
        <v/>
      </c>
      <c r="R1752" t="b">
        <v>1</v>
      </c>
      <c r="S1752" t="inlineStr">
        <is>
          <t>G000340</t>
        </is>
      </c>
      <c r="T1752" t="inlineStr">
        <is>
          <t>Horizontal</t>
        </is>
      </c>
      <c r="U1752" t="n">
        <v>3</v>
      </c>
      <c r="V1752" t="b">
        <v>1</v>
      </c>
      <c r="W1752" t="inlineStr">
        <is>
          <t>ATF fuel!G181:I181</t>
        </is>
      </c>
      <c r="X1752">
        <f>(1+(R[0]C[-4]/R[-1]C[-4])-1)*R[-1]C[0]</f>
        <v/>
      </c>
    </row>
    <row r="1753">
      <c r="A1753" t="inlineStr">
        <is>
          <t>ATF fuel</t>
        </is>
      </c>
      <c r="B1753" t="inlineStr">
        <is>
          <t>I181</t>
        </is>
      </c>
      <c r="C1753" t="n">
        <v>181</v>
      </c>
      <c r="D1753" t="n">
        <v>9</v>
      </c>
      <c r="E1753" t="inlineStr">
        <is>
          <t>Calculation</t>
        </is>
      </c>
      <c r="F1753" t="inlineStr">
        <is>
          <t>'=(1+(E181/E180)-1)*I180</t>
        </is>
      </c>
      <c r="G1753" t="n">
        <v>112.5517567727434</v>
      </c>
      <c r="H1753" t="inlineStr"/>
      <c r="I1753" t="inlineStr">
        <is>
          <t>General</t>
        </is>
      </c>
      <c r="J1753" t="b">
        <v>0</v>
      </c>
      <c r="K1753" t="b">
        <v>0</v>
      </c>
      <c r="L1753" t="n">
        <v>11</v>
      </c>
      <c r="M1753" t="inlineStr">
        <is>
          <t>Values must be of type &lt;class 'str'&gt;</t>
        </is>
      </c>
      <c r="N1753" t="inlineStr">
        <is>
          <t>00000000</t>
        </is>
      </c>
      <c r="O1753" t="inlineStr">
        <is>
          <t>left</t>
        </is>
      </c>
      <c r="P1753" t="n">
        <v/>
      </c>
      <c r="R1753" t="b">
        <v>1</v>
      </c>
      <c r="S1753" t="inlineStr">
        <is>
          <t>G000340</t>
        </is>
      </c>
      <c r="T1753" t="inlineStr">
        <is>
          <t>Horizontal</t>
        </is>
      </c>
      <c r="U1753" t="n">
        <v>3</v>
      </c>
      <c r="V1753" t="b">
        <v>1</v>
      </c>
      <c r="W1753" t="inlineStr">
        <is>
          <t>ATF fuel!G181:I181</t>
        </is>
      </c>
      <c r="X1753">
        <f>(1+(R[0]C[-4]/R[-1]C[-4])-1)*R[-1]C[0]</f>
        <v/>
      </c>
    </row>
    <row r="1754">
      <c r="A1754" t="inlineStr">
        <is>
          <t>ATF fuel</t>
        </is>
      </c>
      <c r="B1754" t="inlineStr">
        <is>
          <t>J181</t>
        </is>
      </c>
      <c r="C1754" t="n">
        <v>181</v>
      </c>
      <c r="D1754" t="n">
        <v>10</v>
      </c>
      <c r="E1754" t="inlineStr">
        <is>
          <t>Output</t>
        </is>
      </c>
      <c r="F1754" t="inlineStr">
        <is>
          <t>'=G181/H181-1</t>
        </is>
      </c>
      <c r="G1754" t="n">
        <v>0.4193699327036962</v>
      </c>
      <c r="H1754" t="inlineStr"/>
      <c r="I1754" t="inlineStr">
        <is>
          <t>0.0%</t>
        </is>
      </c>
      <c r="J1754" t="b">
        <v>0</v>
      </c>
      <c r="K1754" t="b">
        <v>0</v>
      </c>
      <c r="L1754" t="n">
        <v>11</v>
      </c>
      <c r="M1754" t="inlineStr">
        <is>
          <t>Values must be of type &lt;class 'str'&gt;</t>
        </is>
      </c>
      <c r="N1754" t="inlineStr">
        <is>
          <t>00000000</t>
        </is>
      </c>
      <c r="O1754" t="n">
        <v/>
      </c>
      <c r="P1754" t="n">
        <v/>
      </c>
      <c r="R1754" t="b">
        <v>1</v>
      </c>
      <c r="S1754" t="inlineStr">
        <is>
          <t>G000295</t>
        </is>
      </c>
      <c r="T1754" t="inlineStr">
        <is>
          <t>Vertical</t>
        </is>
      </c>
      <c r="U1754" t="n">
        <v>93</v>
      </c>
      <c r="V1754" t="b">
        <v>1</v>
      </c>
      <c r="W1754" t="inlineStr">
        <is>
          <t>ATF fuel!J136:J228</t>
        </is>
      </c>
      <c r="X1754">
        <f>R[0]C[-3]/R[0]C[-2]-1</f>
        <v/>
      </c>
    </row>
    <row r="1755">
      <c r="A1755" t="inlineStr">
        <is>
          <t>ATF fuel</t>
        </is>
      </c>
      <c r="B1755" t="inlineStr">
        <is>
          <t>B182</t>
        </is>
      </c>
      <c r="C1755" t="n">
        <v>182</v>
      </c>
      <c r="D1755" t="n">
        <v>2</v>
      </c>
      <c r="E1755" t="inlineStr">
        <is>
          <t>Input</t>
        </is>
      </c>
      <c r="F1755" t="n">
        <v/>
      </c>
      <c r="G1755" t="inlineStr">
        <is>
          <t>February 01, 2014</t>
        </is>
      </c>
      <c r="H1755" t="inlineStr"/>
      <c r="I1755" t="inlineStr">
        <is>
          <t>General</t>
        </is>
      </c>
      <c r="J1755" t="b">
        <v>0</v>
      </c>
      <c r="K1755" t="b">
        <v>0</v>
      </c>
      <c r="L1755" t="n">
        <v>11</v>
      </c>
      <c r="M1755" t="inlineStr">
        <is>
          <t>Values must be of type &lt;class 'str'&gt;</t>
        </is>
      </c>
      <c r="N1755" t="inlineStr">
        <is>
          <t>00000000</t>
        </is>
      </c>
      <c r="O1755" t="n">
        <v/>
      </c>
      <c r="P1755" t="n">
        <v/>
      </c>
      <c r="R1755" t="b">
        <v>1</v>
      </c>
      <c r="S1755" t="n">
        <v/>
      </c>
      <c r="T1755" t="n">
        <v/>
      </c>
      <c r="U1755" t="n">
        <v/>
      </c>
      <c r="V1755" t="b">
        <v>0</v>
      </c>
      <c r="W1755" t="inlineStr"/>
      <c r="X1755" t="n">
        <v/>
      </c>
    </row>
    <row r="1756">
      <c r="A1756" t="inlineStr">
        <is>
          <t>ATF fuel</t>
        </is>
      </c>
      <c r="B1756" t="inlineStr">
        <is>
          <t>C182</t>
        </is>
      </c>
      <c r="C1756" t="n">
        <v>182</v>
      </c>
      <c r="D1756" t="n">
        <v>3</v>
      </c>
      <c r="E1756" t="inlineStr">
        <is>
          <t>Input</t>
        </is>
      </c>
      <c r="F1756" t="n">
        <v/>
      </c>
      <c r="G1756" t="n">
        <v>78878.30499999999</v>
      </c>
      <c r="H1756" t="inlineStr"/>
      <c r="I1756" t="inlineStr">
        <is>
          <t>General</t>
        </is>
      </c>
      <c r="J1756" t="b">
        <v>0</v>
      </c>
      <c r="K1756" t="b">
        <v>0</v>
      </c>
      <c r="L1756" t="n">
        <v>11</v>
      </c>
      <c r="M1756" t="inlineStr">
        <is>
          <t>Values must be of type &lt;class 'str'&gt;</t>
        </is>
      </c>
      <c r="N1756" t="inlineStr">
        <is>
          <t>00000000</t>
        </is>
      </c>
      <c r="O1756" t="n">
        <v/>
      </c>
      <c r="P1756" t="n">
        <v/>
      </c>
      <c r="R1756" t="b">
        <v>1</v>
      </c>
      <c r="S1756" t="n">
        <v/>
      </c>
      <c r="T1756" t="n">
        <v/>
      </c>
      <c r="U1756" t="n">
        <v/>
      </c>
      <c r="V1756" t="b">
        <v>0</v>
      </c>
      <c r="W1756" t="inlineStr"/>
      <c r="X1756" t="n">
        <v/>
      </c>
    </row>
    <row r="1757">
      <c r="A1757" t="inlineStr">
        <is>
          <t>ATF fuel</t>
        </is>
      </c>
      <c r="B1757" t="inlineStr">
        <is>
          <t>D182</t>
        </is>
      </c>
      <c r="C1757" t="n">
        <v>182</v>
      </c>
      <c r="D1757" t="n">
        <v>4</v>
      </c>
      <c r="E1757" t="inlineStr">
        <is>
          <t>Input</t>
        </is>
      </c>
      <c r="F1757" t="n">
        <v/>
      </c>
      <c r="G1757" t="n">
        <v>110.18</v>
      </c>
      <c r="H1757" t="inlineStr"/>
      <c r="I1757" t="inlineStr">
        <is>
          <t>General</t>
        </is>
      </c>
      <c r="J1757" t="b">
        <v>0</v>
      </c>
      <c r="K1757" t="b">
        <v>0</v>
      </c>
      <c r="L1757" t="n">
        <v>11</v>
      </c>
      <c r="M1757" t="inlineStr">
        <is>
          <t>Values must be of type &lt;class 'str'&gt;</t>
        </is>
      </c>
      <c r="N1757" t="inlineStr">
        <is>
          <t>00000000</t>
        </is>
      </c>
      <c r="O1757" t="n">
        <v/>
      </c>
      <c r="P1757" t="n">
        <v/>
      </c>
      <c r="R1757" t="b">
        <v>1</v>
      </c>
      <c r="S1757" t="n">
        <v/>
      </c>
      <c r="T1757" t="n">
        <v/>
      </c>
      <c r="U1757" t="n">
        <v/>
      </c>
      <c r="V1757" t="b">
        <v>0</v>
      </c>
      <c r="W1757" t="inlineStr"/>
      <c r="X1757" t="n">
        <v/>
      </c>
    </row>
    <row r="1758">
      <c r="A1758" t="inlineStr">
        <is>
          <t>ATF fuel</t>
        </is>
      </c>
      <c r="B1758" t="inlineStr">
        <is>
          <t>E182</t>
        </is>
      </c>
      <c r="C1758" t="n">
        <v>182</v>
      </c>
      <c r="D1758" t="n">
        <v>5</v>
      </c>
      <c r="E1758" t="inlineStr">
        <is>
          <t>Input</t>
        </is>
      </c>
      <c r="F1758" t="n">
        <v/>
      </c>
      <c r="G1758" t="n">
        <v>96.44</v>
      </c>
      <c r="H1758" t="inlineStr"/>
      <c r="I1758" t="inlineStr">
        <is>
          <t>General</t>
        </is>
      </c>
      <c r="J1758" t="b">
        <v>0</v>
      </c>
      <c r="K1758" t="b">
        <v>0</v>
      </c>
      <c r="L1758" t="n">
        <v>11</v>
      </c>
      <c r="M1758" t="inlineStr">
        <is>
          <t>Values must be of type &lt;class 'str'&gt;</t>
        </is>
      </c>
      <c r="N1758" t="inlineStr">
        <is>
          <t>00000000</t>
        </is>
      </c>
      <c r="O1758" t="n">
        <v/>
      </c>
      <c r="P1758" t="n">
        <v/>
      </c>
      <c r="R1758" t="b">
        <v>1</v>
      </c>
      <c r="S1758" t="n">
        <v/>
      </c>
      <c r="T1758" t="n">
        <v/>
      </c>
      <c r="U1758" t="n">
        <v/>
      </c>
      <c r="V1758" t="b">
        <v>0</v>
      </c>
      <c r="W1758" t="inlineStr"/>
      <c r="X1758" t="n">
        <v/>
      </c>
    </row>
    <row r="1759">
      <c r="A1759" t="inlineStr">
        <is>
          <t>ATF fuel</t>
        </is>
      </c>
      <c r="B1759" t="inlineStr">
        <is>
          <t>F182</t>
        </is>
      </c>
      <c r="C1759" t="n">
        <v>182</v>
      </c>
      <c r="D1759" t="n">
        <v>6</v>
      </c>
      <c r="E1759" t="inlineStr">
        <is>
          <t>Input</t>
        </is>
      </c>
      <c r="F1759" t="n">
        <v/>
      </c>
      <c r="G1759" t="inlineStr">
        <is>
          <t>February 01, 2014</t>
        </is>
      </c>
      <c r="H1759" t="inlineStr"/>
      <c r="I1759" t="inlineStr">
        <is>
          <t>General</t>
        </is>
      </c>
      <c r="J1759" t="b">
        <v>0</v>
      </c>
      <c r="K1759" t="b">
        <v>0</v>
      </c>
      <c r="L1759" t="n">
        <v>11</v>
      </c>
      <c r="M1759" t="inlineStr">
        <is>
          <t>Values must be of type &lt;class 'str'&gt;</t>
        </is>
      </c>
      <c r="N1759" t="inlineStr">
        <is>
          <t>00000000</t>
        </is>
      </c>
      <c r="O1759" t="inlineStr">
        <is>
          <t>left</t>
        </is>
      </c>
      <c r="P1759" t="n">
        <v/>
      </c>
      <c r="R1759" t="b">
        <v>1</v>
      </c>
      <c r="S1759" t="n">
        <v/>
      </c>
      <c r="T1759" t="n">
        <v/>
      </c>
      <c r="U1759" t="n">
        <v/>
      </c>
      <c r="V1759" t="b">
        <v>0</v>
      </c>
      <c r="W1759" t="inlineStr"/>
      <c r="X1759" t="n">
        <v/>
      </c>
    </row>
    <row r="1760">
      <c r="A1760" t="inlineStr">
        <is>
          <t>ATF fuel</t>
        </is>
      </c>
      <c r="B1760" t="inlineStr">
        <is>
          <t>G182</t>
        </is>
      </c>
      <c r="C1760" t="n">
        <v>182</v>
      </c>
      <c r="D1760" t="n">
        <v>7</v>
      </c>
      <c r="E1760" t="inlineStr">
        <is>
          <t>Calculation</t>
        </is>
      </c>
      <c r="F1760" t="inlineStr">
        <is>
          <t>'=(1+(C182/C181)-1)*G181</t>
        </is>
      </c>
      <c r="G1760" t="n">
        <v>177.8068080078573</v>
      </c>
      <c r="H1760" t="inlineStr"/>
      <c r="I1760" t="inlineStr">
        <is>
          <t>General</t>
        </is>
      </c>
      <c r="J1760" t="b">
        <v>0</v>
      </c>
      <c r="K1760" t="b">
        <v>0</v>
      </c>
      <c r="L1760" t="n">
        <v>11</v>
      </c>
      <c r="M1760" t="inlineStr">
        <is>
          <t>Values must be of type &lt;class 'str'&gt;</t>
        </is>
      </c>
      <c r="N1760" t="inlineStr">
        <is>
          <t>00000000</t>
        </is>
      </c>
      <c r="O1760" t="inlineStr">
        <is>
          <t>left</t>
        </is>
      </c>
      <c r="P1760" t="n">
        <v/>
      </c>
      <c r="R1760" t="b">
        <v>1</v>
      </c>
      <c r="S1760" t="inlineStr">
        <is>
          <t>G000341</t>
        </is>
      </c>
      <c r="T1760" t="inlineStr">
        <is>
          <t>Horizontal</t>
        </is>
      </c>
      <c r="U1760" t="n">
        <v>3</v>
      </c>
      <c r="V1760" t="b">
        <v>1</v>
      </c>
      <c r="W1760" t="inlineStr">
        <is>
          <t>ATF fuel!G182:I182</t>
        </is>
      </c>
      <c r="X1760">
        <f>(1+(R[0]C[-4]/R[-1]C[-4])-1)*R[-1]C[0]</f>
        <v/>
      </c>
    </row>
    <row r="1761">
      <c r="A1761" t="inlineStr">
        <is>
          <t>ATF fuel</t>
        </is>
      </c>
      <c r="B1761" t="inlineStr">
        <is>
          <t>H182</t>
        </is>
      </c>
      <c r="C1761" t="n">
        <v>182</v>
      </c>
      <c r="D1761" t="n">
        <v>8</v>
      </c>
      <c r="E1761" t="inlineStr">
        <is>
          <t>Calculation</t>
        </is>
      </c>
      <c r="F1761" t="inlineStr">
        <is>
          <t>'=(1+(D182/D181)-1)*H181</t>
        </is>
      </c>
      <c r="G1761" t="n">
        <v>133.3414014280529</v>
      </c>
      <c r="H1761" t="inlineStr"/>
      <c r="I1761" t="inlineStr">
        <is>
          <t>General</t>
        </is>
      </c>
      <c r="J1761" t="b">
        <v>0</v>
      </c>
      <c r="K1761" t="b">
        <v>0</v>
      </c>
      <c r="L1761" t="n">
        <v>11</v>
      </c>
      <c r="M1761" t="inlineStr">
        <is>
          <t>Values must be of type &lt;class 'str'&gt;</t>
        </is>
      </c>
      <c r="N1761" t="inlineStr">
        <is>
          <t>00000000</t>
        </is>
      </c>
      <c r="O1761" t="inlineStr">
        <is>
          <t>left</t>
        </is>
      </c>
      <c r="P1761" t="n">
        <v/>
      </c>
      <c r="R1761" t="b">
        <v>1</v>
      </c>
      <c r="S1761" t="inlineStr">
        <is>
          <t>G000341</t>
        </is>
      </c>
      <c r="T1761" t="inlineStr">
        <is>
          <t>Horizontal</t>
        </is>
      </c>
      <c r="U1761" t="n">
        <v>3</v>
      </c>
      <c r="V1761" t="b">
        <v>1</v>
      </c>
      <c r="W1761" t="inlineStr">
        <is>
          <t>ATF fuel!G182:I182</t>
        </is>
      </c>
      <c r="X1761">
        <f>(1+(R[0]C[-4]/R[-1]C[-4])-1)*R[-1]C[0]</f>
        <v/>
      </c>
    </row>
    <row r="1762">
      <c r="A1762" t="inlineStr">
        <is>
          <t>ATF fuel</t>
        </is>
      </c>
      <c r="B1762" t="inlineStr">
        <is>
          <t>I182</t>
        </is>
      </c>
      <c r="C1762" t="n">
        <v>182</v>
      </c>
      <c r="D1762" t="n">
        <v>9</v>
      </c>
      <c r="E1762" t="inlineStr">
        <is>
          <t>Calculation</t>
        </is>
      </c>
      <c r="F1762" t="inlineStr">
        <is>
          <t>'=(1+(E182/E181)-1)*I181</t>
        </is>
      </c>
      <c r="G1762" t="n">
        <v>114.0896723056903</v>
      </c>
      <c r="H1762" t="inlineStr"/>
      <c r="I1762" t="inlineStr">
        <is>
          <t>General</t>
        </is>
      </c>
      <c r="J1762" t="b">
        <v>0</v>
      </c>
      <c r="K1762" t="b">
        <v>0</v>
      </c>
      <c r="L1762" t="n">
        <v>11</v>
      </c>
      <c r="M1762" t="inlineStr">
        <is>
          <t>Values must be of type &lt;class 'str'&gt;</t>
        </is>
      </c>
      <c r="N1762" t="inlineStr">
        <is>
          <t>00000000</t>
        </is>
      </c>
      <c r="O1762" t="inlineStr">
        <is>
          <t>left</t>
        </is>
      </c>
      <c r="P1762" t="n">
        <v/>
      </c>
      <c r="R1762" t="b">
        <v>1</v>
      </c>
      <c r="S1762" t="inlineStr">
        <is>
          <t>G000341</t>
        </is>
      </c>
      <c r="T1762" t="inlineStr">
        <is>
          <t>Horizontal</t>
        </is>
      </c>
      <c r="U1762" t="n">
        <v>3</v>
      </c>
      <c r="V1762" t="b">
        <v>1</v>
      </c>
      <c r="W1762" t="inlineStr">
        <is>
          <t>ATF fuel!G182:I182</t>
        </is>
      </c>
      <c r="X1762">
        <f>(1+(R[0]C[-4]/R[-1]C[-4])-1)*R[-1]C[0]</f>
        <v/>
      </c>
    </row>
    <row r="1763">
      <c r="A1763" t="inlineStr">
        <is>
          <t>ATF fuel</t>
        </is>
      </c>
      <c r="B1763" t="inlineStr">
        <is>
          <t>J182</t>
        </is>
      </c>
      <c r="C1763" t="n">
        <v>182</v>
      </c>
      <c r="D1763" t="n">
        <v>10</v>
      </c>
      <c r="E1763" t="inlineStr">
        <is>
          <t>Output</t>
        </is>
      </c>
      <c r="F1763" t="inlineStr">
        <is>
          <t>'=G182/H182-1</t>
        </is>
      </c>
      <c r="G1763" t="n">
        <v>0.3334703708194988</v>
      </c>
      <c r="H1763" t="inlineStr"/>
      <c r="I1763" t="inlineStr">
        <is>
          <t>0.0%</t>
        </is>
      </c>
      <c r="J1763" t="b">
        <v>0</v>
      </c>
      <c r="K1763" t="b">
        <v>0</v>
      </c>
      <c r="L1763" t="n">
        <v>11</v>
      </c>
      <c r="M1763" t="inlineStr">
        <is>
          <t>Values must be of type &lt;class 'str'&gt;</t>
        </is>
      </c>
      <c r="N1763" t="inlineStr">
        <is>
          <t>00000000</t>
        </is>
      </c>
      <c r="O1763" t="n">
        <v/>
      </c>
      <c r="P1763" t="n">
        <v/>
      </c>
      <c r="R1763" t="b">
        <v>1</v>
      </c>
      <c r="S1763" t="inlineStr">
        <is>
          <t>G000295</t>
        </is>
      </c>
      <c r="T1763" t="inlineStr">
        <is>
          <t>Vertical</t>
        </is>
      </c>
      <c r="U1763" t="n">
        <v>93</v>
      </c>
      <c r="V1763" t="b">
        <v>1</v>
      </c>
      <c r="W1763" t="inlineStr">
        <is>
          <t>ATF fuel!J136:J228</t>
        </is>
      </c>
      <c r="X1763">
        <f>R[0]C[-3]/R[0]C[-2]-1</f>
        <v/>
      </c>
    </row>
    <row r="1764">
      <c r="A1764" t="inlineStr">
        <is>
          <t>ATF fuel</t>
        </is>
      </c>
      <c r="B1764" t="inlineStr">
        <is>
          <t>B183</t>
        </is>
      </c>
      <c r="C1764" t="n">
        <v>183</v>
      </c>
      <c r="D1764" t="n">
        <v>2</v>
      </c>
      <c r="E1764" t="inlineStr">
        <is>
          <t>Input</t>
        </is>
      </c>
      <c r="F1764" t="n">
        <v/>
      </c>
      <c r="G1764" t="inlineStr">
        <is>
          <t>March 01, 2014</t>
        </is>
      </c>
      <c r="H1764" t="inlineStr"/>
      <c r="I1764" t="inlineStr">
        <is>
          <t>General</t>
        </is>
      </c>
      <c r="J1764" t="b">
        <v>0</v>
      </c>
      <c r="K1764" t="b">
        <v>0</v>
      </c>
      <c r="L1764" t="n">
        <v>11</v>
      </c>
      <c r="M1764" t="inlineStr">
        <is>
          <t>Values must be of type &lt;class 'str'&gt;</t>
        </is>
      </c>
      <c r="N1764" t="inlineStr">
        <is>
          <t>00000000</t>
        </is>
      </c>
      <c r="O1764" t="n">
        <v/>
      </c>
      <c r="P1764" t="n">
        <v/>
      </c>
      <c r="R1764" t="b">
        <v>1</v>
      </c>
      <c r="S1764" t="n">
        <v/>
      </c>
      <c r="T1764" t="n">
        <v/>
      </c>
      <c r="U1764" t="n">
        <v/>
      </c>
      <c r="V1764" t="b">
        <v>0</v>
      </c>
      <c r="W1764" t="inlineStr"/>
      <c r="X1764" t="n">
        <v/>
      </c>
    </row>
    <row r="1765">
      <c r="A1765" t="inlineStr">
        <is>
          <t>ATF fuel</t>
        </is>
      </c>
      <c r="B1765" t="inlineStr">
        <is>
          <t>C183</t>
        </is>
      </c>
      <c r="C1765" t="n">
        <v>183</v>
      </c>
      <c r="D1765" t="n">
        <v>3</v>
      </c>
      <c r="E1765" t="inlineStr">
        <is>
          <t>Input</t>
        </is>
      </c>
      <c r="F1765" t="n">
        <v/>
      </c>
      <c r="G1765" t="n">
        <v>79712.8625</v>
      </c>
      <c r="H1765" t="inlineStr"/>
      <c r="I1765" t="inlineStr">
        <is>
          <t>General</t>
        </is>
      </c>
      <c r="J1765" t="b">
        <v>0</v>
      </c>
      <c r="K1765" t="b">
        <v>0</v>
      </c>
      <c r="L1765" t="n">
        <v>11</v>
      </c>
      <c r="M1765" t="inlineStr">
        <is>
          <t>Values must be of type &lt;class 'str'&gt;</t>
        </is>
      </c>
      <c r="N1765" t="inlineStr">
        <is>
          <t>00000000</t>
        </is>
      </c>
      <c r="O1765" t="n">
        <v/>
      </c>
      <c r="P1765" t="n">
        <v/>
      </c>
      <c r="R1765" t="b">
        <v>1</v>
      </c>
      <c r="S1765" t="n">
        <v/>
      </c>
      <c r="T1765" t="n">
        <v/>
      </c>
      <c r="U1765" t="n">
        <v/>
      </c>
      <c r="V1765" t="b">
        <v>0</v>
      </c>
      <c r="W1765" t="inlineStr"/>
      <c r="X1765" t="n">
        <v/>
      </c>
    </row>
    <row r="1766">
      <c r="A1766" t="inlineStr">
        <is>
          <t>ATF fuel</t>
        </is>
      </c>
      <c r="B1766" t="inlineStr">
        <is>
          <t>D183</t>
        </is>
      </c>
      <c r="C1766" t="n">
        <v>183</v>
      </c>
      <c r="D1766" t="n">
        <v>4</v>
      </c>
      <c r="E1766" t="inlineStr">
        <is>
          <t>Input</t>
        </is>
      </c>
      <c r="F1766" t="n">
        <v/>
      </c>
      <c r="G1766" t="n">
        <v>108.27</v>
      </c>
      <c r="H1766" t="inlineStr"/>
      <c r="I1766" t="inlineStr">
        <is>
          <t>General</t>
        </is>
      </c>
      <c r="J1766" t="b">
        <v>0</v>
      </c>
      <c r="K1766" t="b">
        <v>0</v>
      </c>
      <c r="L1766" t="n">
        <v>11</v>
      </c>
      <c r="M1766" t="inlineStr">
        <is>
          <t>Values must be of type &lt;class 'str'&gt;</t>
        </is>
      </c>
      <c r="N1766" t="inlineStr">
        <is>
          <t>00000000</t>
        </is>
      </c>
      <c r="O1766" t="n">
        <v/>
      </c>
      <c r="P1766" t="n">
        <v/>
      </c>
      <c r="R1766" t="b">
        <v>1</v>
      </c>
      <c r="S1766" t="n">
        <v/>
      </c>
      <c r="T1766" t="n">
        <v/>
      </c>
      <c r="U1766" t="n">
        <v/>
      </c>
      <c r="V1766" t="b">
        <v>0</v>
      </c>
      <c r="W1766" t="inlineStr"/>
      <c r="X1766" t="n">
        <v/>
      </c>
    </row>
    <row r="1767">
      <c r="A1767" t="inlineStr">
        <is>
          <t>ATF fuel</t>
        </is>
      </c>
      <c r="B1767" t="inlineStr">
        <is>
          <t>E183</t>
        </is>
      </c>
      <c r="C1767" t="n">
        <v>183</v>
      </c>
      <c r="D1767" t="n">
        <v>5</v>
      </c>
      <c r="E1767" t="inlineStr">
        <is>
          <t>Input</t>
        </is>
      </c>
      <c r="F1767" t="n">
        <v/>
      </c>
      <c r="G1767" t="n">
        <v>105.34</v>
      </c>
      <c r="H1767" t="inlineStr"/>
      <c r="I1767" t="inlineStr">
        <is>
          <t>General</t>
        </is>
      </c>
      <c r="J1767" t="b">
        <v>0</v>
      </c>
      <c r="K1767" t="b">
        <v>0</v>
      </c>
      <c r="L1767" t="n">
        <v>11</v>
      </c>
      <c r="M1767" t="inlineStr">
        <is>
          <t>Values must be of type &lt;class 'str'&gt;</t>
        </is>
      </c>
      <c r="N1767" t="inlineStr">
        <is>
          <t>00000000</t>
        </is>
      </c>
      <c r="O1767" t="n">
        <v/>
      </c>
      <c r="P1767" t="n">
        <v/>
      </c>
      <c r="R1767" t="b">
        <v>1</v>
      </c>
      <c r="S1767" t="n">
        <v/>
      </c>
      <c r="T1767" t="n">
        <v/>
      </c>
      <c r="U1767" t="n">
        <v/>
      </c>
      <c r="V1767" t="b">
        <v>0</v>
      </c>
      <c r="W1767" t="inlineStr"/>
      <c r="X1767" t="n">
        <v/>
      </c>
    </row>
    <row r="1768">
      <c r="A1768" t="inlineStr">
        <is>
          <t>ATF fuel</t>
        </is>
      </c>
      <c r="B1768" t="inlineStr">
        <is>
          <t>F183</t>
        </is>
      </c>
      <c r="C1768" t="n">
        <v>183</v>
      </c>
      <c r="D1768" t="n">
        <v>6</v>
      </c>
      <c r="E1768" t="inlineStr">
        <is>
          <t>Input</t>
        </is>
      </c>
      <c r="F1768" t="n">
        <v/>
      </c>
      <c r="G1768" t="inlineStr">
        <is>
          <t>March 01, 2014</t>
        </is>
      </c>
      <c r="H1768" t="inlineStr"/>
      <c r="I1768" t="inlineStr">
        <is>
          <t>General</t>
        </is>
      </c>
      <c r="J1768" t="b">
        <v>0</v>
      </c>
      <c r="K1768" t="b">
        <v>0</v>
      </c>
      <c r="L1768" t="n">
        <v>11</v>
      </c>
      <c r="M1768" t="inlineStr">
        <is>
          <t>Values must be of type &lt;class 'str'&gt;</t>
        </is>
      </c>
      <c r="N1768" t="inlineStr">
        <is>
          <t>00000000</t>
        </is>
      </c>
      <c r="O1768" t="inlineStr">
        <is>
          <t>left</t>
        </is>
      </c>
      <c r="P1768" t="n">
        <v/>
      </c>
      <c r="R1768" t="b">
        <v>1</v>
      </c>
      <c r="S1768" t="n">
        <v/>
      </c>
      <c r="T1768" t="n">
        <v/>
      </c>
      <c r="U1768" t="n">
        <v/>
      </c>
      <c r="V1768" t="b">
        <v>0</v>
      </c>
      <c r="W1768" t="inlineStr"/>
      <c r="X1768" t="n">
        <v/>
      </c>
    </row>
    <row r="1769">
      <c r="A1769" t="inlineStr">
        <is>
          <t>ATF fuel</t>
        </is>
      </c>
      <c r="B1769" t="inlineStr">
        <is>
          <t>G183</t>
        </is>
      </c>
      <c r="C1769" t="n">
        <v>183</v>
      </c>
      <c r="D1769" t="n">
        <v>7</v>
      </c>
      <c r="E1769" t="inlineStr">
        <is>
          <t>Calculation</t>
        </is>
      </c>
      <c r="F1769" t="inlineStr">
        <is>
          <t>'=(1+(C183/C182)-1)*G182</t>
        </is>
      </c>
      <c r="G1769" t="n">
        <v>179.6880604659827</v>
      </c>
      <c r="H1769" t="inlineStr"/>
      <c r="I1769" t="inlineStr">
        <is>
          <t>General</t>
        </is>
      </c>
      <c r="J1769" t="b">
        <v>0</v>
      </c>
      <c r="K1769" t="b">
        <v>0</v>
      </c>
      <c r="L1769" t="n">
        <v>11</v>
      </c>
      <c r="M1769" t="inlineStr">
        <is>
          <t>Values must be of type &lt;class 'str'&gt;</t>
        </is>
      </c>
      <c r="N1769" t="inlineStr">
        <is>
          <t>00000000</t>
        </is>
      </c>
      <c r="O1769" t="inlineStr">
        <is>
          <t>left</t>
        </is>
      </c>
      <c r="P1769" t="n">
        <v/>
      </c>
      <c r="R1769" t="b">
        <v>1</v>
      </c>
      <c r="S1769" t="inlineStr">
        <is>
          <t>G000342</t>
        </is>
      </c>
      <c r="T1769" t="inlineStr">
        <is>
          <t>Horizontal</t>
        </is>
      </c>
      <c r="U1769" t="n">
        <v>3</v>
      </c>
      <c r="V1769" t="b">
        <v>1</v>
      </c>
      <c r="W1769" t="inlineStr">
        <is>
          <t>ATF fuel!G183:I183</t>
        </is>
      </c>
      <c r="X1769">
        <f>(1+(R[0]C[-4]/R[-1]C[-4])-1)*R[-1]C[0]</f>
        <v/>
      </c>
    </row>
    <row r="1770">
      <c r="A1770" t="inlineStr">
        <is>
          <t>ATF fuel</t>
        </is>
      </c>
      <c r="B1770" t="inlineStr">
        <is>
          <t>H183</t>
        </is>
      </c>
      <c r="C1770" t="n">
        <v>183</v>
      </c>
      <c r="D1770" t="n">
        <v>8</v>
      </c>
      <c r="E1770" t="inlineStr">
        <is>
          <t>Calculation</t>
        </is>
      </c>
      <c r="F1770" t="inlineStr">
        <is>
          <t>'=(1+(D183/D182)-1)*H182</t>
        </is>
      </c>
      <c r="G1770" t="n">
        <v>131.0298922909356</v>
      </c>
      <c r="H1770" t="inlineStr"/>
      <c r="I1770" t="inlineStr">
        <is>
          <t>General</t>
        </is>
      </c>
      <c r="J1770" t="b">
        <v>0</v>
      </c>
      <c r="K1770" t="b">
        <v>0</v>
      </c>
      <c r="L1770" t="n">
        <v>11</v>
      </c>
      <c r="M1770" t="inlineStr">
        <is>
          <t>Values must be of type &lt;class 'str'&gt;</t>
        </is>
      </c>
      <c r="N1770" t="inlineStr">
        <is>
          <t>00000000</t>
        </is>
      </c>
      <c r="O1770" t="inlineStr">
        <is>
          <t>left</t>
        </is>
      </c>
      <c r="P1770" t="n">
        <v/>
      </c>
      <c r="R1770" t="b">
        <v>1</v>
      </c>
      <c r="S1770" t="inlineStr">
        <is>
          <t>G000342</t>
        </is>
      </c>
      <c r="T1770" t="inlineStr">
        <is>
          <t>Horizontal</t>
        </is>
      </c>
      <c r="U1770" t="n">
        <v>3</v>
      </c>
      <c r="V1770" t="b">
        <v>1</v>
      </c>
      <c r="W1770" t="inlineStr">
        <is>
          <t>ATF fuel!G183:I183</t>
        </is>
      </c>
      <c r="X1770">
        <f>(1+(R[0]C[-4]/R[-1]C[-4])-1)*R[-1]C[0]</f>
        <v/>
      </c>
    </row>
    <row r="1771">
      <c r="A1771" t="inlineStr">
        <is>
          <t>ATF fuel</t>
        </is>
      </c>
      <c r="B1771" t="inlineStr">
        <is>
          <t>I183</t>
        </is>
      </c>
      <c r="C1771" t="n">
        <v>183</v>
      </c>
      <c r="D1771" t="n">
        <v>9</v>
      </c>
      <c r="E1771" t="inlineStr">
        <is>
          <t>Calculation</t>
        </is>
      </c>
      <c r="F1771" t="inlineStr">
        <is>
          <t>'=(1+(E183/E182)-1)*I182</t>
        </is>
      </c>
      <c r="G1771" t="n">
        <v>124.6184786466344</v>
      </c>
      <c r="H1771" t="inlineStr"/>
      <c r="I1771" t="inlineStr">
        <is>
          <t>General</t>
        </is>
      </c>
      <c r="J1771" t="b">
        <v>0</v>
      </c>
      <c r="K1771" t="b">
        <v>0</v>
      </c>
      <c r="L1771" t="n">
        <v>11</v>
      </c>
      <c r="M1771" t="inlineStr">
        <is>
          <t>Values must be of type &lt;class 'str'&gt;</t>
        </is>
      </c>
      <c r="N1771" t="inlineStr">
        <is>
          <t>00000000</t>
        </is>
      </c>
      <c r="O1771" t="inlineStr">
        <is>
          <t>left</t>
        </is>
      </c>
      <c r="P1771" t="n">
        <v/>
      </c>
      <c r="R1771" t="b">
        <v>1</v>
      </c>
      <c r="S1771" t="inlineStr">
        <is>
          <t>G000342</t>
        </is>
      </c>
      <c r="T1771" t="inlineStr">
        <is>
          <t>Horizontal</t>
        </is>
      </c>
      <c r="U1771" t="n">
        <v>3</v>
      </c>
      <c r="V1771" t="b">
        <v>1</v>
      </c>
      <c r="W1771" t="inlineStr">
        <is>
          <t>ATF fuel!G183:I183</t>
        </is>
      </c>
      <c r="X1771">
        <f>(1+(R[0]C[-4]/R[-1]C[-4])-1)*R[-1]C[0]</f>
        <v/>
      </c>
    </row>
    <row r="1772">
      <c r="A1772" t="inlineStr">
        <is>
          <t>ATF fuel</t>
        </is>
      </c>
      <c r="B1772" t="inlineStr">
        <is>
          <t>J183</t>
        </is>
      </c>
      <c r="C1772" t="n">
        <v>183</v>
      </c>
      <c r="D1772" t="n">
        <v>10</v>
      </c>
      <c r="E1772" t="inlineStr">
        <is>
          <t>Output</t>
        </is>
      </c>
      <c r="F1772" t="inlineStr">
        <is>
          <t>'=G183/H183-1</t>
        </is>
      </c>
      <c r="G1772" t="n">
        <v>0.3713516612454182</v>
      </c>
      <c r="H1772" t="inlineStr"/>
      <c r="I1772" t="inlineStr">
        <is>
          <t>0.0%</t>
        </is>
      </c>
      <c r="J1772" t="b">
        <v>0</v>
      </c>
      <c r="K1772" t="b">
        <v>0</v>
      </c>
      <c r="L1772" t="n">
        <v>11</v>
      </c>
      <c r="M1772" t="inlineStr">
        <is>
          <t>Values must be of type &lt;class 'str'&gt;</t>
        </is>
      </c>
      <c r="N1772" t="inlineStr">
        <is>
          <t>00000000</t>
        </is>
      </c>
      <c r="O1772" t="n">
        <v/>
      </c>
      <c r="P1772" t="n">
        <v/>
      </c>
      <c r="R1772" t="b">
        <v>1</v>
      </c>
      <c r="S1772" t="inlineStr">
        <is>
          <t>G000295</t>
        </is>
      </c>
      <c r="T1772" t="inlineStr">
        <is>
          <t>Vertical</t>
        </is>
      </c>
      <c r="U1772" t="n">
        <v>93</v>
      </c>
      <c r="V1772" t="b">
        <v>1</v>
      </c>
      <c r="W1772" t="inlineStr">
        <is>
          <t>ATF fuel!J136:J228</t>
        </is>
      </c>
      <c r="X1772">
        <f>R[0]C[-3]/R[0]C[-2]-1</f>
        <v/>
      </c>
    </row>
    <row r="1773">
      <c r="A1773" t="inlineStr">
        <is>
          <t>ATF fuel</t>
        </is>
      </c>
      <c r="B1773" t="inlineStr">
        <is>
          <t>B184</t>
        </is>
      </c>
      <c r="C1773" t="n">
        <v>184</v>
      </c>
      <c r="D1773" t="n">
        <v>2</v>
      </c>
      <c r="E1773" t="inlineStr">
        <is>
          <t>Input</t>
        </is>
      </c>
      <c r="F1773" t="n">
        <v/>
      </c>
      <c r="G1773" t="inlineStr">
        <is>
          <t>April 01, 2014</t>
        </is>
      </c>
      <c r="H1773" t="inlineStr"/>
      <c r="I1773" t="inlineStr">
        <is>
          <t>General</t>
        </is>
      </c>
      <c r="J1773" t="b">
        <v>0</v>
      </c>
      <c r="K1773" t="b">
        <v>0</v>
      </c>
      <c r="L1773" t="n">
        <v>11</v>
      </c>
      <c r="M1773" t="inlineStr">
        <is>
          <t>Values must be of type &lt;class 'str'&gt;</t>
        </is>
      </c>
      <c r="N1773" t="inlineStr">
        <is>
          <t>00000000</t>
        </is>
      </c>
      <c r="O1773" t="n">
        <v/>
      </c>
      <c r="P1773" t="n">
        <v/>
      </c>
      <c r="R1773" t="b">
        <v>1</v>
      </c>
      <c r="S1773" t="n">
        <v/>
      </c>
      <c r="T1773" t="n">
        <v/>
      </c>
      <c r="U1773" t="n">
        <v/>
      </c>
      <c r="V1773" t="b">
        <v>0</v>
      </c>
      <c r="W1773" t="inlineStr"/>
      <c r="X1773" t="n">
        <v/>
      </c>
    </row>
    <row r="1774">
      <c r="A1774" t="inlineStr">
        <is>
          <t>ATF fuel</t>
        </is>
      </c>
      <c r="B1774" t="inlineStr">
        <is>
          <t>C184</t>
        </is>
      </c>
      <c r="C1774" t="n">
        <v>184</v>
      </c>
      <c r="D1774" t="n">
        <v>3</v>
      </c>
      <c r="E1774" t="inlineStr">
        <is>
          <t>Input</t>
        </is>
      </c>
      <c r="F1774" t="n">
        <v/>
      </c>
      <c r="G1774" t="n">
        <v>76610.8625</v>
      </c>
      <c r="H1774" t="inlineStr"/>
      <c r="I1774" t="inlineStr">
        <is>
          <t>General</t>
        </is>
      </c>
      <c r="J1774" t="b">
        <v>0</v>
      </c>
      <c r="K1774" t="b">
        <v>0</v>
      </c>
      <c r="L1774" t="n">
        <v>11</v>
      </c>
      <c r="M1774" t="inlineStr">
        <is>
          <t>Values must be of type &lt;class 'str'&gt;</t>
        </is>
      </c>
      <c r="N1774" t="inlineStr">
        <is>
          <t>00000000</t>
        </is>
      </c>
      <c r="O1774" t="n">
        <v/>
      </c>
      <c r="P1774" t="n">
        <v/>
      </c>
      <c r="R1774" t="b">
        <v>1</v>
      </c>
      <c r="S1774" t="n">
        <v/>
      </c>
      <c r="T1774" t="n">
        <v/>
      </c>
      <c r="U1774" t="n">
        <v/>
      </c>
      <c r="V1774" t="b">
        <v>0</v>
      </c>
      <c r="W1774" t="inlineStr"/>
      <c r="X1774" t="n">
        <v/>
      </c>
    </row>
    <row r="1775">
      <c r="A1775" t="inlineStr">
        <is>
          <t>ATF fuel</t>
        </is>
      </c>
      <c r="B1775" t="inlineStr">
        <is>
          <t>D184</t>
        </is>
      </c>
      <c r="C1775" t="n">
        <v>184</v>
      </c>
      <c r="D1775" t="n">
        <v>4</v>
      </c>
      <c r="E1775" t="inlineStr">
        <is>
          <t>Input</t>
        </is>
      </c>
      <c r="F1775" t="n">
        <v/>
      </c>
      <c r="G1775" t="n">
        <v>105.83</v>
      </c>
      <c r="H1775" t="inlineStr"/>
      <c r="I1775" t="inlineStr">
        <is>
          <t>General</t>
        </is>
      </c>
      <c r="J1775" t="b">
        <v>0</v>
      </c>
      <c r="K1775" t="b">
        <v>0</v>
      </c>
      <c r="L1775" t="n">
        <v>11</v>
      </c>
      <c r="M1775" t="inlineStr">
        <is>
          <t>Values must be of type &lt;class 'str'&gt;</t>
        </is>
      </c>
      <c r="N1775" t="inlineStr">
        <is>
          <t>00000000</t>
        </is>
      </c>
      <c r="O1775" t="n">
        <v/>
      </c>
      <c r="P1775" t="n">
        <v/>
      </c>
      <c r="R1775" t="b">
        <v>1</v>
      </c>
      <c r="S1775" t="n">
        <v/>
      </c>
      <c r="T1775" t="n">
        <v/>
      </c>
      <c r="U1775" t="n">
        <v/>
      </c>
      <c r="V1775" t="b">
        <v>0</v>
      </c>
      <c r="W1775" t="inlineStr"/>
      <c r="X1775" t="n">
        <v/>
      </c>
    </row>
    <row r="1776">
      <c r="A1776" t="inlineStr">
        <is>
          <t>ATF fuel</t>
        </is>
      </c>
      <c r="B1776" t="inlineStr">
        <is>
          <t>E184</t>
        </is>
      </c>
      <c r="C1776" t="n">
        <v>184</v>
      </c>
      <c r="D1776" t="n">
        <v>5</v>
      </c>
      <c r="E1776" t="inlineStr">
        <is>
          <t>Input</t>
        </is>
      </c>
      <c r="F1776" t="n">
        <v/>
      </c>
      <c r="G1776" t="n">
        <v>99.69</v>
      </c>
      <c r="H1776" t="inlineStr"/>
      <c r="I1776" t="inlineStr">
        <is>
          <t>General</t>
        </is>
      </c>
      <c r="J1776" t="b">
        <v>0</v>
      </c>
      <c r="K1776" t="b">
        <v>0</v>
      </c>
      <c r="L1776" t="n">
        <v>11</v>
      </c>
      <c r="M1776" t="inlineStr">
        <is>
          <t>Values must be of type &lt;class 'str'&gt;</t>
        </is>
      </c>
      <c r="N1776" t="inlineStr">
        <is>
          <t>00000000</t>
        </is>
      </c>
      <c r="O1776" t="n">
        <v/>
      </c>
      <c r="P1776" t="n">
        <v/>
      </c>
      <c r="R1776" t="b">
        <v>1</v>
      </c>
      <c r="S1776" t="n">
        <v/>
      </c>
      <c r="T1776" t="n">
        <v/>
      </c>
      <c r="U1776" t="n">
        <v/>
      </c>
      <c r="V1776" t="b">
        <v>0</v>
      </c>
      <c r="W1776" t="inlineStr"/>
      <c r="X1776" t="n">
        <v/>
      </c>
    </row>
    <row r="1777">
      <c r="A1777" t="inlineStr">
        <is>
          <t>ATF fuel</t>
        </is>
      </c>
      <c r="B1777" t="inlineStr">
        <is>
          <t>F184</t>
        </is>
      </c>
      <c r="C1777" t="n">
        <v>184</v>
      </c>
      <c r="D1777" t="n">
        <v>6</v>
      </c>
      <c r="E1777" t="inlineStr">
        <is>
          <t>Input</t>
        </is>
      </c>
      <c r="F1777" t="n">
        <v/>
      </c>
      <c r="G1777" t="inlineStr">
        <is>
          <t>April 01, 2014</t>
        </is>
      </c>
      <c r="H1777" t="inlineStr"/>
      <c r="I1777" t="inlineStr">
        <is>
          <t>General</t>
        </is>
      </c>
      <c r="J1777" t="b">
        <v>0</v>
      </c>
      <c r="K1777" t="b">
        <v>0</v>
      </c>
      <c r="L1777" t="n">
        <v>11</v>
      </c>
      <c r="M1777" t="inlineStr">
        <is>
          <t>Values must be of type &lt;class 'str'&gt;</t>
        </is>
      </c>
      <c r="N1777" t="inlineStr">
        <is>
          <t>00000000</t>
        </is>
      </c>
      <c r="O1777" t="inlineStr">
        <is>
          <t>left</t>
        </is>
      </c>
      <c r="P1777" t="n">
        <v/>
      </c>
      <c r="R1777" t="b">
        <v>1</v>
      </c>
      <c r="S1777" t="n">
        <v/>
      </c>
      <c r="T1777" t="n">
        <v/>
      </c>
      <c r="U1777" t="n">
        <v/>
      </c>
      <c r="V1777" t="b">
        <v>0</v>
      </c>
      <c r="W1777" t="inlineStr"/>
      <c r="X1777" t="n">
        <v/>
      </c>
    </row>
    <row r="1778">
      <c r="A1778" t="inlineStr">
        <is>
          <t>ATF fuel</t>
        </is>
      </c>
      <c r="B1778" t="inlineStr">
        <is>
          <t>G184</t>
        </is>
      </c>
      <c r="C1778" t="n">
        <v>184</v>
      </c>
      <c r="D1778" t="n">
        <v>7</v>
      </c>
      <c r="E1778" t="inlineStr">
        <is>
          <t>Calculation</t>
        </is>
      </c>
      <c r="F1778" t="inlineStr">
        <is>
          <t>'=(1+(C184/C183)-1)*G183</t>
        </is>
      </c>
      <c r="G1778" t="n">
        <v>172.6955583015362</v>
      </c>
      <c r="H1778" t="inlineStr"/>
      <c r="I1778" t="inlineStr">
        <is>
          <t>General</t>
        </is>
      </c>
      <c r="J1778" t="b">
        <v>0</v>
      </c>
      <c r="K1778" t="b">
        <v>0</v>
      </c>
      <c r="L1778" t="n">
        <v>11</v>
      </c>
      <c r="M1778" t="inlineStr">
        <is>
          <t>Values must be of type &lt;class 'str'&gt;</t>
        </is>
      </c>
      <c r="N1778" t="inlineStr">
        <is>
          <t>00000000</t>
        </is>
      </c>
      <c r="O1778" t="inlineStr">
        <is>
          <t>left</t>
        </is>
      </c>
      <c r="P1778" t="n">
        <v/>
      </c>
      <c r="R1778" t="b">
        <v>1</v>
      </c>
      <c r="S1778" t="inlineStr">
        <is>
          <t>G000343</t>
        </is>
      </c>
      <c r="T1778" t="inlineStr">
        <is>
          <t>Horizontal</t>
        </is>
      </c>
      <c r="U1778" t="n">
        <v>3</v>
      </c>
      <c r="V1778" t="b">
        <v>1</v>
      </c>
      <c r="W1778" t="inlineStr">
        <is>
          <t>ATF fuel!G184:I184</t>
        </is>
      </c>
      <c r="X1778">
        <f>(1+(R[0]C[-4]/R[-1]C[-4])-1)*R[-1]C[0]</f>
        <v/>
      </c>
    </row>
    <row r="1779">
      <c r="A1779" t="inlineStr">
        <is>
          <t>ATF fuel</t>
        </is>
      </c>
      <c r="B1779" t="inlineStr">
        <is>
          <t>H184</t>
        </is>
      </c>
      <c r="C1779" t="n">
        <v>184</v>
      </c>
      <c r="D1779" t="n">
        <v>8</v>
      </c>
      <c r="E1779" t="inlineStr">
        <is>
          <t>Calculation</t>
        </is>
      </c>
      <c r="F1779" t="inlineStr">
        <is>
          <t>'=(1+(D184/D183)-1)*H183</t>
        </is>
      </c>
      <c r="G1779" t="n">
        <v>128.0769696236235</v>
      </c>
      <c r="H1779" t="inlineStr"/>
      <c r="I1779" t="inlineStr">
        <is>
          <t>General</t>
        </is>
      </c>
      <c r="J1779" t="b">
        <v>0</v>
      </c>
      <c r="K1779" t="b">
        <v>0</v>
      </c>
      <c r="L1779" t="n">
        <v>11</v>
      </c>
      <c r="M1779" t="inlineStr">
        <is>
          <t>Values must be of type &lt;class 'str'&gt;</t>
        </is>
      </c>
      <c r="N1779" t="inlineStr">
        <is>
          <t>00000000</t>
        </is>
      </c>
      <c r="O1779" t="inlineStr">
        <is>
          <t>left</t>
        </is>
      </c>
      <c r="P1779" t="n">
        <v/>
      </c>
      <c r="R1779" t="b">
        <v>1</v>
      </c>
      <c r="S1779" t="inlineStr">
        <is>
          <t>G000343</t>
        </is>
      </c>
      <c r="T1779" t="inlineStr">
        <is>
          <t>Horizontal</t>
        </is>
      </c>
      <c r="U1779" t="n">
        <v>3</v>
      </c>
      <c r="V1779" t="b">
        <v>1</v>
      </c>
      <c r="W1779" t="inlineStr">
        <is>
          <t>ATF fuel!G184:I184</t>
        </is>
      </c>
      <c r="X1779">
        <f>(1+(R[0]C[-4]/R[-1]C[-4])-1)*R[-1]C[0]</f>
        <v/>
      </c>
    </row>
    <row r="1780">
      <c r="A1780" t="inlineStr">
        <is>
          <t>ATF fuel</t>
        </is>
      </c>
      <c r="B1780" t="inlineStr">
        <is>
          <t>I184</t>
        </is>
      </c>
      <c r="C1780" t="n">
        <v>184</v>
      </c>
      <c r="D1780" t="n">
        <v>9</v>
      </c>
      <c r="E1780" t="inlineStr">
        <is>
          <t>Calculation</t>
        </is>
      </c>
      <c r="F1780" t="inlineStr">
        <is>
          <t>'=(1+(E184/E183)-1)*I183</t>
        </is>
      </c>
      <c r="G1780" t="n">
        <v>117.9344611380575</v>
      </c>
      <c r="H1780" t="inlineStr"/>
      <c r="I1780" t="inlineStr">
        <is>
          <t>General</t>
        </is>
      </c>
      <c r="J1780" t="b">
        <v>0</v>
      </c>
      <c r="K1780" t="b">
        <v>0</v>
      </c>
      <c r="L1780" t="n">
        <v>11</v>
      </c>
      <c r="M1780" t="inlineStr">
        <is>
          <t>Values must be of type &lt;class 'str'&gt;</t>
        </is>
      </c>
      <c r="N1780" t="inlineStr">
        <is>
          <t>00000000</t>
        </is>
      </c>
      <c r="O1780" t="inlineStr">
        <is>
          <t>left</t>
        </is>
      </c>
      <c r="P1780" t="n">
        <v/>
      </c>
      <c r="R1780" t="b">
        <v>1</v>
      </c>
      <c r="S1780" t="inlineStr">
        <is>
          <t>G000343</t>
        </is>
      </c>
      <c r="T1780" t="inlineStr">
        <is>
          <t>Horizontal</t>
        </is>
      </c>
      <c r="U1780" t="n">
        <v>3</v>
      </c>
      <c r="V1780" t="b">
        <v>1</v>
      </c>
      <c r="W1780" t="inlineStr">
        <is>
          <t>ATF fuel!G184:I184</t>
        </is>
      </c>
      <c r="X1780">
        <f>(1+(R[0]C[-4]/R[-1]C[-4])-1)*R[-1]C[0]</f>
        <v/>
      </c>
    </row>
    <row r="1781">
      <c r="A1781" t="inlineStr">
        <is>
          <t>ATF fuel</t>
        </is>
      </c>
      <c r="B1781" t="inlineStr">
        <is>
          <t>J184</t>
        </is>
      </c>
      <c r="C1781" t="n">
        <v>184</v>
      </c>
      <c r="D1781" t="n">
        <v>10</v>
      </c>
      <c r="E1781" t="inlineStr">
        <is>
          <t>Output</t>
        </is>
      </c>
      <c r="F1781" t="inlineStr">
        <is>
          <t>'=G184/H184-1</t>
        </is>
      </c>
      <c r="G1781" t="n">
        <v>0.3483732384442901</v>
      </c>
      <c r="H1781" t="inlineStr"/>
      <c r="I1781" t="inlineStr">
        <is>
          <t>0.0%</t>
        </is>
      </c>
      <c r="J1781" t="b">
        <v>0</v>
      </c>
      <c r="K1781" t="b">
        <v>0</v>
      </c>
      <c r="L1781" t="n">
        <v>11</v>
      </c>
      <c r="M1781" t="inlineStr">
        <is>
          <t>Values must be of type &lt;class 'str'&gt;</t>
        </is>
      </c>
      <c r="N1781" t="inlineStr">
        <is>
          <t>00000000</t>
        </is>
      </c>
      <c r="O1781" t="n">
        <v/>
      </c>
      <c r="P1781" t="n">
        <v/>
      </c>
      <c r="R1781" t="b">
        <v>1</v>
      </c>
      <c r="S1781" t="inlineStr">
        <is>
          <t>G000295</t>
        </is>
      </c>
      <c r="T1781" t="inlineStr">
        <is>
          <t>Vertical</t>
        </is>
      </c>
      <c r="U1781" t="n">
        <v>93</v>
      </c>
      <c r="V1781" t="b">
        <v>1</v>
      </c>
      <c r="W1781" t="inlineStr">
        <is>
          <t>ATF fuel!J136:J228</t>
        </is>
      </c>
      <c r="X1781">
        <f>R[0]C[-3]/R[0]C[-2]-1</f>
        <v/>
      </c>
    </row>
    <row r="1782">
      <c r="A1782" t="inlineStr">
        <is>
          <t>ATF fuel</t>
        </is>
      </c>
      <c r="B1782" t="inlineStr">
        <is>
          <t>B185</t>
        </is>
      </c>
      <c r="C1782" t="n">
        <v>185</v>
      </c>
      <c r="D1782" t="n">
        <v>2</v>
      </c>
      <c r="E1782" t="inlineStr">
        <is>
          <t>Input</t>
        </is>
      </c>
      <c r="F1782" t="n">
        <v/>
      </c>
      <c r="G1782" t="inlineStr">
        <is>
          <t>May 01, 2014</t>
        </is>
      </c>
      <c r="H1782" t="inlineStr"/>
      <c r="I1782" t="inlineStr">
        <is>
          <t>General</t>
        </is>
      </c>
      <c r="J1782" t="b">
        <v>0</v>
      </c>
      <c r="K1782" t="b">
        <v>0</v>
      </c>
      <c r="L1782" t="n">
        <v>11</v>
      </c>
      <c r="M1782" t="inlineStr">
        <is>
          <t>Values must be of type &lt;class 'str'&gt;</t>
        </is>
      </c>
      <c r="N1782" t="inlineStr">
        <is>
          <t>00000000</t>
        </is>
      </c>
      <c r="O1782" t="n">
        <v/>
      </c>
      <c r="P1782" t="n">
        <v/>
      </c>
      <c r="R1782" t="b">
        <v>1</v>
      </c>
      <c r="S1782" t="n">
        <v/>
      </c>
      <c r="T1782" t="n">
        <v/>
      </c>
      <c r="U1782" t="n">
        <v/>
      </c>
      <c r="V1782" t="b">
        <v>0</v>
      </c>
      <c r="W1782" t="inlineStr"/>
      <c r="X1782" t="n">
        <v/>
      </c>
    </row>
    <row r="1783">
      <c r="A1783" t="inlineStr">
        <is>
          <t>ATF fuel</t>
        </is>
      </c>
      <c r="B1783" t="inlineStr">
        <is>
          <t>C185</t>
        </is>
      </c>
      <c r="C1783" t="n">
        <v>185</v>
      </c>
      <c r="D1783" t="n">
        <v>3</v>
      </c>
      <c r="E1783" t="inlineStr">
        <is>
          <t>Input</t>
        </is>
      </c>
      <c r="F1783" t="n">
        <v/>
      </c>
      <c r="G1783" t="n">
        <v>75796.8275</v>
      </c>
      <c r="H1783" t="inlineStr"/>
      <c r="I1783" t="inlineStr">
        <is>
          <t>General</t>
        </is>
      </c>
      <c r="J1783" t="b">
        <v>0</v>
      </c>
      <c r="K1783" t="b">
        <v>0</v>
      </c>
      <c r="L1783" t="n">
        <v>11</v>
      </c>
      <c r="M1783" t="inlineStr">
        <is>
          <t>Values must be of type &lt;class 'str'&gt;</t>
        </is>
      </c>
      <c r="N1783" t="inlineStr">
        <is>
          <t>00000000</t>
        </is>
      </c>
      <c r="O1783" t="n">
        <v/>
      </c>
      <c r="P1783" t="n">
        <v/>
      </c>
      <c r="R1783" t="b">
        <v>1</v>
      </c>
      <c r="S1783" t="n">
        <v/>
      </c>
      <c r="T1783" t="n">
        <v/>
      </c>
      <c r="U1783" t="n">
        <v/>
      </c>
      <c r="V1783" t="b">
        <v>0</v>
      </c>
      <c r="W1783" t="inlineStr"/>
      <c r="X1783" t="n">
        <v/>
      </c>
    </row>
    <row r="1784">
      <c r="A1784" t="inlineStr">
        <is>
          <t>ATF fuel</t>
        </is>
      </c>
      <c r="B1784" t="inlineStr">
        <is>
          <t>D185</t>
        </is>
      </c>
      <c r="C1784" t="n">
        <v>185</v>
      </c>
      <c r="D1784" t="n">
        <v>4</v>
      </c>
      <c r="E1784" t="inlineStr">
        <is>
          <t>Input</t>
        </is>
      </c>
      <c r="F1784" t="n">
        <v/>
      </c>
      <c r="G1784" t="n">
        <v>108.19</v>
      </c>
      <c r="H1784" t="inlineStr"/>
      <c r="I1784" t="inlineStr">
        <is>
          <t>General</t>
        </is>
      </c>
      <c r="J1784" t="b">
        <v>0</v>
      </c>
      <c r="K1784" t="b">
        <v>0</v>
      </c>
      <c r="L1784" t="n">
        <v>11</v>
      </c>
      <c r="M1784" t="inlineStr">
        <is>
          <t>Values must be of type &lt;class 'str'&gt;</t>
        </is>
      </c>
      <c r="N1784" t="inlineStr">
        <is>
          <t>00000000</t>
        </is>
      </c>
      <c r="O1784" t="n">
        <v/>
      </c>
      <c r="P1784" t="n">
        <v/>
      </c>
      <c r="R1784" t="b">
        <v>1</v>
      </c>
      <c r="S1784" t="n">
        <v/>
      </c>
      <c r="T1784" t="n">
        <v/>
      </c>
      <c r="U1784" t="n">
        <v/>
      </c>
      <c r="V1784" t="b">
        <v>0</v>
      </c>
      <c r="W1784" t="inlineStr"/>
      <c r="X1784" t="n">
        <v/>
      </c>
    </row>
    <row r="1785">
      <c r="A1785" t="inlineStr">
        <is>
          <t>ATF fuel</t>
        </is>
      </c>
      <c r="B1785" t="inlineStr">
        <is>
          <t>E185</t>
        </is>
      </c>
      <c r="C1785" t="n">
        <v>185</v>
      </c>
      <c r="D1785" t="n">
        <v>5</v>
      </c>
      <c r="E1785" t="inlineStr">
        <is>
          <t>Input</t>
        </is>
      </c>
      <c r="F1785" t="n">
        <v/>
      </c>
      <c r="G1785" t="n">
        <v>99.69</v>
      </c>
      <c r="H1785" t="inlineStr"/>
      <c r="I1785" t="inlineStr">
        <is>
          <t>General</t>
        </is>
      </c>
      <c r="J1785" t="b">
        <v>0</v>
      </c>
      <c r="K1785" t="b">
        <v>0</v>
      </c>
      <c r="L1785" t="n">
        <v>11</v>
      </c>
      <c r="M1785" t="inlineStr">
        <is>
          <t>Values must be of type &lt;class 'str'&gt;</t>
        </is>
      </c>
      <c r="N1785" t="inlineStr">
        <is>
          <t>00000000</t>
        </is>
      </c>
      <c r="O1785" t="n">
        <v/>
      </c>
      <c r="P1785" t="n">
        <v/>
      </c>
      <c r="R1785" t="b">
        <v>1</v>
      </c>
      <c r="S1785" t="n">
        <v/>
      </c>
      <c r="T1785" t="n">
        <v/>
      </c>
      <c r="U1785" t="n">
        <v/>
      </c>
      <c r="V1785" t="b">
        <v>0</v>
      </c>
      <c r="W1785" t="inlineStr"/>
      <c r="X1785" t="n">
        <v/>
      </c>
    </row>
    <row r="1786">
      <c r="A1786" t="inlineStr">
        <is>
          <t>ATF fuel</t>
        </is>
      </c>
      <c r="B1786" t="inlineStr">
        <is>
          <t>F185</t>
        </is>
      </c>
      <c r="C1786" t="n">
        <v>185</v>
      </c>
      <c r="D1786" t="n">
        <v>6</v>
      </c>
      <c r="E1786" t="inlineStr">
        <is>
          <t>Input</t>
        </is>
      </c>
      <c r="F1786" t="n">
        <v/>
      </c>
      <c r="G1786" t="inlineStr">
        <is>
          <t>May 01, 2014</t>
        </is>
      </c>
      <c r="H1786" t="inlineStr"/>
      <c r="I1786" t="inlineStr">
        <is>
          <t>General</t>
        </is>
      </c>
      <c r="J1786" t="b">
        <v>0</v>
      </c>
      <c r="K1786" t="b">
        <v>0</v>
      </c>
      <c r="L1786" t="n">
        <v>11</v>
      </c>
      <c r="M1786" t="inlineStr">
        <is>
          <t>Values must be of type &lt;class 'str'&gt;</t>
        </is>
      </c>
      <c r="N1786" t="inlineStr">
        <is>
          <t>00000000</t>
        </is>
      </c>
      <c r="O1786" t="inlineStr">
        <is>
          <t>left</t>
        </is>
      </c>
      <c r="P1786" t="n">
        <v/>
      </c>
      <c r="R1786" t="b">
        <v>1</v>
      </c>
      <c r="S1786" t="n">
        <v/>
      </c>
      <c r="T1786" t="n">
        <v/>
      </c>
      <c r="U1786" t="n">
        <v/>
      </c>
      <c r="V1786" t="b">
        <v>0</v>
      </c>
      <c r="W1786" t="inlineStr"/>
      <c r="X1786" t="n">
        <v/>
      </c>
    </row>
    <row r="1787">
      <c r="A1787" t="inlineStr">
        <is>
          <t>ATF fuel</t>
        </is>
      </c>
      <c r="B1787" t="inlineStr">
        <is>
          <t>G185</t>
        </is>
      </c>
      <c r="C1787" t="n">
        <v>185</v>
      </c>
      <c r="D1787" t="n">
        <v>7</v>
      </c>
      <c r="E1787" t="inlineStr">
        <is>
          <t>Calculation</t>
        </is>
      </c>
      <c r="F1787" t="inlineStr">
        <is>
          <t>'=(1+(C185/C184)-1)*G184</t>
        </is>
      </c>
      <c r="G1787" t="n">
        <v>170.8605674893391</v>
      </c>
      <c r="H1787" t="inlineStr"/>
      <c r="I1787" t="inlineStr">
        <is>
          <t>General</t>
        </is>
      </c>
      <c r="J1787" t="b">
        <v>0</v>
      </c>
      <c r="K1787" t="b">
        <v>0</v>
      </c>
      <c r="L1787" t="n">
        <v>11</v>
      </c>
      <c r="M1787" t="inlineStr">
        <is>
          <t>Values must be of type &lt;class 'str'&gt;</t>
        </is>
      </c>
      <c r="N1787" t="inlineStr">
        <is>
          <t>00000000</t>
        </is>
      </c>
      <c r="O1787" t="inlineStr">
        <is>
          <t>left</t>
        </is>
      </c>
      <c r="P1787" t="n">
        <v/>
      </c>
      <c r="R1787" t="b">
        <v>1</v>
      </c>
      <c r="S1787" t="inlineStr">
        <is>
          <t>G000344</t>
        </is>
      </c>
      <c r="T1787" t="inlineStr">
        <is>
          <t>Horizontal</t>
        </is>
      </c>
      <c r="U1787" t="n">
        <v>3</v>
      </c>
      <c r="V1787" t="b">
        <v>1</v>
      </c>
      <c r="W1787" t="inlineStr">
        <is>
          <t>ATF fuel!G185:I185</t>
        </is>
      </c>
      <c r="X1787">
        <f>(1+(R[0]C[-4]/R[-1]C[-4])-1)*R[-1]C[0]</f>
        <v/>
      </c>
    </row>
    <row r="1788">
      <c r="A1788" t="inlineStr">
        <is>
          <t>ATF fuel</t>
        </is>
      </c>
      <c r="B1788" t="inlineStr">
        <is>
          <t>H185</t>
        </is>
      </c>
      <c r="C1788" t="n">
        <v>185</v>
      </c>
      <c r="D1788" t="n">
        <v>8</v>
      </c>
      <c r="E1788" t="inlineStr">
        <is>
          <t>Calculation</t>
        </is>
      </c>
      <c r="F1788" t="inlineStr">
        <is>
          <t>'=(1+(D185/D184)-1)*H184</t>
        </is>
      </c>
      <c r="G1788" t="n">
        <v>130.9330751543024</v>
      </c>
      <c r="H1788" t="inlineStr"/>
      <c r="I1788" t="inlineStr">
        <is>
          <t>General</t>
        </is>
      </c>
      <c r="J1788" t="b">
        <v>0</v>
      </c>
      <c r="K1788" t="b">
        <v>0</v>
      </c>
      <c r="L1788" t="n">
        <v>11</v>
      </c>
      <c r="M1788" t="inlineStr">
        <is>
          <t>Values must be of type &lt;class 'str'&gt;</t>
        </is>
      </c>
      <c r="N1788" t="inlineStr">
        <is>
          <t>00000000</t>
        </is>
      </c>
      <c r="O1788" t="inlineStr">
        <is>
          <t>left</t>
        </is>
      </c>
      <c r="P1788" t="n">
        <v/>
      </c>
      <c r="R1788" t="b">
        <v>1</v>
      </c>
      <c r="S1788" t="inlineStr">
        <is>
          <t>G000344</t>
        </is>
      </c>
      <c r="T1788" t="inlineStr">
        <is>
          <t>Horizontal</t>
        </is>
      </c>
      <c r="U1788" t="n">
        <v>3</v>
      </c>
      <c r="V1788" t="b">
        <v>1</v>
      </c>
      <c r="W1788" t="inlineStr">
        <is>
          <t>ATF fuel!G185:I185</t>
        </is>
      </c>
      <c r="X1788">
        <f>(1+(R[0]C[-4]/R[-1]C[-4])-1)*R[-1]C[0]</f>
        <v/>
      </c>
    </row>
    <row r="1789">
      <c r="A1789" t="inlineStr">
        <is>
          <t>ATF fuel</t>
        </is>
      </c>
      <c r="B1789" t="inlineStr">
        <is>
          <t>I185</t>
        </is>
      </c>
      <c r="C1789" t="n">
        <v>185</v>
      </c>
      <c r="D1789" t="n">
        <v>9</v>
      </c>
      <c r="E1789" t="inlineStr">
        <is>
          <t>Calculation</t>
        </is>
      </c>
      <c r="F1789" t="inlineStr">
        <is>
          <t>'=(1+(E185/E184)-1)*I184</t>
        </is>
      </c>
      <c r="G1789" t="n">
        <v>117.9344611380575</v>
      </c>
      <c r="H1789" t="inlineStr"/>
      <c r="I1789" t="inlineStr">
        <is>
          <t>General</t>
        </is>
      </c>
      <c r="J1789" t="b">
        <v>0</v>
      </c>
      <c r="K1789" t="b">
        <v>0</v>
      </c>
      <c r="L1789" t="n">
        <v>11</v>
      </c>
      <c r="M1789" t="inlineStr">
        <is>
          <t>Values must be of type &lt;class 'str'&gt;</t>
        </is>
      </c>
      <c r="N1789" t="inlineStr">
        <is>
          <t>00000000</t>
        </is>
      </c>
      <c r="O1789" t="inlineStr">
        <is>
          <t>left</t>
        </is>
      </c>
      <c r="P1789" t="n">
        <v/>
      </c>
      <c r="R1789" t="b">
        <v>1</v>
      </c>
      <c r="S1789" t="inlineStr">
        <is>
          <t>G000344</t>
        </is>
      </c>
      <c r="T1789" t="inlineStr">
        <is>
          <t>Horizontal</t>
        </is>
      </c>
      <c r="U1789" t="n">
        <v>3</v>
      </c>
      <c r="V1789" t="b">
        <v>1</v>
      </c>
      <c r="W1789" t="inlineStr">
        <is>
          <t>ATF fuel!G185:I185</t>
        </is>
      </c>
      <c r="X1789">
        <f>(1+(R[0]C[-4]/R[-1]C[-4])-1)*R[-1]C[0]</f>
        <v/>
      </c>
    </row>
    <row r="1790">
      <c r="A1790" t="inlineStr">
        <is>
          <t>ATF fuel</t>
        </is>
      </c>
      <c r="B1790" t="inlineStr">
        <is>
          <t>J185</t>
        </is>
      </c>
      <c r="C1790" t="n">
        <v>185</v>
      </c>
      <c r="D1790" t="n">
        <v>10</v>
      </c>
      <c r="E1790" t="inlineStr">
        <is>
          <t>Output</t>
        </is>
      </c>
      <c r="F1790" t="inlineStr">
        <is>
          <t>'=G185/H185-1</t>
        </is>
      </c>
      <c r="G1790" t="n">
        <v>0.304945807527875</v>
      </c>
      <c r="H1790" t="inlineStr"/>
      <c r="I1790" t="inlineStr">
        <is>
          <t>0.0%</t>
        </is>
      </c>
      <c r="J1790" t="b">
        <v>0</v>
      </c>
      <c r="K1790" t="b">
        <v>0</v>
      </c>
      <c r="L1790" t="n">
        <v>11</v>
      </c>
      <c r="M1790" t="inlineStr">
        <is>
          <t>Values must be of type &lt;class 'str'&gt;</t>
        </is>
      </c>
      <c r="N1790" t="inlineStr">
        <is>
          <t>00000000</t>
        </is>
      </c>
      <c r="O1790" t="n">
        <v/>
      </c>
      <c r="P1790" t="n">
        <v/>
      </c>
      <c r="R1790" t="b">
        <v>1</v>
      </c>
      <c r="S1790" t="inlineStr">
        <is>
          <t>G000295</t>
        </is>
      </c>
      <c r="T1790" t="inlineStr">
        <is>
          <t>Vertical</t>
        </is>
      </c>
      <c r="U1790" t="n">
        <v>93</v>
      </c>
      <c r="V1790" t="b">
        <v>1</v>
      </c>
      <c r="W1790" t="inlineStr">
        <is>
          <t>ATF fuel!J136:J228</t>
        </is>
      </c>
      <c r="X1790">
        <f>R[0]C[-3]/R[0]C[-2]-1</f>
        <v/>
      </c>
    </row>
    <row r="1791">
      <c r="A1791" t="inlineStr">
        <is>
          <t>ATF fuel</t>
        </is>
      </c>
      <c r="B1791" t="inlineStr">
        <is>
          <t>B186</t>
        </is>
      </c>
      <c r="C1791" t="n">
        <v>186</v>
      </c>
      <c r="D1791" t="n">
        <v>2</v>
      </c>
      <c r="E1791" t="inlineStr">
        <is>
          <t>Input</t>
        </is>
      </c>
      <c r="F1791" t="n">
        <v/>
      </c>
      <c r="G1791" t="inlineStr">
        <is>
          <t>June 01, 2014</t>
        </is>
      </c>
      <c r="H1791" t="inlineStr"/>
      <c r="I1791" t="inlineStr">
        <is>
          <t>General</t>
        </is>
      </c>
      <c r="J1791" t="b">
        <v>0</v>
      </c>
      <c r="K1791" t="b">
        <v>0</v>
      </c>
      <c r="L1791" t="n">
        <v>11</v>
      </c>
      <c r="M1791" t="inlineStr">
        <is>
          <t>Values must be of type &lt;class 'str'&gt;</t>
        </is>
      </c>
      <c r="N1791" t="inlineStr">
        <is>
          <t>00000000</t>
        </is>
      </c>
      <c r="O1791" t="n">
        <v/>
      </c>
      <c r="P1791" t="n">
        <v/>
      </c>
      <c r="R1791" t="b">
        <v>1</v>
      </c>
      <c r="S1791" t="n">
        <v/>
      </c>
      <c r="T1791" t="n">
        <v/>
      </c>
      <c r="U1791" t="n">
        <v/>
      </c>
      <c r="V1791" t="b">
        <v>0</v>
      </c>
      <c r="W1791" t="inlineStr"/>
      <c r="X1791" t="n">
        <v/>
      </c>
    </row>
    <row r="1792">
      <c r="A1792" t="inlineStr">
        <is>
          <t>ATF fuel</t>
        </is>
      </c>
      <c r="B1792" t="inlineStr">
        <is>
          <t>C186</t>
        </is>
      </c>
      <c r="C1792" t="n">
        <v>186</v>
      </c>
      <c r="D1792" t="n">
        <v>3</v>
      </c>
      <c r="E1792" t="inlineStr">
        <is>
          <t>Input</t>
        </is>
      </c>
      <c r="F1792" t="n">
        <v/>
      </c>
      <c r="G1792" t="n">
        <v>74401.7775</v>
      </c>
      <c r="H1792" t="inlineStr"/>
      <c r="I1792" t="inlineStr">
        <is>
          <t>General</t>
        </is>
      </c>
      <c r="J1792" t="b">
        <v>0</v>
      </c>
      <c r="K1792" t="b">
        <v>0</v>
      </c>
      <c r="L1792" t="n">
        <v>11</v>
      </c>
      <c r="M1792" t="inlineStr">
        <is>
          <t>Values must be of type &lt;class 'str'&gt;</t>
        </is>
      </c>
      <c r="N1792" t="inlineStr">
        <is>
          <t>00000000</t>
        </is>
      </c>
      <c r="O1792" t="n">
        <v/>
      </c>
      <c r="P1792" t="n">
        <v/>
      </c>
      <c r="R1792" t="b">
        <v>1</v>
      </c>
      <c r="S1792" t="n">
        <v/>
      </c>
      <c r="T1792" t="n">
        <v/>
      </c>
      <c r="U1792" t="n">
        <v/>
      </c>
      <c r="V1792" t="b">
        <v>0</v>
      </c>
      <c r="W1792" t="inlineStr"/>
      <c r="X1792" t="n">
        <v/>
      </c>
    </row>
    <row r="1793">
      <c r="A1793" t="inlineStr">
        <is>
          <t>ATF fuel</t>
        </is>
      </c>
      <c r="B1793" t="inlineStr">
        <is>
          <t>D186</t>
        </is>
      </c>
      <c r="C1793" t="n">
        <v>186</v>
      </c>
      <c r="D1793" t="n">
        <v>4</v>
      </c>
      <c r="E1793" t="inlineStr">
        <is>
          <t>Input</t>
        </is>
      </c>
      <c r="F1793" t="n">
        <v/>
      </c>
      <c r="G1793" t="n">
        <v>109.21</v>
      </c>
      <c r="H1793" t="inlineStr"/>
      <c r="I1793" t="inlineStr">
        <is>
          <t>General</t>
        </is>
      </c>
      <c r="J1793" t="b">
        <v>0</v>
      </c>
      <c r="K1793" t="b">
        <v>0</v>
      </c>
      <c r="L1793" t="n">
        <v>11</v>
      </c>
      <c r="M1793" t="inlineStr">
        <is>
          <t>Values must be of type &lt;class 'str'&gt;</t>
        </is>
      </c>
      <c r="N1793" t="inlineStr">
        <is>
          <t>00000000</t>
        </is>
      </c>
      <c r="O1793" t="n">
        <v/>
      </c>
      <c r="P1793" t="n">
        <v/>
      </c>
      <c r="R1793" t="b">
        <v>1</v>
      </c>
      <c r="S1793" t="n">
        <v/>
      </c>
      <c r="T1793" t="n">
        <v/>
      </c>
      <c r="U1793" t="n">
        <v/>
      </c>
      <c r="V1793" t="b">
        <v>0</v>
      </c>
      <c r="W1793" t="inlineStr"/>
      <c r="X1793" t="n">
        <v/>
      </c>
    </row>
    <row r="1794">
      <c r="A1794" t="inlineStr">
        <is>
          <t>ATF fuel</t>
        </is>
      </c>
      <c r="B1794" t="inlineStr">
        <is>
          <t>E186</t>
        </is>
      </c>
      <c r="C1794" t="n">
        <v>186</v>
      </c>
      <c r="D1794" t="n">
        <v>5</v>
      </c>
      <c r="E1794" t="inlineStr">
        <is>
          <t>Input</t>
        </is>
      </c>
      <c r="F1794" t="n">
        <v/>
      </c>
      <c r="G1794" t="n">
        <v>103.07</v>
      </c>
      <c r="H1794" t="inlineStr"/>
      <c r="I1794" t="inlineStr">
        <is>
          <t>General</t>
        </is>
      </c>
      <c r="J1794" t="b">
        <v>0</v>
      </c>
      <c r="K1794" t="b">
        <v>0</v>
      </c>
      <c r="L1794" t="n">
        <v>11</v>
      </c>
      <c r="M1794" t="inlineStr">
        <is>
          <t>Values must be of type &lt;class 'str'&gt;</t>
        </is>
      </c>
      <c r="N1794" t="inlineStr">
        <is>
          <t>00000000</t>
        </is>
      </c>
      <c r="O1794" t="n">
        <v/>
      </c>
      <c r="P1794" t="n">
        <v/>
      </c>
      <c r="R1794" t="b">
        <v>1</v>
      </c>
      <c r="S1794" t="n">
        <v/>
      </c>
      <c r="T1794" t="n">
        <v/>
      </c>
      <c r="U1794" t="n">
        <v/>
      </c>
      <c r="V1794" t="b">
        <v>0</v>
      </c>
      <c r="W1794" t="inlineStr"/>
      <c r="X1794" t="n">
        <v/>
      </c>
    </row>
    <row r="1795">
      <c r="A1795" t="inlineStr">
        <is>
          <t>ATF fuel</t>
        </is>
      </c>
      <c r="B1795" t="inlineStr">
        <is>
          <t>F186</t>
        </is>
      </c>
      <c r="C1795" t="n">
        <v>186</v>
      </c>
      <c r="D1795" t="n">
        <v>6</v>
      </c>
      <c r="E1795" t="inlineStr">
        <is>
          <t>Input</t>
        </is>
      </c>
      <c r="F1795" t="n">
        <v/>
      </c>
      <c r="G1795" t="inlineStr">
        <is>
          <t>June 01, 2014</t>
        </is>
      </c>
      <c r="H1795" t="inlineStr"/>
      <c r="I1795" t="inlineStr">
        <is>
          <t>General</t>
        </is>
      </c>
      <c r="J1795" t="b">
        <v>0</v>
      </c>
      <c r="K1795" t="b">
        <v>0</v>
      </c>
      <c r="L1795" t="n">
        <v>11</v>
      </c>
      <c r="M1795" t="inlineStr">
        <is>
          <t>Values must be of type &lt;class 'str'&gt;</t>
        </is>
      </c>
      <c r="N1795" t="inlineStr">
        <is>
          <t>00000000</t>
        </is>
      </c>
      <c r="O1795" t="inlineStr">
        <is>
          <t>left</t>
        </is>
      </c>
      <c r="P1795" t="n">
        <v/>
      </c>
      <c r="R1795" t="b">
        <v>1</v>
      </c>
      <c r="S1795" t="n">
        <v/>
      </c>
      <c r="T1795" t="n">
        <v/>
      </c>
      <c r="U1795" t="n">
        <v/>
      </c>
      <c r="V1795" t="b">
        <v>0</v>
      </c>
      <c r="W1795" t="inlineStr"/>
      <c r="X1795" t="n">
        <v/>
      </c>
    </row>
    <row r="1796">
      <c r="A1796" t="inlineStr">
        <is>
          <t>ATF fuel</t>
        </is>
      </c>
      <c r="B1796" t="inlineStr">
        <is>
          <t>G186</t>
        </is>
      </c>
      <c r="C1796" t="n">
        <v>186</v>
      </c>
      <c r="D1796" t="n">
        <v>7</v>
      </c>
      <c r="E1796" t="inlineStr">
        <is>
          <t>Calculation</t>
        </is>
      </c>
      <c r="F1796" t="inlineStr">
        <is>
          <t>'=(1+(C186/C185)-1)*G185</t>
        </is>
      </c>
      <c r="G1796" t="n">
        <v>167.7158575781492</v>
      </c>
      <c r="H1796" t="inlineStr"/>
      <c r="I1796" t="inlineStr">
        <is>
          <t>General</t>
        </is>
      </c>
      <c r="J1796" t="b">
        <v>0</v>
      </c>
      <c r="K1796" t="b">
        <v>0</v>
      </c>
      <c r="L1796" t="n">
        <v>11</v>
      </c>
      <c r="M1796" t="inlineStr">
        <is>
          <t>Values must be of type &lt;class 'str'&gt;</t>
        </is>
      </c>
      <c r="N1796" t="inlineStr">
        <is>
          <t>00000000</t>
        </is>
      </c>
      <c r="O1796" t="inlineStr">
        <is>
          <t>left</t>
        </is>
      </c>
      <c r="P1796" t="n">
        <v/>
      </c>
      <c r="R1796" t="b">
        <v>1</v>
      </c>
      <c r="S1796" t="inlineStr">
        <is>
          <t>G000345</t>
        </is>
      </c>
      <c r="T1796" t="inlineStr">
        <is>
          <t>Horizontal</t>
        </is>
      </c>
      <c r="U1796" t="n">
        <v>3</v>
      </c>
      <c r="V1796" t="b">
        <v>1</v>
      </c>
      <c r="W1796" t="inlineStr">
        <is>
          <t>ATF fuel!G186:I186</t>
        </is>
      </c>
      <c r="X1796">
        <f>(1+(R[0]C[-4]/R[-1]C[-4])-1)*R[-1]C[0]</f>
        <v/>
      </c>
    </row>
    <row r="1797">
      <c r="A1797" t="inlineStr">
        <is>
          <t>ATF fuel</t>
        </is>
      </c>
      <c r="B1797" t="inlineStr">
        <is>
          <t>H186</t>
        </is>
      </c>
      <c r="C1797" t="n">
        <v>186</v>
      </c>
      <c r="D1797" t="n">
        <v>8</v>
      </c>
      <c r="E1797" t="inlineStr">
        <is>
          <t>Calculation</t>
        </is>
      </c>
      <c r="F1797" t="inlineStr">
        <is>
          <t>'=(1+(D186/D185)-1)*H185</t>
        </is>
      </c>
      <c r="G1797" t="n">
        <v>132.1674936463755</v>
      </c>
      <c r="H1797" t="inlineStr"/>
      <c r="I1797" t="inlineStr">
        <is>
          <t>General</t>
        </is>
      </c>
      <c r="J1797" t="b">
        <v>0</v>
      </c>
      <c r="K1797" t="b">
        <v>0</v>
      </c>
      <c r="L1797" t="n">
        <v>11</v>
      </c>
      <c r="M1797" t="inlineStr">
        <is>
          <t>Values must be of type &lt;class 'str'&gt;</t>
        </is>
      </c>
      <c r="N1797" t="inlineStr">
        <is>
          <t>00000000</t>
        </is>
      </c>
      <c r="O1797" t="inlineStr">
        <is>
          <t>left</t>
        </is>
      </c>
      <c r="P1797" t="n">
        <v/>
      </c>
      <c r="R1797" t="b">
        <v>1</v>
      </c>
      <c r="S1797" t="inlineStr">
        <is>
          <t>G000345</t>
        </is>
      </c>
      <c r="T1797" t="inlineStr">
        <is>
          <t>Horizontal</t>
        </is>
      </c>
      <c r="U1797" t="n">
        <v>3</v>
      </c>
      <c r="V1797" t="b">
        <v>1</v>
      </c>
      <c r="W1797" t="inlineStr">
        <is>
          <t>ATF fuel!G186:I186</t>
        </is>
      </c>
      <c r="X1797">
        <f>(1+(R[0]C[-4]/R[-1]C[-4])-1)*R[-1]C[0]</f>
        <v/>
      </c>
    </row>
    <row r="1798">
      <c r="A1798" t="inlineStr">
        <is>
          <t>ATF fuel</t>
        </is>
      </c>
      <c r="B1798" t="inlineStr">
        <is>
          <t>I186</t>
        </is>
      </c>
      <c r="C1798" t="n">
        <v>186</v>
      </c>
      <c r="D1798" t="n">
        <v>9</v>
      </c>
      <c r="E1798" t="inlineStr">
        <is>
          <t>Calculation</t>
        </is>
      </c>
      <c r="F1798" t="inlineStr">
        <is>
          <t>'=(1+(E186/E185)-1)*I185</t>
        </is>
      </c>
      <c r="G1798" t="n">
        <v>121.9330415237194</v>
      </c>
      <c r="H1798" t="inlineStr"/>
      <c r="I1798" t="inlineStr">
        <is>
          <t>General</t>
        </is>
      </c>
      <c r="J1798" t="b">
        <v>0</v>
      </c>
      <c r="K1798" t="b">
        <v>0</v>
      </c>
      <c r="L1798" t="n">
        <v>11</v>
      </c>
      <c r="M1798" t="inlineStr">
        <is>
          <t>Values must be of type &lt;class 'str'&gt;</t>
        </is>
      </c>
      <c r="N1798" t="inlineStr">
        <is>
          <t>00000000</t>
        </is>
      </c>
      <c r="O1798" t="inlineStr">
        <is>
          <t>left</t>
        </is>
      </c>
      <c r="P1798" t="n">
        <v/>
      </c>
      <c r="R1798" t="b">
        <v>1</v>
      </c>
      <c r="S1798" t="inlineStr">
        <is>
          <t>G000345</t>
        </is>
      </c>
      <c r="T1798" t="inlineStr">
        <is>
          <t>Horizontal</t>
        </is>
      </c>
      <c r="U1798" t="n">
        <v>3</v>
      </c>
      <c r="V1798" t="b">
        <v>1</v>
      </c>
      <c r="W1798" t="inlineStr">
        <is>
          <t>ATF fuel!G186:I186</t>
        </is>
      </c>
      <c r="X1798">
        <f>(1+(R[0]C[-4]/R[-1]C[-4])-1)*R[-1]C[0]</f>
        <v/>
      </c>
    </row>
    <row r="1799">
      <c r="A1799" t="inlineStr">
        <is>
          <t>ATF fuel</t>
        </is>
      </c>
      <c r="B1799" t="inlineStr">
        <is>
          <t>J186</t>
        </is>
      </c>
      <c r="C1799" t="n">
        <v>186</v>
      </c>
      <c r="D1799" t="n">
        <v>10</v>
      </c>
      <c r="E1799" t="inlineStr">
        <is>
          <t>Output</t>
        </is>
      </c>
      <c r="F1799" t="inlineStr">
        <is>
          <t>'=G186/H186-1</t>
        </is>
      </c>
      <c r="G1799" t="n">
        <v>0.268964500657674</v>
      </c>
      <c r="H1799" t="inlineStr"/>
      <c r="I1799" t="inlineStr">
        <is>
          <t>0.0%</t>
        </is>
      </c>
      <c r="J1799" t="b">
        <v>0</v>
      </c>
      <c r="K1799" t="b">
        <v>0</v>
      </c>
      <c r="L1799" t="n">
        <v>11</v>
      </c>
      <c r="M1799" t="inlineStr">
        <is>
          <t>Values must be of type &lt;class 'str'&gt;</t>
        </is>
      </c>
      <c r="N1799" t="inlineStr">
        <is>
          <t>00000000</t>
        </is>
      </c>
      <c r="O1799" t="n">
        <v/>
      </c>
      <c r="P1799" t="n">
        <v/>
      </c>
      <c r="R1799" t="b">
        <v>1</v>
      </c>
      <c r="S1799" t="inlineStr">
        <is>
          <t>G000295</t>
        </is>
      </c>
      <c r="T1799" t="inlineStr">
        <is>
          <t>Vertical</t>
        </is>
      </c>
      <c r="U1799" t="n">
        <v>93</v>
      </c>
      <c r="V1799" t="b">
        <v>1</v>
      </c>
      <c r="W1799" t="inlineStr">
        <is>
          <t>ATF fuel!J136:J228</t>
        </is>
      </c>
      <c r="X1799">
        <f>R[0]C[-3]/R[0]C[-2]-1</f>
        <v/>
      </c>
    </row>
    <row r="1800">
      <c r="A1800" t="inlineStr">
        <is>
          <t>ATF fuel</t>
        </is>
      </c>
      <c r="B1800" t="inlineStr">
        <is>
          <t>B187</t>
        </is>
      </c>
      <c r="C1800" t="n">
        <v>187</v>
      </c>
      <c r="D1800" t="n">
        <v>2</v>
      </c>
      <c r="E1800" t="inlineStr">
        <is>
          <t>Input</t>
        </is>
      </c>
      <c r="F1800" t="n">
        <v/>
      </c>
      <c r="G1800" t="inlineStr">
        <is>
          <t>July 01, 2014</t>
        </is>
      </c>
      <c r="H1800" t="inlineStr"/>
      <c r="I1800" t="inlineStr">
        <is>
          <t>General</t>
        </is>
      </c>
      <c r="J1800" t="b">
        <v>0</v>
      </c>
      <c r="K1800" t="b">
        <v>0</v>
      </c>
      <c r="L1800" t="n">
        <v>11</v>
      </c>
      <c r="M1800" t="inlineStr">
        <is>
          <t>Values must be of type &lt;class 'str'&gt;</t>
        </is>
      </c>
      <c r="N1800" t="inlineStr">
        <is>
          <t>00000000</t>
        </is>
      </c>
      <c r="O1800" t="n">
        <v/>
      </c>
      <c r="P1800" t="n">
        <v/>
      </c>
      <c r="R1800" t="b">
        <v>1</v>
      </c>
      <c r="S1800" t="n">
        <v/>
      </c>
      <c r="T1800" t="n">
        <v/>
      </c>
      <c r="U1800" t="n">
        <v/>
      </c>
      <c r="V1800" t="b">
        <v>0</v>
      </c>
      <c r="W1800" t="inlineStr"/>
      <c r="X1800" t="n">
        <v/>
      </c>
    </row>
    <row r="1801">
      <c r="A1801" t="inlineStr">
        <is>
          <t>ATF fuel</t>
        </is>
      </c>
      <c r="B1801" t="inlineStr">
        <is>
          <t>C187</t>
        </is>
      </c>
      <c r="C1801" t="n">
        <v>187</v>
      </c>
      <c r="D1801" t="n">
        <v>3</v>
      </c>
      <c r="E1801" t="inlineStr">
        <is>
          <t>Input</t>
        </is>
      </c>
      <c r="F1801" t="n">
        <v/>
      </c>
      <c r="G1801" t="n">
        <v>74794.07000000001</v>
      </c>
      <c r="H1801" t="inlineStr"/>
      <c r="I1801" t="inlineStr">
        <is>
          <t>General</t>
        </is>
      </c>
      <c r="J1801" t="b">
        <v>0</v>
      </c>
      <c r="K1801" t="b">
        <v>0</v>
      </c>
      <c r="L1801" t="n">
        <v>11</v>
      </c>
      <c r="M1801" t="inlineStr">
        <is>
          <t>Values must be of type &lt;class 'str'&gt;</t>
        </is>
      </c>
      <c r="N1801" t="inlineStr">
        <is>
          <t>00000000</t>
        </is>
      </c>
      <c r="O1801" t="n">
        <v/>
      </c>
      <c r="P1801" t="n">
        <v/>
      </c>
      <c r="R1801" t="b">
        <v>1</v>
      </c>
      <c r="S1801" t="n">
        <v/>
      </c>
      <c r="T1801" t="n">
        <v/>
      </c>
      <c r="U1801" t="n">
        <v/>
      </c>
      <c r="V1801" t="b">
        <v>0</v>
      </c>
      <c r="W1801" t="inlineStr"/>
      <c r="X1801" t="n">
        <v/>
      </c>
    </row>
    <row r="1802">
      <c r="A1802" t="inlineStr">
        <is>
          <t>ATF fuel</t>
        </is>
      </c>
      <c r="B1802" t="inlineStr">
        <is>
          <t>D187</t>
        </is>
      </c>
      <c r="C1802" t="n">
        <v>187</v>
      </c>
      <c r="D1802" t="n">
        <v>4</v>
      </c>
      <c r="E1802" t="inlineStr">
        <is>
          <t>Input</t>
        </is>
      </c>
      <c r="F1802" t="n">
        <v/>
      </c>
      <c r="G1802" t="n">
        <v>107.65</v>
      </c>
      <c r="H1802" t="inlineStr"/>
      <c r="I1802" t="inlineStr">
        <is>
          <t>General</t>
        </is>
      </c>
      <c r="J1802" t="b">
        <v>0</v>
      </c>
      <c r="K1802" t="b">
        <v>0</v>
      </c>
      <c r="L1802" t="n">
        <v>11</v>
      </c>
      <c r="M1802" t="inlineStr">
        <is>
          <t>Values must be of type &lt;class 'str'&gt;</t>
        </is>
      </c>
      <c r="N1802" t="inlineStr">
        <is>
          <t>00000000</t>
        </is>
      </c>
      <c r="O1802" t="n">
        <v/>
      </c>
      <c r="P1802" t="n">
        <v/>
      </c>
      <c r="R1802" t="b">
        <v>1</v>
      </c>
      <c r="S1802" t="n">
        <v/>
      </c>
      <c r="T1802" t="n">
        <v/>
      </c>
      <c r="U1802" t="n">
        <v/>
      </c>
      <c r="V1802" t="b">
        <v>0</v>
      </c>
      <c r="W1802" t="inlineStr"/>
      <c r="X1802" t="n">
        <v/>
      </c>
    </row>
    <row r="1803">
      <c r="A1803" t="inlineStr">
        <is>
          <t>ATF fuel</t>
        </is>
      </c>
      <c r="B1803" t="inlineStr">
        <is>
          <t>E187</t>
        </is>
      </c>
      <c r="C1803" t="n">
        <v>187</v>
      </c>
      <c r="D1803" t="n">
        <v>5</v>
      </c>
      <c r="E1803" t="inlineStr">
        <is>
          <t>Input</t>
        </is>
      </c>
      <c r="F1803" t="n">
        <v/>
      </c>
      <c r="G1803" t="n">
        <v>106.06</v>
      </c>
      <c r="H1803" t="inlineStr"/>
      <c r="I1803" t="inlineStr">
        <is>
          <t>General</t>
        </is>
      </c>
      <c r="J1803" t="b">
        <v>0</v>
      </c>
      <c r="K1803" t="b">
        <v>0</v>
      </c>
      <c r="L1803" t="n">
        <v>11</v>
      </c>
      <c r="M1803" t="inlineStr">
        <is>
          <t>Values must be of type &lt;class 'str'&gt;</t>
        </is>
      </c>
      <c r="N1803" t="inlineStr">
        <is>
          <t>00000000</t>
        </is>
      </c>
      <c r="O1803" t="n">
        <v/>
      </c>
      <c r="P1803" t="n">
        <v/>
      </c>
      <c r="R1803" t="b">
        <v>1</v>
      </c>
      <c r="S1803" t="n">
        <v/>
      </c>
      <c r="T1803" t="n">
        <v/>
      </c>
      <c r="U1803" t="n">
        <v/>
      </c>
      <c r="V1803" t="b">
        <v>0</v>
      </c>
      <c r="W1803" t="inlineStr"/>
      <c r="X1803" t="n">
        <v/>
      </c>
    </row>
    <row r="1804">
      <c r="A1804" t="inlineStr">
        <is>
          <t>ATF fuel</t>
        </is>
      </c>
      <c r="B1804" t="inlineStr">
        <is>
          <t>F187</t>
        </is>
      </c>
      <c r="C1804" t="n">
        <v>187</v>
      </c>
      <c r="D1804" t="n">
        <v>6</v>
      </c>
      <c r="E1804" t="inlineStr">
        <is>
          <t>Input</t>
        </is>
      </c>
      <c r="F1804" t="n">
        <v/>
      </c>
      <c r="G1804" t="inlineStr">
        <is>
          <t>July 01, 2014</t>
        </is>
      </c>
      <c r="H1804" t="inlineStr"/>
      <c r="I1804" t="inlineStr">
        <is>
          <t>General</t>
        </is>
      </c>
      <c r="J1804" t="b">
        <v>0</v>
      </c>
      <c r="K1804" t="b">
        <v>0</v>
      </c>
      <c r="L1804" t="n">
        <v>11</v>
      </c>
      <c r="M1804" t="inlineStr">
        <is>
          <t>Values must be of type &lt;class 'str'&gt;</t>
        </is>
      </c>
      <c r="N1804" t="inlineStr">
        <is>
          <t>00000000</t>
        </is>
      </c>
      <c r="O1804" t="inlineStr">
        <is>
          <t>left</t>
        </is>
      </c>
      <c r="P1804" t="n">
        <v/>
      </c>
      <c r="R1804" t="b">
        <v>1</v>
      </c>
      <c r="S1804" t="n">
        <v/>
      </c>
      <c r="T1804" t="n">
        <v/>
      </c>
      <c r="U1804" t="n">
        <v/>
      </c>
      <c r="V1804" t="b">
        <v>0</v>
      </c>
      <c r="W1804" t="inlineStr"/>
      <c r="X1804" t="n">
        <v/>
      </c>
    </row>
    <row r="1805">
      <c r="A1805" t="inlineStr">
        <is>
          <t>ATF fuel</t>
        </is>
      </c>
      <c r="B1805" t="inlineStr">
        <is>
          <t>G187</t>
        </is>
      </c>
      <c r="C1805" t="n">
        <v>187</v>
      </c>
      <c r="D1805" t="n">
        <v>7</v>
      </c>
      <c r="E1805" t="inlineStr">
        <is>
          <t>Calculation</t>
        </is>
      </c>
      <c r="F1805" t="inlineStr">
        <is>
          <t>'=(1+(C187/C186)-1)*G186</t>
        </is>
      </c>
      <c r="G1805" t="n">
        <v>168.6001600137863</v>
      </c>
      <c r="H1805" t="inlineStr"/>
      <c r="I1805" t="inlineStr">
        <is>
          <t>General</t>
        </is>
      </c>
      <c r="J1805" t="b">
        <v>0</v>
      </c>
      <c r="K1805" t="b">
        <v>0</v>
      </c>
      <c r="L1805" t="n">
        <v>11</v>
      </c>
      <c r="M1805" t="inlineStr">
        <is>
          <t>Values must be of type &lt;class 'str'&gt;</t>
        </is>
      </c>
      <c r="N1805" t="inlineStr">
        <is>
          <t>00000000</t>
        </is>
      </c>
      <c r="O1805" t="inlineStr">
        <is>
          <t>left</t>
        </is>
      </c>
      <c r="P1805" t="n">
        <v/>
      </c>
      <c r="R1805" t="b">
        <v>1</v>
      </c>
      <c r="S1805" t="inlineStr">
        <is>
          <t>G000346</t>
        </is>
      </c>
      <c r="T1805" t="inlineStr">
        <is>
          <t>Horizontal</t>
        </is>
      </c>
      <c r="U1805" t="n">
        <v>3</v>
      </c>
      <c r="V1805" t="b">
        <v>1</v>
      </c>
      <c r="W1805" t="inlineStr">
        <is>
          <t>ATF fuel!G187:I187</t>
        </is>
      </c>
      <c r="X1805">
        <f>(1+(R[0]C[-4]/R[-1]C[-4])-1)*R[-1]C[0]</f>
        <v/>
      </c>
    </row>
    <row r="1806">
      <c r="A1806" t="inlineStr">
        <is>
          <t>ATF fuel</t>
        </is>
      </c>
      <c r="B1806" t="inlineStr">
        <is>
          <t>H187</t>
        </is>
      </c>
      <c r="C1806" t="n">
        <v>187</v>
      </c>
      <c r="D1806" t="n">
        <v>8</v>
      </c>
      <c r="E1806" t="inlineStr">
        <is>
          <t>Calculation</t>
        </is>
      </c>
      <c r="F1806" t="inlineStr">
        <is>
          <t>'=(1+(D187/D186)-1)*H186</t>
        </is>
      </c>
      <c r="G1806" t="n">
        <v>130.2795594820284</v>
      </c>
      <c r="H1806" t="inlineStr"/>
      <c r="I1806" t="inlineStr">
        <is>
          <t>General</t>
        </is>
      </c>
      <c r="J1806" t="b">
        <v>0</v>
      </c>
      <c r="K1806" t="b">
        <v>0</v>
      </c>
      <c r="L1806" t="n">
        <v>11</v>
      </c>
      <c r="M1806" t="inlineStr">
        <is>
          <t>Values must be of type &lt;class 'str'&gt;</t>
        </is>
      </c>
      <c r="N1806" t="inlineStr">
        <is>
          <t>00000000</t>
        </is>
      </c>
      <c r="O1806" t="inlineStr">
        <is>
          <t>left</t>
        </is>
      </c>
      <c r="P1806" t="n">
        <v/>
      </c>
      <c r="R1806" t="b">
        <v>1</v>
      </c>
      <c r="S1806" t="inlineStr">
        <is>
          <t>G000346</t>
        </is>
      </c>
      <c r="T1806" t="inlineStr">
        <is>
          <t>Horizontal</t>
        </is>
      </c>
      <c r="U1806" t="n">
        <v>3</v>
      </c>
      <c r="V1806" t="b">
        <v>1</v>
      </c>
      <c r="W1806" t="inlineStr">
        <is>
          <t>ATF fuel!G187:I187</t>
        </is>
      </c>
      <c r="X1806">
        <f>(1+(R[0]C[-4]/R[-1]C[-4])-1)*R[-1]C[0]</f>
        <v/>
      </c>
    </row>
    <row r="1807">
      <c r="A1807" t="inlineStr">
        <is>
          <t>ATF fuel</t>
        </is>
      </c>
      <c r="B1807" t="inlineStr">
        <is>
          <t>I187</t>
        </is>
      </c>
      <c r="C1807" t="n">
        <v>187</v>
      </c>
      <c r="D1807" t="n">
        <v>9</v>
      </c>
      <c r="E1807" t="inlineStr">
        <is>
          <t>Calculation</t>
        </is>
      </c>
      <c r="F1807" t="inlineStr">
        <is>
          <t>'=(1+(E187/E186)-1)*I186</t>
        </is>
      </c>
      <c r="G1807" t="n">
        <v>125.4702472494973</v>
      </c>
      <c r="H1807" t="inlineStr"/>
      <c r="I1807" t="inlineStr">
        <is>
          <t>General</t>
        </is>
      </c>
      <c r="J1807" t="b">
        <v>0</v>
      </c>
      <c r="K1807" t="b">
        <v>0</v>
      </c>
      <c r="L1807" t="n">
        <v>11</v>
      </c>
      <c r="M1807" t="inlineStr">
        <is>
          <t>Values must be of type &lt;class 'str'&gt;</t>
        </is>
      </c>
      <c r="N1807" t="inlineStr">
        <is>
          <t>00000000</t>
        </is>
      </c>
      <c r="O1807" t="inlineStr">
        <is>
          <t>left</t>
        </is>
      </c>
      <c r="P1807" t="n">
        <v/>
      </c>
      <c r="R1807" t="b">
        <v>1</v>
      </c>
      <c r="S1807" t="inlineStr">
        <is>
          <t>G000346</t>
        </is>
      </c>
      <c r="T1807" t="inlineStr">
        <is>
          <t>Horizontal</t>
        </is>
      </c>
      <c r="U1807" t="n">
        <v>3</v>
      </c>
      <c r="V1807" t="b">
        <v>1</v>
      </c>
      <c r="W1807" t="inlineStr">
        <is>
          <t>ATF fuel!G187:I187</t>
        </is>
      </c>
      <c r="X1807">
        <f>(1+(R[0]C[-4]/R[-1]C[-4])-1)*R[-1]C[0]</f>
        <v/>
      </c>
    </row>
    <row r="1808">
      <c r="A1808" t="inlineStr">
        <is>
          <t>ATF fuel</t>
        </is>
      </c>
      <c r="B1808" t="inlineStr">
        <is>
          <t>J187</t>
        </is>
      </c>
      <c r="C1808" t="n">
        <v>187</v>
      </c>
      <c r="D1808" t="n">
        <v>10</v>
      </c>
      <c r="E1808" t="inlineStr">
        <is>
          <t>Output</t>
        </is>
      </c>
      <c r="F1808" t="inlineStr">
        <is>
          <t>'=G187/H187-1</t>
        </is>
      </c>
      <c r="G1808" t="n">
        <v>0.2941413118382861</v>
      </c>
      <c r="H1808" t="inlineStr"/>
      <c r="I1808" t="inlineStr">
        <is>
          <t>0.0%</t>
        </is>
      </c>
      <c r="J1808" t="b">
        <v>0</v>
      </c>
      <c r="K1808" t="b">
        <v>0</v>
      </c>
      <c r="L1808" t="n">
        <v>11</v>
      </c>
      <c r="M1808" t="inlineStr">
        <is>
          <t>Values must be of type &lt;class 'str'&gt;</t>
        </is>
      </c>
      <c r="N1808" t="inlineStr">
        <is>
          <t>00000000</t>
        </is>
      </c>
      <c r="O1808" t="n">
        <v/>
      </c>
      <c r="P1808" t="n">
        <v/>
      </c>
      <c r="R1808" t="b">
        <v>1</v>
      </c>
      <c r="S1808" t="inlineStr">
        <is>
          <t>G000295</t>
        </is>
      </c>
      <c r="T1808" t="inlineStr">
        <is>
          <t>Vertical</t>
        </is>
      </c>
      <c r="U1808" t="n">
        <v>93</v>
      </c>
      <c r="V1808" t="b">
        <v>1</v>
      </c>
      <c r="W1808" t="inlineStr">
        <is>
          <t>ATF fuel!J136:J228</t>
        </is>
      </c>
      <c r="X1808">
        <f>R[0]C[-3]/R[0]C[-2]-1</f>
        <v/>
      </c>
    </row>
    <row r="1809">
      <c r="A1809" t="inlineStr">
        <is>
          <t>ATF fuel</t>
        </is>
      </c>
      <c r="B1809" t="inlineStr">
        <is>
          <t>B188</t>
        </is>
      </c>
      <c r="C1809" t="n">
        <v>188</v>
      </c>
      <c r="D1809" t="n">
        <v>2</v>
      </c>
      <c r="E1809" t="inlineStr">
        <is>
          <t>Input</t>
        </is>
      </c>
      <c r="F1809" t="n">
        <v/>
      </c>
      <c r="G1809" t="inlineStr">
        <is>
          <t>August 01, 2014</t>
        </is>
      </c>
      <c r="H1809" t="inlineStr"/>
      <c r="I1809" t="inlineStr">
        <is>
          <t>General</t>
        </is>
      </c>
      <c r="J1809" t="b">
        <v>0</v>
      </c>
      <c r="K1809" t="b">
        <v>0</v>
      </c>
      <c r="L1809" t="n">
        <v>11</v>
      </c>
      <c r="M1809" t="inlineStr">
        <is>
          <t>Values must be of type &lt;class 'str'&gt;</t>
        </is>
      </c>
      <c r="N1809" t="inlineStr">
        <is>
          <t>00000000</t>
        </is>
      </c>
      <c r="O1809" t="n">
        <v/>
      </c>
      <c r="P1809" t="n">
        <v/>
      </c>
      <c r="R1809" t="b">
        <v>1</v>
      </c>
      <c r="S1809" t="n">
        <v/>
      </c>
      <c r="T1809" t="n">
        <v/>
      </c>
      <c r="U1809" t="n">
        <v/>
      </c>
      <c r="V1809" t="b">
        <v>0</v>
      </c>
      <c r="W1809" t="inlineStr"/>
      <c r="X1809" t="n">
        <v/>
      </c>
    </row>
    <row r="1810">
      <c r="A1810" t="inlineStr">
        <is>
          <t>ATF fuel</t>
        </is>
      </c>
      <c r="B1810" t="inlineStr">
        <is>
          <t>C188</t>
        </is>
      </c>
      <c r="C1810" t="n">
        <v>188</v>
      </c>
      <c r="D1810" t="n">
        <v>3</v>
      </c>
      <c r="E1810" t="inlineStr">
        <is>
          <t>Input</t>
        </is>
      </c>
      <c r="F1810" t="n">
        <v/>
      </c>
      <c r="G1810" t="n">
        <v>74690.465</v>
      </c>
      <c r="H1810" t="inlineStr"/>
      <c r="I1810" t="inlineStr">
        <is>
          <t>General</t>
        </is>
      </c>
      <c r="J1810" t="b">
        <v>0</v>
      </c>
      <c r="K1810" t="b">
        <v>0</v>
      </c>
      <c r="L1810" t="n">
        <v>11</v>
      </c>
      <c r="M1810" t="inlineStr">
        <is>
          <t>Values must be of type &lt;class 'str'&gt;</t>
        </is>
      </c>
      <c r="N1810" t="inlineStr">
        <is>
          <t>00000000</t>
        </is>
      </c>
      <c r="O1810" t="n">
        <v/>
      </c>
      <c r="P1810" t="n">
        <v/>
      </c>
      <c r="R1810" t="b">
        <v>1</v>
      </c>
      <c r="S1810" t="n">
        <v/>
      </c>
      <c r="T1810" t="n">
        <v/>
      </c>
      <c r="U1810" t="n">
        <v/>
      </c>
      <c r="V1810" t="b">
        <v>0</v>
      </c>
      <c r="W1810" t="inlineStr"/>
      <c r="X1810" t="n">
        <v/>
      </c>
    </row>
    <row r="1811">
      <c r="A1811" t="inlineStr">
        <is>
          <t>ATF fuel</t>
        </is>
      </c>
      <c r="B1811" t="inlineStr">
        <is>
          <t>D188</t>
        </is>
      </c>
      <c r="C1811" t="n">
        <v>188</v>
      </c>
      <c r="D1811" t="n">
        <v>4</v>
      </c>
      <c r="E1811" t="inlineStr">
        <is>
          <t>Input</t>
        </is>
      </c>
      <c r="F1811" t="n">
        <v/>
      </c>
      <c r="G1811" t="n">
        <v>104.02</v>
      </c>
      <c r="H1811" t="inlineStr"/>
      <c r="I1811" t="inlineStr">
        <is>
          <t>General</t>
        </is>
      </c>
      <c r="J1811" t="b">
        <v>0</v>
      </c>
      <c r="K1811" t="b">
        <v>0</v>
      </c>
      <c r="L1811" t="n">
        <v>11</v>
      </c>
      <c r="M1811" t="inlineStr">
        <is>
          <t>Values must be of type &lt;class 'str'&gt;</t>
        </is>
      </c>
      <c r="N1811" t="inlineStr">
        <is>
          <t>00000000</t>
        </is>
      </c>
      <c r="O1811" t="n">
        <v/>
      </c>
      <c r="P1811" t="n">
        <v/>
      </c>
      <c r="R1811" t="b">
        <v>1</v>
      </c>
      <c r="S1811" t="n">
        <v/>
      </c>
      <c r="T1811" t="n">
        <v/>
      </c>
      <c r="U1811" t="n">
        <v/>
      </c>
      <c r="V1811" t="b">
        <v>0</v>
      </c>
      <c r="W1811" t="inlineStr"/>
      <c r="X1811" t="n">
        <v/>
      </c>
    </row>
    <row r="1812">
      <c r="A1812" t="inlineStr">
        <is>
          <t>ATF fuel</t>
        </is>
      </c>
      <c r="B1812" t="inlineStr">
        <is>
          <t>E188</t>
        </is>
      </c>
      <c r="C1812" t="n">
        <v>188</v>
      </c>
      <c r="D1812" t="n">
        <v>5</v>
      </c>
      <c r="E1812" t="inlineStr">
        <is>
          <t>Input</t>
        </is>
      </c>
      <c r="F1812" t="n">
        <v/>
      </c>
      <c r="G1812" t="n">
        <v>97.86</v>
      </c>
      <c r="H1812" t="inlineStr"/>
      <c r="I1812" t="inlineStr">
        <is>
          <t>General</t>
        </is>
      </c>
      <c r="J1812" t="b">
        <v>0</v>
      </c>
      <c r="K1812" t="b">
        <v>0</v>
      </c>
      <c r="L1812" t="n">
        <v>11</v>
      </c>
      <c r="M1812" t="inlineStr">
        <is>
          <t>Values must be of type &lt;class 'str'&gt;</t>
        </is>
      </c>
      <c r="N1812" t="inlineStr">
        <is>
          <t>00000000</t>
        </is>
      </c>
      <c r="O1812" t="n">
        <v/>
      </c>
      <c r="P1812" t="n">
        <v/>
      </c>
      <c r="R1812" t="b">
        <v>1</v>
      </c>
      <c r="S1812" t="n">
        <v/>
      </c>
      <c r="T1812" t="n">
        <v/>
      </c>
      <c r="U1812" t="n">
        <v/>
      </c>
      <c r="V1812" t="b">
        <v>0</v>
      </c>
      <c r="W1812" t="inlineStr"/>
      <c r="X1812" t="n">
        <v/>
      </c>
    </row>
    <row r="1813">
      <c r="A1813" t="inlineStr">
        <is>
          <t>ATF fuel</t>
        </is>
      </c>
      <c r="B1813" t="inlineStr">
        <is>
          <t>F188</t>
        </is>
      </c>
      <c r="C1813" t="n">
        <v>188</v>
      </c>
      <c r="D1813" t="n">
        <v>6</v>
      </c>
      <c r="E1813" t="inlineStr">
        <is>
          <t>Input</t>
        </is>
      </c>
      <c r="F1813" t="n">
        <v/>
      </c>
      <c r="G1813" t="inlineStr">
        <is>
          <t>August 01, 2014</t>
        </is>
      </c>
      <c r="H1813" t="inlineStr"/>
      <c r="I1813" t="inlineStr">
        <is>
          <t>General</t>
        </is>
      </c>
      <c r="J1813" t="b">
        <v>0</v>
      </c>
      <c r="K1813" t="b">
        <v>0</v>
      </c>
      <c r="L1813" t="n">
        <v>11</v>
      </c>
      <c r="M1813" t="inlineStr">
        <is>
          <t>Values must be of type &lt;class 'str'&gt;</t>
        </is>
      </c>
      <c r="N1813" t="inlineStr">
        <is>
          <t>00000000</t>
        </is>
      </c>
      <c r="O1813" t="inlineStr">
        <is>
          <t>left</t>
        </is>
      </c>
      <c r="P1813" t="n">
        <v/>
      </c>
      <c r="R1813" t="b">
        <v>1</v>
      </c>
      <c r="S1813" t="n">
        <v/>
      </c>
      <c r="T1813" t="n">
        <v/>
      </c>
      <c r="U1813" t="n">
        <v/>
      </c>
      <c r="V1813" t="b">
        <v>0</v>
      </c>
      <c r="W1813" t="inlineStr"/>
      <c r="X1813" t="n">
        <v/>
      </c>
    </row>
    <row r="1814">
      <c r="A1814" t="inlineStr">
        <is>
          <t>ATF fuel</t>
        </is>
      </c>
      <c r="B1814" t="inlineStr">
        <is>
          <t>G188</t>
        </is>
      </c>
      <c r="C1814" t="n">
        <v>188</v>
      </c>
      <c r="D1814" t="n">
        <v>7</v>
      </c>
      <c r="E1814" t="inlineStr">
        <is>
          <t>Calculation</t>
        </is>
      </c>
      <c r="F1814" t="inlineStr">
        <is>
          <t>'=(1+(C188/C187)-1)*G187</t>
        </is>
      </c>
      <c r="G1814" t="n">
        <v>168.3666144990385</v>
      </c>
      <c r="H1814" t="inlineStr"/>
      <c r="I1814" t="inlineStr">
        <is>
          <t>General</t>
        </is>
      </c>
      <c r="J1814" t="b">
        <v>0</v>
      </c>
      <c r="K1814" t="b">
        <v>0</v>
      </c>
      <c r="L1814" t="n">
        <v>11</v>
      </c>
      <c r="M1814" t="inlineStr">
        <is>
          <t>Values must be of type &lt;class 'str'&gt;</t>
        </is>
      </c>
      <c r="N1814" t="inlineStr">
        <is>
          <t>00000000</t>
        </is>
      </c>
      <c r="O1814" t="inlineStr">
        <is>
          <t>left</t>
        </is>
      </c>
      <c r="P1814" t="n">
        <v/>
      </c>
      <c r="R1814" t="b">
        <v>1</v>
      </c>
      <c r="S1814" t="inlineStr">
        <is>
          <t>G000347</t>
        </is>
      </c>
      <c r="T1814" t="inlineStr">
        <is>
          <t>Horizontal</t>
        </is>
      </c>
      <c r="U1814" t="n">
        <v>3</v>
      </c>
      <c r="V1814" t="b">
        <v>1</v>
      </c>
      <c r="W1814" t="inlineStr">
        <is>
          <t>ATF fuel!G188:I188</t>
        </is>
      </c>
      <c r="X1814">
        <f>(1+(R[0]C[-4]/R[-1]C[-4])-1)*R[-1]C[0]</f>
        <v/>
      </c>
    </row>
    <row r="1815">
      <c r="A1815" t="inlineStr">
        <is>
          <t>ATF fuel</t>
        </is>
      </c>
      <c r="B1815" t="inlineStr">
        <is>
          <t>H188</t>
        </is>
      </c>
      <c r="C1815" t="n">
        <v>188</v>
      </c>
      <c r="D1815" t="n">
        <v>8</v>
      </c>
      <c r="E1815" t="inlineStr">
        <is>
          <t>Calculation</t>
        </is>
      </c>
      <c r="F1815" t="inlineStr">
        <is>
          <t>'=(1+(D188/D187)-1)*H187</t>
        </is>
      </c>
      <c r="G1815" t="n">
        <v>125.8864819072977</v>
      </c>
      <c r="H1815" t="inlineStr"/>
      <c r="I1815" t="inlineStr">
        <is>
          <t>General</t>
        </is>
      </c>
      <c r="J1815" t="b">
        <v>0</v>
      </c>
      <c r="K1815" t="b">
        <v>0</v>
      </c>
      <c r="L1815" t="n">
        <v>11</v>
      </c>
      <c r="M1815" t="inlineStr">
        <is>
          <t>Values must be of type &lt;class 'str'&gt;</t>
        </is>
      </c>
      <c r="N1815" t="inlineStr">
        <is>
          <t>00000000</t>
        </is>
      </c>
      <c r="O1815" t="inlineStr">
        <is>
          <t>left</t>
        </is>
      </c>
      <c r="P1815" t="n">
        <v/>
      </c>
      <c r="R1815" t="b">
        <v>1</v>
      </c>
      <c r="S1815" t="inlineStr">
        <is>
          <t>G000347</t>
        </is>
      </c>
      <c r="T1815" t="inlineStr">
        <is>
          <t>Horizontal</t>
        </is>
      </c>
      <c r="U1815" t="n">
        <v>3</v>
      </c>
      <c r="V1815" t="b">
        <v>1</v>
      </c>
      <c r="W1815" t="inlineStr">
        <is>
          <t>ATF fuel!G188:I188</t>
        </is>
      </c>
      <c r="X1815">
        <f>(1+(R[0]C[-4]/R[-1]C[-4])-1)*R[-1]C[0]</f>
        <v/>
      </c>
    </row>
    <row r="1816">
      <c r="A1816" t="inlineStr">
        <is>
          <t>ATF fuel</t>
        </is>
      </c>
      <c r="B1816" t="inlineStr">
        <is>
          <t>I188</t>
        </is>
      </c>
      <c r="C1816" t="n">
        <v>188</v>
      </c>
      <c r="D1816" t="n">
        <v>9</v>
      </c>
      <c r="E1816" t="inlineStr">
        <is>
          <t>Calculation</t>
        </is>
      </c>
      <c r="F1816" t="inlineStr">
        <is>
          <t>'=(1+(E188/E187)-1)*I187</t>
        </is>
      </c>
      <c r="G1816" t="n">
        <v>115.7695492724477</v>
      </c>
      <c r="H1816" t="inlineStr"/>
      <c r="I1816" t="inlineStr">
        <is>
          <t>General</t>
        </is>
      </c>
      <c r="J1816" t="b">
        <v>0</v>
      </c>
      <c r="K1816" t="b">
        <v>0</v>
      </c>
      <c r="L1816" t="n">
        <v>11</v>
      </c>
      <c r="M1816" t="inlineStr">
        <is>
          <t>Values must be of type &lt;class 'str'&gt;</t>
        </is>
      </c>
      <c r="N1816" t="inlineStr">
        <is>
          <t>00000000</t>
        </is>
      </c>
      <c r="O1816" t="inlineStr">
        <is>
          <t>left</t>
        </is>
      </c>
      <c r="P1816" t="n">
        <v/>
      </c>
      <c r="R1816" t="b">
        <v>1</v>
      </c>
      <c r="S1816" t="inlineStr">
        <is>
          <t>G000347</t>
        </is>
      </c>
      <c r="T1816" t="inlineStr">
        <is>
          <t>Horizontal</t>
        </is>
      </c>
      <c r="U1816" t="n">
        <v>3</v>
      </c>
      <c r="V1816" t="b">
        <v>1</v>
      </c>
      <c r="W1816" t="inlineStr">
        <is>
          <t>ATF fuel!G188:I188</t>
        </is>
      </c>
      <c r="X1816">
        <f>(1+(R[0]C[-4]/R[-1]C[-4])-1)*R[-1]C[0]</f>
        <v/>
      </c>
    </row>
    <row r="1817">
      <c r="A1817" t="inlineStr">
        <is>
          <t>ATF fuel</t>
        </is>
      </c>
      <c r="B1817" t="inlineStr">
        <is>
          <t>J188</t>
        </is>
      </c>
      <c r="C1817" t="n">
        <v>188</v>
      </c>
      <c r="D1817" t="n">
        <v>10</v>
      </c>
      <c r="E1817" t="inlineStr">
        <is>
          <t>Output</t>
        </is>
      </c>
      <c r="F1817" t="inlineStr">
        <is>
          <t>'=G188/H188-1</t>
        </is>
      </c>
      <c r="G1817" t="n">
        <v>0.3374479288651742</v>
      </c>
      <c r="H1817" t="inlineStr"/>
      <c r="I1817" t="inlineStr">
        <is>
          <t>0.0%</t>
        </is>
      </c>
      <c r="J1817" t="b">
        <v>0</v>
      </c>
      <c r="K1817" t="b">
        <v>0</v>
      </c>
      <c r="L1817" t="n">
        <v>11</v>
      </c>
      <c r="M1817" t="inlineStr">
        <is>
          <t>Values must be of type &lt;class 'str'&gt;</t>
        </is>
      </c>
      <c r="N1817" t="inlineStr">
        <is>
          <t>00000000</t>
        </is>
      </c>
      <c r="O1817" t="n">
        <v/>
      </c>
      <c r="P1817" t="n">
        <v/>
      </c>
      <c r="R1817" t="b">
        <v>1</v>
      </c>
      <c r="S1817" t="inlineStr">
        <is>
          <t>G000295</t>
        </is>
      </c>
      <c r="T1817" t="inlineStr">
        <is>
          <t>Vertical</t>
        </is>
      </c>
      <c r="U1817" t="n">
        <v>93</v>
      </c>
      <c r="V1817" t="b">
        <v>1</v>
      </c>
      <c r="W1817" t="inlineStr">
        <is>
          <t>ATF fuel!J136:J228</t>
        </is>
      </c>
      <c r="X1817">
        <f>R[0]C[-3]/R[0]C[-2]-1</f>
        <v/>
      </c>
    </row>
    <row r="1818">
      <c r="A1818" t="inlineStr">
        <is>
          <t>ATF fuel</t>
        </is>
      </c>
      <c r="B1818" t="inlineStr">
        <is>
          <t>B189</t>
        </is>
      </c>
      <c r="C1818" t="n">
        <v>189</v>
      </c>
      <c r="D1818" t="n">
        <v>2</v>
      </c>
      <c r="E1818" t="inlineStr">
        <is>
          <t>Input</t>
        </is>
      </c>
      <c r="F1818" t="n">
        <v/>
      </c>
      <c r="G1818" t="inlineStr">
        <is>
          <t>September 01, 2014</t>
        </is>
      </c>
      <c r="H1818" t="inlineStr"/>
      <c r="I1818" t="inlineStr">
        <is>
          <t>General</t>
        </is>
      </c>
      <c r="J1818" t="b">
        <v>0</v>
      </c>
      <c r="K1818" t="b">
        <v>0</v>
      </c>
      <c r="L1818" t="n">
        <v>11</v>
      </c>
      <c r="M1818" t="inlineStr">
        <is>
          <t>Values must be of type &lt;class 'str'&gt;</t>
        </is>
      </c>
      <c r="N1818" t="inlineStr">
        <is>
          <t>00000000</t>
        </is>
      </c>
      <c r="O1818" t="n">
        <v/>
      </c>
      <c r="P1818" t="n">
        <v/>
      </c>
      <c r="R1818" t="b">
        <v>1</v>
      </c>
      <c r="S1818" t="n">
        <v/>
      </c>
      <c r="T1818" t="n">
        <v/>
      </c>
      <c r="U1818" t="n">
        <v/>
      </c>
      <c r="V1818" t="b">
        <v>0</v>
      </c>
      <c r="W1818" t="inlineStr"/>
      <c r="X1818" t="n">
        <v/>
      </c>
    </row>
    <row r="1819">
      <c r="A1819" t="inlineStr">
        <is>
          <t>ATF fuel</t>
        </is>
      </c>
      <c r="B1819" t="inlineStr">
        <is>
          <t>C189</t>
        </is>
      </c>
      <c r="C1819" t="n">
        <v>189</v>
      </c>
      <c r="D1819" t="n">
        <v>3</v>
      </c>
      <c r="E1819" t="inlineStr">
        <is>
          <t>Input</t>
        </is>
      </c>
      <c r="F1819" t="n">
        <v/>
      </c>
      <c r="G1819" t="n">
        <v>74248.495</v>
      </c>
      <c r="H1819" t="inlineStr"/>
      <c r="I1819" t="inlineStr">
        <is>
          <t>General</t>
        </is>
      </c>
      <c r="J1819" t="b">
        <v>0</v>
      </c>
      <c r="K1819" t="b">
        <v>0</v>
      </c>
      <c r="L1819" t="n">
        <v>11</v>
      </c>
      <c r="M1819" t="inlineStr">
        <is>
          <t>Values must be of type &lt;class 'str'&gt;</t>
        </is>
      </c>
      <c r="N1819" t="inlineStr">
        <is>
          <t>00000000</t>
        </is>
      </c>
      <c r="O1819" t="n">
        <v/>
      </c>
      <c r="P1819" t="n">
        <v/>
      </c>
      <c r="R1819" t="b">
        <v>1</v>
      </c>
      <c r="S1819" t="n">
        <v/>
      </c>
      <c r="T1819" t="n">
        <v/>
      </c>
      <c r="U1819" t="n">
        <v/>
      </c>
      <c r="V1819" t="b">
        <v>0</v>
      </c>
      <c r="W1819" t="inlineStr"/>
      <c r="X1819" t="n">
        <v/>
      </c>
    </row>
    <row r="1820">
      <c r="A1820" t="inlineStr">
        <is>
          <t>ATF fuel</t>
        </is>
      </c>
      <c r="B1820" t="inlineStr">
        <is>
          <t>D189</t>
        </is>
      </c>
      <c r="C1820" t="n">
        <v>189</v>
      </c>
      <c r="D1820" t="n">
        <v>4</v>
      </c>
      <c r="E1820" t="inlineStr">
        <is>
          <t>Input</t>
        </is>
      </c>
      <c r="F1820" t="n">
        <v/>
      </c>
      <c r="G1820" t="n">
        <v>99.53</v>
      </c>
      <c r="H1820" t="inlineStr"/>
      <c r="I1820" t="inlineStr">
        <is>
          <t>General</t>
        </is>
      </c>
      <c r="J1820" t="b">
        <v>0</v>
      </c>
      <c r="K1820" t="b">
        <v>0</v>
      </c>
      <c r="L1820" t="n">
        <v>11</v>
      </c>
      <c r="M1820" t="inlineStr">
        <is>
          <t>Values must be of type &lt;class 'str'&gt;</t>
        </is>
      </c>
      <c r="N1820" t="inlineStr">
        <is>
          <t>00000000</t>
        </is>
      </c>
      <c r="O1820" t="n">
        <v/>
      </c>
      <c r="P1820" t="n">
        <v/>
      </c>
      <c r="R1820" t="b">
        <v>1</v>
      </c>
      <c r="S1820" t="n">
        <v/>
      </c>
      <c r="T1820" t="n">
        <v/>
      </c>
      <c r="U1820" t="n">
        <v/>
      </c>
      <c r="V1820" t="b">
        <v>0</v>
      </c>
      <c r="W1820" t="inlineStr"/>
      <c r="X1820" t="n">
        <v/>
      </c>
    </row>
    <row r="1821">
      <c r="A1821" t="inlineStr">
        <is>
          <t>ATF fuel</t>
        </is>
      </c>
      <c r="B1821" t="inlineStr">
        <is>
          <t>E189</t>
        </is>
      </c>
      <c r="C1821" t="n">
        <v>189</v>
      </c>
      <c r="D1821" t="n">
        <v>5</v>
      </c>
      <c r="E1821" t="inlineStr">
        <is>
          <t>Input</t>
        </is>
      </c>
      <c r="F1821" t="n">
        <v/>
      </c>
      <c r="G1821" t="n">
        <v>92.92</v>
      </c>
      <c r="H1821" t="inlineStr"/>
      <c r="I1821" t="inlineStr">
        <is>
          <t>General</t>
        </is>
      </c>
      <c r="J1821" t="b">
        <v>0</v>
      </c>
      <c r="K1821" t="b">
        <v>0</v>
      </c>
      <c r="L1821" t="n">
        <v>11</v>
      </c>
      <c r="M1821" t="inlineStr">
        <is>
          <t>Values must be of type &lt;class 'str'&gt;</t>
        </is>
      </c>
      <c r="N1821" t="inlineStr">
        <is>
          <t>00000000</t>
        </is>
      </c>
      <c r="O1821" t="n">
        <v/>
      </c>
      <c r="P1821" t="n">
        <v/>
      </c>
      <c r="R1821" t="b">
        <v>1</v>
      </c>
      <c r="S1821" t="n">
        <v/>
      </c>
      <c r="T1821" t="n">
        <v/>
      </c>
      <c r="U1821" t="n">
        <v/>
      </c>
      <c r="V1821" t="b">
        <v>0</v>
      </c>
      <c r="W1821" t="inlineStr"/>
      <c r="X1821" t="n">
        <v/>
      </c>
    </row>
    <row r="1822">
      <c r="A1822" t="inlineStr">
        <is>
          <t>ATF fuel</t>
        </is>
      </c>
      <c r="B1822" t="inlineStr">
        <is>
          <t>F189</t>
        </is>
      </c>
      <c r="C1822" t="n">
        <v>189</v>
      </c>
      <c r="D1822" t="n">
        <v>6</v>
      </c>
      <c r="E1822" t="inlineStr">
        <is>
          <t>Input</t>
        </is>
      </c>
      <c r="F1822" t="n">
        <v/>
      </c>
      <c r="G1822" t="inlineStr">
        <is>
          <t>September 01, 2014</t>
        </is>
      </c>
      <c r="H1822" t="inlineStr"/>
      <c r="I1822" t="inlineStr">
        <is>
          <t>General</t>
        </is>
      </c>
      <c r="J1822" t="b">
        <v>0</v>
      </c>
      <c r="K1822" t="b">
        <v>0</v>
      </c>
      <c r="L1822" t="n">
        <v>11</v>
      </c>
      <c r="M1822" t="inlineStr">
        <is>
          <t>Values must be of type &lt;class 'str'&gt;</t>
        </is>
      </c>
      <c r="N1822" t="inlineStr">
        <is>
          <t>00000000</t>
        </is>
      </c>
      <c r="O1822" t="inlineStr">
        <is>
          <t>left</t>
        </is>
      </c>
      <c r="P1822" t="n">
        <v/>
      </c>
      <c r="R1822" t="b">
        <v>1</v>
      </c>
      <c r="S1822" t="n">
        <v/>
      </c>
      <c r="T1822" t="n">
        <v/>
      </c>
      <c r="U1822" t="n">
        <v/>
      </c>
      <c r="V1822" t="b">
        <v>0</v>
      </c>
      <c r="W1822" t="inlineStr"/>
      <c r="X1822" t="n">
        <v/>
      </c>
    </row>
    <row r="1823">
      <c r="A1823" t="inlineStr">
        <is>
          <t>ATF fuel</t>
        </is>
      </c>
      <c r="B1823" t="inlineStr">
        <is>
          <t>G189</t>
        </is>
      </c>
      <c r="C1823" t="n">
        <v>189</v>
      </c>
      <c r="D1823" t="n">
        <v>7</v>
      </c>
      <c r="E1823" t="inlineStr">
        <is>
          <t>Calculation</t>
        </is>
      </c>
      <c r="F1823" t="inlineStr">
        <is>
          <t>'=(1+(C189/C188)-1)*G188</t>
        </is>
      </c>
      <c r="G1823" t="n">
        <v>167.3703294630552</v>
      </c>
      <c r="H1823" t="inlineStr"/>
      <c r="I1823" t="inlineStr">
        <is>
          <t>General</t>
        </is>
      </c>
      <c r="J1823" t="b">
        <v>0</v>
      </c>
      <c r="K1823" t="b">
        <v>0</v>
      </c>
      <c r="L1823" t="n">
        <v>11</v>
      </c>
      <c r="M1823" t="inlineStr">
        <is>
          <t>Values must be of type &lt;class 'str'&gt;</t>
        </is>
      </c>
      <c r="N1823" t="inlineStr">
        <is>
          <t>00000000</t>
        </is>
      </c>
      <c r="O1823" t="inlineStr">
        <is>
          <t>left</t>
        </is>
      </c>
      <c r="P1823" t="n">
        <v/>
      </c>
      <c r="R1823" t="b">
        <v>1</v>
      </c>
      <c r="S1823" t="inlineStr">
        <is>
          <t>G000348</t>
        </is>
      </c>
      <c r="T1823" t="inlineStr">
        <is>
          <t>Horizontal</t>
        </is>
      </c>
      <c r="U1823" t="n">
        <v>3</v>
      </c>
      <c r="V1823" t="b">
        <v>1</v>
      </c>
      <c r="W1823" t="inlineStr">
        <is>
          <t>ATF fuel!G189:I189</t>
        </is>
      </c>
      <c r="X1823">
        <f>(1+(R[0]C[-4]/R[-1]C[-4])-1)*R[-1]C[0]</f>
        <v/>
      </c>
    </row>
    <row r="1824">
      <c r="A1824" t="inlineStr">
        <is>
          <t>ATF fuel</t>
        </is>
      </c>
      <c r="B1824" t="inlineStr">
        <is>
          <t>H189</t>
        </is>
      </c>
      <c r="C1824" t="n">
        <v>189</v>
      </c>
      <c r="D1824" t="n">
        <v>8</v>
      </c>
      <c r="E1824" t="inlineStr">
        <is>
          <t>Calculation</t>
        </is>
      </c>
      <c r="F1824" t="inlineStr">
        <is>
          <t>'=(1+(D189/D188)-1)*H188</t>
        </is>
      </c>
      <c r="G1824" t="n">
        <v>120.4526201137603</v>
      </c>
      <c r="H1824" t="inlineStr"/>
      <c r="I1824" t="inlineStr">
        <is>
          <t>General</t>
        </is>
      </c>
      <c r="J1824" t="b">
        <v>0</v>
      </c>
      <c r="K1824" t="b">
        <v>0</v>
      </c>
      <c r="L1824" t="n">
        <v>11</v>
      </c>
      <c r="M1824" t="inlineStr">
        <is>
          <t>Values must be of type &lt;class 'str'&gt;</t>
        </is>
      </c>
      <c r="N1824" t="inlineStr">
        <is>
          <t>00000000</t>
        </is>
      </c>
      <c r="O1824" t="inlineStr">
        <is>
          <t>left</t>
        </is>
      </c>
      <c r="P1824" t="n">
        <v/>
      </c>
      <c r="R1824" t="b">
        <v>1</v>
      </c>
      <c r="S1824" t="inlineStr">
        <is>
          <t>G000348</t>
        </is>
      </c>
      <c r="T1824" t="inlineStr">
        <is>
          <t>Horizontal</t>
        </is>
      </c>
      <c r="U1824" t="n">
        <v>3</v>
      </c>
      <c r="V1824" t="b">
        <v>1</v>
      </c>
      <c r="W1824" t="inlineStr">
        <is>
          <t>ATF fuel!G189:I189</t>
        </is>
      </c>
      <c r="X1824">
        <f>(1+(R[0]C[-4]/R[-1]C[-4])-1)*R[-1]C[0]</f>
        <v/>
      </c>
    </row>
    <row r="1825">
      <c r="A1825" t="inlineStr">
        <is>
          <t>ATF fuel</t>
        </is>
      </c>
      <c r="B1825" t="inlineStr">
        <is>
          <t>I189</t>
        </is>
      </c>
      <c r="C1825" t="n">
        <v>189</v>
      </c>
      <c r="D1825" t="n">
        <v>9</v>
      </c>
      <c r="E1825" t="inlineStr">
        <is>
          <t>Calculation</t>
        </is>
      </c>
      <c r="F1825" t="inlineStr">
        <is>
          <t>'=(1+(E189/E188)-1)*I188</t>
        </is>
      </c>
      <c r="G1825" t="n">
        <v>109.9254702472495</v>
      </c>
      <c r="H1825" t="inlineStr"/>
      <c r="I1825" t="inlineStr">
        <is>
          <t>General</t>
        </is>
      </c>
      <c r="J1825" t="b">
        <v>0</v>
      </c>
      <c r="K1825" t="b">
        <v>0</v>
      </c>
      <c r="L1825" t="n">
        <v>11</v>
      </c>
      <c r="M1825" t="inlineStr">
        <is>
          <t>Values must be of type &lt;class 'str'&gt;</t>
        </is>
      </c>
      <c r="N1825" t="inlineStr">
        <is>
          <t>00000000</t>
        </is>
      </c>
      <c r="O1825" t="inlineStr">
        <is>
          <t>left</t>
        </is>
      </c>
      <c r="P1825" t="n">
        <v/>
      </c>
      <c r="R1825" t="b">
        <v>1</v>
      </c>
      <c r="S1825" t="inlineStr">
        <is>
          <t>G000348</t>
        </is>
      </c>
      <c r="T1825" t="inlineStr">
        <is>
          <t>Horizontal</t>
        </is>
      </c>
      <c r="U1825" t="n">
        <v>3</v>
      </c>
      <c r="V1825" t="b">
        <v>1</v>
      </c>
      <c r="W1825" t="inlineStr">
        <is>
          <t>ATF fuel!G189:I189</t>
        </is>
      </c>
      <c r="X1825">
        <f>(1+(R[0]C[-4]/R[-1]C[-4])-1)*R[-1]C[0]</f>
        <v/>
      </c>
    </row>
    <row r="1826">
      <c r="A1826" t="inlineStr">
        <is>
          <t>ATF fuel</t>
        </is>
      </c>
      <c r="B1826" t="inlineStr">
        <is>
          <t>J189</t>
        </is>
      </c>
      <c r="C1826" t="n">
        <v>189</v>
      </c>
      <c r="D1826" t="n">
        <v>10</v>
      </c>
      <c r="E1826" t="inlineStr">
        <is>
          <t>Output</t>
        </is>
      </c>
      <c r="F1826" t="inlineStr">
        <is>
          <t>'=G189/H189-1</t>
        </is>
      </c>
      <c r="G1826" t="n">
        <v>0.3895117375195654</v>
      </c>
      <c r="H1826" t="inlineStr"/>
      <c r="I1826" t="inlineStr">
        <is>
          <t>0.0%</t>
        </is>
      </c>
      <c r="J1826" t="b">
        <v>0</v>
      </c>
      <c r="K1826" t="b">
        <v>0</v>
      </c>
      <c r="L1826" t="n">
        <v>11</v>
      </c>
      <c r="M1826" t="inlineStr">
        <is>
          <t>Values must be of type &lt;class 'str'&gt;</t>
        </is>
      </c>
      <c r="N1826" t="inlineStr">
        <is>
          <t>00000000</t>
        </is>
      </c>
      <c r="O1826" t="n">
        <v/>
      </c>
      <c r="P1826" t="n">
        <v/>
      </c>
      <c r="R1826" t="b">
        <v>1</v>
      </c>
      <c r="S1826" t="inlineStr">
        <is>
          <t>G000295</t>
        </is>
      </c>
      <c r="T1826" t="inlineStr">
        <is>
          <t>Vertical</t>
        </is>
      </c>
      <c r="U1826" t="n">
        <v>93</v>
      </c>
      <c r="V1826" t="b">
        <v>1</v>
      </c>
      <c r="W1826" t="inlineStr">
        <is>
          <t>ATF fuel!J136:J228</t>
        </is>
      </c>
      <c r="X1826">
        <f>R[0]C[-3]/R[0]C[-2]-1</f>
        <v/>
      </c>
    </row>
    <row r="1827">
      <c r="A1827" t="inlineStr">
        <is>
          <t>ATF fuel</t>
        </is>
      </c>
      <c r="B1827" t="inlineStr">
        <is>
          <t>B190</t>
        </is>
      </c>
      <c r="C1827" t="n">
        <v>190</v>
      </c>
      <c r="D1827" t="n">
        <v>2</v>
      </c>
      <c r="E1827" t="inlineStr">
        <is>
          <t>Input</t>
        </is>
      </c>
      <c r="F1827" t="n">
        <v/>
      </c>
      <c r="G1827" t="inlineStr">
        <is>
          <t>October 01, 2014</t>
        </is>
      </c>
      <c r="H1827" t="inlineStr"/>
      <c r="I1827" t="inlineStr">
        <is>
          <t>General</t>
        </is>
      </c>
      <c r="J1827" t="b">
        <v>0</v>
      </c>
      <c r="K1827" t="b">
        <v>0</v>
      </c>
      <c r="L1827" t="n">
        <v>11</v>
      </c>
      <c r="M1827" t="inlineStr">
        <is>
          <t>Values must be of type &lt;class 'str'&gt;</t>
        </is>
      </c>
      <c r="N1827" t="inlineStr">
        <is>
          <t>00000000</t>
        </is>
      </c>
      <c r="O1827" t="n">
        <v/>
      </c>
      <c r="P1827" t="n">
        <v/>
      </c>
      <c r="R1827" t="b">
        <v>1</v>
      </c>
      <c r="S1827" t="n">
        <v/>
      </c>
      <c r="T1827" t="n">
        <v/>
      </c>
      <c r="U1827" t="n">
        <v/>
      </c>
      <c r="V1827" t="b">
        <v>0</v>
      </c>
      <c r="W1827" t="inlineStr"/>
      <c r="X1827" t="n">
        <v/>
      </c>
    </row>
    <row r="1828">
      <c r="A1828" t="inlineStr">
        <is>
          <t>ATF fuel</t>
        </is>
      </c>
      <c r="B1828" t="inlineStr">
        <is>
          <t>C190</t>
        </is>
      </c>
      <c r="C1828" t="n">
        <v>190</v>
      </c>
      <c r="D1828" t="n">
        <v>3</v>
      </c>
      <c r="E1828" t="inlineStr">
        <is>
          <t>Input</t>
        </is>
      </c>
      <c r="F1828" t="n">
        <v/>
      </c>
      <c r="G1828" t="n">
        <v>72071.14999999999</v>
      </c>
      <c r="H1828" t="inlineStr"/>
      <c r="I1828" t="inlineStr">
        <is>
          <t>General</t>
        </is>
      </c>
      <c r="J1828" t="b">
        <v>0</v>
      </c>
      <c r="K1828" t="b">
        <v>0</v>
      </c>
      <c r="L1828" t="n">
        <v>11</v>
      </c>
      <c r="M1828" t="inlineStr">
        <is>
          <t>Values must be of type &lt;class 'str'&gt;</t>
        </is>
      </c>
      <c r="N1828" t="inlineStr">
        <is>
          <t>00000000</t>
        </is>
      </c>
      <c r="O1828" t="n">
        <v/>
      </c>
      <c r="P1828" t="n">
        <v/>
      </c>
      <c r="R1828" t="b">
        <v>1</v>
      </c>
      <c r="S1828" t="n">
        <v/>
      </c>
      <c r="T1828" t="n">
        <v/>
      </c>
      <c r="U1828" t="n">
        <v/>
      </c>
      <c r="V1828" t="b">
        <v>0</v>
      </c>
      <c r="W1828" t="inlineStr"/>
      <c r="X1828" t="n">
        <v/>
      </c>
    </row>
    <row r="1829">
      <c r="A1829" t="inlineStr">
        <is>
          <t>ATF fuel</t>
        </is>
      </c>
      <c r="B1829" t="inlineStr">
        <is>
          <t>D190</t>
        </is>
      </c>
      <c r="C1829" t="n">
        <v>190</v>
      </c>
      <c r="D1829" t="n">
        <v>4</v>
      </c>
      <c r="E1829" t="inlineStr">
        <is>
          <t>Input</t>
        </is>
      </c>
      <c r="F1829" t="n">
        <v/>
      </c>
      <c r="G1829" t="n">
        <v>90.90000000000001</v>
      </c>
      <c r="H1829" t="inlineStr"/>
      <c r="I1829" t="inlineStr">
        <is>
          <t>General</t>
        </is>
      </c>
      <c r="J1829" t="b">
        <v>0</v>
      </c>
      <c r="K1829" t="b">
        <v>0</v>
      </c>
      <c r="L1829" t="n">
        <v>11</v>
      </c>
      <c r="M1829" t="inlineStr">
        <is>
          <t>Values must be of type &lt;class 'str'&gt;</t>
        </is>
      </c>
      <c r="N1829" t="inlineStr">
        <is>
          <t>00000000</t>
        </is>
      </c>
      <c r="O1829" t="n">
        <v/>
      </c>
      <c r="P1829" t="n">
        <v/>
      </c>
      <c r="R1829" t="b">
        <v>1</v>
      </c>
      <c r="S1829" t="n">
        <v/>
      </c>
      <c r="T1829" t="n">
        <v/>
      </c>
      <c r="U1829" t="n">
        <v/>
      </c>
      <c r="V1829" t="b">
        <v>0</v>
      </c>
      <c r="W1829" t="inlineStr"/>
      <c r="X1829" t="n">
        <v/>
      </c>
    </row>
    <row r="1830">
      <c r="A1830" t="inlineStr">
        <is>
          <t>ATF fuel</t>
        </is>
      </c>
      <c r="B1830" t="inlineStr">
        <is>
          <t>E190</t>
        </is>
      </c>
      <c r="C1830" t="n">
        <v>190</v>
      </c>
      <c r="D1830" t="n">
        <v>5</v>
      </c>
      <c r="E1830" t="inlineStr">
        <is>
          <t>Input</t>
        </is>
      </c>
      <c r="F1830" t="n">
        <v/>
      </c>
      <c r="G1830" t="n">
        <v>90.73999999999999</v>
      </c>
      <c r="H1830" t="inlineStr"/>
      <c r="I1830" t="inlineStr">
        <is>
          <t>General</t>
        </is>
      </c>
      <c r="J1830" t="b">
        <v>0</v>
      </c>
      <c r="K1830" t="b">
        <v>0</v>
      </c>
      <c r="L1830" t="n">
        <v>11</v>
      </c>
      <c r="M1830" t="inlineStr">
        <is>
          <t>Values must be of type &lt;class 'str'&gt;</t>
        </is>
      </c>
      <c r="N1830" t="inlineStr">
        <is>
          <t>00000000</t>
        </is>
      </c>
      <c r="O1830" t="n">
        <v/>
      </c>
      <c r="P1830" t="n">
        <v/>
      </c>
      <c r="R1830" t="b">
        <v>1</v>
      </c>
      <c r="S1830" t="n">
        <v/>
      </c>
      <c r="T1830" t="n">
        <v/>
      </c>
      <c r="U1830" t="n">
        <v/>
      </c>
      <c r="V1830" t="b">
        <v>0</v>
      </c>
      <c r="W1830" t="inlineStr"/>
      <c r="X1830" t="n">
        <v/>
      </c>
    </row>
    <row r="1831">
      <c r="A1831" t="inlineStr">
        <is>
          <t>ATF fuel</t>
        </is>
      </c>
      <c r="B1831" t="inlineStr">
        <is>
          <t>F190</t>
        </is>
      </c>
      <c r="C1831" t="n">
        <v>190</v>
      </c>
      <c r="D1831" t="n">
        <v>6</v>
      </c>
      <c r="E1831" t="inlineStr">
        <is>
          <t>Input</t>
        </is>
      </c>
      <c r="F1831" t="n">
        <v/>
      </c>
      <c r="G1831" t="inlineStr">
        <is>
          <t>October 01, 2014</t>
        </is>
      </c>
      <c r="H1831" t="inlineStr"/>
      <c r="I1831" t="inlineStr">
        <is>
          <t>General</t>
        </is>
      </c>
      <c r="J1831" t="b">
        <v>0</v>
      </c>
      <c r="K1831" t="b">
        <v>0</v>
      </c>
      <c r="L1831" t="n">
        <v>11</v>
      </c>
      <c r="M1831" t="inlineStr">
        <is>
          <t>Values must be of type &lt;class 'str'&gt;</t>
        </is>
      </c>
      <c r="N1831" t="inlineStr">
        <is>
          <t>00000000</t>
        </is>
      </c>
      <c r="O1831" t="inlineStr">
        <is>
          <t>left</t>
        </is>
      </c>
      <c r="P1831" t="n">
        <v/>
      </c>
      <c r="R1831" t="b">
        <v>1</v>
      </c>
      <c r="S1831" t="n">
        <v/>
      </c>
      <c r="T1831" t="n">
        <v/>
      </c>
      <c r="U1831" t="n">
        <v/>
      </c>
      <c r="V1831" t="b">
        <v>0</v>
      </c>
      <c r="W1831" t="inlineStr"/>
      <c r="X1831" t="n">
        <v/>
      </c>
    </row>
    <row r="1832">
      <c r="A1832" t="inlineStr">
        <is>
          <t>ATF fuel</t>
        </is>
      </c>
      <c r="B1832" t="inlineStr">
        <is>
          <t>G190</t>
        </is>
      </c>
      <c r="C1832" t="n">
        <v>190</v>
      </c>
      <c r="D1832" t="n">
        <v>7</v>
      </c>
      <c r="E1832" t="inlineStr">
        <is>
          <t>Calculation</t>
        </is>
      </c>
      <c r="F1832" t="inlineStr">
        <is>
          <t>'=(1+(C190/C189)-1)*G189</t>
        </is>
      </c>
      <c r="G1832" t="n">
        <v>162.4621767792231</v>
      </c>
      <c r="H1832" t="inlineStr"/>
      <c r="I1832" t="inlineStr">
        <is>
          <t>General</t>
        </is>
      </c>
      <c r="J1832" t="b">
        <v>0</v>
      </c>
      <c r="K1832" t="b">
        <v>0</v>
      </c>
      <c r="L1832" t="n">
        <v>11</v>
      </c>
      <c r="M1832" t="inlineStr">
        <is>
          <t>Values must be of type &lt;class 'str'&gt;</t>
        </is>
      </c>
      <c r="N1832" t="inlineStr">
        <is>
          <t>00000000</t>
        </is>
      </c>
      <c r="O1832" t="inlineStr">
        <is>
          <t>left</t>
        </is>
      </c>
      <c r="P1832" t="n">
        <v/>
      </c>
      <c r="R1832" t="b">
        <v>1</v>
      </c>
      <c r="S1832" t="inlineStr">
        <is>
          <t>G000349</t>
        </is>
      </c>
      <c r="T1832" t="inlineStr">
        <is>
          <t>Horizontal</t>
        </is>
      </c>
      <c r="U1832" t="n">
        <v>3</v>
      </c>
      <c r="V1832" t="b">
        <v>1</v>
      </c>
      <c r="W1832" t="inlineStr">
        <is>
          <t>ATF fuel!G190:I190</t>
        </is>
      </c>
      <c r="X1832">
        <f>(1+(R[0]C[-4]/R[-1]C[-4])-1)*R[-1]C[0]</f>
        <v/>
      </c>
    </row>
    <row r="1833">
      <c r="A1833" t="inlineStr">
        <is>
          <t>ATF fuel</t>
        </is>
      </c>
      <c r="B1833" t="inlineStr">
        <is>
          <t>H190</t>
        </is>
      </c>
      <c r="C1833" t="n">
        <v>190</v>
      </c>
      <c r="D1833" t="n">
        <v>8</v>
      </c>
      <c r="E1833" t="inlineStr">
        <is>
          <t>Calculation</t>
        </is>
      </c>
      <c r="F1833" t="inlineStr">
        <is>
          <t>'=(1+(D190/D189)-1)*H189</t>
        </is>
      </c>
      <c r="G1833" t="n">
        <v>110.0084714994555</v>
      </c>
      <c r="H1833" t="inlineStr"/>
      <c r="I1833" t="inlineStr">
        <is>
          <t>General</t>
        </is>
      </c>
      <c r="J1833" t="b">
        <v>0</v>
      </c>
      <c r="K1833" t="b">
        <v>0</v>
      </c>
      <c r="L1833" t="n">
        <v>11</v>
      </c>
      <c r="M1833" t="inlineStr">
        <is>
          <t>Values must be of type &lt;class 'str'&gt;</t>
        </is>
      </c>
      <c r="N1833" t="inlineStr">
        <is>
          <t>00000000</t>
        </is>
      </c>
      <c r="O1833" t="inlineStr">
        <is>
          <t>left</t>
        </is>
      </c>
      <c r="P1833" t="n">
        <v/>
      </c>
      <c r="R1833" t="b">
        <v>1</v>
      </c>
      <c r="S1833" t="inlineStr">
        <is>
          <t>G000349</t>
        </is>
      </c>
      <c r="T1833" t="inlineStr">
        <is>
          <t>Horizontal</t>
        </is>
      </c>
      <c r="U1833" t="n">
        <v>3</v>
      </c>
      <c r="V1833" t="b">
        <v>1</v>
      </c>
      <c r="W1833" t="inlineStr">
        <is>
          <t>ATF fuel!G190:I190</t>
        </is>
      </c>
      <c r="X1833">
        <f>(1+(R[0]C[-4]/R[-1]C[-4])-1)*R[-1]C[0]</f>
        <v/>
      </c>
    </row>
    <row r="1834">
      <c r="A1834" t="inlineStr">
        <is>
          <t>ATF fuel</t>
        </is>
      </c>
      <c r="B1834" t="inlineStr">
        <is>
          <t>I190</t>
        </is>
      </c>
      <c r="C1834" t="n">
        <v>190</v>
      </c>
      <c r="D1834" t="n">
        <v>9</v>
      </c>
      <c r="E1834" t="inlineStr">
        <is>
          <t>Calculation</t>
        </is>
      </c>
      <c r="F1834" t="inlineStr">
        <is>
          <t>'=(1+(E190/E189)-1)*I189</t>
        </is>
      </c>
      <c r="G1834" t="n">
        <v>107.3465041996925</v>
      </c>
      <c r="H1834" t="inlineStr"/>
      <c r="I1834" t="inlineStr">
        <is>
          <t>General</t>
        </is>
      </c>
      <c r="J1834" t="b">
        <v>0</v>
      </c>
      <c r="K1834" t="b">
        <v>0</v>
      </c>
      <c r="L1834" t="n">
        <v>11</v>
      </c>
      <c r="M1834" t="inlineStr">
        <is>
          <t>Values must be of type &lt;class 'str'&gt;</t>
        </is>
      </c>
      <c r="N1834" t="inlineStr">
        <is>
          <t>00000000</t>
        </is>
      </c>
      <c r="O1834" t="inlineStr">
        <is>
          <t>left</t>
        </is>
      </c>
      <c r="P1834" t="n">
        <v/>
      </c>
      <c r="R1834" t="b">
        <v>1</v>
      </c>
      <c r="S1834" t="inlineStr">
        <is>
          <t>G000349</t>
        </is>
      </c>
      <c r="T1834" t="inlineStr">
        <is>
          <t>Horizontal</t>
        </is>
      </c>
      <c r="U1834" t="n">
        <v>3</v>
      </c>
      <c r="V1834" t="b">
        <v>1</v>
      </c>
      <c r="W1834" t="inlineStr">
        <is>
          <t>ATF fuel!G190:I190</t>
        </is>
      </c>
      <c r="X1834">
        <f>(1+(R[0]C[-4]/R[-1]C[-4])-1)*R[-1]C[0]</f>
        <v/>
      </c>
    </row>
    <row r="1835">
      <c r="A1835" t="inlineStr">
        <is>
          <t>ATF fuel</t>
        </is>
      </c>
      <c r="B1835" t="inlineStr">
        <is>
          <t>J190</t>
        </is>
      </c>
      <c r="C1835" t="n">
        <v>190</v>
      </c>
      <c r="D1835" t="n">
        <v>10</v>
      </c>
      <c r="E1835" t="inlineStr">
        <is>
          <t>Output</t>
        </is>
      </c>
      <c r="F1835" t="inlineStr">
        <is>
          <t>'=G190/H190-1</t>
        </is>
      </c>
      <c r="G1835" t="n">
        <v>0.4768151449138827</v>
      </c>
      <c r="H1835" t="inlineStr"/>
      <c r="I1835" t="inlineStr">
        <is>
          <t>0.0%</t>
        </is>
      </c>
      <c r="J1835" t="b">
        <v>0</v>
      </c>
      <c r="K1835" t="b">
        <v>0</v>
      </c>
      <c r="L1835" t="n">
        <v>11</v>
      </c>
      <c r="M1835" t="inlineStr">
        <is>
          <t>Values must be of type &lt;class 'str'&gt;</t>
        </is>
      </c>
      <c r="N1835" t="inlineStr">
        <is>
          <t>00000000</t>
        </is>
      </c>
      <c r="O1835" t="n">
        <v/>
      </c>
      <c r="P1835" t="n">
        <v/>
      </c>
      <c r="R1835" t="b">
        <v>1</v>
      </c>
      <c r="S1835" t="inlineStr">
        <is>
          <t>G000295</t>
        </is>
      </c>
      <c r="T1835" t="inlineStr">
        <is>
          <t>Vertical</t>
        </is>
      </c>
      <c r="U1835" t="n">
        <v>93</v>
      </c>
      <c r="V1835" t="b">
        <v>1</v>
      </c>
      <c r="W1835" t="inlineStr">
        <is>
          <t>ATF fuel!J136:J228</t>
        </is>
      </c>
      <c r="X1835">
        <f>R[0]C[-3]/R[0]C[-2]-1</f>
        <v/>
      </c>
    </row>
    <row r="1836">
      <c r="A1836" t="inlineStr">
        <is>
          <t>ATF fuel</t>
        </is>
      </c>
      <c r="B1836" t="inlineStr">
        <is>
          <t>B191</t>
        </is>
      </c>
      <c r="C1836" t="n">
        <v>191</v>
      </c>
      <c r="D1836" t="n">
        <v>2</v>
      </c>
      <c r="E1836" t="inlineStr">
        <is>
          <t>Input</t>
        </is>
      </c>
      <c r="F1836" t="n">
        <v/>
      </c>
      <c r="G1836" t="inlineStr">
        <is>
          <t>November 01, 2014</t>
        </is>
      </c>
      <c r="H1836" t="inlineStr"/>
      <c r="I1836" t="inlineStr">
        <is>
          <t>General</t>
        </is>
      </c>
      <c r="J1836" t="b">
        <v>0</v>
      </c>
      <c r="K1836" t="b">
        <v>0</v>
      </c>
      <c r="L1836" t="n">
        <v>11</v>
      </c>
      <c r="M1836" t="inlineStr">
        <is>
          <t>Values must be of type &lt;class 'str'&gt;</t>
        </is>
      </c>
      <c r="N1836" t="inlineStr">
        <is>
          <t>00000000</t>
        </is>
      </c>
      <c r="O1836" t="n">
        <v/>
      </c>
      <c r="P1836" t="n">
        <v/>
      </c>
      <c r="R1836" t="b">
        <v>1</v>
      </c>
      <c r="S1836" t="n">
        <v/>
      </c>
      <c r="T1836" t="n">
        <v/>
      </c>
      <c r="U1836" t="n">
        <v/>
      </c>
      <c r="V1836" t="b">
        <v>0</v>
      </c>
      <c r="W1836" t="inlineStr"/>
      <c r="X1836" t="n">
        <v/>
      </c>
    </row>
    <row r="1837">
      <c r="A1837" t="inlineStr">
        <is>
          <t>ATF fuel</t>
        </is>
      </c>
      <c r="B1837" t="inlineStr">
        <is>
          <t>C191</t>
        </is>
      </c>
      <c r="C1837" t="n">
        <v>191</v>
      </c>
      <c r="D1837" t="n">
        <v>3</v>
      </c>
      <c r="E1837" t="inlineStr">
        <is>
          <t>Input</t>
        </is>
      </c>
      <c r="F1837" t="n">
        <v/>
      </c>
      <c r="G1837" t="n">
        <v>66899.7975</v>
      </c>
      <c r="H1837" t="inlineStr"/>
      <c r="I1837" t="inlineStr">
        <is>
          <t>General</t>
        </is>
      </c>
      <c r="J1837" t="b">
        <v>0</v>
      </c>
      <c r="K1837" t="b">
        <v>0</v>
      </c>
      <c r="L1837" t="n">
        <v>11</v>
      </c>
      <c r="M1837" t="inlineStr">
        <is>
          <t>Values must be of type &lt;class 'str'&gt;</t>
        </is>
      </c>
      <c r="N1837" t="inlineStr">
        <is>
          <t>00000000</t>
        </is>
      </c>
      <c r="O1837" t="n">
        <v/>
      </c>
      <c r="P1837" t="n">
        <v/>
      </c>
      <c r="R1837" t="b">
        <v>1</v>
      </c>
      <c r="S1837" t="n">
        <v/>
      </c>
      <c r="T1837" t="n">
        <v/>
      </c>
      <c r="U1837" t="n">
        <v/>
      </c>
      <c r="V1837" t="b">
        <v>0</v>
      </c>
      <c r="W1837" t="inlineStr"/>
      <c r="X1837" t="n">
        <v/>
      </c>
    </row>
    <row r="1838">
      <c r="A1838" t="inlineStr">
        <is>
          <t>ATF fuel</t>
        </is>
      </c>
      <c r="B1838" t="inlineStr">
        <is>
          <t>D191</t>
        </is>
      </c>
      <c r="C1838" t="n">
        <v>191</v>
      </c>
      <c r="D1838" t="n">
        <v>4</v>
      </c>
      <c r="E1838" t="inlineStr">
        <is>
          <t>Input</t>
        </is>
      </c>
      <c r="F1838" t="n">
        <v/>
      </c>
      <c r="G1838" t="n">
        <v>83.2</v>
      </c>
      <c r="H1838" t="inlineStr"/>
      <c r="I1838" t="inlineStr">
        <is>
          <t>General</t>
        </is>
      </c>
      <c r="J1838" t="b">
        <v>0</v>
      </c>
      <c r="K1838" t="b">
        <v>0</v>
      </c>
      <c r="L1838" t="n">
        <v>11</v>
      </c>
      <c r="M1838" t="inlineStr">
        <is>
          <t>Values must be of type &lt;class 'str'&gt;</t>
        </is>
      </c>
      <c r="N1838" t="inlineStr">
        <is>
          <t>00000000</t>
        </is>
      </c>
      <c r="O1838" t="n">
        <v/>
      </c>
      <c r="P1838" t="n">
        <v/>
      </c>
      <c r="R1838" t="b">
        <v>1</v>
      </c>
      <c r="S1838" t="n">
        <v/>
      </c>
      <c r="T1838" t="n">
        <v/>
      </c>
      <c r="U1838" t="n">
        <v/>
      </c>
      <c r="V1838" t="b">
        <v>0</v>
      </c>
      <c r="W1838" t="inlineStr"/>
      <c r="X1838" t="n">
        <v/>
      </c>
    </row>
    <row r="1839">
      <c r="A1839" t="inlineStr">
        <is>
          <t>ATF fuel</t>
        </is>
      </c>
      <c r="B1839" t="inlineStr">
        <is>
          <t>E191</t>
        </is>
      </c>
      <c r="C1839" t="n">
        <v>191</v>
      </c>
      <c r="D1839" t="n">
        <v>5</v>
      </c>
      <c r="E1839" t="inlineStr">
        <is>
          <t>Input</t>
        </is>
      </c>
      <c r="F1839" t="n">
        <v/>
      </c>
      <c r="G1839" t="n">
        <v>78.77</v>
      </c>
      <c r="H1839" t="inlineStr"/>
      <c r="I1839" t="inlineStr">
        <is>
          <t>General</t>
        </is>
      </c>
      <c r="J1839" t="b">
        <v>0</v>
      </c>
      <c r="K1839" t="b">
        <v>0</v>
      </c>
      <c r="L1839" t="n">
        <v>11</v>
      </c>
      <c r="M1839" t="inlineStr">
        <is>
          <t>Values must be of type &lt;class 'str'&gt;</t>
        </is>
      </c>
      <c r="N1839" t="inlineStr">
        <is>
          <t>00000000</t>
        </is>
      </c>
      <c r="O1839" t="n">
        <v/>
      </c>
      <c r="P1839" t="n">
        <v/>
      </c>
      <c r="R1839" t="b">
        <v>1</v>
      </c>
      <c r="S1839" t="n">
        <v/>
      </c>
      <c r="T1839" t="n">
        <v/>
      </c>
      <c r="U1839" t="n">
        <v/>
      </c>
      <c r="V1839" t="b">
        <v>0</v>
      </c>
      <c r="W1839" t="inlineStr"/>
      <c r="X1839" t="n">
        <v/>
      </c>
    </row>
    <row r="1840">
      <c r="A1840" t="inlineStr">
        <is>
          <t>ATF fuel</t>
        </is>
      </c>
      <c r="B1840" t="inlineStr">
        <is>
          <t>F191</t>
        </is>
      </c>
      <c r="C1840" t="n">
        <v>191</v>
      </c>
      <c r="D1840" t="n">
        <v>6</v>
      </c>
      <c r="E1840" t="inlineStr">
        <is>
          <t>Input</t>
        </is>
      </c>
      <c r="F1840" t="n">
        <v/>
      </c>
      <c r="G1840" t="inlineStr">
        <is>
          <t>November 01, 2014</t>
        </is>
      </c>
      <c r="H1840" t="inlineStr"/>
      <c r="I1840" t="inlineStr">
        <is>
          <t>General</t>
        </is>
      </c>
      <c r="J1840" t="b">
        <v>0</v>
      </c>
      <c r="K1840" t="b">
        <v>0</v>
      </c>
      <c r="L1840" t="n">
        <v>11</v>
      </c>
      <c r="M1840" t="inlineStr">
        <is>
          <t>Values must be of type &lt;class 'str'&gt;</t>
        </is>
      </c>
      <c r="N1840" t="inlineStr">
        <is>
          <t>00000000</t>
        </is>
      </c>
      <c r="O1840" t="inlineStr">
        <is>
          <t>left</t>
        </is>
      </c>
      <c r="P1840" t="n">
        <v/>
      </c>
      <c r="R1840" t="b">
        <v>1</v>
      </c>
      <c r="S1840" t="n">
        <v/>
      </c>
      <c r="T1840" t="n">
        <v/>
      </c>
      <c r="U1840" t="n">
        <v/>
      </c>
      <c r="V1840" t="b">
        <v>0</v>
      </c>
      <c r="W1840" t="inlineStr"/>
      <c r="X1840" t="n">
        <v/>
      </c>
    </row>
    <row r="1841">
      <c r="A1841" t="inlineStr">
        <is>
          <t>ATF fuel</t>
        </is>
      </c>
      <c r="B1841" t="inlineStr">
        <is>
          <t>G191</t>
        </is>
      </c>
      <c r="C1841" t="n">
        <v>191</v>
      </c>
      <c r="D1841" t="n">
        <v>7</v>
      </c>
      <c r="E1841" t="inlineStr">
        <is>
          <t>Calculation</t>
        </is>
      </c>
      <c r="F1841" t="inlineStr">
        <is>
          <t>'=(1+(C191/C190)-1)*G190</t>
        </is>
      </c>
      <c r="G1841" t="n">
        <v>150.8049577110846</v>
      </c>
      <c r="H1841" t="inlineStr"/>
      <c r="I1841" t="inlineStr">
        <is>
          <t>General</t>
        </is>
      </c>
      <c r="J1841" t="b">
        <v>0</v>
      </c>
      <c r="K1841" t="b">
        <v>0</v>
      </c>
      <c r="L1841" t="n">
        <v>11</v>
      </c>
      <c r="M1841" t="inlineStr">
        <is>
          <t>Values must be of type &lt;class 'str'&gt;</t>
        </is>
      </c>
      <c r="N1841" t="inlineStr">
        <is>
          <t>00000000</t>
        </is>
      </c>
      <c r="O1841" t="inlineStr">
        <is>
          <t>left</t>
        </is>
      </c>
      <c r="P1841" t="n">
        <v/>
      </c>
      <c r="R1841" t="b">
        <v>1</v>
      </c>
      <c r="S1841" t="inlineStr">
        <is>
          <t>G000350</t>
        </is>
      </c>
      <c r="T1841" t="inlineStr">
        <is>
          <t>Horizontal</t>
        </is>
      </c>
      <c r="U1841" t="n">
        <v>3</v>
      </c>
      <c r="V1841" t="b">
        <v>1</v>
      </c>
      <c r="W1841" t="inlineStr">
        <is>
          <t>ATF fuel!G191:I191</t>
        </is>
      </c>
      <c r="X1841">
        <f>(1+(R[0]C[-4]/R[-1]C[-4])-1)*R[-1]C[0]</f>
        <v/>
      </c>
    </row>
    <row r="1842">
      <c r="A1842" t="inlineStr">
        <is>
          <t>ATF fuel</t>
        </is>
      </c>
      <c r="B1842" t="inlineStr">
        <is>
          <t>H191</t>
        </is>
      </c>
      <c r="C1842" t="n">
        <v>191</v>
      </c>
      <c r="D1842" t="n">
        <v>8</v>
      </c>
      <c r="E1842" t="inlineStr">
        <is>
          <t>Calculation</t>
        </is>
      </c>
      <c r="F1842" t="inlineStr">
        <is>
          <t>'=(1+(D191/D190)-1)*H190</t>
        </is>
      </c>
      <c r="G1842" t="n">
        <v>100.6898220985115</v>
      </c>
      <c r="H1842" t="inlineStr"/>
      <c r="I1842" t="inlineStr">
        <is>
          <t>General</t>
        </is>
      </c>
      <c r="J1842" t="b">
        <v>0</v>
      </c>
      <c r="K1842" t="b">
        <v>0</v>
      </c>
      <c r="L1842" t="n">
        <v>11</v>
      </c>
      <c r="M1842" t="inlineStr">
        <is>
          <t>Values must be of type &lt;class 'str'&gt;</t>
        </is>
      </c>
      <c r="N1842" t="inlineStr">
        <is>
          <t>00000000</t>
        </is>
      </c>
      <c r="O1842" t="inlineStr">
        <is>
          <t>left</t>
        </is>
      </c>
      <c r="P1842" t="n">
        <v/>
      </c>
      <c r="R1842" t="b">
        <v>1</v>
      </c>
      <c r="S1842" t="inlineStr">
        <is>
          <t>G000350</t>
        </is>
      </c>
      <c r="T1842" t="inlineStr">
        <is>
          <t>Horizontal</t>
        </is>
      </c>
      <c r="U1842" t="n">
        <v>3</v>
      </c>
      <c r="V1842" t="b">
        <v>1</v>
      </c>
      <c r="W1842" t="inlineStr">
        <is>
          <t>ATF fuel!G191:I191</t>
        </is>
      </c>
      <c r="X1842">
        <f>(1+(R[0]C[-4]/R[-1]C[-4])-1)*R[-1]C[0]</f>
        <v/>
      </c>
    </row>
    <row r="1843">
      <c r="A1843" t="inlineStr">
        <is>
          <t>ATF fuel</t>
        </is>
      </c>
      <c r="B1843" t="inlineStr">
        <is>
          <t>I191</t>
        </is>
      </c>
      <c r="C1843" t="n">
        <v>191</v>
      </c>
      <c r="D1843" t="n">
        <v>9</v>
      </c>
      <c r="E1843" t="inlineStr">
        <is>
          <t>Calculation</t>
        </is>
      </c>
      <c r="F1843" t="inlineStr">
        <is>
          <t>'=(1+(E191/E190)-1)*I190</t>
        </is>
      </c>
      <c r="G1843" t="n">
        <v>93.18585117709691</v>
      </c>
      <c r="H1843" t="inlineStr"/>
      <c r="I1843" t="inlineStr">
        <is>
          <t>General</t>
        </is>
      </c>
      <c r="J1843" t="b">
        <v>0</v>
      </c>
      <c r="K1843" t="b">
        <v>0</v>
      </c>
      <c r="L1843" t="n">
        <v>11</v>
      </c>
      <c r="M1843" t="inlineStr">
        <is>
          <t>Values must be of type &lt;class 'str'&gt;</t>
        </is>
      </c>
      <c r="N1843" t="inlineStr">
        <is>
          <t>00000000</t>
        </is>
      </c>
      <c r="O1843" t="inlineStr">
        <is>
          <t>left</t>
        </is>
      </c>
      <c r="P1843" t="n">
        <v/>
      </c>
      <c r="R1843" t="b">
        <v>1</v>
      </c>
      <c r="S1843" t="inlineStr">
        <is>
          <t>G000350</t>
        </is>
      </c>
      <c r="T1843" t="inlineStr">
        <is>
          <t>Horizontal</t>
        </is>
      </c>
      <c r="U1843" t="n">
        <v>3</v>
      </c>
      <c r="V1843" t="b">
        <v>1</v>
      </c>
      <c r="W1843" t="inlineStr">
        <is>
          <t>ATF fuel!G191:I191</t>
        </is>
      </c>
      <c r="X1843">
        <f>(1+(R[0]C[-4]/R[-1]C[-4])-1)*R[-1]C[0]</f>
        <v/>
      </c>
    </row>
    <row r="1844">
      <c r="A1844" t="inlineStr">
        <is>
          <t>ATF fuel</t>
        </is>
      </c>
      <c r="B1844" t="inlineStr">
        <is>
          <t>J191</t>
        </is>
      </c>
      <c r="C1844" t="n">
        <v>191</v>
      </c>
      <c r="D1844" t="n">
        <v>10</v>
      </c>
      <c r="E1844" t="inlineStr">
        <is>
          <t>Output</t>
        </is>
      </c>
      <c r="F1844" t="inlineStr">
        <is>
          <t>'=G191/H191-1</t>
        </is>
      </c>
      <c r="G1844" t="n">
        <v>0.4977179874599647</v>
      </c>
      <c r="H1844" t="inlineStr"/>
      <c r="I1844" t="inlineStr">
        <is>
          <t>0.0%</t>
        </is>
      </c>
      <c r="J1844" t="b">
        <v>0</v>
      </c>
      <c r="K1844" t="b">
        <v>0</v>
      </c>
      <c r="L1844" t="n">
        <v>11</v>
      </c>
      <c r="M1844" t="inlineStr">
        <is>
          <t>Values must be of type &lt;class 'str'&gt;</t>
        </is>
      </c>
      <c r="N1844" t="inlineStr">
        <is>
          <t>00000000</t>
        </is>
      </c>
      <c r="O1844" t="n">
        <v/>
      </c>
      <c r="P1844" t="n">
        <v/>
      </c>
      <c r="R1844" t="b">
        <v>1</v>
      </c>
      <c r="S1844" t="inlineStr">
        <is>
          <t>G000295</t>
        </is>
      </c>
      <c r="T1844" t="inlineStr">
        <is>
          <t>Vertical</t>
        </is>
      </c>
      <c r="U1844" t="n">
        <v>93</v>
      </c>
      <c r="V1844" t="b">
        <v>1</v>
      </c>
      <c r="W1844" t="inlineStr">
        <is>
          <t>ATF fuel!J136:J228</t>
        </is>
      </c>
      <c r="X1844">
        <f>R[0]C[-3]/R[0]C[-2]-1</f>
        <v/>
      </c>
    </row>
    <row r="1845">
      <c r="A1845" t="inlineStr">
        <is>
          <t>ATF fuel</t>
        </is>
      </c>
      <c r="B1845" t="inlineStr">
        <is>
          <t>B192</t>
        </is>
      </c>
      <c r="C1845" t="n">
        <v>192</v>
      </c>
      <c r="D1845" t="n">
        <v>2</v>
      </c>
      <c r="E1845" t="inlineStr">
        <is>
          <t>Input</t>
        </is>
      </c>
      <c r="F1845" t="n">
        <v/>
      </c>
      <c r="G1845" t="inlineStr">
        <is>
          <t>December 01, 2014</t>
        </is>
      </c>
      <c r="H1845" t="inlineStr"/>
      <c r="I1845" t="inlineStr">
        <is>
          <t>General</t>
        </is>
      </c>
      <c r="J1845" t="b">
        <v>0</v>
      </c>
      <c r="K1845" t="b">
        <v>0</v>
      </c>
      <c r="L1845" t="n">
        <v>11</v>
      </c>
      <c r="M1845" t="inlineStr">
        <is>
          <t>Values must be of type &lt;class 'str'&gt;</t>
        </is>
      </c>
      <c r="N1845" t="inlineStr">
        <is>
          <t>FFFFFF00</t>
        </is>
      </c>
      <c r="O1845" t="n">
        <v/>
      </c>
      <c r="P1845" t="n">
        <v/>
      </c>
      <c r="R1845" t="b">
        <v>1</v>
      </c>
      <c r="S1845" t="n">
        <v/>
      </c>
      <c r="T1845" t="n">
        <v/>
      </c>
      <c r="U1845" t="n">
        <v/>
      </c>
      <c r="V1845" t="b">
        <v>0</v>
      </c>
      <c r="W1845" t="inlineStr"/>
      <c r="X1845" t="n">
        <v/>
      </c>
    </row>
    <row r="1846">
      <c r="A1846" t="inlineStr">
        <is>
          <t>ATF fuel</t>
        </is>
      </c>
      <c r="B1846" t="inlineStr">
        <is>
          <t>C192</t>
        </is>
      </c>
      <c r="C1846" t="n">
        <v>192</v>
      </c>
      <c r="D1846" t="n">
        <v>3</v>
      </c>
      <c r="E1846" t="inlineStr">
        <is>
          <t>Input</t>
        </is>
      </c>
      <c r="F1846" t="n">
        <v/>
      </c>
      <c r="G1846" t="n">
        <v>64145</v>
      </c>
      <c r="H1846" t="inlineStr"/>
      <c r="I1846" t="inlineStr">
        <is>
          <t>General</t>
        </is>
      </c>
      <c r="J1846" t="b">
        <v>0</v>
      </c>
      <c r="K1846" t="b">
        <v>0</v>
      </c>
      <c r="L1846" t="n">
        <v>11</v>
      </c>
      <c r="M1846" t="inlineStr">
        <is>
          <t>Values must be of type &lt;class 'str'&gt;</t>
        </is>
      </c>
      <c r="N1846" t="inlineStr">
        <is>
          <t>FFFFFF00</t>
        </is>
      </c>
      <c r="O1846" t="n">
        <v/>
      </c>
      <c r="P1846" t="n">
        <v/>
      </c>
      <c r="R1846" t="b">
        <v>1</v>
      </c>
      <c r="S1846" t="n">
        <v/>
      </c>
      <c r="T1846" t="n">
        <v/>
      </c>
      <c r="U1846" t="n">
        <v/>
      </c>
      <c r="V1846" t="b">
        <v>0</v>
      </c>
      <c r="W1846" t="inlineStr"/>
      <c r="X1846" t="n">
        <v/>
      </c>
    </row>
    <row r="1847">
      <c r="A1847" t="inlineStr">
        <is>
          <t>ATF fuel</t>
        </is>
      </c>
      <c r="B1847" t="inlineStr">
        <is>
          <t>D192</t>
        </is>
      </c>
      <c r="C1847" t="n">
        <v>192</v>
      </c>
      <c r="D1847" t="n">
        <v>4</v>
      </c>
      <c r="E1847" t="inlineStr">
        <is>
          <t>Input</t>
        </is>
      </c>
      <c r="F1847" t="n">
        <v/>
      </c>
      <c r="G1847" t="n">
        <v>68</v>
      </c>
      <c r="H1847" t="inlineStr"/>
      <c r="I1847" t="inlineStr">
        <is>
          <t>General</t>
        </is>
      </c>
      <c r="J1847" t="b">
        <v>0</v>
      </c>
      <c r="K1847" t="b">
        <v>0</v>
      </c>
      <c r="L1847" t="n">
        <v>11</v>
      </c>
      <c r="M1847" t="inlineStr">
        <is>
          <t>Values must be of type &lt;class 'str'&gt;</t>
        </is>
      </c>
      <c r="N1847" t="inlineStr">
        <is>
          <t>FFFFFF00</t>
        </is>
      </c>
      <c r="O1847" t="n">
        <v/>
      </c>
      <c r="P1847" t="n">
        <v/>
      </c>
      <c r="R1847" t="b">
        <v>1</v>
      </c>
      <c r="S1847" t="n">
        <v/>
      </c>
      <c r="T1847" t="n">
        <v/>
      </c>
      <c r="U1847" t="n">
        <v/>
      </c>
      <c r="V1847" t="b">
        <v>0</v>
      </c>
      <c r="W1847" t="inlineStr"/>
      <c r="X1847" t="n">
        <v/>
      </c>
    </row>
    <row r="1848">
      <c r="A1848" t="inlineStr">
        <is>
          <t>ATF fuel</t>
        </is>
      </c>
      <c r="B1848" t="inlineStr">
        <is>
          <t>E192</t>
        </is>
      </c>
      <c r="C1848" t="n">
        <v>192</v>
      </c>
      <c r="D1848" t="n">
        <v>5</v>
      </c>
      <c r="E1848" t="inlineStr">
        <is>
          <t>Input</t>
        </is>
      </c>
      <c r="F1848" t="n">
        <v/>
      </c>
      <c r="G1848" t="n">
        <v>68.98</v>
      </c>
      <c r="H1848" t="inlineStr"/>
      <c r="I1848" t="inlineStr">
        <is>
          <t>General</t>
        </is>
      </c>
      <c r="J1848" t="b">
        <v>0</v>
      </c>
      <c r="K1848" t="b">
        <v>0</v>
      </c>
      <c r="L1848" t="n">
        <v>11</v>
      </c>
      <c r="M1848" t="inlineStr">
        <is>
          <t>Values must be of type &lt;class 'str'&gt;</t>
        </is>
      </c>
      <c r="N1848" t="inlineStr">
        <is>
          <t>FFFFFF00</t>
        </is>
      </c>
      <c r="O1848" t="n">
        <v/>
      </c>
      <c r="P1848" t="n">
        <v/>
      </c>
      <c r="R1848" t="b">
        <v>1</v>
      </c>
      <c r="S1848" t="n">
        <v/>
      </c>
      <c r="T1848" t="n">
        <v/>
      </c>
      <c r="U1848" t="n">
        <v/>
      </c>
      <c r="V1848" t="b">
        <v>0</v>
      </c>
      <c r="W1848" t="inlineStr"/>
      <c r="X1848" t="n">
        <v/>
      </c>
    </row>
    <row r="1849">
      <c r="A1849" t="inlineStr">
        <is>
          <t>ATF fuel</t>
        </is>
      </c>
      <c r="B1849" t="inlineStr">
        <is>
          <t>F192</t>
        </is>
      </c>
      <c r="C1849" t="n">
        <v>192</v>
      </c>
      <c r="D1849" t="n">
        <v>6</v>
      </c>
      <c r="E1849" t="inlineStr">
        <is>
          <t>Input</t>
        </is>
      </c>
      <c r="F1849" t="n">
        <v/>
      </c>
      <c r="G1849" t="inlineStr">
        <is>
          <t>December 01, 2014</t>
        </is>
      </c>
      <c r="H1849" t="inlineStr"/>
      <c r="I1849" t="inlineStr">
        <is>
          <t>General</t>
        </is>
      </c>
      <c r="J1849" t="b">
        <v>0</v>
      </c>
      <c r="K1849" t="b">
        <v>0</v>
      </c>
      <c r="L1849" t="n">
        <v>11</v>
      </c>
      <c r="M1849" t="inlineStr">
        <is>
          <t>Values must be of type &lt;class 'str'&gt;</t>
        </is>
      </c>
      <c r="N1849" t="inlineStr">
        <is>
          <t>FFFFFF00</t>
        </is>
      </c>
      <c r="O1849" t="inlineStr">
        <is>
          <t>left</t>
        </is>
      </c>
      <c r="P1849" t="n">
        <v/>
      </c>
      <c r="R1849" t="b">
        <v>1</v>
      </c>
      <c r="S1849" t="n">
        <v/>
      </c>
      <c r="T1849" t="n">
        <v/>
      </c>
      <c r="U1849" t="n">
        <v/>
      </c>
      <c r="V1849" t="b">
        <v>0</v>
      </c>
      <c r="W1849" t="inlineStr"/>
      <c r="X1849" t="n">
        <v/>
      </c>
    </row>
    <row r="1850">
      <c r="A1850" t="inlineStr">
        <is>
          <t>ATF fuel</t>
        </is>
      </c>
      <c r="B1850" t="inlineStr">
        <is>
          <t>G192</t>
        </is>
      </c>
      <c r="C1850" t="n">
        <v>192</v>
      </c>
      <c r="D1850" t="n">
        <v>7</v>
      </c>
      <c r="E1850" t="inlineStr">
        <is>
          <t>Calculation</t>
        </is>
      </c>
      <c r="F1850" t="inlineStr">
        <is>
          <t>'=(1+(C192/C191)-1)*G191</t>
        </is>
      </c>
      <c r="G1850" t="n">
        <v>144.5951164856294</v>
      </c>
      <c r="H1850" t="inlineStr"/>
      <c r="I1850" t="inlineStr">
        <is>
          <t>General</t>
        </is>
      </c>
      <c r="J1850" t="b">
        <v>0</v>
      </c>
      <c r="K1850" t="b">
        <v>0</v>
      </c>
      <c r="L1850" t="n">
        <v>11</v>
      </c>
      <c r="M1850" t="inlineStr">
        <is>
          <t>Values must be of type &lt;class 'str'&gt;</t>
        </is>
      </c>
      <c r="N1850" t="inlineStr">
        <is>
          <t>FFFFFF00</t>
        </is>
      </c>
      <c r="O1850" t="inlineStr">
        <is>
          <t>left</t>
        </is>
      </c>
      <c r="P1850" t="n">
        <v/>
      </c>
      <c r="R1850" t="b">
        <v>1</v>
      </c>
      <c r="S1850" t="inlineStr">
        <is>
          <t>G000351</t>
        </is>
      </c>
      <c r="T1850" t="inlineStr">
        <is>
          <t>Horizontal</t>
        </is>
      </c>
      <c r="U1850" t="n">
        <v>3</v>
      </c>
      <c r="V1850" t="b">
        <v>1</v>
      </c>
      <c r="W1850" t="inlineStr">
        <is>
          <t>ATF fuel!G192:I192</t>
        </is>
      </c>
      <c r="X1850">
        <f>(1+(R[0]C[-4]/R[-1]C[-4])-1)*R[-1]C[0]</f>
        <v/>
      </c>
    </row>
    <row r="1851">
      <c r="A1851" t="inlineStr">
        <is>
          <t>ATF fuel</t>
        </is>
      </c>
      <c r="B1851" t="inlineStr">
        <is>
          <t>H192</t>
        </is>
      </c>
      <c r="C1851" t="n">
        <v>192</v>
      </c>
      <c r="D1851" t="n">
        <v>8</v>
      </c>
      <c r="E1851" t="inlineStr">
        <is>
          <t>Calculation</t>
        </is>
      </c>
      <c r="F1851" t="inlineStr">
        <is>
          <t>'=(1+(D192/D191)-1)*H191</t>
        </is>
      </c>
      <c r="G1851" t="n">
        <v>82.29456613820653</v>
      </c>
      <c r="H1851" t="inlineStr"/>
      <c r="I1851" t="inlineStr">
        <is>
          <t>General</t>
        </is>
      </c>
      <c r="J1851" t="b">
        <v>0</v>
      </c>
      <c r="K1851" t="b">
        <v>0</v>
      </c>
      <c r="L1851" t="n">
        <v>11</v>
      </c>
      <c r="M1851" t="inlineStr">
        <is>
          <t>Values must be of type &lt;class 'str'&gt;</t>
        </is>
      </c>
      <c r="N1851" t="inlineStr">
        <is>
          <t>FFFFFF00</t>
        </is>
      </c>
      <c r="O1851" t="inlineStr">
        <is>
          <t>left</t>
        </is>
      </c>
      <c r="P1851" t="n">
        <v/>
      </c>
      <c r="R1851" t="b">
        <v>1</v>
      </c>
      <c r="S1851" t="inlineStr">
        <is>
          <t>G000351</t>
        </is>
      </c>
      <c r="T1851" t="inlineStr">
        <is>
          <t>Horizontal</t>
        </is>
      </c>
      <c r="U1851" t="n">
        <v>3</v>
      </c>
      <c r="V1851" t="b">
        <v>1</v>
      </c>
      <c r="W1851" t="inlineStr">
        <is>
          <t>ATF fuel!G192:I192</t>
        </is>
      </c>
      <c r="X1851">
        <f>(1+(R[0]C[-4]/R[-1]C[-4])-1)*R[-1]C[0]</f>
        <v/>
      </c>
    </row>
    <row r="1852">
      <c r="A1852" t="inlineStr">
        <is>
          <t>ATF fuel</t>
        </is>
      </c>
      <c r="B1852" t="inlineStr">
        <is>
          <t>I192</t>
        </is>
      </c>
      <c r="C1852" t="n">
        <v>192</v>
      </c>
      <c r="D1852" t="n">
        <v>9</v>
      </c>
      <c r="E1852" t="inlineStr">
        <is>
          <t>Calculation</t>
        </is>
      </c>
      <c r="F1852" t="inlineStr">
        <is>
          <t>'=(1+(E192/E191)-1)*I191</t>
        </is>
      </c>
      <c r="G1852" t="n">
        <v>81.60416420205847</v>
      </c>
      <c r="H1852" t="inlineStr"/>
      <c r="I1852" t="inlineStr">
        <is>
          <t>General</t>
        </is>
      </c>
      <c r="J1852" t="b">
        <v>0</v>
      </c>
      <c r="K1852" t="b">
        <v>0</v>
      </c>
      <c r="L1852" t="n">
        <v>11</v>
      </c>
      <c r="M1852" t="inlineStr">
        <is>
          <t>Values must be of type &lt;class 'str'&gt;</t>
        </is>
      </c>
      <c r="N1852" t="inlineStr">
        <is>
          <t>FFFFFF00</t>
        </is>
      </c>
      <c r="O1852" t="inlineStr">
        <is>
          <t>left</t>
        </is>
      </c>
      <c r="P1852" t="n">
        <v/>
      </c>
      <c r="R1852" t="b">
        <v>1</v>
      </c>
      <c r="S1852" t="inlineStr">
        <is>
          <t>G000351</t>
        </is>
      </c>
      <c r="T1852" t="inlineStr">
        <is>
          <t>Horizontal</t>
        </is>
      </c>
      <c r="U1852" t="n">
        <v>3</v>
      </c>
      <c r="V1852" t="b">
        <v>1</v>
      </c>
      <c r="W1852" t="inlineStr">
        <is>
          <t>ATF fuel!G192:I192</t>
        </is>
      </c>
      <c r="X1852">
        <f>(1+(R[0]C[-4]/R[-1]C[-4])-1)*R[-1]C[0]</f>
        <v/>
      </c>
    </row>
    <row r="1853">
      <c r="A1853" t="inlineStr">
        <is>
          <t>ATF fuel</t>
        </is>
      </c>
      <c r="B1853" t="inlineStr">
        <is>
          <t>J192</t>
        </is>
      </c>
      <c r="C1853" t="n">
        <v>192</v>
      </c>
      <c r="D1853" t="n">
        <v>10</v>
      </c>
      <c r="E1853" t="inlineStr">
        <is>
          <t>Output</t>
        </is>
      </c>
      <c r="F1853" t="inlineStr">
        <is>
          <t>'=G192/H192-1</t>
        </is>
      </c>
      <c r="G1853" t="n">
        <v>0.7570433051775805</v>
      </c>
      <c r="H1853" t="inlineStr"/>
      <c r="I1853" t="inlineStr">
        <is>
          <t>0.0%</t>
        </is>
      </c>
      <c r="J1853" t="b">
        <v>0</v>
      </c>
      <c r="K1853" t="b">
        <v>0</v>
      </c>
      <c r="L1853" t="n">
        <v>11</v>
      </c>
      <c r="M1853" t="inlineStr">
        <is>
          <t>Values must be of type &lt;class 'str'&gt;</t>
        </is>
      </c>
      <c r="N1853" t="inlineStr">
        <is>
          <t>FFFFFF00</t>
        </is>
      </c>
      <c r="O1853" t="n">
        <v/>
      </c>
      <c r="P1853" t="n">
        <v/>
      </c>
      <c r="R1853" t="b">
        <v>1</v>
      </c>
      <c r="S1853" t="inlineStr">
        <is>
          <t>G000295</t>
        </is>
      </c>
      <c r="T1853" t="inlineStr">
        <is>
          <t>Vertical</t>
        </is>
      </c>
      <c r="U1853" t="n">
        <v>93</v>
      </c>
      <c r="V1853" t="b">
        <v>1</v>
      </c>
      <c r="W1853" t="inlineStr">
        <is>
          <t>ATF fuel!J136:J228</t>
        </is>
      </c>
      <c r="X1853">
        <f>R[0]C[-3]/R[0]C[-2]-1</f>
        <v/>
      </c>
    </row>
    <row r="1854">
      <c r="A1854" t="inlineStr">
        <is>
          <t>ATF fuel</t>
        </is>
      </c>
      <c r="B1854" t="inlineStr">
        <is>
          <t>B193</t>
        </is>
      </c>
      <c r="C1854" t="n">
        <v>193</v>
      </c>
      <c r="D1854" t="n">
        <v>2</v>
      </c>
      <c r="E1854" t="inlineStr">
        <is>
          <t>Input</t>
        </is>
      </c>
      <c r="F1854" t="n">
        <v/>
      </c>
      <c r="G1854" t="inlineStr">
        <is>
          <t>January 01, 2015</t>
        </is>
      </c>
      <c r="H1854" t="inlineStr"/>
      <c r="I1854" t="inlineStr">
        <is>
          <t>General</t>
        </is>
      </c>
      <c r="J1854" t="b">
        <v>0</v>
      </c>
      <c r="K1854" t="b">
        <v>0</v>
      </c>
      <c r="L1854" t="n">
        <v>11</v>
      </c>
      <c r="M1854" t="inlineStr">
        <is>
          <t>Values must be of type &lt;class 'str'&gt;</t>
        </is>
      </c>
      <c r="N1854" t="inlineStr">
        <is>
          <t>00000000</t>
        </is>
      </c>
      <c r="O1854" t="n">
        <v/>
      </c>
      <c r="P1854" t="n">
        <v/>
      </c>
      <c r="R1854" t="b">
        <v>1</v>
      </c>
      <c r="S1854" t="n">
        <v/>
      </c>
      <c r="T1854" t="n">
        <v/>
      </c>
      <c r="U1854" t="n">
        <v/>
      </c>
      <c r="V1854" t="b">
        <v>0</v>
      </c>
      <c r="W1854" t="inlineStr"/>
      <c r="X1854" t="n">
        <v/>
      </c>
    </row>
    <row r="1855">
      <c r="A1855" t="inlineStr">
        <is>
          <t>ATF fuel</t>
        </is>
      </c>
      <c r="B1855" t="inlineStr">
        <is>
          <t>C193</t>
        </is>
      </c>
      <c r="C1855" t="n">
        <v>193</v>
      </c>
      <c r="D1855" t="n">
        <v>3</v>
      </c>
      <c r="E1855" t="inlineStr">
        <is>
          <t>Input</t>
        </is>
      </c>
      <c r="F1855" t="n">
        <v/>
      </c>
      <c r="G1855" t="n">
        <v>56316.75</v>
      </c>
      <c r="H1855" t="inlineStr"/>
      <c r="I1855" t="inlineStr">
        <is>
          <t>General</t>
        </is>
      </c>
      <c r="J1855" t="b">
        <v>0</v>
      </c>
      <c r="K1855" t="b">
        <v>0</v>
      </c>
      <c r="L1855" t="n">
        <v>11</v>
      </c>
      <c r="M1855" t="inlineStr">
        <is>
          <t>Values must be of type &lt;class 'str'&gt;</t>
        </is>
      </c>
      <c r="N1855" t="inlineStr">
        <is>
          <t>00000000</t>
        </is>
      </c>
      <c r="O1855" t="n">
        <v/>
      </c>
      <c r="P1855" t="n">
        <v/>
      </c>
      <c r="R1855" t="b">
        <v>1</v>
      </c>
      <c r="S1855" t="n">
        <v/>
      </c>
      <c r="T1855" t="n">
        <v/>
      </c>
      <c r="U1855" t="n">
        <v/>
      </c>
      <c r="V1855" t="b">
        <v>0</v>
      </c>
      <c r="W1855" t="inlineStr"/>
      <c r="X1855" t="n">
        <v/>
      </c>
    </row>
    <row r="1856">
      <c r="A1856" t="inlineStr">
        <is>
          <t>ATF fuel</t>
        </is>
      </c>
      <c r="B1856" t="inlineStr">
        <is>
          <t>D193</t>
        </is>
      </c>
      <c r="C1856" t="n">
        <v>193</v>
      </c>
      <c r="D1856" t="n">
        <v>4</v>
      </c>
      <c r="E1856" t="inlineStr">
        <is>
          <t>Input</t>
        </is>
      </c>
      <c r="F1856" t="n">
        <v/>
      </c>
      <c r="G1856" t="n">
        <v>49.43</v>
      </c>
      <c r="H1856" t="inlineStr"/>
      <c r="I1856" t="inlineStr">
        <is>
          <t>General</t>
        </is>
      </c>
      <c r="J1856" t="b">
        <v>0</v>
      </c>
      <c r="K1856" t="b">
        <v>0</v>
      </c>
      <c r="L1856" t="n">
        <v>11</v>
      </c>
      <c r="M1856" t="inlineStr">
        <is>
          <t>Values must be of type &lt;class 'str'&gt;</t>
        </is>
      </c>
      <c r="N1856" t="inlineStr">
        <is>
          <t>00000000</t>
        </is>
      </c>
      <c r="O1856" t="n">
        <v/>
      </c>
      <c r="P1856" t="n">
        <v/>
      </c>
      <c r="R1856" t="b">
        <v>1</v>
      </c>
      <c r="S1856" t="n">
        <v/>
      </c>
      <c r="T1856" t="n">
        <v/>
      </c>
      <c r="U1856" t="n">
        <v/>
      </c>
      <c r="V1856" t="b">
        <v>0</v>
      </c>
      <c r="W1856" t="inlineStr"/>
      <c r="X1856" t="n">
        <v/>
      </c>
    </row>
    <row r="1857">
      <c r="A1857" t="inlineStr">
        <is>
          <t>ATF fuel</t>
        </is>
      </c>
      <c r="B1857" t="inlineStr">
        <is>
          <t>E193</t>
        </is>
      </c>
      <c r="C1857" t="n">
        <v>193</v>
      </c>
      <c r="D1857" t="n">
        <v>5</v>
      </c>
      <c r="E1857" t="inlineStr">
        <is>
          <t>Input</t>
        </is>
      </c>
      <c r="F1857" t="n">
        <v/>
      </c>
      <c r="G1857" t="n">
        <v>53.45</v>
      </c>
      <c r="H1857" t="inlineStr"/>
      <c r="I1857" t="inlineStr">
        <is>
          <t>General</t>
        </is>
      </c>
      <c r="J1857" t="b">
        <v>0</v>
      </c>
      <c r="K1857" t="b">
        <v>0</v>
      </c>
      <c r="L1857" t="n">
        <v>11</v>
      </c>
      <c r="M1857" t="inlineStr">
        <is>
          <t>Values must be of type &lt;class 'str'&gt;</t>
        </is>
      </c>
      <c r="N1857" t="inlineStr">
        <is>
          <t>00000000</t>
        </is>
      </c>
      <c r="O1857" t="n">
        <v/>
      </c>
      <c r="P1857" t="n">
        <v/>
      </c>
      <c r="R1857" t="b">
        <v>1</v>
      </c>
      <c r="S1857" t="n">
        <v/>
      </c>
      <c r="T1857" t="n">
        <v/>
      </c>
      <c r="U1857" t="n">
        <v/>
      </c>
      <c r="V1857" t="b">
        <v>0</v>
      </c>
      <c r="W1857" t="inlineStr"/>
      <c r="X1857" t="n">
        <v/>
      </c>
    </row>
    <row r="1858">
      <c r="A1858" t="inlineStr">
        <is>
          <t>ATF fuel</t>
        </is>
      </c>
      <c r="B1858" t="inlineStr">
        <is>
          <t>F193</t>
        </is>
      </c>
      <c r="C1858" t="n">
        <v>193</v>
      </c>
      <c r="D1858" t="n">
        <v>6</v>
      </c>
      <c r="E1858" t="inlineStr">
        <is>
          <t>Input</t>
        </is>
      </c>
      <c r="F1858" t="n">
        <v/>
      </c>
      <c r="G1858" t="inlineStr">
        <is>
          <t>January 01, 2015</t>
        </is>
      </c>
      <c r="H1858" t="inlineStr"/>
      <c r="I1858" t="inlineStr">
        <is>
          <t>General</t>
        </is>
      </c>
      <c r="J1858" t="b">
        <v>0</v>
      </c>
      <c r="K1858" t="b">
        <v>0</v>
      </c>
      <c r="L1858" t="n">
        <v>11</v>
      </c>
      <c r="M1858" t="inlineStr">
        <is>
          <t>Values must be of type &lt;class 'str'&gt;</t>
        </is>
      </c>
      <c r="N1858" t="inlineStr">
        <is>
          <t>00000000</t>
        </is>
      </c>
      <c r="O1858" t="inlineStr">
        <is>
          <t>left</t>
        </is>
      </c>
      <c r="P1858" t="n">
        <v/>
      </c>
      <c r="R1858" t="b">
        <v>1</v>
      </c>
      <c r="S1858" t="n">
        <v/>
      </c>
      <c r="T1858" t="n">
        <v/>
      </c>
      <c r="U1858" t="n">
        <v/>
      </c>
      <c r="V1858" t="b">
        <v>0</v>
      </c>
      <c r="W1858" t="inlineStr"/>
      <c r="X1858" t="n">
        <v/>
      </c>
    </row>
    <row r="1859">
      <c r="A1859" t="inlineStr">
        <is>
          <t>ATF fuel</t>
        </is>
      </c>
      <c r="B1859" t="inlineStr">
        <is>
          <t>G193</t>
        </is>
      </c>
      <c r="C1859" t="n">
        <v>193</v>
      </c>
      <c r="D1859" t="n">
        <v>7</v>
      </c>
      <c r="E1859" t="inlineStr">
        <is>
          <t>Calculation</t>
        </is>
      </c>
      <c r="F1859" t="inlineStr">
        <is>
          <t>'=(1+(C193/C192)-1)*G192</t>
        </is>
      </c>
      <c r="G1859" t="n">
        <v>126.9487415440341</v>
      </c>
      <c r="H1859" t="inlineStr"/>
      <c r="I1859" t="inlineStr">
        <is>
          <t>General</t>
        </is>
      </c>
      <c r="J1859" t="b">
        <v>0</v>
      </c>
      <c r="K1859" t="b">
        <v>0</v>
      </c>
      <c r="L1859" t="n">
        <v>11</v>
      </c>
      <c r="M1859" t="inlineStr">
        <is>
          <t>Values must be of type &lt;class 'str'&gt;</t>
        </is>
      </c>
      <c r="N1859" t="inlineStr">
        <is>
          <t>00000000</t>
        </is>
      </c>
      <c r="O1859" t="inlineStr">
        <is>
          <t>left</t>
        </is>
      </c>
      <c r="P1859" t="n">
        <v/>
      </c>
      <c r="R1859" t="b">
        <v>1</v>
      </c>
      <c r="S1859" t="inlineStr">
        <is>
          <t>G000352</t>
        </is>
      </c>
      <c r="T1859" t="inlineStr">
        <is>
          <t>Horizontal</t>
        </is>
      </c>
      <c r="U1859" t="n">
        <v>3</v>
      </c>
      <c r="V1859" t="b">
        <v>1</v>
      </c>
      <c r="W1859" t="inlineStr">
        <is>
          <t>ATF fuel!G193:I193</t>
        </is>
      </c>
      <c r="X1859">
        <f>(1+(R[0]C[-4]/R[-1]C[-4])-1)*R[-1]C[0]</f>
        <v/>
      </c>
    </row>
    <row r="1860">
      <c r="A1860" t="inlineStr">
        <is>
          <t>ATF fuel</t>
        </is>
      </c>
      <c r="B1860" t="inlineStr">
        <is>
          <t>H193</t>
        </is>
      </c>
      <c r="C1860" t="n">
        <v>193</v>
      </c>
      <c r="D1860" t="n">
        <v>8</v>
      </c>
      <c r="E1860" t="inlineStr">
        <is>
          <t>Calculation</t>
        </is>
      </c>
      <c r="F1860" t="inlineStr">
        <is>
          <t>'=(1+(D193/D192)-1)*H192</t>
        </is>
      </c>
      <c r="G1860" t="n">
        <v>59.82088829722867</v>
      </c>
      <c r="H1860" t="inlineStr"/>
      <c r="I1860" t="inlineStr">
        <is>
          <t>General</t>
        </is>
      </c>
      <c r="J1860" t="b">
        <v>0</v>
      </c>
      <c r="K1860" t="b">
        <v>0</v>
      </c>
      <c r="L1860" t="n">
        <v>11</v>
      </c>
      <c r="M1860" t="inlineStr">
        <is>
          <t>Values must be of type &lt;class 'str'&gt;</t>
        </is>
      </c>
      <c r="N1860" t="inlineStr">
        <is>
          <t>00000000</t>
        </is>
      </c>
      <c r="O1860" t="inlineStr">
        <is>
          <t>left</t>
        </is>
      </c>
      <c r="P1860" t="n">
        <v/>
      </c>
      <c r="R1860" t="b">
        <v>1</v>
      </c>
      <c r="S1860" t="inlineStr">
        <is>
          <t>G000352</t>
        </is>
      </c>
      <c r="T1860" t="inlineStr">
        <is>
          <t>Horizontal</t>
        </is>
      </c>
      <c r="U1860" t="n">
        <v>3</v>
      </c>
      <c r="V1860" t="b">
        <v>1</v>
      </c>
      <c r="W1860" t="inlineStr">
        <is>
          <t>ATF fuel!G193:I193</t>
        </is>
      </c>
      <c r="X1860">
        <f>(1+(R[0]C[-4]/R[-1]C[-4])-1)*R[-1]C[0]</f>
        <v/>
      </c>
    </row>
    <row r="1861">
      <c r="A1861" t="inlineStr">
        <is>
          <t>ATF fuel</t>
        </is>
      </c>
      <c r="B1861" t="inlineStr">
        <is>
          <t>I193</t>
        </is>
      </c>
      <c r="C1861" t="n">
        <v>193</v>
      </c>
      <c r="D1861" t="n">
        <v>9</v>
      </c>
      <c r="E1861" t="inlineStr">
        <is>
          <t>Calculation</t>
        </is>
      </c>
      <c r="F1861" t="inlineStr">
        <is>
          <t>'=(1+(E193/E192)-1)*I192</t>
        </is>
      </c>
      <c r="G1861" t="n">
        <v>63.23198864308532</v>
      </c>
      <c r="H1861" t="inlineStr"/>
      <c r="I1861" t="inlineStr">
        <is>
          <t>General</t>
        </is>
      </c>
      <c r="J1861" t="b">
        <v>0</v>
      </c>
      <c r="K1861" t="b">
        <v>0</v>
      </c>
      <c r="L1861" t="n">
        <v>11</v>
      </c>
      <c r="M1861" t="inlineStr">
        <is>
          <t>Values must be of type &lt;class 'str'&gt;</t>
        </is>
      </c>
      <c r="N1861" t="inlineStr">
        <is>
          <t>00000000</t>
        </is>
      </c>
      <c r="O1861" t="inlineStr">
        <is>
          <t>left</t>
        </is>
      </c>
      <c r="P1861" t="n">
        <v/>
      </c>
      <c r="R1861" t="b">
        <v>1</v>
      </c>
      <c r="S1861" t="inlineStr">
        <is>
          <t>G000352</t>
        </is>
      </c>
      <c r="T1861" t="inlineStr">
        <is>
          <t>Horizontal</t>
        </is>
      </c>
      <c r="U1861" t="n">
        <v>3</v>
      </c>
      <c r="V1861" t="b">
        <v>1</v>
      </c>
      <c r="W1861" t="inlineStr">
        <is>
          <t>ATF fuel!G193:I193</t>
        </is>
      </c>
      <c r="X1861">
        <f>(1+(R[0]C[-4]/R[-1]C[-4])-1)*R[-1]C[0]</f>
        <v/>
      </c>
    </row>
    <row r="1862">
      <c r="A1862" t="inlineStr">
        <is>
          <t>ATF fuel</t>
        </is>
      </c>
      <c r="B1862" t="inlineStr">
        <is>
          <t>J193</t>
        </is>
      </c>
      <c r="C1862" t="n">
        <v>193</v>
      </c>
      <c r="D1862" t="n">
        <v>10</v>
      </c>
      <c r="E1862" t="inlineStr">
        <is>
          <t>Output</t>
        </is>
      </c>
      <c r="F1862" t="inlineStr">
        <is>
          <t>'=G193/H193-1</t>
        </is>
      </c>
      <c r="G1862" t="n">
        <v>1.122147382922017</v>
      </c>
      <c r="H1862" t="inlineStr"/>
      <c r="I1862" t="inlineStr">
        <is>
          <t>0.0%</t>
        </is>
      </c>
      <c r="J1862" t="b">
        <v>0</v>
      </c>
      <c r="K1862" t="b">
        <v>0</v>
      </c>
      <c r="L1862" t="n">
        <v>11</v>
      </c>
      <c r="M1862" t="inlineStr">
        <is>
          <t>Values must be of type &lt;class 'str'&gt;</t>
        </is>
      </c>
      <c r="N1862" t="inlineStr">
        <is>
          <t>00000000</t>
        </is>
      </c>
      <c r="O1862" t="n">
        <v/>
      </c>
      <c r="P1862" t="n">
        <v/>
      </c>
      <c r="R1862" t="b">
        <v>1</v>
      </c>
      <c r="S1862" t="inlineStr">
        <is>
          <t>G000295</t>
        </is>
      </c>
      <c r="T1862" t="inlineStr">
        <is>
          <t>Vertical</t>
        </is>
      </c>
      <c r="U1862" t="n">
        <v>93</v>
      </c>
      <c r="V1862" t="b">
        <v>1</v>
      </c>
      <c r="W1862" t="inlineStr">
        <is>
          <t>ATF fuel!J136:J228</t>
        </is>
      </c>
      <c r="X1862">
        <f>R[0]C[-3]/R[0]C[-2]-1</f>
        <v/>
      </c>
    </row>
    <row r="1863">
      <c r="A1863" t="inlineStr">
        <is>
          <t>ATF fuel</t>
        </is>
      </c>
      <c r="B1863" t="inlineStr">
        <is>
          <t>B194</t>
        </is>
      </c>
      <c r="C1863" t="n">
        <v>194</v>
      </c>
      <c r="D1863" t="n">
        <v>2</v>
      </c>
      <c r="E1863" t="inlineStr">
        <is>
          <t>Input</t>
        </is>
      </c>
      <c r="F1863" t="n">
        <v/>
      </c>
      <c r="G1863" t="inlineStr">
        <is>
          <t>February 01, 2015</t>
        </is>
      </c>
      <c r="H1863" t="inlineStr"/>
      <c r="I1863" t="inlineStr">
        <is>
          <t>General</t>
        </is>
      </c>
      <c r="J1863" t="b">
        <v>0</v>
      </c>
      <c r="K1863" t="b">
        <v>0</v>
      </c>
      <c r="L1863" t="n">
        <v>11</v>
      </c>
      <c r="M1863" t="inlineStr">
        <is>
          <t>Values must be of type &lt;class 'str'&gt;</t>
        </is>
      </c>
      <c r="N1863" t="inlineStr">
        <is>
          <t>00000000</t>
        </is>
      </c>
      <c r="O1863" t="n">
        <v/>
      </c>
      <c r="P1863" t="n">
        <v/>
      </c>
      <c r="R1863" t="b">
        <v>1</v>
      </c>
      <c r="S1863" t="n">
        <v/>
      </c>
      <c r="T1863" t="n">
        <v/>
      </c>
      <c r="U1863" t="n">
        <v/>
      </c>
      <c r="V1863" t="b">
        <v>0</v>
      </c>
      <c r="W1863" t="inlineStr"/>
      <c r="X1863" t="n">
        <v/>
      </c>
    </row>
    <row r="1864">
      <c r="A1864" t="inlineStr">
        <is>
          <t>ATF fuel</t>
        </is>
      </c>
      <c r="B1864" t="inlineStr">
        <is>
          <t>C194</t>
        </is>
      </c>
      <c r="C1864" t="n">
        <v>194</v>
      </c>
      <c r="D1864" t="n">
        <v>3</v>
      </c>
      <c r="E1864" t="inlineStr">
        <is>
          <t>Input</t>
        </is>
      </c>
      <c r="F1864" t="n">
        <v/>
      </c>
      <c r="G1864" t="n">
        <v>50207.86</v>
      </c>
      <c r="H1864" t="inlineStr"/>
      <c r="I1864" t="inlineStr">
        <is>
          <t>General</t>
        </is>
      </c>
      <c r="J1864" t="b">
        <v>0</v>
      </c>
      <c r="K1864" t="b">
        <v>0</v>
      </c>
      <c r="L1864" t="n">
        <v>11</v>
      </c>
      <c r="M1864" t="inlineStr">
        <is>
          <t>Values must be of type &lt;class 'str'&gt;</t>
        </is>
      </c>
      <c r="N1864" t="inlineStr">
        <is>
          <t>00000000</t>
        </is>
      </c>
      <c r="O1864" t="n">
        <v/>
      </c>
      <c r="P1864" t="n">
        <v/>
      </c>
      <c r="R1864" t="b">
        <v>1</v>
      </c>
      <c r="S1864" t="n">
        <v/>
      </c>
      <c r="T1864" t="n">
        <v/>
      </c>
      <c r="U1864" t="n">
        <v/>
      </c>
      <c r="V1864" t="b">
        <v>0</v>
      </c>
      <c r="W1864" t="inlineStr"/>
      <c r="X1864" t="n">
        <v/>
      </c>
    </row>
    <row r="1865">
      <c r="A1865" t="inlineStr">
        <is>
          <t>ATF fuel</t>
        </is>
      </c>
      <c r="B1865" t="inlineStr">
        <is>
          <t>D194</t>
        </is>
      </c>
      <c r="C1865" t="n">
        <v>194</v>
      </c>
      <c r="D1865" t="n">
        <v>4</v>
      </c>
      <c r="E1865" t="inlineStr">
        <is>
          <t>Input</t>
        </is>
      </c>
      <c r="F1865" t="n">
        <v/>
      </c>
      <c r="G1865" t="n">
        <v>57</v>
      </c>
      <c r="H1865" t="inlineStr"/>
      <c r="I1865" t="inlineStr">
        <is>
          <t>General</t>
        </is>
      </c>
      <c r="J1865" t="b">
        <v>0</v>
      </c>
      <c r="K1865" t="b">
        <v>0</v>
      </c>
      <c r="L1865" t="n">
        <v>11</v>
      </c>
      <c r="M1865" t="inlineStr">
        <is>
          <t>Values must be of type &lt;class 'str'&gt;</t>
        </is>
      </c>
      <c r="N1865" t="inlineStr">
        <is>
          <t>00000000</t>
        </is>
      </c>
      <c r="O1865" t="n">
        <v/>
      </c>
      <c r="P1865" t="n">
        <v/>
      </c>
      <c r="R1865" t="b">
        <v>1</v>
      </c>
      <c r="S1865" t="n">
        <v/>
      </c>
      <c r="T1865" t="n">
        <v/>
      </c>
      <c r="U1865" t="n">
        <v/>
      </c>
      <c r="V1865" t="b">
        <v>0</v>
      </c>
      <c r="W1865" t="inlineStr"/>
      <c r="X1865" t="n">
        <v/>
      </c>
    </row>
    <row r="1866">
      <c r="A1866" t="inlineStr">
        <is>
          <t>ATF fuel</t>
        </is>
      </c>
      <c r="B1866" t="inlineStr">
        <is>
          <t>E194</t>
        </is>
      </c>
      <c r="C1866" t="n">
        <v>194</v>
      </c>
      <c r="D1866" t="n">
        <v>5</v>
      </c>
      <c r="E1866" t="inlineStr">
        <is>
          <t>Input</t>
        </is>
      </c>
      <c r="F1866" t="n">
        <v/>
      </c>
      <c r="G1866" t="n">
        <v>49.25</v>
      </c>
      <c r="H1866" t="inlineStr"/>
      <c r="I1866" t="inlineStr">
        <is>
          <t>General</t>
        </is>
      </c>
      <c r="J1866" t="b">
        <v>0</v>
      </c>
      <c r="K1866" t="b">
        <v>0</v>
      </c>
      <c r="L1866" t="n">
        <v>11</v>
      </c>
      <c r="M1866" t="inlineStr">
        <is>
          <t>Values must be of type &lt;class 'str'&gt;</t>
        </is>
      </c>
      <c r="N1866" t="inlineStr">
        <is>
          <t>00000000</t>
        </is>
      </c>
      <c r="O1866" t="n">
        <v/>
      </c>
      <c r="P1866" t="n">
        <v/>
      </c>
      <c r="R1866" t="b">
        <v>1</v>
      </c>
      <c r="S1866" t="n">
        <v/>
      </c>
      <c r="T1866" t="n">
        <v/>
      </c>
      <c r="U1866" t="n">
        <v/>
      </c>
      <c r="V1866" t="b">
        <v>0</v>
      </c>
      <c r="W1866" t="inlineStr"/>
      <c r="X1866" t="n">
        <v/>
      </c>
    </row>
    <row r="1867">
      <c r="A1867" t="inlineStr">
        <is>
          <t>ATF fuel</t>
        </is>
      </c>
      <c r="B1867" t="inlineStr">
        <is>
          <t>F194</t>
        </is>
      </c>
      <c r="C1867" t="n">
        <v>194</v>
      </c>
      <c r="D1867" t="n">
        <v>6</v>
      </c>
      <c r="E1867" t="inlineStr">
        <is>
          <t>Input</t>
        </is>
      </c>
      <c r="F1867" t="n">
        <v/>
      </c>
      <c r="G1867" t="inlineStr">
        <is>
          <t>February 01, 2015</t>
        </is>
      </c>
      <c r="H1867" t="inlineStr"/>
      <c r="I1867" t="inlineStr">
        <is>
          <t>General</t>
        </is>
      </c>
      <c r="J1867" t="b">
        <v>0</v>
      </c>
      <c r="K1867" t="b">
        <v>0</v>
      </c>
      <c r="L1867" t="n">
        <v>11</v>
      </c>
      <c r="M1867" t="inlineStr">
        <is>
          <t>Values must be of type &lt;class 'str'&gt;</t>
        </is>
      </c>
      <c r="N1867" t="inlineStr">
        <is>
          <t>00000000</t>
        </is>
      </c>
      <c r="O1867" t="inlineStr">
        <is>
          <t>left</t>
        </is>
      </c>
      <c r="P1867" t="n">
        <v/>
      </c>
      <c r="R1867" t="b">
        <v>1</v>
      </c>
      <c r="S1867" t="n">
        <v/>
      </c>
      <c r="T1867" t="n">
        <v/>
      </c>
      <c r="U1867" t="n">
        <v/>
      </c>
      <c r="V1867" t="b">
        <v>0</v>
      </c>
      <c r="W1867" t="inlineStr"/>
      <c r="X1867" t="n">
        <v/>
      </c>
    </row>
    <row r="1868">
      <c r="A1868" t="inlineStr">
        <is>
          <t>ATF fuel</t>
        </is>
      </c>
      <c r="B1868" t="inlineStr">
        <is>
          <t>G194</t>
        </is>
      </c>
      <c r="C1868" t="n">
        <v>194</v>
      </c>
      <c r="D1868" t="n">
        <v>7</v>
      </c>
      <c r="E1868" t="inlineStr">
        <is>
          <t>Calculation</t>
        </is>
      </c>
      <c r="F1868" t="inlineStr">
        <is>
          <t>'=(1+(C194/C193)-1)*G193</t>
        </is>
      </c>
      <c r="G1868" t="n">
        <v>113.1781333727363</v>
      </c>
      <c r="H1868" t="inlineStr"/>
      <c r="I1868" t="inlineStr">
        <is>
          <t>General</t>
        </is>
      </c>
      <c r="J1868" t="b">
        <v>0</v>
      </c>
      <c r="K1868" t="b">
        <v>0</v>
      </c>
      <c r="L1868" t="n">
        <v>11</v>
      </c>
      <c r="M1868" t="inlineStr">
        <is>
          <t>Values must be of type &lt;class 'str'&gt;</t>
        </is>
      </c>
      <c r="N1868" t="inlineStr">
        <is>
          <t>00000000</t>
        </is>
      </c>
      <c r="O1868" t="inlineStr">
        <is>
          <t>left</t>
        </is>
      </c>
      <c r="P1868" t="n">
        <v/>
      </c>
      <c r="R1868" t="b">
        <v>1</v>
      </c>
      <c r="S1868" t="inlineStr">
        <is>
          <t>G000353</t>
        </is>
      </c>
      <c r="T1868" t="inlineStr">
        <is>
          <t>Horizontal</t>
        </is>
      </c>
      <c r="U1868" t="n">
        <v>3</v>
      </c>
      <c r="V1868" t="b">
        <v>1</v>
      </c>
      <c r="W1868" t="inlineStr">
        <is>
          <t>ATF fuel!G194:I194</t>
        </is>
      </c>
      <c r="X1868">
        <f>(1+(R[0]C[-4]/R[-1]C[-4])-1)*R[-1]C[0]</f>
        <v/>
      </c>
    </row>
    <row r="1869">
      <c r="A1869" t="inlineStr">
        <is>
          <t>ATF fuel</t>
        </is>
      </c>
      <c r="B1869" t="inlineStr">
        <is>
          <t>H194</t>
        </is>
      </c>
      <c r="C1869" t="n">
        <v>194</v>
      </c>
      <c r="D1869" t="n">
        <v>8</v>
      </c>
      <c r="E1869" t="inlineStr">
        <is>
          <t>Calculation</t>
        </is>
      </c>
      <c r="F1869" t="inlineStr">
        <is>
          <t>'=(1+(D194/D193)-1)*H193</t>
        </is>
      </c>
      <c r="G1869" t="n">
        <v>68.98220985114372</v>
      </c>
      <c r="H1869" t="inlineStr"/>
      <c r="I1869" t="inlineStr">
        <is>
          <t>General</t>
        </is>
      </c>
      <c r="J1869" t="b">
        <v>0</v>
      </c>
      <c r="K1869" t="b">
        <v>0</v>
      </c>
      <c r="L1869" t="n">
        <v>11</v>
      </c>
      <c r="M1869" t="inlineStr">
        <is>
          <t>Values must be of type &lt;class 'str'&gt;</t>
        </is>
      </c>
      <c r="N1869" t="inlineStr">
        <is>
          <t>00000000</t>
        </is>
      </c>
      <c r="O1869" t="inlineStr">
        <is>
          <t>left</t>
        </is>
      </c>
      <c r="P1869" t="n">
        <v/>
      </c>
      <c r="R1869" t="b">
        <v>1</v>
      </c>
      <c r="S1869" t="inlineStr">
        <is>
          <t>G000353</t>
        </is>
      </c>
      <c r="T1869" t="inlineStr">
        <is>
          <t>Horizontal</t>
        </is>
      </c>
      <c r="U1869" t="n">
        <v>3</v>
      </c>
      <c r="V1869" t="b">
        <v>1</v>
      </c>
      <c r="W1869" t="inlineStr">
        <is>
          <t>ATF fuel!G194:I194</t>
        </is>
      </c>
      <c r="X1869">
        <f>(1+(R[0]C[-4]/R[-1]C[-4])-1)*R[-1]C[0]</f>
        <v/>
      </c>
    </row>
    <row r="1870">
      <c r="A1870" t="inlineStr">
        <is>
          <t>ATF fuel</t>
        </is>
      </c>
      <c r="B1870" t="inlineStr">
        <is>
          <t>I194</t>
        </is>
      </c>
      <c r="C1870" t="n">
        <v>194</v>
      </c>
      <c r="D1870" t="n">
        <v>9</v>
      </c>
      <c r="E1870" t="inlineStr">
        <is>
          <t>Calculation</t>
        </is>
      </c>
      <c r="F1870" t="inlineStr">
        <is>
          <t>'=(1+(E194/E193)-1)*I193</t>
        </is>
      </c>
      <c r="G1870" t="n">
        <v>58.26333845971848</v>
      </c>
      <c r="H1870" t="inlineStr"/>
      <c r="I1870" t="inlineStr">
        <is>
          <t>General</t>
        </is>
      </c>
      <c r="J1870" t="b">
        <v>0</v>
      </c>
      <c r="K1870" t="b">
        <v>0</v>
      </c>
      <c r="L1870" t="n">
        <v>11</v>
      </c>
      <c r="M1870" t="inlineStr">
        <is>
          <t>Values must be of type &lt;class 'str'&gt;</t>
        </is>
      </c>
      <c r="N1870" t="inlineStr">
        <is>
          <t>00000000</t>
        </is>
      </c>
      <c r="O1870" t="inlineStr">
        <is>
          <t>left</t>
        </is>
      </c>
      <c r="P1870" t="n">
        <v/>
      </c>
      <c r="R1870" t="b">
        <v>1</v>
      </c>
      <c r="S1870" t="inlineStr">
        <is>
          <t>G000353</t>
        </is>
      </c>
      <c r="T1870" t="inlineStr">
        <is>
          <t>Horizontal</t>
        </is>
      </c>
      <c r="U1870" t="n">
        <v>3</v>
      </c>
      <c r="V1870" t="b">
        <v>1</v>
      </c>
      <c r="W1870" t="inlineStr">
        <is>
          <t>ATF fuel!G194:I194</t>
        </is>
      </c>
      <c r="X1870">
        <f>(1+(R[0]C[-4]/R[-1]C[-4])-1)*R[-1]C[0]</f>
        <v/>
      </c>
    </row>
    <row r="1871">
      <c r="A1871" t="inlineStr">
        <is>
          <t>ATF fuel</t>
        </is>
      </c>
      <c r="B1871" t="inlineStr">
        <is>
          <t>J194</t>
        </is>
      </c>
      <c r="C1871" t="n">
        <v>194</v>
      </c>
      <c r="D1871" t="n">
        <v>10</v>
      </c>
      <c r="E1871" t="inlineStr">
        <is>
          <t>Output</t>
        </is>
      </c>
      <c r="F1871" t="inlineStr">
        <is>
          <t>'=G194/H194-1</t>
        </is>
      </c>
      <c r="G1871" t="n">
        <v>0.640685817647227</v>
      </c>
      <c r="H1871" t="inlineStr"/>
      <c r="I1871" t="inlineStr">
        <is>
          <t>0.0%</t>
        </is>
      </c>
      <c r="J1871" t="b">
        <v>0</v>
      </c>
      <c r="K1871" t="b">
        <v>0</v>
      </c>
      <c r="L1871" t="n">
        <v>11</v>
      </c>
      <c r="M1871" t="inlineStr">
        <is>
          <t>Values must be of type &lt;class 'str'&gt;</t>
        </is>
      </c>
      <c r="N1871" t="inlineStr">
        <is>
          <t>00000000</t>
        </is>
      </c>
      <c r="O1871" t="n">
        <v/>
      </c>
      <c r="P1871" t="n">
        <v/>
      </c>
      <c r="R1871" t="b">
        <v>1</v>
      </c>
      <c r="S1871" t="inlineStr">
        <is>
          <t>G000295</t>
        </is>
      </c>
      <c r="T1871" t="inlineStr">
        <is>
          <t>Vertical</t>
        </is>
      </c>
      <c r="U1871" t="n">
        <v>93</v>
      </c>
      <c r="V1871" t="b">
        <v>1</v>
      </c>
      <c r="W1871" t="inlineStr">
        <is>
          <t>ATF fuel!J136:J228</t>
        </is>
      </c>
      <c r="X1871">
        <f>R[0]C[-3]/R[0]C[-2]-1</f>
        <v/>
      </c>
    </row>
    <row r="1872">
      <c r="A1872" t="inlineStr">
        <is>
          <t>ATF fuel</t>
        </is>
      </c>
      <c r="B1872" t="inlineStr">
        <is>
          <t>B195</t>
        </is>
      </c>
      <c r="C1872" t="n">
        <v>195</v>
      </c>
      <c r="D1872" t="n">
        <v>2</v>
      </c>
      <c r="E1872" t="inlineStr">
        <is>
          <t>Input</t>
        </is>
      </c>
      <c r="F1872" t="n">
        <v/>
      </c>
      <c r="G1872" t="inlineStr">
        <is>
          <t>March 01, 2015</t>
        </is>
      </c>
      <c r="H1872" t="inlineStr"/>
      <c r="I1872" t="inlineStr">
        <is>
          <t>General</t>
        </is>
      </c>
      <c r="J1872" t="b">
        <v>0</v>
      </c>
      <c r="K1872" t="b">
        <v>0</v>
      </c>
      <c r="L1872" t="n">
        <v>11</v>
      </c>
      <c r="M1872" t="inlineStr">
        <is>
          <t>Values must be of type &lt;class 'str'&gt;</t>
        </is>
      </c>
      <c r="N1872" t="inlineStr">
        <is>
          <t>00000000</t>
        </is>
      </c>
      <c r="O1872" t="n">
        <v/>
      </c>
      <c r="P1872" t="n">
        <v/>
      </c>
      <c r="R1872" t="b">
        <v>1</v>
      </c>
      <c r="S1872" t="n">
        <v/>
      </c>
      <c r="T1872" t="n">
        <v/>
      </c>
      <c r="U1872" t="n">
        <v/>
      </c>
      <c r="V1872" t="b">
        <v>0</v>
      </c>
      <c r="W1872" t="inlineStr"/>
      <c r="X1872" t="n">
        <v/>
      </c>
    </row>
    <row r="1873">
      <c r="A1873" t="inlineStr">
        <is>
          <t>ATF fuel</t>
        </is>
      </c>
      <c r="B1873" t="inlineStr">
        <is>
          <t>C195</t>
        </is>
      </c>
      <c r="C1873" t="n">
        <v>195</v>
      </c>
      <c r="D1873" t="n">
        <v>3</v>
      </c>
      <c r="E1873" t="inlineStr">
        <is>
          <t>Input</t>
        </is>
      </c>
      <c r="F1873" t="n">
        <v/>
      </c>
      <c r="G1873" t="n">
        <v>54223</v>
      </c>
      <c r="H1873" t="inlineStr"/>
      <c r="I1873" t="inlineStr">
        <is>
          <t>General</t>
        </is>
      </c>
      <c r="J1873" t="b">
        <v>0</v>
      </c>
      <c r="K1873" t="b">
        <v>0</v>
      </c>
      <c r="L1873" t="n">
        <v>11</v>
      </c>
      <c r="M1873" t="inlineStr">
        <is>
          <t>Values must be of type &lt;class 'str'&gt;</t>
        </is>
      </c>
      <c r="N1873" t="inlineStr">
        <is>
          <t>00000000</t>
        </is>
      </c>
      <c r="O1873" t="n">
        <v/>
      </c>
      <c r="P1873" t="n">
        <v/>
      </c>
      <c r="R1873" t="b">
        <v>1</v>
      </c>
      <c r="S1873" t="n">
        <v/>
      </c>
      <c r="T1873" t="n">
        <v/>
      </c>
      <c r="U1873" t="n">
        <v/>
      </c>
      <c r="V1873" t="b">
        <v>0</v>
      </c>
      <c r="W1873" t="inlineStr"/>
      <c r="X1873" t="n">
        <v/>
      </c>
    </row>
    <row r="1874">
      <c r="A1874" t="inlineStr">
        <is>
          <t>ATF fuel</t>
        </is>
      </c>
      <c r="B1874" t="inlineStr">
        <is>
          <t>D195</t>
        </is>
      </c>
      <c r="C1874" t="n">
        <v>195</v>
      </c>
      <c r="D1874" t="n">
        <v>4</v>
      </c>
      <c r="E1874" t="inlineStr">
        <is>
          <t>Input</t>
        </is>
      </c>
      <c r="F1874" t="n">
        <v/>
      </c>
      <c r="G1874" t="n">
        <v>59.15</v>
      </c>
      <c r="H1874" t="inlineStr"/>
      <c r="I1874" t="inlineStr">
        <is>
          <t>General</t>
        </is>
      </c>
      <c r="J1874" t="b">
        <v>0</v>
      </c>
      <c r="K1874" t="b">
        <v>0</v>
      </c>
      <c r="L1874" t="n">
        <v>11</v>
      </c>
      <c r="M1874" t="inlineStr">
        <is>
          <t>Values must be of type &lt;class 'str'&gt;</t>
        </is>
      </c>
      <c r="N1874" t="inlineStr">
        <is>
          <t>00000000</t>
        </is>
      </c>
      <c r="O1874" t="n">
        <v/>
      </c>
      <c r="P1874" t="n">
        <v/>
      </c>
      <c r="R1874" t="b">
        <v>1</v>
      </c>
      <c r="S1874" t="n">
        <v/>
      </c>
      <c r="T1874" t="n">
        <v/>
      </c>
      <c r="U1874" t="n">
        <v/>
      </c>
      <c r="V1874" t="b">
        <v>0</v>
      </c>
      <c r="W1874" t="inlineStr"/>
      <c r="X1874" t="n">
        <v/>
      </c>
    </row>
    <row r="1875">
      <c r="A1875" t="inlineStr">
        <is>
          <t>ATF fuel</t>
        </is>
      </c>
      <c r="B1875" t="inlineStr">
        <is>
          <t>E195</t>
        </is>
      </c>
      <c r="C1875" t="n">
        <v>195</v>
      </c>
      <c r="D1875" t="n">
        <v>5</v>
      </c>
      <c r="E1875" t="inlineStr">
        <is>
          <t>Input</t>
        </is>
      </c>
      <c r="F1875" t="n">
        <v/>
      </c>
      <c r="G1875" t="n">
        <v>49.59</v>
      </c>
      <c r="H1875" t="inlineStr"/>
      <c r="I1875" t="inlineStr">
        <is>
          <t>General</t>
        </is>
      </c>
      <c r="J1875" t="b">
        <v>0</v>
      </c>
      <c r="K1875" t="b">
        <v>0</v>
      </c>
      <c r="L1875" t="n">
        <v>11</v>
      </c>
      <c r="M1875" t="inlineStr">
        <is>
          <t>Values must be of type &lt;class 'str'&gt;</t>
        </is>
      </c>
      <c r="N1875" t="inlineStr">
        <is>
          <t>00000000</t>
        </is>
      </c>
      <c r="O1875" t="n">
        <v/>
      </c>
      <c r="P1875" t="n">
        <v/>
      </c>
      <c r="R1875" t="b">
        <v>1</v>
      </c>
      <c r="S1875" t="n">
        <v/>
      </c>
      <c r="T1875" t="n">
        <v/>
      </c>
      <c r="U1875" t="n">
        <v/>
      </c>
      <c r="V1875" t="b">
        <v>0</v>
      </c>
      <c r="W1875" t="inlineStr"/>
      <c r="X1875" t="n">
        <v/>
      </c>
    </row>
    <row r="1876">
      <c r="A1876" t="inlineStr">
        <is>
          <t>ATF fuel</t>
        </is>
      </c>
      <c r="B1876" t="inlineStr">
        <is>
          <t>F195</t>
        </is>
      </c>
      <c r="C1876" t="n">
        <v>195</v>
      </c>
      <c r="D1876" t="n">
        <v>6</v>
      </c>
      <c r="E1876" t="inlineStr">
        <is>
          <t>Input</t>
        </is>
      </c>
      <c r="F1876" t="n">
        <v/>
      </c>
      <c r="G1876" t="inlineStr">
        <is>
          <t>March 01, 2015</t>
        </is>
      </c>
      <c r="H1876" t="inlineStr"/>
      <c r="I1876" t="inlineStr">
        <is>
          <t>General</t>
        </is>
      </c>
      <c r="J1876" t="b">
        <v>0</v>
      </c>
      <c r="K1876" t="b">
        <v>0</v>
      </c>
      <c r="L1876" t="n">
        <v>11</v>
      </c>
      <c r="M1876" t="inlineStr">
        <is>
          <t>Values must be of type &lt;class 'str'&gt;</t>
        </is>
      </c>
      <c r="N1876" t="inlineStr">
        <is>
          <t>00000000</t>
        </is>
      </c>
      <c r="O1876" t="inlineStr">
        <is>
          <t>left</t>
        </is>
      </c>
      <c r="P1876" t="n">
        <v/>
      </c>
      <c r="R1876" t="b">
        <v>1</v>
      </c>
      <c r="S1876" t="n">
        <v/>
      </c>
      <c r="T1876" t="n">
        <v/>
      </c>
      <c r="U1876" t="n">
        <v/>
      </c>
      <c r="V1876" t="b">
        <v>0</v>
      </c>
      <c r="W1876" t="inlineStr"/>
      <c r="X1876" t="n">
        <v/>
      </c>
    </row>
    <row r="1877">
      <c r="A1877" t="inlineStr">
        <is>
          <t>ATF fuel</t>
        </is>
      </c>
      <c r="B1877" t="inlineStr">
        <is>
          <t>G195</t>
        </is>
      </c>
      <c r="C1877" t="n">
        <v>195</v>
      </c>
      <c r="D1877" t="n">
        <v>7</v>
      </c>
      <c r="E1877" t="inlineStr">
        <is>
          <t>Calculation</t>
        </is>
      </c>
      <c r="F1877" t="inlineStr">
        <is>
          <t>'=(1+(C195/C194)-1)*G194</t>
        </is>
      </c>
      <c r="G1877" t="n">
        <v>122.229028002187</v>
      </c>
      <c r="H1877" t="inlineStr"/>
      <c r="I1877" t="inlineStr">
        <is>
          <t>General</t>
        </is>
      </c>
      <c r="J1877" t="b">
        <v>0</v>
      </c>
      <c r="K1877" t="b">
        <v>0</v>
      </c>
      <c r="L1877" t="n">
        <v>11</v>
      </c>
      <c r="M1877" t="inlineStr">
        <is>
          <t>Values must be of type &lt;class 'str'&gt;</t>
        </is>
      </c>
      <c r="N1877" t="inlineStr">
        <is>
          <t>00000000</t>
        </is>
      </c>
      <c r="O1877" t="inlineStr">
        <is>
          <t>left</t>
        </is>
      </c>
      <c r="P1877" t="n">
        <v/>
      </c>
      <c r="R1877" t="b">
        <v>1</v>
      </c>
      <c r="S1877" t="inlineStr">
        <is>
          <t>G000354</t>
        </is>
      </c>
      <c r="T1877" t="inlineStr">
        <is>
          <t>Horizontal</t>
        </is>
      </c>
      <c r="U1877" t="n">
        <v>3</v>
      </c>
      <c r="V1877" t="b">
        <v>1</v>
      </c>
      <c r="W1877" t="inlineStr">
        <is>
          <t>ATF fuel!G195:I195</t>
        </is>
      </c>
      <c r="X1877">
        <f>(1+(R[0]C[-4]/R[-1]C[-4])-1)*R[-1]C[0]</f>
        <v/>
      </c>
    </row>
    <row r="1878">
      <c r="A1878" t="inlineStr">
        <is>
          <t>ATF fuel</t>
        </is>
      </c>
      <c r="B1878" t="inlineStr">
        <is>
          <t>H195</t>
        </is>
      </c>
      <c r="C1878" t="n">
        <v>195</v>
      </c>
      <c r="D1878" t="n">
        <v>8</v>
      </c>
      <c r="E1878" t="inlineStr">
        <is>
          <t>Calculation</t>
        </is>
      </c>
      <c r="F1878" t="inlineStr">
        <is>
          <t>'=(1+(D195/D194)-1)*H194</t>
        </is>
      </c>
      <c r="G1878" t="n">
        <v>71.58417039816055</v>
      </c>
      <c r="H1878" t="inlineStr"/>
      <c r="I1878" t="inlineStr">
        <is>
          <t>General</t>
        </is>
      </c>
      <c r="J1878" t="b">
        <v>0</v>
      </c>
      <c r="K1878" t="b">
        <v>0</v>
      </c>
      <c r="L1878" t="n">
        <v>11</v>
      </c>
      <c r="M1878" t="inlineStr">
        <is>
          <t>Values must be of type &lt;class 'str'&gt;</t>
        </is>
      </c>
      <c r="N1878" t="inlineStr">
        <is>
          <t>00000000</t>
        </is>
      </c>
      <c r="O1878" t="inlineStr">
        <is>
          <t>left</t>
        </is>
      </c>
      <c r="P1878" t="n">
        <v/>
      </c>
      <c r="R1878" t="b">
        <v>1</v>
      </c>
      <c r="S1878" t="inlineStr">
        <is>
          <t>G000354</t>
        </is>
      </c>
      <c r="T1878" t="inlineStr">
        <is>
          <t>Horizontal</t>
        </is>
      </c>
      <c r="U1878" t="n">
        <v>3</v>
      </c>
      <c r="V1878" t="b">
        <v>1</v>
      </c>
      <c r="W1878" t="inlineStr">
        <is>
          <t>ATF fuel!G195:I195</t>
        </is>
      </c>
      <c r="X1878">
        <f>(1+(R[0]C[-4]/R[-1]C[-4])-1)*R[-1]C[0]</f>
        <v/>
      </c>
    </row>
    <row r="1879">
      <c r="A1879" t="inlineStr">
        <is>
          <t>ATF fuel</t>
        </is>
      </c>
      <c r="B1879" t="inlineStr">
        <is>
          <t>I195</t>
        </is>
      </c>
      <c r="C1879" t="n">
        <v>195</v>
      </c>
      <c r="D1879" t="n">
        <v>9</v>
      </c>
      <c r="E1879" t="inlineStr">
        <is>
          <t>Calculation</t>
        </is>
      </c>
      <c r="F1879" t="inlineStr">
        <is>
          <t>'=(1+(E195/E194)-1)*I194</t>
        </is>
      </c>
      <c r="G1879" t="n">
        <v>58.66556252218153</v>
      </c>
      <c r="H1879" t="inlineStr"/>
      <c r="I1879" t="inlineStr">
        <is>
          <t>General</t>
        </is>
      </c>
      <c r="J1879" t="b">
        <v>0</v>
      </c>
      <c r="K1879" t="b">
        <v>0</v>
      </c>
      <c r="L1879" t="n">
        <v>11</v>
      </c>
      <c r="M1879" t="inlineStr">
        <is>
          <t>Values must be of type &lt;class 'str'&gt;</t>
        </is>
      </c>
      <c r="N1879" t="inlineStr">
        <is>
          <t>00000000</t>
        </is>
      </c>
      <c r="O1879" t="inlineStr">
        <is>
          <t>left</t>
        </is>
      </c>
      <c r="P1879" t="n">
        <v/>
      </c>
      <c r="R1879" t="b">
        <v>1</v>
      </c>
      <c r="S1879" t="inlineStr">
        <is>
          <t>G000354</t>
        </is>
      </c>
      <c r="T1879" t="inlineStr">
        <is>
          <t>Horizontal</t>
        </is>
      </c>
      <c r="U1879" t="n">
        <v>3</v>
      </c>
      <c r="V1879" t="b">
        <v>1</v>
      </c>
      <c r="W1879" t="inlineStr">
        <is>
          <t>ATF fuel!G195:I195</t>
        </is>
      </c>
      <c r="X1879">
        <f>(1+(R[0]C[-4]/R[-1]C[-4])-1)*R[-1]C[0]</f>
        <v/>
      </c>
    </row>
    <row r="1880">
      <c r="A1880" t="inlineStr">
        <is>
          <t>ATF fuel</t>
        </is>
      </c>
      <c r="B1880" t="inlineStr">
        <is>
          <t>J195</t>
        </is>
      </c>
      <c r="C1880" t="n">
        <v>195</v>
      </c>
      <c r="D1880" t="n">
        <v>10</v>
      </c>
      <c r="E1880" t="inlineStr">
        <is>
          <t>Output</t>
        </is>
      </c>
      <c r="F1880" t="inlineStr">
        <is>
          <t>'=G195/H195-1</t>
        </is>
      </c>
      <c r="G1880" t="n">
        <v>0.7074868273576838</v>
      </c>
      <c r="H1880" t="inlineStr"/>
      <c r="I1880" t="inlineStr">
        <is>
          <t>0.0%</t>
        </is>
      </c>
      <c r="J1880" t="b">
        <v>0</v>
      </c>
      <c r="K1880" t="b">
        <v>0</v>
      </c>
      <c r="L1880" t="n">
        <v>11</v>
      </c>
      <c r="M1880" t="inlineStr">
        <is>
          <t>Values must be of type &lt;class 'str'&gt;</t>
        </is>
      </c>
      <c r="N1880" t="inlineStr">
        <is>
          <t>00000000</t>
        </is>
      </c>
      <c r="O1880" t="n">
        <v/>
      </c>
      <c r="P1880" t="n">
        <v/>
      </c>
      <c r="R1880" t="b">
        <v>1</v>
      </c>
      <c r="S1880" t="inlineStr">
        <is>
          <t>G000295</t>
        </is>
      </c>
      <c r="T1880" t="inlineStr">
        <is>
          <t>Vertical</t>
        </is>
      </c>
      <c r="U1880" t="n">
        <v>93</v>
      </c>
      <c r="V1880" t="b">
        <v>1</v>
      </c>
      <c r="W1880" t="inlineStr">
        <is>
          <t>ATF fuel!J136:J228</t>
        </is>
      </c>
      <c r="X1880">
        <f>R[0]C[-3]/R[0]C[-2]-1</f>
        <v/>
      </c>
    </row>
    <row r="1881">
      <c r="A1881" t="inlineStr">
        <is>
          <t>ATF fuel</t>
        </is>
      </c>
      <c r="B1881" t="inlineStr">
        <is>
          <t>B196</t>
        </is>
      </c>
      <c r="C1881" t="n">
        <v>196</v>
      </c>
      <c r="D1881" t="n">
        <v>2</v>
      </c>
      <c r="E1881" t="inlineStr">
        <is>
          <t>Input</t>
        </is>
      </c>
      <c r="F1881" t="n">
        <v/>
      </c>
      <c r="G1881" t="inlineStr">
        <is>
          <t>April 01, 2015</t>
        </is>
      </c>
      <c r="H1881" t="inlineStr"/>
      <c r="I1881" t="inlineStr">
        <is>
          <t>General</t>
        </is>
      </c>
      <c r="J1881" t="b">
        <v>0</v>
      </c>
      <c r="K1881" t="b">
        <v>0</v>
      </c>
      <c r="L1881" t="n">
        <v>11</v>
      </c>
      <c r="M1881" t="inlineStr">
        <is>
          <t>Values must be of type &lt;class 'str'&gt;</t>
        </is>
      </c>
      <c r="N1881" t="inlineStr">
        <is>
          <t>00000000</t>
        </is>
      </c>
      <c r="O1881" t="n">
        <v/>
      </c>
      <c r="P1881" t="n">
        <v/>
      </c>
      <c r="R1881" t="b">
        <v>1</v>
      </c>
      <c r="S1881" t="n">
        <v/>
      </c>
      <c r="T1881" t="n">
        <v/>
      </c>
      <c r="U1881" t="n">
        <v/>
      </c>
      <c r="V1881" t="b">
        <v>0</v>
      </c>
      <c r="W1881" t="inlineStr"/>
      <c r="X1881" t="n">
        <v/>
      </c>
    </row>
    <row r="1882">
      <c r="A1882" t="inlineStr">
        <is>
          <t>ATF fuel</t>
        </is>
      </c>
      <c r="B1882" t="inlineStr">
        <is>
          <t>C196</t>
        </is>
      </c>
      <c r="C1882" t="n">
        <v>196</v>
      </c>
      <c r="D1882" t="n">
        <v>3</v>
      </c>
      <c r="E1882" t="inlineStr">
        <is>
          <t>Input</t>
        </is>
      </c>
      <c r="F1882" t="n">
        <v/>
      </c>
      <c r="G1882" t="n">
        <v>53280.5</v>
      </c>
      <c r="H1882" t="inlineStr"/>
      <c r="I1882" t="inlineStr">
        <is>
          <t>General</t>
        </is>
      </c>
      <c r="J1882" t="b">
        <v>0</v>
      </c>
      <c r="K1882" t="b">
        <v>0</v>
      </c>
      <c r="L1882" t="n">
        <v>11</v>
      </c>
      <c r="M1882" t="inlineStr">
        <is>
          <t>Values must be of type &lt;class 'str'&gt;</t>
        </is>
      </c>
      <c r="N1882" t="inlineStr">
        <is>
          <t>00000000</t>
        </is>
      </c>
      <c r="O1882" t="n">
        <v/>
      </c>
      <c r="P1882" t="n">
        <v/>
      </c>
      <c r="R1882" t="b">
        <v>1</v>
      </c>
      <c r="S1882" t="n">
        <v/>
      </c>
      <c r="T1882" t="n">
        <v/>
      </c>
      <c r="U1882" t="n">
        <v/>
      </c>
      <c r="V1882" t="b">
        <v>0</v>
      </c>
      <c r="W1882" t="inlineStr"/>
      <c r="X1882" t="n">
        <v/>
      </c>
    </row>
    <row r="1883">
      <c r="A1883" t="inlineStr">
        <is>
          <t>ATF fuel</t>
        </is>
      </c>
      <c r="B1883" t="inlineStr">
        <is>
          <t>D196</t>
        </is>
      </c>
      <c r="C1883" t="n">
        <v>196</v>
      </c>
      <c r="D1883" t="n">
        <v>4</v>
      </c>
      <c r="E1883" t="inlineStr">
        <is>
          <t>Input</t>
        </is>
      </c>
      <c r="F1883" t="n">
        <v/>
      </c>
      <c r="G1883" t="n">
        <v>57.55</v>
      </c>
      <c r="H1883" t="inlineStr"/>
      <c r="I1883" t="inlineStr">
        <is>
          <t>General</t>
        </is>
      </c>
      <c r="J1883" t="b">
        <v>0</v>
      </c>
      <c r="K1883" t="b">
        <v>0</v>
      </c>
      <c r="L1883" t="n">
        <v>11</v>
      </c>
      <c r="M1883" t="inlineStr">
        <is>
          <t>Values must be of type &lt;class 'str'&gt;</t>
        </is>
      </c>
      <c r="N1883" t="inlineStr">
        <is>
          <t>00000000</t>
        </is>
      </c>
      <c r="O1883" t="n">
        <v/>
      </c>
      <c r="P1883" t="n">
        <v/>
      </c>
      <c r="R1883" t="b">
        <v>1</v>
      </c>
      <c r="S1883" t="n">
        <v/>
      </c>
      <c r="T1883" t="n">
        <v/>
      </c>
      <c r="U1883" t="n">
        <v/>
      </c>
      <c r="V1883" t="b">
        <v>0</v>
      </c>
      <c r="W1883" t="inlineStr"/>
      <c r="X1883" t="n">
        <v/>
      </c>
    </row>
    <row r="1884">
      <c r="A1884" t="inlineStr">
        <is>
          <t>ATF fuel</t>
        </is>
      </c>
      <c r="B1884" t="inlineStr">
        <is>
          <t>E196</t>
        </is>
      </c>
      <c r="C1884" t="n">
        <v>196</v>
      </c>
      <c r="D1884" t="n">
        <v>5</v>
      </c>
      <c r="E1884" t="inlineStr">
        <is>
          <t>Input</t>
        </is>
      </c>
      <c r="F1884" t="n">
        <v/>
      </c>
      <c r="G1884" t="n">
        <v>50.12</v>
      </c>
      <c r="H1884" t="inlineStr"/>
      <c r="I1884" t="inlineStr">
        <is>
          <t>General</t>
        </is>
      </c>
      <c r="J1884" t="b">
        <v>0</v>
      </c>
      <c r="K1884" t="b">
        <v>0</v>
      </c>
      <c r="L1884" t="n">
        <v>11</v>
      </c>
      <c r="M1884" t="inlineStr">
        <is>
          <t>Values must be of type &lt;class 'str'&gt;</t>
        </is>
      </c>
      <c r="N1884" t="inlineStr">
        <is>
          <t>00000000</t>
        </is>
      </c>
      <c r="O1884" t="n">
        <v/>
      </c>
      <c r="P1884" t="n">
        <v/>
      </c>
      <c r="R1884" t="b">
        <v>1</v>
      </c>
      <c r="S1884" t="n">
        <v/>
      </c>
      <c r="T1884" t="n">
        <v/>
      </c>
      <c r="U1884" t="n">
        <v/>
      </c>
      <c r="V1884" t="b">
        <v>0</v>
      </c>
      <c r="W1884" t="inlineStr"/>
      <c r="X1884" t="n">
        <v/>
      </c>
    </row>
    <row r="1885">
      <c r="A1885" t="inlineStr">
        <is>
          <t>ATF fuel</t>
        </is>
      </c>
      <c r="B1885" t="inlineStr">
        <is>
          <t>F196</t>
        </is>
      </c>
      <c r="C1885" t="n">
        <v>196</v>
      </c>
      <c r="D1885" t="n">
        <v>6</v>
      </c>
      <c r="E1885" t="inlineStr">
        <is>
          <t>Input</t>
        </is>
      </c>
      <c r="F1885" t="n">
        <v/>
      </c>
      <c r="G1885" t="inlineStr">
        <is>
          <t>April 01, 2015</t>
        </is>
      </c>
      <c r="H1885" t="inlineStr"/>
      <c r="I1885" t="inlineStr">
        <is>
          <t>General</t>
        </is>
      </c>
      <c r="J1885" t="b">
        <v>0</v>
      </c>
      <c r="K1885" t="b">
        <v>0</v>
      </c>
      <c r="L1885" t="n">
        <v>11</v>
      </c>
      <c r="M1885" t="inlineStr">
        <is>
          <t>Values must be of type &lt;class 'str'&gt;</t>
        </is>
      </c>
      <c r="N1885" t="inlineStr">
        <is>
          <t>00000000</t>
        </is>
      </c>
      <c r="O1885" t="inlineStr">
        <is>
          <t>left</t>
        </is>
      </c>
      <c r="P1885" t="n">
        <v/>
      </c>
      <c r="R1885" t="b">
        <v>1</v>
      </c>
      <c r="S1885" t="n">
        <v/>
      </c>
      <c r="T1885" t="n">
        <v/>
      </c>
      <c r="U1885" t="n">
        <v/>
      </c>
      <c r="V1885" t="b">
        <v>0</v>
      </c>
      <c r="W1885" t="inlineStr"/>
      <c r="X1885" t="n">
        <v/>
      </c>
    </row>
    <row r="1886">
      <c r="A1886" t="inlineStr">
        <is>
          <t>ATF fuel</t>
        </is>
      </c>
      <c r="B1886" t="inlineStr">
        <is>
          <t>G196</t>
        </is>
      </c>
      <c r="C1886" t="n">
        <v>196</v>
      </c>
      <c r="D1886" t="n">
        <v>7</v>
      </c>
      <c r="E1886" t="inlineStr">
        <is>
          <t>Calculation</t>
        </is>
      </c>
      <c r="F1886" t="inlineStr">
        <is>
          <t>'=(1+(C196/C195)-1)*G195</t>
        </is>
      </c>
      <c r="G1886" t="n">
        <v>120.1044524734988</v>
      </c>
      <c r="H1886" t="inlineStr"/>
      <c r="I1886" t="inlineStr">
        <is>
          <t>General</t>
        </is>
      </c>
      <c r="J1886" t="b">
        <v>0</v>
      </c>
      <c r="K1886" t="b">
        <v>0</v>
      </c>
      <c r="L1886" t="n">
        <v>11</v>
      </c>
      <c r="M1886" t="inlineStr">
        <is>
          <t>Values must be of type &lt;class 'str'&gt;</t>
        </is>
      </c>
      <c r="N1886" t="inlineStr">
        <is>
          <t>00000000</t>
        </is>
      </c>
      <c r="O1886" t="inlineStr">
        <is>
          <t>left</t>
        </is>
      </c>
      <c r="P1886" t="n">
        <v/>
      </c>
      <c r="R1886" t="b">
        <v>1</v>
      </c>
      <c r="S1886" t="inlineStr">
        <is>
          <t>G000355</t>
        </is>
      </c>
      <c r="T1886" t="inlineStr">
        <is>
          <t>Horizontal</t>
        </is>
      </c>
      <c r="U1886" t="n">
        <v>3</v>
      </c>
      <c r="V1886" t="b">
        <v>1</v>
      </c>
      <c r="W1886" t="inlineStr">
        <is>
          <t>ATF fuel!G196:I196</t>
        </is>
      </c>
      <c r="X1886">
        <f>(1+(R[0]C[-4]/R[-1]C[-4])-1)*R[-1]C[0]</f>
        <v/>
      </c>
    </row>
    <row r="1887">
      <c r="A1887" t="inlineStr">
        <is>
          <t>ATF fuel</t>
        </is>
      </c>
      <c r="B1887" t="inlineStr">
        <is>
          <t>H196</t>
        </is>
      </c>
      <c r="C1887" t="n">
        <v>196</v>
      </c>
      <c r="D1887" t="n">
        <v>8</v>
      </c>
      <c r="E1887" t="inlineStr">
        <is>
          <t>Calculation</t>
        </is>
      </c>
      <c r="F1887" t="inlineStr">
        <is>
          <t>'=(1+(D196/D195)-1)*H195</t>
        </is>
      </c>
      <c r="G1887" t="n">
        <v>69.64782766549686</v>
      </c>
      <c r="H1887" t="inlineStr"/>
      <c r="I1887" t="inlineStr">
        <is>
          <t>General</t>
        </is>
      </c>
      <c r="J1887" t="b">
        <v>0</v>
      </c>
      <c r="K1887" t="b">
        <v>0</v>
      </c>
      <c r="L1887" t="n">
        <v>11</v>
      </c>
      <c r="M1887" t="inlineStr">
        <is>
          <t>Values must be of type &lt;class 'str'&gt;</t>
        </is>
      </c>
      <c r="N1887" t="inlineStr">
        <is>
          <t>00000000</t>
        </is>
      </c>
      <c r="O1887" t="inlineStr">
        <is>
          <t>left</t>
        </is>
      </c>
      <c r="P1887" t="n">
        <v/>
      </c>
      <c r="R1887" t="b">
        <v>1</v>
      </c>
      <c r="S1887" t="inlineStr">
        <is>
          <t>G000355</t>
        </is>
      </c>
      <c r="T1887" t="inlineStr">
        <is>
          <t>Horizontal</t>
        </is>
      </c>
      <c r="U1887" t="n">
        <v>3</v>
      </c>
      <c r="V1887" t="b">
        <v>1</v>
      </c>
      <c r="W1887" t="inlineStr">
        <is>
          <t>ATF fuel!G196:I196</t>
        </is>
      </c>
      <c r="X1887">
        <f>(1+(R[0]C[-4]/R[-1]C[-4])-1)*R[-1]C[0]</f>
        <v/>
      </c>
    </row>
    <row r="1888">
      <c r="A1888" t="inlineStr">
        <is>
          <t>ATF fuel</t>
        </is>
      </c>
      <c r="B1888" t="inlineStr">
        <is>
          <t>I196</t>
        </is>
      </c>
      <c r="C1888" t="n">
        <v>196</v>
      </c>
      <c r="D1888" t="n">
        <v>9</v>
      </c>
      <c r="E1888" t="inlineStr">
        <is>
          <t>Calculation</t>
        </is>
      </c>
      <c r="F1888" t="inlineStr">
        <is>
          <t>'=(1+(E196/E195)-1)*I195</t>
        </is>
      </c>
      <c r="G1888" t="n">
        <v>59.29255885484447</v>
      </c>
      <c r="H1888" t="inlineStr"/>
      <c r="I1888" t="inlineStr">
        <is>
          <t>General</t>
        </is>
      </c>
      <c r="J1888" t="b">
        <v>0</v>
      </c>
      <c r="K1888" t="b">
        <v>0</v>
      </c>
      <c r="L1888" t="n">
        <v>11</v>
      </c>
      <c r="M1888" t="inlineStr">
        <is>
          <t>Values must be of type &lt;class 'str'&gt;</t>
        </is>
      </c>
      <c r="N1888" t="inlineStr">
        <is>
          <t>00000000</t>
        </is>
      </c>
      <c r="O1888" t="inlineStr">
        <is>
          <t>left</t>
        </is>
      </c>
      <c r="P1888" t="n">
        <v/>
      </c>
      <c r="R1888" t="b">
        <v>1</v>
      </c>
      <c r="S1888" t="inlineStr">
        <is>
          <t>G000355</t>
        </is>
      </c>
      <c r="T1888" t="inlineStr">
        <is>
          <t>Horizontal</t>
        </is>
      </c>
      <c r="U1888" t="n">
        <v>3</v>
      </c>
      <c r="V1888" t="b">
        <v>1</v>
      </c>
      <c r="W1888" t="inlineStr">
        <is>
          <t>ATF fuel!G196:I196</t>
        </is>
      </c>
      <c r="X1888">
        <f>(1+(R[0]C[-4]/R[-1]C[-4])-1)*R[-1]C[0]</f>
        <v/>
      </c>
    </row>
    <row r="1889">
      <c r="A1889" t="inlineStr">
        <is>
          <t>ATF fuel</t>
        </is>
      </c>
      <c r="B1889" t="inlineStr">
        <is>
          <t>J196</t>
        </is>
      </c>
      <c r="C1889" t="n">
        <v>196</v>
      </c>
      <c r="D1889" t="n">
        <v>10</v>
      </c>
      <c r="E1889" t="inlineStr">
        <is>
          <t>Output</t>
        </is>
      </c>
      <c r="F1889" t="inlineStr">
        <is>
          <t>'=G196/H196-1</t>
        </is>
      </c>
      <c r="G1889" t="n">
        <v>0.7244536764353073</v>
      </c>
      <c r="H1889" t="inlineStr"/>
      <c r="I1889" t="inlineStr">
        <is>
          <t>0.0%</t>
        </is>
      </c>
      <c r="J1889" t="b">
        <v>0</v>
      </c>
      <c r="K1889" t="b">
        <v>0</v>
      </c>
      <c r="L1889" t="n">
        <v>11</v>
      </c>
      <c r="M1889" t="inlineStr">
        <is>
          <t>Values must be of type &lt;class 'str'&gt;</t>
        </is>
      </c>
      <c r="N1889" t="inlineStr">
        <is>
          <t>00000000</t>
        </is>
      </c>
      <c r="O1889" t="n">
        <v/>
      </c>
      <c r="P1889" t="n">
        <v/>
      </c>
      <c r="R1889" t="b">
        <v>1</v>
      </c>
      <c r="S1889" t="inlineStr">
        <is>
          <t>G000295</t>
        </is>
      </c>
      <c r="T1889" t="inlineStr">
        <is>
          <t>Vertical</t>
        </is>
      </c>
      <c r="U1889" t="n">
        <v>93</v>
      </c>
      <c r="V1889" t="b">
        <v>1</v>
      </c>
      <c r="W1889" t="inlineStr">
        <is>
          <t>ATF fuel!J136:J228</t>
        </is>
      </c>
      <c r="X1889">
        <f>R[0]C[-3]/R[0]C[-2]-1</f>
        <v/>
      </c>
    </row>
    <row r="1890">
      <c r="A1890" t="inlineStr">
        <is>
          <t>ATF fuel</t>
        </is>
      </c>
      <c r="B1890" t="inlineStr">
        <is>
          <t>B197</t>
        </is>
      </c>
      <c r="C1890" t="n">
        <v>197</v>
      </c>
      <c r="D1890" t="n">
        <v>2</v>
      </c>
      <c r="E1890" t="inlineStr">
        <is>
          <t>Input</t>
        </is>
      </c>
      <c r="F1890" t="n">
        <v/>
      </c>
      <c r="G1890" t="inlineStr">
        <is>
          <t>May 01, 2015</t>
        </is>
      </c>
      <c r="H1890" t="inlineStr"/>
      <c r="I1890" t="inlineStr">
        <is>
          <t>General</t>
        </is>
      </c>
      <c r="J1890" t="b">
        <v>0</v>
      </c>
      <c r="K1890" t="b">
        <v>0</v>
      </c>
      <c r="L1890" t="n">
        <v>11</v>
      </c>
      <c r="M1890" t="inlineStr">
        <is>
          <t>Values must be of type &lt;class 'str'&gt;</t>
        </is>
      </c>
      <c r="N1890" t="inlineStr">
        <is>
          <t>00000000</t>
        </is>
      </c>
      <c r="O1890" t="n">
        <v/>
      </c>
      <c r="P1890" t="n">
        <v/>
      </c>
      <c r="R1890" t="b">
        <v>1</v>
      </c>
      <c r="S1890" t="n">
        <v/>
      </c>
      <c r="T1890" t="n">
        <v/>
      </c>
      <c r="U1890" t="n">
        <v/>
      </c>
      <c r="V1890" t="b">
        <v>0</v>
      </c>
      <c r="W1890" t="inlineStr"/>
      <c r="X1890" t="n">
        <v/>
      </c>
    </row>
    <row r="1891">
      <c r="A1891" t="inlineStr">
        <is>
          <t>ATF fuel</t>
        </is>
      </c>
      <c r="B1891" t="inlineStr">
        <is>
          <t>C197</t>
        </is>
      </c>
      <c r="C1891" t="n">
        <v>197</v>
      </c>
      <c r="D1891" t="n">
        <v>3</v>
      </c>
      <c r="E1891" t="inlineStr">
        <is>
          <t>Input</t>
        </is>
      </c>
      <c r="F1891" t="n">
        <v/>
      </c>
      <c r="G1891" t="n">
        <v>53589.1825</v>
      </c>
      <c r="H1891" t="inlineStr"/>
      <c r="I1891" t="inlineStr">
        <is>
          <t>General</t>
        </is>
      </c>
      <c r="J1891" t="b">
        <v>0</v>
      </c>
      <c r="K1891" t="b">
        <v>0</v>
      </c>
      <c r="L1891" t="n">
        <v>11</v>
      </c>
      <c r="M1891" t="inlineStr">
        <is>
          <t>Values must be of type &lt;class 'str'&gt;</t>
        </is>
      </c>
      <c r="N1891" t="inlineStr">
        <is>
          <t>00000000</t>
        </is>
      </c>
      <c r="O1891" t="n">
        <v/>
      </c>
      <c r="P1891" t="n">
        <v/>
      </c>
      <c r="R1891" t="b">
        <v>1</v>
      </c>
      <c r="S1891" t="n">
        <v/>
      </c>
      <c r="T1891" t="n">
        <v/>
      </c>
      <c r="U1891" t="n">
        <v/>
      </c>
      <c r="V1891" t="b">
        <v>0</v>
      </c>
      <c r="W1891" t="inlineStr"/>
      <c r="X1891" t="n">
        <v/>
      </c>
    </row>
    <row r="1892">
      <c r="A1892" t="inlineStr">
        <is>
          <t>ATF fuel</t>
        </is>
      </c>
      <c r="B1892" t="inlineStr">
        <is>
          <t>D197</t>
        </is>
      </c>
      <c r="C1892" t="n">
        <v>197</v>
      </c>
      <c r="D1892" t="n">
        <v>4</v>
      </c>
      <c r="E1892" t="inlineStr">
        <is>
          <t>Input</t>
        </is>
      </c>
      <c r="F1892" t="n">
        <v/>
      </c>
      <c r="G1892" t="n">
        <v>64.93000000000001</v>
      </c>
      <c r="H1892" t="inlineStr"/>
      <c r="I1892" t="inlineStr">
        <is>
          <t>General</t>
        </is>
      </c>
      <c r="J1892" t="b">
        <v>0</v>
      </c>
      <c r="K1892" t="b">
        <v>0</v>
      </c>
      <c r="L1892" t="n">
        <v>11</v>
      </c>
      <c r="M1892" t="inlineStr">
        <is>
          <t>Values must be of type &lt;class 'str'&gt;</t>
        </is>
      </c>
      <c r="N1892" t="inlineStr">
        <is>
          <t>00000000</t>
        </is>
      </c>
      <c r="O1892" t="n">
        <v/>
      </c>
      <c r="P1892" t="n">
        <v/>
      </c>
      <c r="R1892" t="b">
        <v>1</v>
      </c>
      <c r="S1892" t="n">
        <v/>
      </c>
      <c r="T1892" t="n">
        <v/>
      </c>
      <c r="U1892" t="n">
        <v/>
      </c>
      <c r="V1892" t="b">
        <v>0</v>
      </c>
      <c r="W1892" t="inlineStr"/>
      <c r="X1892" t="n">
        <v/>
      </c>
    </row>
    <row r="1893">
      <c r="A1893" t="inlineStr">
        <is>
          <t>ATF fuel</t>
        </is>
      </c>
      <c r="B1893" t="inlineStr">
        <is>
          <t>E197</t>
        </is>
      </c>
      <c r="C1893" t="n">
        <v>197</v>
      </c>
      <c r="D1893" t="n">
        <v>5</v>
      </c>
      <c r="E1893" t="inlineStr">
        <is>
          <t>Input</t>
        </is>
      </c>
      <c r="F1893" t="n">
        <v/>
      </c>
      <c r="G1893" t="n">
        <v>59.1</v>
      </c>
      <c r="H1893" t="inlineStr"/>
      <c r="I1893" t="inlineStr">
        <is>
          <t>General</t>
        </is>
      </c>
      <c r="J1893" t="b">
        <v>0</v>
      </c>
      <c r="K1893" t="b">
        <v>0</v>
      </c>
      <c r="L1893" t="n">
        <v>11</v>
      </c>
      <c r="M1893" t="inlineStr">
        <is>
          <t>Values must be of type &lt;class 'str'&gt;</t>
        </is>
      </c>
      <c r="N1893" t="inlineStr">
        <is>
          <t>00000000</t>
        </is>
      </c>
      <c r="O1893" t="n">
        <v/>
      </c>
      <c r="P1893" t="n">
        <v/>
      </c>
      <c r="R1893" t="b">
        <v>1</v>
      </c>
      <c r="S1893" t="n">
        <v/>
      </c>
      <c r="T1893" t="n">
        <v/>
      </c>
      <c r="U1893" t="n">
        <v/>
      </c>
      <c r="V1893" t="b">
        <v>0</v>
      </c>
      <c r="W1893" t="inlineStr"/>
      <c r="X1893" t="n">
        <v/>
      </c>
    </row>
    <row r="1894">
      <c r="A1894" t="inlineStr">
        <is>
          <t>ATF fuel</t>
        </is>
      </c>
      <c r="B1894" t="inlineStr">
        <is>
          <t>F197</t>
        </is>
      </c>
      <c r="C1894" t="n">
        <v>197</v>
      </c>
      <c r="D1894" t="n">
        <v>6</v>
      </c>
      <c r="E1894" t="inlineStr">
        <is>
          <t>Input</t>
        </is>
      </c>
      <c r="F1894" t="n">
        <v/>
      </c>
      <c r="G1894" t="inlineStr">
        <is>
          <t>May 01, 2015</t>
        </is>
      </c>
      <c r="H1894" t="inlineStr"/>
      <c r="I1894" t="inlineStr">
        <is>
          <t>General</t>
        </is>
      </c>
      <c r="J1894" t="b">
        <v>0</v>
      </c>
      <c r="K1894" t="b">
        <v>0</v>
      </c>
      <c r="L1894" t="n">
        <v>11</v>
      </c>
      <c r="M1894" t="inlineStr">
        <is>
          <t>Values must be of type &lt;class 'str'&gt;</t>
        </is>
      </c>
      <c r="N1894" t="inlineStr">
        <is>
          <t>00000000</t>
        </is>
      </c>
      <c r="O1894" t="inlineStr">
        <is>
          <t>left</t>
        </is>
      </c>
      <c r="P1894" t="n">
        <v/>
      </c>
      <c r="R1894" t="b">
        <v>1</v>
      </c>
      <c r="S1894" t="n">
        <v/>
      </c>
      <c r="T1894" t="n">
        <v/>
      </c>
      <c r="U1894" t="n">
        <v/>
      </c>
      <c r="V1894" t="b">
        <v>0</v>
      </c>
      <c r="W1894" t="inlineStr"/>
      <c r="X1894" t="n">
        <v/>
      </c>
    </row>
    <row r="1895">
      <c r="A1895" t="inlineStr">
        <is>
          <t>ATF fuel</t>
        </is>
      </c>
      <c r="B1895" t="inlineStr">
        <is>
          <t>G197</t>
        </is>
      </c>
      <c r="C1895" t="n">
        <v>197</v>
      </c>
      <c r="D1895" t="n">
        <v>7</v>
      </c>
      <c r="E1895" t="inlineStr">
        <is>
          <t>Calculation</t>
        </is>
      </c>
      <c r="F1895" t="inlineStr">
        <is>
          <t>'=(1+(C197/C196)-1)*G196</t>
        </is>
      </c>
      <c r="G1895" t="n">
        <v>120.8002819542778</v>
      </c>
      <c r="H1895" t="inlineStr"/>
      <c r="I1895" t="inlineStr">
        <is>
          <t>General</t>
        </is>
      </c>
      <c r="J1895" t="b">
        <v>0</v>
      </c>
      <c r="K1895" t="b">
        <v>0</v>
      </c>
      <c r="L1895" t="n">
        <v>11</v>
      </c>
      <c r="M1895" t="inlineStr">
        <is>
          <t>Values must be of type &lt;class 'str'&gt;</t>
        </is>
      </c>
      <c r="N1895" t="inlineStr">
        <is>
          <t>00000000</t>
        </is>
      </c>
      <c r="O1895" t="inlineStr">
        <is>
          <t>left</t>
        </is>
      </c>
      <c r="P1895" t="n">
        <v/>
      </c>
      <c r="R1895" t="b">
        <v>1</v>
      </c>
      <c r="S1895" t="inlineStr">
        <is>
          <t>G000356</t>
        </is>
      </c>
      <c r="T1895" t="inlineStr">
        <is>
          <t>Horizontal</t>
        </is>
      </c>
      <c r="U1895" t="n">
        <v>3</v>
      </c>
      <c r="V1895" t="b">
        <v>1</v>
      </c>
      <c r="W1895" t="inlineStr">
        <is>
          <t>ATF fuel!G197:I197</t>
        </is>
      </c>
      <c r="X1895">
        <f>(1+(R[0]C[-4]/R[-1]C[-4])-1)*R[-1]C[0]</f>
        <v/>
      </c>
    </row>
    <row r="1896">
      <c r="A1896" t="inlineStr">
        <is>
          <t>ATF fuel</t>
        </is>
      </c>
      <c r="B1896" t="inlineStr">
        <is>
          <t>H197</t>
        </is>
      </c>
      <c r="C1896" t="n">
        <v>197</v>
      </c>
      <c r="D1896" t="n">
        <v>8</v>
      </c>
      <c r="E1896" t="inlineStr">
        <is>
          <t>Calculation</t>
        </is>
      </c>
      <c r="F1896" t="inlineStr">
        <is>
          <t>'=(1+(D197/D196)-1)*H196</t>
        </is>
      </c>
      <c r="G1896" t="n">
        <v>78.57920851990809</v>
      </c>
      <c r="H1896" t="inlineStr"/>
      <c r="I1896" t="inlineStr">
        <is>
          <t>General</t>
        </is>
      </c>
      <c r="J1896" t="b">
        <v>0</v>
      </c>
      <c r="K1896" t="b">
        <v>0</v>
      </c>
      <c r="L1896" t="n">
        <v>11</v>
      </c>
      <c r="M1896" t="inlineStr">
        <is>
          <t>Values must be of type &lt;class 'str'&gt;</t>
        </is>
      </c>
      <c r="N1896" t="inlineStr">
        <is>
          <t>00000000</t>
        </is>
      </c>
      <c r="O1896" t="inlineStr">
        <is>
          <t>left</t>
        </is>
      </c>
      <c r="P1896" t="n">
        <v/>
      </c>
      <c r="R1896" t="b">
        <v>1</v>
      </c>
      <c r="S1896" t="inlineStr">
        <is>
          <t>G000356</t>
        </is>
      </c>
      <c r="T1896" t="inlineStr">
        <is>
          <t>Horizontal</t>
        </is>
      </c>
      <c r="U1896" t="n">
        <v>3</v>
      </c>
      <c r="V1896" t="b">
        <v>1</v>
      </c>
      <c r="W1896" t="inlineStr">
        <is>
          <t>ATF fuel!G197:I197</t>
        </is>
      </c>
      <c r="X1896">
        <f>(1+(R[0]C[-4]/R[-1]C[-4])-1)*R[-1]C[0]</f>
        <v/>
      </c>
    </row>
    <row r="1897">
      <c r="A1897" t="inlineStr">
        <is>
          <t>ATF fuel</t>
        </is>
      </c>
      <c r="B1897" t="inlineStr">
        <is>
          <t>I197</t>
        </is>
      </c>
      <c r="C1897" t="n">
        <v>197</v>
      </c>
      <c r="D1897" t="n">
        <v>9</v>
      </c>
      <c r="E1897" t="inlineStr">
        <is>
          <t>Calculation</t>
        </is>
      </c>
      <c r="F1897" t="inlineStr">
        <is>
          <t>'=(1+(E197/E196)-1)*I196</t>
        </is>
      </c>
      <c r="G1897" t="n">
        <v>69.91600615166216</v>
      </c>
      <c r="H1897" t="inlineStr"/>
      <c r="I1897" t="inlineStr">
        <is>
          <t>General</t>
        </is>
      </c>
      <c r="J1897" t="b">
        <v>0</v>
      </c>
      <c r="K1897" t="b">
        <v>0</v>
      </c>
      <c r="L1897" t="n">
        <v>11</v>
      </c>
      <c r="M1897" t="inlineStr">
        <is>
          <t>Values must be of type &lt;class 'str'&gt;</t>
        </is>
      </c>
      <c r="N1897" t="inlineStr">
        <is>
          <t>00000000</t>
        </is>
      </c>
      <c r="O1897" t="inlineStr">
        <is>
          <t>left</t>
        </is>
      </c>
      <c r="P1897" t="n">
        <v/>
      </c>
      <c r="R1897" t="b">
        <v>1</v>
      </c>
      <c r="S1897" t="inlineStr">
        <is>
          <t>G000356</t>
        </is>
      </c>
      <c r="T1897" t="inlineStr">
        <is>
          <t>Horizontal</t>
        </is>
      </c>
      <c r="U1897" t="n">
        <v>3</v>
      </c>
      <c r="V1897" t="b">
        <v>1</v>
      </c>
      <c r="W1897" t="inlineStr">
        <is>
          <t>ATF fuel!G197:I197</t>
        </is>
      </c>
      <c r="X1897">
        <f>(1+(R[0]C[-4]/R[-1]C[-4])-1)*R[-1]C[0]</f>
        <v/>
      </c>
    </row>
    <row r="1898">
      <c r="A1898" t="inlineStr">
        <is>
          <t>ATF fuel</t>
        </is>
      </c>
      <c r="B1898" t="inlineStr">
        <is>
          <t>J197</t>
        </is>
      </c>
      <c r="C1898" t="n">
        <v>197</v>
      </c>
      <c r="D1898" t="n">
        <v>10</v>
      </c>
      <c r="E1898" t="inlineStr">
        <is>
          <t>Output</t>
        </is>
      </c>
      <c r="F1898" t="inlineStr">
        <is>
          <t>'=G197/H197-1</t>
        </is>
      </c>
      <c r="G1898" t="n">
        <v>0.5373059137350946</v>
      </c>
      <c r="H1898" t="inlineStr"/>
      <c r="I1898" t="inlineStr">
        <is>
          <t>0.0%</t>
        </is>
      </c>
      <c r="J1898" t="b">
        <v>0</v>
      </c>
      <c r="K1898" t="b">
        <v>0</v>
      </c>
      <c r="L1898" t="n">
        <v>11</v>
      </c>
      <c r="M1898" t="inlineStr">
        <is>
          <t>Values must be of type &lt;class 'str'&gt;</t>
        </is>
      </c>
      <c r="N1898" t="inlineStr">
        <is>
          <t>00000000</t>
        </is>
      </c>
      <c r="O1898" t="n">
        <v/>
      </c>
      <c r="P1898" t="n">
        <v/>
      </c>
      <c r="R1898" t="b">
        <v>1</v>
      </c>
      <c r="S1898" t="inlineStr">
        <is>
          <t>G000295</t>
        </is>
      </c>
      <c r="T1898" t="inlineStr">
        <is>
          <t>Vertical</t>
        </is>
      </c>
      <c r="U1898" t="n">
        <v>93</v>
      </c>
      <c r="V1898" t="b">
        <v>1</v>
      </c>
      <c r="W1898" t="inlineStr">
        <is>
          <t>ATF fuel!J136:J228</t>
        </is>
      </c>
      <c r="X1898">
        <f>R[0]C[-3]/R[0]C[-2]-1</f>
        <v/>
      </c>
    </row>
    <row r="1899">
      <c r="A1899" t="inlineStr">
        <is>
          <t>ATF fuel</t>
        </is>
      </c>
      <c r="B1899" t="inlineStr">
        <is>
          <t>B198</t>
        </is>
      </c>
      <c r="C1899" t="n">
        <v>198</v>
      </c>
      <c r="D1899" t="n">
        <v>2</v>
      </c>
      <c r="E1899" t="inlineStr">
        <is>
          <t>Input</t>
        </is>
      </c>
      <c r="F1899" t="n">
        <v/>
      </c>
      <c r="G1899" t="inlineStr">
        <is>
          <t>June 01, 2015</t>
        </is>
      </c>
      <c r="H1899" t="inlineStr"/>
      <c r="I1899" t="inlineStr">
        <is>
          <t>General</t>
        </is>
      </c>
      <c r="J1899" t="b">
        <v>0</v>
      </c>
      <c r="K1899" t="b">
        <v>0</v>
      </c>
      <c r="L1899" t="n">
        <v>11</v>
      </c>
      <c r="M1899" t="inlineStr">
        <is>
          <t>Values must be of type &lt;class 'str'&gt;</t>
        </is>
      </c>
      <c r="N1899" t="inlineStr">
        <is>
          <t>00000000</t>
        </is>
      </c>
      <c r="O1899" t="n">
        <v/>
      </c>
      <c r="P1899" t="n">
        <v/>
      </c>
      <c r="R1899" t="b">
        <v>1</v>
      </c>
      <c r="S1899" t="n">
        <v/>
      </c>
      <c r="T1899" t="n">
        <v/>
      </c>
      <c r="U1899" t="n">
        <v/>
      </c>
      <c r="V1899" t="b">
        <v>0</v>
      </c>
      <c r="W1899" t="inlineStr"/>
      <c r="X1899" t="n">
        <v/>
      </c>
    </row>
    <row r="1900">
      <c r="A1900" t="inlineStr">
        <is>
          <t>ATF fuel</t>
        </is>
      </c>
      <c r="B1900" t="inlineStr">
        <is>
          <t>C198</t>
        </is>
      </c>
      <c r="C1900" t="n">
        <v>198</v>
      </c>
      <c r="D1900" t="n">
        <v>3</v>
      </c>
      <c r="E1900" t="inlineStr">
        <is>
          <t>Input</t>
        </is>
      </c>
      <c r="F1900" t="n">
        <v/>
      </c>
      <c r="G1900" t="n">
        <v>57433.275</v>
      </c>
      <c r="H1900" t="inlineStr"/>
      <c r="I1900" t="inlineStr">
        <is>
          <t>General</t>
        </is>
      </c>
      <c r="J1900" t="b">
        <v>0</v>
      </c>
      <c r="K1900" t="b">
        <v>0</v>
      </c>
      <c r="L1900" t="n">
        <v>11</v>
      </c>
      <c r="M1900" t="inlineStr">
        <is>
          <t>Values must be of type &lt;class 'str'&gt;</t>
        </is>
      </c>
      <c r="N1900" t="inlineStr">
        <is>
          <t>00000000</t>
        </is>
      </c>
      <c r="O1900" t="n">
        <v/>
      </c>
      <c r="P1900" t="n">
        <v/>
      </c>
      <c r="R1900" t="b">
        <v>1</v>
      </c>
      <c r="S1900" t="n">
        <v/>
      </c>
      <c r="T1900" t="n">
        <v/>
      </c>
      <c r="U1900" t="n">
        <v/>
      </c>
      <c r="V1900" t="b">
        <v>0</v>
      </c>
      <c r="W1900" t="inlineStr"/>
      <c r="X1900" t="n">
        <v/>
      </c>
    </row>
    <row r="1901">
      <c r="A1901" t="inlineStr">
        <is>
          <t>ATF fuel</t>
        </is>
      </c>
      <c r="B1901" t="inlineStr">
        <is>
          <t>D198</t>
        </is>
      </c>
      <c r="C1901" t="n">
        <v>198</v>
      </c>
      <c r="D1901" t="n">
        <v>4</v>
      </c>
      <c r="E1901" t="inlineStr">
        <is>
          <t>Input</t>
        </is>
      </c>
      <c r="F1901" t="n">
        <v/>
      </c>
      <c r="G1901" t="n">
        <v>60.36</v>
      </c>
      <c r="H1901" t="inlineStr"/>
      <c r="I1901" t="inlineStr">
        <is>
          <t>General</t>
        </is>
      </c>
      <c r="J1901" t="b">
        <v>0</v>
      </c>
      <c r="K1901" t="b">
        <v>0</v>
      </c>
      <c r="L1901" t="n">
        <v>11</v>
      </c>
      <c r="M1901" t="inlineStr">
        <is>
          <t>Values must be of type &lt;class 'str'&gt;</t>
        </is>
      </c>
      <c r="N1901" t="inlineStr">
        <is>
          <t>00000000</t>
        </is>
      </c>
      <c r="O1901" t="n">
        <v/>
      </c>
      <c r="P1901" t="n">
        <v/>
      </c>
      <c r="R1901" t="b">
        <v>1</v>
      </c>
      <c r="S1901" t="n">
        <v/>
      </c>
      <c r="T1901" t="n">
        <v/>
      </c>
      <c r="U1901" t="n">
        <v/>
      </c>
      <c r="V1901" t="b">
        <v>0</v>
      </c>
      <c r="W1901" t="inlineStr"/>
      <c r="X1901" t="n">
        <v/>
      </c>
    </row>
    <row r="1902">
      <c r="A1902" t="inlineStr">
        <is>
          <t>ATF fuel</t>
        </is>
      </c>
      <c r="B1902" t="inlineStr">
        <is>
          <t>E198</t>
        </is>
      </c>
      <c r="C1902" t="n">
        <v>198</v>
      </c>
      <c r="D1902" t="n">
        <v>5</v>
      </c>
      <c r="E1902" t="inlineStr">
        <is>
          <t>Input</t>
        </is>
      </c>
      <c r="F1902" t="n">
        <v/>
      </c>
      <c r="G1902" t="n">
        <v>60.24</v>
      </c>
      <c r="H1902" t="inlineStr"/>
      <c r="I1902" t="inlineStr">
        <is>
          <t>General</t>
        </is>
      </c>
      <c r="J1902" t="b">
        <v>0</v>
      </c>
      <c r="K1902" t="b">
        <v>0</v>
      </c>
      <c r="L1902" t="n">
        <v>11</v>
      </c>
      <c r="M1902" t="inlineStr">
        <is>
          <t>Values must be of type &lt;class 'str'&gt;</t>
        </is>
      </c>
      <c r="N1902" t="inlineStr">
        <is>
          <t>00000000</t>
        </is>
      </c>
      <c r="O1902" t="n">
        <v/>
      </c>
      <c r="P1902" t="n">
        <v/>
      </c>
      <c r="R1902" t="b">
        <v>1</v>
      </c>
      <c r="S1902" t="n">
        <v/>
      </c>
      <c r="T1902" t="n">
        <v/>
      </c>
      <c r="U1902" t="n">
        <v/>
      </c>
      <c r="V1902" t="b">
        <v>0</v>
      </c>
      <c r="W1902" t="inlineStr"/>
      <c r="X1902" t="n">
        <v/>
      </c>
    </row>
    <row r="1903">
      <c r="A1903" t="inlineStr">
        <is>
          <t>ATF fuel</t>
        </is>
      </c>
      <c r="B1903" t="inlineStr">
        <is>
          <t>F198</t>
        </is>
      </c>
      <c r="C1903" t="n">
        <v>198</v>
      </c>
      <c r="D1903" t="n">
        <v>6</v>
      </c>
      <c r="E1903" t="inlineStr">
        <is>
          <t>Input</t>
        </is>
      </c>
      <c r="F1903" t="n">
        <v/>
      </c>
      <c r="G1903" t="inlineStr">
        <is>
          <t>June 01, 2015</t>
        </is>
      </c>
      <c r="H1903" t="inlineStr"/>
      <c r="I1903" t="inlineStr">
        <is>
          <t>General</t>
        </is>
      </c>
      <c r="J1903" t="b">
        <v>0</v>
      </c>
      <c r="K1903" t="b">
        <v>0</v>
      </c>
      <c r="L1903" t="n">
        <v>11</v>
      </c>
      <c r="M1903" t="inlineStr">
        <is>
          <t>Values must be of type &lt;class 'str'&gt;</t>
        </is>
      </c>
      <c r="N1903" t="inlineStr">
        <is>
          <t>00000000</t>
        </is>
      </c>
      <c r="O1903" t="inlineStr">
        <is>
          <t>left</t>
        </is>
      </c>
      <c r="P1903" t="n">
        <v/>
      </c>
      <c r="R1903" t="b">
        <v>1</v>
      </c>
      <c r="S1903" t="n">
        <v/>
      </c>
      <c r="T1903" t="n">
        <v/>
      </c>
      <c r="U1903" t="n">
        <v/>
      </c>
      <c r="V1903" t="b">
        <v>0</v>
      </c>
      <c r="W1903" t="inlineStr"/>
      <c r="X1903" t="n">
        <v/>
      </c>
    </row>
    <row r="1904">
      <c r="A1904" t="inlineStr">
        <is>
          <t>ATF fuel</t>
        </is>
      </c>
      <c r="B1904" t="inlineStr">
        <is>
          <t>G198</t>
        </is>
      </c>
      <c r="C1904" t="n">
        <v>198</v>
      </c>
      <c r="D1904" t="n">
        <v>7</v>
      </c>
      <c r="E1904" t="inlineStr">
        <is>
          <t>Calculation</t>
        </is>
      </c>
      <c r="F1904" t="inlineStr">
        <is>
          <t>'=(1+(C198/C197)-1)*G197</t>
        </is>
      </c>
      <c r="G1904" t="n">
        <v>129.4656027558841</v>
      </c>
      <c r="H1904" t="inlineStr"/>
      <c r="I1904" t="inlineStr">
        <is>
          <t>General</t>
        </is>
      </c>
      <c r="J1904" t="b">
        <v>0</v>
      </c>
      <c r="K1904" t="b">
        <v>0</v>
      </c>
      <c r="L1904" t="n">
        <v>11</v>
      </c>
      <c r="M1904" t="inlineStr">
        <is>
          <t>Values must be of type &lt;class 'str'&gt;</t>
        </is>
      </c>
      <c r="N1904" t="inlineStr">
        <is>
          <t>00000000</t>
        </is>
      </c>
      <c r="O1904" t="inlineStr">
        <is>
          <t>left</t>
        </is>
      </c>
      <c r="P1904" t="n">
        <v/>
      </c>
      <c r="R1904" t="b">
        <v>1</v>
      </c>
      <c r="S1904" t="inlineStr">
        <is>
          <t>G000357</t>
        </is>
      </c>
      <c r="T1904" t="inlineStr">
        <is>
          <t>Horizontal</t>
        </is>
      </c>
      <c r="U1904" t="n">
        <v>3</v>
      </c>
      <c r="V1904" t="b">
        <v>1</v>
      </c>
      <c r="W1904" t="inlineStr">
        <is>
          <t>ATF fuel!G198:I198</t>
        </is>
      </c>
      <c r="X1904">
        <f>(1+(R[0]C[-4]/R[-1]C[-4])-1)*R[-1]C[0]</f>
        <v/>
      </c>
    </row>
    <row r="1905">
      <c r="A1905" t="inlineStr">
        <is>
          <t>ATF fuel</t>
        </is>
      </c>
      <c r="B1905" t="inlineStr">
        <is>
          <t>H198</t>
        </is>
      </c>
      <c r="C1905" t="n">
        <v>198</v>
      </c>
      <c r="D1905" t="n">
        <v>8</v>
      </c>
      <c r="E1905" t="inlineStr">
        <is>
          <t>Calculation</t>
        </is>
      </c>
      <c r="F1905" t="inlineStr">
        <is>
          <t>'=(1+(D198/D197)-1)*H197</t>
        </is>
      </c>
      <c r="G1905" t="n">
        <v>73.04852958973746</v>
      </c>
      <c r="H1905" t="inlineStr"/>
      <c r="I1905" t="inlineStr">
        <is>
          <t>General</t>
        </is>
      </c>
      <c r="J1905" t="b">
        <v>0</v>
      </c>
      <c r="K1905" t="b">
        <v>0</v>
      </c>
      <c r="L1905" t="n">
        <v>11</v>
      </c>
      <c r="M1905" t="inlineStr">
        <is>
          <t>Values must be of type &lt;class 'str'&gt;</t>
        </is>
      </c>
      <c r="N1905" t="inlineStr">
        <is>
          <t>00000000</t>
        </is>
      </c>
      <c r="O1905" t="inlineStr">
        <is>
          <t>left</t>
        </is>
      </c>
      <c r="P1905" t="n">
        <v/>
      </c>
      <c r="R1905" t="b">
        <v>1</v>
      </c>
      <c r="S1905" t="inlineStr">
        <is>
          <t>G000357</t>
        </is>
      </c>
      <c r="T1905" t="inlineStr">
        <is>
          <t>Horizontal</t>
        </is>
      </c>
      <c r="U1905" t="n">
        <v>3</v>
      </c>
      <c r="V1905" t="b">
        <v>1</v>
      </c>
      <c r="W1905" t="inlineStr">
        <is>
          <t>ATF fuel!G198:I198</t>
        </is>
      </c>
      <c r="X1905">
        <f>(1+(R[0]C[-4]/R[-1]C[-4])-1)*R[-1]C[0]</f>
        <v/>
      </c>
    </row>
    <row r="1906">
      <c r="A1906" t="inlineStr">
        <is>
          <t>ATF fuel</t>
        </is>
      </c>
      <c r="B1906" t="inlineStr">
        <is>
          <t>I198</t>
        </is>
      </c>
      <c r="C1906" t="n">
        <v>198</v>
      </c>
      <c r="D1906" t="n">
        <v>9</v>
      </c>
      <c r="E1906" t="inlineStr">
        <is>
          <t>Calculation</t>
        </is>
      </c>
      <c r="F1906" t="inlineStr">
        <is>
          <t>'=(1+(E198/E197)-1)*I197</t>
        </is>
      </c>
      <c r="G1906" t="n">
        <v>71.26463977286171</v>
      </c>
      <c r="H1906" t="inlineStr"/>
      <c r="I1906" t="inlineStr">
        <is>
          <t>General</t>
        </is>
      </c>
      <c r="J1906" t="b">
        <v>0</v>
      </c>
      <c r="K1906" t="b">
        <v>0</v>
      </c>
      <c r="L1906" t="n">
        <v>11</v>
      </c>
      <c r="M1906" t="inlineStr">
        <is>
          <t>Values must be of type &lt;class 'str'&gt;</t>
        </is>
      </c>
      <c r="N1906" t="inlineStr">
        <is>
          <t>00000000</t>
        </is>
      </c>
      <c r="O1906" t="inlineStr">
        <is>
          <t>left</t>
        </is>
      </c>
      <c r="P1906" t="n">
        <v/>
      </c>
      <c r="R1906" t="b">
        <v>1</v>
      </c>
      <c r="S1906" t="inlineStr">
        <is>
          <t>G000357</t>
        </is>
      </c>
      <c r="T1906" t="inlineStr">
        <is>
          <t>Horizontal</t>
        </is>
      </c>
      <c r="U1906" t="n">
        <v>3</v>
      </c>
      <c r="V1906" t="b">
        <v>1</v>
      </c>
      <c r="W1906" t="inlineStr">
        <is>
          <t>ATF fuel!G198:I198</t>
        </is>
      </c>
      <c r="X1906">
        <f>(1+(R[0]C[-4]/R[-1]C[-4])-1)*R[-1]C[0]</f>
        <v/>
      </c>
    </row>
    <row r="1907">
      <c r="A1907" t="inlineStr">
        <is>
          <t>ATF fuel</t>
        </is>
      </c>
      <c r="B1907" t="inlineStr">
        <is>
          <t>J198</t>
        </is>
      </c>
      <c r="C1907" t="n">
        <v>198</v>
      </c>
      <c r="D1907" t="n">
        <v>10</v>
      </c>
      <c r="E1907" t="inlineStr">
        <is>
          <t>Output</t>
        </is>
      </c>
      <c r="F1907" t="inlineStr">
        <is>
          <t>'=G198/H198-1</t>
        </is>
      </c>
      <c r="G1907" t="n">
        <v>0.7723231868321232</v>
      </c>
      <c r="H1907" t="inlineStr"/>
      <c r="I1907" t="inlineStr">
        <is>
          <t>0.0%</t>
        </is>
      </c>
      <c r="J1907" t="b">
        <v>0</v>
      </c>
      <c r="K1907" t="b">
        <v>0</v>
      </c>
      <c r="L1907" t="n">
        <v>11</v>
      </c>
      <c r="M1907" t="inlineStr">
        <is>
          <t>Values must be of type &lt;class 'str'&gt;</t>
        </is>
      </c>
      <c r="N1907" t="inlineStr">
        <is>
          <t>00000000</t>
        </is>
      </c>
      <c r="O1907" t="n">
        <v/>
      </c>
      <c r="P1907" t="n">
        <v/>
      </c>
      <c r="R1907" t="b">
        <v>1</v>
      </c>
      <c r="S1907" t="inlineStr">
        <is>
          <t>G000295</t>
        </is>
      </c>
      <c r="T1907" t="inlineStr">
        <is>
          <t>Vertical</t>
        </is>
      </c>
      <c r="U1907" t="n">
        <v>93</v>
      </c>
      <c r="V1907" t="b">
        <v>1</v>
      </c>
      <c r="W1907" t="inlineStr">
        <is>
          <t>ATF fuel!J136:J228</t>
        </is>
      </c>
      <c r="X1907">
        <f>R[0]C[-3]/R[0]C[-2]-1</f>
        <v/>
      </c>
    </row>
    <row r="1908">
      <c r="A1908" t="inlineStr">
        <is>
          <t>ATF fuel</t>
        </is>
      </c>
      <c r="B1908" t="inlineStr">
        <is>
          <t>B199</t>
        </is>
      </c>
      <c r="C1908" t="n">
        <v>199</v>
      </c>
      <c r="D1908" t="n">
        <v>2</v>
      </c>
      <c r="E1908" t="inlineStr">
        <is>
          <t>Input</t>
        </is>
      </c>
      <c r="F1908" t="n">
        <v/>
      </c>
      <c r="G1908" t="inlineStr">
        <is>
          <t>July 01, 2015</t>
        </is>
      </c>
      <c r="H1908" t="inlineStr"/>
      <c r="I1908" t="inlineStr">
        <is>
          <t>General</t>
        </is>
      </c>
      <c r="J1908" t="b">
        <v>0</v>
      </c>
      <c r="K1908" t="b">
        <v>0</v>
      </c>
      <c r="L1908" t="n">
        <v>11</v>
      </c>
      <c r="M1908" t="inlineStr">
        <is>
          <t>Values must be of type &lt;class 'str'&gt;</t>
        </is>
      </c>
      <c r="N1908" t="inlineStr">
        <is>
          <t>00000000</t>
        </is>
      </c>
      <c r="O1908" t="n">
        <v/>
      </c>
      <c r="P1908" t="n">
        <v/>
      </c>
      <c r="R1908" t="b">
        <v>1</v>
      </c>
      <c r="S1908" t="n">
        <v/>
      </c>
      <c r="T1908" t="n">
        <v/>
      </c>
      <c r="U1908" t="n">
        <v/>
      </c>
      <c r="V1908" t="b">
        <v>0</v>
      </c>
      <c r="W1908" t="inlineStr"/>
      <c r="X1908" t="n">
        <v/>
      </c>
    </row>
    <row r="1909">
      <c r="A1909" t="inlineStr">
        <is>
          <t>ATF fuel</t>
        </is>
      </c>
      <c r="B1909" t="inlineStr">
        <is>
          <t>C199</t>
        </is>
      </c>
      <c r="C1909" t="n">
        <v>199</v>
      </c>
      <c r="D1909" t="n">
        <v>3</v>
      </c>
      <c r="E1909" t="inlineStr">
        <is>
          <t>Input</t>
        </is>
      </c>
      <c r="F1909" t="n">
        <v/>
      </c>
      <c r="G1909" t="n">
        <v>55291.01</v>
      </c>
      <c r="H1909" t="inlineStr"/>
      <c r="I1909" t="inlineStr">
        <is>
          <t>General</t>
        </is>
      </c>
      <c r="J1909" t="b">
        <v>0</v>
      </c>
      <c r="K1909" t="b">
        <v>0</v>
      </c>
      <c r="L1909" t="n">
        <v>11</v>
      </c>
      <c r="M1909" t="inlineStr">
        <is>
          <t>Values must be of type &lt;class 'str'&gt;</t>
        </is>
      </c>
      <c r="N1909" t="inlineStr">
        <is>
          <t>00000000</t>
        </is>
      </c>
      <c r="O1909" t="n">
        <v/>
      </c>
      <c r="P1909" t="n">
        <v/>
      </c>
      <c r="R1909" t="b">
        <v>1</v>
      </c>
      <c r="S1909" t="n">
        <v/>
      </c>
      <c r="T1909" t="n">
        <v/>
      </c>
      <c r="U1909" t="n">
        <v/>
      </c>
      <c r="V1909" t="b">
        <v>0</v>
      </c>
      <c r="W1909" t="inlineStr"/>
      <c r="X1909" t="n">
        <v/>
      </c>
    </row>
    <row r="1910">
      <c r="A1910" t="inlineStr">
        <is>
          <t>ATF fuel</t>
        </is>
      </c>
      <c r="B1910" t="inlineStr">
        <is>
          <t>D199</t>
        </is>
      </c>
      <c r="C1910" t="n">
        <v>199</v>
      </c>
      <c r="D1910" t="n">
        <v>4</v>
      </c>
      <c r="E1910" t="inlineStr">
        <is>
          <t>Input</t>
        </is>
      </c>
      <c r="F1910" t="n">
        <v/>
      </c>
      <c r="G1910" t="n">
        <v>54.72</v>
      </c>
      <c r="H1910" t="inlineStr"/>
      <c r="I1910" t="inlineStr">
        <is>
          <t>General</t>
        </is>
      </c>
      <c r="J1910" t="b">
        <v>0</v>
      </c>
      <c r="K1910" t="b">
        <v>0</v>
      </c>
      <c r="L1910" t="n">
        <v>11</v>
      </c>
      <c r="M1910" t="inlineStr">
        <is>
          <t>Values must be of type &lt;class 'str'&gt;</t>
        </is>
      </c>
      <c r="N1910" t="inlineStr">
        <is>
          <t>00000000</t>
        </is>
      </c>
      <c r="O1910" t="n">
        <v/>
      </c>
      <c r="P1910" t="n">
        <v/>
      </c>
      <c r="R1910" t="b">
        <v>1</v>
      </c>
      <c r="S1910" t="n">
        <v/>
      </c>
      <c r="T1910" t="n">
        <v/>
      </c>
      <c r="U1910" t="n">
        <v/>
      </c>
      <c r="V1910" t="b">
        <v>0</v>
      </c>
      <c r="W1910" t="inlineStr"/>
      <c r="X1910" t="n">
        <v/>
      </c>
    </row>
    <row r="1911">
      <c r="A1911" t="inlineStr">
        <is>
          <t>ATF fuel</t>
        </is>
      </c>
      <c r="B1911" t="inlineStr">
        <is>
          <t>E199</t>
        </is>
      </c>
      <c r="C1911" t="n">
        <v>199</v>
      </c>
      <c r="D1911" t="n">
        <v>5</v>
      </c>
      <c r="E1911" t="inlineStr">
        <is>
          <t>Input</t>
        </is>
      </c>
      <c r="F1911" t="n">
        <v/>
      </c>
      <c r="G1911" t="n">
        <v>56.94</v>
      </c>
      <c r="H1911" t="inlineStr"/>
      <c r="I1911" t="inlineStr">
        <is>
          <t>General</t>
        </is>
      </c>
      <c r="J1911" t="b">
        <v>0</v>
      </c>
      <c r="K1911" t="b">
        <v>0</v>
      </c>
      <c r="L1911" t="n">
        <v>11</v>
      </c>
      <c r="M1911" t="inlineStr">
        <is>
          <t>Values must be of type &lt;class 'str'&gt;</t>
        </is>
      </c>
      <c r="N1911" t="inlineStr">
        <is>
          <t>00000000</t>
        </is>
      </c>
      <c r="O1911" t="n">
        <v/>
      </c>
      <c r="P1911" t="n">
        <v/>
      </c>
      <c r="R1911" t="b">
        <v>1</v>
      </c>
      <c r="S1911" t="n">
        <v/>
      </c>
      <c r="T1911" t="n">
        <v/>
      </c>
      <c r="U1911" t="n">
        <v/>
      </c>
      <c r="V1911" t="b">
        <v>0</v>
      </c>
      <c r="W1911" t="inlineStr"/>
      <c r="X1911" t="n">
        <v/>
      </c>
    </row>
    <row r="1912">
      <c r="A1912" t="inlineStr">
        <is>
          <t>ATF fuel</t>
        </is>
      </c>
      <c r="B1912" t="inlineStr">
        <is>
          <t>F199</t>
        </is>
      </c>
      <c r="C1912" t="n">
        <v>199</v>
      </c>
      <c r="D1912" t="n">
        <v>6</v>
      </c>
      <c r="E1912" t="inlineStr">
        <is>
          <t>Input</t>
        </is>
      </c>
      <c r="F1912" t="n">
        <v/>
      </c>
      <c r="G1912" t="inlineStr">
        <is>
          <t>July 01, 2015</t>
        </is>
      </c>
      <c r="H1912" t="inlineStr"/>
      <c r="I1912" t="inlineStr">
        <is>
          <t>General</t>
        </is>
      </c>
      <c r="J1912" t="b">
        <v>0</v>
      </c>
      <c r="K1912" t="b">
        <v>0</v>
      </c>
      <c r="L1912" t="n">
        <v>11</v>
      </c>
      <c r="M1912" t="inlineStr">
        <is>
          <t>Values must be of type &lt;class 'str'&gt;</t>
        </is>
      </c>
      <c r="N1912" t="inlineStr">
        <is>
          <t>00000000</t>
        </is>
      </c>
      <c r="O1912" t="inlineStr">
        <is>
          <t>left</t>
        </is>
      </c>
      <c r="P1912" t="n">
        <v/>
      </c>
      <c r="R1912" t="b">
        <v>1</v>
      </c>
      <c r="S1912" t="n">
        <v/>
      </c>
      <c r="T1912" t="n">
        <v/>
      </c>
      <c r="U1912" t="n">
        <v/>
      </c>
      <c r="V1912" t="b">
        <v>0</v>
      </c>
      <c r="W1912" t="inlineStr"/>
      <c r="X1912" t="n">
        <v/>
      </c>
    </row>
    <row r="1913">
      <c r="A1913" t="inlineStr">
        <is>
          <t>ATF fuel</t>
        </is>
      </c>
      <c r="B1913" t="inlineStr">
        <is>
          <t>G199</t>
        </is>
      </c>
      <c r="C1913" t="n">
        <v>199</v>
      </c>
      <c r="D1913" t="n">
        <v>7</v>
      </c>
      <c r="E1913" t="inlineStr">
        <is>
          <t>Calculation</t>
        </is>
      </c>
      <c r="F1913" t="inlineStr">
        <is>
          <t>'=(1+(C199/C198)-1)*G198</t>
        </is>
      </c>
      <c r="G1913" t="n">
        <v>124.6365271113586</v>
      </c>
      <c r="H1913" t="inlineStr"/>
      <c r="I1913" t="inlineStr">
        <is>
          <t>General</t>
        </is>
      </c>
      <c r="J1913" t="b">
        <v>0</v>
      </c>
      <c r="K1913" t="b">
        <v>0</v>
      </c>
      <c r="L1913" t="n">
        <v>11</v>
      </c>
      <c r="M1913" t="inlineStr">
        <is>
          <t>Values must be of type &lt;class 'str'&gt;</t>
        </is>
      </c>
      <c r="N1913" t="inlineStr">
        <is>
          <t>00000000</t>
        </is>
      </c>
      <c r="O1913" t="inlineStr">
        <is>
          <t>left</t>
        </is>
      </c>
      <c r="P1913" t="n">
        <v/>
      </c>
      <c r="R1913" t="b">
        <v>1</v>
      </c>
      <c r="S1913" t="inlineStr">
        <is>
          <t>G000358</t>
        </is>
      </c>
      <c r="T1913" t="inlineStr">
        <is>
          <t>Horizontal</t>
        </is>
      </c>
      <c r="U1913" t="n">
        <v>3</v>
      </c>
      <c r="V1913" t="b">
        <v>1</v>
      </c>
      <c r="W1913" t="inlineStr">
        <is>
          <t>ATF fuel!G199:I199</t>
        </is>
      </c>
      <c r="X1913">
        <f>(1+(R[0]C[-4]/R[-1]C[-4])-1)*R[-1]C[0]</f>
        <v/>
      </c>
    </row>
    <row r="1914">
      <c r="A1914" t="inlineStr">
        <is>
          <t>ATF fuel</t>
        </is>
      </c>
      <c r="B1914" t="inlineStr">
        <is>
          <t>H199</t>
        </is>
      </c>
      <c r="C1914" t="n">
        <v>199</v>
      </c>
      <c r="D1914" t="n">
        <v>8</v>
      </c>
      <c r="E1914" t="inlineStr">
        <is>
          <t>Calculation</t>
        </is>
      </c>
      <c r="F1914" t="inlineStr">
        <is>
          <t>'=(1+(D199/D198)-1)*H198</t>
        </is>
      </c>
      <c r="G1914" t="n">
        <v>66.22292145709797</v>
      </c>
      <c r="H1914" t="inlineStr"/>
      <c r="I1914" t="inlineStr">
        <is>
          <t>General</t>
        </is>
      </c>
      <c r="J1914" t="b">
        <v>0</v>
      </c>
      <c r="K1914" t="b">
        <v>0</v>
      </c>
      <c r="L1914" t="n">
        <v>11</v>
      </c>
      <c r="M1914" t="inlineStr">
        <is>
          <t>Values must be of type &lt;class 'str'&gt;</t>
        </is>
      </c>
      <c r="N1914" t="inlineStr">
        <is>
          <t>00000000</t>
        </is>
      </c>
      <c r="O1914" t="inlineStr">
        <is>
          <t>left</t>
        </is>
      </c>
      <c r="P1914" t="n">
        <v/>
      </c>
      <c r="R1914" t="b">
        <v>1</v>
      </c>
      <c r="S1914" t="inlineStr">
        <is>
          <t>G000358</t>
        </is>
      </c>
      <c r="T1914" t="inlineStr">
        <is>
          <t>Horizontal</t>
        </is>
      </c>
      <c r="U1914" t="n">
        <v>3</v>
      </c>
      <c r="V1914" t="b">
        <v>1</v>
      </c>
      <c r="W1914" t="inlineStr">
        <is>
          <t>ATF fuel!G199:I199</t>
        </is>
      </c>
      <c r="X1914">
        <f>(1+(R[0]C[-4]/R[-1]C[-4])-1)*R[-1]C[0]</f>
        <v/>
      </c>
    </row>
    <row r="1915">
      <c r="A1915" t="inlineStr">
        <is>
          <t>ATF fuel</t>
        </is>
      </c>
      <c r="B1915" t="inlineStr">
        <is>
          <t>I199</t>
        </is>
      </c>
      <c r="C1915" t="n">
        <v>199</v>
      </c>
      <c r="D1915" t="n">
        <v>9</v>
      </c>
      <c r="E1915" t="inlineStr">
        <is>
          <t>Calculation</t>
        </is>
      </c>
      <c r="F1915" t="inlineStr">
        <is>
          <t>'=(1+(E199/E198)-1)*I198</t>
        </is>
      </c>
      <c r="G1915" t="n">
        <v>67.36070034307346</v>
      </c>
      <c r="H1915" t="inlineStr"/>
      <c r="I1915" t="inlineStr">
        <is>
          <t>General</t>
        </is>
      </c>
      <c r="J1915" t="b">
        <v>0</v>
      </c>
      <c r="K1915" t="b">
        <v>0</v>
      </c>
      <c r="L1915" t="n">
        <v>11</v>
      </c>
      <c r="M1915" t="inlineStr">
        <is>
          <t>Values must be of type &lt;class 'str'&gt;</t>
        </is>
      </c>
      <c r="N1915" t="inlineStr">
        <is>
          <t>00000000</t>
        </is>
      </c>
      <c r="O1915" t="inlineStr">
        <is>
          <t>left</t>
        </is>
      </c>
      <c r="P1915" t="n">
        <v/>
      </c>
      <c r="R1915" t="b">
        <v>1</v>
      </c>
      <c r="S1915" t="inlineStr">
        <is>
          <t>G000358</t>
        </is>
      </c>
      <c r="T1915" t="inlineStr">
        <is>
          <t>Horizontal</t>
        </is>
      </c>
      <c r="U1915" t="n">
        <v>3</v>
      </c>
      <c r="V1915" t="b">
        <v>1</v>
      </c>
      <c r="W1915" t="inlineStr">
        <is>
          <t>ATF fuel!G199:I199</t>
        </is>
      </c>
      <c r="X1915">
        <f>(1+(R[0]C[-4]/R[-1]C[-4])-1)*R[-1]C[0]</f>
        <v/>
      </c>
    </row>
    <row r="1916">
      <c r="A1916" t="inlineStr">
        <is>
          <t>ATF fuel</t>
        </is>
      </c>
      <c r="B1916" t="inlineStr">
        <is>
          <t>J199</t>
        </is>
      </c>
      <c r="C1916" t="n">
        <v>199</v>
      </c>
      <c r="D1916" t="n">
        <v>10</v>
      </c>
      <c r="E1916" t="inlineStr">
        <is>
          <t>Output</t>
        </is>
      </c>
      <c r="F1916" t="inlineStr">
        <is>
          <t>'=G199/H199-1</t>
        </is>
      </c>
      <c r="G1916" t="n">
        <v>0.8820753353822286</v>
      </c>
      <c r="H1916" t="inlineStr"/>
      <c r="I1916" t="inlineStr">
        <is>
          <t>0.0%</t>
        </is>
      </c>
      <c r="J1916" t="b">
        <v>0</v>
      </c>
      <c r="K1916" t="b">
        <v>0</v>
      </c>
      <c r="L1916" t="n">
        <v>11</v>
      </c>
      <c r="M1916" t="inlineStr">
        <is>
          <t>Values must be of type &lt;class 'str'&gt;</t>
        </is>
      </c>
      <c r="N1916" t="inlineStr">
        <is>
          <t>00000000</t>
        </is>
      </c>
      <c r="O1916" t="n">
        <v/>
      </c>
      <c r="P1916" t="n">
        <v/>
      </c>
      <c r="R1916" t="b">
        <v>1</v>
      </c>
      <c r="S1916" t="inlineStr">
        <is>
          <t>G000295</t>
        </is>
      </c>
      <c r="T1916" t="inlineStr">
        <is>
          <t>Vertical</t>
        </is>
      </c>
      <c r="U1916" t="n">
        <v>93</v>
      </c>
      <c r="V1916" t="b">
        <v>1</v>
      </c>
      <c r="W1916" t="inlineStr">
        <is>
          <t>ATF fuel!J136:J228</t>
        </is>
      </c>
      <c r="X1916">
        <f>R[0]C[-3]/R[0]C[-2]-1</f>
        <v/>
      </c>
    </row>
    <row r="1917">
      <c r="A1917" t="inlineStr">
        <is>
          <t>ATF fuel</t>
        </is>
      </c>
      <c r="B1917" t="inlineStr">
        <is>
          <t>B200</t>
        </is>
      </c>
      <c r="C1917" t="n">
        <v>200</v>
      </c>
      <c r="D1917" t="n">
        <v>2</v>
      </c>
      <c r="E1917" t="inlineStr">
        <is>
          <t>Input</t>
        </is>
      </c>
      <c r="F1917" t="n">
        <v/>
      </c>
      <c r="G1917" t="inlineStr">
        <is>
          <t>August 01, 2015</t>
        </is>
      </c>
      <c r="H1917" t="inlineStr"/>
      <c r="I1917" t="inlineStr">
        <is>
          <t>General</t>
        </is>
      </c>
      <c r="J1917" t="b">
        <v>0</v>
      </c>
      <c r="K1917" t="b">
        <v>0</v>
      </c>
      <c r="L1917" t="n">
        <v>11</v>
      </c>
      <c r="M1917" t="inlineStr">
        <is>
          <t>Values must be of type &lt;class 'str'&gt;</t>
        </is>
      </c>
      <c r="N1917" t="inlineStr">
        <is>
          <t>00000000</t>
        </is>
      </c>
      <c r="O1917" t="n">
        <v/>
      </c>
      <c r="P1917" t="n">
        <v/>
      </c>
      <c r="R1917" t="b">
        <v>1</v>
      </c>
      <c r="S1917" t="n">
        <v/>
      </c>
      <c r="T1917" t="n">
        <v/>
      </c>
      <c r="U1917" t="n">
        <v/>
      </c>
      <c r="V1917" t="b">
        <v>0</v>
      </c>
      <c r="W1917" t="inlineStr"/>
      <c r="X1917" t="n">
        <v/>
      </c>
    </row>
    <row r="1918">
      <c r="A1918" t="inlineStr">
        <is>
          <t>ATF fuel</t>
        </is>
      </c>
      <c r="B1918" t="inlineStr">
        <is>
          <t>C200</t>
        </is>
      </c>
      <c r="C1918" t="n">
        <v>200</v>
      </c>
      <c r="D1918" t="n">
        <v>3</v>
      </c>
      <c r="E1918" t="inlineStr">
        <is>
          <t>Input</t>
        </is>
      </c>
      <c r="F1918" t="n">
        <v/>
      </c>
      <c r="G1918" t="n">
        <v>50204.425</v>
      </c>
      <c r="H1918" t="inlineStr"/>
      <c r="I1918" t="inlineStr">
        <is>
          <t>General</t>
        </is>
      </c>
      <c r="J1918" t="b">
        <v>0</v>
      </c>
      <c r="K1918" t="b">
        <v>0</v>
      </c>
      <c r="L1918" t="n">
        <v>11</v>
      </c>
      <c r="M1918" t="inlineStr">
        <is>
          <t>Values must be of type &lt;class 'str'&gt;</t>
        </is>
      </c>
      <c r="N1918" t="inlineStr">
        <is>
          <t>00000000</t>
        </is>
      </c>
      <c r="O1918" t="n">
        <v/>
      </c>
      <c r="P1918" t="n">
        <v/>
      </c>
      <c r="R1918" t="b">
        <v>1</v>
      </c>
      <c r="S1918" t="n">
        <v/>
      </c>
      <c r="T1918" t="n">
        <v/>
      </c>
      <c r="U1918" t="n">
        <v/>
      </c>
      <c r="V1918" t="b">
        <v>0</v>
      </c>
      <c r="W1918" t="inlineStr"/>
      <c r="X1918" t="n">
        <v/>
      </c>
    </row>
    <row r="1919">
      <c r="A1919" t="inlineStr">
        <is>
          <t>ATF fuel</t>
        </is>
      </c>
      <c r="B1919" t="inlineStr">
        <is>
          <t>D200</t>
        </is>
      </c>
      <c r="C1919" t="n">
        <v>200</v>
      </c>
      <c r="D1919" t="n">
        <v>4</v>
      </c>
      <c r="E1919" t="inlineStr">
        <is>
          <t>Input</t>
        </is>
      </c>
      <c r="F1919" t="n">
        <v/>
      </c>
      <c r="G1919" t="n">
        <v>47.54</v>
      </c>
      <c r="H1919" t="inlineStr"/>
      <c r="I1919" t="inlineStr">
        <is>
          <t>General</t>
        </is>
      </c>
      <c r="J1919" t="b">
        <v>0</v>
      </c>
      <c r="K1919" t="b">
        <v>0</v>
      </c>
      <c r="L1919" t="n">
        <v>11</v>
      </c>
      <c r="M1919" t="inlineStr">
        <is>
          <t>Values must be of type &lt;class 'str'&gt;</t>
        </is>
      </c>
      <c r="N1919" t="inlineStr">
        <is>
          <t>00000000</t>
        </is>
      </c>
      <c r="O1919" t="n">
        <v/>
      </c>
      <c r="P1919" t="n">
        <v/>
      </c>
      <c r="R1919" t="b">
        <v>1</v>
      </c>
      <c r="S1919" t="n">
        <v/>
      </c>
      <c r="T1919" t="n">
        <v/>
      </c>
      <c r="U1919" t="n">
        <v/>
      </c>
      <c r="V1919" t="b">
        <v>0</v>
      </c>
      <c r="W1919" t="inlineStr"/>
      <c r="X1919" t="n">
        <v/>
      </c>
    </row>
    <row r="1920">
      <c r="A1920" t="inlineStr">
        <is>
          <t>ATF fuel</t>
        </is>
      </c>
      <c r="B1920" t="inlineStr">
        <is>
          <t>E200</t>
        </is>
      </c>
      <c r="C1920" t="n">
        <v>200</v>
      </c>
      <c r="D1920" t="n">
        <v>5</v>
      </c>
      <c r="E1920" t="inlineStr">
        <is>
          <t>Input</t>
        </is>
      </c>
      <c r="F1920" t="n">
        <v/>
      </c>
      <c r="G1920" t="n">
        <v>45.25</v>
      </c>
      <c r="H1920" t="inlineStr"/>
      <c r="I1920" t="inlineStr">
        <is>
          <t>General</t>
        </is>
      </c>
      <c r="J1920" t="b">
        <v>0</v>
      </c>
      <c r="K1920" t="b">
        <v>0</v>
      </c>
      <c r="L1920" t="n">
        <v>11</v>
      </c>
      <c r="M1920" t="inlineStr">
        <is>
          <t>Values must be of type &lt;class 'str'&gt;</t>
        </is>
      </c>
      <c r="N1920" t="inlineStr">
        <is>
          <t>00000000</t>
        </is>
      </c>
      <c r="O1920" t="n">
        <v/>
      </c>
      <c r="P1920" t="n">
        <v/>
      </c>
      <c r="R1920" t="b">
        <v>1</v>
      </c>
      <c r="S1920" t="n">
        <v/>
      </c>
      <c r="T1920" t="n">
        <v/>
      </c>
      <c r="U1920" t="n">
        <v/>
      </c>
      <c r="V1920" t="b">
        <v>0</v>
      </c>
      <c r="W1920" t="inlineStr"/>
      <c r="X1920" t="n">
        <v/>
      </c>
    </row>
    <row r="1921">
      <c r="A1921" t="inlineStr">
        <is>
          <t>ATF fuel</t>
        </is>
      </c>
      <c r="B1921" t="inlineStr">
        <is>
          <t>F200</t>
        </is>
      </c>
      <c r="C1921" t="n">
        <v>200</v>
      </c>
      <c r="D1921" t="n">
        <v>6</v>
      </c>
      <c r="E1921" t="inlineStr">
        <is>
          <t>Input</t>
        </is>
      </c>
      <c r="F1921" t="n">
        <v/>
      </c>
      <c r="G1921" t="inlineStr">
        <is>
          <t>August 01, 2015</t>
        </is>
      </c>
      <c r="H1921" t="inlineStr"/>
      <c r="I1921" t="inlineStr">
        <is>
          <t>General</t>
        </is>
      </c>
      <c r="J1921" t="b">
        <v>0</v>
      </c>
      <c r="K1921" t="b">
        <v>0</v>
      </c>
      <c r="L1921" t="n">
        <v>11</v>
      </c>
      <c r="M1921" t="inlineStr">
        <is>
          <t>Values must be of type &lt;class 'str'&gt;</t>
        </is>
      </c>
      <c r="N1921" t="inlineStr">
        <is>
          <t>00000000</t>
        </is>
      </c>
      <c r="O1921" t="inlineStr">
        <is>
          <t>left</t>
        </is>
      </c>
      <c r="P1921" t="n">
        <v/>
      </c>
      <c r="R1921" t="b">
        <v>1</v>
      </c>
      <c r="S1921" t="n">
        <v/>
      </c>
      <c r="T1921" t="n">
        <v/>
      </c>
      <c r="U1921" t="n">
        <v/>
      </c>
      <c r="V1921" t="b">
        <v>0</v>
      </c>
      <c r="W1921" t="inlineStr"/>
      <c r="X1921" t="n">
        <v/>
      </c>
    </row>
    <row r="1922">
      <c r="A1922" t="inlineStr">
        <is>
          <t>ATF fuel</t>
        </is>
      </c>
      <c r="B1922" t="inlineStr">
        <is>
          <t>G200</t>
        </is>
      </c>
      <c r="C1922" t="n">
        <v>200</v>
      </c>
      <c r="D1922" t="n">
        <v>7</v>
      </c>
      <c r="E1922" t="inlineStr">
        <is>
          <t>Calculation</t>
        </is>
      </c>
      <c r="F1922" t="inlineStr">
        <is>
          <t>'=(1+(C200/C199)-1)*G199</t>
        </is>
      </c>
      <c r="G1922" t="n">
        <v>113.1703902247883</v>
      </c>
      <c r="H1922" t="inlineStr"/>
      <c r="I1922" t="inlineStr">
        <is>
          <t>General</t>
        </is>
      </c>
      <c r="J1922" t="b">
        <v>0</v>
      </c>
      <c r="K1922" t="b">
        <v>0</v>
      </c>
      <c r="L1922" t="n">
        <v>11</v>
      </c>
      <c r="M1922" t="inlineStr">
        <is>
          <t>Values must be of type &lt;class 'str'&gt;</t>
        </is>
      </c>
      <c r="N1922" t="inlineStr">
        <is>
          <t>00000000</t>
        </is>
      </c>
      <c r="O1922" t="inlineStr">
        <is>
          <t>left</t>
        </is>
      </c>
      <c r="P1922" t="n">
        <v/>
      </c>
      <c r="R1922" t="b">
        <v>1</v>
      </c>
      <c r="S1922" t="inlineStr">
        <is>
          <t>G000359</t>
        </is>
      </c>
      <c r="T1922" t="inlineStr">
        <is>
          <t>Horizontal</t>
        </is>
      </c>
      <c r="U1922" t="n">
        <v>3</v>
      </c>
      <c r="V1922" t="b">
        <v>1</v>
      </c>
      <c r="W1922" t="inlineStr">
        <is>
          <t>ATF fuel!G200:I200</t>
        </is>
      </c>
      <c r="X1922">
        <f>(1+(R[0]C[-4]/R[-1]C[-4])-1)*R[-1]C[0]</f>
        <v/>
      </c>
    </row>
    <row r="1923">
      <c r="A1923" t="inlineStr">
        <is>
          <t>ATF fuel</t>
        </is>
      </c>
      <c r="B1923" t="inlineStr">
        <is>
          <t>H200</t>
        </is>
      </c>
      <c r="C1923" t="n">
        <v>200</v>
      </c>
      <c r="D1923" t="n">
        <v>8</v>
      </c>
      <c r="E1923" t="inlineStr">
        <is>
          <t>Calculation</t>
        </is>
      </c>
      <c r="F1923" t="inlineStr">
        <is>
          <t>'=(1+(D200/D199)-1)*H199</t>
        </is>
      </c>
      <c r="G1923" t="n">
        <v>57.53358344426969</v>
      </c>
      <c r="H1923" t="inlineStr"/>
      <c r="I1923" t="inlineStr">
        <is>
          <t>General</t>
        </is>
      </c>
      <c r="J1923" t="b">
        <v>0</v>
      </c>
      <c r="K1923" t="b">
        <v>0</v>
      </c>
      <c r="L1923" t="n">
        <v>11</v>
      </c>
      <c r="M1923" t="inlineStr">
        <is>
          <t>Values must be of type &lt;class 'str'&gt;</t>
        </is>
      </c>
      <c r="N1923" t="inlineStr">
        <is>
          <t>00000000</t>
        </is>
      </c>
      <c r="O1923" t="inlineStr">
        <is>
          <t>left</t>
        </is>
      </c>
      <c r="P1923" t="n">
        <v/>
      </c>
      <c r="R1923" t="b">
        <v>1</v>
      </c>
      <c r="S1923" t="inlineStr">
        <is>
          <t>G000359</t>
        </is>
      </c>
      <c r="T1923" t="inlineStr">
        <is>
          <t>Horizontal</t>
        </is>
      </c>
      <c r="U1923" t="n">
        <v>3</v>
      </c>
      <c r="V1923" t="b">
        <v>1</v>
      </c>
      <c r="W1923" t="inlineStr">
        <is>
          <t>ATF fuel!G200:I200</t>
        </is>
      </c>
      <c r="X1923">
        <f>(1+(R[0]C[-4]/R[-1]C[-4])-1)*R[-1]C[0]</f>
        <v/>
      </c>
    </row>
    <row r="1924">
      <c r="A1924" t="inlineStr">
        <is>
          <t>ATF fuel</t>
        </is>
      </c>
      <c r="B1924" t="inlineStr">
        <is>
          <t>I200</t>
        </is>
      </c>
      <c r="C1924" t="n">
        <v>200</v>
      </c>
      <c r="D1924" t="n">
        <v>9</v>
      </c>
      <c r="E1924" t="inlineStr">
        <is>
          <t>Calculation</t>
        </is>
      </c>
      <c r="F1924" t="inlineStr">
        <is>
          <t>'=(1+(E200/E199)-1)*I199</t>
        </is>
      </c>
      <c r="G1924" t="n">
        <v>53.53129066603574</v>
      </c>
      <c r="H1924" t="inlineStr"/>
      <c r="I1924" t="inlineStr">
        <is>
          <t>General</t>
        </is>
      </c>
      <c r="J1924" t="b">
        <v>0</v>
      </c>
      <c r="K1924" t="b">
        <v>0</v>
      </c>
      <c r="L1924" t="n">
        <v>11</v>
      </c>
      <c r="M1924" t="inlineStr">
        <is>
          <t>Values must be of type &lt;class 'str'&gt;</t>
        </is>
      </c>
      <c r="N1924" t="inlineStr">
        <is>
          <t>00000000</t>
        </is>
      </c>
      <c r="O1924" t="inlineStr">
        <is>
          <t>left</t>
        </is>
      </c>
      <c r="P1924" t="n">
        <v/>
      </c>
      <c r="R1924" t="b">
        <v>1</v>
      </c>
      <c r="S1924" t="inlineStr">
        <is>
          <t>G000359</t>
        </is>
      </c>
      <c r="T1924" t="inlineStr">
        <is>
          <t>Horizontal</t>
        </is>
      </c>
      <c r="U1924" t="n">
        <v>3</v>
      </c>
      <c r="V1924" t="b">
        <v>1</v>
      </c>
      <c r="W1924" t="inlineStr">
        <is>
          <t>ATF fuel!G200:I200</t>
        </is>
      </c>
      <c r="X1924">
        <f>(1+(R[0]C[-4]/R[-1]C[-4])-1)*R[-1]C[0]</f>
        <v/>
      </c>
    </row>
    <row r="1925">
      <c r="A1925" t="inlineStr">
        <is>
          <t>ATF fuel</t>
        </is>
      </c>
      <c r="B1925" t="inlineStr">
        <is>
          <t>J200</t>
        </is>
      </c>
      <c r="C1925" t="n">
        <v>200</v>
      </c>
      <c r="D1925" t="n">
        <v>10</v>
      </c>
      <c r="E1925" t="inlineStr">
        <is>
          <t>Output</t>
        </is>
      </c>
      <c r="F1925" t="inlineStr">
        <is>
          <t>'=G200/H200-1</t>
        </is>
      </c>
      <c r="G1925" t="n">
        <v>0.9670318351439311</v>
      </c>
      <c r="H1925" t="inlineStr"/>
      <c r="I1925" t="inlineStr">
        <is>
          <t>0.0%</t>
        </is>
      </c>
      <c r="J1925" t="b">
        <v>0</v>
      </c>
      <c r="K1925" t="b">
        <v>0</v>
      </c>
      <c r="L1925" t="n">
        <v>11</v>
      </c>
      <c r="M1925" t="inlineStr">
        <is>
          <t>Values must be of type &lt;class 'str'&gt;</t>
        </is>
      </c>
      <c r="N1925" t="inlineStr">
        <is>
          <t>00000000</t>
        </is>
      </c>
      <c r="O1925" t="n">
        <v/>
      </c>
      <c r="P1925" t="n">
        <v/>
      </c>
      <c r="R1925" t="b">
        <v>1</v>
      </c>
      <c r="S1925" t="inlineStr">
        <is>
          <t>G000295</t>
        </is>
      </c>
      <c r="T1925" t="inlineStr">
        <is>
          <t>Vertical</t>
        </is>
      </c>
      <c r="U1925" t="n">
        <v>93</v>
      </c>
      <c r="V1925" t="b">
        <v>1</v>
      </c>
      <c r="W1925" t="inlineStr">
        <is>
          <t>ATF fuel!J136:J228</t>
        </is>
      </c>
      <c r="X1925">
        <f>R[0]C[-3]/R[0]C[-2]-1</f>
        <v/>
      </c>
    </row>
    <row r="1926">
      <c r="A1926" t="inlineStr">
        <is>
          <t>ATF fuel</t>
        </is>
      </c>
      <c r="B1926" t="inlineStr">
        <is>
          <t>B201</t>
        </is>
      </c>
      <c r="C1926" t="n">
        <v>201</v>
      </c>
      <c r="D1926" t="n">
        <v>2</v>
      </c>
      <c r="E1926" t="inlineStr">
        <is>
          <t>Input</t>
        </is>
      </c>
      <c r="F1926" t="n">
        <v/>
      </c>
      <c r="G1926" t="inlineStr">
        <is>
          <t>September 01, 2015</t>
        </is>
      </c>
      <c r="H1926" t="inlineStr"/>
      <c r="I1926" t="inlineStr">
        <is>
          <t>General</t>
        </is>
      </c>
      <c r="J1926" t="b">
        <v>0</v>
      </c>
      <c r="K1926" t="b">
        <v>0</v>
      </c>
      <c r="L1926" t="n">
        <v>11</v>
      </c>
      <c r="M1926" t="inlineStr">
        <is>
          <t>Values must be of type &lt;class 'str'&gt;</t>
        </is>
      </c>
      <c r="N1926" t="inlineStr">
        <is>
          <t>00000000</t>
        </is>
      </c>
      <c r="O1926" t="n">
        <v/>
      </c>
      <c r="P1926" t="n">
        <v/>
      </c>
      <c r="R1926" t="b">
        <v>1</v>
      </c>
      <c r="S1926" t="n">
        <v/>
      </c>
      <c r="T1926" t="n">
        <v/>
      </c>
      <c r="U1926" t="n">
        <v/>
      </c>
      <c r="V1926" t="b">
        <v>0</v>
      </c>
      <c r="W1926" t="inlineStr"/>
      <c r="X1926" t="n">
        <v/>
      </c>
    </row>
    <row r="1927">
      <c r="A1927" t="inlineStr">
        <is>
          <t>ATF fuel</t>
        </is>
      </c>
      <c r="B1927" t="inlineStr">
        <is>
          <t>C201</t>
        </is>
      </c>
      <c r="C1927" t="n">
        <v>201</v>
      </c>
      <c r="D1927" t="n">
        <v>3</v>
      </c>
      <c r="E1927" t="inlineStr">
        <is>
          <t>Input</t>
        </is>
      </c>
      <c r="F1927" t="n">
        <v/>
      </c>
      <c r="G1927" t="n">
        <v>44388.0575</v>
      </c>
      <c r="H1927" t="inlineStr"/>
      <c r="I1927" t="inlineStr">
        <is>
          <t>General</t>
        </is>
      </c>
      <c r="J1927" t="b">
        <v>0</v>
      </c>
      <c r="K1927" t="b">
        <v>0</v>
      </c>
      <c r="L1927" t="n">
        <v>11</v>
      </c>
      <c r="M1927" t="inlineStr">
        <is>
          <t>Values must be of type &lt;class 'str'&gt;</t>
        </is>
      </c>
      <c r="N1927" t="inlineStr">
        <is>
          <t>00000000</t>
        </is>
      </c>
      <c r="O1927" t="n">
        <v/>
      </c>
      <c r="P1927" t="n">
        <v/>
      </c>
      <c r="R1927" t="b">
        <v>1</v>
      </c>
      <c r="S1927" t="n">
        <v/>
      </c>
      <c r="T1927" t="n">
        <v/>
      </c>
      <c r="U1927" t="n">
        <v/>
      </c>
      <c r="V1927" t="b">
        <v>0</v>
      </c>
      <c r="W1927" t="inlineStr"/>
      <c r="X1927" t="n">
        <v/>
      </c>
    </row>
    <row r="1928">
      <c r="A1928" t="inlineStr">
        <is>
          <t>ATF fuel</t>
        </is>
      </c>
      <c r="B1928" t="inlineStr">
        <is>
          <t>D201</t>
        </is>
      </c>
      <c r="C1928" t="n">
        <v>201</v>
      </c>
      <c r="D1928" t="n">
        <v>4</v>
      </c>
      <c r="E1928" t="inlineStr">
        <is>
          <t>Input</t>
        </is>
      </c>
      <c r="F1928" t="n">
        <v/>
      </c>
      <c r="G1928" t="n">
        <v>46.42</v>
      </c>
      <c r="H1928" t="inlineStr"/>
      <c r="I1928" t="inlineStr">
        <is>
          <t>General</t>
        </is>
      </c>
      <c r="J1928" t="b">
        <v>0</v>
      </c>
      <c r="K1928" t="b">
        <v>0</v>
      </c>
      <c r="L1928" t="n">
        <v>11</v>
      </c>
      <c r="M1928" t="inlineStr">
        <is>
          <t>Values must be of type &lt;class 'str'&gt;</t>
        </is>
      </c>
      <c r="N1928" t="inlineStr">
        <is>
          <t>00000000</t>
        </is>
      </c>
      <c r="O1928" t="n">
        <v/>
      </c>
      <c r="P1928" t="n">
        <v/>
      </c>
      <c r="R1928" t="b">
        <v>1</v>
      </c>
      <c r="S1928" t="n">
        <v/>
      </c>
      <c r="T1928" t="n">
        <v/>
      </c>
      <c r="U1928" t="n">
        <v/>
      </c>
      <c r="V1928" t="b">
        <v>0</v>
      </c>
      <c r="W1928" t="inlineStr"/>
      <c r="X1928" t="n">
        <v/>
      </c>
    </row>
    <row r="1929">
      <c r="A1929" t="inlineStr">
        <is>
          <t>ATF fuel</t>
        </is>
      </c>
      <c r="B1929" t="inlineStr">
        <is>
          <t>E201</t>
        </is>
      </c>
      <c r="C1929" t="n">
        <v>201</v>
      </c>
      <c r="D1929" t="n">
        <v>5</v>
      </c>
      <c r="E1929" t="inlineStr">
        <is>
          <t>Input</t>
        </is>
      </c>
      <c r="F1929" t="n">
        <v/>
      </c>
      <c r="G1929" t="n">
        <v>45.38</v>
      </c>
      <c r="H1929" t="inlineStr"/>
      <c r="I1929" t="inlineStr">
        <is>
          <t>General</t>
        </is>
      </c>
      <c r="J1929" t="b">
        <v>0</v>
      </c>
      <c r="K1929" t="b">
        <v>0</v>
      </c>
      <c r="L1929" t="n">
        <v>11</v>
      </c>
      <c r="M1929" t="inlineStr">
        <is>
          <t>Values must be of type &lt;class 'str'&gt;</t>
        </is>
      </c>
      <c r="N1929" t="inlineStr">
        <is>
          <t>00000000</t>
        </is>
      </c>
      <c r="O1929" t="n">
        <v/>
      </c>
      <c r="P1929" t="n">
        <v/>
      </c>
      <c r="R1929" t="b">
        <v>1</v>
      </c>
      <c r="S1929" t="n">
        <v/>
      </c>
      <c r="T1929" t="n">
        <v/>
      </c>
      <c r="U1929" t="n">
        <v/>
      </c>
      <c r="V1929" t="b">
        <v>0</v>
      </c>
      <c r="W1929" t="inlineStr"/>
      <c r="X1929" t="n">
        <v/>
      </c>
    </row>
    <row r="1930">
      <c r="A1930" t="inlineStr">
        <is>
          <t>ATF fuel</t>
        </is>
      </c>
      <c r="B1930" t="inlineStr">
        <is>
          <t>F201</t>
        </is>
      </c>
      <c r="C1930" t="n">
        <v>201</v>
      </c>
      <c r="D1930" t="n">
        <v>6</v>
      </c>
      <c r="E1930" t="inlineStr">
        <is>
          <t>Input</t>
        </is>
      </c>
      <c r="F1930" t="n">
        <v/>
      </c>
      <c r="G1930" t="inlineStr">
        <is>
          <t>September 01, 2015</t>
        </is>
      </c>
      <c r="H1930" t="inlineStr"/>
      <c r="I1930" t="inlineStr">
        <is>
          <t>General</t>
        </is>
      </c>
      <c r="J1930" t="b">
        <v>0</v>
      </c>
      <c r="K1930" t="b">
        <v>0</v>
      </c>
      <c r="L1930" t="n">
        <v>11</v>
      </c>
      <c r="M1930" t="inlineStr">
        <is>
          <t>Values must be of type &lt;class 'str'&gt;</t>
        </is>
      </c>
      <c r="N1930" t="inlineStr">
        <is>
          <t>00000000</t>
        </is>
      </c>
      <c r="O1930" t="inlineStr">
        <is>
          <t>left</t>
        </is>
      </c>
      <c r="P1930" t="n">
        <v/>
      </c>
      <c r="R1930" t="b">
        <v>1</v>
      </c>
      <c r="S1930" t="n">
        <v/>
      </c>
      <c r="T1930" t="n">
        <v/>
      </c>
      <c r="U1930" t="n">
        <v/>
      </c>
      <c r="V1930" t="b">
        <v>0</v>
      </c>
      <c r="W1930" t="inlineStr"/>
      <c r="X1930" t="n">
        <v/>
      </c>
    </row>
    <row r="1931">
      <c r="A1931" t="inlineStr">
        <is>
          <t>ATF fuel</t>
        </is>
      </c>
      <c r="B1931" t="inlineStr">
        <is>
          <t>G201</t>
        </is>
      </c>
      <c r="C1931" t="n">
        <v>201</v>
      </c>
      <c r="D1931" t="n">
        <v>7</v>
      </c>
      <c r="E1931" t="inlineStr">
        <is>
          <t>Calculation</t>
        </is>
      </c>
      <c r="F1931" t="inlineStr">
        <is>
          <t>'=(1+(C201/C200)-1)*G200</t>
        </is>
      </c>
      <c r="G1931" t="n">
        <v>100.0591837989448</v>
      </c>
      <c r="H1931" t="inlineStr"/>
      <c r="I1931" t="inlineStr">
        <is>
          <t>General</t>
        </is>
      </c>
      <c r="J1931" t="b">
        <v>0</v>
      </c>
      <c r="K1931" t="b">
        <v>0</v>
      </c>
      <c r="L1931" t="n">
        <v>11</v>
      </c>
      <c r="M1931" t="inlineStr">
        <is>
          <t>Values must be of type &lt;class 'str'&gt;</t>
        </is>
      </c>
      <c r="N1931" t="inlineStr">
        <is>
          <t>00000000</t>
        </is>
      </c>
      <c r="O1931" t="inlineStr">
        <is>
          <t>left</t>
        </is>
      </c>
      <c r="P1931" t="n">
        <v/>
      </c>
      <c r="R1931" t="b">
        <v>1</v>
      </c>
      <c r="S1931" t="inlineStr">
        <is>
          <t>G000360</t>
        </is>
      </c>
      <c r="T1931" t="inlineStr">
        <is>
          <t>Horizontal</t>
        </is>
      </c>
      <c r="U1931" t="n">
        <v>3</v>
      </c>
      <c r="V1931" t="b">
        <v>1</v>
      </c>
      <c r="W1931" t="inlineStr">
        <is>
          <t>ATF fuel!G201:I201</t>
        </is>
      </c>
      <c r="X1931">
        <f>(1+(R[0]C[-4]/R[-1]C[-4])-1)*R[-1]C[0]</f>
        <v/>
      </c>
    </row>
    <row r="1932">
      <c r="A1932" t="inlineStr">
        <is>
          <t>ATF fuel</t>
        </is>
      </c>
      <c r="B1932" t="inlineStr">
        <is>
          <t>H201</t>
        </is>
      </c>
      <c r="C1932" t="n">
        <v>201</v>
      </c>
      <c r="D1932" t="n">
        <v>8</v>
      </c>
      <c r="E1932" t="inlineStr">
        <is>
          <t>Calculation</t>
        </is>
      </c>
      <c r="F1932" t="inlineStr">
        <is>
          <t>'=(1+(D201/D200)-1)*H200</t>
        </is>
      </c>
      <c r="G1932" t="n">
        <v>56.17814353140511</v>
      </c>
      <c r="H1932" t="inlineStr"/>
      <c r="I1932" t="inlineStr">
        <is>
          <t>General</t>
        </is>
      </c>
      <c r="J1932" t="b">
        <v>0</v>
      </c>
      <c r="K1932" t="b">
        <v>0</v>
      </c>
      <c r="L1932" t="n">
        <v>11</v>
      </c>
      <c r="M1932" t="inlineStr">
        <is>
          <t>Values must be of type &lt;class 'str'&gt;</t>
        </is>
      </c>
      <c r="N1932" t="inlineStr">
        <is>
          <t>00000000</t>
        </is>
      </c>
      <c r="O1932" t="inlineStr">
        <is>
          <t>left</t>
        </is>
      </c>
      <c r="P1932" t="n">
        <v/>
      </c>
      <c r="R1932" t="b">
        <v>1</v>
      </c>
      <c r="S1932" t="inlineStr">
        <is>
          <t>G000360</t>
        </is>
      </c>
      <c r="T1932" t="inlineStr">
        <is>
          <t>Horizontal</t>
        </is>
      </c>
      <c r="U1932" t="n">
        <v>3</v>
      </c>
      <c r="V1932" t="b">
        <v>1</v>
      </c>
      <c r="W1932" t="inlineStr">
        <is>
          <t>ATF fuel!G201:I201</t>
        </is>
      </c>
      <c r="X1932">
        <f>(1+(R[0]C[-4]/R[-1]C[-4])-1)*R[-1]C[0]</f>
        <v/>
      </c>
    </row>
    <row r="1933">
      <c r="A1933" t="inlineStr">
        <is>
          <t>ATF fuel</t>
        </is>
      </c>
      <c r="B1933" t="inlineStr">
        <is>
          <t>I201</t>
        </is>
      </c>
      <c r="C1933" t="n">
        <v>201</v>
      </c>
      <c r="D1933" t="n">
        <v>9</v>
      </c>
      <c r="E1933" t="inlineStr">
        <is>
          <t>Calculation</t>
        </is>
      </c>
      <c r="F1933" t="inlineStr">
        <is>
          <t>'=(1+(E201/E200)-1)*I200</t>
        </is>
      </c>
      <c r="G1933" t="n">
        <v>53.68508221933044</v>
      </c>
      <c r="H1933" t="inlineStr"/>
      <c r="I1933" t="inlineStr">
        <is>
          <t>General</t>
        </is>
      </c>
      <c r="J1933" t="b">
        <v>0</v>
      </c>
      <c r="K1933" t="b">
        <v>0</v>
      </c>
      <c r="L1933" t="n">
        <v>11</v>
      </c>
      <c r="M1933" t="inlineStr">
        <is>
          <t>Values must be of type &lt;class 'str'&gt;</t>
        </is>
      </c>
      <c r="N1933" t="inlineStr">
        <is>
          <t>00000000</t>
        </is>
      </c>
      <c r="O1933" t="inlineStr">
        <is>
          <t>left</t>
        </is>
      </c>
      <c r="P1933" t="n">
        <v/>
      </c>
      <c r="R1933" t="b">
        <v>1</v>
      </c>
      <c r="S1933" t="inlineStr">
        <is>
          <t>G000360</t>
        </is>
      </c>
      <c r="T1933" t="inlineStr">
        <is>
          <t>Horizontal</t>
        </is>
      </c>
      <c r="U1933" t="n">
        <v>3</v>
      </c>
      <c r="V1933" t="b">
        <v>1</v>
      </c>
      <c r="W1933" t="inlineStr">
        <is>
          <t>ATF fuel!G201:I201</t>
        </is>
      </c>
      <c r="X1933">
        <f>(1+(R[0]C[-4]/R[-1]C[-4])-1)*R[-1]C[0]</f>
        <v/>
      </c>
    </row>
    <row r="1934">
      <c r="A1934" t="inlineStr">
        <is>
          <t>ATF fuel</t>
        </is>
      </c>
      <c r="B1934" t="inlineStr">
        <is>
          <t>J201</t>
        </is>
      </c>
      <c r="C1934" t="n">
        <v>201</v>
      </c>
      <c r="D1934" t="n">
        <v>10</v>
      </c>
      <c r="E1934" t="inlineStr">
        <is>
          <t>Output</t>
        </is>
      </c>
      <c r="F1934" t="inlineStr">
        <is>
          <t>'=G201/H201-1</t>
        </is>
      </c>
      <c r="G1934" t="n">
        <v>0.7811052040729867</v>
      </c>
      <c r="H1934" t="inlineStr"/>
      <c r="I1934" t="inlineStr">
        <is>
          <t>0.0%</t>
        </is>
      </c>
      <c r="J1934" t="b">
        <v>0</v>
      </c>
      <c r="K1934" t="b">
        <v>0</v>
      </c>
      <c r="L1934" t="n">
        <v>11</v>
      </c>
      <c r="M1934" t="inlineStr">
        <is>
          <t>Values must be of type &lt;class 'str'&gt;</t>
        </is>
      </c>
      <c r="N1934" t="inlineStr">
        <is>
          <t>00000000</t>
        </is>
      </c>
      <c r="O1934" t="n">
        <v/>
      </c>
      <c r="P1934" t="n">
        <v/>
      </c>
      <c r="R1934" t="b">
        <v>1</v>
      </c>
      <c r="S1934" t="inlineStr">
        <is>
          <t>G000295</t>
        </is>
      </c>
      <c r="T1934" t="inlineStr">
        <is>
          <t>Vertical</t>
        </is>
      </c>
      <c r="U1934" t="n">
        <v>93</v>
      </c>
      <c r="V1934" t="b">
        <v>1</v>
      </c>
      <c r="W1934" t="inlineStr">
        <is>
          <t>ATF fuel!J136:J228</t>
        </is>
      </c>
      <c r="X1934">
        <f>R[0]C[-3]/R[0]C[-2]-1</f>
        <v/>
      </c>
    </row>
    <row r="1935">
      <c r="A1935" t="inlineStr">
        <is>
          <t>ATF fuel</t>
        </is>
      </c>
      <c r="B1935" t="inlineStr">
        <is>
          <t>B202</t>
        </is>
      </c>
      <c r="C1935" t="n">
        <v>202</v>
      </c>
      <c r="D1935" t="n">
        <v>2</v>
      </c>
      <c r="E1935" t="inlineStr">
        <is>
          <t>Input</t>
        </is>
      </c>
      <c r="F1935" t="n">
        <v/>
      </c>
      <c r="G1935" t="inlineStr">
        <is>
          <t>October 01, 2015</t>
        </is>
      </c>
      <c r="H1935" t="inlineStr"/>
      <c r="I1935" t="inlineStr">
        <is>
          <t>General</t>
        </is>
      </c>
      <c r="J1935" t="b">
        <v>0</v>
      </c>
      <c r="K1935" t="b">
        <v>0</v>
      </c>
      <c r="L1935" t="n">
        <v>11</v>
      </c>
      <c r="M1935" t="inlineStr">
        <is>
          <t>Values must be of type &lt;class 'str'&gt;</t>
        </is>
      </c>
      <c r="N1935" t="inlineStr">
        <is>
          <t>00000000</t>
        </is>
      </c>
      <c r="O1935" t="n">
        <v/>
      </c>
      <c r="P1935" t="n">
        <v/>
      </c>
      <c r="R1935" t="b">
        <v>1</v>
      </c>
      <c r="S1935" t="n">
        <v/>
      </c>
      <c r="T1935" t="n">
        <v/>
      </c>
      <c r="U1935" t="n">
        <v/>
      </c>
      <c r="V1935" t="b">
        <v>0</v>
      </c>
      <c r="W1935" t="inlineStr"/>
      <c r="X1935" t="n">
        <v/>
      </c>
    </row>
    <row r="1936">
      <c r="A1936" t="inlineStr">
        <is>
          <t>ATF fuel</t>
        </is>
      </c>
      <c r="B1936" t="inlineStr">
        <is>
          <t>C202</t>
        </is>
      </c>
      <c r="C1936" t="n">
        <v>202</v>
      </c>
      <c r="D1936" t="n">
        <v>3</v>
      </c>
      <c r="E1936" t="inlineStr">
        <is>
          <t>Input</t>
        </is>
      </c>
      <c r="F1936" t="n">
        <v/>
      </c>
      <c r="G1936" t="n">
        <v>46716.475</v>
      </c>
      <c r="H1936" t="inlineStr"/>
      <c r="I1936" t="inlineStr">
        <is>
          <t>General</t>
        </is>
      </c>
      <c r="J1936" t="b">
        <v>0</v>
      </c>
      <c r="K1936" t="b">
        <v>0</v>
      </c>
      <c r="L1936" t="n">
        <v>11</v>
      </c>
      <c r="M1936" t="inlineStr">
        <is>
          <t>Values must be of type &lt;class 'str'&gt;</t>
        </is>
      </c>
      <c r="N1936" t="inlineStr">
        <is>
          <t>00000000</t>
        </is>
      </c>
      <c r="O1936" t="n">
        <v/>
      </c>
      <c r="P1936" t="n">
        <v/>
      </c>
      <c r="R1936" t="b">
        <v>1</v>
      </c>
      <c r="S1936" t="n">
        <v/>
      </c>
      <c r="T1936" t="n">
        <v/>
      </c>
      <c r="U1936" t="n">
        <v/>
      </c>
      <c r="V1936" t="b">
        <v>0</v>
      </c>
      <c r="W1936" t="inlineStr"/>
      <c r="X1936" t="n">
        <v/>
      </c>
    </row>
    <row r="1937">
      <c r="A1937" t="inlineStr">
        <is>
          <t>ATF fuel</t>
        </is>
      </c>
      <c r="B1937" t="inlineStr">
        <is>
          <t>D202</t>
        </is>
      </c>
      <c r="C1937" t="n">
        <v>202</v>
      </c>
      <c r="D1937" t="n">
        <v>4</v>
      </c>
      <c r="E1937" t="inlineStr">
        <is>
          <t>Input</t>
        </is>
      </c>
      <c r="F1937" t="n">
        <v/>
      </c>
      <c r="G1937" t="n">
        <v>51.66</v>
      </c>
      <c r="H1937" t="inlineStr"/>
      <c r="I1937" t="inlineStr">
        <is>
          <t>General</t>
        </is>
      </c>
      <c r="J1937" t="b">
        <v>0</v>
      </c>
      <c r="K1937" t="b">
        <v>0</v>
      </c>
      <c r="L1937" t="n">
        <v>11</v>
      </c>
      <c r="M1937" t="inlineStr">
        <is>
          <t>Values must be of type &lt;class 'str'&gt;</t>
        </is>
      </c>
      <c r="N1937" t="inlineStr">
        <is>
          <t>00000000</t>
        </is>
      </c>
      <c r="O1937" t="n">
        <v/>
      </c>
      <c r="P1937" t="n">
        <v/>
      </c>
      <c r="R1937" t="b">
        <v>1</v>
      </c>
      <c r="S1937" t="n">
        <v/>
      </c>
      <c r="T1937" t="n">
        <v/>
      </c>
      <c r="U1937" t="n">
        <v/>
      </c>
      <c r="V1937" t="b">
        <v>0</v>
      </c>
      <c r="W1937" t="inlineStr"/>
      <c r="X1937" t="n">
        <v/>
      </c>
    </row>
    <row r="1938">
      <c r="A1938" t="inlineStr">
        <is>
          <t>ATF fuel</t>
        </is>
      </c>
      <c r="B1938" t="inlineStr">
        <is>
          <t>E202</t>
        </is>
      </c>
      <c r="C1938" t="n">
        <v>202</v>
      </c>
      <c r="D1938" t="n">
        <v>5</v>
      </c>
      <c r="E1938" t="inlineStr">
        <is>
          <t>Input</t>
        </is>
      </c>
      <c r="F1938" t="n">
        <v/>
      </c>
      <c r="G1938" t="n">
        <v>44.75</v>
      </c>
      <c r="H1938" t="inlineStr"/>
      <c r="I1938" t="inlineStr">
        <is>
          <t>General</t>
        </is>
      </c>
      <c r="J1938" t="b">
        <v>0</v>
      </c>
      <c r="K1938" t="b">
        <v>0</v>
      </c>
      <c r="L1938" t="n">
        <v>11</v>
      </c>
      <c r="M1938" t="inlineStr">
        <is>
          <t>Values must be of type &lt;class 'str'&gt;</t>
        </is>
      </c>
      <c r="N1938" t="inlineStr">
        <is>
          <t>00000000</t>
        </is>
      </c>
      <c r="O1938" t="n">
        <v/>
      </c>
      <c r="P1938" t="n">
        <v/>
      </c>
      <c r="R1938" t="b">
        <v>1</v>
      </c>
      <c r="S1938" t="n">
        <v/>
      </c>
      <c r="T1938" t="n">
        <v/>
      </c>
      <c r="U1938" t="n">
        <v/>
      </c>
      <c r="V1938" t="b">
        <v>0</v>
      </c>
      <c r="W1938" t="inlineStr"/>
      <c r="X1938" t="n">
        <v/>
      </c>
    </row>
    <row r="1939">
      <c r="A1939" t="inlineStr">
        <is>
          <t>ATF fuel</t>
        </is>
      </c>
      <c r="B1939" t="inlineStr">
        <is>
          <t>F202</t>
        </is>
      </c>
      <c r="C1939" t="n">
        <v>202</v>
      </c>
      <c r="D1939" t="n">
        <v>6</v>
      </c>
      <c r="E1939" t="inlineStr">
        <is>
          <t>Input</t>
        </is>
      </c>
      <c r="F1939" t="n">
        <v/>
      </c>
      <c r="G1939" t="inlineStr">
        <is>
          <t>October 01, 2015</t>
        </is>
      </c>
      <c r="H1939" t="inlineStr"/>
      <c r="I1939" t="inlineStr">
        <is>
          <t>General</t>
        </is>
      </c>
      <c r="J1939" t="b">
        <v>0</v>
      </c>
      <c r="K1939" t="b">
        <v>0</v>
      </c>
      <c r="L1939" t="n">
        <v>11</v>
      </c>
      <c r="M1939" t="inlineStr">
        <is>
          <t>Values must be of type &lt;class 'str'&gt;</t>
        </is>
      </c>
      <c r="N1939" t="inlineStr">
        <is>
          <t>00000000</t>
        </is>
      </c>
      <c r="O1939" t="inlineStr">
        <is>
          <t>left</t>
        </is>
      </c>
      <c r="P1939" t="n">
        <v/>
      </c>
      <c r="R1939" t="b">
        <v>1</v>
      </c>
      <c r="S1939" t="n">
        <v/>
      </c>
      <c r="T1939" t="n">
        <v/>
      </c>
      <c r="U1939" t="n">
        <v/>
      </c>
      <c r="V1939" t="b">
        <v>0</v>
      </c>
      <c r="W1939" t="inlineStr"/>
      <c r="X1939" t="n">
        <v/>
      </c>
    </row>
    <row r="1940">
      <c r="A1940" t="inlineStr">
        <is>
          <t>ATF fuel</t>
        </is>
      </c>
      <c r="B1940" t="inlineStr">
        <is>
          <t>G202</t>
        </is>
      </c>
      <c r="C1940" t="n">
        <v>202</v>
      </c>
      <c r="D1940" t="n">
        <v>7</v>
      </c>
      <c r="E1940" t="inlineStr">
        <is>
          <t>Calculation</t>
        </is>
      </c>
      <c r="F1940" t="inlineStr">
        <is>
          <t>'=(1+(C202/C201)-1)*G201</t>
        </is>
      </c>
      <c r="G1940" t="n">
        <v>105.3078828345622</v>
      </c>
      <c r="H1940" t="inlineStr"/>
      <c r="I1940" t="inlineStr">
        <is>
          <t>General</t>
        </is>
      </c>
      <c r="J1940" t="b">
        <v>0</v>
      </c>
      <c r="K1940" t="b">
        <v>0</v>
      </c>
      <c r="L1940" t="n">
        <v>11</v>
      </c>
      <c r="M1940" t="inlineStr">
        <is>
          <t>Values must be of type &lt;class 'str'&gt;</t>
        </is>
      </c>
      <c r="N1940" t="inlineStr">
        <is>
          <t>00000000</t>
        </is>
      </c>
      <c r="O1940" t="inlineStr">
        <is>
          <t>left</t>
        </is>
      </c>
      <c r="P1940" t="n">
        <v/>
      </c>
      <c r="R1940" t="b">
        <v>1</v>
      </c>
      <c r="S1940" t="inlineStr">
        <is>
          <t>G000361</t>
        </is>
      </c>
      <c r="T1940" t="inlineStr">
        <is>
          <t>Horizontal</t>
        </is>
      </c>
      <c r="U1940" t="n">
        <v>3</v>
      </c>
      <c r="V1940" t="b">
        <v>1</v>
      </c>
      <c r="W1940" t="inlineStr">
        <is>
          <t>ATF fuel!G202:I202</t>
        </is>
      </c>
      <c r="X1940">
        <f>(1+(R[0]C[-4]/R[-1]C[-4])-1)*R[-1]C[0]</f>
        <v/>
      </c>
    </row>
    <row r="1941">
      <c r="A1941" t="inlineStr">
        <is>
          <t>ATF fuel</t>
        </is>
      </c>
      <c r="B1941" t="inlineStr">
        <is>
          <t>H202</t>
        </is>
      </c>
      <c r="C1941" t="n">
        <v>202</v>
      </c>
      <c r="D1941" t="n">
        <v>8</v>
      </c>
      <c r="E1941" t="inlineStr">
        <is>
          <t>Calculation</t>
        </is>
      </c>
      <c r="F1941" t="inlineStr">
        <is>
          <t>'=(1+(D202/D201)-1)*H201</t>
        </is>
      </c>
      <c r="G1941" t="n">
        <v>62.51966598087866</v>
      </c>
      <c r="H1941" t="inlineStr"/>
      <c r="I1941" t="inlineStr">
        <is>
          <t>General</t>
        </is>
      </c>
      <c r="J1941" t="b">
        <v>0</v>
      </c>
      <c r="K1941" t="b">
        <v>0</v>
      </c>
      <c r="L1941" t="n">
        <v>11</v>
      </c>
      <c r="M1941" t="inlineStr">
        <is>
          <t>Values must be of type &lt;class 'str'&gt;</t>
        </is>
      </c>
      <c r="N1941" t="inlineStr">
        <is>
          <t>00000000</t>
        </is>
      </c>
      <c r="O1941" t="inlineStr">
        <is>
          <t>left</t>
        </is>
      </c>
      <c r="P1941" t="n">
        <v/>
      </c>
      <c r="R1941" t="b">
        <v>1</v>
      </c>
      <c r="S1941" t="inlineStr">
        <is>
          <t>G000361</t>
        </is>
      </c>
      <c r="T1941" t="inlineStr">
        <is>
          <t>Horizontal</t>
        </is>
      </c>
      <c r="U1941" t="n">
        <v>3</v>
      </c>
      <c r="V1941" t="b">
        <v>1</v>
      </c>
      <c r="W1941" t="inlineStr">
        <is>
          <t>ATF fuel!G202:I202</t>
        </is>
      </c>
      <c r="X1941">
        <f>(1+(R[0]C[-4]/R[-1]C[-4])-1)*R[-1]C[0]</f>
        <v/>
      </c>
    </row>
    <row r="1942">
      <c r="A1942" t="inlineStr">
        <is>
          <t>ATF fuel</t>
        </is>
      </c>
      <c r="B1942" t="inlineStr">
        <is>
          <t>I202</t>
        </is>
      </c>
      <c r="C1942" t="n">
        <v>202</v>
      </c>
      <c r="D1942" t="n">
        <v>9</v>
      </c>
      <c r="E1942" t="inlineStr">
        <is>
          <t>Calculation</t>
        </is>
      </c>
      <c r="F1942" t="inlineStr">
        <is>
          <t>'=(1+(E202/E201)-1)*I201</t>
        </is>
      </c>
      <c r="G1942" t="n">
        <v>52.93978469182542</v>
      </c>
      <c r="H1942" t="inlineStr"/>
      <c r="I1942" t="inlineStr">
        <is>
          <t>General</t>
        </is>
      </c>
      <c r="J1942" t="b">
        <v>0</v>
      </c>
      <c r="K1942" t="b">
        <v>0</v>
      </c>
      <c r="L1942" t="n">
        <v>11</v>
      </c>
      <c r="M1942" t="inlineStr">
        <is>
          <t>Values must be of type &lt;class 'str'&gt;</t>
        </is>
      </c>
      <c r="N1942" t="inlineStr">
        <is>
          <t>00000000</t>
        </is>
      </c>
      <c r="O1942" t="inlineStr">
        <is>
          <t>left</t>
        </is>
      </c>
      <c r="P1942" t="n">
        <v/>
      </c>
      <c r="R1942" t="b">
        <v>1</v>
      </c>
      <c r="S1942" t="inlineStr">
        <is>
          <t>G000361</t>
        </is>
      </c>
      <c r="T1942" t="inlineStr">
        <is>
          <t>Horizontal</t>
        </is>
      </c>
      <c r="U1942" t="n">
        <v>3</v>
      </c>
      <c r="V1942" t="b">
        <v>1</v>
      </c>
      <c r="W1942" t="inlineStr">
        <is>
          <t>ATF fuel!G202:I202</t>
        </is>
      </c>
      <c r="X1942">
        <f>(1+(R[0]C[-4]/R[-1]C[-4])-1)*R[-1]C[0]</f>
        <v/>
      </c>
    </row>
    <row r="1943">
      <c r="A1943" t="inlineStr">
        <is>
          <t>ATF fuel</t>
        </is>
      </c>
      <c r="B1943" t="inlineStr">
        <is>
          <t>J202</t>
        </is>
      </c>
      <c r="C1943" t="n">
        <v>202</v>
      </c>
      <c r="D1943" t="n">
        <v>10</v>
      </c>
      <c r="E1943" t="inlineStr">
        <is>
          <t>Output</t>
        </is>
      </c>
      <c r="F1943" t="inlineStr">
        <is>
          <t>'=G202/H202-1</t>
        </is>
      </c>
      <c r="G1943" t="n">
        <v>0.684396120522623</v>
      </c>
      <c r="H1943" t="inlineStr"/>
      <c r="I1943" t="inlineStr">
        <is>
          <t>0.0%</t>
        </is>
      </c>
      <c r="J1943" t="b">
        <v>0</v>
      </c>
      <c r="K1943" t="b">
        <v>0</v>
      </c>
      <c r="L1943" t="n">
        <v>11</v>
      </c>
      <c r="M1943" t="inlineStr">
        <is>
          <t>Values must be of type &lt;class 'str'&gt;</t>
        </is>
      </c>
      <c r="N1943" t="inlineStr">
        <is>
          <t>00000000</t>
        </is>
      </c>
      <c r="O1943" t="n">
        <v/>
      </c>
      <c r="P1943" t="n">
        <v/>
      </c>
      <c r="R1943" t="b">
        <v>1</v>
      </c>
      <c r="S1943" t="inlineStr">
        <is>
          <t>G000295</t>
        </is>
      </c>
      <c r="T1943" t="inlineStr">
        <is>
          <t>Vertical</t>
        </is>
      </c>
      <c r="U1943" t="n">
        <v>93</v>
      </c>
      <c r="V1943" t="b">
        <v>1</v>
      </c>
      <c r="W1943" t="inlineStr">
        <is>
          <t>ATF fuel!J136:J228</t>
        </is>
      </c>
      <c r="X1943">
        <f>R[0]C[-3]/R[0]C[-2]-1</f>
        <v/>
      </c>
    </row>
    <row r="1944">
      <c r="A1944" t="inlineStr">
        <is>
          <t>ATF fuel</t>
        </is>
      </c>
      <c r="B1944" t="inlineStr">
        <is>
          <t>B203</t>
        </is>
      </c>
      <c r="C1944" t="n">
        <v>203</v>
      </c>
      <c r="D1944" t="n">
        <v>2</v>
      </c>
      <c r="E1944" t="inlineStr">
        <is>
          <t>Input</t>
        </is>
      </c>
      <c r="F1944" t="n">
        <v/>
      </c>
      <c r="G1944" t="inlineStr">
        <is>
          <t>November 01, 2015</t>
        </is>
      </c>
      <c r="H1944" t="inlineStr"/>
      <c r="I1944" t="inlineStr">
        <is>
          <t>General</t>
        </is>
      </c>
      <c r="J1944" t="b">
        <v>0</v>
      </c>
      <c r="K1944" t="b">
        <v>0</v>
      </c>
      <c r="L1944" t="n">
        <v>11</v>
      </c>
      <c r="M1944" t="inlineStr">
        <is>
          <t>Values must be of type &lt;class 'str'&gt;</t>
        </is>
      </c>
      <c r="N1944" t="inlineStr">
        <is>
          <t>00000000</t>
        </is>
      </c>
      <c r="O1944" t="n">
        <v/>
      </c>
      <c r="P1944" t="n">
        <v/>
      </c>
      <c r="R1944" t="b">
        <v>1</v>
      </c>
      <c r="S1944" t="n">
        <v/>
      </c>
      <c r="T1944" t="n">
        <v/>
      </c>
      <c r="U1944" t="n">
        <v/>
      </c>
      <c r="V1944" t="b">
        <v>0</v>
      </c>
      <c r="W1944" t="inlineStr"/>
      <c r="X1944" t="n">
        <v/>
      </c>
    </row>
    <row r="1945">
      <c r="A1945" t="inlineStr">
        <is>
          <t>ATF fuel</t>
        </is>
      </c>
      <c r="B1945" t="inlineStr">
        <is>
          <t>C203</t>
        </is>
      </c>
      <c r="C1945" t="n">
        <v>203</v>
      </c>
      <c r="D1945" t="n">
        <v>3</v>
      </c>
      <c r="E1945" t="inlineStr">
        <is>
          <t>Input</t>
        </is>
      </c>
      <c r="F1945" t="n">
        <v/>
      </c>
      <c r="G1945" t="n">
        <v>46493.61</v>
      </c>
      <c r="H1945" t="inlineStr"/>
      <c r="I1945" t="inlineStr">
        <is>
          <t>General</t>
        </is>
      </c>
      <c r="J1945" t="b">
        <v>0</v>
      </c>
      <c r="K1945" t="b">
        <v>0</v>
      </c>
      <c r="L1945" t="n">
        <v>11</v>
      </c>
      <c r="M1945" t="inlineStr">
        <is>
          <t>Values must be of type &lt;class 'str'&gt;</t>
        </is>
      </c>
      <c r="N1945" t="inlineStr">
        <is>
          <t>00000000</t>
        </is>
      </c>
      <c r="O1945" t="n">
        <v/>
      </c>
      <c r="P1945" t="n">
        <v/>
      </c>
      <c r="R1945" t="b">
        <v>1</v>
      </c>
      <c r="S1945" t="n">
        <v/>
      </c>
      <c r="T1945" t="n">
        <v/>
      </c>
      <c r="U1945" t="n">
        <v/>
      </c>
      <c r="V1945" t="b">
        <v>0</v>
      </c>
      <c r="W1945" t="inlineStr"/>
      <c r="X1945" t="n">
        <v/>
      </c>
    </row>
    <row r="1946">
      <c r="A1946" t="inlineStr">
        <is>
          <t>ATF fuel</t>
        </is>
      </c>
      <c r="B1946" t="inlineStr">
        <is>
          <t>D203</t>
        </is>
      </c>
      <c r="C1946" t="n">
        <v>203</v>
      </c>
      <c r="D1946" t="n">
        <v>4</v>
      </c>
      <c r="E1946" t="inlineStr">
        <is>
          <t>Input</t>
        </is>
      </c>
      <c r="F1946" t="n">
        <v/>
      </c>
      <c r="G1946" t="n">
        <v>46.09</v>
      </c>
      <c r="H1946" t="inlineStr"/>
      <c r="I1946" t="inlineStr">
        <is>
          <t>General</t>
        </is>
      </c>
      <c r="J1946" t="b">
        <v>0</v>
      </c>
      <c r="K1946" t="b">
        <v>0</v>
      </c>
      <c r="L1946" t="n">
        <v>11</v>
      </c>
      <c r="M1946" t="inlineStr">
        <is>
          <t>Values must be of type &lt;class 'str'&gt;</t>
        </is>
      </c>
      <c r="N1946" t="inlineStr">
        <is>
          <t>00000000</t>
        </is>
      </c>
      <c r="O1946" t="n">
        <v/>
      </c>
      <c r="P1946" t="n">
        <v/>
      </c>
      <c r="R1946" t="b">
        <v>1</v>
      </c>
      <c r="S1946" t="n">
        <v/>
      </c>
      <c r="T1946" t="n">
        <v/>
      </c>
      <c r="U1946" t="n">
        <v/>
      </c>
      <c r="V1946" t="b">
        <v>0</v>
      </c>
      <c r="W1946" t="inlineStr"/>
      <c r="X1946" t="n">
        <v/>
      </c>
    </row>
    <row r="1947">
      <c r="A1947" t="inlineStr">
        <is>
          <t>ATF fuel</t>
        </is>
      </c>
      <c r="B1947" t="inlineStr">
        <is>
          <t>E203</t>
        </is>
      </c>
      <c r="C1947" t="n">
        <v>203</v>
      </c>
      <c r="D1947" t="n">
        <v>5</v>
      </c>
      <c r="E1947" t="inlineStr">
        <is>
          <t>Input</t>
        </is>
      </c>
      <c r="F1947" t="n">
        <v/>
      </c>
      <c r="G1947" t="n">
        <v>46.12</v>
      </c>
      <c r="H1947" t="inlineStr"/>
      <c r="I1947" t="inlineStr">
        <is>
          <t>General</t>
        </is>
      </c>
      <c r="J1947" t="b">
        <v>0</v>
      </c>
      <c r="K1947" t="b">
        <v>0</v>
      </c>
      <c r="L1947" t="n">
        <v>11</v>
      </c>
      <c r="M1947" t="inlineStr">
        <is>
          <t>Values must be of type &lt;class 'str'&gt;</t>
        </is>
      </c>
      <c r="N1947" t="inlineStr">
        <is>
          <t>00000000</t>
        </is>
      </c>
      <c r="O1947" t="n">
        <v/>
      </c>
      <c r="P1947" t="n">
        <v/>
      </c>
      <c r="R1947" t="b">
        <v>1</v>
      </c>
      <c r="S1947" t="n">
        <v/>
      </c>
      <c r="T1947" t="n">
        <v/>
      </c>
      <c r="U1947" t="n">
        <v/>
      </c>
      <c r="V1947" t="b">
        <v>0</v>
      </c>
      <c r="W1947" t="inlineStr"/>
      <c r="X1947" t="n">
        <v/>
      </c>
    </row>
    <row r="1948">
      <c r="A1948" t="inlineStr">
        <is>
          <t>ATF fuel</t>
        </is>
      </c>
      <c r="B1948" t="inlineStr">
        <is>
          <t>F203</t>
        </is>
      </c>
      <c r="C1948" t="n">
        <v>203</v>
      </c>
      <c r="D1948" t="n">
        <v>6</v>
      </c>
      <c r="E1948" t="inlineStr">
        <is>
          <t>Input</t>
        </is>
      </c>
      <c r="F1948" t="n">
        <v/>
      </c>
      <c r="G1948" t="inlineStr">
        <is>
          <t>November 01, 2015</t>
        </is>
      </c>
      <c r="H1948" t="inlineStr"/>
      <c r="I1948" t="inlineStr">
        <is>
          <t>General</t>
        </is>
      </c>
      <c r="J1948" t="b">
        <v>0</v>
      </c>
      <c r="K1948" t="b">
        <v>0</v>
      </c>
      <c r="L1948" t="n">
        <v>11</v>
      </c>
      <c r="M1948" t="inlineStr">
        <is>
          <t>Values must be of type &lt;class 'str'&gt;</t>
        </is>
      </c>
      <c r="N1948" t="inlineStr">
        <is>
          <t>00000000</t>
        </is>
      </c>
      <c r="O1948" t="inlineStr">
        <is>
          <t>left</t>
        </is>
      </c>
      <c r="P1948" t="n">
        <v/>
      </c>
      <c r="R1948" t="b">
        <v>1</v>
      </c>
      <c r="S1948" t="n">
        <v/>
      </c>
      <c r="T1948" t="n">
        <v/>
      </c>
      <c r="U1948" t="n">
        <v/>
      </c>
      <c r="V1948" t="b">
        <v>0</v>
      </c>
      <c r="W1948" t="inlineStr"/>
      <c r="X1948" t="n">
        <v/>
      </c>
    </row>
    <row r="1949">
      <c r="A1949" t="inlineStr">
        <is>
          <t>ATF fuel</t>
        </is>
      </c>
      <c r="B1949" t="inlineStr">
        <is>
          <t>G203</t>
        </is>
      </c>
      <c r="C1949" t="n">
        <v>203</v>
      </c>
      <c r="D1949" t="n">
        <v>7</v>
      </c>
      <c r="E1949" t="inlineStr">
        <is>
          <t>Calculation</t>
        </is>
      </c>
      <c r="F1949" t="inlineStr">
        <is>
          <t>'=(1+(C203/C202)-1)*G202</t>
        </is>
      </c>
      <c r="G1949" t="n">
        <v>104.8055024364709</v>
      </c>
      <c r="H1949" t="inlineStr"/>
      <c r="I1949" t="inlineStr">
        <is>
          <t>General</t>
        </is>
      </c>
      <c r="J1949" t="b">
        <v>0</v>
      </c>
      <c r="K1949" t="b">
        <v>0</v>
      </c>
      <c r="L1949" t="n">
        <v>11</v>
      </c>
      <c r="M1949" t="inlineStr">
        <is>
          <t>Values must be of type &lt;class 'str'&gt;</t>
        </is>
      </c>
      <c r="N1949" t="inlineStr">
        <is>
          <t>00000000</t>
        </is>
      </c>
      <c r="O1949" t="inlineStr">
        <is>
          <t>left</t>
        </is>
      </c>
      <c r="P1949" t="n">
        <v/>
      </c>
      <c r="R1949" t="b">
        <v>1</v>
      </c>
      <c r="S1949" t="inlineStr">
        <is>
          <t>G000362</t>
        </is>
      </c>
      <c r="T1949" t="inlineStr">
        <is>
          <t>Horizontal</t>
        </is>
      </c>
      <c r="U1949" t="n">
        <v>3</v>
      </c>
      <c r="V1949" t="b">
        <v>1</v>
      </c>
      <c r="W1949" t="inlineStr">
        <is>
          <t>ATF fuel!G203:I203</t>
        </is>
      </c>
      <c r="X1949">
        <f>(1+(R[0]C[-4]/R[-1]C[-4])-1)*R[-1]C[0]</f>
        <v/>
      </c>
    </row>
    <row r="1950">
      <c r="A1950" t="inlineStr">
        <is>
          <t>ATF fuel</t>
        </is>
      </c>
      <c r="B1950" t="inlineStr">
        <is>
          <t>H203</t>
        </is>
      </c>
      <c r="C1950" t="n">
        <v>203</v>
      </c>
      <c r="D1950" t="n">
        <v>8</v>
      </c>
      <c r="E1950" t="inlineStr">
        <is>
          <t>Calculation</t>
        </is>
      </c>
      <c r="F1950" t="inlineStr">
        <is>
          <t>'=(1+(D203/D202)-1)*H202</t>
        </is>
      </c>
      <c r="G1950" t="n">
        <v>55.77877284279322</v>
      </c>
      <c r="H1950" t="inlineStr"/>
      <c r="I1950" t="inlineStr">
        <is>
          <t>General</t>
        </is>
      </c>
      <c r="J1950" t="b">
        <v>0</v>
      </c>
      <c r="K1950" t="b">
        <v>0</v>
      </c>
      <c r="L1950" t="n">
        <v>11</v>
      </c>
      <c r="M1950" t="inlineStr">
        <is>
          <t>Values must be of type &lt;class 'str'&gt;</t>
        </is>
      </c>
      <c r="N1950" t="inlineStr">
        <is>
          <t>00000000</t>
        </is>
      </c>
      <c r="O1950" t="inlineStr">
        <is>
          <t>left</t>
        </is>
      </c>
      <c r="P1950" t="n">
        <v/>
      </c>
      <c r="R1950" t="b">
        <v>1</v>
      </c>
      <c r="S1950" t="inlineStr">
        <is>
          <t>G000362</t>
        </is>
      </c>
      <c r="T1950" t="inlineStr">
        <is>
          <t>Horizontal</t>
        </is>
      </c>
      <c r="U1950" t="n">
        <v>3</v>
      </c>
      <c r="V1950" t="b">
        <v>1</v>
      </c>
      <c r="W1950" t="inlineStr">
        <is>
          <t>ATF fuel!G203:I203</t>
        </is>
      </c>
      <c r="X1950">
        <f>(1+(R[0]C[-4]/R[-1]C[-4])-1)*R[-1]C[0]</f>
        <v/>
      </c>
    </row>
    <row r="1951">
      <c r="A1951" t="inlineStr">
        <is>
          <t>ATF fuel</t>
        </is>
      </c>
      <c r="B1951" t="inlineStr">
        <is>
          <t>I203</t>
        </is>
      </c>
      <c r="C1951" t="n">
        <v>203</v>
      </c>
      <c r="D1951" t="n">
        <v>9</v>
      </c>
      <c r="E1951" t="inlineStr">
        <is>
          <t>Calculation</t>
        </is>
      </c>
      <c r="F1951" t="inlineStr">
        <is>
          <t>'=(1+(E203/E202)-1)*I202</t>
        </is>
      </c>
      <c r="G1951" t="n">
        <v>54.56051106116175</v>
      </c>
      <c r="H1951" t="inlineStr"/>
      <c r="I1951" t="inlineStr">
        <is>
          <t>General</t>
        </is>
      </c>
      <c r="J1951" t="b">
        <v>0</v>
      </c>
      <c r="K1951" t="b">
        <v>0</v>
      </c>
      <c r="L1951" t="n">
        <v>11</v>
      </c>
      <c r="M1951" t="inlineStr">
        <is>
          <t>Values must be of type &lt;class 'str'&gt;</t>
        </is>
      </c>
      <c r="N1951" t="inlineStr">
        <is>
          <t>00000000</t>
        </is>
      </c>
      <c r="O1951" t="inlineStr">
        <is>
          <t>left</t>
        </is>
      </c>
      <c r="P1951" t="n">
        <v/>
      </c>
      <c r="R1951" t="b">
        <v>1</v>
      </c>
      <c r="S1951" t="inlineStr">
        <is>
          <t>G000362</t>
        </is>
      </c>
      <c r="T1951" t="inlineStr">
        <is>
          <t>Horizontal</t>
        </is>
      </c>
      <c r="U1951" t="n">
        <v>3</v>
      </c>
      <c r="V1951" t="b">
        <v>1</v>
      </c>
      <c r="W1951" t="inlineStr">
        <is>
          <t>ATF fuel!G203:I203</t>
        </is>
      </c>
      <c r="X1951">
        <f>(1+(R[0]C[-4]/R[-1]C[-4])-1)*R[-1]C[0]</f>
        <v/>
      </c>
    </row>
    <row r="1952">
      <c r="A1952" t="inlineStr">
        <is>
          <t>ATF fuel</t>
        </is>
      </c>
      <c r="B1952" t="inlineStr">
        <is>
          <t>J203</t>
        </is>
      </c>
      <c r="C1952" t="n">
        <v>203</v>
      </c>
      <c r="D1952" t="n">
        <v>10</v>
      </c>
      <c r="E1952" t="inlineStr">
        <is>
          <t>Output</t>
        </is>
      </c>
      <c r="F1952" t="inlineStr">
        <is>
          <t>'=G203/H203-1</t>
        </is>
      </c>
      <c r="G1952" t="n">
        <v>0.8789495913051815</v>
      </c>
      <c r="H1952" t="inlineStr"/>
      <c r="I1952" t="inlineStr">
        <is>
          <t>0.0%</t>
        </is>
      </c>
      <c r="J1952" t="b">
        <v>0</v>
      </c>
      <c r="K1952" t="b">
        <v>0</v>
      </c>
      <c r="L1952" t="n">
        <v>11</v>
      </c>
      <c r="M1952" t="inlineStr">
        <is>
          <t>Values must be of type &lt;class 'str'&gt;</t>
        </is>
      </c>
      <c r="N1952" t="inlineStr">
        <is>
          <t>00000000</t>
        </is>
      </c>
      <c r="O1952" t="n">
        <v/>
      </c>
      <c r="P1952" t="n">
        <v/>
      </c>
      <c r="R1952" t="b">
        <v>1</v>
      </c>
      <c r="S1952" t="inlineStr">
        <is>
          <t>G000295</t>
        </is>
      </c>
      <c r="T1952" t="inlineStr">
        <is>
          <t>Vertical</t>
        </is>
      </c>
      <c r="U1952" t="n">
        <v>93</v>
      </c>
      <c r="V1952" t="b">
        <v>1</v>
      </c>
      <c r="W1952" t="inlineStr">
        <is>
          <t>ATF fuel!J136:J228</t>
        </is>
      </c>
      <c r="X1952">
        <f>R[0]C[-3]/R[0]C[-2]-1</f>
        <v/>
      </c>
    </row>
    <row r="1953">
      <c r="A1953" t="inlineStr">
        <is>
          <t>ATF fuel</t>
        </is>
      </c>
      <c r="B1953" t="inlineStr">
        <is>
          <t>B204</t>
        </is>
      </c>
      <c r="C1953" t="n">
        <v>204</v>
      </c>
      <c r="D1953" t="n">
        <v>2</v>
      </c>
      <c r="E1953" t="inlineStr">
        <is>
          <t>Input</t>
        </is>
      </c>
      <c r="F1953" t="n">
        <v/>
      </c>
      <c r="G1953" t="inlineStr">
        <is>
          <t>December 01, 2015</t>
        </is>
      </c>
      <c r="H1953" t="inlineStr"/>
      <c r="I1953" t="inlineStr">
        <is>
          <t>General</t>
        </is>
      </c>
      <c r="J1953" t="b">
        <v>0</v>
      </c>
      <c r="K1953" t="b">
        <v>0</v>
      </c>
      <c r="L1953" t="n">
        <v>11</v>
      </c>
      <c r="M1953" t="inlineStr">
        <is>
          <t>Values must be of type &lt;class 'str'&gt;</t>
        </is>
      </c>
      <c r="N1953" t="inlineStr">
        <is>
          <t>FFFFFF00</t>
        </is>
      </c>
      <c r="O1953" t="n">
        <v/>
      </c>
      <c r="P1953" t="n">
        <v/>
      </c>
      <c r="R1953" t="b">
        <v>1</v>
      </c>
      <c r="S1953" t="n">
        <v/>
      </c>
      <c r="T1953" t="n">
        <v/>
      </c>
      <c r="U1953" t="n">
        <v/>
      </c>
      <c r="V1953" t="b">
        <v>0</v>
      </c>
      <c r="W1953" t="inlineStr"/>
      <c r="X1953" t="n">
        <v/>
      </c>
    </row>
    <row r="1954">
      <c r="A1954" t="inlineStr">
        <is>
          <t>ATF fuel</t>
        </is>
      </c>
      <c r="B1954" t="inlineStr">
        <is>
          <t>C204</t>
        </is>
      </c>
      <c r="C1954" t="n">
        <v>204</v>
      </c>
      <c r="D1954" t="n">
        <v>3</v>
      </c>
      <c r="E1954" t="inlineStr">
        <is>
          <t>Input</t>
        </is>
      </c>
      <c r="F1954" t="n">
        <v/>
      </c>
      <c r="G1954" t="n">
        <v>46406.12</v>
      </c>
      <c r="H1954" t="inlineStr"/>
      <c r="I1954" t="inlineStr">
        <is>
          <t>General</t>
        </is>
      </c>
      <c r="J1954" t="b">
        <v>0</v>
      </c>
      <c r="K1954" t="b">
        <v>0</v>
      </c>
      <c r="L1954" t="n">
        <v>11</v>
      </c>
      <c r="M1954" t="inlineStr">
        <is>
          <t>Values must be of type &lt;class 'str'&gt;</t>
        </is>
      </c>
      <c r="N1954" t="inlineStr">
        <is>
          <t>FFFFFF00</t>
        </is>
      </c>
      <c r="O1954" t="n">
        <v/>
      </c>
      <c r="P1954" t="n">
        <v/>
      </c>
      <c r="R1954" t="b">
        <v>1</v>
      </c>
      <c r="S1954" t="n">
        <v/>
      </c>
      <c r="T1954" t="n">
        <v/>
      </c>
      <c r="U1954" t="n">
        <v/>
      </c>
      <c r="V1954" t="b">
        <v>0</v>
      </c>
      <c r="W1954" t="inlineStr"/>
      <c r="X1954" t="n">
        <v/>
      </c>
    </row>
    <row r="1955">
      <c r="A1955" t="inlineStr">
        <is>
          <t>ATF fuel</t>
        </is>
      </c>
      <c r="B1955" t="inlineStr">
        <is>
          <t>D204</t>
        </is>
      </c>
      <c r="C1955" t="n">
        <v>204</v>
      </c>
      <c r="D1955" t="n">
        <v>4</v>
      </c>
      <c r="E1955" t="inlineStr">
        <is>
          <t>Input</t>
        </is>
      </c>
      <c r="F1955" t="n">
        <v/>
      </c>
      <c r="G1955" t="n">
        <v>39.69</v>
      </c>
      <c r="H1955" t="inlineStr"/>
      <c r="I1955" t="inlineStr">
        <is>
          <t>General</t>
        </is>
      </c>
      <c r="J1955" t="b">
        <v>0</v>
      </c>
      <c r="K1955" t="b">
        <v>0</v>
      </c>
      <c r="L1955" t="n">
        <v>11</v>
      </c>
      <c r="M1955" t="inlineStr">
        <is>
          <t>Values must be of type &lt;class 'str'&gt;</t>
        </is>
      </c>
      <c r="N1955" t="inlineStr">
        <is>
          <t>FFFFFF00</t>
        </is>
      </c>
      <c r="O1955" t="n">
        <v/>
      </c>
      <c r="P1955" t="n">
        <v/>
      </c>
      <c r="R1955" t="b">
        <v>1</v>
      </c>
      <c r="S1955" t="n">
        <v/>
      </c>
      <c r="T1955" t="n">
        <v/>
      </c>
      <c r="U1955" t="n">
        <v/>
      </c>
      <c r="V1955" t="b">
        <v>0</v>
      </c>
      <c r="W1955" t="inlineStr"/>
      <c r="X1955" t="n">
        <v/>
      </c>
    </row>
    <row r="1956">
      <c r="A1956" t="inlineStr">
        <is>
          <t>ATF fuel</t>
        </is>
      </c>
      <c r="B1956" t="inlineStr">
        <is>
          <t>E204</t>
        </is>
      </c>
      <c r="C1956" t="n">
        <v>204</v>
      </c>
      <c r="D1956" t="n">
        <v>5</v>
      </c>
      <c r="E1956" t="inlineStr">
        <is>
          <t>Input</t>
        </is>
      </c>
      <c r="F1956" t="n">
        <v/>
      </c>
      <c r="G1956" t="n">
        <v>40.58</v>
      </c>
      <c r="H1956" t="inlineStr"/>
      <c r="I1956" t="inlineStr">
        <is>
          <t>General</t>
        </is>
      </c>
      <c r="J1956" t="b">
        <v>0</v>
      </c>
      <c r="K1956" t="b">
        <v>0</v>
      </c>
      <c r="L1956" t="n">
        <v>11</v>
      </c>
      <c r="M1956" t="inlineStr">
        <is>
          <t>Values must be of type &lt;class 'str'&gt;</t>
        </is>
      </c>
      <c r="N1956" t="inlineStr">
        <is>
          <t>FFFFFF00</t>
        </is>
      </c>
      <c r="O1956" t="n">
        <v/>
      </c>
      <c r="P1956" t="n">
        <v/>
      </c>
      <c r="R1956" t="b">
        <v>1</v>
      </c>
      <c r="S1956" t="n">
        <v/>
      </c>
      <c r="T1956" t="n">
        <v/>
      </c>
      <c r="U1956" t="n">
        <v/>
      </c>
      <c r="V1956" t="b">
        <v>0</v>
      </c>
      <c r="W1956" t="inlineStr"/>
      <c r="X1956" t="n">
        <v/>
      </c>
    </row>
    <row r="1957">
      <c r="A1957" t="inlineStr">
        <is>
          <t>ATF fuel</t>
        </is>
      </c>
      <c r="B1957" t="inlineStr">
        <is>
          <t>F204</t>
        </is>
      </c>
      <c r="C1957" t="n">
        <v>204</v>
      </c>
      <c r="D1957" t="n">
        <v>6</v>
      </c>
      <c r="E1957" t="inlineStr">
        <is>
          <t>Input</t>
        </is>
      </c>
      <c r="F1957" t="n">
        <v/>
      </c>
      <c r="G1957" t="inlineStr">
        <is>
          <t>December 01, 2015</t>
        </is>
      </c>
      <c r="H1957" t="inlineStr"/>
      <c r="I1957" t="inlineStr">
        <is>
          <t>General</t>
        </is>
      </c>
      <c r="J1957" t="b">
        <v>0</v>
      </c>
      <c r="K1957" t="b">
        <v>0</v>
      </c>
      <c r="L1957" t="n">
        <v>11</v>
      </c>
      <c r="M1957" t="inlineStr">
        <is>
          <t>Values must be of type &lt;class 'str'&gt;</t>
        </is>
      </c>
      <c r="N1957" t="inlineStr">
        <is>
          <t>FFFFFF00</t>
        </is>
      </c>
      <c r="O1957" t="inlineStr">
        <is>
          <t>left</t>
        </is>
      </c>
      <c r="P1957" t="n">
        <v/>
      </c>
      <c r="R1957" t="b">
        <v>1</v>
      </c>
      <c r="S1957" t="n">
        <v/>
      </c>
      <c r="T1957" t="n">
        <v/>
      </c>
      <c r="U1957" t="n">
        <v/>
      </c>
      <c r="V1957" t="b">
        <v>0</v>
      </c>
      <c r="W1957" t="inlineStr"/>
      <c r="X1957" t="n">
        <v/>
      </c>
    </row>
    <row r="1958">
      <c r="A1958" t="inlineStr">
        <is>
          <t>ATF fuel</t>
        </is>
      </c>
      <c r="B1958" t="inlineStr">
        <is>
          <t>G204</t>
        </is>
      </c>
      <c r="C1958" t="n">
        <v>204</v>
      </c>
      <c r="D1958" t="n">
        <v>7</v>
      </c>
      <c r="E1958" t="inlineStr">
        <is>
          <t>Calculation</t>
        </is>
      </c>
      <c r="F1958" t="inlineStr">
        <is>
          <t>'=(1+(C204/C203)-1)*G203</t>
        </is>
      </c>
      <c r="G1958" t="n">
        <v>104.6082832184285</v>
      </c>
      <c r="H1958" t="inlineStr"/>
      <c r="I1958" t="inlineStr">
        <is>
          <t>General</t>
        </is>
      </c>
      <c r="J1958" t="b">
        <v>0</v>
      </c>
      <c r="K1958" t="b">
        <v>0</v>
      </c>
      <c r="L1958" t="n">
        <v>11</v>
      </c>
      <c r="M1958" t="inlineStr">
        <is>
          <t>Values must be of type &lt;class 'str'&gt;</t>
        </is>
      </c>
      <c r="N1958" t="inlineStr">
        <is>
          <t>FFFFFF00</t>
        </is>
      </c>
      <c r="O1958" t="inlineStr">
        <is>
          <t>left</t>
        </is>
      </c>
      <c r="P1958" t="n">
        <v/>
      </c>
      <c r="R1958" t="b">
        <v>1</v>
      </c>
      <c r="S1958" t="inlineStr">
        <is>
          <t>G000363</t>
        </is>
      </c>
      <c r="T1958" t="inlineStr">
        <is>
          <t>Horizontal</t>
        </is>
      </c>
      <c r="U1958" t="n">
        <v>3</v>
      </c>
      <c r="V1958" t="b">
        <v>1</v>
      </c>
      <c r="W1958" t="inlineStr">
        <is>
          <t>ATF fuel!G204:I204</t>
        </is>
      </c>
      <c r="X1958">
        <f>(1+(R[0]C[-4]/R[-1]C[-4])-1)*R[-1]C[0]</f>
        <v/>
      </c>
    </row>
    <row r="1959">
      <c r="A1959" t="inlineStr">
        <is>
          <t>ATF fuel</t>
        </is>
      </c>
      <c r="B1959" t="inlineStr">
        <is>
          <t>H204</t>
        </is>
      </c>
      <c r="C1959" t="n">
        <v>204</v>
      </c>
      <c r="D1959" t="n">
        <v>8</v>
      </c>
      <c r="E1959" t="inlineStr">
        <is>
          <t>Calculation</t>
        </is>
      </c>
      <c r="F1959" t="inlineStr">
        <is>
          <t>'=(1+(D204/D203)-1)*H203</t>
        </is>
      </c>
      <c r="G1959" t="n">
        <v>48.03340191213848</v>
      </c>
      <c r="H1959" t="inlineStr"/>
      <c r="I1959" t="inlineStr">
        <is>
          <t>General</t>
        </is>
      </c>
      <c r="J1959" t="b">
        <v>0</v>
      </c>
      <c r="K1959" t="b">
        <v>0</v>
      </c>
      <c r="L1959" t="n">
        <v>11</v>
      </c>
      <c r="M1959" t="inlineStr">
        <is>
          <t>Values must be of type &lt;class 'str'&gt;</t>
        </is>
      </c>
      <c r="N1959" t="inlineStr">
        <is>
          <t>FFFFFF00</t>
        </is>
      </c>
      <c r="O1959" t="inlineStr">
        <is>
          <t>left</t>
        </is>
      </c>
      <c r="P1959" t="n">
        <v/>
      </c>
      <c r="R1959" t="b">
        <v>1</v>
      </c>
      <c r="S1959" t="inlineStr">
        <is>
          <t>G000363</t>
        </is>
      </c>
      <c r="T1959" t="inlineStr">
        <is>
          <t>Horizontal</t>
        </is>
      </c>
      <c r="U1959" t="n">
        <v>3</v>
      </c>
      <c r="V1959" t="b">
        <v>1</v>
      </c>
      <c r="W1959" t="inlineStr">
        <is>
          <t>ATF fuel!G204:I204</t>
        </is>
      </c>
      <c r="X1959">
        <f>(1+(R[0]C[-4]/R[-1]C[-4])-1)*R[-1]C[0]</f>
        <v/>
      </c>
    </row>
    <row r="1960">
      <c r="A1960" t="inlineStr">
        <is>
          <t>ATF fuel</t>
        </is>
      </c>
      <c r="B1960" t="inlineStr">
        <is>
          <t>I204</t>
        </is>
      </c>
      <c r="C1960" t="n">
        <v>204</v>
      </c>
      <c r="D1960" t="n">
        <v>9</v>
      </c>
      <c r="E1960" t="inlineStr">
        <is>
          <t>Calculation</t>
        </is>
      </c>
      <c r="F1960" t="inlineStr">
        <is>
          <t>'=(1+(E204/E203)-1)*I203</t>
        </is>
      </c>
      <c r="G1960" t="n">
        <v>48.00662486691119</v>
      </c>
      <c r="H1960" t="inlineStr"/>
      <c r="I1960" t="inlineStr">
        <is>
          <t>General</t>
        </is>
      </c>
      <c r="J1960" t="b">
        <v>0</v>
      </c>
      <c r="K1960" t="b">
        <v>0</v>
      </c>
      <c r="L1960" t="n">
        <v>11</v>
      </c>
      <c r="M1960" t="inlineStr">
        <is>
          <t>Values must be of type &lt;class 'str'&gt;</t>
        </is>
      </c>
      <c r="N1960" t="inlineStr">
        <is>
          <t>FFFFFF00</t>
        </is>
      </c>
      <c r="O1960" t="inlineStr">
        <is>
          <t>left</t>
        </is>
      </c>
      <c r="P1960" t="n">
        <v/>
      </c>
      <c r="R1960" t="b">
        <v>1</v>
      </c>
      <c r="S1960" t="inlineStr">
        <is>
          <t>G000363</t>
        </is>
      </c>
      <c r="T1960" t="inlineStr">
        <is>
          <t>Horizontal</t>
        </is>
      </c>
      <c r="U1960" t="n">
        <v>3</v>
      </c>
      <c r="V1960" t="b">
        <v>1</v>
      </c>
      <c r="W1960" t="inlineStr">
        <is>
          <t>ATF fuel!G204:I204</t>
        </is>
      </c>
      <c r="X1960">
        <f>(1+(R[0]C[-4]/R[-1]C[-4])-1)*R[-1]C[0]</f>
        <v/>
      </c>
    </row>
    <row r="1961">
      <c r="A1961" t="inlineStr">
        <is>
          <t>ATF fuel</t>
        </is>
      </c>
      <c r="B1961" t="inlineStr">
        <is>
          <t>J204</t>
        </is>
      </c>
      <c r="C1961" t="n">
        <v>204</v>
      </c>
      <c r="D1961" t="n">
        <v>10</v>
      </c>
      <c r="E1961" t="inlineStr">
        <is>
          <t>Output</t>
        </is>
      </c>
      <c r="F1961" t="inlineStr">
        <is>
          <t>'=G204/H204-1</t>
        </is>
      </c>
      <c r="G1961" t="n">
        <v>1.177823744605377</v>
      </c>
      <c r="H1961" t="inlineStr"/>
      <c r="I1961" t="inlineStr">
        <is>
          <t>0.0%</t>
        </is>
      </c>
      <c r="J1961" t="b">
        <v>0</v>
      </c>
      <c r="K1961" t="b">
        <v>0</v>
      </c>
      <c r="L1961" t="n">
        <v>11</v>
      </c>
      <c r="M1961" t="inlineStr">
        <is>
          <t>Values must be of type &lt;class 'str'&gt;</t>
        </is>
      </c>
      <c r="N1961" t="inlineStr">
        <is>
          <t>FFFFFF00</t>
        </is>
      </c>
      <c r="O1961" t="n">
        <v/>
      </c>
      <c r="P1961" t="n">
        <v/>
      </c>
      <c r="R1961" t="b">
        <v>1</v>
      </c>
      <c r="S1961" t="inlineStr">
        <is>
          <t>G000295</t>
        </is>
      </c>
      <c r="T1961" t="inlineStr">
        <is>
          <t>Vertical</t>
        </is>
      </c>
      <c r="U1961" t="n">
        <v>93</v>
      </c>
      <c r="V1961" t="b">
        <v>1</v>
      </c>
      <c r="W1961" t="inlineStr">
        <is>
          <t>ATF fuel!J136:J228</t>
        </is>
      </c>
      <c r="X1961">
        <f>R[0]C[-3]/R[0]C[-2]-1</f>
        <v/>
      </c>
    </row>
    <row r="1962">
      <c r="A1962" t="inlineStr">
        <is>
          <t>ATF fuel</t>
        </is>
      </c>
      <c r="B1962" t="inlineStr">
        <is>
          <t>B205</t>
        </is>
      </c>
      <c r="C1962" t="n">
        <v>205</v>
      </c>
      <c r="D1962" t="n">
        <v>2</v>
      </c>
      <c r="E1962" t="inlineStr">
        <is>
          <t>Input</t>
        </is>
      </c>
      <c r="F1962" t="n">
        <v/>
      </c>
      <c r="G1962" t="inlineStr">
        <is>
          <t>January 01, 2016</t>
        </is>
      </c>
      <c r="H1962" t="inlineStr"/>
      <c r="I1962" t="inlineStr">
        <is>
          <t>General</t>
        </is>
      </c>
      <c r="J1962" t="b">
        <v>0</v>
      </c>
      <c r="K1962" t="b">
        <v>0</v>
      </c>
      <c r="L1962" t="n">
        <v>11</v>
      </c>
      <c r="M1962" t="inlineStr">
        <is>
          <t>Values must be of type &lt;class 'str'&gt;</t>
        </is>
      </c>
      <c r="N1962" t="inlineStr">
        <is>
          <t>00000000</t>
        </is>
      </c>
      <c r="O1962" t="n">
        <v/>
      </c>
      <c r="P1962" t="n">
        <v/>
      </c>
      <c r="R1962" t="b">
        <v>1</v>
      </c>
      <c r="S1962" t="n">
        <v/>
      </c>
      <c r="T1962" t="n">
        <v/>
      </c>
      <c r="U1962" t="n">
        <v/>
      </c>
      <c r="V1962" t="b">
        <v>0</v>
      </c>
      <c r="W1962" t="inlineStr"/>
      <c r="X1962" t="n">
        <v/>
      </c>
    </row>
    <row r="1963">
      <c r="A1963" t="inlineStr">
        <is>
          <t>ATF fuel</t>
        </is>
      </c>
      <c r="B1963" t="inlineStr">
        <is>
          <t>C205</t>
        </is>
      </c>
      <c r="C1963" t="n">
        <v>205</v>
      </c>
      <c r="D1963" t="n">
        <v>3</v>
      </c>
      <c r="E1963" t="inlineStr">
        <is>
          <t>Input</t>
        </is>
      </c>
      <c r="F1963" t="n">
        <v/>
      </c>
      <c r="G1963" t="n">
        <v>41922.23</v>
      </c>
      <c r="H1963" t="inlineStr"/>
      <c r="I1963" t="inlineStr">
        <is>
          <t>General</t>
        </is>
      </c>
      <c r="J1963" t="b">
        <v>0</v>
      </c>
      <c r="K1963" t="b">
        <v>0</v>
      </c>
      <c r="L1963" t="n">
        <v>11</v>
      </c>
      <c r="M1963" t="inlineStr">
        <is>
          <t>Values must be of type &lt;class 'str'&gt;</t>
        </is>
      </c>
      <c r="N1963" t="inlineStr">
        <is>
          <t>00000000</t>
        </is>
      </c>
      <c r="O1963" t="n">
        <v/>
      </c>
      <c r="P1963" t="n">
        <v/>
      </c>
      <c r="R1963" t="b">
        <v>1</v>
      </c>
      <c r="S1963" t="n">
        <v/>
      </c>
      <c r="T1963" t="n">
        <v/>
      </c>
      <c r="U1963" t="n">
        <v/>
      </c>
      <c r="V1963" t="b">
        <v>0</v>
      </c>
      <c r="W1963" t="inlineStr"/>
      <c r="X1963" t="n">
        <v/>
      </c>
    </row>
    <row r="1964">
      <c r="A1964" t="inlineStr">
        <is>
          <t>ATF fuel</t>
        </is>
      </c>
      <c r="B1964" t="inlineStr">
        <is>
          <t>D205</t>
        </is>
      </c>
      <c r="C1964" t="n">
        <v>205</v>
      </c>
      <c r="D1964" t="n">
        <v>4</v>
      </c>
      <c r="E1964" t="inlineStr">
        <is>
          <t>Input</t>
        </is>
      </c>
      <c r="F1964" t="n">
        <v/>
      </c>
      <c r="G1964" t="n">
        <v>33.57</v>
      </c>
      <c r="H1964" t="inlineStr"/>
      <c r="I1964" t="inlineStr">
        <is>
          <t>General</t>
        </is>
      </c>
      <c r="J1964" t="b">
        <v>0</v>
      </c>
      <c r="K1964" t="b">
        <v>0</v>
      </c>
      <c r="L1964" t="n">
        <v>11</v>
      </c>
      <c r="M1964" t="inlineStr">
        <is>
          <t>Values must be of type &lt;class 'str'&gt;</t>
        </is>
      </c>
      <c r="N1964" t="inlineStr">
        <is>
          <t>00000000</t>
        </is>
      </c>
      <c r="O1964" t="n">
        <v/>
      </c>
      <c r="P1964" t="n">
        <v/>
      </c>
      <c r="R1964" t="b">
        <v>1</v>
      </c>
      <c r="S1964" t="n">
        <v/>
      </c>
      <c r="T1964" t="n">
        <v/>
      </c>
      <c r="U1964" t="n">
        <v/>
      </c>
      <c r="V1964" t="b">
        <v>0</v>
      </c>
      <c r="W1964" t="inlineStr"/>
      <c r="X1964" t="n">
        <v/>
      </c>
    </row>
    <row r="1965">
      <c r="A1965" t="inlineStr">
        <is>
          <t>ATF fuel</t>
        </is>
      </c>
      <c r="B1965" t="inlineStr">
        <is>
          <t>E205</t>
        </is>
      </c>
      <c r="C1965" t="n">
        <v>205</v>
      </c>
      <c r="D1965" t="n">
        <v>5</v>
      </c>
      <c r="E1965" t="inlineStr">
        <is>
          <t>Input</t>
        </is>
      </c>
      <c r="F1965" t="n">
        <v/>
      </c>
      <c r="G1965" t="n">
        <v>37.13</v>
      </c>
      <c r="H1965" t="inlineStr"/>
      <c r="I1965" t="inlineStr">
        <is>
          <t>General</t>
        </is>
      </c>
      <c r="J1965" t="b">
        <v>0</v>
      </c>
      <c r="K1965" t="b">
        <v>0</v>
      </c>
      <c r="L1965" t="n">
        <v>11</v>
      </c>
      <c r="M1965" t="inlineStr">
        <is>
          <t>Values must be of type &lt;class 'str'&gt;</t>
        </is>
      </c>
      <c r="N1965" t="inlineStr">
        <is>
          <t>00000000</t>
        </is>
      </c>
      <c r="O1965" t="n">
        <v/>
      </c>
      <c r="P1965" t="n">
        <v/>
      </c>
      <c r="R1965" t="b">
        <v>1</v>
      </c>
      <c r="S1965" t="n">
        <v/>
      </c>
      <c r="T1965" t="n">
        <v/>
      </c>
      <c r="U1965" t="n">
        <v/>
      </c>
      <c r="V1965" t="b">
        <v>0</v>
      </c>
      <c r="W1965" t="inlineStr"/>
      <c r="X1965" t="n">
        <v/>
      </c>
    </row>
    <row r="1966">
      <c r="A1966" t="inlineStr">
        <is>
          <t>ATF fuel</t>
        </is>
      </c>
      <c r="B1966" t="inlineStr">
        <is>
          <t>F205</t>
        </is>
      </c>
      <c r="C1966" t="n">
        <v>205</v>
      </c>
      <c r="D1966" t="n">
        <v>6</v>
      </c>
      <c r="E1966" t="inlineStr">
        <is>
          <t>Input</t>
        </is>
      </c>
      <c r="F1966" t="n">
        <v/>
      </c>
      <c r="G1966" t="inlineStr">
        <is>
          <t>January 01, 2016</t>
        </is>
      </c>
      <c r="H1966" t="inlineStr"/>
      <c r="I1966" t="inlineStr">
        <is>
          <t>General</t>
        </is>
      </c>
      <c r="J1966" t="b">
        <v>0</v>
      </c>
      <c r="K1966" t="b">
        <v>0</v>
      </c>
      <c r="L1966" t="n">
        <v>11</v>
      </c>
      <c r="M1966" t="inlineStr">
        <is>
          <t>Values must be of type &lt;class 'str'&gt;</t>
        </is>
      </c>
      <c r="N1966" t="inlineStr">
        <is>
          <t>00000000</t>
        </is>
      </c>
      <c r="O1966" t="inlineStr">
        <is>
          <t>left</t>
        </is>
      </c>
      <c r="P1966" t="n">
        <v/>
      </c>
      <c r="R1966" t="b">
        <v>1</v>
      </c>
      <c r="S1966" t="n">
        <v/>
      </c>
      <c r="T1966" t="n">
        <v/>
      </c>
      <c r="U1966" t="n">
        <v/>
      </c>
      <c r="V1966" t="b">
        <v>0</v>
      </c>
      <c r="W1966" t="inlineStr"/>
      <c r="X1966" t="n">
        <v/>
      </c>
    </row>
    <row r="1967">
      <c r="A1967" t="inlineStr">
        <is>
          <t>ATF fuel</t>
        </is>
      </c>
      <c r="B1967" t="inlineStr">
        <is>
          <t>G205</t>
        </is>
      </c>
      <c r="C1967" t="n">
        <v>205</v>
      </c>
      <c r="D1967" t="n">
        <v>7</v>
      </c>
      <c r="E1967" t="inlineStr">
        <is>
          <t>Calculation</t>
        </is>
      </c>
      <c r="F1967" t="inlineStr">
        <is>
          <t>'=(1+(C205/C204)-1)*G204</t>
        </is>
      </c>
      <c r="G1967" t="n">
        <v>94.50073630348969</v>
      </c>
      <c r="H1967" t="inlineStr"/>
      <c r="I1967" t="inlineStr">
        <is>
          <t>General</t>
        </is>
      </c>
      <c r="J1967" t="b">
        <v>0</v>
      </c>
      <c r="K1967" t="b">
        <v>0</v>
      </c>
      <c r="L1967" t="n">
        <v>11</v>
      </c>
      <c r="M1967" t="inlineStr">
        <is>
          <t>Values must be of type &lt;class 'str'&gt;</t>
        </is>
      </c>
      <c r="N1967" t="inlineStr">
        <is>
          <t>00000000</t>
        </is>
      </c>
      <c r="O1967" t="inlineStr">
        <is>
          <t>left</t>
        </is>
      </c>
      <c r="P1967" t="n">
        <v/>
      </c>
      <c r="R1967" t="b">
        <v>1</v>
      </c>
      <c r="S1967" t="inlineStr">
        <is>
          <t>G000364</t>
        </is>
      </c>
      <c r="T1967" t="inlineStr">
        <is>
          <t>Horizontal</t>
        </is>
      </c>
      <c r="U1967" t="n">
        <v>3</v>
      </c>
      <c r="V1967" t="b">
        <v>1</v>
      </c>
      <c r="W1967" t="inlineStr">
        <is>
          <t>ATF fuel!G205:I205</t>
        </is>
      </c>
      <c r="X1967">
        <f>(1+(R[0]C[-4]/R[-1]C[-4])-1)*R[-1]C[0]</f>
        <v/>
      </c>
    </row>
    <row r="1968">
      <c r="A1968" t="inlineStr">
        <is>
          <t>ATF fuel</t>
        </is>
      </c>
      <c r="B1968" t="inlineStr">
        <is>
          <t>H205</t>
        </is>
      </c>
      <c r="C1968" t="n">
        <v>205</v>
      </c>
      <c r="D1968" t="n">
        <v>8</v>
      </c>
      <c r="E1968" t="inlineStr">
        <is>
          <t>Calculation</t>
        </is>
      </c>
      <c r="F1968" t="inlineStr">
        <is>
          <t>'=(1+(D205/D204)-1)*H204</t>
        </is>
      </c>
      <c r="G1968" t="n">
        <v>40.62689095969989</v>
      </c>
      <c r="H1968" t="inlineStr"/>
      <c r="I1968" t="inlineStr">
        <is>
          <t>General</t>
        </is>
      </c>
      <c r="J1968" t="b">
        <v>0</v>
      </c>
      <c r="K1968" t="b">
        <v>0</v>
      </c>
      <c r="L1968" t="n">
        <v>11</v>
      </c>
      <c r="M1968" t="inlineStr">
        <is>
          <t>Values must be of type &lt;class 'str'&gt;</t>
        </is>
      </c>
      <c r="N1968" t="inlineStr">
        <is>
          <t>00000000</t>
        </is>
      </c>
      <c r="O1968" t="inlineStr">
        <is>
          <t>left</t>
        </is>
      </c>
      <c r="P1968" t="n">
        <v/>
      </c>
      <c r="R1968" t="b">
        <v>1</v>
      </c>
      <c r="S1968" t="inlineStr">
        <is>
          <t>G000364</t>
        </is>
      </c>
      <c r="T1968" t="inlineStr">
        <is>
          <t>Horizontal</t>
        </is>
      </c>
      <c r="U1968" t="n">
        <v>3</v>
      </c>
      <c r="V1968" t="b">
        <v>1</v>
      </c>
      <c r="W1968" t="inlineStr">
        <is>
          <t>ATF fuel!G205:I205</t>
        </is>
      </c>
      <c r="X1968">
        <f>(1+(R[0]C[-4]/R[-1]C[-4])-1)*R[-1]C[0]</f>
        <v/>
      </c>
    </row>
    <row r="1969">
      <c r="A1969" t="inlineStr">
        <is>
          <t>ATF fuel</t>
        </is>
      </c>
      <c r="B1969" t="inlineStr">
        <is>
          <t>I205</t>
        </is>
      </c>
      <c r="C1969" t="n">
        <v>205</v>
      </c>
      <c r="D1969" t="n">
        <v>9</v>
      </c>
      <c r="E1969" t="inlineStr">
        <is>
          <t>Calculation</t>
        </is>
      </c>
      <c r="F1969" t="inlineStr">
        <is>
          <t>'=(1+(E205/E204)-1)*I204</t>
        </is>
      </c>
      <c r="G1969" t="n">
        <v>43.92523364485985</v>
      </c>
      <c r="H1969" t="inlineStr"/>
      <c r="I1969" t="inlineStr">
        <is>
          <t>General</t>
        </is>
      </c>
      <c r="J1969" t="b">
        <v>0</v>
      </c>
      <c r="K1969" t="b">
        <v>0</v>
      </c>
      <c r="L1969" t="n">
        <v>11</v>
      </c>
      <c r="M1969" t="inlineStr">
        <is>
          <t>Values must be of type &lt;class 'str'&gt;</t>
        </is>
      </c>
      <c r="N1969" t="inlineStr">
        <is>
          <t>00000000</t>
        </is>
      </c>
      <c r="O1969" t="inlineStr">
        <is>
          <t>left</t>
        </is>
      </c>
      <c r="P1969" t="n">
        <v/>
      </c>
      <c r="R1969" t="b">
        <v>1</v>
      </c>
      <c r="S1969" t="inlineStr">
        <is>
          <t>G000364</t>
        </is>
      </c>
      <c r="T1969" t="inlineStr">
        <is>
          <t>Horizontal</t>
        </is>
      </c>
      <c r="U1969" t="n">
        <v>3</v>
      </c>
      <c r="V1969" t="b">
        <v>1</v>
      </c>
      <c r="W1969" t="inlineStr">
        <is>
          <t>ATF fuel!G205:I205</t>
        </is>
      </c>
      <c r="X1969">
        <f>(1+(R[0]C[-4]/R[-1]C[-4])-1)*R[-1]C[0]</f>
        <v/>
      </c>
    </row>
    <row r="1970">
      <c r="A1970" t="inlineStr">
        <is>
          <t>ATF fuel</t>
        </is>
      </c>
      <c r="B1970" t="inlineStr">
        <is>
          <t>J205</t>
        </is>
      </c>
      <c r="C1970" t="n">
        <v>205</v>
      </c>
      <c r="D1970" t="n">
        <v>10</v>
      </c>
      <c r="E1970" t="inlineStr">
        <is>
          <t>Output</t>
        </is>
      </c>
      <c r="F1970" t="inlineStr">
        <is>
          <t>'=G205/H205-1</t>
        </is>
      </c>
      <c r="G1970" t="n">
        <v>1.326063699957506</v>
      </c>
      <c r="H1970" t="inlineStr"/>
      <c r="I1970" t="inlineStr">
        <is>
          <t>0.0%</t>
        </is>
      </c>
      <c r="J1970" t="b">
        <v>0</v>
      </c>
      <c r="K1970" t="b">
        <v>0</v>
      </c>
      <c r="L1970" t="n">
        <v>11</v>
      </c>
      <c r="M1970" t="inlineStr">
        <is>
          <t>Values must be of type &lt;class 'str'&gt;</t>
        </is>
      </c>
      <c r="N1970" t="inlineStr">
        <is>
          <t>00000000</t>
        </is>
      </c>
      <c r="O1970" t="n">
        <v/>
      </c>
      <c r="P1970" t="n">
        <v/>
      </c>
      <c r="R1970" t="b">
        <v>1</v>
      </c>
      <c r="S1970" t="inlineStr">
        <is>
          <t>G000295</t>
        </is>
      </c>
      <c r="T1970" t="inlineStr">
        <is>
          <t>Vertical</t>
        </is>
      </c>
      <c r="U1970" t="n">
        <v>93</v>
      </c>
      <c r="V1970" t="b">
        <v>1</v>
      </c>
      <c r="W1970" t="inlineStr">
        <is>
          <t>ATF fuel!J136:J228</t>
        </is>
      </c>
      <c r="X1970">
        <f>R[0]C[-3]/R[0]C[-2]-1</f>
        <v/>
      </c>
    </row>
    <row r="1971">
      <c r="A1971" t="inlineStr">
        <is>
          <t>ATF fuel</t>
        </is>
      </c>
      <c r="B1971" t="inlineStr">
        <is>
          <t>B206</t>
        </is>
      </c>
      <c r="C1971" t="n">
        <v>206</v>
      </c>
      <c r="D1971" t="n">
        <v>2</v>
      </c>
      <c r="E1971" t="inlineStr">
        <is>
          <t>Input</t>
        </is>
      </c>
      <c r="F1971" t="n">
        <v/>
      </c>
      <c r="G1971" t="inlineStr">
        <is>
          <t>February 01,2016</t>
        </is>
      </c>
      <c r="H1971" t="inlineStr"/>
      <c r="I1971" t="inlineStr">
        <is>
          <t>General</t>
        </is>
      </c>
      <c r="J1971" t="b">
        <v>0</v>
      </c>
      <c r="K1971" t="b">
        <v>0</v>
      </c>
      <c r="L1971" t="n">
        <v>11</v>
      </c>
      <c r="M1971" t="inlineStr">
        <is>
          <t>Values must be of type &lt;class 'str'&gt;</t>
        </is>
      </c>
      <c r="N1971" t="inlineStr">
        <is>
          <t>00000000</t>
        </is>
      </c>
      <c r="O1971" t="n">
        <v/>
      </c>
      <c r="P1971" t="n">
        <v/>
      </c>
      <c r="R1971" t="b">
        <v>1</v>
      </c>
      <c r="S1971" t="n">
        <v/>
      </c>
      <c r="T1971" t="n">
        <v/>
      </c>
      <c r="U1971" t="n">
        <v/>
      </c>
      <c r="V1971" t="b">
        <v>0</v>
      </c>
      <c r="W1971" t="inlineStr"/>
      <c r="X1971" t="n">
        <v/>
      </c>
    </row>
    <row r="1972">
      <c r="A1972" t="inlineStr">
        <is>
          <t>ATF fuel</t>
        </is>
      </c>
      <c r="B1972" t="inlineStr">
        <is>
          <t>C206</t>
        </is>
      </c>
      <c r="C1972" t="n">
        <v>206</v>
      </c>
      <c r="D1972" t="n">
        <v>3</v>
      </c>
      <c r="E1972" t="inlineStr">
        <is>
          <t>Input</t>
        </is>
      </c>
      <c r="F1972" t="n">
        <v/>
      </c>
      <c r="G1972" t="n">
        <v>37121.7925</v>
      </c>
      <c r="H1972" t="inlineStr"/>
      <c r="I1972" t="inlineStr">
        <is>
          <t>General</t>
        </is>
      </c>
      <c r="J1972" t="b">
        <v>0</v>
      </c>
      <c r="K1972" t="b">
        <v>0</v>
      </c>
      <c r="L1972" t="n">
        <v>11</v>
      </c>
      <c r="M1972" t="inlineStr">
        <is>
          <t>Values must be of type &lt;class 'str'&gt;</t>
        </is>
      </c>
      <c r="N1972" t="inlineStr">
        <is>
          <t>00000000</t>
        </is>
      </c>
      <c r="O1972" t="n">
        <v/>
      </c>
      <c r="P1972" t="n">
        <v/>
      </c>
      <c r="R1972" t="b">
        <v>1</v>
      </c>
      <c r="S1972" t="n">
        <v/>
      </c>
      <c r="T1972" t="n">
        <v/>
      </c>
      <c r="U1972" t="n">
        <v/>
      </c>
      <c r="V1972" t="b">
        <v>0</v>
      </c>
      <c r="W1972" t="inlineStr"/>
      <c r="X1972" t="n">
        <v/>
      </c>
    </row>
    <row r="1973">
      <c r="A1973" t="inlineStr">
        <is>
          <t>ATF fuel</t>
        </is>
      </c>
      <c r="B1973" t="inlineStr">
        <is>
          <t>D206</t>
        </is>
      </c>
      <c r="C1973" t="n">
        <v>206</v>
      </c>
      <c r="D1973" t="n">
        <v>4</v>
      </c>
      <c r="E1973" t="inlineStr">
        <is>
          <t>Input</t>
        </is>
      </c>
      <c r="F1973" t="n">
        <v/>
      </c>
      <c r="G1973" t="n">
        <v>32.76</v>
      </c>
      <c r="H1973" t="inlineStr"/>
      <c r="I1973" t="inlineStr">
        <is>
          <t>General</t>
        </is>
      </c>
      <c r="J1973" t="b">
        <v>0</v>
      </c>
      <c r="K1973" t="b">
        <v>0</v>
      </c>
      <c r="L1973" t="n">
        <v>11</v>
      </c>
      <c r="M1973" t="inlineStr">
        <is>
          <t>Values must be of type &lt;class 'str'&gt;</t>
        </is>
      </c>
      <c r="N1973" t="inlineStr">
        <is>
          <t>00000000</t>
        </is>
      </c>
      <c r="O1973" t="n">
        <v/>
      </c>
      <c r="P1973" t="n">
        <v/>
      </c>
      <c r="R1973" t="b">
        <v>1</v>
      </c>
      <c r="S1973" t="n">
        <v/>
      </c>
      <c r="T1973" t="n">
        <v/>
      </c>
      <c r="U1973" t="n">
        <v/>
      </c>
      <c r="V1973" t="b">
        <v>0</v>
      </c>
      <c r="W1973" t="inlineStr"/>
      <c r="X1973" t="n">
        <v/>
      </c>
    </row>
    <row r="1974">
      <c r="A1974" t="inlineStr">
        <is>
          <t>ATF fuel</t>
        </is>
      </c>
      <c r="B1974" t="inlineStr">
        <is>
          <t>E206</t>
        </is>
      </c>
      <c r="C1974" t="n">
        <v>206</v>
      </c>
      <c r="D1974" t="n">
        <v>5</v>
      </c>
      <c r="E1974" t="inlineStr">
        <is>
          <t>Input</t>
        </is>
      </c>
      <c r="F1974" t="n">
        <v/>
      </c>
      <c r="G1974" t="n">
        <v>31.62</v>
      </c>
      <c r="H1974" t="inlineStr"/>
      <c r="I1974" t="inlineStr">
        <is>
          <t>General</t>
        </is>
      </c>
      <c r="J1974" t="b">
        <v>0</v>
      </c>
      <c r="K1974" t="b">
        <v>0</v>
      </c>
      <c r="L1974" t="n">
        <v>11</v>
      </c>
      <c r="M1974" t="inlineStr">
        <is>
          <t>Values must be of type &lt;class 'str'&gt;</t>
        </is>
      </c>
      <c r="N1974" t="inlineStr">
        <is>
          <t>00000000</t>
        </is>
      </c>
      <c r="O1974" t="n">
        <v/>
      </c>
      <c r="P1974" t="n">
        <v/>
      </c>
      <c r="R1974" t="b">
        <v>1</v>
      </c>
      <c r="S1974" t="n">
        <v/>
      </c>
      <c r="T1974" t="n">
        <v/>
      </c>
      <c r="U1974" t="n">
        <v/>
      </c>
      <c r="V1974" t="b">
        <v>0</v>
      </c>
      <c r="W1974" t="inlineStr"/>
      <c r="X1974" t="n">
        <v/>
      </c>
    </row>
    <row r="1975">
      <c r="A1975" t="inlineStr">
        <is>
          <t>ATF fuel</t>
        </is>
      </c>
      <c r="B1975" t="inlineStr">
        <is>
          <t>F206</t>
        </is>
      </c>
      <c r="C1975" t="n">
        <v>206</v>
      </c>
      <c r="D1975" t="n">
        <v>6</v>
      </c>
      <c r="E1975" t="inlineStr">
        <is>
          <t>Input</t>
        </is>
      </c>
      <c r="F1975" t="n">
        <v/>
      </c>
      <c r="G1975" t="inlineStr">
        <is>
          <t>February 01,2016</t>
        </is>
      </c>
      <c r="H1975" t="inlineStr"/>
      <c r="I1975" t="inlineStr">
        <is>
          <t>General</t>
        </is>
      </c>
      <c r="J1975" t="b">
        <v>0</v>
      </c>
      <c r="K1975" t="b">
        <v>0</v>
      </c>
      <c r="L1975" t="n">
        <v>11</v>
      </c>
      <c r="M1975" t="inlineStr">
        <is>
          <t>Values must be of type &lt;class 'str'&gt;</t>
        </is>
      </c>
      <c r="N1975" t="inlineStr">
        <is>
          <t>00000000</t>
        </is>
      </c>
      <c r="O1975" t="inlineStr">
        <is>
          <t>left</t>
        </is>
      </c>
      <c r="P1975" t="n">
        <v/>
      </c>
      <c r="R1975" t="b">
        <v>1</v>
      </c>
      <c r="S1975" t="n">
        <v/>
      </c>
      <c r="T1975" t="n">
        <v/>
      </c>
      <c r="U1975" t="n">
        <v/>
      </c>
      <c r="V1975" t="b">
        <v>0</v>
      </c>
      <c r="W1975" t="inlineStr"/>
      <c r="X1975" t="n">
        <v/>
      </c>
    </row>
    <row r="1976">
      <c r="A1976" t="inlineStr">
        <is>
          <t>ATF fuel</t>
        </is>
      </c>
      <c r="B1976" t="inlineStr">
        <is>
          <t>G206</t>
        </is>
      </c>
      <c r="C1976" t="n">
        <v>206</v>
      </c>
      <c r="D1976" t="n">
        <v>7</v>
      </c>
      <c r="E1976" t="inlineStr">
        <is>
          <t>Calculation</t>
        </is>
      </c>
      <c r="F1976" t="inlineStr">
        <is>
          <t>'=(1+(C206/C205)-1)*G205</t>
        </is>
      </c>
      <c r="G1976" t="n">
        <v>83.67963069129104</v>
      </c>
      <c r="H1976" t="inlineStr"/>
      <c r="I1976" t="inlineStr">
        <is>
          <t>General</t>
        </is>
      </c>
      <c r="J1976" t="b">
        <v>0</v>
      </c>
      <c r="K1976" t="b">
        <v>0</v>
      </c>
      <c r="L1976" t="n">
        <v>11</v>
      </c>
      <c r="M1976" t="inlineStr">
        <is>
          <t>Values must be of type &lt;class 'str'&gt;</t>
        </is>
      </c>
      <c r="N1976" t="inlineStr">
        <is>
          <t>00000000</t>
        </is>
      </c>
      <c r="O1976" t="inlineStr">
        <is>
          <t>left</t>
        </is>
      </c>
      <c r="P1976" t="n">
        <v/>
      </c>
      <c r="R1976" t="b">
        <v>1</v>
      </c>
      <c r="S1976" t="inlineStr">
        <is>
          <t>G000365</t>
        </is>
      </c>
      <c r="T1976" t="inlineStr">
        <is>
          <t>Horizontal</t>
        </is>
      </c>
      <c r="U1976" t="n">
        <v>3</v>
      </c>
      <c r="V1976" t="b">
        <v>1</v>
      </c>
      <c r="W1976" t="inlineStr">
        <is>
          <t>ATF fuel!G206:I206</t>
        </is>
      </c>
      <c r="X1976">
        <f>(1+(R[0]C[-4]/R[-1]C[-4])-1)*R[-1]C[0]</f>
        <v/>
      </c>
    </row>
    <row r="1977">
      <c r="A1977" t="inlineStr">
        <is>
          <t>ATF fuel</t>
        </is>
      </c>
      <c r="B1977" t="inlineStr">
        <is>
          <t>H206</t>
        </is>
      </c>
      <c r="C1977" t="n">
        <v>206</v>
      </c>
      <c r="D1977" t="n">
        <v>8</v>
      </c>
      <c r="E1977" t="inlineStr">
        <is>
          <t>Calculation</t>
        </is>
      </c>
      <c r="F1977" t="inlineStr">
        <is>
          <t>'=(1+(D206/D205)-1)*H205</t>
        </is>
      </c>
      <c r="G1977" t="n">
        <v>39.6466174512889</v>
      </c>
      <c r="H1977" t="inlineStr"/>
      <c r="I1977" t="inlineStr">
        <is>
          <t>General</t>
        </is>
      </c>
      <c r="J1977" t="b">
        <v>0</v>
      </c>
      <c r="K1977" t="b">
        <v>0</v>
      </c>
      <c r="L1977" t="n">
        <v>11</v>
      </c>
      <c r="M1977" t="inlineStr">
        <is>
          <t>Values must be of type &lt;class 'str'&gt;</t>
        </is>
      </c>
      <c r="N1977" t="inlineStr">
        <is>
          <t>00000000</t>
        </is>
      </c>
      <c r="O1977" t="inlineStr">
        <is>
          <t>left</t>
        </is>
      </c>
      <c r="P1977" t="n">
        <v/>
      </c>
      <c r="R1977" t="b">
        <v>1</v>
      </c>
      <c r="S1977" t="inlineStr">
        <is>
          <t>G000365</t>
        </is>
      </c>
      <c r="T1977" t="inlineStr">
        <is>
          <t>Horizontal</t>
        </is>
      </c>
      <c r="U1977" t="n">
        <v>3</v>
      </c>
      <c r="V1977" t="b">
        <v>1</v>
      </c>
      <c r="W1977" t="inlineStr">
        <is>
          <t>ATF fuel!G206:I206</t>
        </is>
      </c>
      <c r="X1977">
        <f>(1+(R[0]C[-4]/R[-1]C[-4])-1)*R[-1]C[0]</f>
        <v/>
      </c>
    </row>
    <row r="1978">
      <c r="A1978" t="inlineStr">
        <is>
          <t>ATF fuel</t>
        </is>
      </c>
      <c r="B1978" t="inlineStr">
        <is>
          <t>I206</t>
        </is>
      </c>
      <c r="C1978" t="n">
        <v>206</v>
      </c>
      <c r="D1978" t="n">
        <v>9</v>
      </c>
      <c r="E1978" t="inlineStr">
        <is>
          <t>Calculation</t>
        </is>
      </c>
      <c r="F1978" t="inlineStr">
        <is>
          <t>'=(1+(E206/E205)-1)*I205</t>
        </is>
      </c>
      <c r="G1978" t="n">
        <v>37.4068378090619</v>
      </c>
      <c r="H1978" t="inlineStr"/>
      <c r="I1978" t="inlineStr">
        <is>
          <t>General</t>
        </is>
      </c>
      <c r="J1978" t="b">
        <v>0</v>
      </c>
      <c r="K1978" t="b">
        <v>0</v>
      </c>
      <c r="L1978" t="n">
        <v>11</v>
      </c>
      <c r="M1978" t="inlineStr">
        <is>
          <t>Values must be of type &lt;class 'str'&gt;</t>
        </is>
      </c>
      <c r="N1978" t="inlineStr">
        <is>
          <t>00000000</t>
        </is>
      </c>
      <c r="O1978" t="inlineStr">
        <is>
          <t>left</t>
        </is>
      </c>
      <c r="P1978" t="n">
        <v/>
      </c>
      <c r="R1978" t="b">
        <v>1</v>
      </c>
      <c r="S1978" t="inlineStr">
        <is>
          <t>G000365</t>
        </is>
      </c>
      <c r="T1978" t="inlineStr">
        <is>
          <t>Horizontal</t>
        </is>
      </c>
      <c r="U1978" t="n">
        <v>3</v>
      </c>
      <c r="V1978" t="b">
        <v>1</v>
      </c>
      <c r="W1978" t="inlineStr">
        <is>
          <t>ATF fuel!G206:I206</t>
        </is>
      </c>
      <c r="X1978">
        <f>(1+(R[0]C[-4]/R[-1]C[-4])-1)*R[-1]C[0]</f>
        <v/>
      </c>
    </row>
    <row r="1979">
      <c r="A1979" t="inlineStr">
        <is>
          <t>ATF fuel</t>
        </is>
      </c>
      <c r="B1979" t="inlineStr">
        <is>
          <t>J206</t>
        </is>
      </c>
      <c r="C1979" t="n">
        <v>206</v>
      </c>
      <c r="D1979" t="n">
        <v>10</v>
      </c>
      <c r="E1979" t="inlineStr">
        <is>
          <t>Output</t>
        </is>
      </c>
      <c r="F1979" t="inlineStr">
        <is>
          <t>'=G206/H206-1</t>
        </is>
      </c>
      <c r="G1979" t="n">
        <v>1.110637327234852</v>
      </c>
      <c r="H1979" t="inlineStr"/>
      <c r="I1979" t="inlineStr">
        <is>
          <t>0.0%</t>
        </is>
      </c>
      <c r="J1979" t="b">
        <v>0</v>
      </c>
      <c r="K1979" t="b">
        <v>0</v>
      </c>
      <c r="L1979" t="n">
        <v>11</v>
      </c>
      <c r="M1979" t="inlineStr">
        <is>
          <t>Values must be of type &lt;class 'str'&gt;</t>
        </is>
      </c>
      <c r="N1979" t="inlineStr">
        <is>
          <t>00000000</t>
        </is>
      </c>
      <c r="O1979" t="n">
        <v/>
      </c>
      <c r="P1979" t="n">
        <v/>
      </c>
      <c r="R1979" t="b">
        <v>1</v>
      </c>
      <c r="S1979" t="inlineStr">
        <is>
          <t>G000295</t>
        </is>
      </c>
      <c r="T1979" t="inlineStr">
        <is>
          <t>Vertical</t>
        </is>
      </c>
      <c r="U1979" t="n">
        <v>93</v>
      </c>
      <c r="V1979" t="b">
        <v>1</v>
      </c>
      <c r="W1979" t="inlineStr">
        <is>
          <t>ATF fuel!J136:J228</t>
        </is>
      </c>
      <c r="X1979">
        <f>R[0]C[-3]/R[0]C[-2]-1</f>
        <v/>
      </c>
    </row>
    <row r="1980">
      <c r="A1980" t="inlineStr">
        <is>
          <t>ATF fuel</t>
        </is>
      </c>
      <c r="B1980" t="inlineStr">
        <is>
          <t>B207</t>
        </is>
      </c>
      <c r="C1980" t="n">
        <v>207</v>
      </c>
      <c r="D1980" t="n">
        <v>2</v>
      </c>
      <c r="E1980" t="inlineStr">
        <is>
          <t>Input</t>
        </is>
      </c>
      <c r="F1980" t="n">
        <v/>
      </c>
      <c r="G1980" t="inlineStr">
        <is>
          <t>March 01,2016</t>
        </is>
      </c>
      <c r="H1980" t="inlineStr"/>
      <c r="I1980" t="inlineStr">
        <is>
          <t>General</t>
        </is>
      </c>
      <c r="J1980" t="b">
        <v>0</v>
      </c>
      <c r="K1980" t="b">
        <v>0</v>
      </c>
      <c r="L1980" t="n">
        <v>11</v>
      </c>
      <c r="M1980" t="inlineStr">
        <is>
          <t>Values must be of type &lt;class 'str'&gt;</t>
        </is>
      </c>
      <c r="N1980" t="inlineStr">
        <is>
          <t>00000000</t>
        </is>
      </c>
      <c r="O1980" t="n">
        <v/>
      </c>
      <c r="P1980" t="n">
        <v/>
      </c>
      <c r="R1980" t="b">
        <v>1</v>
      </c>
      <c r="S1980" t="n">
        <v/>
      </c>
      <c r="T1980" t="n">
        <v/>
      </c>
      <c r="U1980" t="n">
        <v/>
      </c>
      <c r="V1980" t="b">
        <v>0</v>
      </c>
      <c r="W1980" t="inlineStr"/>
      <c r="X1980" t="n">
        <v/>
      </c>
    </row>
    <row r="1981">
      <c r="A1981" t="inlineStr">
        <is>
          <t>ATF fuel</t>
        </is>
      </c>
      <c r="B1981" t="inlineStr">
        <is>
          <t>C207</t>
        </is>
      </c>
      <c r="C1981" t="n">
        <v>207</v>
      </c>
      <c r="D1981" t="n">
        <v>3</v>
      </c>
      <c r="E1981" t="inlineStr">
        <is>
          <t>Input</t>
        </is>
      </c>
      <c r="F1981" t="n">
        <v/>
      </c>
      <c r="G1981" t="n">
        <v>41439.265</v>
      </c>
      <c r="H1981" t="inlineStr"/>
      <c r="I1981" t="inlineStr">
        <is>
          <t>General</t>
        </is>
      </c>
      <c r="J1981" t="b">
        <v>0</v>
      </c>
      <c r="K1981" t="b">
        <v>0</v>
      </c>
      <c r="L1981" t="n">
        <v>11</v>
      </c>
      <c r="M1981" t="inlineStr">
        <is>
          <t>Values must be of type &lt;class 'str'&gt;</t>
        </is>
      </c>
      <c r="N1981" t="inlineStr">
        <is>
          <t>00000000</t>
        </is>
      </c>
      <c r="O1981" t="n">
        <v/>
      </c>
      <c r="P1981" t="n">
        <v/>
      </c>
      <c r="R1981" t="b">
        <v>1</v>
      </c>
      <c r="S1981" t="n">
        <v/>
      </c>
      <c r="T1981" t="n">
        <v/>
      </c>
      <c r="U1981" t="n">
        <v/>
      </c>
      <c r="V1981" t="b">
        <v>0</v>
      </c>
      <c r="W1981" t="inlineStr"/>
      <c r="X1981" t="n">
        <v/>
      </c>
    </row>
    <row r="1982">
      <c r="A1982" t="inlineStr">
        <is>
          <t>ATF fuel</t>
        </is>
      </c>
      <c r="B1982" t="inlineStr">
        <is>
          <t>D207</t>
        </is>
      </c>
      <c r="C1982" t="n">
        <v>207</v>
      </c>
      <c r="D1982" t="n">
        <v>4</v>
      </c>
      <c r="E1982" t="inlineStr">
        <is>
          <t>Input</t>
        </is>
      </c>
      <c r="F1982" t="n">
        <v/>
      </c>
      <c r="G1982" t="n">
        <v>37.61</v>
      </c>
      <c r="H1982" t="inlineStr"/>
      <c r="I1982" t="inlineStr">
        <is>
          <t>General</t>
        </is>
      </c>
      <c r="J1982" t="b">
        <v>0</v>
      </c>
      <c r="K1982" t="b">
        <v>0</v>
      </c>
      <c r="L1982" t="n">
        <v>11</v>
      </c>
      <c r="M1982" t="inlineStr">
        <is>
          <t>Values must be of type &lt;class 'str'&gt;</t>
        </is>
      </c>
      <c r="N1982" t="inlineStr">
        <is>
          <t>00000000</t>
        </is>
      </c>
      <c r="O1982" t="n">
        <v/>
      </c>
      <c r="P1982" t="n">
        <v/>
      </c>
      <c r="R1982" t="b">
        <v>1</v>
      </c>
      <c r="S1982" t="n">
        <v/>
      </c>
      <c r="T1982" t="n">
        <v/>
      </c>
      <c r="U1982" t="n">
        <v/>
      </c>
      <c r="V1982" t="b">
        <v>0</v>
      </c>
      <c r="W1982" t="inlineStr"/>
      <c r="X1982" t="n">
        <v/>
      </c>
    </row>
    <row r="1983">
      <c r="A1983" t="inlineStr">
        <is>
          <t>ATF fuel</t>
        </is>
      </c>
      <c r="B1983" t="inlineStr">
        <is>
          <t>E207</t>
        </is>
      </c>
      <c r="C1983" t="n">
        <v>207</v>
      </c>
      <c r="D1983" t="n">
        <v>5</v>
      </c>
      <c r="E1983" t="inlineStr">
        <is>
          <t>Input</t>
        </is>
      </c>
      <c r="F1983" t="n">
        <v/>
      </c>
      <c r="G1983" t="n">
        <v>34.39</v>
      </c>
      <c r="H1983" t="inlineStr"/>
      <c r="I1983" t="inlineStr">
        <is>
          <t>General</t>
        </is>
      </c>
      <c r="J1983" t="b">
        <v>0</v>
      </c>
      <c r="K1983" t="b">
        <v>0</v>
      </c>
      <c r="L1983" t="n">
        <v>11</v>
      </c>
      <c r="M1983" t="inlineStr">
        <is>
          <t>Values must be of type &lt;class 'str'&gt;</t>
        </is>
      </c>
      <c r="N1983" t="inlineStr">
        <is>
          <t>00000000</t>
        </is>
      </c>
      <c r="O1983" t="n">
        <v/>
      </c>
      <c r="P1983" t="n">
        <v/>
      </c>
      <c r="R1983" t="b">
        <v>1</v>
      </c>
      <c r="S1983" t="n">
        <v/>
      </c>
      <c r="T1983" t="n">
        <v/>
      </c>
      <c r="U1983" t="n">
        <v/>
      </c>
      <c r="V1983" t="b">
        <v>0</v>
      </c>
      <c r="W1983" t="inlineStr"/>
      <c r="X1983" t="n">
        <v/>
      </c>
    </row>
    <row r="1984">
      <c r="A1984" t="inlineStr">
        <is>
          <t>ATF fuel</t>
        </is>
      </c>
      <c r="B1984" t="inlineStr">
        <is>
          <t>F207</t>
        </is>
      </c>
      <c r="C1984" t="n">
        <v>207</v>
      </c>
      <c r="D1984" t="n">
        <v>6</v>
      </c>
      <c r="E1984" t="inlineStr">
        <is>
          <t>Input</t>
        </is>
      </c>
      <c r="F1984" t="n">
        <v/>
      </c>
      <c r="G1984" t="inlineStr">
        <is>
          <t>March 01,2016</t>
        </is>
      </c>
      <c r="H1984" t="inlineStr"/>
      <c r="I1984" t="inlineStr">
        <is>
          <t>General</t>
        </is>
      </c>
      <c r="J1984" t="b">
        <v>0</v>
      </c>
      <c r="K1984" t="b">
        <v>0</v>
      </c>
      <c r="L1984" t="n">
        <v>11</v>
      </c>
      <c r="M1984" t="inlineStr">
        <is>
          <t>Values must be of type &lt;class 'str'&gt;</t>
        </is>
      </c>
      <c r="N1984" t="inlineStr">
        <is>
          <t>00000000</t>
        </is>
      </c>
      <c r="O1984" t="inlineStr">
        <is>
          <t>left</t>
        </is>
      </c>
      <c r="P1984" t="n">
        <v/>
      </c>
      <c r="R1984" t="b">
        <v>1</v>
      </c>
      <c r="S1984" t="n">
        <v/>
      </c>
      <c r="T1984" t="n">
        <v/>
      </c>
      <c r="U1984" t="n">
        <v/>
      </c>
      <c r="V1984" t="b">
        <v>0</v>
      </c>
      <c r="W1984" t="inlineStr"/>
      <c r="X1984" t="n">
        <v/>
      </c>
    </row>
    <row r="1985">
      <c r="A1985" t="inlineStr">
        <is>
          <t>ATF fuel</t>
        </is>
      </c>
      <c r="B1985" t="inlineStr">
        <is>
          <t>G207</t>
        </is>
      </c>
      <c r="C1985" t="n">
        <v>207</v>
      </c>
      <c r="D1985" t="n">
        <v>7</v>
      </c>
      <c r="E1985" t="inlineStr">
        <is>
          <t>Calculation</t>
        </is>
      </c>
      <c r="F1985" t="inlineStr">
        <is>
          <t>'=(1+(C207/C206)-1)*G206</t>
        </is>
      </c>
      <c r="G1985" t="n">
        <v>93.41204068522667</v>
      </c>
      <c r="H1985" t="inlineStr"/>
      <c r="I1985" t="inlineStr">
        <is>
          <t>General</t>
        </is>
      </c>
      <c r="J1985" t="b">
        <v>0</v>
      </c>
      <c r="K1985" t="b">
        <v>0</v>
      </c>
      <c r="L1985" t="n">
        <v>11</v>
      </c>
      <c r="M1985" t="inlineStr">
        <is>
          <t>Values must be of type &lt;class 'str'&gt;</t>
        </is>
      </c>
      <c r="N1985" t="inlineStr">
        <is>
          <t>00000000</t>
        </is>
      </c>
      <c r="O1985" t="inlineStr">
        <is>
          <t>left</t>
        </is>
      </c>
      <c r="P1985" t="n">
        <v/>
      </c>
      <c r="R1985" t="b">
        <v>1</v>
      </c>
      <c r="S1985" t="inlineStr">
        <is>
          <t>G000366</t>
        </is>
      </c>
      <c r="T1985" t="inlineStr">
        <is>
          <t>Horizontal</t>
        </is>
      </c>
      <c r="U1985" t="n">
        <v>3</v>
      </c>
      <c r="V1985" t="b">
        <v>1</v>
      </c>
      <c r="W1985" t="inlineStr">
        <is>
          <t>ATF fuel!G207:I207</t>
        </is>
      </c>
      <c r="X1985">
        <f>(1+(R[0]C[-4]/R[-1]C[-4])-1)*R[-1]C[0]</f>
        <v/>
      </c>
    </row>
    <row r="1986">
      <c r="A1986" t="inlineStr">
        <is>
          <t>ATF fuel</t>
        </is>
      </c>
      <c r="B1986" t="inlineStr">
        <is>
          <t>H207</t>
        </is>
      </c>
      <c r="C1986" t="n">
        <v>207</v>
      </c>
      <c r="D1986" t="n">
        <v>8</v>
      </c>
      <c r="E1986" t="inlineStr">
        <is>
          <t>Calculation</t>
        </is>
      </c>
      <c r="F1986" t="inlineStr">
        <is>
          <t>'=(1+(D207/D206)-1)*H206</t>
        </is>
      </c>
      <c r="G1986" t="n">
        <v>45.5161563596757</v>
      </c>
      <c r="H1986" t="inlineStr"/>
      <c r="I1986" t="inlineStr">
        <is>
          <t>General</t>
        </is>
      </c>
      <c r="J1986" t="b">
        <v>0</v>
      </c>
      <c r="K1986" t="b">
        <v>0</v>
      </c>
      <c r="L1986" t="n">
        <v>11</v>
      </c>
      <c r="M1986" t="inlineStr">
        <is>
          <t>Values must be of type &lt;class 'str'&gt;</t>
        </is>
      </c>
      <c r="N1986" t="inlineStr">
        <is>
          <t>00000000</t>
        </is>
      </c>
      <c r="O1986" t="inlineStr">
        <is>
          <t>left</t>
        </is>
      </c>
      <c r="P1986" t="n">
        <v/>
      </c>
      <c r="R1986" t="b">
        <v>1</v>
      </c>
      <c r="S1986" t="inlineStr">
        <is>
          <t>G000366</t>
        </is>
      </c>
      <c r="T1986" t="inlineStr">
        <is>
          <t>Horizontal</t>
        </is>
      </c>
      <c r="U1986" t="n">
        <v>3</v>
      </c>
      <c r="V1986" t="b">
        <v>1</v>
      </c>
      <c r="W1986" t="inlineStr">
        <is>
          <t>ATF fuel!G207:I207</t>
        </is>
      </c>
      <c r="X1986">
        <f>(1+(R[0]C[-4]/R[-1]C[-4])-1)*R[-1]C[0]</f>
        <v/>
      </c>
    </row>
    <row r="1987">
      <c r="A1987" t="inlineStr">
        <is>
          <t>ATF fuel</t>
        </is>
      </c>
      <c r="B1987" t="inlineStr">
        <is>
          <t>I207</t>
        </is>
      </c>
      <c r="C1987" t="n">
        <v>207</v>
      </c>
      <c r="D1987" t="n">
        <v>9</v>
      </c>
      <c r="E1987" t="inlineStr">
        <is>
          <t>Calculation</t>
        </is>
      </c>
      <c r="F1987" t="inlineStr">
        <is>
          <t>'=(1+(E207/E206)-1)*I206</t>
        </is>
      </c>
      <c r="G1987" t="n">
        <v>40.6837809061872</v>
      </c>
      <c r="H1987" t="inlineStr"/>
      <c r="I1987" t="inlineStr">
        <is>
          <t>General</t>
        </is>
      </c>
      <c r="J1987" t="b">
        <v>0</v>
      </c>
      <c r="K1987" t="b">
        <v>0</v>
      </c>
      <c r="L1987" t="n">
        <v>11</v>
      </c>
      <c r="M1987" t="inlineStr">
        <is>
          <t>Values must be of type &lt;class 'str'&gt;</t>
        </is>
      </c>
      <c r="N1987" t="inlineStr">
        <is>
          <t>00000000</t>
        </is>
      </c>
      <c r="O1987" t="inlineStr">
        <is>
          <t>left</t>
        </is>
      </c>
      <c r="P1987" t="n">
        <v/>
      </c>
      <c r="R1987" t="b">
        <v>1</v>
      </c>
      <c r="S1987" t="inlineStr">
        <is>
          <t>G000366</t>
        </is>
      </c>
      <c r="T1987" t="inlineStr">
        <is>
          <t>Horizontal</t>
        </is>
      </c>
      <c r="U1987" t="n">
        <v>3</v>
      </c>
      <c r="V1987" t="b">
        <v>1</v>
      </c>
      <c r="W1987" t="inlineStr">
        <is>
          <t>ATF fuel!G207:I207</t>
        </is>
      </c>
      <c r="X1987">
        <f>(1+(R[0]C[-4]/R[-1]C[-4])-1)*R[-1]C[0]</f>
        <v/>
      </c>
    </row>
    <row r="1988">
      <c r="A1988" t="inlineStr">
        <is>
          <t>ATF fuel</t>
        </is>
      </c>
      <c r="B1988" t="inlineStr">
        <is>
          <t>J207</t>
        </is>
      </c>
      <c r="C1988" t="n">
        <v>207</v>
      </c>
      <c r="D1988" t="n">
        <v>10</v>
      </c>
      <c r="E1988" t="inlineStr">
        <is>
          <t>Output</t>
        </is>
      </c>
      <c r="F1988" t="inlineStr">
        <is>
          <t>'=G207/H207-1</t>
        </is>
      </c>
      <c r="G1988" t="n">
        <v>1.052283148582896</v>
      </c>
      <c r="H1988" t="inlineStr"/>
      <c r="I1988" t="inlineStr">
        <is>
          <t>0.0%</t>
        </is>
      </c>
      <c r="J1988" t="b">
        <v>0</v>
      </c>
      <c r="K1988" t="b">
        <v>0</v>
      </c>
      <c r="L1988" t="n">
        <v>11</v>
      </c>
      <c r="M1988" t="inlineStr">
        <is>
          <t>Values must be of type &lt;class 'str'&gt;</t>
        </is>
      </c>
      <c r="N1988" t="inlineStr">
        <is>
          <t>00000000</t>
        </is>
      </c>
      <c r="O1988" t="n">
        <v/>
      </c>
      <c r="P1988" t="n">
        <v/>
      </c>
      <c r="R1988" t="b">
        <v>1</v>
      </c>
      <c r="S1988" t="inlineStr">
        <is>
          <t>G000295</t>
        </is>
      </c>
      <c r="T1988" t="inlineStr">
        <is>
          <t>Vertical</t>
        </is>
      </c>
      <c r="U1988" t="n">
        <v>93</v>
      </c>
      <c r="V1988" t="b">
        <v>1</v>
      </c>
      <c r="W1988" t="inlineStr">
        <is>
          <t>ATF fuel!J136:J228</t>
        </is>
      </c>
      <c r="X1988">
        <f>R[0]C[-3]/R[0]C[-2]-1</f>
        <v/>
      </c>
    </row>
    <row r="1989">
      <c r="A1989" t="inlineStr">
        <is>
          <t>ATF fuel</t>
        </is>
      </c>
      <c r="B1989" t="inlineStr">
        <is>
          <t>B208</t>
        </is>
      </c>
      <c r="C1989" t="n">
        <v>208</v>
      </c>
      <c r="D1989" t="n">
        <v>2</v>
      </c>
      <c r="E1989" t="inlineStr">
        <is>
          <t>Input</t>
        </is>
      </c>
      <c r="F1989" t="n">
        <v/>
      </c>
      <c r="G1989" t="inlineStr">
        <is>
          <t>April 01,2016</t>
        </is>
      </c>
      <c r="H1989" t="inlineStr"/>
      <c r="I1989" t="inlineStr">
        <is>
          <t>General</t>
        </is>
      </c>
      <c r="J1989" t="b">
        <v>0</v>
      </c>
      <c r="K1989" t="b">
        <v>0</v>
      </c>
      <c r="L1989" t="n">
        <v>11</v>
      </c>
      <c r="M1989" t="inlineStr">
        <is>
          <t>Values must be of type &lt;class 'str'&gt;</t>
        </is>
      </c>
      <c r="N1989" t="inlineStr">
        <is>
          <t>00000000</t>
        </is>
      </c>
      <c r="O1989" t="n">
        <v/>
      </c>
      <c r="P1989" t="n">
        <v/>
      </c>
      <c r="R1989" t="b">
        <v>1</v>
      </c>
      <c r="S1989" t="n">
        <v/>
      </c>
      <c r="T1989" t="n">
        <v/>
      </c>
      <c r="U1989" t="n">
        <v/>
      </c>
      <c r="V1989" t="b">
        <v>0</v>
      </c>
      <c r="W1989" t="inlineStr"/>
      <c r="X1989" t="n">
        <v/>
      </c>
    </row>
    <row r="1990">
      <c r="A1990" t="inlineStr">
        <is>
          <t>ATF fuel</t>
        </is>
      </c>
      <c r="B1990" t="inlineStr">
        <is>
          <t>C208</t>
        </is>
      </c>
      <c r="C1990" t="n">
        <v>208</v>
      </c>
      <c r="D1990" t="n">
        <v>3</v>
      </c>
      <c r="E1990" t="inlineStr">
        <is>
          <t>Input</t>
        </is>
      </c>
      <c r="F1990" t="n">
        <v/>
      </c>
      <c r="G1990" t="n">
        <v>43960.28999999999</v>
      </c>
      <c r="H1990" t="inlineStr"/>
      <c r="I1990" t="inlineStr">
        <is>
          <t>General</t>
        </is>
      </c>
      <c r="J1990" t="b">
        <v>0</v>
      </c>
      <c r="K1990" t="b">
        <v>0</v>
      </c>
      <c r="L1990" t="n">
        <v>11</v>
      </c>
      <c r="M1990" t="inlineStr">
        <is>
          <t>Values must be of type &lt;class 'str'&gt;</t>
        </is>
      </c>
      <c r="N1990" t="inlineStr">
        <is>
          <t>00000000</t>
        </is>
      </c>
      <c r="O1990" t="n">
        <v/>
      </c>
      <c r="P1990" t="n">
        <v/>
      </c>
      <c r="R1990" t="b">
        <v>1</v>
      </c>
      <c r="S1990" t="n">
        <v/>
      </c>
      <c r="T1990" t="n">
        <v/>
      </c>
      <c r="U1990" t="n">
        <v/>
      </c>
      <c r="V1990" t="b">
        <v>0</v>
      </c>
      <c r="W1990" t="inlineStr"/>
      <c r="X1990" t="n">
        <v/>
      </c>
    </row>
    <row r="1991">
      <c r="A1991" t="inlineStr">
        <is>
          <t>ATF fuel</t>
        </is>
      </c>
      <c r="B1991" t="inlineStr">
        <is>
          <t>D208</t>
        </is>
      </c>
      <c r="C1991" t="n">
        <v>208</v>
      </c>
      <c r="D1991" t="n">
        <v>4</v>
      </c>
      <c r="E1991" t="inlineStr">
        <is>
          <t>Input</t>
        </is>
      </c>
      <c r="F1991" t="n">
        <v/>
      </c>
      <c r="G1991" t="n">
        <v>37.77</v>
      </c>
      <c r="H1991" t="inlineStr"/>
      <c r="I1991" t="inlineStr">
        <is>
          <t>General</t>
        </is>
      </c>
      <c r="J1991" t="b">
        <v>0</v>
      </c>
      <c r="K1991" t="b">
        <v>0</v>
      </c>
      <c r="L1991" t="n">
        <v>11</v>
      </c>
      <c r="M1991" t="inlineStr">
        <is>
          <t>Values must be of type &lt;class 'str'&gt;</t>
        </is>
      </c>
      <c r="N1991" t="inlineStr">
        <is>
          <t>00000000</t>
        </is>
      </c>
      <c r="O1991" t="n">
        <v/>
      </c>
      <c r="P1991" t="n">
        <v/>
      </c>
      <c r="R1991" t="b">
        <v>1</v>
      </c>
      <c r="S1991" t="n">
        <v/>
      </c>
      <c r="T1991" t="n">
        <v/>
      </c>
      <c r="U1991" t="n">
        <v/>
      </c>
      <c r="V1991" t="b">
        <v>0</v>
      </c>
      <c r="W1991" t="inlineStr"/>
      <c r="X1991" t="n">
        <v/>
      </c>
    </row>
    <row r="1992">
      <c r="A1992" t="inlineStr">
        <is>
          <t>ATF fuel</t>
        </is>
      </c>
      <c r="B1992" t="inlineStr">
        <is>
          <t>E208</t>
        </is>
      </c>
      <c r="C1992" t="n">
        <v>208</v>
      </c>
      <c r="D1992" t="n">
        <v>5</v>
      </c>
      <c r="E1992" t="inlineStr">
        <is>
          <t>Input</t>
        </is>
      </c>
      <c r="F1992" t="n">
        <v/>
      </c>
      <c r="G1992" t="n">
        <v>35.36</v>
      </c>
      <c r="H1992" t="inlineStr"/>
      <c r="I1992" t="inlineStr">
        <is>
          <t>General</t>
        </is>
      </c>
      <c r="J1992" t="b">
        <v>0</v>
      </c>
      <c r="K1992" t="b">
        <v>0</v>
      </c>
      <c r="L1992" t="n">
        <v>11</v>
      </c>
      <c r="M1992" t="inlineStr">
        <is>
          <t>Values must be of type &lt;class 'str'&gt;</t>
        </is>
      </c>
      <c r="N1992" t="inlineStr">
        <is>
          <t>00000000</t>
        </is>
      </c>
      <c r="O1992" t="n">
        <v/>
      </c>
      <c r="P1992" t="n">
        <v/>
      </c>
      <c r="R1992" t="b">
        <v>1</v>
      </c>
      <c r="S1992" t="n">
        <v/>
      </c>
      <c r="T1992" t="n">
        <v/>
      </c>
      <c r="U1992" t="n">
        <v/>
      </c>
      <c r="V1992" t="b">
        <v>0</v>
      </c>
      <c r="W1992" t="inlineStr"/>
      <c r="X1992" t="n">
        <v/>
      </c>
    </row>
    <row r="1993">
      <c r="A1993" t="inlineStr">
        <is>
          <t>ATF fuel</t>
        </is>
      </c>
      <c r="B1993" t="inlineStr">
        <is>
          <t>F208</t>
        </is>
      </c>
      <c r="C1993" t="n">
        <v>208</v>
      </c>
      <c r="D1993" t="n">
        <v>6</v>
      </c>
      <c r="E1993" t="inlineStr">
        <is>
          <t>Input</t>
        </is>
      </c>
      <c r="F1993" t="n">
        <v/>
      </c>
      <c r="G1993" t="inlineStr">
        <is>
          <t>April 01,2016</t>
        </is>
      </c>
      <c r="H1993" t="inlineStr"/>
      <c r="I1993" t="inlineStr">
        <is>
          <t>General</t>
        </is>
      </c>
      <c r="J1993" t="b">
        <v>0</v>
      </c>
      <c r="K1993" t="b">
        <v>0</v>
      </c>
      <c r="L1993" t="n">
        <v>11</v>
      </c>
      <c r="M1993" t="inlineStr">
        <is>
          <t>Values must be of type &lt;class 'str'&gt;</t>
        </is>
      </c>
      <c r="N1993" t="inlineStr">
        <is>
          <t>00000000</t>
        </is>
      </c>
      <c r="O1993" t="inlineStr">
        <is>
          <t>left</t>
        </is>
      </c>
      <c r="P1993" t="n">
        <v/>
      </c>
      <c r="R1993" t="b">
        <v>1</v>
      </c>
      <c r="S1993" t="n">
        <v/>
      </c>
      <c r="T1993" t="n">
        <v/>
      </c>
      <c r="U1993" t="n">
        <v/>
      </c>
      <c r="V1993" t="b">
        <v>0</v>
      </c>
      <c r="W1993" t="inlineStr"/>
      <c r="X1993" t="n">
        <v/>
      </c>
    </row>
    <row r="1994">
      <c r="A1994" t="inlineStr">
        <is>
          <t>ATF fuel</t>
        </is>
      </c>
      <c r="B1994" t="inlineStr">
        <is>
          <t>G208</t>
        </is>
      </c>
      <c r="C1994" t="n">
        <v>208</v>
      </c>
      <c r="D1994" t="n">
        <v>7</v>
      </c>
      <c r="E1994" t="inlineStr">
        <is>
          <t>Calculation</t>
        </is>
      </c>
      <c r="F1994" t="inlineStr">
        <is>
          <t>'=(1+(C208/C207)-1)*G207</t>
        </is>
      </c>
      <c r="G1994" t="n">
        <v>99.09491391834202</v>
      </c>
      <c r="H1994" t="inlineStr"/>
      <c r="I1994" t="inlineStr">
        <is>
          <t>General</t>
        </is>
      </c>
      <c r="J1994" t="b">
        <v>0</v>
      </c>
      <c r="K1994" t="b">
        <v>0</v>
      </c>
      <c r="L1994" t="n">
        <v>11</v>
      </c>
      <c r="M1994" t="inlineStr">
        <is>
          <t>Values must be of type &lt;class 'str'&gt;</t>
        </is>
      </c>
      <c r="N1994" t="inlineStr">
        <is>
          <t>00000000</t>
        </is>
      </c>
      <c r="O1994" t="inlineStr">
        <is>
          <t>left</t>
        </is>
      </c>
      <c r="P1994" t="n">
        <v/>
      </c>
      <c r="R1994" t="b">
        <v>1</v>
      </c>
      <c r="S1994" t="inlineStr">
        <is>
          <t>G000367</t>
        </is>
      </c>
      <c r="T1994" t="inlineStr">
        <is>
          <t>Horizontal</t>
        </is>
      </c>
      <c r="U1994" t="n">
        <v>3</v>
      </c>
      <c r="V1994" t="b">
        <v>1</v>
      </c>
      <c r="W1994" t="inlineStr">
        <is>
          <t>ATF fuel!G208:I208</t>
        </is>
      </c>
      <c r="X1994">
        <f>(1+(R[0]C[-4]/R[-1]C[-4])-1)*R[-1]C[0]</f>
        <v/>
      </c>
    </row>
    <row r="1995">
      <c r="A1995" t="inlineStr">
        <is>
          <t>ATF fuel</t>
        </is>
      </c>
      <c r="B1995" t="inlineStr">
        <is>
          <t>H208</t>
        </is>
      </c>
      <c r="C1995" t="n">
        <v>208</v>
      </c>
      <c r="D1995" t="n">
        <v>8</v>
      </c>
      <c r="E1995" t="inlineStr">
        <is>
          <t>Calculation</t>
        </is>
      </c>
      <c r="F1995" t="inlineStr">
        <is>
          <t>'=(1+(D208/D207)-1)*H207</t>
        </is>
      </c>
      <c r="G1995" t="n">
        <v>45.70979063294209</v>
      </c>
      <c r="H1995" t="inlineStr"/>
      <c r="I1995" t="inlineStr">
        <is>
          <t>General</t>
        </is>
      </c>
      <c r="J1995" t="b">
        <v>0</v>
      </c>
      <c r="K1995" t="b">
        <v>0</v>
      </c>
      <c r="L1995" t="n">
        <v>11</v>
      </c>
      <c r="M1995" t="inlineStr">
        <is>
          <t>Values must be of type &lt;class 'str'&gt;</t>
        </is>
      </c>
      <c r="N1995" t="inlineStr">
        <is>
          <t>00000000</t>
        </is>
      </c>
      <c r="O1995" t="inlineStr">
        <is>
          <t>left</t>
        </is>
      </c>
      <c r="P1995" t="n">
        <v/>
      </c>
      <c r="R1995" t="b">
        <v>1</v>
      </c>
      <c r="S1995" t="inlineStr">
        <is>
          <t>G000367</t>
        </is>
      </c>
      <c r="T1995" t="inlineStr">
        <is>
          <t>Horizontal</t>
        </is>
      </c>
      <c r="U1995" t="n">
        <v>3</v>
      </c>
      <c r="V1995" t="b">
        <v>1</v>
      </c>
      <c r="W1995" t="inlineStr">
        <is>
          <t>ATF fuel!G208:I208</t>
        </is>
      </c>
      <c r="X1995">
        <f>(1+(R[0]C[-4]/R[-1]C[-4])-1)*R[-1]C[0]</f>
        <v/>
      </c>
    </row>
    <row r="1996">
      <c r="A1996" t="inlineStr">
        <is>
          <t>ATF fuel</t>
        </is>
      </c>
      <c r="B1996" t="inlineStr">
        <is>
          <t>I208</t>
        </is>
      </c>
      <c r="C1996" t="n">
        <v>208</v>
      </c>
      <c r="D1996" t="n">
        <v>9</v>
      </c>
      <c r="E1996" t="inlineStr">
        <is>
          <t>Calculation</t>
        </is>
      </c>
      <c r="F1996" t="inlineStr">
        <is>
          <t>'=(1+(E208/E207)-1)*I207</t>
        </is>
      </c>
      <c r="G1996" t="n">
        <v>41.83130249615525</v>
      </c>
      <c r="H1996" t="inlineStr"/>
      <c r="I1996" t="inlineStr">
        <is>
          <t>General</t>
        </is>
      </c>
      <c r="J1996" t="b">
        <v>0</v>
      </c>
      <c r="K1996" t="b">
        <v>0</v>
      </c>
      <c r="L1996" t="n">
        <v>11</v>
      </c>
      <c r="M1996" t="inlineStr">
        <is>
          <t>Values must be of type &lt;class 'str'&gt;</t>
        </is>
      </c>
      <c r="N1996" t="inlineStr">
        <is>
          <t>00000000</t>
        </is>
      </c>
      <c r="O1996" t="inlineStr">
        <is>
          <t>left</t>
        </is>
      </c>
      <c r="P1996" t="n">
        <v/>
      </c>
      <c r="R1996" t="b">
        <v>1</v>
      </c>
      <c r="S1996" t="inlineStr">
        <is>
          <t>G000367</t>
        </is>
      </c>
      <c r="T1996" t="inlineStr">
        <is>
          <t>Horizontal</t>
        </is>
      </c>
      <c r="U1996" t="n">
        <v>3</v>
      </c>
      <c r="V1996" t="b">
        <v>1</v>
      </c>
      <c r="W1996" t="inlineStr">
        <is>
          <t>ATF fuel!G208:I208</t>
        </is>
      </c>
      <c r="X1996">
        <f>(1+(R[0]C[-4]/R[-1]C[-4])-1)*R[-1]C[0]</f>
        <v/>
      </c>
    </row>
    <row r="1997">
      <c r="A1997" t="inlineStr">
        <is>
          <t>ATF fuel</t>
        </is>
      </c>
      <c r="B1997" t="inlineStr">
        <is>
          <t>J208</t>
        </is>
      </c>
      <c r="C1997" t="n">
        <v>208</v>
      </c>
      <c r="D1997" t="n">
        <v>10</v>
      </c>
      <c r="E1997" t="inlineStr">
        <is>
          <t>Output</t>
        </is>
      </c>
      <c r="F1997" t="inlineStr">
        <is>
          <t>'=G208/H208-1</t>
        </is>
      </c>
      <c r="G1997" t="n">
        <v>1.16791441278067</v>
      </c>
      <c r="H1997" t="inlineStr"/>
      <c r="I1997" t="inlineStr">
        <is>
          <t>0.0%</t>
        </is>
      </c>
      <c r="J1997" t="b">
        <v>0</v>
      </c>
      <c r="K1997" t="b">
        <v>0</v>
      </c>
      <c r="L1997" t="n">
        <v>11</v>
      </c>
      <c r="M1997" t="inlineStr">
        <is>
          <t>Values must be of type &lt;class 'str'&gt;</t>
        </is>
      </c>
      <c r="N1997" t="inlineStr">
        <is>
          <t>00000000</t>
        </is>
      </c>
      <c r="O1997" t="n">
        <v/>
      </c>
      <c r="P1997" t="n">
        <v/>
      </c>
      <c r="R1997" t="b">
        <v>1</v>
      </c>
      <c r="S1997" t="inlineStr">
        <is>
          <t>G000295</t>
        </is>
      </c>
      <c r="T1997" t="inlineStr">
        <is>
          <t>Vertical</t>
        </is>
      </c>
      <c r="U1997" t="n">
        <v>93</v>
      </c>
      <c r="V1997" t="b">
        <v>1</v>
      </c>
      <c r="W1997" t="inlineStr">
        <is>
          <t>ATF fuel!J136:J228</t>
        </is>
      </c>
      <c r="X1997">
        <f>R[0]C[-3]/R[0]C[-2]-1</f>
        <v/>
      </c>
    </row>
    <row r="1998">
      <c r="A1998" t="inlineStr">
        <is>
          <t>ATF fuel</t>
        </is>
      </c>
      <c r="B1998" t="inlineStr">
        <is>
          <t>B209</t>
        </is>
      </c>
      <c r="C1998" t="n">
        <v>209</v>
      </c>
      <c r="D1998" t="n">
        <v>2</v>
      </c>
      <c r="E1998" t="inlineStr">
        <is>
          <t>Input</t>
        </is>
      </c>
      <c r="F1998" t="n">
        <v/>
      </c>
      <c r="G1998" t="inlineStr">
        <is>
          <t>May 01,2016</t>
        </is>
      </c>
      <c r="H1998" t="inlineStr"/>
      <c r="I1998" t="inlineStr">
        <is>
          <t>General</t>
        </is>
      </c>
      <c r="J1998" t="b">
        <v>0</v>
      </c>
      <c r="K1998" t="b">
        <v>0</v>
      </c>
      <c r="L1998" t="n">
        <v>11</v>
      </c>
      <c r="M1998" t="inlineStr">
        <is>
          <t>Values must be of type &lt;class 'str'&gt;</t>
        </is>
      </c>
      <c r="N1998" t="inlineStr">
        <is>
          <t>00000000</t>
        </is>
      </c>
      <c r="O1998" t="n">
        <v/>
      </c>
      <c r="P1998" t="n">
        <v/>
      </c>
      <c r="R1998" t="b">
        <v>1</v>
      </c>
      <c r="S1998" t="n">
        <v/>
      </c>
      <c r="T1998" t="n">
        <v/>
      </c>
      <c r="U1998" t="n">
        <v/>
      </c>
      <c r="V1998" t="b">
        <v>0</v>
      </c>
      <c r="W1998" t="inlineStr"/>
      <c r="X1998" t="n">
        <v/>
      </c>
    </row>
    <row r="1999">
      <c r="A1999" t="inlineStr">
        <is>
          <t>ATF fuel</t>
        </is>
      </c>
      <c r="B1999" t="inlineStr">
        <is>
          <t>C209</t>
        </is>
      </c>
      <c r="C1999" t="n">
        <v>209</v>
      </c>
      <c r="D1999" t="n">
        <v>3</v>
      </c>
      <c r="E1999" t="inlineStr">
        <is>
          <t>Input</t>
        </is>
      </c>
      <c r="F1999" t="n">
        <v/>
      </c>
      <c r="G1999" t="n">
        <v>44362.0425</v>
      </c>
      <c r="H1999" t="inlineStr"/>
      <c r="I1999" t="inlineStr">
        <is>
          <t>General</t>
        </is>
      </c>
      <c r="J1999" t="b">
        <v>0</v>
      </c>
      <c r="K1999" t="b">
        <v>0</v>
      </c>
      <c r="L1999" t="n">
        <v>11</v>
      </c>
      <c r="M1999" t="inlineStr">
        <is>
          <t>Values must be of type &lt;class 'str'&gt;</t>
        </is>
      </c>
      <c r="N1999" t="inlineStr">
        <is>
          <t>00000000</t>
        </is>
      </c>
      <c r="O1999" t="n">
        <v/>
      </c>
      <c r="P1999" t="n">
        <v/>
      </c>
      <c r="R1999" t="b">
        <v>1</v>
      </c>
      <c r="S1999" t="n">
        <v/>
      </c>
      <c r="T1999" t="n">
        <v/>
      </c>
      <c r="U1999" t="n">
        <v/>
      </c>
      <c r="V1999" t="b">
        <v>0</v>
      </c>
      <c r="W1999" t="inlineStr"/>
      <c r="X1999" t="n">
        <v/>
      </c>
    </row>
    <row r="2000">
      <c r="A2000" t="inlineStr">
        <is>
          <t>ATF fuel</t>
        </is>
      </c>
      <c r="B2000" t="inlineStr">
        <is>
          <t>D209</t>
        </is>
      </c>
      <c r="C2000" t="n">
        <v>209</v>
      </c>
      <c r="D2000" t="n">
        <v>4</v>
      </c>
      <c r="E2000" t="inlineStr">
        <is>
          <t>Input</t>
        </is>
      </c>
      <c r="F2000" t="n">
        <v/>
      </c>
      <c r="G2000" t="n">
        <v>44.39</v>
      </c>
      <c r="H2000" t="inlineStr"/>
      <c r="I2000" t="inlineStr">
        <is>
          <t>General</t>
        </is>
      </c>
      <c r="J2000" t="b">
        <v>0</v>
      </c>
      <c r="K2000" t="b">
        <v>0</v>
      </c>
      <c r="L2000" t="n">
        <v>11</v>
      </c>
      <c r="M2000" t="inlineStr">
        <is>
          <t>Values must be of type &lt;class 'str'&gt;</t>
        </is>
      </c>
      <c r="N2000" t="inlineStr">
        <is>
          <t>00000000</t>
        </is>
      </c>
      <c r="O2000" t="n">
        <v/>
      </c>
      <c r="P2000" t="n">
        <v/>
      </c>
      <c r="R2000" t="b">
        <v>1</v>
      </c>
      <c r="S2000" t="n">
        <v/>
      </c>
      <c r="T2000" t="n">
        <v/>
      </c>
      <c r="U2000" t="n">
        <v/>
      </c>
      <c r="V2000" t="b">
        <v>0</v>
      </c>
      <c r="W2000" t="inlineStr"/>
      <c r="X2000" t="n">
        <v/>
      </c>
    </row>
    <row r="2001">
      <c r="A2001" t="inlineStr">
        <is>
          <t>ATF fuel</t>
        </is>
      </c>
      <c r="B2001" t="inlineStr">
        <is>
          <t>E209</t>
        </is>
      </c>
      <c r="C2001" t="n">
        <v>209</v>
      </c>
      <c r="D2001" t="n">
        <v>5</v>
      </c>
      <c r="E2001" t="inlineStr">
        <is>
          <t>Input</t>
        </is>
      </c>
      <c r="F2001" t="n">
        <v/>
      </c>
      <c r="G2001" t="n">
        <v>44.75</v>
      </c>
      <c r="H2001" t="inlineStr"/>
      <c r="I2001" t="inlineStr">
        <is>
          <t>General</t>
        </is>
      </c>
      <c r="J2001" t="b">
        <v>0</v>
      </c>
      <c r="K2001" t="b">
        <v>0</v>
      </c>
      <c r="L2001" t="n">
        <v>11</v>
      </c>
      <c r="M2001" t="inlineStr">
        <is>
          <t>Values must be of type &lt;class 'str'&gt;</t>
        </is>
      </c>
      <c r="N2001" t="inlineStr">
        <is>
          <t>00000000</t>
        </is>
      </c>
      <c r="O2001" t="n">
        <v/>
      </c>
      <c r="P2001" t="n">
        <v/>
      </c>
      <c r="R2001" t="b">
        <v>1</v>
      </c>
      <c r="S2001" t="n">
        <v/>
      </c>
      <c r="T2001" t="n">
        <v/>
      </c>
      <c r="U2001" t="n">
        <v/>
      </c>
      <c r="V2001" t="b">
        <v>0</v>
      </c>
      <c r="W2001" t="inlineStr"/>
      <c r="X2001" t="n">
        <v/>
      </c>
    </row>
    <row r="2002">
      <c r="A2002" t="inlineStr">
        <is>
          <t>ATF fuel</t>
        </is>
      </c>
      <c r="B2002" t="inlineStr">
        <is>
          <t>F209</t>
        </is>
      </c>
      <c r="C2002" t="n">
        <v>209</v>
      </c>
      <c r="D2002" t="n">
        <v>6</v>
      </c>
      <c r="E2002" t="inlineStr">
        <is>
          <t>Input</t>
        </is>
      </c>
      <c r="F2002" t="n">
        <v/>
      </c>
      <c r="G2002" t="inlineStr">
        <is>
          <t>May 01,2016</t>
        </is>
      </c>
      <c r="H2002" t="inlineStr"/>
      <c r="I2002" t="inlineStr">
        <is>
          <t>General</t>
        </is>
      </c>
      <c r="J2002" t="b">
        <v>0</v>
      </c>
      <c r="K2002" t="b">
        <v>0</v>
      </c>
      <c r="L2002" t="n">
        <v>11</v>
      </c>
      <c r="M2002" t="inlineStr">
        <is>
          <t>Values must be of type &lt;class 'str'&gt;</t>
        </is>
      </c>
      <c r="N2002" t="inlineStr">
        <is>
          <t>00000000</t>
        </is>
      </c>
      <c r="O2002" t="inlineStr">
        <is>
          <t>left</t>
        </is>
      </c>
      <c r="P2002" t="n">
        <v/>
      </c>
      <c r="R2002" t="b">
        <v>1</v>
      </c>
      <c r="S2002" t="n">
        <v/>
      </c>
      <c r="T2002" t="n">
        <v/>
      </c>
      <c r="U2002" t="n">
        <v/>
      </c>
      <c r="V2002" t="b">
        <v>0</v>
      </c>
      <c r="W2002" t="inlineStr"/>
      <c r="X2002" t="n">
        <v/>
      </c>
    </row>
    <row r="2003">
      <c r="A2003" t="inlineStr">
        <is>
          <t>ATF fuel</t>
        </is>
      </c>
      <c r="B2003" t="inlineStr">
        <is>
          <t>G209</t>
        </is>
      </c>
      <c r="C2003" t="n">
        <v>209</v>
      </c>
      <c r="D2003" t="n">
        <v>7</v>
      </c>
      <c r="E2003" t="inlineStr">
        <is>
          <t>Calculation</t>
        </is>
      </c>
      <c r="F2003" t="inlineStr">
        <is>
          <t>'=(1+(C209/C208)-1)*G208</t>
        </is>
      </c>
      <c r="G2003" t="n">
        <v>100.0005410059699</v>
      </c>
      <c r="H2003" t="inlineStr"/>
      <c r="I2003" t="inlineStr">
        <is>
          <t>General</t>
        </is>
      </c>
      <c r="J2003" t="b">
        <v>0</v>
      </c>
      <c r="K2003" t="b">
        <v>0</v>
      </c>
      <c r="L2003" t="n">
        <v>11</v>
      </c>
      <c r="M2003" t="inlineStr">
        <is>
          <t>Values must be of type &lt;class 'str'&gt;</t>
        </is>
      </c>
      <c r="N2003" t="inlineStr">
        <is>
          <t>00000000</t>
        </is>
      </c>
      <c r="O2003" t="inlineStr">
        <is>
          <t>left</t>
        </is>
      </c>
      <c r="P2003" t="n">
        <v/>
      </c>
      <c r="R2003" t="b">
        <v>1</v>
      </c>
      <c r="S2003" t="inlineStr">
        <is>
          <t>G000368</t>
        </is>
      </c>
      <c r="T2003" t="inlineStr">
        <is>
          <t>Horizontal</t>
        </is>
      </c>
      <c r="U2003" t="n">
        <v>3</v>
      </c>
      <c r="V2003" t="b">
        <v>1</v>
      </c>
      <c r="W2003" t="inlineStr">
        <is>
          <t>ATF fuel!G209:I209</t>
        </is>
      </c>
      <c r="X2003">
        <f>(1+(R[0]C[-4]/R[-1]C[-4])-1)*R[-1]C[0]</f>
        <v/>
      </c>
    </row>
    <row r="2004">
      <c r="A2004" t="inlineStr">
        <is>
          <t>ATF fuel</t>
        </is>
      </c>
      <c r="B2004" t="inlineStr">
        <is>
          <t>H209</t>
        </is>
      </c>
      <c r="C2004" t="n">
        <v>209</v>
      </c>
      <c r="D2004" t="n">
        <v>8</v>
      </c>
      <c r="E2004" t="inlineStr">
        <is>
          <t>Calculation</t>
        </is>
      </c>
      <c r="F2004" t="inlineStr">
        <is>
          <t>'=(1+(D209/D208)-1)*H208</t>
        </is>
      </c>
      <c r="G2004" t="n">
        <v>53.72140868933806</v>
      </c>
      <c r="H2004" t="inlineStr"/>
      <c r="I2004" t="inlineStr">
        <is>
          <t>General</t>
        </is>
      </c>
      <c r="J2004" t="b">
        <v>0</v>
      </c>
      <c r="K2004" t="b">
        <v>0</v>
      </c>
      <c r="L2004" t="n">
        <v>11</v>
      </c>
      <c r="M2004" t="inlineStr">
        <is>
          <t>Values must be of type &lt;class 'str'&gt;</t>
        </is>
      </c>
      <c r="N2004" t="inlineStr">
        <is>
          <t>00000000</t>
        </is>
      </c>
      <c r="O2004" t="inlineStr">
        <is>
          <t>left</t>
        </is>
      </c>
      <c r="P2004" t="n">
        <v/>
      </c>
      <c r="R2004" t="b">
        <v>1</v>
      </c>
      <c r="S2004" t="inlineStr">
        <is>
          <t>G000368</t>
        </is>
      </c>
      <c r="T2004" t="inlineStr">
        <is>
          <t>Horizontal</t>
        </is>
      </c>
      <c r="U2004" t="n">
        <v>3</v>
      </c>
      <c r="V2004" t="b">
        <v>1</v>
      </c>
      <c r="W2004" t="inlineStr">
        <is>
          <t>ATF fuel!G209:I209</t>
        </is>
      </c>
      <c r="X2004">
        <f>(1+(R[0]C[-4]/R[-1]C[-4])-1)*R[-1]C[0]</f>
        <v/>
      </c>
    </row>
    <row r="2005">
      <c r="A2005" t="inlineStr">
        <is>
          <t>ATF fuel</t>
        </is>
      </c>
      <c r="B2005" t="inlineStr">
        <is>
          <t>I209</t>
        </is>
      </c>
      <c r="C2005" t="n">
        <v>209</v>
      </c>
      <c r="D2005" t="n">
        <v>9</v>
      </c>
      <c r="E2005" t="inlineStr">
        <is>
          <t>Calculation</t>
        </is>
      </c>
      <c r="F2005" t="inlineStr">
        <is>
          <t>'=(1+(E209/E208)-1)*I208</t>
        </is>
      </c>
      <c r="G2005" t="n">
        <v>52.93978469182543</v>
      </c>
      <c r="H2005" t="inlineStr"/>
      <c r="I2005" t="inlineStr">
        <is>
          <t>General</t>
        </is>
      </c>
      <c r="J2005" t="b">
        <v>0</v>
      </c>
      <c r="K2005" t="b">
        <v>0</v>
      </c>
      <c r="L2005" t="n">
        <v>11</v>
      </c>
      <c r="M2005" t="inlineStr">
        <is>
          <t>Values must be of type &lt;class 'str'&gt;</t>
        </is>
      </c>
      <c r="N2005" t="inlineStr">
        <is>
          <t>00000000</t>
        </is>
      </c>
      <c r="O2005" t="inlineStr">
        <is>
          <t>left</t>
        </is>
      </c>
      <c r="P2005" t="n">
        <v/>
      </c>
      <c r="R2005" t="b">
        <v>1</v>
      </c>
      <c r="S2005" t="inlineStr">
        <is>
          <t>G000368</t>
        </is>
      </c>
      <c r="T2005" t="inlineStr">
        <is>
          <t>Horizontal</t>
        </is>
      </c>
      <c r="U2005" t="n">
        <v>3</v>
      </c>
      <c r="V2005" t="b">
        <v>1</v>
      </c>
      <c r="W2005" t="inlineStr">
        <is>
          <t>ATF fuel!G209:I209</t>
        </is>
      </c>
      <c r="X2005">
        <f>(1+(R[0]C[-4]/R[-1]C[-4])-1)*R[-1]C[0]</f>
        <v/>
      </c>
    </row>
    <row r="2006">
      <c r="A2006" t="inlineStr">
        <is>
          <t>ATF fuel</t>
        </is>
      </c>
      <c r="B2006" t="inlineStr">
        <is>
          <t>J209</t>
        </is>
      </c>
      <c r="C2006" t="n">
        <v>209</v>
      </c>
      <c r="D2006" t="n">
        <v>10</v>
      </c>
      <c r="E2006" t="inlineStr">
        <is>
          <t>Output</t>
        </is>
      </c>
      <c r="F2006" t="inlineStr">
        <is>
          <t>'=G209/H209-1</t>
        </is>
      </c>
      <c r="G2006" t="n">
        <v>0.8614653533055394</v>
      </c>
      <c r="H2006" t="inlineStr"/>
      <c r="I2006" t="inlineStr">
        <is>
          <t>0.0%</t>
        </is>
      </c>
      <c r="J2006" t="b">
        <v>0</v>
      </c>
      <c r="K2006" t="b">
        <v>0</v>
      </c>
      <c r="L2006" t="n">
        <v>11</v>
      </c>
      <c r="M2006" t="inlineStr">
        <is>
          <t>Values must be of type &lt;class 'str'&gt;</t>
        </is>
      </c>
      <c r="N2006" t="inlineStr">
        <is>
          <t>00000000</t>
        </is>
      </c>
      <c r="O2006" t="n">
        <v/>
      </c>
      <c r="P2006" t="n">
        <v/>
      </c>
      <c r="R2006" t="b">
        <v>1</v>
      </c>
      <c r="S2006" t="inlineStr">
        <is>
          <t>G000295</t>
        </is>
      </c>
      <c r="T2006" t="inlineStr">
        <is>
          <t>Vertical</t>
        </is>
      </c>
      <c r="U2006" t="n">
        <v>93</v>
      </c>
      <c r="V2006" t="b">
        <v>1</v>
      </c>
      <c r="W2006" t="inlineStr">
        <is>
          <t>ATF fuel!J136:J228</t>
        </is>
      </c>
      <c r="X2006">
        <f>R[0]C[-3]/R[0]C[-2]-1</f>
        <v/>
      </c>
    </row>
    <row r="2007">
      <c r="A2007" t="inlineStr">
        <is>
          <t>ATF fuel</t>
        </is>
      </c>
      <c r="B2007" t="inlineStr">
        <is>
          <t>B210</t>
        </is>
      </c>
      <c r="C2007" t="n">
        <v>210</v>
      </c>
      <c r="D2007" t="n">
        <v>2</v>
      </c>
      <c r="E2007" t="inlineStr">
        <is>
          <t>Input</t>
        </is>
      </c>
      <c r="F2007" t="n">
        <v/>
      </c>
      <c r="G2007" t="inlineStr">
        <is>
          <t>June 01,2016</t>
        </is>
      </c>
      <c r="H2007" t="inlineStr"/>
      <c r="I2007" t="inlineStr">
        <is>
          <t>General</t>
        </is>
      </c>
      <c r="J2007" t="b">
        <v>0</v>
      </c>
      <c r="K2007" t="b">
        <v>0</v>
      </c>
      <c r="L2007" t="n">
        <v>11</v>
      </c>
      <c r="M2007" t="inlineStr">
        <is>
          <t>Values must be of type &lt;class 'str'&gt;</t>
        </is>
      </c>
      <c r="N2007" t="inlineStr">
        <is>
          <t>00000000</t>
        </is>
      </c>
      <c r="O2007" t="n">
        <v/>
      </c>
      <c r="P2007" t="n">
        <v/>
      </c>
      <c r="R2007" t="b">
        <v>1</v>
      </c>
      <c r="S2007" t="n">
        <v/>
      </c>
      <c r="T2007" t="n">
        <v/>
      </c>
      <c r="U2007" t="n">
        <v/>
      </c>
      <c r="V2007" t="b">
        <v>0</v>
      </c>
      <c r="W2007" t="inlineStr"/>
      <c r="X2007" t="n">
        <v/>
      </c>
    </row>
    <row r="2008">
      <c r="A2008" t="inlineStr">
        <is>
          <t>ATF fuel</t>
        </is>
      </c>
      <c r="B2008" t="inlineStr">
        <is>
          <t>C210</t>
        </is>
      </c>
      <c r="C2008" t="n">
        <v>210</v>
      </c>
      <c r="D2008" t="n">
        <v>3</v>
      </c>
      <c r="E2008" t="inlineStr">
        <is>
          <t>Input</t>
        </is>
      </c>
      <c r="F2008" t="n">
        <v/>
      </c>
      <c r="G2008" t="n">
        <v>48331.79750000001</v>
      </c>
      <c r="H2008" t="inlineStr"/>
      <c r="I2008" t="inlineStr">
        <is>
          <t>General</t>
        </is>
      </c>
      <c r="J2008" t="b">
        <v>0</v>
      </c>
      <c r="K2008" t="b">
        <v>0</v>
      </c>
      <c r="L2008" t="n">
        <v>11</v>
      </c>
      <c r="M2008" t="inlineStr">
        <is>
          <t>Values must be of type &lt;class 'str'&gt;</t>
        </is>
      </c>
      <c r="N2008" t="inlineStr">
        <is>
          <t>00000000</t>
        </is>
      </c>
      <c r="O2008" t="n">
        <v/>
      </c>
      <c r="P2008" t="n">
        <v/>
      </c>
      <c r="R2008" t="b">
        <v>1</v>
      </c>
      <c r="S2008" t="n">
        <v/>
      </c>
      <c r="T2008" t="n">
        <v/>
      </c>
      <c r="U2008" t="n">
        <v/>
      </c>
      <c r="V2008" t="b">
        <v>0</v>
      </c>
      <c r="W2008" t="inlineStr"/>
      <c r="X2008" t="n">
        <v/>
      </c>
    </row>
    <row r="2009">
      <c r="A2009" t="inlineStr">
        <is>
          <t>ATF fuel</t>
        </is>
      </c>
      <c r="B2009" t="inlineStr">
        <is>
          <t>D210</t>
        </is>
      </c>
      <c r="C2009" t="n">
        <v>210</v>
      </c>
      <c r="D2009" t="n">
        <v>4</v>
      </c>
      <c r="E2009" t="inlineStr">
        <is>
          <t>Input</t>
        </is>
      </c>
      <c r="F2009" t="n">
        <v/>
      </c>
      <c r="G2009" t="n">
        <v>48.94</v>
      </c>
      <c r="H2009" t="inlineStr"/>
      <c r="I2009" t="inlineStr">
        <is>
          <t>General</t>
        </is>
      </c>
      <c r="J2009" t="b">
        <v>0</v>
      </c>
      <c r="K2009" t="b">
        <v>0</v>
      </c>
      <c r="L2009" t="n">
        <v>11</v>
      </c>
      <c r="M2009" t="inlineStr">
        <is>
          <t>Values must be of type &lt;class 'str'&gt;</t>
        </is>
      </c>
      <c r="N2009" t="inlineStr">
        <is>
          <t>00000000</t>
        </is>
      </c>
      <c r="O2009" t="n">
        <v/>
      </c>
      <c r="P2009" t="n">
        <v/>
      </c>
      <c r="R2009" t="b">
        <v>1</v>
      </c>
      <c r="S2009" t="n">
        <v/>
      </c>
      <c r="T2009" t="n">
        <v/>
      </c>
      <c r="U2009" t="n">
        <v/>
      </c>
      <c r="V2009" t="b">
        <v>0</v>
      </c>
      <c r="W2009" t="inlineStr"/>
      <c r="X2009" t="n">
        <v/>
      </c>
    </row>
    <row r="2010">
      <c r="A2010" t="inlineStr">
        <is>
          <t>ATF fuel</t>
        </is>
      </c>
      <c r="B2010" t="inlineStr">
        <is>
          <t>E210</t>
        </is>
      </c>
      <c r="C2010" t="n">
        <v>210</v>
      </c>
      <c r="D2010" t="n">
        <v>5</v>
      </c>
      <c r="E2010" t="inlineStr">
        <is>
          <t>Input</t>
        </is>
      </c>
      <c r="F2010" t="n">
        <v/>
      </c>
      <c r="G2010" t="n">
        <v>49.07</v>
      </c>
      <c r="H2010" t="inlineStr"/>
      <c r="I2010" t="inlineStr">
        <is>
          <t>General</t>
        </is>
      </c>
      <c r="J2010" t="b">
        <v>0</v>
      </c>
      <c r="K2010" t="b">
        <v>0</v>
      </c>
      <c r="L2010" t="n">
        <v>11</v>
      </c>
      <c r="M2010" t="inlineStr">
        <is>
          <t>Values must be of type &lt;class 'str'&gt;</t>
        </is>
      </c>
      <c r="N2010" t="inlineStr">
        <is>
          <t>00000000</t>
        </is>
      </c>
      <c r="O2010" t="n">
        <v/>
      </c>
      <c r="P2010" t="n">
        <v/>
      </c>
      <c r="R2010" t="b">
        <v>1</v>
      </c>
      <c r="S2010" t="n">
        <v/>
      </c>
      <c r="T2010" t="n">
        <v/>
      </c>
      <c r="U2010" t="n">
        <v/>
      </c>
      <c r="V2010" t="b">
        <v>0</v>
      </c>
      <c r="W2010" t="inlineStr"/>
      <c r="X2010" t="n">
        <v/>
      </c>
    </row>
    <row r="2011">
      <c r="A2011" t="inlineStr">
        <is>
          <t>ATF fuel</t>
        </is>
      </c>
      <c r="B2011" t="inlineStr">
        <is>
          <t>F210</t>
        </is>
      </c>
      <c r="C2011" t="n">
        <v>210</v>
      </c>
      <c r="D2011" t="n">
        <v>6</v>
      </c>
      <c r="E2011" t="inlineStr">
        <is>
          <t>Input</t>
        </is>
      </c>
      <c r="F2011" t="n">
        <v/>
      </c>
      <c r="G2011" t="inlineStr">
        <is>
          <t>June 01,2016</t>
        </is>
      </c>
      <c r="H2011" t="inlineStr"/>
      <c r="I2011" t="inlineStr">
        <is>
          <t>General</t>
        </is>
      </c>
      <c r="J2011" t="b">
        <v>0</v>
      </c>
      <c r="K2011" t="b">
        <v>0</v>
      </c>
      <c r="L2011" t="n">
        <v>11</v>
      </c>
      <c r="M2011" t="inlineStr">
        <is>
          <t>Values must be of type &lt;class 'str'&gt;</t>
        </is>
      </c>
      <c r="N2011" t="inlineStr">
        <is>
          <t>00000000</t>
        </is>
      </c>
      <c r="O2011" t="inlineStr">
        <is>
          <t>left</t>
        </is>
      </c>
      <c r="P2011" t="n">
        <v/>
      </c>
      <c r="R2011" t="b">
        <v>1</v>
      </c>
      <c r="S2011" t="n">
        <v/>
      </c>
      <c r="T2011" t="n">
        <v/>
      </c>
      <c r="U2011" t="n">
        <v/>
      </c>
      <c r="V2011" t="b">
        <v>0</v>
      </c>
      <c r="W2011" t="inlineStr"/>
      <c r="X2011" t="n">
        <v/>
      </c>
    </row>
    <row r="2012">
      <c r="A2012" t="inlineStr">
        <is>
          <t>ATF fuel</t>
        </is>
      </c>
      <c r="B2012" t="inlineStr">
        <is>
          <t>G210</t>
        </is>
      </c>
      <c r="C2012" t="n">
        <v>210</v>
      </c>
      <c r="D2012" t="n">
        <v>7</v>
      </c>
      <c r="E2012" t="inlineStr">
        <is>
          <t>Calculation</t>
        </is>
      </c>
      <c r="F2012" t="inlineStr">
        <is>
          <t>'=(1+(C210/C209)-1)*G209</t>
        </is>
      </c>
      <c r="G2012" t="n">
        <v>108.9491291522699</v>
      </c>
      <c r="H2012" t="inlineStr"/>
      <c r="I2012" t="inlineStr">
        <is>
          <t>General</t>
        </is>
      </c>
      <c r="J2012" t="b">
        <v>0</v>
      </c>
      <c r="K2012" t="b">
        <v>0</v>
      </c>
      <c r="L2012" t="n">
        <v>11</v>
      </c>
      <c r="M2012" t="inlineStr">
        <is>
          <t>Values must be of type &lt;class 'str'&gt;</t>
        </is>
      </c>
      <c r="N2012" t="inlineStr">
        <is>
          <t>00000000</t>
        </is>
      </c>
      <c r="O2012" t="inlineStr">
        <is>
          <t>left</t>
        </is>
      </c>
      <c r="P2012" t="n">
        <v/>
      </c>
      <c r="R2012" t="b">
        <v>1</v>
      </c>
      <c r="S2012" t="inlineStr">
        <is>
          <t>G000369</t>
        </is>
      </c>
      <c r="T2012" t="inlineStr">
        <is>
          <t>Horizontal</t>
        </is>
      </c>
      <c r="U2012" t="n">
        <v>3</v>
      </c>
      <c r="V2012" t="b">
        <v>1</v>
      </c>
      <c r="W2012" t="inlineStr">
        <is>
          <t>ATF fuel!G210:I210</t>
        </is>
      </c>
      <c r="X2012">
        <f>(1+(R[0]C[-4]/R[-1]C[-4])-1)*R[-1]C[0]</f>
        <v/>
      </c>
    </row>
    <row r="2013">
      <c r="A2013" t="inlineStr">
        <is>
          <t>ATF fuel</t>
        </is>
      </c>
      <c r="B2013" t="inlineStr">
        <is>
          <t>H210</t>
        </is>
      </c>
      <c r="C2013" t="n">
        <v>210</v>
      </c>
      <c r="D2013" t="n">
        <v>8</v>
      </c>
      <c r="E2013" t="inlineStr">
        <is>
          <t>Calculation</t>
        </is>
      </c>
      <c r="F2013" t="inlineStr">
        <is>
          <t>'=(1+(D210/D209)-1)*H209</t>
        </is>
      </c>
      <c r="G2013" t="n">
        <v>59.22788333535041</v>
      </c>
      <c r="H2013" t="inlineStr"/>
      <c r="I2013" t="inlineStr">
        <is>
          <t>General</t>
        </is>
      </c>
      <c r="J2013" t="b">
        <v>0</v>
      </c>
      <c r="K2013" t="b">
        <v>0</v>
      </c>
      <c r="L2013" t="n">
        <v>11</v>
      </c>
      <c r="M2013" t="inlineStr">
        <is>
          <t>Values must be of type &lt;class 'str'&gt;</t>
        </is>
      </c>
      <c r="N2013" t="inlineStr">
        <is>
          <t>00000000</t>
        </is>
      </c>
      <c r="O2013" t="inlineStr">
        <is>
          <t>left</t>
        </is>
      </c>
      <c r="P2013" t="n">
        <v/>
      </c>
      <c r="R2013" t="b">
        <v>1</v>
      </c>
      <c r="S2013" t="inlineStr">
        <is>
          <t>G000369</t>
        </is>
      </c>
      <c r="T2013" t="inlineStr">
        <is>
          <t>Horizontal</t>
        </is>
      </c>
      <c r="U2013" t="n">
        <v>3</v>
      </c>
      <c r="V2013" t="b">
        <v>1</v>
      </c>
      <c r="W2013" t="inlineStr">
        <is>
          <t>ATF fuel!G210:I210</t>
        </is>
      </c>
      <c r="X2013">
        <f>(1+(R[0]C[-4]/R[-1]C[-4])-1)*R[-1]C[0]</f>
        <v/>
      </c>
    </row>
    <row r="2014">
      <c r="A2014" t="inlineStr">
        <is>
          <t>ATF fuel</t>
        </is>
      </c>
      <c r="B2014" t="inlineStr">
        <is>
          <t>I210</t>
        </is>
      </c>
      <c r="C2014" t="n">
        <v>210</v>
      </c>
      <c r="D2014" t="n">
        <v>9</v>
      </c>
      <c r="E2014" t="inlineStr">
        <is>
          <t>Calculation</t>
        </is>
      </c>
      <c r="F2014" t="inlineStr">
        <is>
          <t>'=(1+(E210/E209)-1)*I209</t>
        </is>
      </c>
      <c r="G2014" t="n">
        <v>58.05039630900277</v>
      </c>
      <c r="H2014" t="inlineStr"/>
      <c r="I2014" t="inlineStr">
        <is>
          <t>General</t>
        </is>
      </c>
      <c r="J2014" t="b">
        <v>0</v>
      </c>
      <c r="K2014" t="b">
        <v>0</v>
      </c>
      <c r="L2014" t="n">
        <v>11</v>
      </c>
      <c r="M2014" t="inlineStr">
        <is>
          <t>Values must be of type &lt;class 'str'&gt;</t>
        </is>
      </c>
      <c r="N2014" t="inlineStr">
        <is>
          <t>00000000</t>
        </is>
      </c>
      <c r="O2014" t="inlineStr">
        <is>
          <t>left</t>
        </is>
      </c>
      <c r="P2014" t="n">
        <v/>
      </c>
      <c r="R2014" t="b">
        <v>1</v>
      </c>
      <c r="S2014" t="inlineStr">
        <is>
          <t>G000369</t>
        </is>
      </c>
      <c r="T2014" t="inlineStr">
        <is>
          <t>Horizontal</t>
        </is>
      </c>
      <c r="U2014" t="n">
        <v>3</v>
      </c>
      <c r="V2014" t="b">
        <v>1</v>
      </c>
      <c r="W2014" t="inlineStr">
        <is>
          <t>ATF fuel!G210:I210</t>
        </is>
      </c>
      <c r="X2014">
        <f>(1+(R[0]C[-4]/R[-1]C[-4])-1)*R[-1]C[0]</f>
        <v/>
      </c>
    </row>
    <row r="2015">
      <c r="A2015" t="inlineStr">
        <is>
          <t>ATF fuel</t>
        </is>
      </c>
      <c r="B2015" t="inlineStr">
        <is>
          <t>J210</t>
        </is>
      </c>
      <c r="C2015" t="n">
        <v>210</v>
      </c>
      <c r="D2015" t="n">
        <v>10</v>
      </c>
      <c r="E2015" t="inlineStr">
        <is>
          <t>Output</t>
        </is>
      </c>
      <c r="F2015" t="inlineStr">
        <is>
          <t>'=G210/H210-1</t>
        </is>
      </c>
      <c r="G2015" t="n">
        <v>0.8394905071213838</v>
      </c>
      <c r="H2015" t="inlineStr"/>
      <c r="I2015" t="inlineStr">
        <is>
          <t>0.0%</t>
        </is>
      </c>
      <c r="J2015" t="b">
        <v>0</v>
      </c>
      <c r="K2015" t="b">
        <v>0</v>
      </c>
      <c r="L2015" t="n">
        <v>11</v>
      </c>
      <c r="M2015" t="inlineStr">
        <is>
          <t>Values must be of type &lt;class 'str'&gt;</t>
        </is>
      </c>
      <c r="N2015" t="inlineStr">
        <is>
          <t>00000000</t>
        </is>
      </c>
      <c r="O2015" t="n">
        <v/>
      </c>
      <c r="P2015" t="n">
        <v/>
      </c>
      <c r="R2015" t="b">
        <v>1</v>
      </c>
      <c r="S2015" t="inlineStr">
        <is>
          <t>G000295</t>
        </is>
      </c>
      <c r="T2015" t="inlineStr">
        <is>
          <t>Vertical</t>
        </is>
      </c>
      <c r="U2015" t="n">
        <v>93</v>
      </c>
      <c r="V2015" t="b">
        <v>1</v>
      </c>
      <c r="W2015" t="inlineStr">
        <is>
          <t>ATF fuel!J136:J228</t>
        </is>
      </c>
      <c r="X2015">
        <f>R[0]C[-3]/R[0]C[-2]-1</f>
        <v/>
      </c>
    </row>
    <row r="2016">
      <c r="A2016" t="inlineStr">
        <is>
          <t>ATF fuel</t>
        </is>
      </c>
      <c r="B2016" t="inlineStr">
        <is>
          <t>B211</t>
        </is>
      </c>
      <c r="C2016" t="n">
        <v>211</v>
      </c>
      <c r="D2016" t="n">
        <v>2</v>
      </c>
      <c r="E2016" t="inlineStr">
        <is>
          <t>Input</t>
        </is>
      </c>
      <c r="F2016" t="n">
        <v/>
      </c>
      <c r="G2016" t="inlineStr">
        <is>
          <t>July 01,2016</t>
        </is>
      </c>
      <c r="H2016" t="inlineStr"/>
      <c r="I2016" t="inlineStr">
        <is>
          <t>General</t>
        </is>
      </c>
      <c r="J2016" t="b">
        <v>0</v>
      </c>
      <c r="K2016" t="b">
        <v>0</v>
      </c>
      <c r="L2016" t="n">
        <v>11</v>
      </c>
      <c r="M2016" t="inlineStr">
        <is>
          <t>Values must be of type &lt;class 'str'&gt;</t>
        </is>
      </c>
      <c r="N2016" t="inlineStr">
        <is>
          <t>00000000</t>
        </is>
      </c>
      <c r="O2016" t="n">
        <v/>
      </c>
      <c r="P2016" t="n">
        <v/>
      </c>
      <c r="R2016" t="b">
        <v>1</v>
      </c>
      <c r="S2016" t="n">
        <v/>
      </c>
      <c r="T2016" t="n">
        <v/>
      </c>
      <c r="U2016" t="n">
        <v/>
      </c>
      <c r="V2016" t="b">
        <v>0</v>
      </c>
      <c r="W2016" t="inlineStr"/>
      <c r="X2016" t="n">
        <v/>
      </c>
    </row>
    <row r="2017">
      <c r="A2017" t="inlineStr">
        <is>
          <t>ATF fuel</t>
        </is>
      </c>
      <c r="B2017" t="inlineStr">
        <is>
          <t>C211</t>
        </is>
      </c>
      <c r="C2017" t="n">
        <v>211</v>
      </c>
      <c r="D2017" t="n">
        <v>3</v>
      </c>
      <c r="E2017" t="inlineStr">
        <is>
          <t>Input</t>
        </is>
      </c>
      <c r="F2017" t="n">
        <v/>
      </c>
      <c r="G2017" t="n">
        <v>50958.6975</v>
      </c>
      <c r="H2017" t="inlineStr"/>
      <c r="I2017" t="inlineStr">
        <is>
          <t>General</t>
        </is>
      </c>
      <c r="J2017" t="b">
        <v>0</v>
      </c>
      <c r="K2017" t="b">
        <v>0</v>
      </c>
      <c r="L2017" t="n">
        <v>11</v>
      </c>
      <c r="M2017" t="inlineStr">
        <is>
          <t>Values must be of type &lt;class 'str'&gt;</t>
        </is>
      </c>
      <c r="N2017" t="inlineStr">
        <is>
          <t>00000000</t>
        </is>
      </c>
      <c r="O2017" t="n">
        <v/>
      </c>
      <c r="P2017" t="n">
        <v/>
      </c>
      <c r="R2017" t="b">
        <v>1</v>
      </c>
      <c r="S2017" t="n">
        <v/>
      </c>
      <c r="T2017" t="n">
        <v/>
      </c>
      <c r="U2017" t="n">
        <v/>
      </c>
      <c r="V2017" t="b">
        <v>0</v>
      </c>
      <c r="W2017" t="inlineStr"/>
      <c r="X2017" t="n">
        <v/>
      </c>
    </row>
    <row r="2018">
      <c r="A2018" t="inlineStr">
        <is>
          <t>ATF fuel</t>
        </is>
      </c>
      <c r="B2018" t="inlineStr">
        <is>
          <t>D211</t>
        </is>
      </c>
      <c r="C2018" t="n">
        <v>211</v>
      </c>
      <c r="D2018" t="n">
        <v>4</v>
      </c>
      <c r="E2018" t="inlineStr">
        <is>
          <t>Input</t>
        </is>
      </c>
      <c r="F2018" t="n">
        <v/>
      </c>
      <c r="G2018" t="n">
        <v>45.7</v>
      </c>
      <c r="H2018" t="inlineStr"/>
      <c r="I2018" t="inlineStr">
        <is>
          <t>General</t>
        </is>
      </c>
      <c r="J2018" t="b">
        <v>0</v>
      </c>
      <c r="K2018" t="b">
        <v>0</v>
      </c>
      <c r="L2018" t="n">
        <v>11</v>
      </c>
      <c r="M2018" t="inlineStr">
        <is>
          <t>Values must be of type &lt;class 'str'&gt;</t>
        </is>
      </c>
      <c r="N2018" t="inlineStr">
        <is>
          <t>00000000</t>
        </is>
      </c>
      <c r="O2018" t="n">
        <v/>
      </c>
      <c r="P2018" t="n">
        <v/>
      </c>
      <c r="R2018" t="b">
        <v>1</v>
      </c>
      <c r="S2018" t="n">
        <v/>
      </c>
      <c r="T2018" t="n">
        <v/>
      </c>
      <c r="U2018" t="n">
        <v/>
      </c>
      <c r="V2018" t="b">
        <v>0</v>
      </c>
      <c r="W2018" t="inlineStr"/>
      <c r="X2018" t="n">
        <v/>
      </c>
    </row>
    <row r="2019">
      <c r="A2019" t="inlineStr">
        <is>
          <t>ATF fuel</t>
        </is>
      </c>
      <c r="B2019" t="inlineStr">
        <is>
          <t>E211</t>
        </is>
      </c>
      <c r="C2019" t="n">
        <v>211</v>
      </c>
      <c r="D2019" t="n">
        <v>5</v>
      </c>
      <c r="E2019" t="inlineStr">
        <is>
          <t>Input</t>
        </is>
      </c>
      <c r="F2019" t="n">
        <v/>
      </c>
      <c r="G2019" t="n">
        <v>49.02</v>
      </c>
      <c r="H2019" t="inlineStr"/>
      <c r="I2019" t="inlineStr">
        <is>
          <t>General</t>
        </is>
      </c>
      <c r="J2019" t="b">
        <v>0</v>
      </c>
      <c r="K2019" t="b">
        <v>0</v>
      </c>
      <c r="L2019" t="n">
        <v>11</v>
      </c>
      <c r="M2019" t="inlineStr">
        <is>
          <t>Values must be of type &lt;class 'str'&gt;</t>
        </is>
      </c>
      <c r="N2019" t="inlineStr">
        <is>
          <t>00000000</t>
        </is>
      </c>
      <c r="O2019" t="n">
        <v/>
      </c>
      <c r="P2019" t="n">
        <v/>
      </c>
      <c r="R2019" t="b">
        <v>1</v>
      </c>
      <c r="S2019" t="n">
        <v/>
      </c>
      <c r="T2019" t="n">
        <v/>
      </c>
      <c r="U2019" t="n">
        <v/>
      </c>
      <c r="V2019" t="b">
        <v>0</v>
      </c>
      <c r="W2019" t="inlineStr"/>
      <c r="X2019" t="n">
        <v/>
      </c>
    </row>
    <row r="2020">
      <c r="A2020" t="inlineStr">
        <is>
          <t>ATF fuel</t>
        </is>
      </c>
      <c r="B2020" t="inlineStr">
        <is>
          <t>F211</t>
        </is>
      </c>
      <c r="C2020" t="n">
        <v>211</v>
      </c>
      <c r="D2020" t="n">
        <v>6</v>
      </c>
      <c r="E2020" t="inlineStr">
        <is>
          <t>Input</t>
        </is>
      </c>
      <c r="F2020" t="n">
        <v/>
      </c>
      <c r="G2020" t="inlineStr">
        <is>
          <t>July 01,2016</t>
        </is>
      </c>
      <c r="H2020" t="inlineStr"/>
      <c r="I2020" t="inlineStr">
        <is>
          <t>General</t>
        </is>
      </c>
      <c r="J2020" t="b">
        <v>0</v>
      </c>
      <c r="K2020" t="b">
        <v>0</v>
      </c>
      <c r="L2020" t="n">
        <v>11</v>
      </c>
      <c r="M2020" t="inlineStr">
        <is>
          <t>Values must be of type &lt;class 'str'&gt;</t>
        </is>
      </c>
      <c r="N2020" t="inlineStr">
        <is>
          <t>00000000</t>
        </is>
      </c>
      <c r="O2020" t="inlineStr">
        <is>
          <t>left</t>
        </is>
      </c>
      <c r="P2020" t="n">
        <v/>
      </c>
      <c r="R2020" t="b">
        <v>1</v>
      </c>
      <c r="S2020" t="n">
        <v/>
      </c>
      <c r="T2020" t="n">
        <v/>
      </c>
      <c r="U2020" t="n">
        <v/>
      </c>
      <c r="V2020" t="b">
        <v>0</v>
      </c>
      <c r="W2020" t="inlineStr"/>
      <c r="X2020" t="n">
        <v/>
      </c>
    </row>
    <row r="2021">
      <c r="A2021" t="inlineStr">
        <is>
          <t>ATF fuel</t>
        </is>
      </c>
      <c r="B2021" t="inlineStr">
        <is>
          <t>G211</t>
        </is>
      </c>
      <c r="C2021" t="n">
        <v>211</v>
      </c>
      <c r="D2021" t="n">
        <v>7</v>
      </c>
      <c r="E2021" t="inlineStr">
        <is>
          <t>Calculation</t>
        </is>
      </c>
      <c r="F2021" t="inlineStr">
        <is>
          <t>'=(1+(C211/C210)-1)*G210</t>
        </is>
      </c>
      <c r="G2021" t="n">
        <v>114.8706649149342</v>
      </c>
      <c r="H2021" t="inlineStr"/>
      <c r="I2021" t="inlineStr">
        <is>
          <t>General</t>
        </is>
      </c>
      <c r="J2021" t="b">
        <v>0</v>
      </c>
      <c r="K2021" t="b">
        <v>0</v>
      </c>
      <c r="L2021" t="n">
        <v>11</v>
      </c>
      <c r="M2021" t="inlineStr">
        <is>
          <t>Values must be of type &lt;class 'str'&gt;</t>
        </is>
      </c>
      <c r="N2021" t="inlineStr">
        <is>
          <t>00000000</t>
        </is>
      </c>
      <c r="O2021" t="inlineStr">
        <is>
          <t>left</t>
        </is>
      </c>
      <c r="P2021" t="n">
        <v/>
      </c>
      <c r="R2021" t="b">
        <v>1</v>
      </c>
      <c r="S2021" t="inlineStr">
        <is>
          <t>G000370</t>
        </is>
      </c>
      <c r="T2021" t="inlineStr">
        <is>
          <t>Horizontal</t>
        </is>
      </c>
      <c r="U2021" t="n">
        <v>3</v>
      </c>
      <c r="V2021" t="b">
        <v>1</v>
      </c>
      <c r="W2021" t="inlineStr">
        <is>
          <t>ATF fuel!G211:I211</t>
        </is>
      </c>
      <c r="X2021">
        <f>(1+(R[0]C[-4]/R[-1]C[-4])-1)*R[-1]C[0]</f>
        <v/>
      </c>
    </row>
    <row r="2022">
      <c r="A2022" t="inlineStr">
        <is>
          <t>ATF fuel</t>
        </is>
      </c>
      <c r="B2022" t="inlineStr">
        <is>
          <t>H211</t>
        </is>
      </c>
      <c r="C2022" t="n">
        <v>211</v>
      </c>
      <c r="D2022" t="n">
        <v>8</v>
      </c>
      <c r="E2022" t="inlineStr">
        <is>
          <t>Calculation</t>
        </is>
      </c>
      <c r="F2022" t="inlineStr">
        <is>
          <t>'=(1+(D211/D210)-1)*H210</t>
        </is>
      </c>
      <c r="G2022" t="n">
        <v>55.30678930170647</v>
      </c>
      <c r="H2022" t="inlineStr"/>
      <c r="I2022" t="inlineStr">
        <is>
          <t>General</t>
        </is>
      </c>
      <c r="J2022" t="b">
        <v>0</v>
      </c>
      <c r="K2022" t="b">
        <v>0</v>
      </c>
      <c r="L2022" t="n">
        <v>11</v>
      </c>
      <c r="M2022" t="inlineStr">
        <is>
          <t>Values must be of type &lt;class 'str'&gt;</t>
        </is>
      </c>
      <c r="N2022" t="inlineStr">
        <is>
          <t>00000000</t>
        </is>
      </c>
      <c r="O2022" t="inlineStr">
        <is>
          <t>left</t>
        </is>
      </c>
      <c r="P2022" t="n">
        <v/>
      </c>
      <c r="R2022" t="b">
        <v>1</v>
      </c>
      <c r="S2022" t="inlineStr">
        <is>
          <t>G000370</t>
        </is>
      </c>
      <c r="T2022" t="inlineStr">
        <is>
          <t>Horizontal</t>
        </is>
      </c>
      <c r="U2022" t="n">
        <v>3</v>
      </c>
      <c r="V2022" t="b">
        <v>1</v>
      </c>
      <c r="W2022" t="inlineStr">
        <is>
          <t>ATF fuel!G211:I211</t>
        </is>
      </c>
      <c r="X2022">
        <f>(1+(R[0]C[-4]/R[-1]C[-4])-1)*R[-1]C[0]</f>
        <v/>
      </c>
    </row>
    <row r="2023">
      <c r="A2023" t="inlineStr">
        <is>
          <t>ATF fuel</t>
        </is>
      </c>
      <c r="B2023" t="inlineStr">
        <is>
          <t>I211</t>
        </is>
      </c>
      <c r="C2023" t="n">
        <v>211</v>
      </c>
      <c r="D2023" t="n">
        <v>9</v>
      </c>
      <c r="E2023" t="inlineStr">
        <is>
          <t>Calculation</t>
        </is>
      </c>
      <c r="F2023" t="inlineStr">
        <is>
          <t>'=(1+(E211/E210)-1)*I210</t>
        </is>
      </c>
      <c r="G2023" t="n">
        <v>57.99124571158173</v>
      </c>
      <c r="H2023" t="inlineStr"/>
      <c r="I2023" t="inlineStr">
        <is>
          <t>General</t>
        </is>
      </c>
      <c r="J2023" t="b">
        <v>0</v>
      </c>
      <c r="K2023" t="b">
        <v>0</v>
      </c>
      <c r="L2023" t="n">
        <v>11</v>
      </c>
      <c r="M2023" t="inlineStr">
        <is>
          <t>Values must be of type &lt;class 'str'&gt;</t>
        </is>
      </c>
      <c r="N2023" t="inlineStr">
        <is>
          <t>00000000</t>
        </is>
      </c>
      <c r="O2023" t="inlineStr">
        <is>
          <t>left</t>
        </is>
      </c>
      <c r="P2023" t="n">
        <v/>
      </c>
      <c r="R2023" t="b">
        <v>1</v>
      </c>
      <c r="S2023" t="inlineStr">
        <is>
          <t>G000370</t>
        </is>
      </c>
      <c r="T2023" t="inlineStr">
        <is>
          <t>Horizontal</t>
        </is>
      </c>
      <c r="U2023" t="n">
        <v>3</v>
      </c>
      <c r="V2023" t="b">
        <v>1</v>
      </c>
      <c r="W2023" t="inlineStr">
        <is>
          <t>ATF fuel!G211:I211</t>
        </is>
      </c>
      <c r="X2023">
        <f>(1+(R[0]C[-4]/R[-1]C[-4])-1)*R[-1]C[0]</f>
        <v/>
      </c>
    </row>
    <row r="2024">
      <c r="A2024" t="inlineStr">
        <is>
          <t>ATF fuel</t>
        </is>
      </c>
      <c r="B2024" t="inlineStr">
        <is>
          <t>J211</t>
        </is>
      </c>
      <c r="C2024" t="n">
        <v>211</v>
      </c>
      <c r="D2024" t="n">
        <v>10</v>
      </c>
      <c r="E2024" t="inlineStr">
        <is>
          <t>Output</t>
        </is>
      </c>
      <c r="F2024" t="inlineStr">
        <is>
          <t>'=G211/H211-1</t>
        </is>
      </c>
      <c r="G2024" t="n">
        <v>1.07697221923873</v>
      </c>
      <c r="H2024" t="inlineStr"/>
      <c r="I2024" t="inlineStr">
        <is>
          <t>0.0%</t>
        </is>
      </c>
      <c r="J2024" t="b">
        <v>0</v>
      </c>
      <c r="K2024" t="b">
        <v>0</v>
      </c>
      <c r="L2024" t="n">
        <v>11</v>
      </c>
      <c r="M2024" t="inlineStr">
        <is>
          <t>Values must be of type &lt;class 'str'&gt;</t>
        </is>
      </c>
      <c r="N2024" t="inlineStr">
        <is>
          <t>00000000</t>
        </is>
      </c>
      <c r="O2024" t="n">
        <v/>
      </c>
      <c r="P2024" t="n">
        <v/>
      </c>
      <c r="R2024" t="b">
        <v>1</v>
      </c>
      <c r="S2024" t="inlineStr">
        <is>
          <t>G000295</t>
        </is>
      </c>
      <c r="T2024" t="inlineStr">
        <is>
          <t>Vertical</t>
        </is>
      </c>
      <c r="U2024" t="n">
        <v>93</v>
      </c>
      <c r="V2024" t="b">
        <v>1</v>
      </c>
      <c r="W2024" t="inlineStr">
        <is>
          <t>ATF fuel!J136:J228</t>
        </is>
      </c>
      <c r="X2024">
        <f>R[0]C[-3]/R[0]C[-2]-1</f>
        <v/>
      </c>
    </row>
    <row r="2025">
      <c r="A2025" t="inlineStr">
        <is>
          <t>ATF fuel</t>
        </is>
      </c>
      <c r="B2025" t="inlineStr">
        <is>
          <t>B212</t>
        </is>
      </c>
      <c r="C2025" t="n">
        <v>212</v>
      </c>
      <c r="D2025" t="n">
        <v>2</v>
      </c>
      <c r="E2025" t="inlineStr">
        <is>
          <t>Input</t>
        </is>
      </c>
      <c r="F2025" t="n">
        <v/>
      </c>
      <c r="G2025" t="inlineStr">
        <is>
          <t>August 01,2016</t>
        </is>
      </c>
      <c r="H2025" t="inlineStr"/>
      <c r="I2025" t="inlineStr">
        <is>
          <t>General</t>
        </is>
      </c>
      <c r="J2025" t="b">
        <v>0</v>
      </c>
      <c r="K2025" t="b">
        <v>0</v>
      </c>
      <c r="L2025" t="n">
        <v>11</v>
      </c>
      <c r="M2025" t="inlineStr">
        <is>
          <t>Values must be of type &lt;class 'str'&gt;</t>
        </is>
      </c>
      <c r="N2025" t="inlineStr">
        <is>
          <t>00000000</t>
        </is>
      </c>
      <c r="O2025" t="n">
        <v/>
      </c>
      <c r="P2025" t="n">
        <v/>
      </c>
      <c r="R2025" t="b">
        <v>1</v>
      </c>
      <c r="S2025" t="n">
        <v/>
      </c>
      <c r="T2025" t="n">
        <v/>
      </c>
      <c r="U2025" t="n">
        <v/>
      </c>
      <c r="V2025" t="b">
        <v>0</v>
      </c>
      <c r="W2025" t="inlineStr"/>
      <c r="X2025" t="n">
        <v/>
      </c>
    </row>
    <row r="2026">
      <c r="A2026" t="inlineStr">
        <is>
          <t>ATF fuel</t>
        </is>
      </c>
      <c r="B2026" t="inlineStr">
        <is>
          <t>C212</t>
        </is>
      </c>
      <c r="C2026" t="n">
        <v>212</v>
      </c>
      <c r="D2026" t="n">
        <v>3</v>
      </c>
      <c r="E2026" t="inlineStr">
        <is>
          <t>Input</t>
        </is>
      </c>
      <c r="F2026" t="n">
        <v/>
      </c>
      <c r="G2026" t="n">
        <v>48882.4375</v>
      </c>
      <c r="H2026" t="inlineStr"/>
      <c r="I2026" t="inlineStr">
        <is>
          <t>General</t>
        </is>
      </c>
      <c r="J2026" t="b">
        <v>0</v>
      </c>
      <c r="K2026" t="b">
        <v>0</v>
      </c>
      <c r="L2026" t="n">
        <v>11</v>
      </c>
      <c r="M2026" t="inlineStr">
        <is>
          <t>Values must be of type &lt;class 'str'&gt;</t>
        </is>
      </c>
      <c r="N2026" t="inlineStr">
        <is>
          <t>00000000</t>
        </is>
      </c>
      <c r="O2026" t="n">
        <v/>
      </c>
      <c r="P2026" t="n">
        <v/>
      </c>
      <c r="R2026" t="b">
        <v>1</v>
      </c>
      <c r="S2026" t="n">
        <v/>
      </c>
      <c r="T2026" t="n">
        <v/>
      </c>
      <c r="U2026" t="n">
        <v/>
      </c>
      <c r="V2026" t="b">
        <v>0</v>
      </c>
      <c r="W2026" t="inlineStr"/>
      <c r="X2026" t="n">
        <v/>
      </c>
    </row>
    <row r="2027">
      <c r="A2027" t="inlineStr">
        <is>
          <t>ATF fuel</t>
        </is>
      </c>
      <c r="B2027" t="inlineStr">
        <is>
          <t>D212</t>
        </is>
      </c>
      <c r="C2027" t="n">
        <v>212</v>
      </c>
      <c r="D2027" t="n">
        <v>4</v>
      </c>
      <c r="E2027" t="inlineStr">
        <is>
          <t>Input</t>
        </is>
      </c>
      <c r="F2027" t="n">
        <v/>
      </c>
      <c r="G2027" t="n">
        <v>40.45</v>
      </c>
      <c r="H2027" t="inlineStr"/>
      <c r="I2027" t="inlineStr">
        <is>
          <t>General</t>
        </is>
      </c>
      <c r="J2027" t="b">
        <v>0</v>
      </c>
      <c r="K2027" t="b">
        <v>0</v>
      </c>
      <c r="L2027" t="n">
        <v>11</v>
      </c>
      <c r="M2027" t="inlineStr">
        <is>
          <t>Values must be of type &lt;class 'str'&gt;</t>
        </is>
      </c>
      <c r="N2027" t="inlineStr">
        <is>
          <t>00000000</t>
        </is>
      </c>
      <c r="O2027" t="n">
        <v/>
      </c>
      <c r="P2027" t="n">
        <v/>
      </c>
      <c r="R2027" t="b">
        <v>1</v>
      </c>
      <c r="S2027" t="n">
        <v/>
      </c>
      <c r="T2027" t="n">
        <v/>
      </c>
      <c r="U2027" t="n">
        <v/>
      </c>
      <c r="V2027" t="b">
        <v>0</v>
      </c>
      <c r="W2027" t="inlineStr"/>
      <c r="X2027" t="n">
        <v/>
      </c>
    </row>
    <row r="2028">
      <c r="A2028" t="inlineStr">
        <is>
          <t>ATF fuel</t>
        </is>
      </c>
      <c r="B2028" t="inlineStr">
        <is>
          <t>E212</t>
        </is>
      </c>
      <c r="C2028" t="n">
        <v>212</v>
      </c>
      <c r="D2028" t="n">
        <v>5</v>
      </c>
      <c r="E2028" t="inlineStr">
        <is>
          <t>Input</t>
        </is>
      </c>
      <c r="F2028" t="n">
        <v/>
      </c>
      <c r="G2028" t="n">
        <v>40.05</v>
      </c>
      <c r="H2028" t="inlineStr"/>
      <c r="I2028" t="inlineStr">
        <is>
          <t>General</t>
        </is>
      </c>
      <c r="J2028" t="b">
        <v>0</v>
      </c>
      <c r="K2028" t="b">
        <v>0</v>
      </c>
      <c r="L2028" t="n">
        <v>11</v>
      </c>
      <c r="M2028" t="inlineStr">
        <is>
          <t>Values must be of type &lt;class 'str'&gt;</t>
        </is>
      </c>
      <c r="N2028" t="inlineStr">
        <is>
          <t>00000000</t>
        </is>
      </c>
      <c r="O2028" t="n">
        <v/>
      </c>
      <c r="P2028" t="n">
        <v/>
      </c>
      <c r="R2028" t="b">
        <v>1</v>
      </c>
      <c r="S2028" t="n">
        <v/>
      </c>
      <c r="T2028" t="n">
        <v/>
      </c>
      <c r="U2028" t="n">
        <v/>
      </c>
      <c r="V2028" t="b">
        <v>0</v>
      </c>
      <c r="W2028" t="inlineStr"/>
      <c r="X2028" t="n">
        <v/>
      </c>
    </row>
    <row r="2029">
      <c r="A2029" t="inlineStr">
        <is>
          <t>ATF fuel</t>
        </is>
      </c>
      <c r="B2029" t="inlineStr">
        <is>
          <t>F212</t>
        </is>
      </c>
      <c r="C2029" t="n">
        <v>212</v>
      </c>
      <c r="D2029" t="n">
        <v>6</v>
      </c>
      <c r="E2029" t="inlineStr">
        <is>
          <t>Input</t>
        </is>
      </c>
      <c r="F2029" t="n">
        <v/>
      </c>
      <c r="G2029" t="inlineStr">
        <is>
          <t>August 01,2016</t>
        </is>
      </c>
      <c r="H2029" t="inlineStr"/>
      <c r="I2029" t="inlineStr">
        <is>
          <t>General</t>
        </is>
      </c>
      <c r="J2029" t="b">
        <v>0</v>
      </c>
      <c r="K2029" t="b">
        <v>0</v>
      </c>
      <c r="L2029" t="n">
        <v>11</v>
      </c>
      <c r="M2029" t="inlineStr">
        <is>
          <t>Values must be of type &lt;class 'str'&gt;</t>
        </is>
      </c>
      <c r="N2029" t="inlineStr">
        <is>
          <t>00000000</t>
        </is>
      </c>
      <c r="O2029" t="inlineStr">
        <is>
          <t>left</t>
        </is>
      </c>
      <c r="P2029" t="n">
        <v/>
      </c>
      <c r="R2029" t="b">
        <v>1</v>
      </c>
      <c r="S2029" t="n">
        <v/>
      </c>
      <c r="T2029" t="n">
        <v/>
      </c>
      <c r="U2029" t="n">
        <v/>
      </c>
      <c r="V2029" t="b">
        <v>0</v>
      </c>
      <c r="W2029" t="inlineStr"/>
      <c r="X2029" t="n">
        <v/>
      </c>
    </row>
    <row r="2030">
      <c r="A2030" t="inlineStr">
        <is>
          <t>ATF fuel</t>
        </is>
      </c>
      <c r="B2030" t="inlineStr">
        <is>
          <t>G212</t>
        </is>
      </c>
      <c r="C2030" t="n">
        <v>212</v>
      </c>
      <c r="D2030" t="n">
        <v>7</v>
      </c>
      <c r="E2030" t="inlineStr">
        <is>
          <t>Calculation</t>
        </is>
      </c>
      <c r="F2030" t="inlineStr">
        <is>
          <t>'=(1+(C212/C211)-1)*G211</t>
        </is>
      </c>
      <c r="G2030" t="n">
        <v>110.1903771831631</v>
      </c>
      <c r="H2030" t="inlineStr"/>
      <c r="I2030" t="inlineStr">
        <is>
          <t>General</t>
        </is>
      </c>
      <c r="J2030" t="b">
        <v>0</v>
      </c>
      <c r="K2030" t="b">
        <v>0</v>
      </c>
      <c r="L2030" t="n">
        <v>11</v>
      </c>
      <c r="M2030" t="inlineStr">
        <is>
          <t>Values must be of type &lt;class 'str'&gt;</t>
        </is>
      </c>
      <c r="N2030" t="inlineStr">
        <is>
          <t>00000000</t>
        </is>
      </c>
      <c r="O2030" t="inlineStr">
        <is>
          <t>left</t>
        </is>
      </c>
      <c r="P2030" t="n">
        <v/>
      </c>
      <c r="R2030" t="b">
        <v>1</v>
      </c>
      <c r="S2030" t="inlineStr">
        <is>
          <t>G000371</t>
        </is>
      </c>
      <c r="T2030" t="inlineStr">
        <is>
          <t>Horizontal</t>
        </is>
      </c>
      <c r="U2030" t="n">
        <v>3</v>
      </c>
      <c r="V2030" t="b">
        <v>1</v>
      </c>
      <c r="W2030" t="inlineStr">
        <is>
          <t>ATF fuel!G212:I212</t>
        </is>
      </c>
      <c r="X2030">
        <f>(1+(R[0]C[-4]/R[-1]C[-4])-1)*R[-1]C[0]</f>
        <v/>
      </c>
    </row>
    <row r="2031">
      <c r="A2031" t="inlineStr">
        <is>
          <t>ATF fuel</t>
        </is>
      </c>
      <c r="B2031" t="inlineStr">
        <is>
          <t>H212</t>
        </is>
      </c>
      <c r="C2031" t="n">
        <v>212</v>
      </c>
      <c r="D2031" t="n">
        <v>8</v>
      </c>
      <c r="E2031" t="inlineStr">
        <is>
          <t>Calculation</t>
        </is>
      </c>
      <c r="F2031" t="inlineStr">
        <is>
          <t>'=(1+(D212/D211)-1)*H211</t>
        </is>
      </c>
      <c r="G2031" t="n">
        <v>48.95316471015375</v>
      </c>
      <c r="H2031" t="inlineStr"/>
      <c r="I2031" t="inlineStr">
        <is>
          <t>General</t>
        </is>
      </c>
      <c r="J2031" t="b">
        <v>0</v>
      </c>
      <c r="K2031" t="b">
        <v>0</v>
      </c>
      <c r="L2031" t="n">
        <v>11</v>
      </c>
      <c r="M2031" t="inlineStr">
        <is>
          <t>Values must be of type &lt;class 'str'&gt;</t>
        </is>
      </c>
      <c r="N2031" t="inlineStr">
        <is>
          <t>00000000</t>
        </is>
      </c>
      <c r="O2031" t="inlineStr">
        <is>
          <t>left</t>
        </is>
      </c>
      <c r="P2031" t="n">
        <v/>
      </c>
      <c r="R2031" t="b">
        <v>1</v>
      </c>
      <c r="S2031" t="inlineStr">
        <is>
          <t>G000371</t>
        </is>
      </c>
      <c r="T2031" t="inlineStr">
        <is>
          <t>Horizontal</t>
        </is>
      </c>
      <c r="U2031" t="n">
        <v>3</v>
      </c>
      <c r="V2031" t="b">
        <v>1</v>
      </c>
      <c r="W2031" t="inlineStr">
        <is>
          <t>ATF fuel!G212:I212</t>
        </is>
      </c>
      <c r="X2031">
        <f>(1+(R[0]C[-4]/R[-1]C[-4])-1)*R[-1]C[0]</f>
        <v/>
      </c>
    </row>
    <row r="2032">
      <c r="A2032" t="inlineStr">
        <is>
          <t>ATF fuel</t>
        </is>
      </c>
      <c r="B2032" t="inlineStr">
        <is>
          <t>I212</t>
        </is>
      </c>
      <c r="C2032" t="n">
        <v>212</v>
      </c>
      <c r="D2032" t="n">
        <v>9</v>
      </c>
      <c r="E2032" t="inlineStr">
        <is>
          <t>Calculation</t>
        </is>
      </c>
      <c r="F2032" t="inlineStr">
        <is>
          <t>'=(1+(E212/E211)-1)*I211</t>
        </is>
      </c>
      <c r="G2032" t="n">
        <v>47.37962853424823</v>
      </c>
      <c r="H2032" t="inlineStr"/>
      <c r="I2032" t="inlineStr">
        <is>
          <t>General</t>
        </is>
      </c>
      <c r="J2032" t="b">
        <v>0</v>
      </c>
      <c r="K2032" t="b">
        <v>0</v>
      </c>
      <c r="L2032" t="n">
        <v>11</v>
      </c>
      <c r="M2032" t="inlineStr">
        <is>
          <t>Values must be of type &lt;class 'str'&gt;</t>
        </is>
      </c>
      <c r="N2032" t="inlineStr">
        <is>
          <t>00000000</t>
        </is>
      </c>
      <c r="O2032" t="inlineStr">
        <is>
          <t>left</t>
        </is>
      </c>
      <c r="P2032" t="n">
        <v/>
      </c>
      <c r="R2032" t="b">
        <v>1</v>
      </c>
      <c r="S2032" t="inlineStr">
        <is>
          <t>G000371</t>
        </is>
      </c>
      <c r="T2032" t="inlineStr">
        <is>
          <t>Horizontal</t>
        </is>
      </c>
      <c r="U2032" t="n">
        <v>3</v>
      </c>
      <c r="V2032" t="b">
        <v>1</v>
      </c>
      <c r="W2032" t="inlineStr">
        <is>
          <t>ATF fuel!G212:I212</t>
        </is>
      </c>
      <c r="X2032">
        <f>(1+(R[0]C[-4]/R[-1]C[-4])-1)*R[-1]C[0]</f>
        <v/>
      </c>
    </row>
    <row r="2033">
      <c r="A2033" t="inlineStr">
        <is>
          <t>ATF fuel</t>
        </is>
      </c>
      <c r="B2033" t="inlineStr">
        <is>
          <t>J212</t>
        </is>
      </c>
      <c r="C2033" t="n">
        <v>212</v>
      </c>
      <c r="D2033" t="n">
        <v>10</v>
      </c>
      <c r="E2033" t="inlineStr">
        <is>
          <t>Output</t>
        </is>
      </c>
      <c r="F2033" t="inlineStr">
        <is>
          <t>'=G212/H212-1</t>
        </is>
      </c>
      <c r="G2033" t="n">
        <v>1.250934701271881</v>
      </c>
      <c r="H2033" t="inlineStr"/>
      <c r="I2033" t="inlineStr">
        <is>
          <t>0.0%</t>
        </is>
      </c>
      <c r="J2033" t="b">
        <v>0</v>
      </c>
      <c r="K2033" t="b">
        <v>0</v>
      </c>
      <c r="L2033" t="n">
        <v>11</v>
      </c>
      <c r="M2033" t="inlineStr">
        <is>
          <t>Values must be of type &lt;class 'str'&gt;</t>
        </is>
      </c>
      <c r="N2033" t="inlineStr">
        <is>
          <t>00000000</t>
        </is>
      </c>
      <c r="O2033" t="n">
        <v/>
      </c>
      <c r="P2033" t="n">
        <v/>
      </c>
      <c r="R2033" t="b">
        <v>1</v>
      </c>
      <c r="S2033" t="inlineStr">
        <is>
          <t>G000295</t>
        </is>
      </c>
      <c r="T2033" t="inlineStr">
        <is>
          <t>Vertical</t>
        </is>
      </c>
      <c r="U2033" t="n">
        <v>93</v>
      </c>
      <c r="V2033" t="b">
        <v>1</v>
      </c>
      <c r="W2033" t="inlineStr">
        <is>
          <t>ATF fuel!J136:J228</t>
        </is>
      </c>
      <c r="X2033">
        <f>R[0]C[-3]/R[0]C[-2]-1</f>
        <v/>
      </c>
    </row>
    <row r="2034">
      <c r="A2034" t="inlineStr">
        <is>
          <t>ATF fuel</t>
        </is>
      </c>
      <c r="B2034" t="inlineStr">
        <is>
          <t>B213</t>
        </is>
      </c>
      <c r="C2034" t="n">
        <v>213</v>
      </c>
      <c r="D2034" t="n">
        <v>2</v>
      </c>
      <c r="E2034" t="inlineStr">
        <is>
          <t>Input</t>
        </is>
      </c>
      <c r="F2034" t="n">
        <v/>
      </c>
      <c r="G2034" t="inlineStr">
        <is>
          <t>September 01,2016</t>
        </is>
      </c>
      <c r="H2034" t="inlineStr"/>
      <c r="I2034" t="inlineStr">
        <is>
          <t>General</t>
        </is>
      </c>
      <c r="J2034" t="b">
        <v>0</v>
      </c>
      <c r="K2034" t="b">
        <v>0</v>
      </c>
      <c r="L2034" t="n">
        <v>11</v>
      </c>
      <c r="M2034" t="inlineStr">
        <is>
          <t>Values must be of type &lt;class 'str'&gt;</t>
        </is>
      </c>
      <c r="N2034" t="inlineStr">
        <is>
          <t>00000000</t>
        </is>
      </c>
      <c r="O2034" t="n">
        <v/>
      </c>
      <c r="P2034" t="n">
        <v/>
      </c>
      <c r="R2034" t="b">
        <v>1</v>
      </c>
      <c r="S2034" t="n">
        <v/>
      </c>
      <c r="T2034" t="n">
        <v/>
      </c>
      <c r="U2034" t="n">
        <v/>
      </c>
      <c r="V2034" t="b">
        <v>0</v>
      </c>
      <c r="W2034" t="inlineStr"/>
      <c r="X2034" t="n">
        <v/>
      </c>
    </row>
    <row r="2035">
      <c r="A2035" t="inlineStr">
        <is>
          <t>ATF fuel</t>
        </is>
      </c>
      <c r="B2035" t="inlineStr">
        <is>
          <t>C213</t>
        </is>
      </c>
      <c r="C2035" t="n">
        <v>213</v>
      </c>
      <c r="D2035" t="n">
        <v>3</v>
      </c>
      <c r="E2035" t="inlineStr">
        <is>
          <t>Input</t>
        </is>
      </c>
      <c r="F2035" t="n">
        <v/>
      </c>
      <c r="G2035" t="n">
        <v>47050.97</v>
      </c>
      <c r="H2035" t="inlineStr"/>
      <c r="I2035" t="inlineStr">
        <is>
          <t>General</t>
        </is>
      </c>
      <c r="J2035" t="b">
        <v>0</v>
      </c>
      <c r="K2035" t="b">
        <v>0</v>
      </c>
      <c r="L2035" t="n">
        <v>11</v>
      </c>
      <c r="M2035" t="inlineStr">
        <is>
          <t>Values must be of type &lt;class 'str'&gt;</t>
        </is>
      </c>
      <c r="N2035" t="inlineStr">
        <is>
          <t>00000000</t>
        </is>
      </c>
      <c r="O2035" t="n">
        <v/>
      </c>
      <c r="P2035" t="n">
        <v/>
      </c>
      <c r="R2035" t="b">
        <v>1</v>
      </c>
      <c r="S2035" t="n">
        <v/>
      </c>
      <c r="T2035" t="n">
        <v/>
      </c>
      <c r="U2035" t="n">
        <v/>
      </c>
      <c r="V2035" t="b">
        <v>0</v>
      </c>
      <c r="W2035" t="inlineStr"/>
      <c r="X2035" t="n">
        <v/>
      </c>
    </row>
    <row r="2036">
      <c r="A2036" t="inlineStr">
        <is>
          <t>ATF fuel</t>
        </is>
      </c>
      <c r="B2036" t="inlineStr">
        <is>
          <t>D213</t>
        </is>
      </c>
      <c r="C2036" t="n">
        <v>213</v>
      </c>
      <c r="D2036" t="n">
        <v>4</v>
      </c>
      <c r="E2036" t="inlineStr">
        <is>
          <t>Input</t>
        </is>
      </c>
      <c r="F2036" t="n">
        <v/>
      </c>
      <c r="G2036" t="n">
        <v>46.72</v>
      </c>
      <c r="H2036" t="inlineStr"/>
      <c r="I2036" t="inlineStr">
        <is>
          <t>General</t>
        </is>
      </c>
      <c r="J2036" t="b">
        <v>0</v>
      </c>
      <c r="K2036" t="b">
        <v>0</v>
      </c>
      <c r="L2036" t="n">
        <v>11</v>
      </c>
      <c r="M2036" t="inlineStr">
        <is>
          <t>Values must be of type &lt;class 'str'&gt;</t>
        </is>
      </c>
      <c r="N2036" t="inlineStr">
        <is>
          <t>00000000</t>
        </is>
      </c>
      <c r="O2036" t="n">
        <v/>
      </c>
      <c r="P2036" t="n">
        <v/>
      </c>
      <c r="R2036" t="b">
        <v>1</v>
      </c>
      <c r="S2036" t="n">
        <v/>
      </c>
      <c r="T2036" t="n">
        <v/>
      </c>
      <c r="U2036" t="n">
        <v/>
      </c>
      <c r="V2036" t="b">
        <v>0</v>
      </c>
      <c r="W2036" t="inlineStr"/>
      <c r="X2036" t="n">
        <v/>
      </c>
    </row>
    <row r="2037">
      <c r="A2037" t="inlineStr">
        <is>
          <t>ATF fuel</t>
        </is>
      </c>
      <c r="B2037" t="inlineStr">
        <is>
          <t>E213</t>
        </is>
      </c>
      <c r="C2037" t="n">
        <v>213</v>
      </c>
      <c r="D2037" t="n">
        <v>5</v>
      </c>
      <c r="E2037" t="inlineStr">
        <is>
          <t>Input</t>
        </is>
      </c>
      <c r="F2037" t="n">
        <v/>
      </c>
      <c r="G2037" t="n">
        <v>43.17</v>
      </c>
      <c r="H2037" t="inlineStr"/>
      <c r="I2037" t="inlineStr">
        <is>
          <t>General</t>
        </is>
      </c>
      <c r="J2037" t="b">
        <v>0</v>
      </c>
      <c r="K2037" t="b">
        <v>0</v>
      </c>
      <c r="L2037" t="n">
        <v>11</v>
      </c>
      <c r="M2037" t="inlineStr">
        <is>
          <t>Values must be of type &lt;class 'str'&gt;</t>
        </is>
      </c>
      <c r="N2037" t="inlineStr">
        <is>
          <t>00000000</t>
        </is>
      </c>
      <c r="O2037" t="n">
        <v/>
      </c>
      <c r="P2037" t="n">
        <v/>
      </c>
      <c r="R2037" t="b">
        <v>1</v>
      </c>
      <c r="S2037" t="n">
        <v/>
      </c>
      <c r="T2037" t="n">
        <v/>
      </c>
      <c r="U2037" t="n">
        <v/>
      </c>
      <c r="V2037" t="b">
        <v>0</v>
      </c>
      <c r="W2037" t="inlineStr"/>
      <c r="X2037" t="n">
        <v/>
      </c>
    </row>
    <row r="2038">
      <c r="A2038" t="inlineStr">
        <is>
          <t>ATF fuel</t>
        </is>
      </c>
      <c r="B2038" t="inlineStr">
        <is>
          <t>F213</t>
        </is>
      </c>
      <c r="C2038" t="n">
        <v>213</v>
      </c>
      <c r="D2038" t="n">
        <v>6</v>
      </c>
      <c r="E2038" t="inlineStr">
        <is>
          <t>Input</t>
        </is>
      </c>
      <c r="F2038" t="n">
        <v/>
      </c>
      <c r="G2038" t="inlineStr">
        <is>
          <t>September 01,2016</t>
        </is>
      </c>
      <c r="H2038" t="inlineStr"/>
      <c r="I2038" t="inlineStr">
        <is>
          <t>General</t>
        </is>
      </c>
      <c r="J2038" t="b">
        <v>0</v>
      </c>
      <c r="K2038" t="b">
        <v>0</v>
      </c>
      <c r="L2038" t="n">
        <v>11</v>
      </c>
      <c r="M2038" t="inlineStr">
        <is>
          <t>Values must be of type &lt;class 'str'&gt;</t>
        </is>
      </c>
      <c r="N2038" t="inlineStr">
        <is>
          <t>00000000</t>
        </is>
      </c>
      <c r="O2038" t="inlineStr">
        <is>
          <t>left</t>
        </is>
      </c>
      <c r="P2038" t="n">
        <v/>
      </c>
      <c r="R2038" t="b">
        <v>1</v>
      </c>
      <c r="S2038" t="n">
        <v/>
      </c>
      <c r="T2038" t="n">
        <v/>
      </c>
      <c r="U2038" t="n">
        <v/>
      </c>
      <c r="V2038" t="b">
        <v>0</v>
      </c>
      <c r="W2038" t="inlineStr"/>
      <c r="X2038" t="n">
        <v/>
      </c>
    </row>
    <row r="2039">
      <c r="A2039" t="inlineStr">
        <is>
          <t>ATF fuel</t>
        </is>
      </c>
      <c r="B2039" t="inlineStr">
        <is>
          <t>G213</t>
        </is>
      </c>
      <c r="C2039" t="n">
        <v>213</v>
      </c>
      <c r="D2039" t="n">
        <v>7</v>
      </c>
      <c r="E2039" t="inlineStr">
        <is>
          <t>Calculation</t>
        </is>
      </c>
      <c r="F2039" t="inlineStr">
        <is>
          <t>'=(1+(C213/C212)-1)*G212</t>
        </is>
      </c>
      <c r="G2039" t="n">
        <v>106.0618986345289</v>
      </c>
      <c r="H2039" t="inlineStr"/>
      <c r="I2039" t="inlineStr">
        <is>
          <t>General</t>
        </is>
      </c>
      <c r="J2039" t="b">
        <v>0</v>
      </c>
      <c r="K2039" t="b">
        <v>0</v>
      </c>
      <c r="L2039" t="n">
        <v>11</v>
      </c>
      <c r="M2039" t="inlineStr">
        <is>
          <t>Values must be of type &lt;class 'str'&gt;</t>
        </is>
      </c>
      <c r="N2039" t="inlineStr">
        <is>
          <t>00000000</t>
        </is>
      </c>
      <c r="O2039" t="inlineStr">
        <is>
          <t>left</t>
        </is>
      </c>
      <c r="P2039" t="n">
        <v/>
      </c>
      <c r="R2039" t="b">
        <v>1</v>
      </c>
      <c r="S2039" t="inlineStr">
        <is>
          <t>G000372</t>
        </is>
      </c>
      <c r="T2039" t="inlineStr">
        <is>
          <t>Horizontal</t>
        </is>
      </c>
      <c r="U2039" t="n">
        <v>3</v>
      </c>
      <c r="V2039" t="b">
        <v>1</v>
      </c>
      <c r="W2039" t="inlineStr">
        <is>
          <t>ATF fuel!G213:I213</t>
        </is>
      </c>
      <c r="X2039">
        <f>(1+(R[0]C[-4]/R[-1]C[-4])-1)*R[-1]C[0]</f>
        <v/>
      </c>
    </row>
    <row r="2040">
      <c r="A2040" t="inlineStr">
        <is>
          <t>ATF fuel</t>
        </is>
      </c>
      <c r="B2040" t="inlineStr">
        <is>
          <t>H213</t>
        </is>
      </c>
      <c r="C2040" t="n">
        <v>213</v>
      </c>
      <c r="D2040" t="n">
        <v>8</v>
      </c>
      <c r="E2040" t="inlineStr">
        <is>
          <t>Calculation</t>
        </is>
      </c>
      <c r="F2040" t="inlineStr">
        <is>
          <t>'=(1+(D213/D212)-1)*H212</t>
        </is>
      </c>
      <c r="G2040" t="n">
        <v>56.54120779377956</v>
      </c>
      <c r="H2040" t="inlineStr"/>
      <c r="I2040" t="inlineStr">
        <is>
          <t>General</t>
        </is>
      </c>
      <c r="J2040" t="b">
        <v>0</v>
      </c>
      <c r="K2040" t="b">
        <v>0</v>
      </c>
      <c r="L2040" t="n">
        <v>11</v>
      </c>
      <c r="M2040" t="inlineStr">
        <is>
          <t>Values must be of type &lt;class 'str'&gt;</t>
        </is>
      </c>
      <c r="N2040" t="inlineStr">
        <is>
          <t>00000000</t>
        </is>
      </c>
      <c r="O2040" t="inlineStr">
        <is>
          <t>left</t>
        </is>
      </c>
      <c r="P2040" t="n">
        <v/>
      </c>
      <c r="R2040" t="b">
        <v>1</v>
      </c>
      <c r="S2040" t="inlineStr">
        <is>
          <t>G000372</t>
        </is>
      </c>
      <c r="T2040" t="inlineStr">
        <is>
          <t>Horizontal</t>
        </is>
      </c>
      <c r="U2040" t="n">
        <v>3</v>
      </c>
      <c r="V2040" t="b">
        <v>1</v>
      </c>
      <c r="W2040" t="inlineStr">
        <is>
          <t>ATF fuel!G213:I213</t>
        </is>
      </c>
      <c r="X2040">
        <f>(1+(R[0]C[-4]/R[-1]C[-4])-1)*R[-1]C[0]</f>
        <v/>
      </c>
    </row>
    <row r="2041">
      <c r="A2041" t="inlineStr">
        <is>
          <t>ATF fuel</t>
        </is>
      </c>
      <c r="B2041" t="inlineStr">
        <is>
          <t>I213</t>
        </is>
      </c>
      <c r="C2041" t="n">
        <v>213</v>
      </c>
      <c r="D2041" t="n">
        <v>9</v>
      </c>
      <c r="E2041" t="inlineStr">
        <is>
          <t>Calculation</t>
        </is>
      </c>
      <c r="F2041" t="inlineStr">
        <is>
          <t>'=(1+(E213/E212)-1)*I212</t>
        </is>
      </c>
      <c r="G2041" t="n">
        <v>51.07062581332075</v>
      </c>
      <c r="H2041" t="inlineStr"/>
      <c r="I2041" t="inlineStr">
        <is>
          <t>General</t>
        </is>
      </c>
      <c r="J2041" t="b">
        <v>0</v>
      </c>
      <c r="K2041" t="b">
        <v>0</v>
      </c>
      <c r="L2041" t="n">
        <v>11</v>
      </c>
      <c r="M2041" t="inlineStr">
        <is>
          <t>Values must be of type &lt;class 'str'&gt;</t>
        </is>
      </c>
      <c r="N2041" t="inlineStr">
        <is>
          <t>00000000</t>
        </is>
      </c>
      <c r="O2041" t="inlineStr">
        <is>
          <t>left</t>
        </is>
      </c>
      <c r="P2041" t="n">
        <v/>
      </c>
      <c r="R2041" t="b">
        <v>1</v>
      </c>
      <c r="S2041" t="inlineStr">
        <is>
          <t>G000372</t>
        </is>
      </c>
      <c r="T2041" t="inlineStr">
        <is>
          <t>Horizontal</t>
        </is>
      </c>
      <c r="U2041" t="n">
        <v>3</v>
      </c>
      <c r="V2041" t="b">
        <v>1</v>
      </c>
      <c r="W2041" t="inlineStr">
        <is>
          <t>ATF fuel!G213:I213</t>
        </is>
      </c>
      <c r="X2041">
        <f>(1+(R[0]C[-4]/R[-1]C[-4])-1)*R[-1]C[0]</f>
        <v/>
      </c>
    </row>
    <row r="2042">
      <c r="A2042" t="inlineStr">
        <is>
          <t>ATF fuel</t>
        </is>
      </c>
      <c r="B2042" t="inlineStr">
        <is>
          <t>J213</t>
        </is>
      </c>
      <c r="C2042" t="n">
        <v>213</v>
      </c>
      <c r="D2042" t="n">
        <v>10</v>
      </c>
      <c r="E2042" t="inlineStr">
        <is>
          <t>Output</t>
        </is>
      </c>
      <c r="F2042" t="inlineStr">
        <is>
          <t>'=G213/H213-1</t>
        </is>
      </c>
      <c r="G2042" t="n">
        <v>0.8758336224681316</v>
      </c>
      <c r="H2042" t="inlineStr"/>
      <c r="I2042" t="inlineStr">
        <is>
          <t>0.0%</t>
        </is>
      </c>
      <c r="J2042" t="b">
        <v>0</v>
      </c>
      <c r="K2042" t="b">
        <v>0</v>
      </c>
      <c r="L2042" t="n">
        <v>11</v>
      </c>
      <c r="M2042" t="inlineStr">
        <is>
          <t>Values must be of type &lt;class 'str'&gt;</t>
        </is>
      </c>
      <c r="N2042" t="inlineStr">
        <is>
          <t>00000000</t>
        </is>
      </c>
      <c r="O2042" t="n">
        <v/>
      </c>
      <c r="P2042" t="n">
        <v/>
      </c>
      <c r="R2042" t="b">
        <v>1</v>
      </c>
      <c r="S2042" t="inlineStr">
        <is>
          <t>G000295</t>
        </is>
      </c>
      <c r="T2042" t="inlineStr">
        <is>
          <t>Vertical</t>
        </is>
      </c>
      <c r="U2042" t="n">
        <v>93</v>
      </c>
      <c r="V2042" t="b">
        <v>1</v>
      </c>
      <c r="W2042" t="inlineStr">
        <is>
          <t>ATF fuel!J136:J228</t>
        </is>
      </c>
      <c r="X2042">
        <f>R[0]C[-3]/R[0]C[-2]-1</f>
        <v/>
      </c>
    </row>
    <row r="2043">
      <c r="A2043" t="inlineStr">
        <is>
          <t>ATF fuel</t>
        </is>
      </c>
      <c r="B2043" t="inlineStr">
        <is>
          <t>B214</t>
        </is>
      </c>
      <c r="C2043" t="n">
        <v>214</v>
      </c>
      <c r="D2043" t="n">
        <v>2</v>
      </c>
      <c r="E2043" t="inlineStr">
        <is>
          <t>Input</t>
        </is>
      </c>
      <c r="F2043" t="n">
        <v/>
      </c>
      <c r="G2043" t="inlineStr">
        <is>
          <t>October 01,2016</t>
        </is>
      </c>
      <c r="H2043" t="inlineStr"/>
      <c r="I2043" t="inlineStr">
        <is>
          <t>General</t>
        </is>
      </c>
      <c r="J2043" t="b">
        <v>0</v>
      </c>
      <c r="K2043" t="b">
        <v>0</v>
      </c>
      <c r="L2043" t="n">
        <v>11</v>
      </c>
      <c r="M2043" t="inlineStr">
        <is>
          <t>Values must be of type &lt;class 'str'&gt;</t>
        </is>
      </c>
      <c r="N2043" t="inlineStr">
        <is>
          <t>00000000</t>
        </is>
      </c>
      <c r="O2043" t="n">
        <v/>
      </c>
      <c r="P2043" t="n">
        <v/>
      </c>
      <c r="R2043" t="b">
        <v>1</v>
      </c>
      <c r="S2043" t="n">
        <v/>
      </c>
      <c r="T2043" t="n">
        <v/>
      </c>
      <c r="U2043" t="n">
        <v/>
      </c>
      <c r="V2043" t="b">
        <v>0</v>
      </c>
      <c r="W2043" t="inlineStr"/>
      <c r="X2043" t="n">
        <v/>
      </c>
    </row>
    <row r="2044">
      <c r="A2044" t="inlineStr">
        <is>
          <t>ATF fuel</t>
        </is>
      </c>
      <c r="B2044" t="inlineStr">
        <is>
          <t>C214</t>
        </is>
      </c>
      <c r="C2044" t="n">
        <v>214</v>
      </c>
      <c r="D2044" t="n">
        <v>3</v>
      </c>
      <c r="E2044" t="inlineStr">
        <is>
          <t>Input</t>
        </is>
      </c>
      <c r="F2044" t="n">
        <v/>
      </c>
      <c r="G2044" t="n">
        <v>48442.3075</v>
      </c>
      <c r="H2044" t="inlineStr"/>
      <c r="I2044" t="inlineStr">
        <is>
          <t>General</t>
        </is>
      </c>
      <c r="J2044" t="b">
        <v>0</v>
      </c>
      <c r="K2044" t="b">
        <v>0</v>
      </c>
      <c r="L2044" t="n">
        <v>11</v>
      </c>
      <c r="M2044" t="inlineStr">
        <is>
          <t>Values must be of type &lt;class 'str'&gt;</t>
        </is>
      </c>
      <c r="N2044" t="inlineStr">
        <is>
          <t>00000000</t>
        </is>
      </c>
      <c r="O2044" t="n">
        <v/>
      </c>
      <c r="P2044" t="n">
        <v/>
      </c>
      <c r="R2044" t="b">
        <v>1</v>
      </c>
      <c r="S2044" t="n">
        <v/>
      </c>
      <c r="T2044" t="n">
        <v/>
      </c>
      <c r="U2044" t="n">
        <v/>
      </c>
      <c r="V2044" t="b">
        <v>0</v>
      </c>
      <c r="W2044" t="inlineStr"/>
      <c r="X2044" t="n">
        <v/>
      </c>
    </row>
    <row r="2045">
      <c r="A2045" t="inlineStr">
        <is>
          <t>ATF fuel</t>
        </is>
      </c>
      <c r="B2045" t="inlineStr">
        <is>
          <t>D214</t>
        </is>
      </c>
      <c r="C2045" t="n">
        <v>214</v>
      </c>
      <c r="D2045" t="n">
        <v>4</v>
      </c>
      <c r="E2045" t="inlineStr">
        <is>
          <t>Input</t>
        </is>
      </c>
      <c r="F2045" t="n">
        <v/>
      </c>
      <c r="G2045" t="n">
        <v>49.57</v>
      </c>
      <c r="H2045" t="inlineStr"/>
      <c r="I2045" t="inlineStr">
        <is>
          <t>General</t>
        </is>
      </c>
      <c r="J2045" t="b">
        <v>0</v>
      </c>
      <c r="K2045" t="b">
        <v>0</v>
      </c>
      <c r="L2045" t="n">
        <v>11</v>
      </c>
      <c r="M2045" t="inlineStr">
        <is>
          <t>Values must be of type &lt;class 'str'&gt;</t>
        </is>
      </c>
      <c r="N2045" t="inlineStr">
        <is>
          <t>00000000</t>
        </is>
      </c>
      <c r="O2045" t="n">
        <v/>
      </c>
      <c r="P2045" t="n">
        <v/>
      </c>
      <c r="R2045" t="b">
        <v>1</v>
      </c>
      <c r="S2045" t="n">
        <v/>
      </c>
      <c r="T2045" t="n">
        <v/>
      </c>
      <c r="U2045" t="n">
        <v/>
      </c>
      <c r="V2045" t="b">
        <v>0</v>
      </c>
      <c r="W2045" t="inlineStr"/>
      <c r="X2045" t="n">
        <v/>
      </c>
    </row>
    <row r="2046">
      <c r="A2046" t="inlineStr">
        <is>
          <t>ATF fuel</t>
        </is>
      </c>
      <c r="B2046" t="inlineStr">
        <is>
          <t>E214</t>
        </is>
      </c>
      <c r="C2046" t="n">
        <v>214</v>
      </c>
      <c r="D2046" t="n">
        <v>5</v>
      </c>
      <c r="E2046" t="inlineStr">
        <is>
          <t>Input</t>
        </is>
      </c>
      <c r="F2046" t="n">
        <v/>
      </c>
      <c r="G2046" t="n">
        <v>48.8</v>
      </c>
      <c r="H2046" t="inlineStr"/>
      <c r="I2046" t="inlineStr">
        <is>
          <t>General</t>
        </is>
      </c>
      <c r="J2046" t="b">
        <v>0</v>
      </c>
      <c r="K2046" t="b">
        <v>0</v>
      </c>
      <c r="L2046" t="n">
        <v>11</v>
      </c>
      <c r="M2046" t="inlineStr">
        <is>
          <t>Values must be of type &lt;class 'str'&gt;</t>
        </is>
      </c>
      <c r="N2046" t="inlineStr">
        <is>
          <t>00000000</t>
        </is>
      </c>
      <c r="O2046" t="n">
        <v/>
      </c>
      <c r="P2046" t="n">
        <v/>
      </c>
      <c r="R2046" t="b">
        <v>1</v>
      </c>
      <c r="S2046" t="n">
        <v/>
      </c>
      <c r="T2046" t="n">
        <v/>
      </c>
      <c r="U2046" t="n">
        <v/>
      </c>
      <c r="V2046" t="b">
        <v>0</v>
      </c>
      <c r="W2046" t="inlineStr"/>
      <c r="X2046" t="n">
        <v/>
      </c>
    </row>
    <row r="2047">
      <c r="A2047" t="inlineStr">
        <is>
          <t>ATF fuel</t>
        </is>
      </c>
      <c r="B2047" t="inlineStr">
        <is>
          <t>F214</t>
        </is>
      </c>
      <c r="C2047" t="n">
        <v>214</v>
      </c>
      <c r="D2047" t="n">
        <v>6</v>
      </c>
      <c r="E2047" t="inlineStr">
        <is>
          <t>Input</t>
        </is>
      </c>
      <c r="F2047" t="n">
        <v/>
      </c>
      <c r="G2047" t="inlineStr">
        <is>
          <t>October 01,2016</t>
        </is>
      </c>
      <c r="H2047" t="inlineStr"/>
      <c r="I2047" t="inlineStr">
        <is>
          <t>General</t>
        </is>
      </c>
      <c r="J2047" t="b">
        <v>0</v>
      </c>
      <c r="K2047" t="b">
        <v>0</v>
      </c>
      <c r="L2047" t="n">
        <v>11</v>
      </c>
      <c r="M2047" t="inlineStr">
        <is>
          <t>Values must be of type &lt;class 'str'&gt;</t>
        </is>
      </c>
      <c r="N2047" t="inlineStr">
        <is>
          <t>00000000</t>
        </is>
      </c>
      <c r="O2047" t="inlineStr">
        <is>
          <t>left</t>
        </is>
      </c>
      <c r="P2047" t="n">
        <v/>
      </c>
      <c r="R2047" t="b">
        <v>1</v>
      </c>
      <c r="S2047" t="n">
        <v/>
      </c>
      <c r="T2047" t="n">
        <v/>
      </c>
      <c r="U2047" t="n">
        <v/>
      </c>
      <c r="V2047" t="b">
        <v>0</v>
      </c>
      <c r="W2047" t="inlineStr"/>
      <c r="X2047" t="n">
        <v/>
      </c>
    </row>
    <row r="2048">
      <c r="A2048" t="inlineStr">
        <is>
          <t>ATF fuel</t>
        </is>
      </c>
      <c r="B2048" t="inlineStr">
        <is>
          <t>G214</t>
        </is>
      </c>
      <c r="C2048" t="n">
        <v>214</v>
      </c>
      <c r="D2048" t="n">
        <v>7</v>
      </c>
      <c r="E2048" t="inlineStr">
        <is>
          <t>Calculation</t>
        </is>
      </c>
      <c r="F2048" t="inlineStr">
        <is>
          <t>'=(1+(C214/C213)-1)*G213</t>
        </is>
      </c>
      <c r="G2048" t="n">
        <v>109.1982398596177</v>
      </c>
      <c r="H2048" t="inlineStr"/>
      <c r="I2048" t="inlineStr">
        <is>
          <t>General</t>
        </is>
      </c>
      <c r="J2048" t="b">
        <v>0</v>
      </c>
      <c r="K2048" t="b">
        <v>0</v>
      </c>
      <c r="L2048" t="n">
        <v>11</v>
      </c>
      <c r="M2048" t="inlineStr">
        <is>
          <t>Values must be of type &lt;class 'str'&gt;</t>
        </is>
      </c>
      <c r="N2048" t="inlineStr">
        <is>
          <t>00000000</t>
        </is>
      </c>
      <c r="O2048" t="inlineStr">
        <is>
          <t>left</t>
        </is>
      </c>
      <c r="P2048" t="n">
        <v/>
      </c>
      <c r="R2048" t="b">
        <v>1</v>
      </c>
      <c r="S2048" t="inlineStr">
        <is>
          <t>G000373</t>
        </is>
      </c>
      <c r="T2048" t="inlineStr">
        <is>
          <t>Horizontal</t>
        </is>
      </c>
      <c r="U2048" t="n">
        <v>3</v>
      </c>
      <c r="V2048" t="b">
        <v>1</v>
      </c>
      <c r="W2048" t="inlineStr">
        <is>
          <t>ATF fuel!G214:I214</t>
        </is>
      </c>
      <c r="X2048">
        <f>(1+(R[0]C[-4]/R[-1]C[-4])-1)*R[-1]C[0]</f>
        <v/>
      </c>
    </row>
    <row r="2049">
      <c r="A2049" t="inlineStr">
        <is>
          <t>ATF fuel</t>
        </is>
      </c>
      <c r="B2049" t="inlineStr">
        <is>
          <t>H214</t>
        </is>
      </c>
      <c r="C2049" t="n">
        <v>214</v>
      </c>
      <c r="D2049" t="n">
        <v>8</v>
      </c>
      <c r="E2049" t="inlineStr">
        <is>
          <t>Calculation</t>
        </is>
      </c>
      <c r="F2049" t="inlineStr">
        <is>
          <t>'=(1+(D214/D213)-1)*H213</t>
        </is>
      </c>
      <c r="G2049" t="n">
        <v>59.99031828633675</v>
      </c>
      <c r="H2049" t="inlineStr"/>
      <c r="I2049" t="inlineStr">
        <is>
          <t>General</t>
        </is>
      </c>
      <c r="J2049" t="b">
        <v>0</v>
      </c>
      <c r="K2049" t="b">
        <v>0</v>
      </c>
      <c r="L2049" t="n">
        <v>11</v>
      </c>
      <c r="M2049" t="inlineStr">
        <is>
          <t>Values must be of type &lt;class 'str'&gt;</t>
        </is>
      </c>
      <c r="N2049" t="inlineStr">
        <is>
          <t>00000000</t>
        </is>
      </c>
      <c r="O2049" t="inlineStr">
        <is>
          <t>left</t>
        </is>
      </c>
      <c r="P2049" t="n">
        <v/>
      </c>
      <c r="R2049" t="b">
        <v>1</v>
      </c>
      <c r="S2049" t="inlineStr">
        <is>
          <t>G000373</t>
        </is>
      </c>
      <c r="T2049" t="inlineStr">
        <is>
          <t>Horizontal</t>
        </is>
      </c>
      <c r="U2049" t="n">
        <v>3</v>
      </c>
      <c r="V2049" t="b">
        <v>1</v>
      </c>
      <c r="W2049" t="inlineStr">
        <is>
          <t>ATF fuel!G214:I214</t>
        </is>
      </c>
      <c r="X2049">
        <f>(1+(R[0]C[-4]/R[-1]C[-4])-1)*R[-1]C[0]</f>
        <v/>
      </c>
    </row>
    <row r="2050">
      <c r="A2050" t="inlineStr">
        <is>
          <t>ATF fuel</t>
        </is>
      </c>
      <c r="B2050" t="inlineStr">
        <is>
          <t>I214</t>
        </is>
      </c>
      <c r="C2050" t="n">
        <v>214</v>
      </c>
      <c r="D2050" t="n">
        <v>9</v>
      </c>
      <c r="E2050" t="inlineStr">
        <is>
          <t>Calculation</t>
        </is>
      </c>
      <c r="F2050" t="inlineStr">
        <is>
          <t>'=(1+(E214/E213)-1)*I213</t>
        </is>
      </c>
      <c r="G2050" t="n">
        <v>57.73098308292917</v>
      </c>
      <c r="H2050" t="inlineStr"/>
      <c r="I2050" t="inlineStr">
        <is>
          <t>General</t>
        </is>
      </c>
      <c r="J2050" t="b">
        <v>0</v>
      </c>
      <c r="K2050" t="b">
        <v>0</v>
      </c>
      <c r="L2050" t="n">
        <v>11</v>
      </c>
      <c r="M2050" t="inlineStr">
        <is>
          <t>Values must be of type &lt;class 'str'&gt;</t>
        </is>
      </c>
      <c r="N2050" t="inlineStr">
        <is>
          <t>00000000</t>
        </is>
      </c>
      <c r="O2050" t="inlineStr">
        <is>
          <t>left</t>
        </is>
      </c>
      <c r="P2050" t="n">
        <v/>
      </c>
      <c r="R2050" t="b">
        <v>1</v>
      </c>
      <c r="S2050" t="inlineStr">
        <is>
          <t>G000373</t>
        </is>
      </c>
      <c r="T2050" t="inlineStr">
        <is>
          <t>Horizontal</t>
        </is>
      </c>
      <c r="U2050" t="n">
        <v>3</v>
      </c>
      <c r="V2050" t="b">
        <v>1</v>
      </c>
      <c r="W2050" t="inlineStr">
        <is>
          <t>ATF fuel!G214:I214</t>
        </is>
      </c>
      <c r="X2050">
        <f>(1+(R[0]C[-4]/R[-1]C[-4])-1)*R[-1]C[0]</f>
        <v/>
      </c>
    </row>
    <row r="2051">
      <c r="A2051" t="inlineStr">
        <is>
          <t>ATF fuel</t>
        </is>
      </c>
      <c r="B2051" t="inlineStr">
        <is>
          <t>J214</t>
        </is>
      </c>
      <c r="C2051" t="n">
        <v>214</v>
      </c>
      <c r="D2051" t="n">
        <v>10</v>
      </c>
      <c r="E2051" t="inlineStr">
        <is>
          <t>Output</t>
        </is>
      </c>
      <c r="F2051" t="inlineStr">
        <is>
          <t>'=G214/H214-1</t>
        </is>
      </c>
      <c r="G2051" t="n">
        <v>0.8202643856365148</v>
      </c>
      <c r="H2051" t="inlineStr"/>
      <c r="I2051" t="inlineStr">
        <is>
          <t>0.0%</t>
        </is>
      </c>
      <c r="J2051" t="b">
        <v>0</v>
      </c>
      <c r="K2051" t="b">
        <v>0</v>
      </c>
      <c r="L2051" t="n">
        <v>11</v>
      </c>
      <c r="M2051" t="inlineStr">
        <is>
          <t>Values must be of type &lt;class 'str'&gt;</t>
        </is>
      </c>
      <c r="N2051" t="inlineStr">
        <is>
          <t>00000000</t>
        </is>
      </c>
      <c r="O2051" t="n">
        <v/>
      </c>
      <c r="P2051" t="n">
        <v/>
      </c>
      <c r="R2051" t="b">
        <v>1</v>
      </c>
      <c r="S2051" t="inlineStr">
        <is>
          <t>G000295</t>
        </is>
      </c>
      <c r="T2051" t="inlineStr">
        <is>
          <t>Vertical</t>
        </is>
      </c>
      <c r="U2051" t="n">
        <v>93</v>
      </c>
      <c r="V2051" t="b">
        <v>1</v>
      </c>
      <c r="W2051" t="inlineStr">
        <is>
          <t>ATF fuel!J136:J228</t>
        </is>
      </c>
      <c r="X2051">
        <f>R[0]C[-3]/R[0]C[-2]-1</f>
        <v/>
      </c>
    </row>
    <row r="2052">
      <c r="A2052" t="inlineStr">
        <is>
          <t>ATF fuel</t>
        </is>
      </c>
      <c r="B2052" t="inlineStr">
        <is>
          <t>B215</t>
        </is>
      </c>
      <c r="C2052" t="n">
        <v>215</v>
      </c>
      <c r="D2052" t="n">
        <v>2</v>
      </c>
      <c r="E2052" t="inlineStr">
        <is>
          <t>Input</t>
        </is>
      </c>
      <c r="F2052" t="n">
        <v/>
      </c>
      <c r="G2052" t="inlineStr">
        <is>
          <t>November 01,2016</t>
        </is>
      </c>
      <c r="H2052" t="inlineStr"/>
      <c r="I2052" t="inlineStr">
        <is>
          <t>General</t>
        </is>
      </c>
      <c r="J2052" t="b">
        <v>0</v>
      </c>
      <c r="K2052" t="b">
        <v>0</v>
      </c>
      <c r="L2052" t="n">
        <v>11</v>
      </c>
      <c r="M2052" t="inlineStr">
        <is>
          <t>Values must be of type &lt;class 'str'&gt;</t>
        </is>
      </c>
      <c r="N2052" t="inlineStr">
        <is>
          <t>00000000</t>
        </is>
      </c>
      <c r="O2052" t="n">
        <v/>
      </c>
      <c r="P2052" t="n">
        <v/>
      </c>
      <c r="R2052" t="b">
        <v>1</v>
      </c>
      <c r="S2052" t="n">
        <v/>
      </c>
      <c r="T2052" t="n">
        <v/>
      </c>
      <c r="U2052" t="n">
        <v/>
      </c>
      <c r="V2052" t="b">
        <v>0</v>
      </c>
      <c r="W2052" t="inlineStr"/>
      <c r="X2052" t="n">
        <v/>
      </c>
    </row>
    <row r="2053">
      <c r="A2053" t="inlineStr">
        <is>
          <t>ATF fuel</t>
        </is>
      </c>
      <c r="B2053" t="inlineStr">
        <is>
          <t>C215</t>
        </is>
      </c>
      <c r="C2053" t="n">
        <v>215</v>
      </c>
      <c r="D2053" t="n">
        <v>3</v>
      </c>
      <c r="E2053" t="inlineStr">
        <is>
          <t>Input</t>
        </is>
      </c>
      <c r="F2053" t="n">
        <v/>
      </c>
      <c r="G2053" t="n">
        <v>51901.2025</v>
      </c>
      <c r="H2053" t="inlineStr"/>
      <c r="I2053" t="inlineStr">
        <is>
          <t>General</t>
        </is>
      </c>
      <c r="J2053" t="b">
        <v>0</v>
      </c>
      <c r="K2053" t="b">
        <v>0</v>
      </c>
      <c r="L2053" t="n">
        <v>11</v>
      </c>
      <c r="M2053" t="inlineStr">
        <is>
          <t>Values must be of type &lt;class 'str'&gt;</t>
        </is>
      </c>
      <c r="N2053" t="inlineStr">
        <is>
          <t>00000000</t>
        </is>
      </c>
      <c r="O2053" t="n">
        <v/>
      </c>
      <c r="P2053" t="n">
        <v/>
      </c>
      <c r="R2053" t="b">
        <v>1</v>
      </c>
      <c r="S2053" t="n">
        <v/>
      </c>
      <c r="T2053" t="n">
        <v/>
      </c>
      <c r="U2053" t="n">
        <v/>
      </c>
      <c r="V2053" t="b">
        <v>0</v>
      </c>
      <c r="W2053" t="inlineStr"/>
      <c r="X2053" t="n">
        <v/>
      </c>
    </row>
    <row r="2054">
      <c r="A2054" t="inlineStr">
        <is>
          <t>ATF fuel</t>
        </is>
      </c>
      <c r="B2054" t="inlineStr">
        <is>
          <t>D215</t>
        </is>
      </c>
      <c r="C2054" t="n">
        <v>215</v>
      </c>
      <c r="D2054" t="n">
        <v>4</v>
      </c>
      <c r="E2054" t="inlineStr">
        <is>
          <t>Input</t>
        </is>
      </c>
      <c r="F2054" t="n">
        <v/>
      </c>
      <c r="G2054" t="n">
        <v>43.06</v>
      </c>
      <c r="H2054" t="inlineStr"/>
      <c r="I2054" t="inlineStr">
        <is>
          <t>General</t>
        </is>
      </c>
      <c r="J2054" t="b">
        <v>0</v>
      </c>
      <c r="K2054" t="b">
        <v>0</v>
      </c>
      <c r="L2054" t="n">
        <v>11</v>
      </c>
      <c r="M2054" t="inlineStr">
        <is>
          <t>Values must be of type &lt;class 'str'&gt;</t>
        </is>
      </c>
      <c r="N2054" t="inlineStr">
        <is>
          <t>00000000</t>
        </is>
      </c>
      <c r="O2054" t="n">
        <v/>
      </c>
      <c r="P2054" t="n">
        <v/>
      </c>
      <c r="R2054" t="b">
        <v>1</v>
      </c>
      <c r="S2054" t="n">
        <v/>
      </c>
      <c r="T2054" t="n">
        <v/>
      </c>
      <c r="U2054" t="n">
        <v/>
      </c>
      <c r="V2054" t="b">
        <v>0</v>
      </c>
      <c r="W2054" t="inlineStr"/>
      <c r="X2054" t="n">
        <v/>
      </c>
    </row>
    <row r="2055">
      <c r="A2055" t="inlineStr">
        <is>
          <t>ATF fuel</t>
        </is>
      </c>
      <c r="B2055" t="inlineStr">
        <is>
          <t>E215</t>
        </is>
      </c>
      <c r="C2055" t="n">
        <v>215</v>
      </c>
      <c r="D2055" t="n">
        <v>5</v>
      </c>
      <c r="E2055" t="inlineStr">
        <is>
          <t>Input</t>
        </is>
      </c>
      <c r="F2055" t="n">
        <v/>
      </c>
      <c r="G2055" t="n">
        <v>46.66</v>
      </c>
      <c r="H2055" t="inlineStr"/>
      <c r="I2055" t="inlineStr">
        <is>
          <t>General</t>
        </is>
      </c>
      <c r="J2055" t="b">
        <v>0</v>
      </c>
      <c r="K2055" t="b">
        <v>0</v>
      </c>
      <c r="L2055" t="n">
        <v>11</v>
      </c>
      <c r="M2055" t="inlineStr">
        <is>
          <t>Values must be of type &lt;class 'str'&gt;</t>
        </is>
      </c>
      <c r="N2055" t="inlineStr">
        <is>
          <t>00000000</t>
        </is>
      </c>
      <c r="O2055" t="n">
        <v/>
      </c>
      <c r="P2055" t="n">
        <v/>
      </c>
      <c r="R2055" t="b">
        <v>1</v>
      </c>
      <c r="S2055" t="n">
        <v/>
      </c>
      <c r="T2055" t="n">
        <v/>
      </c>
      <c r="U2055" t="n">
        <v/>
      </c>
      <c r="V2055" t="b">
        <v>0</v>
      </c>
      <c r="W2055" t="inlineStr"/>
      <c r="X2055" t="n">
        <v/>
      </c>
    </row>
    <row r="2056">
      <c r="A2056" t="inlineStr">
        <is>
          <t>ATF fuel</t>
        </is>
      </c>
      <c r="B2056" t="inlineStr">
        <is>
          <t>F215</t>
        </is>
      </c>
      <c r="C2056" t="n">
        <v>215</v>
      </c>
      <c r="D2056" t="n">
        <v>6</v>
      </c>
      <c r="E2056" t="inlineStr">
        <is>
          <t>Input</t>
        </is>
      </c>
      <c r="F2056" t="n">
        <v/>
      </c>
      <c r="G2056" t="inlineStr">
        <is>
          <t>November 01,2016</t>
        </is>
      </c>
      <c r="H2056" t="inlineStr"/>
      <c r="I2056" t="inlineStr">
        <is>
          <t>General</t>
        </is>
      </c>
      <c r="J2056" t="b">
        <v>0</v>
      </c>
      <c r="K2056" t="b">
        <v>0</v>
      </c>
      <c r="L2056" t="n">
        <v>11</v>
      </c>
      <c r="M2056" t="inlineStr">
        <is>
          <t>Values must be of type &lt;class 'str'&gt;</t>
        </is>
      </c>
      <c r="N2056" t="inlineStr">
        <is>
          <t>00000000</t>
        </is>
      </c>
      <c r="O2056" t="inlineStr">
        <is>
          <t>left</t>
        </is>
      </c>
      <c r="P2056" t="n">
        <v/>
      </c>
      <c r="R2056" t="b">
        <v>1</v>
      </c>
      <c r="S2056" t="n">
        <v/>
      </c>
      <c r="T2056" t="n">
        <v/>
      </c>
      <c r="U2056" t="n">
        <v/>
      </c>
      <c r="V2056" t="b">
        <v>0</v>
      </c>
      <c r="W2056" t="inlineStr"/>
      <c r="X2056" t="n">
        <v/>
      </c>
    </row>
    <row r="2057">
      <c r="A2057" t="inlineStr">
        <is>
          <t>ATF fuel</t>
        </is>
      </c>
      <c r="B2057" t="inlineStr">
        <is>
          <t>G215</t>
        </is>
      </c>
      <c r="C2057" t="n">
        <v>215</v>
      </c>
      <c r="D2057" t="n">
        <v>7</v>
      </c>
      <c r="E2057" t="inlineStr">
        <is>
          <t>Calculation</t>
        </is>
      </c>
      <c r="F2057" t="inlineStr">
        <is>
          <t>'=(1+(C215/C214)-1)*G214</t>
        </is>
      </c>
      <c r="G2057" t="n">
        <v>116.9952517145802</v>
      </c>
      <c r="H2057" t="inlineStr"/>
      <c r="I2057" t="inlineStr">
        <is>
          <t>General</t>
        </is>
      </c>
      <c r="J2057" t="b">
        <v>0</v>
      </c>
      <c r="K2057" t="b">
        <v>0</v>
      </c>
      <c r="L2057" t="n">
        <v>11</v>
      </c>
      <c r="M2057" t="inlineStr">
        <is>
          <t>Values must be of type &lt;class 'str'&gt;</t>
        </is>
      </c>
      <c r="N2057" t="inlineStr">
        <is>
          <t>00000000</t>
        </is>
      </c>
      <c r="O2057" t="inlineStr">
        <is>
          <t>left</t>
        </is>
      </c>
      <c r="P2057" t="n">
        <v/>
      </c>
      <c r="R2057" t="b">
        <v>1</v>
      </c>
      <c r="S2057" t="inlineStr">
        <is>
          <t>G000374</t>
        </is>
      </c>
      <c r="T2057" t="inlineStr">
        <is>
          <t>Horizontal</t>
        </is>
      </c>
      <c r="U2057" t="n">
        <v>3</v>
      </c>
      <c r="V2057" t="b">
        <v>1</v>
      </c>
      <c r="W2057" t="inlineStr">
        <is>
          <t>ATF fuel!G215:I215</t>
        </is>
      </c>
      <c r="X2057">
        <f>(1+(R[0]C[-4]/R[-1]C[-4])-1)*R[-1]C[0]</f>
        <v/>
      </c>
    </row>
    <row r="2058">
      <c r="A2058" t="inlineStr">
        <is>
          <t>ATF fuel</t>
        </is>
      </c>
      <c r="B2058" t="inlineStr">
        <is>
          <t>H215</t>
        </is>
      </c>
      <c r="C2058" t="n">
        <v>215</v>
      </c>
      <c r="D2058" t="n">
        <v>8</v>
      </c>
      <c r="E2058" t="inlineStr">
        <is>
          <t>Calculation</t>
        </is>
      </c>
      <c r="F2058" t="inlineStr">
        <is>
          <t>'=(1+(D215/D214)-1)*H214</t>
        </is>
      </c>
      <c r="G2058" t="n">
        <v>52.1118237928114</v>
      </c>
      <c r="H2058" t="inlineStr"/>
      <c r="I2058" t="inlineStr">
        <is>
          <t>General</t>
        </is>
      </c>
      <c r="J2058" t="b">
        <v>0</v>
      </c>
      <c r="K2058" t="b">
        <v>0</v>
      </c>
      <c r="L2058" t="n">
        <v>11</v>
      </c>
      <c r="M2058" t="inlineStr">
        <is>
          <t>Values must be of type &lt;class 'str'&gt;</t>
        </is>
      </c>
      <c r="N2058" t="inlineStr">
        <is>
          <t>00000000</t>
        </is>
      </c>
      <c r="O2058" t="inlineStr">
        <is>
          <t>left</t>
        </is>
      </c>
      <c r="P2058" t="n">
        <v/>
      </c>
      <c r="R2058" t="b">
        <v>1</v>
      </c>
      <c r="S2058" t="inlineStr">
        <is>
          <t>G000374</t>
        </is>
      </c>
      <c r="T2058" t="inlineStr">
        <is>
          <t>Horizontal</t>
        </is>
      </c>
      <c r="U2058" t="n">
        <v>3</v>
      </c>
      <c r="V2058" t="b">
        <v>1</v>
      </c>
      <c r="W2058" t="inlineStr">
        <is>
          <t>ATF fuel!G215:I215</t>
        </is>
      </c>
      <c r="X2058">
        <f>(1+(R[0]C[-4]/R[-1]C[-4])-1)*R[-1]C[0]</f>
        <v/>
      </c>
    </row>
    <row r="2059">
      <c r="A2059" t="inlineStr">
        <is>
          <t>ATF fuel</t>
        </is>
      </c>
      <c r="B2059" t="inlineStr">
        <is>
          <t>I215</t>
        </is>
      </c>
      <c r="C2059" t="n">
        <v>215</v>
      </c>
      <c r="D2059" t="n">
        <v>9</v>
      </c>
      <c r="E2059" t="inlineStr">
        <is>
          <t>Calculation</t>
        </is>
      </c>
      <c r="F2059" t="inlineStr">
        <is>
          <t>'=(1+(E215/E214)-1)*I214</t>
        </is>
      </c>
      <c r="G2059" t="n">
        <v>55.19933751330891</v>
      </c>
      <c r="H2059" t="inlineStr"/>
      <c r="I2059" t="inlineStr">
        <is>
          <t>General</t>
        </is>
      </c>
      <c r="J2059" t="b">
        <v>0</v>
      </c>
      <c r="K2059" t="b">
        <v>0</v>
      </c>
      <c r="L2059" t="n">
        <v>11</v>
      </c>
      <c r="M2059" t="inlineStr">
        <is>
          <t>Values must be of type &lt;class 'str'&gt;</t>
        </is>
      </c>
      <c r="N2059" t="inlineStr">
        <is>
          <t>00000000</t>
        </is>
      </c>
      <c r="O2059" t="inlineStr">
        <is>
          <t>left</t>
        </is>
      </c>
      <c r="P2059" t="n">
        <v/>
      </c>
      <c r="R2059" t="b">
        <v>1</v>
      </c>
      <c r="S2059" t="inlineStr">
        <is>
          <t>G000374</t>
        </is>
      </c>
      <c r="T2059" t="inlineStr">
        <is>
          <t>Horizontal</t>
        </is>
      </c>
      <c r="U2059" t="n">
        <v>3</v>
      </c>
      <c r="V2059" t="b">
        <v>1</v>
      </c>
      <c r="W2059" t="inlineStr">
        <is>
          <t>ATF fuel!G215:I215</t>
        </is>
      </c>
      <c r="X2059">
        <f>(1+(R[0]C[-4]/R[-1]C[-4])-1)*R[-1]C[0]</f>
        <v/>
      </c>
    </row>
    <row r="2060">
      <c r="A2060" t="inlineStr">
        <is>
          <t>ATF fuel</t>
        </is>
      </c>
      <c r="B2060" t="inlineStr">
        <is>
          <t>J215</t>
        </is>
      </c>
      <c r="C2060" t="n">
        <v>215</v>
      </c>
      <c r="D2060" t="n">
        <v>10</v>
      </c>
      <c r="E2060" t="inlineStr">
        <is>
          <t>Output</t>
        </is>
      </c>
      <c r="F2060" t="inlineStr">
        <is>
          <t>'=G215/H215-1</t>
        </is>
      </c>
      <c r="G2060" t="n">
        <v>1.245080735990652</v>
      </c>
      <c r="H2060" t="inlineStr"/>
      <c r="I2060" t="inlineStr">
        <is>
          <t>0.0%</t>
        </is>
      </c>
      <c r="J2060" t="b">
        <v>0</v>
      </c>
      <c r="K2060" t="b">
        <v>0</v>
      </c>
      <c r="L2060" t="n">
        <v>11</v>
      </c>
      <c r="M2060" t="inlineStr">
        <is>
          <t>Values must be of type &lt;class 'str'&gt;</t>
        </is>
      </c>
      <c r="N2060" t="inlineStr">
        <is>
          <t>00000000</t>
        </is>
      </c>
      <c r="O2060" t="n">
        <v/>
      </c>
      <c r="P2060" t="n">
        <v/>
      </c>
      <c r="R2060" t="b">
        <v>1</v>
      </c>
      <c r="S2060" t="inlineStr">
        <is>
          <t>G000295</t>
        </is>
      </c>
      <c r="T2060" t="inlineStr">
        <is>
          <t>Vertical</t>
        </is>
      </c>
      <c r="U2060" t="n">
        <v>93</v>
      </c>
      <c r="V2060" t="b">
        <v>1</v>
      </c>
      <c r="W2060" t="inlineStr">
        <is>
          <t>ATF fuel!J136:J228</t>
        </is>
      </c>
      <c r="X2060">
        <f>R[0]C[-3]/R[0]C[-2]-1</f>
        <v/>
      </c>
    </row>
    <row r="2061">
      <c r="A2061" t="inlineStr">
        <is>
          <t>ATF fuel</t>
        </is>
      </c>
      <c r="B2061" t="inlineStr">
        <is>
          <t>B216</t>
        </is>
      </c>
      <c r="C2061" t="n">
        <v>216</v>
      </c>
      <c r="D2061" t="n">
        <v>2</v>
      </c>
      <c r="E2061" t="inlineStr">
        <is>
          <t>Input</t>
        </is>
      </c>
      <c r="F2061" t="n">
        <v/>
      </c>
      <c r="G2061" t="inlineStr">
        <is>
          <t>December 01,2016</t>
        </is>
      </c>
      <c r="H2061" t="inlineStr"/>
      <c r="I2061" t="inlineStr">
        <is>
          <t>General</t>
        </is>
      </c>
      <c r="J2061" t="b">
        <v>0</v>
      </c>
      <c r="K2061" t="b">
        <v>0</v>
      </c>
      <c r="L2061" t="n">
        <v>11</v>
      </c>
      <c r="M2061" t="inlineStr">
        <is>
          <t>Values must be of type &lt;class 'str'&gt;</t>
        </is>
      </c>
      <c r="N2061" t="inlineStr">
        <is>
          <t>00000000</t>
        </is>
      </c>
      <c r="O2061" t="n">
        <v/>
      </c>
      <c r="P2061" t="n">
        <v/>
      </c>
      <c r="R2061" t="b">
        <v>1</v>
      </c>
      <c r="S2061" t="n">
        <v/>
      </c>
      <c r="T2061" t="n">
        <v/>
      </c>
      <c r="U2061" t="n">
        <v/>
      </c>
      <c r="V2061" t="b">
        <v>0</v>
      </c>
      <c r="W2061" t="inlineStr"/>
      <c r="X2061" t="n">
        <v/>
      </c>
    </row>
    <row r="2062">
      <c r="A2062" t="inlineStr">
        <is>
          <t>ATF fuel</t>
        </is>
      </c>
      <c r="B2062" t="inlineStr">
        <is>
          <t>C216</t>
        </is>
      </c>
      <c r="C2062" t="n">
        <v>216</v>
      </c>
      <c r="D2062" t="n">
        <v>3</v>
      </c>
      <c r="E2062" t="inlineStr">
        <is>
          <t>Input</t>
        </is>
      </c>
      <c r="F2062" t="n">
        <v/>
      </c>
      <c r="G2062" t="n">
        <v>49998.025</v>
      </c>
      <c r="H2062" t="inlineStr"/>
      <c r="I2062" t="inlineStr">
        <is>
          <t>General</t>
        </is>
      </c>
      <c r="J2062" t="b">
        <v>0</v>
      </c>
      <c r="K2062" t="b">
        <v>0</v>
      </c>
      <c r="L2062" t="n">
        <v>11</v>
      </c>
      <c r="M2062" t="inlineStr">
        <is>
          <t>Values must be of type &lt;class 'str'&gt;</t>
        </is>
      </c>
      <c r="N2062" t="inlineStr">
        <is>
          <t>00000000</t>
        </is>
      </c>
      <c r="O2062" t="n">
        <v/>
      </c>
      <c r="P2062" t="n">
        <v/>
      </c>
      <c r="R2062" t="b">
        <v>1</v>
      </c>
      <c r="S2062" t="n">
        <v/>
      </c>
      <c r="T2062" t="n">
        <v/>
      </c>
      <c r="U2062" t="n">
        <v/>
      </c>
      <c r="V2062" t="b">
        <v>0</v>
      </c>
      <c r="W2062" t="inlineStr"/>
      <c r="X2062" t="n">
        <v/>
      </c>
    </row>
    <row r="2063">
      <c r="A2063" t="inlineStr">
        <is>
          <t>ATF fuel</t>
        </is>
      </c>
      <c r="B2063" t="inlineStr">
        <is>
          <t>D216</t>
        </is>
      </c>
      <c r="C2063" t="n">
        <v>216</v>
      </c>
      <c r="D2063" t="n">
        <v>4</v>
      </c>
      <c r="E2063" t="inlineStr">
        <is>
          <t>Input</t>
        </is>
      </c>
      <c r="F2063" t="n">
        <v/>
      </c>
      <c r="G2063" t="n">
        <v>52.31</v>
      </c>
      <c r="H2063" t="inlineStr"/>
      <c r="I2063" t="inlineStr">
        <is>
          <t>General</t>
        </is>
      </c>
      <c r="J2063" t="b">
        <v>0</v>
      </c>
      <c r="K2063" t="b">
        <v>0</v>
      </c>
      <c r="L2063" t="n">
        <v>11</v>
      </c>
      <c r="M2063" t="inlineStr">
        <is>
          <t>Values must be of type &lt;class 'str'&gt;</t>
        </is>
      </c>
      <c r="N2063" t="inlineStr">
        <is>
          <t>00000000</t>
        </is>
      </c>
      <c r="O2063" t="n">
        <v/>
      </c>
      <c r="P2063" t="n">
        <v/>
      </c>
      <c r="R2063" t="b">
        <v>1</v>
      </c>
      <c r="S2063" t="n">
        <v/>
      </c>
      <c r="T2063" t="n">
        <v/>
      </c>
      <c r="U2063" t="n">
        <v/>
      </c>
      <c r="V2063" t="b">
        <v>0</v>
      </c>
      <c r="W2063" t="inlineStr"/>
      <c r="X2063" t="n">
        <v/>
      </c>
    </row>
    <row r="2064">
      <c r="A2064" t="inlineStr">
        <is>
          <t>ATF fuel</t>
        </is>
      </c>
      <c r="B2064" t="inlineStr">
        <is>
          <t>E216</t>
        </is>
      </c>
      <c r="C2064" t="n">
        <v>216</v>
      </c>
      <c r="D2064" t="n">
        <v>5</v>
      </c>
      <c r="E2064" t="inlineStr">
        <is>
          <t>Input</t>
        </is>
      </c>
      <c r="F2064" t="n">
        <v/>
      </c>
      <c r="G2064" t="n">
        <v>51.08</v>
      </c>
      <c r="H2064" t="inlineStr"/>
      <c r="I2064" t="inlineStr">
        <is>
          <t>General</t>
        </is>
      </c>
      <c r="J2064" t="b">
        <v>0</v>
      </c>
      <c r="K2064" t="b">
        <v>0</v>
      </c>
      <c r="L2064" t="n">
        <v>11</v>
      </c>
      <c r="M2064" t="inlineStr">
        <is>
          <t>Values must be of type &lt;class 'str'&gt;</t>
        </is>
      </c>
      <c r="N2064" t="inlineStr">
        <is>
          <t>00000000</t>
        </is>
      </c>
      <c r="O2064" t="n">
        <v/>
      </c>
      <c r="P2064" t="n">
        <v/>
      </c>
      <c r="R2064" t="b">
        <v>1</v>
      </c>
      <c r="S2064" t="n">
        <v/>
      </c>
      <c r="T2064" t="n">
        <v/>
      </c>
      <c r="U2064" t="n">
        <v/>
      </c>
      <c r="V2064" t="b">
        <v>0</v>
      </c>
      <c r="W2064" t="inlineStr"/>
      <c r="X2064" t="n">
        <v/>
      </c>
    </row>
    <row r="2065">
      <c r="A2065" t="inlineStr">
        <is>
          <t>ATF fuel</t>
        </is>
      </c>
      <c r="B2065" t="inlineStr">
        <is>
          <t>F216</t>
        </is>
      </c>
      <c r="C2065" t="n">
        <v>216</v>
      </c>
      <c r="D2065" t="n">
        <v>6</v>
      </c>
      <c r="E2065" t="inlineStr">
        <is>
          <t>Input</t>
        </is>
      </c>
      <c r="F2065" t="n">
        <v/>
      </c>
      <c r="G2065" t="inlineStr">
        <is>
          <t>December 01,2016</t>
        </is>
      </c>
      <c r="H2065" t="inlineStr"/>
      <c r="I2065" t="inlineStr">
        <is>
          <t>General</t>
        </is>
      </c>
      <c r="J2065" t="b">
        <v>0</v>
      </c>
      <c r="K2065" t="b">
        <v>0</v>
      </c>
      <c r="L2065" t="n">
        <v>11</v>
      </c>
      <c r="M2065" t="inlineStr">
        <is>
          <t>Values must be of type &lt;class 'str'&gt;</t>
        </is>
      </c>
      <c r="N2065" t="inlineStr">
        <is>
          <t>00000000</t>
        </is>
      </c>
      <c r="O2065" t="inlineStr">
        <is>
          <t>left</t>
        </is>
      </c>
      <c r="P2065" t="n">
        <v/>
      </c>
      <c r="R2065" t="b">
        <v>1</v>
      </c>
      <c r="S2065" t="n">
        <v/>
      </c>
      <c r="T2065" t="n">
        <v/>
      </c>
      <c r="U2065" t="n">
        <v/>
      </c>
      <c r="V2065" t="b">
        <v>0</v>
      </c>
      <c r="W2065" t="inlineStr"/>
      <c r="X2065" t="n">
        <v/>
      </c>
    </row>
    <row r="2066">
      <c r="A2066" t="inlineStr">
        <is>
          <t>ATF fuel</t>
        </is>
      </c>
      <c r="B2066" t="inlineStr">
        <is>
          <t>G216</t>
        </is>
      </c>
      <c r="C2066" t="n">
        <v>216</v>
      </c>
      <c r="D2066" t="n">
        <v>7</v>
      </c>
      <c r="E2066" t="inlineStr">
        <is>
          <t>Calculation</t>
        </is>
      </c>
      <c r="F2066" t="inlineStr">
        <is>
          <t>'=(1+(C216/C215)-1)*G215</t>
        </is>
      </c>
      <c r="G2066" t="n">
        <v>112.7051250904422</v>
      </c>
      <c r="H2066" t="inlineStr"/>
      <c r="I2066" t="inlineStr">
        <is>
          <t>General</t>
        </is>
      </c>
      <c r="J2066" t="b">
        <v>0</v>
      </c>
      <c r="K2066" t="b">
        <v>0</v>
      </c>
      <c r="L2066" t="n">
        <v>11</v>
      </c>
      <c r="M2066" t="inlineStr">
        <is>
          <t>Values must be of type &lt;class 'str'&gt;</t>
        </is>
      </c>
      <c r="N2066" t="inlineStr">
        <is>
          <t>00000000</t>
        </is>
      </c>
      <c r="O2066" t="inlineStr">
        <is>
          <t>left</t>
        </is>
      </c>
      <c r="P2066" t="n">
        <v/>
      </c>
      <c r="R2066" t="b">
        <v>1</v>
      </c>
      <c r="S2066" t="inlineStr">
        <is>
          <t>G000375</t>
        </is>
      </c>
      <c r="T2066" t="inlineStr">
        <is>
          <t>Horizontal</t>
        </is>
      </c>
      <c r="U2066" t="n">
        <v>3</v>
      </c>
      <c r="V2066" t="b">
        <v>1</v>
      </c>
      <c r="W2066" t="inlineStr">
        <is>
          <t>ATF fuel!G216:I216</t>
        </is>
      </c>
      <c r="X2066">
        <f>(1+(R[0]C[-4]/R[-1]C[-4])-1)*R[-1]C[0]</f>
        <v/>
      </c>
    </row>
    <row r="2067">
      <c r="A2067" t="inlineStr">
        <is>
          <t>ATF fuel</t>
        </is>
      </c>
      <c r="B2067" t="inlineStr">
        <is>
          <t>H216</t>
        </is>
      </c>
      <c r="C2067" t="n">
        <v>216</v>
      </c>
      <c r="D2067" t="n">
        <v>8</v>
      </c>
      <c r="E2067" t="inlineStr">
        <is>
          <t>Calculation</t>
        </is>
      </c>
      <c r="F2067" t="inlineStr">
        <is>
          <t>'=(1+(D216/D215)-1)*H215</t>
        </is>
      </c>
      <c r="G2067" t="n">
        <v>63.30630521602331</v>
      </c>
      <c r="H2067" t="inlineStr"/>
      <c r="I2067" t="inlineStr">
        <is>
          <t>General</t>
        </is>
      </c>
      <c r="J2067" t="b">
        <v>0</v>
      </c>
      <c r="K2067" t="b">
        <v>0</v>
      </c>
      <c r="L2067" t="n">
        <v>11</v>
      </c>
      <c r="M2067" t="inlineStr">
        <is>
          <t>Values must be of type &lt;class 'str'&gt;</t>
        </is>
      </c>
      <c r="N2067" t="inlineStr">
        <is>
          <t>00000000</t>
        </is>
      </c>
      <c r="O2067" t="inlineStr">
        <is>
          <t>left</t>
        </is>
      </c>
      <c r="P2067" t="n">
        <v/>
      </c>
      <c r="R2067" t="b">
        <v>1</v>
      </c>
      <c r="S2067" t="inlineStr">
        <is>
          <t>G000375</t>
        </is>
      </c>
      <c r="T2067" t="inlineStr">
        <is>
          <t>Horizontal</t>
        </is>
      </c>
      <c r="U2067" t="n">
        <v>3</v>
      </c>
      <c r="V2067" t="b">
        <v>1</v>
      </c>
      <c r="W2067" t="inlineStr">
        <is>
          <t>ATF fuel!G216:I216</t>
        </is>
      </c>
      <c r="X2067">
        <f>(1+(R[0]C[-4]/R[-1]C[-4])-1)*R[-1]C[0]</f>
        <v/>
      </c>
    </row>
    <row r="2068">
      <c r="A2068" t="inlineStr">
        <is>
          <t>ATF fuel</t>
        </is>
      </c>
      <c r="B2068" t="inlineStr">
        <is>
          <t>I216</t>
        </is>
      </c>
      <c r="C2068" t="n">
        <v>216</v>
      </c>
      <c r="D2068" t="n">
        <v>9</v>
      </c>
      <c r="E2068" t="inlineStr">
        <is>
          <t>Calculation</t>
        </is>
      </c>
      <c r="F2068" t="inlineStr">
        <is>
          <t>'=(1+(E216/E215)-1)*I215</t>
        </is>
      </c>
      <c r="G2068" t="n">
        <v>60.42825032532831</v>
      </c>
      <c r="H2068" t="inlineStr"/>
      <c r="I2068" t="inlineStr">
        <is>
          <t>General</t>
        </is>
      </c>
      <c r="J2068" t="b">
        <v>0</v>
      </c>
      <c r="K2068" t="b">
        <v>0</v>
      </c>
      <c r="L2068" t="n">
        <v>11</v>
      </c>
      <c r="M2068" t="inlineStr">
        <is>
          <t>Values must be of type &lt;class 'str'&gt;</t>
        </is>
      </c>
      <c r="N2068" t="inlineStr">
        <is>
          <t>00000000</t>
        </is>
      </c>
      <c r="O2068" t="inlineStr">
        <is>
          <t>left</t>
        </is>
      </c>
      <c r="P2068" t="n">
        <v/>
      </c>
      <c r="R2068" t="b">
        <v>1</v>
      </c>
      <c r="S2068" t="inlineStr">
        <is>
          <t>G000375</t>
        </is>
      </c>
      <c r="T2068" t="inlineStr">
        <is>
          <t>Horizontal</t>
        </is>
      </c>
      <c r="U2068" t="n">
        <v>3</v>
      </c>
      <c r="V2068" t="b">
        <v>1</v>
      </c>
      <c r="W2068" t="inlineStr">
        <is>
          <t>ATF fuel!G216:I216</t>
        </is>
      </c>
      <c r="X2068">
        <f>(1+(R[0]C[-4]/R[-1]C[-4])-1)*R[-1]C[0]</f>
        <v/>
      </c>
    </row>
    <row r="2069">
      <c r="A2069" t="inlineStr">
        <is>
          <t>ATF fuel</t>
        </is>
      </c>
      <c r="B2069" t="inlineStr">
        <is>
          <t>J216</t>
        </is>
      </c>
      <c r="C2069" t="n">
        <v>216</v>
      </c>
      <c r="D2069" t="n">
        <v>10</v>
      </c>
      <c r="E2069" t="inlineStr">
        <is>
          <t>Output</t>
        </is>
      </c>
      <c r="F2069" t="inlineStr">
        <is>
          <t>'=G216/H216-1</t>
        </is>
      </c>
      <c r="G2069" t="n">
        <v>0.780314373202682</v>
      </c>
      <c r="H2069" t="inlineStr"/>
      <c r="I2069" t="inlineStr">
        <is>
          <t>0.0%</t>
        </is>
      </c>
      <c r="J2069" t="b">
        <v>0</v>
      </c>
      <c r="K2069" t="b">
        <v>0</v>
      </c>
      <c r="L2069" t="n">
        <v>11</v>
      </c>
      <c r="M2069" t="inlineStr">
        <is>
          <t>Values must be of type &lt;class 'str'&gt;</t>
        </is>
      </c>
      <c r="N2069" t="inlineStr">
        <is>
          <t>00000000</t>
        </is>
      </c>
      <c r="O2069" t="n">
        <v/>
      </c>
      <c r="P2069" t="n">
        <v/>
      </c>
      <c r="R2069" t="b">
        <v>1</v>
      </c>
      <c r="S2069" t="inlineStr">
        <is>
          <t>G000295</t>
        </is>
      </c>
      <c r="T2069" t="inlineStr">
        <is>
          <t>Vertical</t>
        </is>
      </c>
      <c r="U2069" t="n">
        <v>93</v>
      </c>
      <c r="V2069" t="b">
        <v>1</v>
      </c>
      <c r="W2069" t="inlineStr">
        <is>
          <t>ATF fuel!J136:J228</t>
        </is>
      </c>
      <c r="X2069">
        <f>R[0]C[-3]/R[0]C[-2]-1</f>
        <v/>
      </c>
    </row>
    <row r="2070">
      <c r="A2070" t="inlineStr">
        <is>
          <t>ATF fuel</t>
        </is>
      </c>
      <c r="B2070" t="inlineStr">
        <is>
          <t>B217</t>
        </is>
      </c>
      <c r="C2070" t="n">
        <v>217</v>
      </c>
      <c r="D2070" t="n">
        <v>2</v>
      </c>
      <c r="E2070" t="inlineStr">
        <is>
          <t>Input</t>
        </is>
      </c>
      <c r="F2070" t="n">
        <v/>
      </c>
      <c r="G2070" t="inlineStr">
        <is>
          <t>January 01, 2017</t>
        </is>
      </c>
      <c r="H2070" t="inlineStr"/>
      <c r="I2070" t="inlineStr">
        <is>
          <t>General</t>
        </is>
      </c>
      <c r="J2070" t="b">
        <v>0</v>
      </c>
      <c r="K2070" t="b">
        <v>0</v>
      </c>
      <c r="L2070" t="n">
        <v>11</v>
      </c>
      <c r="M2070" t="inlineStr">
        <is>
          <t>Values must be of type &lt;class 'str'&gt;</t>
        </is>
      </c>
      <c r="N2070" t="inlineStr">
        <is>
          <t>00000000</t>
        </is>
      </c>
      <c r="O2070" t="n">
        <v/>
      </c>
      <c r="P2070" t="n">
        <v/>
      </c>
      <c r="R2070" t="b">
        <v>1</v>
      </c>
      <c r="S2070" t="n">
        <v/>
      </c>
      <c r="T2070" t="n">
        <v/>
      </c>
      <c r="U2070" t="n">
        <v/>
      </c>
      <c r="V2070" t="b">
        <v>0</v>
      </c>
      <c r="W2070" t="inlineStr"/>
      <c r="X2070" t="n">
        <v/>
      </c>
    </row>
    <row r="2071">
      <c r="A2071" t="inlineStr">
        <is>
          <t>ATF fuel</t>
        </is>
      </c>
      <c r="B2071" t="inlineStr">
        <is>
          <t>C217</t>
        </is>
      </c>
      <c r="C2071" t="n">
        <v>217</v>
      </c>
      <c r="D2071" t="n">
        <v>3</v>
      </c>
      <c r="E2071" t="inlineStr">
        <is>
          <t>Input</t>
        </is>
      </c>
      <c r="F2071" t="n">
        <v/>
      </c>
      <c r="G2071" t="n">
        <v>54213.9175</v>
      </c>
      <c r="H2071" t="inlineStr"/>
      <c r="I2071" t="inlineStr">
        <is>
          <t>General</t>
        </is>
      </c>
      <c r="J2071" t="b">
        <v>0</v>
      </c>
      <c r="K2071" t="b">
        <v>0</v>
      </c>
      <c r="L2071" t="n">
        <v>11</v>
      </c>
      <c r="M2071" t="inlineStr">
        <is>
          <t>Values must be of type &lt;class 'str'&gt;</t>
        </is>
      </c>
      <c r="N2071" t="inlineStr">
        <is>
          <t>00000000</t>
        </is>
      </c>
      <c r="O2071" t="n">
        <v/>
      </c>
      <c r="P2071" t="n">
        <v/>
      </c>
      <c r="R2071" t="b">
        <v>1</v>
      </c>
      <c r="S2071" t="n">
        <v/>
      </c>
      <c r="T2071" t="n">
        <v/>
      </c>
      <c r="U2071" t="n">
        <v/>
      </c>
      <c r="V2071" t="b">
        <v>0</v>
      </c>
      <c r="W2071" t="inlineStr"/>
      <c r="X2071" t="n">
        <v/>
      </c>
    </row>
    <row r="2072">
      <c r="A2072" t="inlineStr">
        <is>
          <t>ATF fuel</t>
        </is>
      </c>
      <c r="B2072" t="inlineStr">
        <is>
          <t>D217</t>
        </is>
      </c>
      <c r="C2072" t="n">
        <v>217</v>
      </c>
      <c r="D2072" t="n">
        <v>4</v>
      </c>
      <c r="E2072" t="inlineStr">
        <is>
          <t>Input</t>
        </is>
      </c>
      <c r="F2072" t="n">
        <v/>
      </c>
      <c r="G2072" t="n">
        <v>55.9</v>
      </c>
      <c r="H2072" t="inlineStr"/>
      <c r="I2072" t="inlineStr">
        <is>
          <t>General</t>
        </is>
      </c>
      <c r="J2072" t="b">
        <v>0</v>
      </c>
      <c r="K2072" t="b">
        <v>0</v>
      </c>
      <c r="L2072" t="n">
        <v>11</v>
      </c>
      <c r="M2072" t="inlineStr">
        <is>
          <t>Values must be of type &lt;class 'str'&gt;</t>
        </is>
      </c>
      <c r="N2072" t="inlineStr">
        <is>
          <t>00000000</t>
        </is>
      </c>
      <c r="O2072" t="n">
        <v/>
      </c>
      <c r="P2072" t="n">
        <v/>
      </c>
      <c r="R2072" t="b">
        <v>1</v>
      </c>
      <c r="S2072" t="n">
        <v/>
      </c>
      <c r="T2072" t="n">
        <v/>
      </c>
      <c r="U2072" t="n">
        <v/>
      </c>
      <c r="V2072" t="b">
        <v>0</v>
      </c>
      <c r="W2072" t="inlineStr"/>
      <c r="X2072" t="n">
        <v/>
      </c>
    </row>
    <row r="2073">
      <c r="A2073" t="inlineStr">
        <is>
          <t>ATF fuel</t>
        </is>
      </c>
      <c r="B2073" t="inlineStr">
        <is>
          <t>E217</t>
        </is>
      </c>
      <c r="C2073" t="n">
        <v>217</v>
      </c>
      <c r="D2073" t="n">
        <v>5</v>
      </c>
      <c r="E2073" t="inlineStr">
        <is>
          <t>Input</t>
        </is>
      </c>
      <c r="F2073" t="n">
        <v/>
      </c>
      <c r="G2073" t="n">
        <v>52.36</v>
      </c>
      <c r="H2073" t="inlineStr"/>
      <c r="I2073" t="inlineStr">
        <is>
          <t>General</t>
        </is>
      </c>
      <c r="J2073" t="b">
        <v>0</v>
      </c>
      <c r="K2073" t="b">
        <v>0</v>
      </c>
      <c r="L2073" t="n">
        <v>11</v>
      </c>
      <c r="M2073" t="inlineStr">
        <is>
          <t>Values must be of type &lt;class 'str'&gt;</t>
        </is>
      </c>
      <c r="N2073" t="inlineStr">
        <is>
          <t>00000000</t>
        </is>
      </c>
      <c r="O2073" t="n">
        <v/>
      </c>
      <c r="P2073" t="n">
        <v/>
      </c>
      <c r="R2073" t="b">
        <v>1</v>
      </c>
      <c r="S2073" t="n">
        <v/>
      </c>
      <c r="T2073" t="n">
        <v/>
      </c>
      <c r="U2073" t="n">
        <v/>
      </c>
      <c r="V2073" t="b">
        <v>0</v>
      </c>
      <c r="W2073" t="inlineStr"/>
      <c r="X2073" t="n">
        <v/>
      </c>
    </row>
    <row r="2074">
      <c r="A2074" t="inlineStr">
        <is>
          <t>ATF fuel</t>
        </is>
      </c>
      <c r="B2074" t="inlineStr">
        <is>
          <t>F217</t>
        </is>
      </c>
      <c r="C2074" t="n">
        <v>217</v>
      </c>
      <c r="D2074" t="n">
        <v>6</v>
      </c>
      <c r="E2074" t="inlineStr">
        <is>
          <t>Input</t>
        </is>
      </c>
      <c r="F2074" t="n">
        <v/>
      </c>
      <c r="G2074" t="inlineStr">
        <is>
          <t>January 01, 2017</t>
        </is>
      </c>
      <c r="H2074" t="inlineStr"/>
      <c r="I2074" t="inlineStr">
        <is>
          <t>General</t>
        </is>
      </c>
      <c r="J2074" t="b">
        <v>0</v>
      </c>
      <c r="K2074" t="b">
        <v>0</v>
      </c>
      <c r="L2074" t="n">
        <v>11</v>
      </c>
      <c r="M2074" t="inlineStr">
        <is>
          <t>Values must be of type &lt;class 'str'&gt;</t>
        </is>
      </c>
      <c r="N2074" t="inlineStr">
        <is>
          <t>00000000</t>
        </is>
      </c>
      <c r="O2074" t="inlineStr">
        <is>
          <t>left</t>
        </is>
      </c>
      <c r="P2074" t="n">
        <v/>
      </c>
      <c r="R2074" t="b">
        <v>1</v>
      </c>
      <c r="S2074" t="n">
        <v/>
      </c>
      <c r="T2074" t="n">
        <v/>
      </c>
      <c r="U2074" t="n">
        <v/>
      </c>
      <c r="V2074" t="b">
        <v>0</v>
      </c>
      <c r="W2074" t="inlineStr"/>
      <c r="X2074" t="n">
        <v/>
      </c>
    </row>
    <row r="2075">
      <c r="A2075" t="inlineStr">
        <is>
          <t>ATF fuel</t>
        </is>
      </c>
      <c r="B2075" t="inlineStr">
        <is>
          <t>G217</t>
        </is>
      </c>
      <c r="C2075" t="n">
        <v>217</v>
      </c>
      <c r="D2075" t="n">
        <v>7</v>
      </c>
      <c r="E2075" t="inlineStr">
        <is>
          <t>Calculation</t>
        </is>
      </c>
      <c r="F2075" t="inlineStr">
        <is>
          <t>'=(1+(C217/C216)-1)*G216</t>
        </is>
      </c>
      <c r="G2075" t="n">
        <v>122.2085543075035</v>
      </c>
      <c r="H2075" t="inlineStr"/>
      <c r="I2075" t="inlineStr">
        <is>
          <t>General</t>
        </is>
      </c>
      <c r="J2075" t="b">
        <v>0</v>
      </c>
      <c r="K2075" t="b">
        <v>0</v>
      </c>
      <c r="L2075" t="n">
        <v>11</v>
      </c>
      <c r="M2075" t="inlineStr">
        <is>
          <t>Values must be of type &lt;class 'str'&gt;</t>
        </is>
      </c>
      <c r="N2075" t="inlineStr">
        <is>
          <t>00000000</t>
        </is>
      </c>
      <c r="O2075" t="inlineStr">
        <is>
          <t>left</t>
        </is>
      </c>
      <c r="P2075" t="n">
        <v/>
      </c>
      <c r="R2075" t="b">
        <v>1</v>
      </c>
      <c r="S2075" t="inlineStr">
        <is>
          <t>G000376</t>
        </is>
      </c>
      <c r="T2075" t="inlineStr">
        <is>
          <t>Horizontal</t>
        </is>
      </c>
      <c r="U2075" t="n">
        <v>3</v>
      </c>
      <c r="V2075" t="b">
        <v>1</v>
      </c>
      <c r="W2075" t="inlineStr">
        <is>
          <t>ATF fuel!G217:I217</t>
        </is>
      </c>
      <c r="X2075">
        <f>(1+(R[0]C[-4]/R[-1]C[-4])-1)*R[-1]C[0]</f>
        <v/>
      </c>
    </row>
    <row r="2076">
      <c r="A2076" t="inlineStr">
        <is>
          <t>ATF fuel</t>
        </is>
      </c>
      <c r="B2076" t="inlineStr">
        <is>
          <t>H217</t>
        </is>
      </c>
      <c r="C2076" t="n">
        <v>217</v>
      </c>
      <c r="D2076" t="n">
        <v>8</v>
      </c>
      <c r="E2076" t="inlineStr">
        <is>
          <t>Calculation</t>
        </is>
      </c>
      <c r="F2076" t="inlineStr">
        <is>
          <t>'=(1+(D217/D216)-1)*H216</t>
        </is>
      </c>
      <c r="G2076" t="n">
        <v>67.65097422243745</v>
      </c>
      <c r="H2076" t="inlineStr"/>
      <c r="I2076" t="inlineStr">
        <is>
          <t>General</t>
        </is>
      </c>
      <c r="J2076" t="b">
        <v>0</v>
      </c>
      <c r="K2076" t="b">
        <v>0</v>
      </c>
      <c r="L2076" t="n">
        <v>11</v>
      </c>
      <c r="M2076" t="inlineStr">
        <is>
          <t>Values must be of type &lt;class 'str'&gt;</t>
        </is>
      </c>
      <c r="N2076" t="inlineStr">
        <is>
          <t>00000000</t>
        </is>
      </c>
      <c r="O2076" t="inlineStr">
        <is>
          <t>left</t>
        </is>
      </c>
      <c r="P2076" t="n">
        <v/>
      </c>
      <c r="R2076" t="b">
        <v>1</v>
      </c>
      <c r="S2076" t="inlineStr">
        <is>
          <t>G000376</t>
        </is>
      </c>
      <c r="T2076" t="inlineStr">
        <is>
          <t>Horizontal</t>
        </is>
      </c>
      <c r="U2076" t="n">
        <v>3</v>
      </c>
      <c r="V2076" t="b">
        <v>1</v>
      </c>
      <c r="W2076" t="inlineStr">
        <is>
          <t>ATF fuel!G217:I217</t>
        </is>
      </c>
      <c r="X2076">
        <f>(1+(R[0]C[-4]/R[-1]C[-4])-1)*R[-1]C[0]</f>
        <v/>
      </c>
    </row>
    <row r="2077">
      <c r="A2077" t="inlineStr">
        <is>
          <t>ATF fuel</t>
        </is>
      </c>
      <c r="B2077" t="inlineStr">
        <is>
          <t>I217</t>
        </is>
      </c>
      <c r="C2077" t="n">
        <v>217</v>
      </c>
      <c r="D2077" t="n">
        <v>9</v>
      </c>
      <c r="E2077" t="inlineStr">
        <is>
          <t>Calculation</t>
        </is>
      </c>
      <c r="F2077" t="inlineStr">
        <is>
          <t>'=(1+(E217/E216)-1)*I216</t>
        </is>
      </c>
      <c r="G2077" t="n">
        <v>61.94250561930677</v>
      </c>
      <c r="H2077" t="inlineStr"/>
      <c r="I2077" t="inlineStr">
        <is>
          <t>General</t>
        </is>
      </c>
      <c r="J2077" t="b">
        <v>0</v>
      </c>
      <c r="K2077" t="b">
        <v>0</v>
      </c>
      <c r="L2077" t="n">
        <v>11</v>
      </c>
      <c r="M2077" t="inlineStr">
        <is>
          <t>Values must be of type &lt;class 'str'&gt;</t>
        </is>
      </c>
      <c r="N2077" t="inlineStr">
        <is>
          <t>00000000</t>
        </is>
      </c>
      <c r="O2077" t="inlineStr">
        <is>
          <t>left</t>
        </is>
      </c>
      <c r="P2077" t="n">
        <v/>
      </c>
      <c r="R2077" t="b">
        <v>1</v>
      </c>
      <c r="S2077" t="inlineStr">
        <is>
          <t>G000376</t>
        </is>
      </c>
      <c r="T2077" t="inlineStr">
        <is>
          <t>Horizontal</t>
        </is>
      </c>
      <c r="U2077" t="n">
        <v>3</v>
      </c>
      <c r="V2077" t="b">
        <v>1</v>
      </c>
      <c r="W2077" t="inlineStr">
        <is>
          <t>ATF fuel!G217:I217</t>
        </is>
      </c>
      <c r="X2077">
        <f>(1+(R[0]C[-4]/R[-1]C[-4])-1)*R[-1]C[0]</f>
        <v/>
      </c>
    </row>
    <row r="2078">
      <c r="A2078" t="inlineStr">
        <is>
          <t>ATF fuel</t>
        </is>
      </c>
      <c r="B2078" t="inlineStr">
        <is>
          <t>J217</t>
        </is>
      </c>
      <c r="C2078" t="n">
        <v>217</v>
      </c>
      <c r="D2078" t="n">
        <v>10</v>
      </c>
      <c r="E2078" t="inlineStr">
        <is>
          <t>Output</t>
        </is>
      </c>
      <c r="F2078" t="inlineStr">
        <is>
          <t>'=G217/H217-1</t>
        </is>
      </c>
      <c r="G2078" t="n">
        <v>0.8064566802198567</v>
      </c>
      <c r="H2078" t="inlineStr"/>
      <c r="I2078" t="inlineStr">
        <is>
          <t>0.0%</t>
        </is>
      </c>
      <c r="J2078" t="b">
        <v>0</v>
      </c>
      <c r="K2078" t="b">
        <v>0</v>
      </c>
      <c r="L2078" t="n">
        <v>11</v>
      </c>
      <c r="M2078" t="inlineStr">
        <is>
          <t>Values must be of type &lt;class 'str'&gt;</t>
        </is>
      </c>
      <c r="N2078" t="inlineStr">
        <is>
          <t>00000000</t>
        </is>
      </c>
      <c r="O2078" t="n">
        <v/>
      </c>
      <c r="P2078" t="n">
        <v/>
      </c>
      <c r="R2078" t="b">
        <v>1</v>
      </c>
      <c r="S2078" t="inlineStr">
        <is>
          <t>G000295</t>
        </is>
      </c>
      <c r="T2078" t="inlineStr">
        <is>
          <t>Vertical</t>
        </is>
      </c>
      <c r="U2078" t="n">
        <v>93</v>
      </c>
      <c r="V2078" t="b">
        <v>1</v>
      </c>
      <c r="W2078" t="inlineStr">
        <is>
          <t>ATF fuel!J136:J228</t>
        </is>
      </c>
      <c r="X2078">
        <f>R[0]C[-3]/R[0]C[-2]-1</f>
        <v/>
      </c>
    </row>
    <row r="2079">
      <c r="A2079" t="inlineStr">
        <is>
          <t>ATF fuel</t>
        </is>
      </c>
      <c r="B2079" t="inlineStr">
        <is>
          <t>B218</t>
        </is>
      </c>
      <c r="C2079" t="n">
        <v>218</v>
      </c>
      <c r="D2079" t="n">
        <v>2</v>
      </c>
      <c r="E2079" t="inlineStr">
        <is>
          <t>Input</t>
        </is>
      </c>
      <c r="F2079" t="n">
        <v/>
      </c>
      <c r="G2079" t="inlineStr">
        <is>
          <t>February 01,2017</t>
        </is>
      </c>
      <c r="H2079" t="inlineStr"/>
      <c r="I2079" t="inlineStr">
        <is>
          <t>General</t>
        </is>
      </c>
      <c r="J2079" t="b">
        <v>0</v>
      </c>
      <c r="K2079" t="b">
        <v>0</v>
      </c>
      <c r="L2079" t="n">
        <v>11</v>
      </c>
      <c r="M2079" t="inlineStr">
        <is>
          <t>Values must be of type &lt;class 'str'&gt;</t>
        </is>
      </c>
      <c r="N2079" t="inlineStr">
        <is>
          <t>00000000</t>
        </is>
      </c>
      <c r="O2079" t="n">
        <v/>
      </c>
      <c r="P2079" t="n">
        <v/>
      </c>
      <c r="R2079" t="b">
        <v>1</v>
      </c>
      <c r="S2079" t="n">
        <v/>
      </c>
      <c r="T2079" t="n">
        <v/>
      </c>
      <c r="U2079" t="n">
        <v/>
      </c>
      <c r="V2079" t="b">
        <v>0</v>
      </c>
      <c r="W2079" t="inlineStr"/>
      <c r="X2079" t="n">
        <v/>
      </c>
    </row>
    <row r="2080">
      <c r="A2080" t="inlineStr">
        <is>
          <t>ATF fuel</t>
        </is>
      </c>
      <c r="B2080" t="inlineStr">
        <is>
          <t>C218</t>
        </is>
      </c>
      <c r="C2080" t="n">
        <v>218</v>
      </c>
      <c r="D2080" t="n">
        <v>3</v>
      </c>
      <c r="E2080" t="inlineStr">
        <is>
          <t>Input</t>
        </is>
      </c>
      <c r="F2080" t="n">
        <v/>
      </c>
      <c r="G2080" t="n">
        <v>55817.3925</v>
      </c>
      <c r="H2080" t="inlineStr"/>
      <c r="I2080" t="inlineStr">
        <is>
          <t>General</t>
        </is>
      </c>
      <c r="J2080" t="b">
        <v>0</v>
      </c>
      <c r="K2080" t="b">
        <v>0</v>
      </c>
      <c r="L2080" t="n">
        <v>11</v>
      </c>
      <c r="M2080" t="inlineStr">
        <is>
          <t>Values must be of type &lt;class 'str'&gt;</t>
        </is>
      </c>
      <c r="N2080" t="inlineStr">
        <is>
          <t>00000000</t>
        </is>
      </c>
      <c r="O2080" t="n">
        <v/>
      </c>
      <c r="P2080" t="n">
        <v/>
      </c>
      <c r="R2080" t="b">
        <v>1</v>
      </c>
      <c r="S2080" t="n">
        <v/>
      </c>
      <c r="T2080" t="n">
        <v/>
      </c>
      <c r="U2080" t="n">
        <v/>
      </c>
      <c r="V2080" t="b">
        <v>0</v>
      </c>
      <c r="W2080" t="inlineStr"/>
      <c r="X2080" t="n">
        <v/>
      </c>
    </row>
    <row r="2081">
      <c r="A2081" t="inlineStr">
        <is>
          <t>ATF fuel</t>
        </is>
      </c>
      <c r="B2081" t="inlineStr">
        <is>
          <t>D218</t>
        </is>
      </c>
      <c r="C2081" t="n">
        <v>218</v>
      </c>
      <c r="D2081" t="n">
        <v>4</v>
      </c>
      <c r="E2081" t="inlineStr">
        <is>
          <t>Input</t>
        </is>
      </c>
      <c r="F2081" t="n">
        <v/>
      </c>
      <c r="G2081" t="n">
        <v>55.92</v>
      </c>
      <c r="H2081" t="inlineStr"/>
      <c r="I2081" t="inlineStr">
        <is>
          <t>General</t>
        </is>
      </c>
      <c r="J2081" t="b">
        <v>0</v>
      </c>
      <c r="K2081" t="b">
        <v>0</v>
      </c>
      <c r="L2081" t="n">
        <v>11</v>
      </c>
      <c r="M2081" t="inlineStr">
        <is>
          <t>Values must be of type &lt;class 'str'&gt;</t>
        </is>
      </c>
      <c r="N2081" t="inlineStr">
        <is>
          <t>00000000</t>
        </is>
      </c>
      <c r="O2081" t="n">
        <v/>
      </c>
      <c r="P2081" t="n">
        <v/>
      </c>
      <c r="R2081" t="b">
        <v>1</v>
      </c>
      <c r="S2081" t="n">
        <v/>
      </c>
      <c r="T2081" t="n">
        <v/>
      </c>
      <c r="U2081" t="n">
        <v/>
      </c>
      <c r="V2081" t="b">
        <v>0</v>
      </c>
      <c r="W2081" t="inlineStr"/>
      <c r="X2081" t="n">
        <v/>
      </c>
    </row>
    <row r="2082">
      <c r="A2082" t="inlineStr">
        <is>
          <t>ATF fuel</t>
        </is>
      </c>
      <c r="B2082" t="inlineStr">
        <is>
          <t>E218</t>
        </is>
      </c>
      <c r="C2082" t="n">
        <v>218</v>
      </c>
      <c r="D2082" t="n">
        <v>5</v>
      </c>
      <c r="E2082" t="inlineStr">
        <is>
          <t>Input</t>
        </is>
      </c>
      <c r="F2082" t="n">
        <v/>
      </c>
      <c r="G2082" t="n">
        <v>53.9</v>
      </c>
      <c r="H2082" t="inlineStr"/>
      <c r="I2082" t="inlineStr">
        <is>
          <t>General</t>
        </is>
      </c>
      <c r="J2082" t="b">
        <v>0</v>
      </c>
      <c r="K2082" t="b">
        <v>0</v>
      </c>
      <c r="L2082" t="n">
        <v>11</v>
      </c>
      <c r="M2082" t="inlineStr">
        <is>
          <t>Values must be of type &lt;class 'str'&gt;</t>
        </is>
      </c>
      <c r="N2082" t="inlineStr">
        <is>
          <t>00000000</t>
        </is>
      </c>
      <c r="O2082" t="n">
        <v/>
      </c>
      <c r="P2082" t="n">
        <v/>
      </c>
      <c r="R2082" t="b">
        <v>1</v>
      </c>
      <c r="S2082" t="n">
        <v/>
      </c>
      <c r="T2082" t="n">
        <v/>
      </c>
      <c r="U2082" t="n">
        <v/>
      </c>
      <c r="V2082" t="b">
        <v>0</v>
      </c>
      <c r="W2082" t="inlineStr"/>
      <c r="X2082" t="n">
        <v/>
      </c>
    </row>
    <row r="2083">
      <c r="A2083" t="inlineStr">
        <is>
          <t>ATF fuel</t>
        </is>
      </c>
      <c r="B2083" t="inlineStr">
        <is>
          <t>F218</t>
        </is>
      </c>
      <c r="C2083" t="n">
        <v>218</v>
      </c>
      <c r="D2083" t="n">
        <v>6</v>
      </c>
      <c r="E2083" t="inlineStr">
        <is>
          <t>Input</t>
        </is>
      </c>
      <c r="F2083" t="n">
        <v/>
      </c>
      <c r="G2083" t="inlineStr">
        <is>
          <t>February 01,2017</t>
        </is>
      </c>
      <c r="H2083" t="inlineStr"/>
      <c r="I2083" t="inlineStr">
        <is>
          <t>General</t>
        </is>
      </c>
      <c r="J2083" t="b">
        <v>0</v>
      </c>
      <c r="K2083" t="b">
        <v>0</v>
      </c>
      <c r="L2083" t="n">
        <v>11</v>
      </c>
      <c r="M2083" t="inlineStr">
        <is>
          <t>Values must be of type &lt;class 'str'&gt;</t>
        </is>
      </c>
      <c r="N2083" t="inlineStr">
        <is>
          <t>00000000</t>
        </is>
      </c>
      <c r="O2083" t="inlineStr">
        <is>
          <t>left</t>
        </is>
      </c>
      <c r="P2083" t="n">
        <v/>
      </c>
      <c r="R2083" t="b">
        <v>1</v>
      </c>
      <c r="S2083" t="n">
        <v/>
      </c>
      <c r="T2083" t="n">
        <v/>
      </c>
      <c r="U2083" t="n">
        <v/>
      </c>
      <c r="V2083" t="b">
        <v>0</v>
      </c>
      <c r="W2083" t="inlineStr"/>
      <c r="X2083" t="n">
        <v/>
      </c>
    </row>
    <row r="2084">
      <c r="A2084" t="inlineStr">
        <is>
          <t>ATF fuel</t>
        </is>
      </c>
      <c r="B2084" t="inlineStr">
        <is>
          <t>G218</t>
        </is>
      </c>
      <c r="C2084" t="n">
        <v>218</v>
      </c>
      <c r="D2084" t="n">
        <v>7</v>
      </c>
      <c r="E2084" t="inlineStr">
        <is>
          <t>Calculation</t>
        </is>
      </c>
      <c r="F2084" t="inlineStr">
        <is>
          <t>'=(1+(C218/C217)-1)*G217</t>
        </is>
      </c>
      <c r="G2084" t="n">
        <v>125.8230940909129</v>
      </c>
      <c r="H2084" t="inlineStr"/>
      <c r="I2084" t="inlineStr">
        <is>
          <t>General</t>
        </is>
      </c>
      <c r="J2084" t="b">
        <v>0</v>
      </c>
      <c r="K2084" t="b">
        <v>0</v>
      </c>
      <c r="L2084" t="n">
        <v>11</v>
      </c>
      <c r="M2084" t="inlineStr">
        <is>
          <t>Values must be of type &lt;class 'str'&gt;</t>
        </is>
      </c>
      <c r="N2084" t="inlineStr">
        <is>
          <t>00000000</t>
        </is>
      </c>
      <c r="O2084" t="inlineStr">
        <is>
          <t>left</t>
        </is>
      </c>
      <c r="P2084" t="n">
        <v/>
      </c>
      <c r="R2084" t="b">
        <v>1</v>
      </c>
      <c r="S2084" t="inlineStr">
        <is>
          <t>G000377</t>
        </is>
      </c>
      <c r="T2084" t="inlineStr">
        <is>
          <t>Horizontal</t>
        </is>
      </c>
      <c r="U2084" t="n">
        <v>3</v>
      </c>
      <c r="V2084" t="b">
        <v>1</v>
      </c>
      <c r="W2084" t="inlineStr">
        <is>
          <t>ATF fuel!G218:I218</t>
        </is>
      </c>
      <c r="X2084">
        <f>(1+(R[0]C[-4]/R[-1]C[-4])-1)*R[-1]C[0]</f>
        <v/>
      </c>
    </row>
    <row r="2085">
      <c r="A2085" t="inlineStr">
        <is>
          <t>ATF fuel</t>
        </is>
      </c>
      <c r="B2085" t="inlineStr">
        <is>
          <t>H218</t>
        </is>
      </c>
      <c r="C2085" t="n">
        <v>218</v>
      </c>
      <c r="D2085" t="n">
        <v>8</v>
      </c>
      <c r="E2085" t="inlineStr">
        <is>
          <t>Calculation</t>
        </is>
      </c>
      <c r="F2085" t="inlineStr">
        <is>
          <t>'=(1+(D218/D217)-1)*H217</t>
        </is>
      </c>
      <c r="G2085" t="n">
        <v>67.67517850659577</v>
      </c>
      <c r="H2085" t="inlineStr"/>
      <c r="I2085" t="inlineStr">
        <is>
          <t>General</t>
        </is>
      </c>
      <c r="J2085" t="b">
        <v>0</v>
      </c>
      <c r="K2085" t="b">
        <v>0</v>
      </c>
      <c r="L2085" t="n">
        <v>11</v>
      </c>
      <c r="M2085" t="inlineStr">
        <is>
          <t>Values must be of type &lt;class 'str'&gt;</t>
        </is>
      </c>
      <c r="N2085" t="inlineStr">
        <is>
          <t>00000000</t>
        </is>
      </c>
      <c r="O2085" t="inlineStr">
        <is>
          <t>left</t>
        </is>
      </c>
      <c r="P2085" t="n">
        <v/>
      </c>
      <c r="R2085" t="b">
        <v>1</v>
      </c>
      <c r="S2085" t="inlineStr">
        <is>
          <t>G000377</t>
        </is>
      </c>
      <c r="T2085" t="inlineStr">
        <is>
          <t>Horizontal</t>
        </is>
      </c>
      <c r="U2085" t="n">
        <v>3</v>
      </c>
      <c r="V2085" t="b">
        <v>1</v>
      </c>
      <c r="W2085" t="inlineStr">
        <is>
          <t>ATF fuel!G218:I218</t>
        </is>
      </c>
      <c r="X2085">
        <f>(1+(R[0]C[-4]/R[-1]C[-4])-1)*R[-1]C[0]</f>
        <v/>
      </c>
    </row>
    <row r="2086">
      <c r="A2086" t="inlineStr">
        <is>
          <t>ATF fuel</t>
        </is>
      </c>
      <c r="B2086" t="inlineStr">
        <is>
          <t>I218</t>
        </is>
      </c>
      <c r="C2086" t="n">
        <v>218</v>
      </c>
      <c r="D2086" t="n">
        <v>9</v>
      </c>
      <c r="E2086" t="inlineStr">
        <is>
          <t>Calculation</t>
        </is>
      </c>
      <c r="F2086" t="inlineStr">
        <is>
          <t>'=(1+(E218/E217)-1)*I217</t>
        </is>
      </c>
      <c r="G2086" t="n">
        <v>63.76434401987461</v>
      </c>
      <c r="H2086" t="inlineStr"/>
      <c r="I2086" t="inlineStr">
        <is>
          <t>General</t>
        </is>
      </c>
      <c r="J2086" t="b">
        <v>0</v>
      </c>
      <c r="K2086" t="b">
        <v>0</v>
      </c>
      <c r="L2086" t="n">
        <v>11</v>
      </c>
      <c r="M2086" t="inlineStr">
        <is>
          <t>Values must be of type &lt;class 'str'&gt;</t>
        </is>
      </c>
      <c r="N2086" t="inlineStr">
        <is>
          <t>00000000</t>
        </is>
      </c>
      <c r="O2086" t="inlineStr">
        <is>
          <t>left</t>
        </is>
      </c>
      <c r="P2086" t="n">
        <v/>
      </c>
      <c r="R2086" t="b">
        <v>1</v>
      </c>
      <c r="S2086" t="inlineStr">
        <is>
          <t>G000377</t>
        </is>
      </c>
      <c r="T2086" t="inlineStr">
        <is>
          <t>Horizontal</t>
        </is>
      </c>
      <c r="U2086" t="n">
        <v>3</v>
      </c>
      <c r="V2086" t="b">
        <v>1</v>
      </c>
      <c r="W2086" t="inlineStr">
        <is>
          <t>ATF fuel!G218:I218</t>
        </is>
      </c>
      <c r="X2086">
        <f>(1+(R[0]C[-4]/R[-1]C[-4])-1)*R[-1]C[0]</f>
        <v/>
      </c>
    </row>
    <row r="2087">
      <c r="A2087" t="inlineStr">
        <is>
          <t>ATF fuel</t>
        </is>
      </c>
      <c r="B2087" t="inlineStr">
        <is>
          <t>J218</t>
        </is>
      </c>
      <c r="C2087" t="n">
        <v>218</v>
      </c>
      <c r="D2087" t="n">
        <v>10</v>
      </c>
      <c r="E2087" t="inlineStr">
        <is>
          <t>Output</t>
        </is>
      </c>
      <c r="F2087" t="inlineStr">
        <is>
          <t>'=G218/H218-1</t>
        </is>
      </c>
      <c r="G2087" t="n">
        <v>0.8592207197303496</v>
      </c>
      <c r="H2087" t="inlineStr"/>
      <c r="I2087" t="inlineStr">
        <is>
          <t>0.0%</t>
        </is>
      </c>
      <c r="J2087" t="b">
        <v>0</v>
      </c>
      <c r="K2087" t="b">
        <v>0</v>
      </c>
      <c r="L2087" t="n">
        <v>11</v>
      </c>
      <c r="M2087" t="inlineStr">
        <is>
          <t>Values must be of type &lt;class 'str'&gt;</t>
        </is>
      </c>
      <c r="N2087" t="inlineStr">
        <is>
          <t>00000000</t>
        </is>
      </c>
      <c r="O2087" t="n">
        <v/>
      </c>
      <c r="P2087" t="n">
        <v/>
      </c>
      <c r="R2087" t="b">
        <v>1</v>
      </c>
      <c r="S2087" t="inlineStr">
        <is>
          <t>G000295</t>
        </is>
      </c>
      <c r="T2087" t="inlineStr">
        <is>
          <t>Vertical</t>
        </is>
      </c>
      <c r="U2087" t="n">
        <v>93</v>
      </c>
      <c r="V2087" t="b">
        <v>1</v>
      </c>
      <c r="W2087" t="inlineStr">
        <is>
          <t>ATF fuel!J136:J228</t>
        </is>
      </c>
      <c r="X2087">
        <f>R[0]C[-3]/R[0]C[-2]-1</f>
        <v/>
      </c>
    </row>
    <row r="2088">
      <c r="A2088" t="inlineStr">
        <is>
          <t>ATF fuel</t>
        </is>
      </c>
      <c r="B2088" t="inlineStr">
        <is>
          <t>B219</t>
        </is>
      </c>
      <c r="C2088" t="n">
        <v>219</v>
      </c>
      <c r="D2088" t="n">
        <v>2</v>
      </c>
      <c r="E2088" t="inlineStr">
        <is>
          <t>Input</t>
        </is>
      </c>
      <c r="F2088" t="n">
        <v/>
      </c>
      <c r="G2088" t="inlineStr">
        <is>
          <t>March 01,2017</t>
        </is>
      </c>
      <c r="H2088" t="inlineStr"/>
      <c r="I2088" t="inlineStr">
        <is>
          <t>General</t>
        </is>
      </c>
      <c r="J2088" t="b">
        <v>0</v>
      </c>
      <c r="K2088" t="b">
        <v>0</v>
      </c>
      <c r="L2088" t="n">
        <v>11</v>
      </c>
      <c r="M2088" t="inlineStr">
        <is>
          <t>Values must be of type &lt;class 'str'&gt;</t>
        </is>
      </c>
      <c r="N2088" t="inlineStr">
        <is>
          <t>00000000</t>
        </is>
      </c>
      <c r="O2088" t="n">
        <v/>
      </c>
      <c r="P2088" t="n">
        <v/>
      </c>
      <c r="R2088" t="b">
        <v>1</v>
      </c>
      <c r="S2088" t="n">
        <v/>
      </c>
      <c r="T2088" t="n">
        <v/>
      </c>
      <c r="U2088" t="n">
        <v/>
      </c>
      <c r="V2088" t="b">
        <v>0</v>
      </c>
      <c r="W2088" t="inlineStr"/>
      <c r="X2088" t="n">
        <v/>
      </c>
    </row>
    <row r="2089">
      <c r="A2089" t="inlineStr">
        <is>
          <t>ATF fuel</t>
        </is>
      </c>
      <c r="B2089" t="inlineStr">
        <is>
          <t>C219</t>
        </is>
      </c>
      <c r="C2089" t="n">
        <v>219</v>
      </c>
      <c r="D2089" t="n">
        <v>3</v>
      </c>
      <c r="E2089" t="inlineStr">
        <is>
          <t>Input</t>
        </is>
      </c>
      <c r="F2089" t="n">
        <v/>
      </c>
      <c r="G2089" t="n">
        <v>56104.89999999999</v>
      </c>
      <c r="H2089" t="inlineStr"/>
      <c r="I2089" t="inlineStr">
        <is>
          <t>General</t>
        </is>
      </c>
      <c r="J2089" t="b">
        <v>0</v>
      </c>
      <c r="K2089" t="b">
        <v>0</v>
      </c>
      <c r="L2089" t="n">
        <v>11</v>
      </c>
      <c r="M2089" t="inlineStr">
        <is>
          <t>Values must be of type &lt;class 'str'&gt;</t>
        </is>
      </c>
      <c r="N2089" t="inlineStr">
        <is>
          <t>00000000</t>
        </is>
      </c>
      <c r="O2089" t="n">
        <v/>
      </c>
      <c r="P2089" t="n">
        <v/>
      </c>
      <c r="R2089" t="b">
        <v>1</v>
      </c>
      <c r="S2089" t="n">
        <v/>
      </c>
      <c r="T2089" t="n">
        <v/>
      </c>
      <c r="U2089" t="n">
        <v/>
      </c>
      <c r="V2089" t="b">
        <v>0</v>
      </c>
      <c r="W2089" t="inlineStr"/>
      <c r="X2089" t="n">
        <v/>
      </c>
    </row>
    <row r="2090">
      <c r="A2090" t="inlineStr">
        <is>
          <t>ATF fuel</t>
        </is>
      </c>
      <c r="B2090" t="inlineStr">
        <is>
          <t>D219</t>
        </is>
      </c>
      <c r="C2090" t="n">
        <v>219</v>
      </c>
      <c r="D2090" t="n">
        <v>4</v>
      </c>
      <c r="E2090" t="inlineStr">
        <is>
          <t>Input</t>
        </is>
      </c>
      <c r="F2090" t="n">
        <v/>
      </c>
      <c r="G2090" t="n">
        <v>54.16</v>
      </c>
      <c r="H2090" t="inlineStr"/>
      <c r="I2090" t="inlineStr">
        <is>
          <t>General</t>
        </is>
      </c>
      <c r="J2090" t="b">
        <v>0</v>
      </c>
      <c r="K2090" t="b">
        <v>0</v>
      </c>
      <c r="L2090" t="n">
        <v>11</v>
      </c>
      <c r="M2090" t="inlineStr">
        <is>
          <t>Values must be of type &lt;class 'str'&gt;</t>
        </is>
      </c>
      <c r="N2090" t="inlineStr">
        <is>
          <t>00000000</t>
        </is>
      </c>
      <c r="O2090" t="n">
        <v/>
      </c>
      <c r="P2090" t="n">
        <v/>
      </c>
      <c r="R2090" t="b">
        <v>1</v>
      </c>
      <c r="S2090" t="n">
        <v/>
      </c>
      <c r="T2090" t="n">
        <v/>
      </c>
      <c r="U2090" t="n">
        <v/>
      </c>
      <c r="V2090" t="b">
        <v>0</v>
      </c>
      <c r="W2090" t="inlineStr"/>
      <c r="X2090" t="n">
        <v/>
      </c>
    </row>
    <row r="2091">
      <c r="A2091" t="inlineStr">
        <is>
          <t>ATF fuel</t>
        </is>
      </c>
      <c r="B2091" t="inlineStr">
        <is>
          <t>E219</t>
        </is>
      </c>
      <c r="C2091" t="n">
        <v>219</v>
      </c>
      <c r="D2091" t="n">
        <v>5</v>
      </c>
      <c r="E2091" t="inlineStr">
        <is>
          <t>Input</t>
        </is>
      </c>
      <c r="F2091" t="n">
        <v/>
      </c>
      <c r="G2091" t="n">
        <v>53.82</v>
      </c>
      <c r="H2091" t="inlineStr"/>
      <c r="I2091" t="inlineStr">
        <is>
          <t>General</t>
        </is>
      </c>
      <c r="J2091" t="b">
        <v>0</v>
      </c>
      <c r="K2091" t="b">
        <v>0</v>
      </c>
      <c r="L2091" t="n">
        <v>11</v>
      </c>
      <c r="M2091" t="inlineStr">
        <is>
          <t>Values must be of type &lt;class 'str'&gt;</t>
        </is>
      </c>
      <c r="N2091" t="inlineStr">
        <is>
          <t>00000000</t>
        </is>
      </c>
      <c r="O2091" t="n">
        <v/>
      </c>
      <c r="P2091" t="n">
        <v/>
      </c>
      <c r="R2091" t="b">
        <v>1</v>
      </c>
      <c r="S2091" t="n">
        <v/>
      </c>
      <c r="T2091" t="n">
        <v/>
      </c>
      <c r="U2091" t="n">
        <v/>
      </c>
      <c r="V2091" t="b">
        <v>0</v>
      </c>
      <c r="W2091" t="inlineStr"/>
      <c r="X2091" t="n">
        <v/>
      </c>
    </row>
    <row r="2092">
      <c r="A2092" t="inlineStr">
        <is>
          <t>ATF fuel</t>
        </is>
      </c>
      <c r="B2092" t="inlineStr">
        <is>
          <t>F219</t>
        </is>
      </c>
      <c r="C2092" t="n">
        <v>219</v>
      </c>
      <c r="D2092" t="n">
        <v>6</v>
      </c>
      <c r="E2092" t="inlineStr">
        <is>
          <t>Input</t>
        </is>
      </c>
      <c r="F2092" t="n">
        <v/>
      </c>
      <c r="G2092" t="inlineStr">
        <is>
          <t>March 01,2017</t>
        </is>
      </c>
      <c r="H2092" t="inlineStr"/>
      <c r="I2092" t="inlineStr">
        <is>
          <t>General</t>
        </is>
      </c>
      <c r="J2092" t="b">
        <v>0</v>
      </c>
      <c r="K2092" t="b">
        <v>0</v>
      </c>
      <c r="L2092" t="n">
        <v>11</v>
      </c>
      <c r="M2092" t="inlineStr">
        <is>
          <t>Values must be of type &lt;class 'str'&gt;</t>
        </is>
      </c>
      <c r="N2092" t="inlineStr">
        <is>
          <t>00000000</t>
        </is>
      </c>
      <c r="O2092" t="inlineStr">
        <is>
          <t>left</t>
        </is>
      </c>
      <c r="P2092" t="n">
        <v/>
      </c>
      <c r="R2092" t="b">
        <v>1</v>
      </c>
      <c r="S2092" t="n">
        <v/>
      </c>
      <c r="T2092" t="n">
        <v/>
      </c>
      <c r="U2092" t="n">
        <v/>
      </c>
      <c r="V2092" t="b">
        <v>0</v>
      </c>
      <c r="W2092" t="inlineStr"/>
      <c r="X2092" t="n">
        <v/>
      </c>
    </row>
    <row r="2093">
      <c r="A2093" t="inlineStr">
        <is>
          <t>ATF fuel</t>
        </is>
      </c>
      <c r="B2093" t="inlineStr">
        <is>
          <t>G219</t>
        </is>
      </c>
      <c r="C2093" t="n">
        <v>219</v>
      </c>
      <c r="D2093" t="n">
        <v>7</v>
      </c>
      <c r="E2093" t="inlineStr">
        <is>
          <t>Calculation</t>
        </is>
      </c>
      <c r="F2093" t="inlineStr">
        <is>
          <t>'=(1+(C219/C218)-1)*G218</t>
        </is>
      </c>
      <c r="G2093" t="n">
        <v>126.4711910657822</v>
      </c>
      <c r="H2093" t="inlineStr"/>
      <c r="I2093" t="inlineStr">
        <is>
          <t>General</t>
        </is>
      </c>
      <c r="J2093" t="b">
        <v>0</v>
      </c>
      <c r="K2093" t="b">
        <v>0</v>
      </c>
      <c r="L2093" t="n">
        <v>11</v>
      </c>
      <c r="M2093" t="inlineStr">
        <is>
          <t>Values must be of type &lt;class 'str'&gt;</t>
        </is>
      </c>
      <c r="N2093" t="inlineStr">
        <is>
          <t>00000000</t>
        </is>
      </c>
      <c r="O2093" t="inlineStr">
        <is>
          <t>left</t>
        </is>
      </c>
      <c r="P2093" t="n">
        <v/>
      </c>
      <c r="R2093" t="b">
        <v>1</v>
      </c>
      <c r="S2093" t="inlineStr">
        <is>
          <t>G000378</t>
        </is>
      </c>
      <c r="T2093" t="inlineStr">
        <is>
          <t>Horizontal</t>
        </is>
      </c>
      <c r="U2093" t="n">
        <v>3</v>
      </c>
      <c r="V2093" t="b">
        <v>1</v>
      </c>
      <c r="W2093" t="inlineStr">
        <is>
          <t>ATF fuel!G219:I219</t>
        </is>
      </c>
      <c r="X2093">
        <f>(1+(R[0]C[-4]/R[-1]C[-4])-1)*R[-1]C[0]</f>
        <v/>
      </c>
    </row>
    <row r="2094">
      <c r="A2094" t="inlineStr">
        <is>
          <t>ATF fuel</t>
        </is>
      </c>
      <c r="B2094" t="inlineStr">
        <is>
          <t>H219</t>
        </is>
      </c>
      <c r="C2094" t="n">
        <v>219</v>
      </c>
      <c r="D2094" t="n">
        <v>8</v>
      </c>
      <c r="E2094" t="inlineStr">
        <is>
          <t>Calculation</t>
        </is>
      </c>
      <c r="F2094" t="inlineStr">
        <is>
          <t>'=(1+(D219/D218)-1)*H218</t>
        </is>
      </c>
      <c r="G2094" t="n">
        <v>65.54520150066571</v>
      </c>
      <c r="H2094" t="inlineStr"/>
      <c r="I2094" t="inlineStr">
        <is>
          <t>General</t>
        </is>
      </c>
      <c r="J2094" t="b">
        <v>0</v>
      </c>
      <c r="K2094" t="b">
        <v>0</v>
      </c>
      <c r="L2094" t="n">
        <v>11</v>
      </c>
      <c r="M2094" t="inlineStr">
        <is>
          <t>Values must be of type &lt;class 'str'&gt;</t>
        </is>
      </c>
      <c r="N2094" t="inlineStr">
        <is>
          <t>00000000</t>
        </is>
      </c>
      <c r="O2094" t="inlineStr">
        <is>
          <t>left</t>
        </is>
      </c>
      <c r="P2094" t="n">
        <v/>
      </c>
      <c r="R2094" t="b">
        <v>1</v>
      </c>
      <c r="S2094" t="inlineStr">
        <is>
          <t>G000378</t>
        </is>
      </c>
      <c r="T2094" t="inlineStr">
        <is>
          <t>Horizontal</t>
        </is>
      </c>
      <c r="U2094" t="n">
        <v>3</v>
      </c>
      <c r="V2094" t="b">
        <v>1</v>
      </c>
      <c r="W2094" t="inlineStr">
        <is>
          <t>ATF fuel!G219:I219</t>
        </is>
      </c>
      <c r="X2094">
        <f>(1+(R[0]C[-4]/R[-1]C[-4])-1)*R[-1]C[0]</f>
        <v/>
      </c>
    </row>
    <row r="2095">
      <c r="A2095" t="inlineStr">
        <is>
          <t>ATF fuel</t>
        </is>
      </c>
      <c r="B2095" t="inlineStr">
        <is>
          <t>I219</t>
        </is>
      </c>
      <c r="C2095" t="n">
        <v>219</v>
      </c>
      <c r="D2095" t="n">
        <v>9</v>
      </c>
      <c r="E2095" t="inlineStr">
        <is>
          <t>Calculation</t>
        </is>
      </c>
      <c r="F2095" t="inlineStr">
        <is>
          <t>'=(1+(E219/E218)-1)*I218</t>
        </is>
      </c>
      <c r="G2095" t="n">
        <v>63.66970306400096</v>
      </c>
      <c r="H2095" t="inlineStr"/>
      <c r="I2095" t="inlineStr">
        <is>
          <t>General</t>
        </is>
      </c>
      <c r="J2095" t="b">
        <v>0</v>
      </c>
      <c r="K2095" t="b">
        <v>0</v>
      </c>
      <c r="L2095" t="n">
        <v>11</v>
      </c>
      <c r="M2095" t="inlineStr">
        <is>
          <t>Values must be of type &lt;class 'str'&gt;</t>
        </is>
      </c>
      <c r="N2095" t="inlineStr">
        <is>
          <t>00000000</t>
        </is>
      </c>
      <c r="O2095" t="inlineStr">
        <is>
          <t>left</t>
        </is>
      </c>
      <c r="P2095" t="n">
        <v/>
      </c>
      <c r="R2095" t="b">
        <v>1</v>
      </c>
      <c r="S2095" t="inlineStr">
        <is>
          <t>G000378</t>
        </is>
      </c>
      <c r="T2095" t="inlineStr">
        <is>
          <t>Horizontal</t>
        </is>
      </c>
      <c r="U2095" t="n">
        <v>3</v>
      </c>
      <c r="V2095" t="b">
        <v>1</v>
      </c>
      <c r="W2095" t="inlineStr">
        <is>
          <t>ATF fuel!G219:I219</t>
        </is>
      </c>
      <c r="X2095">
        <f>(1+(R[0]C[-4]/R[-1]C[-4])-1)*R[-1]C[0]</f>
        <v/>
      </c>
    </row>
    <row r="2096">
      <c r="A2096" t="inlineStr">
        <is>
          <t>ATF fuel</t>
        </is>
      </c>
      <c r="B2096" t="inlineStr">
        <is>
          <t>J219</t>
        </is>
      </c>
      <c r="C2096" t="n">
        <v>219</v>
      </c>
      <c r="D2096" t="n">
        <v>10</v>
      </c>
      <c r="E2096" t="inlineStr">
        <is>
          <t>Output</t>
        </is>
      </c>
      <c r="F2096" t="inlineStr">
        <is>
          <t>'=G219/H219-1</t>
        </is>
      </c>
      <c r="G2096" t="n">
        <v>0.929526314210777</v>
      </c>
      <c r="H2096" t="inlineStr"/>
      <c r="I2096" t="inlineStr">
        <is>
          <t>0.0%</t>
        </is>
      </c>
      <c r="J2096" t="b">
        <v>0</v>
      </c>
      <c r="K2096" t="b">
        <v>0</v>
      </c>
      <c r="L2096" t="n">
        <v>11</v>
      </c>
      <c r="M2096" t="inlineStr">
        <is>
          <t>Values must be of type &lt;class 'str'&gt;</t>
        </is>
      </c>
      <c r="N2096" t="inlineStr">
        <is>
          <t>00000000</t>
        </is>
      </c>
      <c r="O2096" t="n">
        <v/>
      </c>
      <c r="P2096" t="n">
        <v/>
      </c>
      <c r="R2096" t="b">
        <v>1</v>
      </c>
      <c r="S2096" t="inlineStr">
        <is>
          <t>G000295</t>
        </is>
      </c>
      <c r="T2096" t="inlineStr">
        <is>
          <t>Vertical</t>
        </is>
      </c>
      <c r="U2096" t="n">
        <v>93</v>
      </c>
      <c r="V2096" t="b">
        <v>1</v>
      </c>
      <c r="W2096" t="inlineStr">
        <is>
          <t>ATF fuel!J136:J228</t>
        </is>
      </c>
      <c r="X2096">
        <f>R[0]C[-3]/R[0]C[-2]-1</f>
        <v/>
      </c>
    </row>
    <row r="2097">
      <c r="A2097" t="inlineStr">
        <is>
          <t>ATF fuel</t>
        </is>
      </c>
      <c r="B2097" t="inlineStr">
        <is>
          <t>B220</t>
        </is>
      </c>
      <c r="C2097" t="n">
        <v>220</v>
      </c>
      <c r="D2097" t="n">
        <v>2</v>
      </c>
      <c r="E2097" t="inlineStr">
        <is>
          <t>Input</t>
        </is>
      </c>
      <c r="F2097" t="n">
        <v/>
      </c>
      <c r="G2097" t="inlineStr">
        <is>
          <t>April 01, 2017</t>
        </is>
      </c>
      <c r="H2097" t="inlineStr"/>
      <c r="I2097" t="inlineStr">
        <is>
          <t>General</t>
        </is>
      </c>
      <c r="J2097" t="b">
        <v>0</v>
      </c>
      <c r="K2097" t="b">
        <v>0</v>
      </c>
      <c r="L2097" t="n">
        <v>11</v>
      </c>
      <c r="M2097" t="inlineStr">
        <is>
          <t>Values must be of type &lt;class 'str'&gt;</t>
        </is>
      </c>
      <c r="N2097" t="inlineStr">
        <is>
          <t>00000000</t>
        </is>
      </c>
      <c r="O2097" t="n">
        <v/>
      </c>
      <c r="P2097" t="n">
        <v/>
      </c>
      <c r="R2097" t="b">
        <v>1</v>
      </c>
      <c r="S2097" t="n">
        <v/>
      </c>
      <c r="T2097" t="n">
        <v/>
      </c>
      <c r="U2097" t="n">
        <v/>
      </c>
      <c r="V2097" t="b">
        <v>0</v>
      </c>
      <c r="W2097" t="inlineStr"/>
      <c r="X2097" t="n">
        <v/>
      </c>
    </row>
    <row r="2098">
      <c r="A2098" t="inlineStr">
        <is>
          <t>ATF fuel</t>
        </is>
      </c>
      <c r="B2098" t="inlineStr">
        <is>
          <t>C220</t>
        </is>
      </c>
      <c r="C2098" t="n">
        <v>220</v>
      </c>
      <c r="D2098" t="n">
        <v>3</v>
      </c>
      <c r="E2098" t="inlineStr">
        <is>
          <t>Input</t>
        </is>
      </c>
      <c r="F2098" t="n">
        <v/>
      </c>
      <c r="G2098" t="n">
        <v>53242.5</v>
      </c>
      <c r="H2098" t="inlineStr"/>
      <c r="I2098" t="inlineStr">
        <is>
          <t>General</t>
        </is>
      </c>
      <c r="J2098" t="b">
        <v>0</v>
      </c>
      <c r="K2098" t="b">
        <v>0</v>
      </c>
      <c r="L2098" t="n">
        <v>11</v>
      </c>
      <c r="M2098" t="inlineStr">
        <is>
          <t>Values must be of type &lt;class 'str'&gt;</t>
        </is>
      </c>
      <c r="N2098" t="inlineStr">
        <is>
          <t>00000000</t>
        </is>
      </c>
      <c r="O2098" t="n">
        <v/>
      </c>
      <c r="P2098" t="n">
        <v/>
      </c>
      <c r="R2098" t="b">
        <v>1</v>
      </c>
      <c r="S2098" t="n">
        <v/>
      </c>
      <c r="T2098" t="n">
        <v/>
      </c>
      <c r="U2098" t="n">
        <v/>
      </c>
      <c r="V2098" t="b">
        <v>0</v>
      </c>
      <c r="W2098" t="inlineStr"/>
      <c r="X2098" t="n">
        <v/>
      </c>
    </row>
    <row r="2099">
      <c r="A2099" t="inlineStr">
        <is>
          <t>ATF fuel</t>
        </is>
      </c>
      <c r="B2099" t="inlineStr">
        <is>
          <t>D220</t>
        </is>
      </c>
      <c r="C2099" t="n">
        <v>220</v>
      </c>
      <c r="D2099" t="n">
        <v>4</v>
      </c>
      <c r="E2099" t="inlineStr">
        <is>
          <t>Input</t>
        </is>
      </c>
      <c r="F2099" t="n">
        <v/>
      </c>
      <c r="G2099" t="n">
        <v>53.08</v>
      </c>
      <c r="H2099" t="inlineStr"/>
      <c r="I2099" t="inlineStr">
        <is>
          <t>General</t>
        </is>
      </c>
      <c r="J2099" t="b">
        <v>0</v>
      </c>
      <c r="K2099" t="b">
        <v>0</v>
      </c>
      <c r="L2099" t="n">
        <v>11</v>
      </c>
      <c r="M2099" t="inlineStr">
        <is>
          <t>Values must be of type &lt;class 'str'&gt;</t>
        </is>
      </c>
      <c r="N2099" t="inlineStr">
        <is>
          <t>00000000</t>
        </is>
      </c>
      <c r="O2099" t="n">
        <v/>
      </c>
      <c r="P2099" t="n">
        <v/>
      </c>
      <c r="R2099" t="b">
        <v>1</v>
      </c>
      <c r="S2099" t="n">
        <v/>
      </c>
      <c r="T2099" t="n">
        <v/>
      </c>
      <c r="U2099" t="n">
        <v/>
      </c>
      <c r="V2099" t="b">
        <v>0</v>
      </c>
      <c r="W2099" t="inlineStr"/>
      <c r="X2099" t="n">
        <v/>
      </c>
    </row>
    <row r="2100">
      <c r="A2100" t="inlineStr">
        <is>
          <t>ATF fuel</t>
        </is>
      </c>
      <c r="B2100" t="inlineStr">
        <is>
          <t>E220</t>
        </is>
      </c>
      <c r="C2100" t="n">
        <v>220</v>
      </c>
      <c r="D2100" t="n">
        <v>5</v>
      </c>
      <c r="E2100" t="inlineStr">
        <is>
          <t>Input</t>
        </is>
      </c>
      <c r="F2100" t="n">
        <v/>
      </c>
      <c r="G2100" t="n">
        <v>50.25</v>
      </c>
      <c r="H2100" t="inlineStr"/>
      <c r="I2100" t="inlineStr">
        <is>
          <t>General</t>
        </is>
      </c>
      <c r="J2100" t="b">
        <v>0</v>
      </c>
      <c r="K2100" t="b">
        <v>0</v>
      </c>
      <c r="L2100" t="n">
        <v>11</v>
      </c>
      <c r="M2100" t="inlineStr">
        <is>
          <t>Values must be of type &lt;class 'str'&gt;</t>
        </is>
      </c>
      <c r="N2100" t="inlineStr">
        <is>
          <t>00000000</t>
        </is>
      </c>
      <c r="O2100" t="n">
        <v/>
      </c>
      <c r="P2100" t="n">
        <v/>
      </c>
      <c r="R2100" t="b">
        <v>1</v>
      </c>
      <c r="S2100" t="n">
        <v/>
      </c>
      <c r="T2100" t="n">
        <v/>
      </c>
      <c r="U2100" t="n">
        <v/>
      </c>
      <c r="V2100" t="b">
        <v>0</v>
      </c>
      <c r="W2100" t="inlineStr"/>
      <c r="X2100" t="n">
        <v/>
      </c>
    </row>
    <row r="2101">
      <c r="A2101" t="inlineStr">
        <is>
          <t>ATF fuel</t>
        </is>
      </c>
      <c r="B2101" t="inlineStr">
        <is>
          <t>F220</t>
        </is>
      </c>
      <c r="C2101" t="n">
        <v>220</v>
      </c>
      <c r="D2101" t="n">
        <v>6</v>
      </c>
      <c r="E2101" t="inlineStr">
        <is>
          <t>Input</t>
        </is>
      </c>
      <c r="F2101" t="n">
        <v/>
      </c>
      <c r="G2101" t="inlineStr">
        <is>
          <t>April 01, 2017</t>
        </is>
      </c>
      <c r="H2101" t="inlineStr"/>
      <c r="I2101" t="inlineStr">
        <is>
          <t>General</t>
        </is>
      </c>
      <c r="J2101" t="b">
        <v>0</v>
      </c>
      <c r="K2101" t="b">
        <v>0</v>
      </c>
      <c r="L2101" t="n">
        <v>11</v>
      </c>
      <c r="M2101" t="inlineStr">
        <is>
          <t>Values must be of type &lt;class 'str'&gt;</t>
        </is>
      </c>
      <c r="N2101" t="inlineStr">
        <is>
          <t>00000000</t>
        </is>
      </c>
      <c r="O2101" t="inlineStr">
        <is>
          <t>left</t>
        </is>
      </c>
      <c r="P2101" t="n">
        <v/>
      </c>
      <c r="R2101" t="b">
        <v>1</v>
      </c>
      <c r="S2101" t="n">
        <v/>
      </c>
      <c r="T2101" t="n">
        <v/>
      </c>
      <c r="U2101" t="n">
        <v/>
      </c>
      <c r="V2101" t="b">
        <v>0</v>
      </c>
      <c r="W2101" t="inlineStr"/>
      <c r="X2101" t="n">
        <v/>
      </c>
    </row>
    <row r="2102">
      <c r="A2102" t="inlineStr">
        <is>
          <t>ATF fuel</t>
        </is>
      </c>
      <c r="B2102" t="inlineStr">
        <is>
          <t>G220</t>
        </is>
      </c>
      <c r="C2102" t="n">
        <v>220</v>
      </c>
      <c r="D2102" t="n">
        <v>7</v>
      </c>
      <c r="E2102" t="inlineStr">
        <is>
          <t>Calculation</t>
        </is>
      </c>
      <c r="F2102" t="inlineStr">
        <is>
          <t>'=(1+(C220/C219)-1)*G219</t>
        </is>
      </c>
      <c r="G2102" t="n">
        <v>120.0187931948887</v>
      </c>
      <c r="H2102" t="inlineStr"/>
      <c r="I2102" t="inlineStr">
        <is>
          <t>General</t>
        </is>
      </c>
      <c r="J2102" t="b">
        <v>0</v>
      </c>
      <c r="K2102" t="b">
        <v>0</v>
      </c>
      <c r="L2102" t="n">
        <v>11</v>
      </c>
      <c r="M2102" t="inlineStr">
        <is>
          <t>Values must be of type &lt;class 'str'&gt;</t>
        </is>
      </c>
      <c r="N2102" t="inlineStr">
        <is>
          <t>00000000</t>
        </is>
      </c>
      <c r="O2102" t="inlineStr">
        <is>
          <t>left</t>
        </is>
      </c>
      <c r="P2102" t="n">
        <v/>
      </c>
      <c r="R2102" t="b">
        <v>1</v>
      </c>
      <c r="S2102" t="inlineStr">
        <is>
          <t>G000379</t>
        </is>
      </c>
      <c r="T2102" t="inlineStr">
        <is>
          <t>Horizontal</t>
        </is>
      </c>
      <c r="U2102" t="n">
        <v>3</v>
      </c>
      <c r="V2102" t="b">
        <v>1</v>
      </c>
      <c r="W2102" t="inlineStr">
        <is>
          <t>ATF fuel!G220:I220</t>
        </is>
      </c>
      <c r="X2102">
        <f>(1+(R[0]C[-4]/R[-1]C[-4])-1)*R[-1]C[0]</f>
        <v/>
      </c>
    </row>
    <row r="2103">
      <c r="A2103" t="inlineStr">
        <is>
          <t>ATF fuel</t>
        </is>
      </c>
      <c r="B2103" t="inlineStr">
        <is>
          <t>H220</t>
        </is>
      </c>
      <c r="C2103" t="n">
        <v>220</v>
      </c>
      <c r="D2103" t="n">
        <v>8</v>
      </c>
      <c r="E2103" t="inlineStr">
        <is>
          <t>Calculation</t>
        </is>
      </c>
      <c r="F2103" t="inlineStr">
        <is>
          <t>'=(1+(D220/D219)-1)*H219</t>
        </is>
      </c>
      <c r="G2103" t="n">
        <v>64.23817015611773</v>
      </c>
      <c r="H2103" t="inlineStr"/>
      <c r="I2103" t="inlineStr">
        <is>
          <t>General</t>
        </is>
      </c>
      <c r="J2103" t="b">
        <v>0</v>
      </c>
      <c r="K2103" t="b">
        <v>0</v>
      </c>
      <c r="L2103" t="n">
        <v>11</v>
      </c>
      <c r="M2103" t="inlineStr">
        <is>
          <t>Values must be of type &lt;class 'str'&gt;</t>
        </is>
      </c>
      <c r="N2103" t="inlineStr">
        <is>
          <t>00000000</t>
        </is>
      </c>
      <c r="O2103" t="inlineStr">
        <is>
          <t>left</t>
        </is>
      </c>
      <c r="P2103" t="n">
        <v/>
      </c>
      <c r="R2103" t="b">
        <v>1</v>
      </c>
      <c r="S2103" t="inlineStr">
        <is>
          <t>G000379</t>
        </is>
      </c>
      <c r="T2103" t="inlineStr">
        <is>
          <t>Horizontal</t>
        </is>
      </c>
      <c r="U2103" t="n">
        <v>3</v>
      </c>
      <c r="V2103" t="b">
        <v>1</v>
      </c>
      <c r="W2103" t="inlineStr">
        <is>
          <t>ATF fuel!G220:I220</t>
        </is>
      </c>
      <c r="X2103">
        <f>(1+(R[0]C[-4]/R[-1]C[-4])-1)*R[-1]C[0]</f>
        <v/>
      </c>
    </row>
    <row r="2104">
      <c r="A2104" t="inlineStr">
        <is>
          <t>ATF fuel</t>
        </is>
      </c>
      <c r="B2104" t="inlineStr">
        <is>
          <t>I220</t>
        </is>
      </c>
      <c r="C2104" t="n">
        <v>220</v>
      </c>
      <c r="D2104" t="n">
        <v>9</v>
      </c>
      <c r="E2104" t="inlineStr">
        <is>
          <t>Calculation</t>
        </is>
      </c>
      <c r="F2104" t="inlineStr">
        <is>
          <t>'=(1+(E220/E219)-1)*I219</t>
        </is>
      </c>
      <c r="G2104" t="n">
        <v>59.44635040813915</v>
      </c>
      <c r="H2104" t="inlineStr"/>
      <c r="I2104" t="inlineStr">
        <is>
          <t>General</t>
        </is>
      </c>
      <c r="J2104" t="b">
        <v>0</v>
      </c>
      <c r="K2104" t="b">
        <v>0</v>
      </c>
      <c r="L2104" t="n">
        <v>11</v>
      </c>
      <c r="M2104" t="inlineStr">
        <is>
          <t>Values must be of type &lt;class 'str'&gt;</t>
        </is>
      </c>
      <c r="N2104" t="inlineStr">
        <is>
          <t>00000000</t>
        </is>
      </c>
      <c r="O2104" t="inlineStr">
        <is>
          <t>left</t>
        </is>
      </c>
      <c r="P2104" t="n">
        <v/>
      </c>
      <c r="R2104" t="b">
        <v>1</v>
      </c>
      <c r="S2104" t="inlineStr">
        <is>
          <t>G000379</t>
        </is>
      </c>
      <c r="T2104" t="inlineStr">
        <is>
          <t>Horizontal</t>
        </is>
      </c>
      <c r="U2104" t="n">
        <v>3</v>
      </c>
      <c r="V2104" t="b">
        <v>1</v>
      </c>
      <c r="W2104" t="inlineStr">
        <is>
          <t>ATF fuel!G220:I220</t>
        </is>
      </c>
      <c r="X2104">
        <f>(1+(R[0]C[-4]/R[-1]C[-4])-1)*R[-1]C[0]</f>
        <v/>
      </c>
    </row>
    <row r="2105">
      <c r="A2105" t="inlineStr">
        <is>
          <t>ATF fuel</t>
        </is>
      </c>
      <c r="B2105" t="inlineStr">
        <is>
          <t>J220</t>
        </is>
      </c>
      <c r="C2105" t="n">
        <v>220</v>
      </c>
      <c r="D2105" t="n">
        <v>10</v>
      </c>
      <c r="E2105" t="inlineStr">
        <is>
          <t>Output</t>
        </is>
      </c>
      <c r="F2105" t="inlineStr">
        <is>
          <t>'=G220/H220-1</t>
        </is>
      </c>
      <c r="G2105" t="n">
        <v>0.8683407840417552</v>
      </c>
      <c r="H2105" t="inlineStr"/>
      <c r="I2105" t="inlineStr">
        <is>
          <t>0.0%</t>
        </is>
      </c>
      <c r="J2105" t="b">
        <v>0</v>
      </c>
      <c r="K2105" t="b">
        <v>0</v>
      </c>
      <c r="L2105" t="n">
        <v>11</v>
      </c>
      <c r="M2105" t="inlineStr">
        <is>
          <t>Values must be of type &lt;class 'str'&gt;</t>
        </is>
      </c>
      <c r="N2105" t="inlineStr">
        <is>
          <t>00000000</t>
        </is>
      </c>
      <c r="O2105" t="n">
        <v/>
      </c>
      <c r="P2105" t="n">
        <v/>
      </c>
      <c r="R2105" t="b">
        <v>1</v>
      </c>
      <c r="S2105" t="inlineStr">
        <is>
          <t>G000295</t>
        </is>
      </c>
      <c r="T2105" t="inlineStr">
        <is>
          <t>Vertical</t>
        </is>
      </c>
      <c r="U2105" t="n">
        <v>93</v>
      </c>
      <c r="V2105" t="b">
        <v>1</v>
      </c>
      <c r="W2105" t="inlineStr">
        <is>
          <t>ATF fuel!J136:J228</t>
        </is>
      </c>
      <c r="X2105">
        <f>R[0]C[-3]/R[0]C[-2]-1</f>
        <v/>
      </c>
    </row>
    <row r="2106">
      <c r="A2106" t="inlineStr">
        <is>
          <t>ATF fuel</t>
        </is>
      </c>
      <c r="B2106" t="inlineStr">
        <is>
          <t>B221</t>
        </is>
      </c>
      <c r="C2106" t="n">
        <v>221</v>
      </c>
      <c r="D2106" t="n">
        <v>2</v>
      </c>
      <c r="E2106" t="inlineStr">
        <is>
          <t>Input</t>
        </is>
      </c>
      <c r="F2106" t="n">
        <v/>
      </c>
      <c r="G2106" t="inlineStr">
        <is>
          <t>May 01, 2017</t>
        </is>
      </c>
      <c r="H2106" t="inlineStr"/>
      <c r="I2106" t="inlineStr">
        <is>
          <t>General</t>
        </is>
      </c>
      <c r="J2106" t="b">
        <v>0</v>
      </c>
      <c r="K2106" t="b">
        <v>0</v>
      </c>
      <c r="L2106" t="n">
        <v>11</v>
      </c>
      <c r="M2106" t="inlineStr">
        <is>
          <t>Values must be of type &lt;class 'str'&gt;</t>
        </is>
      </c>
      <c r="N2106" t="inlineStr">
        <is>
          <t>00000000</t>
        </is>
      </c>
      <c r="O2106" t="n">
        <v/>
      </c>
      <c r="P2106" t="n">
        <v/>
      </c>
      <c r="R2106" t="b">
        <v>1</v>
      </c>
      <c r="S2106" t="n">
        <v/>
      </c>
      <c r="T2106" t="n">
        <v/>
      </c>
      <c r="U2106" t="n">
        <v/>
      </c>
      <c r="V2106" t="b">
        <v>0</v>
      </c>
      <c r="W2106" t="inlineStr"/>
      <c r="X2106" t="n">
        <v/>
      </c>
    </row>
    <row r="2107">
      <c r="A2107" t="inlineStr">
        <is>
          <t>ATF fuel</t>
        </is>
      </c>
      <c r="B2107" t="inlineStr">
        <is>
          <t>C221</t>
        </is>
      </c>
      <c r="C2107" t="n">
        <v>221</v>
      </c>
      <c r="D2107" t="n">
        <v>3</v>
      </c>
      <c r="E2107" t="inlineStr">
        <is>
          <t>Input</t>
        </is>
      </c>
      <c r="F2107" t="n">
        <v/>
      </c>
      <c r="G2107" t="n">
        <v>53435.25</v>
      </c>
      <c r="H2107" t="inlineStr"/>
      <c r="I2107" t="inlineStr">
        <is>
          <t>General</t>
        </is>
      </c>
      <c r="J2107" t="b">
        <v>0</v>
      </c>
      <c r="K2107" t="b">
        <v>0</v>
      </c>
      <c r="L2107" t="n">
        <v>11</v>
      </c>
      <c r="M2107" t="inlineStr">
        <is>
          <t>Values must be of type &lt;class 'str'&gt;</t>
        </is>
      </c>
      <c r="N2107" t="inlineStr">
        <is>
          <t>00000000</t>
        </is>
      </c>
      <c r="O2107" t="n">
        <v/>
      </c>
      <c r="P2107" t="n">
        <v/>
      </c>
      <c r="R2107" t="b">
        <v>1</v>
      </c>
      <c r="S2107" t="n">
        <v/>
      </c>
      <c r="T2107" t="n">
        <v/>
      </c>
      <c r="U2107" t="n">
        <v/>
      </c>
      <c r="V2107" t="b">
        <v>0</v>
      </c>
      <c r="W2107" t="inlineStr"/>
      <c r="X2107" t="n">
        <v/>
      </c>
    </row>
    <row r="2108">
      <c r="A2108" t="inlineStr">
        <is>
          <t>ATF fuel</t>
        </is>
      </c>
      <c r="B2108" t="inlineStr">
        <is>
          <t>D221</t>
        </is>
      </c>
      <c r="C2108" t="n">
        <v>221</v>
      </c>
      <c r="D2108" t="n">
        <v>4</v>
      </c>
      <c r="E2108" t="inlineStr">
        <is>
          <t>Input</t>
        </is>
      </c>
      <c r="F2108" t="n">
        <v/>
      </c>
      <c r="G2108" t="n">
        <v>49.31</v>
      </c>
      <c r="H2108" t="inlineStr"/>
      <c r="I2108" t="inlineStr">
        <is>
          <t>General</t>
        </is>
      </c>
      <c r="J2108" t="b">
        <v>0</v>
      </c>
      <c r="K2108" t="b">
        <v>0</v>
      </c>
      <c r="L2108" t="n">
        <v>11</v>
      </c>
      <c r="M2108" t="inlineStr">
        <is>
          <t>Values must be of type &lt;class 'str'&gt;</t>
        </is>
      </c>
      <c r="N2108" t="inlineStr">
        <is>
          <t>00000000</t>
        </is>
      </c>
      <c r="O2108" t="n">
        <v/>
      </c>
      <c r="P2108" t="n">
        <v/>
      </c>
      <c r="R2108" t="b">
        <v>1</v>
      </c>
      <c r="S2108" t="n">
        <v/>
      </c>
      <c r="T2108" t="n">
        <v/>
      </c>
      <c r="U2108" t="n">
        <v/>
      </c>
      <c r="V2108" t="b">
        <v>0</v>
      </c>
      <c r="W2108" t="inlineStr"/>
      <c r="X2108" t="n">
        <v/>
      </c>
    </row>
    <row r="2109">
      <c r="A2109" t="inlineStr">
        <is>
          <t>ATF fuel</t>
        </is>
      </c>
      <c r="B2109" t="inlineStr">
        <is>
          <t>E221</t>
        </is>
      </c>
      <c r="C2109" t="n">
        <v>221</v>
      </c>
      <c r="D2109" t="n">
        <v>5</v>
      </c>
      <c r="E2109" t="inlineStr">
        <is>
          <t>Input</t>
        </is>
      </c>
      <c r="F2109" t="n">
        <v/>
      </c>
      <c r="G2109" t="n">
        <v>48.83</v>
      </c>
      <c r="H2109" t="inlineStr"/>
      <c r="I2109" t="inlineStr">
        <is>
          <t>General</t>
        </is>
      </c>
      <c r="J2109" t="b">
        <v>0</v>
      </c>
      <c r="K2109" t="b">
        <v>0</v>
      </c>
      <c r="L2109" t="n">
        <v>11</v>
      </c>
      <c r="M2109" t="inlineStr">
        <is>
          <t>Values must be of type &lt;class 'str'&gt;</t>
        </is>
      </c>
      <c r="N2109" t="inlineStr">
        <is>
          <t>00000000</t>
        </is>
      </c>
      <c r="O2109" t="n">
        <v/>
      </c>
      <c r="P2109" t="n">
        <v/>
      </c>
      <c r="R2109" t="b">
        <v>1</v>
      </c>
      <c r="S2109" t="n">
        <v/>
      </c>
      <c r="T2109" t="n">
        <v/>
      </c>
      <c r="U2109" t="n">
        <v/>
      </c>
      <c r="V2109" t="b">
        <v>0</v>
      </c>
      <c r="W2109" t="inlineStr"/>
      <c r="X2109" t="n">
        <v/>
      </c>
    </row>
    <row r="2110">
      <c r="A2110" t="inlineStr">
        <is>
          <t>ATF fuel</t>
        </is>
      </c>
      <c r="B2110" t="inlineStr">
        <is>
          <t>F221</t>
        </is>
      </c>
      <c r="C2110" t="n">
        <v>221</v>
      </c>
      <c r="D2110" t="n">
        <v>6</v>
      </c>
      <c r="E2110" t="inlineStr">
        <is>
          <t>Input</t>
        </is>
      </c>
      <c r="F2110" t="n">
        <v/>
      </c>
      <c r="G2110" t="inlineStr">
        <is>
          <t>May 01, 2017</t>
        </is>
      </c>
      <c r="H2110" t="inlineStr"/>
      <c r="I2110" t="inlineStr">
        <is>
          <t>General</t>
        </is>
      </c>
      <c r="J2110" t="b">
        <v>0</v>
      </c>
      <c r="K2110" t="b">
        <v>0</v>
      </c>
      <c r="L2110" t="n">
        <v>11</v>
      </c>
      <c r="M2110" t="inlineStr">
        <is>
          <t>Values must be of type &lt;class 'str'&gt;</t>
        </is>
      </c>
      <c r="N2110" t="inlineStr">
        <is>
          <t>00000000</t>
        </is>
      </c>
      <c r="O2110" t="inlineStr">
        <is>
          <t>left</t>
        </is>
      </c>
      <c r="P2110" t="n">
        <v/>
      </c>
      <c r="R2110" t="b">
        <v>1</v>
      </c>
      <c r="S2110" t="n">
        <v/>
      </c>
      <c r="T2110" t="n">
        <v/>
      </c>
      <c r="U2110" t="n">
        <v/>
      </c>
      <c r="V2110" t="b">
        <v>0</v>
      </c>
      <c r="W2110" t="inlineStr"/>
      <c r="X2110" t="n">
        <v/>
      </c>
    </row>
    <row r="2111">
      <c r="A2111" t="inlineStr">
        <is>
          <t>ATF fuel</t>
        </is>
      </c>
      <c r="B2111" t="inlineStr">
        <is>
          <t>G221</t>
        </is>
      </c>
      <c r="C2111" t="n">
        <v>221</v>
      </c>
      <c r="D2111" t="n">
        <v>7</v>
      </c>
      <c r="E2111" t="inlineStr">
        <is>
          <t>Calculation</t>
        </is>
      </c>
      <c r="F2111" t="inlineStr">
        <is>
          <t>'=(1+(C221/C220)-1)*G220</t>
        </is>
      </c>
      <c r="G2111" t="n">
        <v>120.4532886146814</v>
      </c>
      <c r="H2111" t="inlineStr"/>
      <c r="I2111" t="inlineStr">
        <is>
          <t>General</t>
        </is>
      </c>
      <c r="J2111" t="b">
        <v>0</v>
      </c>
      <c r="K2111" t="b">
        <v>0</v>
      </c>
      <c r="L2111" t="n">
        <v>11</v>
      </c>
      <c r="M2111" t="inlineStr">
        <is>
          <t>Values must be of type &lt;class 'str'&gt;</t>
        </is>
      </c>
      <c r="N2111" t="inlineStr">
        <is>
          <t>00000000</t>
        </is>
      </c>
      <c r="O2111" t="inlineStr">
        <is>
          <t>left</t>
        </is>
      </c>
      <c r="P2111" t="n">
        <v/>
      </c>
      <c r="R2111" t="b">
        <v>1</v>
      </c>
      <c r="S2111" t="inlineStr">
        <is>
          <t>G000380</t>
        </is>
      </c>
      <c r="T2111" t="inlineStr">
        <is>
          <t>Horizontal</t>
        </is>
      </c>
      <c r="U2111" t="n">
        <v>3</v>
      </c>
      <c r="V2111" t="b">
        <v>1</v>
      </c>
      <c r="W2111" t="inlineStr">
        <is>
          <t>ATF fuel!G221:I221</t>
        </is>
      </c>
      <c r="X2111">
        <f>(1+(R[0]C[-4]/R[-1]C[-4])-1)*R[-1]C[0]</f>
        <v/>
      </c>
    </row>
    <row r="2112">
      <c r="A2112" t="inlineStr">
        <is>
          <t>ATF fuel</t>
        </is>
      </c>
      <c r="B2112" t="inlineStr">
        <is>
          <t>H221</t>
        </is>
      </c>
      <c r="C2112" t="n">
        <v>221</v>
      </c>
      <c r="D2112" t="n">
        <v>8</v>
      </c>
      <c r="E2112" t="inlineStr">
        <is>
          <t>Calculation</t>
        </is>
      </c>
      <c r="F2112" t="inlineStr">
        <is>
          <t>'=(1+(D221/D220)-1)*H220</t>
        </is>
      </c>
      <c r="G2112" t="n">
        <v>59.67566259227893</v>
      </c>
      <c r="H2112" t="inlineStr"/>
      <c r="I2112" t="inlineStr">
        <is>
          <t>General</t>
        </is>
      </c>
      <c r="J2112" t="b">
        <v>0</v>
      </c>
      <c r="K2112" t="b">
        <v>0</v>
      </c>
      <c r="L2112" t="n">
        <v>11</v>
      </c>
      <c r="M2112" t="inlineStr">
        <is>
          <t>Values must be of type &lt;class 'str'&gt;</t>
        </is>
      </c>
      <c r="N2112" t="inlineStr">
        <is>
          <t>00000000</t>
        </is>
      </c>
      <c r="O2112" t="inlineStr">
        <is>
          <t>left</t>
        </is>
      </c>
      <c r="P2112" t="n">
        <v/>
      </c>
      <c r="R2112" t="b">
        <v>1</v>
      </c>
      <c r="S2112" t="inlineStr">
        <is>
          <t>G000380</t>
        </is>
      </c>
      <c r="T2112" t="inlineStr">
        <is>
          <t>Horizontal</t>
        </is>
      </c>
      <c r="U2112" t="n">
        <v>3</v>
      </c>
      <c r="V2112" t="b">
        <v>1</v>
      </c>
      <c r="W2112" t="inlineStr">
        <is>
          <t>ATF fuel!G221:I221</t>
        </is>
      </c>
      <c r="X2112">
        <f>(1+(R[0]C[-4]/R[-1]C[-4])-1)*R[-1]C[0]</f>
        <v/>
      </c>
    </row>
    <row r="2113">
      <c r="A2113" t="inlineStr">
        <is>
          <t>ATF fuel</t>
        </is>
      </c>
      <c r="B2113" t="inlineStr">
        <is>
          <t>I221</t>
        </is>
      </c>
      <c r="C2113" t="n">
        <v>221</v>
      </c>
      <c r="D2113" t="n">
        <v>9</v>
      </c>
      <c r="E2113" t="inlineStr">
        <is>
          <t>Calculation</t>
        </is>
      </c>
      <c r="F2113" t="inlineStr">
        <is>
          <t>'=(1+(E221/E220)-1)*I220</t>
        </is>
      </c>
      <c r="G2113" t="n">
        <v>57.76647344138178</v>
      </c>
      <c r="H2113" t="inlineStr"/>
      <c r="I2113" t="inlineStr">
        <is>
          <t>General</t>
        </is>
      </c>
      <c r="J2113" t="b">
        <v>0</v>
      </c>
      <c r="K2113" t="b">
        <v>0</v>
      </c>
      <c r="L2113" t="n">
        <v>11</v>
      </c>
      <c r="M2113" t="inlineStr">
        <is>
          <t>Values must be of type &lt;class 'str'&gt;</t>
        </is>
      </c>
      <c r="N2113" t="inlineStr">
        <is>
          <t>00000000</t>
        </is>
      </c>
      <c r="O2113" t="inlineStr">
        <is>
          <t>left</t>
        </is>
      </c>
      <c r="P2113" t="n">
        <v/>
      </c>
      <c r="R2113" t="b">
        <v>1</v>
      </c>
      <c r="S2113" t="inlineStr">
        <is>
          <t>G000380</t>
        </is>
      </c>
      <c r="T2113" t="inlineStr">
        <is>
          <t>Horizontal</t>
        </is>
      </c>
      <c r="U2113" t="n">
        <v>3</v>
      </c>
      <c r="V2113" t="b">
        <v>1</v>
      </c>
      <c r="W2113" t="inlineStr">
        <is>
          <t>ATF fuel!G221:I221</t>
        </is>
      </c>
      <c r="X2113">
        <f>(1+(R[0]C[-4]/R[-1]C[-4])-1)*R[-1]C[0]</f>
        <v/>
      </c>
    </row>
    <row r="2114">
      <c r="A2114" t="inlineStr">
        <is>
          <t>ATF fuel</t>
        </is>
      </c>
      <c r="B2114" t="inlineStr">
        <is>
          <t>J221</t>
        </is>
      </c>
      <c r="C2114" t="n">
        <v>221</v>
      </c>
      <c r="D2114" t="n">
        <v>10</v>
      </c>
      <c r="E2114" t="inlineStr">
        <is>
          <t>Output</t>
        </is>
      </c>
      <c r="F2114" t="inlineStr">
        <is>
          <t>'=G221/H221-1</t>
        </is>
      </c>
      <c r="G2114" t="n">
        <v>1.018465876745307</v>
      </c>
      <c r="H2114" t="inlineStr"/>
      <c r="I2114" t="inlineStr">
        <is>
          <t>0.0%</t>
        </is>
      </c>
      <c r="J2114" t="b">
        <v>0</v>
      </c>
      <c r="K2114" t="b">
        <v>0</v>
      </c>
      <c r="L2114" t="n">
        <v>11</v>
      </c>
      <c r="M2114" t="inlineStr">
        <is>
          <t>Values must be of type &lt;class 'str'&gt;</t>
        </is>
      </c>
      <c r="N2114" t="inlineStr">
        <is>
          <t>00000000</t>
        </is>
      </c>
      <c r="O2114" t="n">
        <v/>
      </c>
      <c r="P2114" t="n">
        <v/>
      </c>
      <c r="R2114" t="b">
        <v>1</v>
      </c>
      <c r="S2114" t="inlineStr">
        <is>
          <t>G000295</t>
        </is>
      </c>
      <c r="T2114" t="inlineStr">
        <is>
          <t>Vertical</t>
        </is>
      </c>
      <c r="U2114" t="n">
        <v>93</v>
      </c>
      <c r="V2114" t="b">
        <v>1</v>
      </c>
      <c r="W2114" t="inlineStr">
        <is>
          <t>ATF fuel!J136:J228</t>
        </is>
      </c>
      <c r="X2114">
        <f>R[0]C[-3]/R[0]C[-2]-1</f>
        <v/>
      </c>
    </row>
    <row r="2115">
      <c r="A2115" t="inlineStr">
        <is>
          <t>ATF fuel</t>
        </is>
      </c>
      <c r="B2115" t="inlineStr">
        <is>
          <t>B222</t>
        </is>
      </c>
      <c r="C2115" t="n">
        <v>222</v>
      </c>
      <c r="D2115" t="n">
        <v>2</v>
      </c>
      <c r="E2115" t="inlineStr">
        <is>
          <t>Input</t>
        </is>
      </c>
      <c r="F2115" t="n">
        <v/>
      </c>
      <c r="G2115" t="inlineStr">
        <is>
          <t>June 01, 2017</t>
        </is>
      </c>
      <c r="H2115" t="inlineStr"/>
      <c r="I2115" t="inlineStr">
        <is>
          <t>General</t>
        </is>
      </c>
      <c r="J2115" t="b">
        <v>0</v>
      </c>
      <c r="K2115" t="b">
        <v>0</v>
      </c>
      <c r="L2115" t="n">
        <v>11</v>
      </c>
      <c r="M2115" t="inlineStr">
        <is>
          <t>Values must be of type &lt;class 'str'&gt;</t>
        </is>
      </c>
      <c r="N2115" t="inlineStr">
        <is>
          <t>00000000</t>
        </is>
      </c>
      <c r="O2115" t="n">
        <v/>
      </c>
      <c r="P2115" t="n">
        <v/>
      </c>
      <c r="R2115" t="b">
        <v>1</v>
      </c>
      <c r="S2115" t="n">
        <v/>
      </c>
      <c r="T2115" t="n">
        <v/>
      </c>
      <c r="U2115" t="n">
        <v/>
      </c>
      <c r="V2115" t="b">
        <v>0</v>
      </c>
      <c r="W2115" t="inlineStr"/>
      <c r="X2115" t="n">
        <v/>
      </c>
    </row>
    <row r="2116">
      <c r="A2116" t="inlineStr">
        <is>
          <t>ATF fuel</t>
        </is>
      </c>
      <c r="B2116" t="inlineStr">
        <is>
          <t>C222</t>
        </is>
      </c>
      <c r="C2116" t="n">
        <v>222</v>
      </c>
      <c r="D2116" t="n">
        <v>3</v>
      </c>
      <c r="E2116" t="inlineStr">
        <is>
          <t>Input</t>
        </is>
      </c>
      <c r="F2116" t="n">
        <v/>
      </c>
      <c r="G2116" t="n">
        <v>51442.25</v>
      </c>
      <c r="H2116" t="inlineStr"/>
      <c r="I2116" t="inlineStr">
        <is>
          <t>General</t>
        </is>
      </c>
      <c r="J2116" t="b">
        <v>0</v>
      </c>
      <c r="K2116" t="b">
        <v>0</v>
      </c>
      <c r="L2116" t="n">
        <v>11</v>
      </c>
      <c r="M2116" t="inlineStr">
        <is>
          <t>Values must be of type &lt;class 'str'&gt;</t>
        </is>
      </c>
      <c r="N2116" t="inlineStr">
        <is>
          <t>00000000</t>
        </is>
      </c>
      <c r="O2116" t="n">
        <v/>
      </c>
      <c r="P2116" t="n">
        <v/>
      </c>
      <c r="R2116" t="b">
        <v>1</v>
      </c>
      <c r="S2116" t="n">
        <v/>
      </c>
      <c r="T2116" t="n">
        <v/>
      </c>
      <c r="U2116" t="n">
        <v/>
      </c>
      <c r="V2116" t="b">
        <v>0</v>
      </c>
      <c r="W2116" t="inlineStr"/>
      <c r="X2116" t="n">
        <v/>
      </c>
    </row>
    <row r="2117">
      <c r="A2117" t="inlineStr">
        <is>
          <t>ATF fuel</t>
        </is>
      </c>
      <c r="B2117" t="inlineStr">
        <is>
          <t>D222</t>
        </is>
      </c>
      <c r="C2117" t="n">
        <v>222</v>
      </c>
      <c r="D2117" t="n">
        <v>4</v>
      </c>
      <c r="E2117" t="inlineStr">
        <is>
          <t>Input</t>
        </is>
      </c>
      <c r="F2117" t="n">
        <v/>
      </c>
      <c r="G2117" t="n">
        <v>50.41</v>
      </c>
      <c r="H2117" t="inlineStr"/>
      <c r="I2117" t="inlineStr">
        <is>
          <t>General</t>
        </is>
      </c>
      <c r="J2117" t="b">
        <v>0</v>
      </c>
      <c r="K2117" t="b">
        <v>0</v>
      </c>
      <c r="L2117" t="n">
        <v>11</v>
      </c>
      <c r="M2117" t="inlineStr">
        <is>
          <t>Values must be of type &lt;class 'str'&gt;</t>
        </is>
      </c>
      <c r="N2117" t="inlineStr">
        <is>
          <t>00000000</t>
        </is>
      </c>
      <c r="O2117" t="n">
        <v/>
      </c>
      <c r="P2117" t="n">
        <v/>
      </c>
      <c r="R2117" t="b">
        <v>1</v>
      </c>
      <c r="S2117" t="n">
        <v/>
      </c>
      <c r="T2117" t="n">
        <v/>
      </c>
      <c r="U2117" t="n">
        <v/>
      </c>
      <c r="V2117" t="b">
        <v>0</v>
      </c>
      <c r="W2117" t="inlineStr"/>
      <c r="X2117" t="n">
        <v/>
      </c>
    </row>
    <row r="2118">
      <c r="A2118" t="inlineStr">
        <is>
          <t>ATF fuel</t>
        </is>
      </c>
      <c r="B2118" t="inlineStr">
        <is>
          <t>E222</t>
        </is>
      </c>
      <c r="C2118" t="n">
        <v>222</v>
      </c>
      <c r="D2118" t="n">
        <v>5</v>
      </c>
      <c r="E2118" t="inlineStr">
        <is>
          <t>Input</t>
        </is>
      </c>
      <c r="F2118" t="n">
        <v/>
      </c>
      <c r="G2118" t="n">
        <v>48.32</v>
      </c>
      <c r="H2118" t="inlineStr"/>
      <c r="I2118" t="inlineStr">
        <is>
          <t>General</t>
        </is>
      </c>
      <c r="J2118" t="b">
        <v>0</v>
      </c>
      <c r="K2118" t="b">
        <v>0</v>
      </c>
      <c r="L2118" t="n">
        <v>11</v>
      </c>
      <c r="M2118" t="inlineStr">
        <is>
          <t>Values must be of type &lt;class 'str'&gt;</t>
        </is>
      </c>
      <c r="N2118" t="inlineStr">
        <is>
          <t>00000000</t>
        </is>
      </c>
      <c r="O2118" t="n">
        <v/>
      </c>
      <c r="P2118" t="n">
        <v/>
      </c>
      <c r="R2118" t="b">
        <v>1</v>
      </c>
      <c r="S2118" t="n">
        <v/>
      </c>
      <c r="T2118" t="n">
        <v/>
      </c>
      <c r="U2118" t="n">
        <v/>
      </c>
      <c r="V2118" t="b">
        <v>0</v>
      </c>
      <c r="W2118" t="inlineStr"/>
      <c r="X2118" t="n">
        <v/>
      </c>
    </row>
    <row r="2119">
      <c r="A2119" t="inlineStr">
        <is>
          <t>ATF fuel</t>
        </is>
      </c>
      <c r="B2119" t="inlineStr">
        <is>
          <t>F222</t>
        </is>
      </c>
      <c r="C2119" t="n">
        <v>222</v>
      </c>
      <c r="D2119" t="n">
        <v>6</v>
      </c>
      <c r="E2119" t="inlineStr">
        <is>
          <t>Input</t>
        </is>
      </c>
      <c r="F2119" t="n">
        <v/>
      </c>
      <c r="G2119" t="inlineStr">
        <is>
          <t>June 01, 2017</t>
        </is>
      </c>
      <c r="H2119" t="inlineStr"/>
      <c r="I2119" t="inlineStr">
        <is>
          <t>General</t>
        </is>
      </c>
      <c r="J2119" t="b">
        <v>0</v>
      </c>
      <c r="K2119" t="b">
        <v>0</v>
      </c>
      <c r="L2119" t="n">
        <v>11</v>
      </c>
      <c r="M2119" t="inlineStr">
        <is>
          <t>Values must be of type &lt;class 'str'&gt;</t>
        </is>
      </c>
      <c r="N2119" t="inlineStr">
        <is>
          <t>00000000</t>
        </is>
      </c>
      <c r="O2119" t="inlineStr">
        <is>
          <t>left</t>
        </is>
      </c>
      <c r="P2119" t="n">
        <v/>
      </c>
      <c r="R2119" t="b">
        <v>1</v>
      </c>
      <c r="S2119" t="n">
        <v/>
      </c>
      <c r="T2119" t="n">
        <v/>
      </c>
      <c r="U2119" t="n">
        <v/>
      </c>
      <c r="V2119" t="b">
        <v>0</v>
      </c>
      <c r="W2119" t="inlineStr"/>
      <c r="X2119" t="n">
        <v/>
      </c>
    </row>
    <row r="2120">
      <c r="A2120" t="inlineStr">
        <is>
          <t>ATF fuel</t>
        </is>
      </c>
      <c r="B2120" t="inlineStr">
        <is>
          <t>G222</t>
        </is>
      </c>
      <c r="C2120" t="n">
        <v>222</v>
      </c>
      <c r="D2120" t="n">
        <v>7</v>
      </c>
      <c r="E2120" t="inlineStr">
        <is>
          <t>Calculation</t>
        </is>
      </c>
      <c r="F2120" t="inlineStr">
        <is>
          <t>'=(1+(C222/C221)-1)*G221</t>
        </is>
      </c>
      <c r="G2120" t="n">
        <v>115.9606848707285</v>
      </c>
      <c r="H2120" t="inlineStr"/>
      <c r="I2120" t="inlineStr">
        <is>
          <t>General</t>
        </is>
      </c>
      <c r="J2120" t="b">
        <v>0</v>
      </c>
      <c r="K2120" t="b">
        <v>0</v>
      </c>
      <c r="L2120" t="n">
        <v>11</v>
      </c>
      <c r="M2120" t="inlineStr">
        <is>
          <t>Values must be of type &lt;class 'str'&gt;</t>
        </is>
      </c>
      <c r="N2120" t="inlineStr">
        <is>
          <t>00000000</t>
        </is>
      </c>
      <c r="O2120" t="inlineStr">
        <is>
          <t>left</t>
        </is>
      </c>
      <c r="P2120" t="n">
        <v/>
      </c>
      <c r="R2120" t="b">
        <v>1</v>
      </c>
      <c r="S2120" t="inlineStr">
        <is>
          <t>G000381</t>
        </is>
      </c>
      <c r="T2120" t="inlineStr">
        <is>
          <t>Horizontal</t>
        </is>
      </c>
      <c r="U2120" t="n">
        <v>3</v>
      </c>
      <c r="V2120" t="b">
        <v>1</v>
      </c>
      <c r="W2120" t="inlineStr">
        <is>
          <t>ATF fuel!G222:I222</t>
        </is>
      </c>
      <c r="X2120">
        <f>(1+(R[0]C[-4]/R[-1]C[-4])-1)*R[-1]C[0]</f>
        <v/>
      </c>
    </row>
    <row r="2121">
      <c r="A2121" t="inlineStr">
        <is>
          <t>ATF fuel</t>
        </is>
      </c>
      <c r="B2121" t="inlineStr">
        <is>
          <t>H222</t>
        </is>
      </c>
      <c r="C2121" t="n">
        <v>222</v>
      </c>
      <c r="D2121" t="n">
        <v>8</v>
      </c>
      <c r="E2121" t="inlineStr">
        <is>
          <t>Calculation</t>
        </is>
      </c>
      <c r="F2121" t="inlineStr">
        <is>
          <t>'=(1+(D222/D221)-1)*H221</t>
        </is>
      </c>
      <c r="G2121" t="n">
        <v>61.00689822098522</v>
      </c>
      <c r="H2121" t="inlineStr"/>
      <c r="I2121" t="inlineStr">
        <is>
          <t>General</t>
        </is>
      </c>
      <c r="J2121" t="b">
        <v>0</v>
      </c>
      <c r="K2121" t="b">
        <v>0</v>
      </c>
      <c r="L2121" t="n">
        <v>11</v>
      </c>
      <c r="M2121" t="inlineStr">
        <is>
          <t>Values must be of type &lt;class 'str'&gt;</t>
        </is>
      </c>
      <c r="N2121" t="inlineStr">
        <is>
          <t>00000000</t>
        </is>
      </c>
      <c r="O2121" t="inlineStr">
        <is>
          <t>left</t>
        </is>
      </c>
      <c r="P2121" t="n">
        <v/>
      </c>
      <c r="R2121" t="b">
        <v>1</v>
      </c>
      <c r="S2121" t="inlineStr">
        <is>
          <t>G000381</t>
        </is>
      </c>
      <c r="T2121" t="inlineStr">
        <is>
          <t>Horizontal</t>
        </is>
      </c>
      <c r="U2121" t="n">
        <v>3</v>
      </c>
      <c r="V2121" t="b">
        <v>1</v>
      </c>
      <c r="W2121" t="inlineStr">
        <is>
          <t>ATF fuel!G222:I222</t>
        </is>
      </c>
      <c r="X2121">
        <f>(1+(R[0]C[-4]/R[-1]C[-4])-1)*R[-1]C[0]</f>
        <v/>
      </c>
    </row>
    <row r="2122">
      <c r="A2122" t="inlineStr">
        <is>
          <t>ATF fuel</t>
        </is>
      </c>
      <c r="B2122" t="inlineStr">
        <is>
          <t>I222</t>
        </is>
      </c>
      <c r="C2122" t="n">
        <v>222</v>
      </c>
      <c r="D2122" t="n">
        <v>9</v>
      </c>
      <c r="E2122" t="inlineStr">
        <is>
          <t>Calculation</t>
        </is>
      </c>
      <c r="F2122" t="inlineStr">
        <is>
          <t>'=(1+(E222/E221)-1)*I221</t>
        </is>
      </c>
      <c r="G2122" t="n">
        <v>57.16313734768723</v>
      </c>
      <c r="H2122" t="inlineStr"/>
      <c r="I2122" t="inlineStr">
        <is>
          <t>General</t>
        </is>
      </c>
      <c r="J2122" t="b">
        <v>0</v>
      </c>
      <c r="K2122" t="b">
        <v>0</v>
      </c>
      <c r="L2122" t="n">
        <v>11</v>
      </c>
      <c r="M2122" t="inlineStr">
        <is>
          <t>Values must be of type &lt;class 'str'&gt;</t>
        </is>
      </c>
      <c r="N2122" t="inlineStr">
        <is>
          <t>00000000</t>
        </is>
      </c>
      <c r="O2122" t="inlineStr">
        <is>
          <t>left</t>
        </is>
      </c>
      <c r="P2122" t="n">
        <v/>
      </c>
      <c r="R2122" t="b">
        <v>1</v>
      </c>
      <c r="S2122" t="inlineStr">
        <is>
          <t>G000381</t>
        </is>
      </c>
      <c r="T2122" t="inlineStr">
        <is>
          <t>Horizontal</t>
        </is>
      </c>
      <c r="U2122" t="n">
        <v>3</v>
      </c>
      <c r="V2122" t="b">
        <v>1</v>
      </c>
      <c r="W2122" t="inlineStr">
        <is>
          <t>ATF fuel!G222:I222</t>
        </is>
      </c>
      <c r="X2122">
        <f>(1+(R[0]C[-4]/R[-1]C[-4])-1)*R[-1]C[0]</f>
        <v/>
      </c>
    </row>
    <row r="2123">
      <c r="A2123" t="inlineStr">
        <is>
          <t>ATF fuel</t>
        </is>
      </c>
      <c r="B2123" t="inlineStr">
        <is>
          <t>J222</t>
        </is>
      </c>
      <c r="C2123" t="n">
        <v>222</v>
      </c>
      <c r="D2123" t="n">
        <v>10</v>
      </c>
      <c r="E2123" t="inlineStr">
        <is>
          <t>Output</t>
        </is>
      </c>
      <c r="F2123" t="inlineStr">
        <is>
          <t>'=G222/H222-1</t>
        </is>
      </c>
      <c r="G2123" t="n">
        <v>0.9007798831319733</v>
      </c>
      <c r="H2123" t="inlineStr"/>
      <c r="I2123" t="inlineStr">
        <is>
          <t>0.0%</t>
        </is>
      </c>
      <c r="J2123" t="b">
        <v>0</v>
      </c>
      <c r="K2123" t="b">
        <v>0</v>
      </c>
      <c r="L2123" t="n">
        <v>11</v>
      </c>
      <c r="M2123" t="inlineStr">
        <is>
          <t>Values must be of type &lt;class 'str'&gt;</t>
        </is>
      </c>
      <c r="N2123" t="inlineStr">
        <is>
          <t>00000000</t>
        </is>
      </c>
      <c r="O2123" t="n">
        <v/>
      </c>
      <c r="P2123" t="n">
        <v/>
      </c>
      <c r="R2123" t="b">
        <v>1</v>
      </c>
      <c r="S2123" t="inlineStr">
        <is>
          <t>G000295</t>
        </is>
      </c>
      <c r="T2123" t="inlineStr">
        <is>
          <t>Vertical</t>
        </is>
      </c>
      <c r="U2123" t="n">
        <v>93</v>
      </c>
      <c r="V2123" t="b">
        <v>1</v>
      </c>
      <c r="W2123" t="inlineStr">
        <is>
          <t>ATF fuel!J136:J228</t>
        </is>
      </c>
      <c r="X2123">
        <f>R[0]C[-3]/R[0]C[-2]-1</f>
        <v/>
      </c>
    </row>
    <row r="2124">
      <c r="A2124" t="inlineStr">
        <is>
          <t>ATF fuel</t>
        </is>
      </c>
      <c r="B2124" t="inlineStr">
        <is>
          <t>B223</t>
        </is>
      </c>
      <c r="C2124" t="n">
        <v>223</v>
      </c>
      <c r="D2124" t="n">
        <v>2</v>
      </c>
      <c r="E2124" t="inlineStr">
        <is>
          <t>Input</t>
        </is>
      </c>
      <c r="F2124" t="n">
        <v/>
      </c>
      <c r="G2124" t="inlineStr">
        <is>
          <t>July 01, 2017</t>
        </is>
      </c>
      <c r="H2124" t="inlineStr"/>
      <c r="I2124" t="inlineStr">
        <is>
          <t>General</t>
        </is>
      </c>
      <c r="J2124" t="b">
        <v>0</v>
      </c>
      <c r="K2124" t="b">
        <v>0</v>
      </c>
      <c r="L2124" t="n">
        <v>11</v>
      </c>
      <c r="M2124" t="inlineStr">
        <is>
          <t>Values must be of type &lt;class 'str'&gt;</t>
        </is>
      </c>
      <c r="N2124" t="inlineStr">
        <is>
          <t>00000000</t>
        </is>
      </c>
      <c r="O2124" t="n">
        <v/>
      </c>
      <c r="P2124" t="n">
        <v/>
      </c>
      <c r="R2124" t="b">
        <v>1</v>
      </c>
      <c r="S2124" t="n">
        <v/>
      </c>
      <c r="T2124" t="n">
        <v/>
      </c>
      <c r="U2124" t="n">
        <v/>
      </c>
      <c r="V2124" t="b">
        <v>0</v>
      </c>
      <c r="W2124" t="inlineStr"/>
      <c r="X2124" t="n">
        <v/>
      </c>
    </row>
    <row r="2125">
      <c r="A2125" t="inlineStr">
        <is>
          <t>ATF fuel</t>
        </is>
      </c>
      <c r="B2125" t="inlineStr">
        <is>
          <t>C223</t>
        </is>
      </c>
      <c r="C2125" t="n">
        <v>223</v>
      </c>
      <c r="D2125" t="n">
        <v>3</v>
      </c>
      <c r="E2125" t="inlineStr">
        <is>
          <t>Input</t>
        </is>
      </c>
      <c r="F2125" t="n">
        <v/>
      </c>
      <c r="G2125" t="n">
        <v>48646.25</v>
      </c>
      <c r="H2125" t="inlineStr"/>
      <c r="I2125" t="inlineStr">
        <is>
          <t>General</t>
        </is>
      </c>
      <c r="J2125" t="b">
        <v>0</v>
      </c>
      <c r="K2125" t="b">
        <v>0</v>
      </c>
      <c r="L2125" t="n">
        <v>11</v>
      </c>
      <c r="M2125" t="inlineStr">
        <is>
          <t>Values must be of type &lt;class 'str'&gt;</t>
        </is>
      </c>
      <c r="N2125" t="inlineStr">
        <is>
          <t>00000000</t>
        </is>
      </c>
      <c r="O2125" t="n">
        <v/>
      </c>
      <c r="P2125" t="n">
        <v/>
      </c>
      <c r="R2125" t="b">
        <v>1</v>
      </c>
      <c r="S2125" t="n">
        <v/>
      </c>
      <c r="T2125" t="n">
        <v/>
      </c>
      <c r="U2125" t="n">
        <v/>
      </c>
      <c r="V2125" t="b">
        <v>0</v>
      </c>
      <c r="W2125" t="inlineStr"/>
      <c r="X2125" t="n">
        <v/>
      </c>
    </row>
    <row r="2126">
      <c r="A2126" t="inlineStr">
        <is>
          <t>ATF fuel</t>
        </is>
      </c>
      <c r="B2126" t="inlineStr">
        <is>
          <t>D223</t>
        </is>
      </c>
      <c r="C2126" t="n">
        <v>223</v>
      </c>
      <c r="D2126" t="n">
        <v>4</v>
      </c>
      <c r="E2126" t="inlineStr">
        <is>
          <t>Input</t>
        </is>
      </c>
      <c r="F2126" t="n">
        <v/>
      </c>
      <c r="G2126" t="n">
        <v>49.13</v>
      </c>
      <c r="H2126" t="inlineStr"/>
      <c r="I2126" t="inlineStr">
        <is>
          <t>General</t>
        </is>
      </c>
      <c r="J2126" t="b">
        <v>0</v>
      </c>
      <c r="K2126" t="b">
        <v>0</v>
      </c>
      <c r="L2126" t="n">
        <v>11</v>
      </c>
      <c r="M2126" t="inlineStr">
        <is>
          <t>Values must be of type &lt;class 'str'&gt;</t>
        </is>
      </c>
      <c r="N2126" t="inlineStr">
        <is>
          <t>00000000</t>
        </is>
      </c>
      <c r="O2126" t="n">
        <v/>
      </c>
      <c r="P2126" t="n">
        <v/>
      </c>
      <c r="R2126" t="b">
        <v>1</v>
      </c>
      <c r="S2126" t="n">
        <v/>
      </c>
      <c r="T2126" t="n">
        <v/>
      </c>
      <c r="U2126" t="n">
        <v/>
      </c>
      <c r="V2126" t="b">
        <v>0</v>
      </c>
      <c r="W2126" t="inlineStr"/>
      <c r="X2126" t="n">
        <v/>
      </c>
    </row>
    <row r="2127">
      <c r="A2127" t="inlineStr">
        <is>
          <t>ATF fuel</t>
        </is>
      </c>
      <c r="B2127" t="inlineStr">
        <is>
          <t>E223</t>
        </is>
      </c>
      <c r="C2127" t="n">
        <v>223</v>
      </c>
      <c r="D2127" t="n">
        <v>5</v>
      </c>
      <c r="E2127" t="inlineStr">
        <is>
          <t>Input</t>
        </is>
      </c>
      <c r="F2127" t="n">
        <v/>
      </c>
      <c r="G2127" t="n">
        <v>46.02</v>
      </c>
      <c r="H2127" t="inlineStr"/>
      <c r="I2127" t="inlineStr">
        <is>
          <t>General</t>
        </is>
      </c>
      <c r="J2127" t="b">
        <v>0</v>
      </c>
      <c r="K2127" t="b">
        <v>0</v>
      </c>
      <c r="L2127" t="n">
        <v>11</v>
      </c>
      <c r="M2127" t="inlineStr">
        <is>
          <t>Values must be of type &lt;class 'str'&gt;</t>
        </is>
      </c>
      <c r="N2127" t="inlineStr">
        <is>
          <t>00000000</t>
        </is>
      </c>
      <c r="O2127" t="n">
        <v/>
      </c>
      <c r="P2127" t="n">
        <v/>
      </c>
      <c r="R2127" t="b">
        <v>1</v>
      </c>
      <c r="S2127" t="n">
        <v/>
      </c>
      <c r="T2127" t="n">
        <v/>
      </c>
      <c r="U2127" t="n">
        <v/>
      </c>
      <c r="V2127" t="b">
        <v>0</v>
      </c>
      <c r="W2127" t="inlineStr"/>
      <c r="X2127" t="n">
        <v/>
      </c>
    </row>
    <row r="2128">
      <c r="A2128" t="inlineStr">
        <is>
          <t>ATF fuel</t>
        </is>
      </c>
      <c r="B2128" t="inlineStr">
        <is>
          <t>F223</t>
        </is>
      </c>
      <c r="C2128" t="n">
        <v>223</v>
      </c>
      <c r="D2128" t="n">
        <v>6</v>
      </c>
      <c r="E2128" t="inlineStr">
        <is>
          <t>Input</t>
        </is>
      </c>
      <c r="F2128" t="n">
        <v/>
      </c>
      <c r="G2128" t="inlineStr">
        <is>
          <t>July 01, 2017</t>
        </is>
      </c>
      <c r="H2128" t="inlineStr"/>
      <c r="I2128" t="inlineStr">
        <is>
          <t>General</t>
        </is>
      </c>
      <c r="J2128" t="b">
        <v>0</v>
      </c>
      <c r="K2128" t="b">
        <v>0</v>
      </c>
      <c r="L2128" t="n">
        <v>11</v>
      </c>
      <c r="M2128" t="inlineStr">
        <is>
          <t>Values must be of type &lt;class 'str'&gt;</t>
        </is>
      </c>
      <c r="N2128" t="inlineStr">
        <is>
          <t>00000000</t>
        </is>
      </c>
      <c r="O2128" t="inlineStr">
        <is>
          <t>left</t>
        </is>
      </c>
      <c r="P2128" t="n">
        <v/>
      </c>
      <c r="R2128" t="b">
        <v>1</v>
      </c>
      <c r="S2128" t="n">
        <v/>
      </c>
      <c r="T2128" t="n">
        <v/>
      </c>
      <c r="U2128" t="n">
        <v/>
      </c>
      <c r="V2128" t="b">
        <v>0</v>
      </c>
      <c r="W2128" t="inlineStr"/>
      <c r="X2128" t="n">
        <v/>
      </c>
    </row>
    <row r="2129">
      <c r="A2129" t="inlineStr">
        <is>
          <t>ATF fuel</t>
        </is>
      </c>
      <c r="B2129" t="inlineStr">
        <is>
          <t>G223</t>
        </is>
      </c>
      <c r="C2129" t="n">
        <v>223</v>
      </c>
      <c r="D2129" t="n">
        <v>7</v>
      </c>
      <c r="E2129" t="inlineStr">
        <is>
          <t>Calculation</t>
        </is>
      </c>
      <c r="F2129" t="inlineStr">
        <is>
          <t>'=(1+(C223/C222)-1)*G222</t>
        </is>
      </c>
      <c r="G2129" t="n">
        <v>109.6579653182486</v>
      </c>
      <c r="H2129" t="inlineStr"/>
      <c r="I2129" t="inlineStr">
        <is>
          <t>General</t>
        </is>
      </c>
      <c r="J2129" t="b">
        <v>0</v>
      </c>
      <c r="K2129" t="b">
        <v>0</v>
      </c>
      <c r="L2129" t="n">
        <v>11</v>
      </c>
      <c r="M2129" t="inlineStr">
        <is>
          <t>Values must be of type &lt;class 'str'&gt;</t>
        </is>
      </c>
      <c r="N2129" t="inlineStr">
        <is>
          <t>00000000</t>
        </is>
      </c>
      <c r="O2129" t="inlineStr">
        <is>
          <t>left</t>
        </is>
      </c>
      <c r="P2129" t="n">
        <v/>
      </c>
      <c r="R2129" t="b">
        <v>1</v>
      </c>
      <c r="S2129" t="inlineStr">
        <is>
          <t>G000382</t>
        </is>
      </c>
      <c r="T2129" t="inlineStr">
        <is>
          <t>Horizontal</t>
        </is>
      </c>
      <c r="U2129" t="n">
        <v>3</v>
      </c>
      <c r="V2129" t="b">
        <v>1</v>
      </c>
      <c r="W2129" t="inlineStr">
        <is>
          <t>ATF fuel!G223:I223</t>
        </is>
      </c>
      <c r="X2129">
        <f>(1+(R[0]C[-4]/R[-1]C[-4])-1)*R[-1]C[0]</f>
        <v/>
      </c>
    </row>
    <row r="2130">
      <c r="A2130" t="inlineStr">
        <is>
          <t>ATF fuel</t>
        </is>
      </c>
      <c r="B2130" t="inlineStr">
        <is>
          <t>H223</t>
        </is>
      </c>
      <c r="C2130" t="n">
        <v>223</v>
      </c>
      <c r="D2130" t="n">
        <v>8</v>
      </c>
      <c r="E2130" t="inlineStr">
        <is>
          <t>Calculation</t>
        </is>
      </c>
      <c r="F2130" t="inlineStr">
        <is>
          <t>'=(1+(D223/D222)-1)*H222</t>
        </is>
      </c>
      <c r="G2130" t="n">
        <v>59.45782403485428</v>
      </c>
      <c r="H2130" t="inlineStr"/>
      <c r="I2130" t="inlineStr">
        <is>
          <t>General</t>
        </is>
      </c>
      <c r="J2130" t="b">
        <v>0</v>
      </c>
      <c r="K2130" t="b">
        <v>0</v>
      </c>
      <c r="L2130" t="n">
        <v>11</v>
      </c>
      <c r="M2130" t="inlineStr">
        <is>
          <t>Values must be of type &lt;class 'str'&gt;</t>
        </is>
      </c>
      <c r="N2130" t="inlineStr">
        <is>
          <t>00000000</t>
        </is>
      </c>
      <c r="O2130" t="inlineStr">
        <is>
          <t>left</t>
        </is>
      </c>
      <c r="P2130" t="n">
        <v/>
      </c>
      <c r="R2130" t="b">
        <v>1</v>
      </c>
      <c r="S2130" t="inlineStr">
        <is>
          <t>G000382</t>
        </is>
      </c>
      <c r="T2130" t="inlineStr">
        <is>
          <t>Horizontal</t>
        </is>
      </c>
      <c r="U2130" t="n">
        <v>3</v>
      </c>
      <c r="V2130" t="b">
        <v>1</v>
      </c>
      <c r="W2130" t="inlineStr">
        <is>
          <t>ATF fuel!G223:I223</t>
        </is>
      </c>
      <c r="X2130">
        <f>(1+(R[0]C[-4]/R[-1]C[-4])-1)*R[-1]C[0]</f>
        <v/>
      </c>
    </row>
    <row r="2131">
      <c r="A2131" t="inlineStr">
        <is>
          <t>ATF fuel</t>
        </is>
      </c>
      <c r="B2131" t="inlineStr">
        <is>
          <t>I223</t>
        </is>
      </c>
      <c r="C2131" t="n">
        <v>223</v>
      </c>
      <c r="D2131" t="n">
        <v>9</v>
      </c>
      <c r="E2131" t="inlineStr">
        <is>
          <t>Calculation</t>
        </is>
      </c>
      <c r="F2131" t="inlineStr">
        <is>
          <t>'=(1+(E223/E222)-1)*I222</t>
        </is>
      </c>
      <c r="G2131" t="n">
        <v>54.44220986631967</v>
      </c>
      <c r="H2131" t="inlineStr"/>
      <c r="I2131" t="inlineStr">
        <is>
          <t>General</t>
        </is>
      </c>
      <c r="J2131" t="b">
        <v>0</v>
      </c>
      <c r="K2131" t="b">
        <v>0</v>
      </c>
      <c r="L2131" t="n">
        <v>11</v>
      </c>
      <c r="M2131" t="inlineStr">
        <is>
          <t>Values must be of type &lt;class 'str'&gt;</t>
        </is>
      </c>
      <c r="N2131" t="inlineStr">
        <is>
          <t>00000000</t>
        </is>
      </c>
      <c r="O2131" t="inlineStr">
        <is>
          <t>left</t>
        </is>
      </c>
      <c r="P2131" t="n">
        <v/>
      </c>
      <c r="R2131" t="b">
        <v>1</v>
      </c>
      <c r="S2131" t="inlineStr">
        <is>
          <t>G000382</t>
        </is>
      </c>
      <c r="T2131" t="inlineStr">
        <is>
          <t>Horizontal</t>
        </is>
      </c>
      <c r="U2131" t="n">
        <v>3</v>
      </c>
      <c r="V2131" t="b">
        <v>1</v>
      </c>
      <c r="W2131" t="inlineStr">
        <is>
          <t>ATF fuel!G223:I223</t>
        </is>
      </c>
      <c r="X2131">
        <f>(1+(R[0]C[-4]/R[-1]C[-4])-1)*R[-1]C[0]</f>
        <v/>
      </c>
    </row>
    <row r="2132">
      <c r="A2132" t="inlineStr">
        <is>
          <t>ATF fuel</t>
        </is>
      </c>
      <c r="B2132" t="inlineStr">
        <is>
          <t>J223</t>
        </is>
      </c>
      <c r="C2132" t="n">
        <v>223</v>
      </c>
      <c r="D2132" t="n">
        <v>10</v>
      </c>
      <c r="E2132" t="inlineStr">
        <is>
          <t>Output</t>
        </is>
      </c>
      <c r="F2132" t="inlineStr">
        <is>
          <t>'=G223/H223-1</t>
        </is>
      </c>
      <c r="G2132" t="n">
        <v>0.8442983257168464</v>
      </c>
      <c r="H2132" t="inlineStr"/>
      <c r="I2132" t="inlineStr">
        <is>
          <t>0.0%</t>
        </is>
      </c>
      <c r="J2132" t="b">
        <v>0</v>
      </c>
      <c r="K2132" t="b">
        <v>0</v>
      </c>
      <c r="L2132" t="n">
        <v>11</v>
      </c>
      <c r="M2132" t="inlineStr">
        <is>
          <t>Values must be of type &lt;class 'str'&gt;</t>
        </is>
      </c>
      <c r="N2132" t="inlineStr">
        <is>
          <t>00000000</t>
        </is>
      </c>
      <c r="O2132" t="n">
        <v/>
      </c>
      <c r="P2132" t="n">
        <v/>
      </c>
      <c r="R2132" t="b">
        <v>1</v>
      </c>
      <c r="S2132" t="inlineStr">
        <is>
          <t>G000295</t>
        </is>
      </c>
      <c r="T2132" t="inlineStr">
        <is>
          <t>Vertical</t>
        </is>
      </c>
      <c r="U2132" t="n">
        <v>93</v>
      </c>
      <c r="V2132" t="b">
        <v>1</v>
      </c>
      <c r="W2132" t="inlineStr">
        <is>
          <t>ATF fuel!J136:J228</t>
        </is>
      </c>
      <c r="X2132">
        <f>R[0]C[-3]/R[0]C[-2]-1</f>
        <v/>
      </c>
    </row>
    <row r="2133">
      <c r="A2133" t="inlineStr">
        <is>
          <t>ATF fuel</t>
        </is>
      </c>
      <c r="B2133" t="inlineStr">
        <is>
          <t>B224</t>
        </is>
      </c>
      <c r="C2133" t="n">
        <v>224</v>
      </c>
      <c r="D2133" t="n">
        <v>2</v>
      </c>
      <c r="E2133" t="inlineStr">
        <is>
          <t>Input</t>
        </is>
      </c>
      <c r="F2133" t="n">
        <v/>
      </c>
      <c r="G2133" t="inlineStr">
        <is>
          <t>August 01, 2017</t>
        </is>
      </c>
      <c r="H2133" t="inlineStr"/>
      <c r="I2133" t="inlineStr">
        <is>
          <t>General</t>
        </is>
      </c>
      <c r="J2133" t="b">
        <v>0</v>
      </c>
      <c r="K2133" t="b">
        <v>0</v>
      </c>
      <c r="L2133" t="n">
        <v>11</v>
      </c>
      <c r="M2133" t="inlineStr">
        <is>
          <t>Values must be of type &lt;class 'str'&gt;</t>
        </is>
      </c>
      <c r="N2133" t="inlineStr">
        <is>
          <t>00000000</t>
        </is>
      </c>
      <c r="O2133" t="n">
        <v/>
      </c>
      <c r="P2133" t="n">
        <v/>
      </c>
      <c r="R2133" t="b">
        <v>1</v>
      </c>
      <c r="S2133" t="n">
        <v/>
      </c>
      <c r="T2133" t="n">
        <v/>
      </c>
      <c r="U2133" t="n">
        <v/>
      </c>
      <c r="V2133" t="b">
        <v>0</v>
      </c>
      <c r="W2133" t="inlineStr"/>
      <c r="X2133" t="n">
        <v/>
      </c>
    </row>
    <row r="2134">
      <c r="A2134" t="inlineStr">
        <is>
          <t>ATF fuel</t>
        </is>
      </c>
      <c r="B2134" t="inlineStr">
        <is>
          <t>C224</t>
        </is>
      </c>
      <c r="C2134" t="n">
        <v>224</v>
      </c>
      <c r="D2134" t="n">
        <v>3</v>
      </c>
      <c r="E2134" t="inlineStr">
        <is>
          <t>Input</t>
        </is>
      </c>
      <c r="F2134" t="n">
        <v/>
      </c>
      <c r="G2134" t="n">
        <v>50259.33333333334</v>
      </c>
      <c r="H2134" t="inlineStr"/>
      <c r="I2134" t="inlineStr">
        <is>
          <t>General</t>
        </is>
      </c>
      <c r="J2134" t="b">
        <v>0</v>
      </c>
      <c r="K2134" t="b">
        <v>0</v>
      </c>
      <c r="L2134" t="n">
        <v>11</v>
      </c>
      <c r="M2134" t="inlineStr">
        <is>
          <t>Values must be of type &lt;class 'str'&gt;</t>
        </is>
      </c>
      <c r="N2134" t="inlineStr">
        <is>
          <t>00000000</t>
        </is>
      </c>
      <c r="O2134" t="n">
        <v/>
      </c>
      <c r="P2134" t="n">
        <v/>
      </c>
      <c r="R2134" t="b">
        <v>1</v>
      </c>
      <c r="S2134" t="n">
        <v/>
      </c>
      <c r="T2134" t="n">
        <v/>
      </c>
      <c r="U2134" t="n">
        <v/>
      </c>
      <c r="V2134" t="b">
        <v>0</v>
      </c>
      <c r="W2134" t="inlineStr"/>
      <c r="X2134" t="n">
        <v/>
      </c>
    </row>
    <row r="2135">
      <c r="A2135" t="inlineStr">
        <is>
          <t>ATF fuel</t>
        </is>
      </c>
      <c r="B2135" t="inlineStr">
        <is>
          <t>D224</t>
        </is>
      </c>
      <c r="C2135" t="n">
        <v>224</v>
      </c>
      <c r="D2135" t="n">
        <v>4</v>
      </c>
      <c r="E2135" t="inlineStr">
        <is>
          <t>Input</t>
        </is>
      </c>
      <c r="F2135" t="n">
        <v/>
      </c>
      <c r="G2135" t="n">
        <v>51.99</v>
      </c>
      <c r="H2135" t="inlineStr"/>
      <c r="I2135" t="inlineStr">
        <is>
          <t>General</t>
        </is>
      </c>
      <c r="J2135" t="b">
        <v>0</v>
      </c>
      <c r="K2135" t="b">
        <v>0</v>
      </c>
      <c r="L2135" t="n">
        <v>11</v>
      </c>
      <c r="M2135" t="inlineStr">
        <is>
          <t>Values must be of type &lt;class 'str'&gt;</t>
        </is>
      </c>
      <c r="N2135" t="inlineStr">
        <is>
          <t>00000000</t>
        </is>
      </c>
      <c r="O2135" t="n">
        <v/>
      </c>
      <c r="P2135" t="n">
        <v/>
      </c>
      <c r="R2135" t="b">
        <v>1</v>
      </c>
      <c r="S2135" t="n">
        <v/>
      </c>
      <c r="T2135" t="n">
        <v/>
      </c>
      <c r="U2135" t="n">
        <v/>
      </c>
      <c r="V2135" t="b">
        <v>0</v>
      </c>
      <c r="W2135" t="inlineStr"/>
      <c r="X2135" t="n">
        <v/>
      </c>
    </row>
    <row r="2136">
      <c r="A2136" t="inlineStr">
        <is>
          <t>ATF fuel</t>
        </is>
      </c>
      <c r="B2136" t="inlineStr">
        <is>
          <t>E224</t>
        </is>
      </c>
      <c r="C2136" t="n">
        <v>224</v>
      </c>
      <c r="D2136" t="n">
        <v>5</v>
      </c>
      <c r="E2136" t="inlineStr">
        <is>
          <t>Input</t>
        </is>
      </c>
      <c r="F2136" t="n">
        <v/>
      </c>
      <c r="G2136" t="n">
        <v>49.19</v>
      </c>
      <c r="H2136" t="inlineStr"/>
      <c r="I2136" t="inlineStr">
        <is>
          <t>General</t>
        </is>
      </c>
      <c r="J2136" t="b">
        <v>0</v>
      </c>
      <c r="K2136" t="b">
        <v>0</v>
      </c>
      <c r="L2136" t="n">
        <v>11</v>
      </c>
      <c r="M2136" t="inlineStr">
        <is>
          <t>Values must be of type &lt;class 'str'&gt;</t>
        </is>
      </c>
      <c r="N2136" t="inlineStr">
        <is>
          <t>00000000</t>
        </is>
      </c>
      <c r="O2136" t="n">
        <v/>
      </c>
      <c r="P2136" t="n">
        <v/>
      </c>
      <c r="R2136" t="b">
        <v>1</v>
      </c>
      <c r="S2136" t="n">
        <v/>
      </c>
      <c r="T2136" t="n">
        <v/>
      </c>
      <c r="U2136" t="n">
        <v/>
      </c>
      <c r="V2136" t="b">
        <v>0</v>
      </c>
      <c r="W2136" t="inlineStr"/>
      <c r="X2136" t="n">
        <v/>
      </c>
    </row>
    <row r="2137">
      <c r="A2137" t="inlineStr">
        <is>
          <t>ATF fuel</t>
        </is>
      </c>
      <c r="B2137" t="inlineStr">
        <is>
          <t>F224</t>
        </is>
      </c>
      <c r="C2137" t="n">
        <v>224</v>
      </c>
      <c r="D2137" t="n">
        <v>6</v>
      </c>
      <c r="E2137" t="inlineStr">
        <is>
          <t>Input</t>
        </is>
      </c>
      <c r="F2137" t="n">
        <v/>
      </c>
      <c r="G2137" t="inlineStr">
        <is>
          <t>August 01, 2017</t>
        </is>
      </c>
      <c r="H2137" t="inlineStr"/>
      <c r="I2137" t="inlineStr">
        <is>
          <t>General</t>
        </is>
      </c>
      <c r="J2137" t="b">
        <v>0</v>
      </c>
      <c r="K2137" t="b">
        <v>0</v>
      </c>
      <c r="L2137" t="n">
        <v>11</v>
      </c>
      <c r="M2137" t="inlineStr">
        <is>
          <t>Values must be of type &lt;class 'str'&gt;</t>
        </is>
      </c>
      <c r="N2137" t="inlineStr">
        <is>
          <t>00000000</t>
        </is>
      </c>
      <c r="O2137" t="inlineStr">
        <is>
          <t>left</t>
        </is>
      </c>
      <c r="P2137" t="n">
        <v/>
      </c>
      <c r="R2137" t="b">
        <v>1</v>
      </c>
      <c r="S2137" t="n">
        <v/>
      </c>
      <c r="T2137" t="n">
        <v/>
      </c>
      <c r="U2137" t="n">
        <v/>
      </c>
      <c r="V2137" t="b">
        <v>0</v>
      </c>
      <c r="W2137" t="inlineStr"/>
      <c r="X2137" t="n">
        <v/>
      </c>
    </row>
    <row r="2138">
      <c r="A2138" t="inlineStr">
        <is>
          <t>ATF fuel</t>
        </is>
      </c>
      <c r="B2138" t="inlineStr">
        <is>
          <t>G224</t>
        </is>
      </c>
      <c r="C2138" t="n">
        <v>224</v>
      </c>
      <c r="D2138" t="n">
        <v>7</v>
      </c>
      <c r="E2138" t="inlineStr">
        <is>
          <t>Calculation</t>
        </is>
      </c>
      <c r="F2138" t="inlineStr">
        <is>
          <t>'=(1+(C224/C223)-1)*G223</t>
        </is>
      </c>
      <c r="G2138" t="n">
        <v>113.2941641253943</v>
      </c>
      <c r="H2138" t="inlineStr"/>
      <c r="I2138" t="inlineStr">
        <is>
          <t>General</t>
        </is>
      </c>
      <c r="J2138" t="b">
        <v>0</v>
      </c>
      <c r="K2138" t="b">
        <v>0</v>
      </c>
      <c r="L2138" t="n">
        <v>11</v>
      </c>
      <c r="M2138" t="inlineStr">
        <is>
          <t>Values must be of type &lt;class 'str'&gt;</t>
        </is>
      </c>
      <c r="N2138" t="inlineStr">
        <is>
          <t>00000000</t>
        </is>
      </c>
      <c r="O2138" t="inlineStr">
        <is>
          <t>left</t>
        </is>
      </c>
      <c r="P2138" t="n">
        <v/>
      </c>
      <c r="R2138" t="b">
        <v>1</v>
      </c>
      <c r="S2138" t="inlineStr">
        <is>
          <t>G000383</t>
        </is>
      </c>
      <c r="T2138" t="inlineStr">
        <is>
          <t>Horizontal</t>
        </is>
      </c>
      <c r="U2138" t="n">
        <v>3</v>
      </c>
      <c r="V2138" t="b">
        <v>1</v>
      </c>
      <c r="W2138" t="inlineStr">
        <is>
          <t>ATF fuel!G224:I224</t>
        </is>
      </c>
      <c r="X2138">
        <f>(1+(R[0]C[-4]/R[-1]C[-4])-1)*R[-1]C[0]</f>
        <v/>
      </c>
    </row>
    <row r="2139">
      <c r="A2139" t="inlineStr">
        <is>
          <t>ATF fuel</t>
        </is>
      </c>
      <c r="B2139" t="inlineStr">
        <is>
          <t>H224</t>
        </is>
      </c>
      <c r="C2139" t="n">
        <v>224</v>
      </c>
      <c r="D2139" t="n">
        <v>8</v>
      </c>
      <c r="E2139" t="inlineStr">
        <is>
          <t>Calculation</t>
        </is>
      </c>
      <c r="F2139" t="inlineStr">
        <is>
          <t>'=(1+(D224/D223)-1)*H223</t>
        </is>
      </c>
      <c r="G2139" t="n">
        <v>62.91903666949062</v>
      </c>
      <c r="H2139" t="inlineStr"/>
      <c r="I2139" t="inlineStr">
        <is>
          <t>General</t>
        </is>
      </c>
      <c r="J2139" t="b">
        <v>0</v>
      </c>
      <c r="K2139" t="b">
        <v>0</v>
      </c>
      <c r="L2139" t="n">
        <v>11</v>
      </c>
      <c r="M2139" t="inlineStr">
        <is>
          <t>Values must be of type &lt;class 'str'&gt;</t>
        </is>
      </c>
      <c r="N2139" t="inlineStr">
        <is>
          <t>00000000</t>
        </is>
      </c>
      <c r="O2139" t="inlineStr">
        <is>
          <t>left</t>
        </is>
      </c>
      <c r="P2139" t="n">
        <v/>
      </c>
      <c r="R2139" t="b">
        <v>1</v>
      </c>
      <c r="S2139" t="inlineStr">
        <is>
          <t>G000383</t>
        </is>
      </c>
      <c r="T2139" t="inlineStr">
        <is>
          <t>Horizontal</t>
        </is>
      </c>
      <c r="U2139" t="n">
        <v>3</v>
      </c>
      <c r="V2139" t="b">
        <v>1</v>
      </c>
      <c r="W2139" t="inlineStr">
        <is>
          <t>ATF fuel!G224:I224</t>
        </is>
      </c>
      <c r="X2139">
        <f>(1+(R[0]C[-4]/R[-1]C[-4])-1)*R[-1]C[0]</f>
        <v/>
      </c>
    </row>
    <row r="2140">
      <c r="A2140" t="inlineStr">
        <is>
          <t>ATF fuel</t>
        </is>
      </c>
      <c r="B2140" t="inlineStr">
        <is>
          <t>I224</t>
        </is>
      </c>
      <c r="C2140" t="n">
        <v>224</v>
      </c>
      <c r="D2140" t="n">
        <v>9</v>
      </c>
      <c r="E2140" t="inlineStr">
        <is>
          <t>Calculation</t>
        </is>
      </c>
      <c r="F2140" t="inlineStr">
        <is>
          <t>'=(1+(E224/E223)-1)*I223</t>
        </is>
      </c>
      <c r="G2140" t="n">
        <v>58.19235774281324</v>
      </c>
      <c r="H2140" t="inlineStr"/>
      <c r="I2140" t="inlineStr">
        <is>
          <t>General</t>
        </is>
      </c>
      <c r="J2140" t="b">
        <v>0</v>
      </c>
      <c r="K2140" t="b">
        <v>0</v>
      </c>
      <c r="L2140" t="n">
        <v>11</v>
      </c>
      <c r="M2140" t="inlineStr">
        <is>
          <t>Values must be of type &lt;class 'str'&gt;</t>
        </is>
      </c>
      <c r="N2140" t="inlineStr">
        <is>
          <t>00000000</t>
        </is>
      </c>
      <c r="O2140" t="inlineStr">
        <is>
          <t>left</t>
        </is>
      </c>
      <c r="P2140" t="n">
        <v/>
      </c>
      <c r="R2140" t="b">
        <v>1</v>
      </c>
      <c r="S2140" t="inlineStr">
        <is>
          <t>G000383</t>
        </is>
      </c>
      <c r="T2140" t="inlineStr">
        <is>
          <t>Horizontal</t>
        </is>
      </c>
      <c r="U2140" t="n">
        <v>3</v>
      </c>
      <c r="V2140" t="b">
        <v>1</v>
      </c>
      <c r="W2140" t="inlineStr">
        <is>
          <t>ATF fuel!G224:I224</t>
        </is>
      </c>
      <c r="X2140">
        <f>(1+(R[0]C[-4]/R[-1]C[-4])-1)*R[-1]C[0]</f>
        <v/>
      </c>
    </row>
    <row r="2141">
      <c r="A2141" t="inlineStr">
        <is>
          <t>ATF fuel</t>
        </is>
      </c>
      <c r="B2141" t="inlineStr">
        <is>
          <t>J224</t>
        </is>
      </c>
      <c r="C2141" t="n">
        <v>224</v>
      </c>
      <c r="D2141" t="n">
        <v>10</v>
      </c>
      <c r="E2141" t="inlineStr">
        <is>
          <t>Output</t>
        </is>
      </c>
      <c r="F2141" t="inlineStr">
        <is>
          <t>'=G224/H224-1</t>
        </is>
      </c>
      <c r="G2141" t="n">
        <v>0.8006341184230263</v>
      </c>
      <c r="H2141" t="inlineStr"/>
      <c r="I2141" t="inlineStr">
        <is>
          <t>0.0%</t>
        </is>
      </c>
      <c r="J2141" t="b">
        <v>0</v>
      </c>
      <c r="K2141" t="b">
        <v>0</v>
      </c>
      <c r="L2141" t="n">
        <v>11</v>
      </c>
      <c r="M2141" t="inlineStr">
        <is>
          <t>Values must be of type &lt;class 'str'&gt;</t>
        </is>
      </c>
      <c r="N2141" t="inlineStr">
        <is>
          <t>00000000</t>
        </is>
      </c>
      <c r="O2141" t="n">
        <v/>
      </c>
      <c r="P2141" t="n">
        <v/>
      </c>
      <c r="R2141" t="b">
        <v>1</v>
      </c>
      <c r="S2141" t="inlineStr">
        <is>
          <t>G000295</t>
        </is>
      </c>
      <c r="T2141" t="inlineStr">
        <is>
          <t>Vertical</t>
        </is>
      </c>
      <c r="U2141" t="n">
        <v>93</v>
      </c>
      <c r="V2141" t="b">
        <v>1</v>
      </c>
      <c r="W2141" t="inlineStr">
        <is>
          <t>ATF fuel!J136:J228</t>
        </is>
      </c>
      <c r="X2141">
        <f>R[0]C[-3]/R[0]C[-2]-1</f>
        <v/>
      </c>
    </row>
    <row r="2142">
      <c r="A2142" t="inlineStr">
        <is>
          <t>ATF fuel</t>
        </is>
      </c>
      <c r="B2142" t="inlineStr">
        <is>
          <t>B225</t>
        </is>
      </c>
      <c r="C2142" t="n">
        <v>225</v>
      </c>
      <c r="D2142" t="n">
        <v>2</v>
      </c>
      <c r="E2142" t="inlineStr">
        <is>
          <t>Input</t>
        </is>
      </c>
      <c r="F2142" t="n">
        <v/>
      </c>
      <c r="G2142" t="inlineStr">
        <is>
          <t>September 01,2017</t>
        </is>
      </c>
      <c r="H2142" t="inlineStr"/>
      <c r="I2142" t="inlineStr">
        <is>
          <t>General</t>
        </is>
      </c>
      <c r="J2142" t="b">
        <v>0</v>
      </c>
      <c r="K2142" t="b">
        <v>0</v>
      </c>
      <c r="L2142" t="n">
        <v>11</v>
      </c>
      <c r="M2142" t="inlineStr">
        <is>
          <t>Values must be of type &lt;class 'str'&gt;</t>
        </is>
      </c>
      <c r="N2142" t="inlineStr">
        <is>
          <t>00000000</t>
        </is>
      </c>
      <c r="O2142" t="n">
        <v/>
      </c>
      <c r="P2142" t="n">
        <v/>
      </c>
      <c r="R2142" t="b">
        <v>1</v>
      </c>
      <c r="S2142" t="n">
        <v/>
      </c>
      <c r="T2142" t="n">
        <v/>
      </c>
      <c r="U2142" t="n">
        <v/>
      </c>
      <c r="V2142" t="b">
        <v>0</v>
      </c>
      <c r="W2142" t="inlineStr"/>
      <c r="X2142" t="n">
        <v/>
      </c>
    </row>
    <row r="2143">
      <c r="A2143" t="inlineStr">
        <is>
          <t>ATF fuel</t>
        </is>
      </c>
      <c r="B2143" t="inlineStr">
        <is>
          <t>C225</t>
        </is>
      </c>
      <c r="C2143" t="n">
        <v>225</v>
      </c>
      <c r="D2143" t="n">
        <v>3</v>
      </c>
      <c r="E2143" t="inlineStr">
        <is>
          <t>Input</t>
        </is>
      </c>
      <c r="F2143" t="n">
        <v/>
      </c>
      <c r="G2143" t="n">
        <v>51639.75</v>
      </c>
      <c r="H2143" t="inlineStr"/>
      <c r="I2143" t="inlineStr">
        <is>
          <t>General</t>
        </is>
      </c>
      <c r="J2143" t="b">
        <v>0</v>
      </c>
      <c r="K2143" t="b">
        <v>0</v>
      </c>
      <c r="L2143" t="n">
        <v>11</v>
      </c>
      <c r="M2143" t="inlineStr">
        <is>
          <t>Values must be of type &lt;class 'str'&gt;</t>
        </is>
      </c>
      <c r="N2143" t="inlineStr">
        <is>
          <t>00000000</t>
        </is>
      </c>
      <c r="O2143" t="n">
        <v/>
      </c>
      <c r="P2143" t="n">
        <v/>
      </c>
      <c r="R2143" t="b">
        <v>1</v>
      </c>
      <c r="S2143" t="n">
        <v/>
      </c>
      <c r="T2143" t="n">
        <v/>
      </c>
      <c r="U2143" t="n">
        <v/>
      </c>
      <c r="V2143" t="b">
        <v>0</v>
      </c>
      <c r="W2143" t="inlineStr"/>
      <c r="X2143" t="n">
        <v/>
      </c>
    </row>
    <row r="2144">
      <c r="A2144" t="inlineStr">
        <is>
          <t>ATF fuel</t>
        </is>
      </c>
      <c r="B2144" t="inlineStr">
        <is>
          <t>D225</t>
        </is>
      </c>
      <c r="C2144" t="n">
        <v>225</v>
      </c>
      <c r="D2144" t="n">
        <v>4</v>
      </c>
      <c r="E2144" t="inlineStr">
        <is>
          <t>Input</t>
        </is>
      </c>
      <c r="F2144" t="n">
        <v/>
      </c>
      <c r="G2144" t="n">
        <v>52.69</v>
      </c>
      <c r="H2144" t="inlineStr"/>
      <c r="I2144" t="inlineStr">
        <is>
          <t>General</t>
        </is>
      </c>
      <c r="J2144" t="b">
        <v>0</v>
      </c>
      <c r="K2144" t="b">
        <v>0</v>
      </c>
      <c r="L2144" t="n">
        <v>11</v>
      </c>
      <c r="M2144" t="inlineStr">
        <is>
          <t>Values must be of type &lt;class 'str'&gt;</t>
        </is>
      </c>
      <c r="N2144" t="inlineStr">
        <is>
          <t>00000000</t>
        </is>
      </c>
      <c r="O2144" t="n">
        <v/>
      </c>
      <c r="P2144" t="n">
        <v/>
      </c>
      <c r="R2144" t="b">
        <v>1</v>
      </c>
      <c r="S2144" t="n">
        <v/>
      </c>
      <c r="T2144" t="n">
        <v/>
      </c>
      <c r="U2144" t="n">
        <v/>
      </c>
      <c r="V2144" t="b">
        <v>0</v>
      </c>
      <c r="W2144" t="inlineStr"/>
      <c r="X2144" t="n">
        <v/>
      </c>
    </row>
    <row r="2145">
      <c r="A2145" t="inlineStr">
        <is>
          <t>ATF fuel</t>
        </is>
      </c>
      <c r="B2145" t="inlineStr">
        <is>
          <t>E225</t>
        </is>
      </c>
      <c r="C2145" t="n">
        <v>225</v>
      </c>
      <c r="D2145" t="n">
        <v>5</v>
      </c>
      <c r="E2145" t="inlineStr">
        <is>
          <t>Input</t>
        </is>
      </c>
      <c r="F2145" t="n">
        <v/>
      </c>
      <c r="G2145" t="n">
        <v>47.32</v>
      </c>
      <c r="H2145" t="inlineStr"/>
      <c r="I2145" t="inlineStr">
        <is>
          <t>General</t>
        </is>
      </c>
      <c r="J2145" t="b">
        <v>0</v>
      </c>
      <c r="K2145" t="b">
        <v>0</v>
      </c>
      <c r="L2145" t="n">
        <v>11</v>
      </c>
      <c r="M2145" t="inlineStr">
        <is>
          <t>Values must be of type &lt;class 'str'&gt;</t>
        </is>
      </c>
      <c r="N2145" t="inlineStr">
        <is>
          <t>00000000</t>
        </is>
      </c>
      <c r="O2145" t="n">
        <v/>
      </c>
      <c r="P2145" t="n">
        <v/>
      </c>
      <c r="R2145" t="b">
        <v>1</v>
      </c>
      <c r="S2145" t="n">
        <v/>
      </c>
      <c r="T2145" t="n">
        <v/>
      </c>
      <c r="U2145" t="n">
        <v/>
      </c>
      <c r="V2145" t="b">
        <v>0</v>
      </c>
      <c r="W2145" t="inlineStr"/>
      <c r="X2145" t="n">
        <v/>
      </c>
    </row>
    <row r="2146">
      <c r="A2146" t="inlineStr">
        <is>
          <t>ATF fuel</t>
        </is>
      </c>
      <c r="B2146" t="inlineStr">
        <is>
          <t>F225</t>
        </is>
      </c>
      <c r="C2146" t="n">
        <v>225</v>
      </c>
      <c r="D2146" t="n">
        <v>6</v>
      </c>
      <c r="E2146" t="inlineStr">
        <is>
          <t>Input</t>
        </is>
      </c>
      <c r="F2146" t="n">
        <v/>
      </c>
      <c r="G2146" t="inlineStr">
        <is>
          <t>September 01,2017</t>
        </is>
      </c>
      <c r="H2146" t="inlineStr"/>
      <c r="I2146" t="inlineStr">
        <is>
          <t>General</t>
        </is>
      </c>
      <c r="J2146" t="b">
        <v>0</v>
      </c>
      <c r="K2146" t="b">
        <v>0</v>
      </c>
      <c r="L2146" t="n">
        <v>11</v>
      </c>
      <c r="M2146" t="inlineStr">
        <is>
          <t>Values must be of type &lt;class 'str'&gt;</t>
        </is>
      </c>
      <c r="N2146" t="inlineStr">
        <is>
          <t>00000000</t>
        </is>
      </c>
      <c r="O2146" t="inlineStr">
        <is>
          <t>left</t>
        </is>
      </c>
      <c r="P2146" t="n">
        <v/>
      </c>
      <c r="R2146" t="b">
        <v>1</v>
      </c>
      <c r="S2146" t="n">
        <v/>
      </c>
      <c r="T2146" t="n">
        <v/>
      </c>
      <c r="U2146" t="n">
        <v/>
      </c>
      <c r="V2146" t="b">
        <v>0</v>
      </c>
      <c r="W2146" t="inlineStr"/>
      <c r="X2146" t="n">
        <v/>
      </c>
    </row>
    <row r="2147">
      <c r="A2147" t="inlineStr">
        <is>
          <t>ATF fuel</t>
        </is>
      </c>
      <c r="B2147" t="inlineStr">
        <is>
          <t>G225</t>
        </is>
      </c>
      <c r="C2147" t="n">
        <v>225</v>
      </c>
      <c r="D2147" t="n">
        <v>7</v>
      </c>
      <c r="E2147" t="inlineStr">
        <is>
          <t>Calculation</t>
        </is>
      </c>
      <c r="F2147" t="inlineStr">
        <is>
          <t>'=(1+(C225/C224)-1)*G224</t>
        </is>
      </c>
      <c r="G2147" t="n">
        <v>116.4058877003475</v>
      </c>
      <c r="H2147" t="inlineStr"/>
      <c r="I2147" t="inlineStr">
        <is>
          <t>General</t>
        </is>
      </c>
      <c r="J2147" t="b">
        <v>0</v>
      </c>
      <c r="K2147" t="b">
        <v>0</v>
      </c>
      <c r="L2147" t="n">
        <v>11</v>
      </c>
      <c r="M2147" t="inlineStr">
        <is>
          <t>Values must be of type &lt;class 'str'&gt;</t>
        </is>
      </c>
      <c r="N2147" t="inlineStr">
        <is>
          <t>00000000</t>
        </is>
      </c>
      <c r="O2147" t="inlineStr">
        <is>
          <t>left</t>
        </is>
      </c>
      <c r="P2147" t="n">
        <v/>
      </c>
      <c r="R2147" t="b">
        <v>1</v>
      </c>
      <c r="S2147" t="inlineStr">
        <is>
          <t>G000384</t>
        </is>
      </c>
      <c r="T2147" t="inlineStr">
        <is>
          <t>Horizontal</t>
        </is>
      </c>
      <c r="U2147" t="n">
        <v>3</v>
      </c>
      <c r="V2147" t="b">
        <v>1</v>
      </c>
      <c r="W2147" t="inlineStr">
        <is>
          <t>ATF fuel!G225:I225</t>
        </is>
      </c>
      <c r="X2147">
        <f>(1+(R[0]C[-4]/R[-1]C[-4])-1)*R[-1]C[0]</f>
        <v/>
      </c>
    </row>
    <row r="2148">
      <c r="A2148" t="inlineStr">
        <is>
          <t>ATF fuel</t>
        </is>
      </c>
      <c r="B2148" t="inlineStr">
        <is>
          <t>H225</t>
        </is>
      </c>
      <c r="C2148" t="n">
        <v>225</v>
      </c>
      <c r="D2148" t="n">
        <v>8</v>
      </c>
      <c r="E2148" t="inlineStr">
        <is>
          <t>Calculation</t>
        </is>
      </c>
      <c r="F2148" t="inlineStr">
        <is>
          <t>'=(1+(D225/D224)-1)*H224</t>
        </is>
      </c>
      <c r="G2148" t="n">
        <v>63.76618661503097</v>
      </c>
      <c r="H2148" t="inlineStr"/>
      <c r="I2148" t="inlineStr">
        <is>
          <t>General</t>
        </is>
      </c>
      <c r="J2148" t="b">
        <v>0</v>
      </c>
      <c r="K2148" t="b">
        <v>0</v>
      </c>
      <c r="L2148" t="n">
        <v>11</v>
      </c>
      <c r="M2148" t="inlineStr">
        <is>
          <t>Values must be of type &lt;class 'str'&gt;</t>
        </is>
      </c>
      <c r="N2148" t="inlineStr">
        <is>
          <t>00000000</t>
        </is>
      </c>
      <c r="O2148" t="inlineStr">
        <is>
          <t>left</t>
        </is>
      </c>
      <c r="P2148" t="n">
        <v/>
      </c>
      <c r="R2148" t="b">
        <v>1</v>
      </c>
      <c r="S2148" t="inlineStr">
        <is>
          <t>G000384</t>
        </is>
      </c>
      <c r="T2148" t="inlineStr">
        <is>
          <t>Horizontal</t>
        </is>
      </c>
      <c r="U2148" t="n">
        <v>3</v>
      </c>
      <c r="V2148" t="b">
        <v>1</v>
      </c>
      <c r="W2148" t="inlineStr">
        <is>
          <t>ATF fuel!G225:I225</t>
        </is>
      </c>
      <c r="X2148">
        <f>(1+(R[0]C[-4]/R[-1]C[-4])-1)*R[-1]C[0]</f>
        <v/>
      </c>
    </row>
    <row r="2149">
      <c r="A2149" t="inlineStr">
        <is>
          <t>ATF fuel</t>
        </is>
      </c>
      <c r="B2149" t="inlineStr">
        <is>
          <t>I225</t>
        </is>
      </c>
      <c r="C2149" t="n">
        <v>225</v>
      </c>
      <c r="D2149" t="n">
        <v>9</v>
      </c>
      <c r="E2149" t="inlineStr">
        <is>
          <t>Calculation</t>
        </is>
      </c>
      <c r="F2149" t="inlineStr">
        <is>
          <t>'=(1+(E225/E224)-1)*I224</t>
        </is>
      </c>
      <c r="G2149" t="n">
        <v>55.98012539926657</v>
      </c>
      <c r="H2149" t="inlineStr"/>
      <c r="I2149" t="inlineStr">
        <is>
          <t>General</t>
        </is>
      </c>
      <c r="J2149" t="b">
        <v>0</v>
      </c>
      <c r="K2149" t="b">
        <v>0</v>
      </c>
      <c r="L2149" t="n">
        <v>11</v>
      </c>
      <c r="M2149" t="inlineStr">
        <is>
          <t>Values must be of type &lt;class 'str'&gt;</t>
        </is>
      </c>
      <c r="N2149" t="inlineStr">
        <is>
          <t>00000000</t>
        </is>
      </c>
      <c r="O2149" t="inlineStr">
        <is>
          <t>left</t>
        </is>
      </c>
      <c r="P2149" t="n">
        <v/>
      </c>
      <c r="R2149" t="b">
        <v>1</v>
      </c>
      <c r="S2149" t="inlineStr">
        <is>
          <t>G000384</t>
        </is>
      </c>
      <c r="T2149" t="inlineStr">
        <is>
          <t>Horizontal</t>
        </is>
      </c>
      <c r="U2149" t="n">
        <v>3</v>
      </c>
      <c r="V2149" t="b">
        <v>1</v>
      </c>
      <c r="W2149" t="inlineStr">
        <is>
          <t>ATF fuel!G225:I225</t>
        </is>
      </c>
      <c r="X2149">
        <f>(1+(R[0]C[-4]/R[-1]C[-4])-1)*R[-1]C[0]</f>
        <v/>
      </c>
    </row>
    <row r="2150">
      <c r="A2150" t="inlineStr">
        <is>
          <t>ATF fuel</t>
        </is>
      </c>
      <c r="B2150" t="inlineStr">
        <is>
          <t>J225</t>
        </is>
      </c>
      <c r="C2150" t="n">
        <v>225</v>
      </c>
      <c r="D2150" t="n">
        <v>10</v>
      </c>
      <c r="E2150" t="inlineStr">
        <is>
          <t>Output</t>
        </is>
      </c>
      <c r="F2150" t="inlineStr">
        <is>
          <t>'=G225/H225-1</t>
        </is>
      </c>
      <c r="G2150" t="n">
        <v>0.8255111976996954</v>
      </c>
      <c r="H2150" t="inlineStr"/>
      <c r="I2150" t="inlineStr">
        <is>
          <t>0.0%</t>
        </is>
      </c>
      <c r="J2150" t="b">
        <v>0</v>
      </c>
      <c r="K2150" t="b">
        <v>0</v>
      </c>
      <c r="L2150" t="n">
        <v>11</v>
      </c>
      <c r="M2150" t="inlineStr">
        <is>
          <t>Values must be of type &lt;class 'str'&gt;</t>
        </is>
      </c>
      <c r="N2150" t="inlineStr">
        <is>
          <t>00000000</t>
        </is>
      </c>
      <c r="O2150" t="n">
        <v/>
      </c>
      <c r="P2150" t="n">
        <v/>
      </c>
      <c r="R2150" t="b">
        <v>1</v>
      </c>
      <c r="S2150" t="inlineStr">
        <is>
          <t>G000295</t>
        </is>
      </c>
      <c r="T2150" t="inlineStr">
        <is>
          <t>Vertical</t>
        </is>
      </c>
      <c r="U2150" t="n">
        <v>93</v>
      </c>
      <c r="V2150" t="b">
        <v>1</v>
      </c>
      <c r="W2150" t="inlineStr">
        <is>
          <t>ATF fuel!J136:J228</t>
        </is>
      </c>
      <c r="X2150">
        <f>R[0]C[-3]/R[0]C[-2]-1</f>
        <v/>
      </c>
    </row>
    <row r="2151">
      <c r="A2151" t="inlineStr">
        <is>
          <t>ATF fuel</t>
        </is>
      </c>
      <c r="B2151" t="inlineStr">
        <is>
          <t>B226</t>
        </is>
      </c>
      <c r="C2151" t="n">
        <v>226</v>
      </c>
      <c r="D2151" t="n">
        <v>2</v>
      </c>
      <c r="E2151" t="inlineStr">
        <is>
          <t>Input</t>
        </is>
      </c>
      <c r="F2151" t="n">
        <v/>
      </c>
      <c r="G2151" t="inlineStr">
        <is>
          <t>October 01,2017</t>
        </is>
      </c>
      <c r="H2151" t="inlineStr"/>
      <c r="I2151" t="inlineStr">
        <is>
          <t>General</t>
        </is>
      </c>
      <c r="J2151" t="b">
        <v>0</v>
      </c>
      <c r="K2151" t="b">
        <v>0</v>
      </c>
      <c r="L2151" t="n">
        <v>11</v>
      </c>
      <c r="M2151" t="inlineStr">
        <is>
          <t>Values must be of type &lt;class 'str'&gt;</t>
        </is>
      </c>
      <c r="N2151" t="inlineStr">
        <is>
          <t>00000000</t>
        </is>
      </c>
      <c r="O2151" t="n">
        <v/>
      </c>
      <c r="P2151" t="n">
        <v/>
      </c>
      <c r="R2151" t="b">
        <v>1</v>
      </c>
      <c r="S2151" t="n">
        <v/>
      </c>
      <c r="T2151" t="n">
        <v/>
      </c>
      <c r="U2151" t="n">
        <v/>
      </c>
      <c r="V2151" t="b">
        <v>0</v>
      </c>
      <c r="W2151" t="inlineStr"/>
      <c r="X2151" t="n">
        <v/>
      </c>
    </row>
    <row r="2152">
      <c r="A2152" t="inlineStr">
        <is>
          <t>ATF fuel</t>
        </is>
      </c>
      <c r="B2152" t="inlineStr">
        <is>
          <t>C226</t>
        </is>
      </c>
      <c r="C2152" t="n">
        <v>226</v>
      </c>
      <c r="D2152" t="n">
        <v>3</v>
      </c>
      <c r="E2152" t="inlineStr">
        <is>
          <t>Input</t>
        </is>
      </c>
      <c r="F2152" t="n">
        <v/>
      </c>
      <c r="G2152" t="n">
        <v>54617.5</v>
      </c>
      <c r="H2152" t="inlineStr"/>
      <c r="I2152" t="inlineStr">
        <is>
          <t>General</t>
        </is>
      </c>
      <c r="J2152" t="b">
        <v>0</v>
      </c>
      <c r="K2152" t="b">
        <v>0</v>
      </c>
      <c r="L2152" t="n">
        <v>11</v>
      </c>
      <c r="M2152" t="inlineStr">
        <is>
          <t>Values must be of type &lt;class 'str'&gt;</t>
        </is>
      </c>
      <c r="N2152" t="inlineStr">
        <is>
          <t>00000000</t>
        </is>
      </c>
      <c r="O2152" t="n">
        <v/>
      </c>
      <c r="P2152" t="n">
        <v/>
      </c>
      <c r="R2152" t="b">
        <v>1</v>
      </c>
      <c r="S2152" t="n">
        <v/>
      </c>
      <c r="T2152" t="n">
        <v/>
      </c>
      <c r="U2152" t="n">
        <v/>
      </c>
      <c r="V2152" t="b">
        <v>0</v>
      </c>
      <c r="W2152" t="inlineStr"/>
      <c r="X2152" t="n">
        <v/>
      </c>
    </row>
    <row r="2153">
      <c r="A2153" t="inlineStr">
        <is>
          <t>ATF fuel</t>
        </is>
      </c>
      <c r="B2153" t="inlineStr">
        <is>
          <t>D226</t>
        </is>
      </c>
      <c r="C2153" t="n">
        <v>226</v>
      </c>
      <c r="D2153" t="n">
        <v>4</v>
      </c>
      <c r="E2153" t="inlineStr">
        <is>
          <t>Input</t>
        </is>
      </c>
      <c r="F2153" t="n">
        <v/>
      </c>
      <c r="G2153" t="n">
        <v>58.8</v>
      </c>
      <c r="H2153" t="inlineStr"/>
      <c r="I2153" t="inlineStr">
        <is>
          <t>General</t>
        </is>
      </c>
      <c r="J2153" t="b">
        <v>0</v>
      </c>
      <c r="K2153" t="b">
        <v>0</v>
      </c>
      <c r="L2153" t="n">
        <v>11</v>
      </c>
      <c r="M2153" t="inlineStr">
        <is>
          <t>Values must be of type &lt;class 'str'&gt;</t>
        </is>
      </c>
      <c r="N2153" t="inlineStr">
        <is>
          <t>00000000</t>
        </is>
      </c>
      <c r="O2153" t="n">
        <v/>
      </c>
      <c r="P2153" t="n">
        <v/>
      </c>
      <c r="R2153" t="b">
        <v>1</v>
      </c>
      <c r="S2153" t="n">
        <v/>
      </c>
      <c r="T2153" t="n">
        <v/>
      </c>
      <c r="U2153" t="n">
        <v/>
      </c>
      <c r="V2153" t="b">
        <v>0</v>
      </c>
      <c r="W2153" t="inlineStr"/>
      <c r="X2153" t="n">
        <v/>
      </c>
    </row>
    <row r="2154">
      <c r="A2154" t="inlineStr">
        <is>
          <t>ATF fuel</t>
        </is>
      </c>
      <c r="B2154" t="inlineStr">
        <is>
          <t>E226</t>
        </is>
      </c>
      <c r="C2154" t="n">
        <v>226</v>
      </c>
      <c r="D2154" t="n">
        <v>5</v>
      </c>
      <c r="E2154" t="inlineStr">
        <is>
          <t>Input</t>
        </is>
      </c>
      <c r="F2154" t="n">
        <v/>
      </c>
      <c r="G2154" t="n">
        <v>50.59</v>
      </c>
      <c r="H2154" t="inlineStr"/>
      <c r="I2154" t="inlineStr">
        <is>
          <t>General</t>
        </is>
      </c>
      <c r="J2154" t="b">
        <v>0</v>
      </c>
      <c r="K2154" t="b">
        <v>0</v>
      </c>
      <c r="L2154" t="n">
        <v>11</v>
      </c>
      <c r="M2154" t="inlineStr">
        <is>
          <t>Values must be of type &lt;class 'str'&gt;</t>
        </is>
      </c>
      <c r="N2154" t="inlineStr">
        <is>
          <t>00000000</t>
        </is>
      </c>
      <c r="O2154" t="n">
        <v/>
      </c>
      <c r="P2154" t="n">
        <v/>
      </c>
      <c r="R2154" t="b">
        <v>1</v>
      </c>
      <c r="S2154" t="n">
        <v/>
      </c>
      <c r="T2154" t="n">
        <v/>
      </c>
      <c r="U2154" t="n">
        <v/>
      </c>
      <c r="V2154" t="b">
        <v>0</v>
      </c>
      <c r="W2154" t="inlineStr"/>
      <c r="X2154" t="n">
        <v/>
      </c>
    </row>
    <row r="2155">
      <c r="A2155" t="inlineStr">
        <is>
          <t>ATF fuel</t>
        </is>
      </c>
      <c r="B2155" t="inlineStr">
        <is>
          <t>F226</t>
        </is>
      </c>
      <c r="C2155" t="n">
        <v>226</v>
      </c>
      <c r="D2155" t="n">
        <v>6</v>
      </c>
      <c r="E2155" t="inlineStr">
        <is>
          <t>Input</t>
        </is>
      </c>
      <c r="F2155" t="n">
        <v/>
      </c>
      <c r="G2155" t="inlineStr">
        <is>
          <t>October 01,2017</t>
        </is>
      </c>
      <c r="H2155" t="inlineStr"/>
      <c r="I2155" t="inlineStr">
        <is>
          <t>General</t>
        </is>
      </c>
      <c r="J2155" t="b">
        <v>0</v>
      </c>
      <c r="K2155" t="b">
        <v>0</v>
      </c>
      <c r="L2155" t="n">
        <v>11</v>
      </c>
      <c r="M2155" t="inlineStr">
        <is>
          <t>Values must be of type &lt;class 'str'&gt;</t>
        </is>
      </c>
      <c r="N2155" t="inlineStr">
        <is>
          <t>00000000</t>
        </is>
      </c>
      <c r="O2155" t="inlineStr">
        <is>
          <t>left</t>
        </is>
      </c>
      <c r="P2155" t="n">
        <v/>
      </c>
      <c r="R2155" t="b">
        <v>1</v>
      </c>
      <c r="S2155" t="n">
        <v/>
      </c>
      <c r="T2155" t="n">
        <v/>
      </c>
      <c r="U2155" t="n">
        <v/>
      </c>
      <c r="V2155" t="b">
        <v>0</v>
      </c>
      <c r="W2155" t="inlineStr"/>
      <c r="X2155" t="n">
        <v/>
      </c>
    </row>
    <row r="2156">
      <c r="A2156" t="inlineStr">
        <is>
          <t>ATF fuel</t>
        </is>
      </c>
      <c r="B2156" t="inlineStr">
        <is>
          <t>G226</t>
        </is>
      </c>
      <c r="C2156" t="n">
        <v>226</v>
      </c>
      <c r="D2156" t="n">
        <v>7</v>
      </c>
      <c r="E2156" t="inlineStr">
        <is>
          <t>Calculation</t>
        </is>
      </c>
      <c r="F2156" t="inlineStr">
        <is>
          <t>'=(1+(C226/C225)-1)*G225</t>
        </is>
      </c>
      <c r="G2156" t="n">
        <v>123.1183065656539</v>
      </c>
      <c r="H2156" t="inlineStr"/>
      <c r="I2156" t="inlineStr">
        <is>
          <t>General</t>
        </is>
      </c>
      <c r="J2156" t="b">
        <v>0</v>
      </c>
      <c r="K2156" t="b">
        <v>0</v>
      </c>
      <c r="L2156" t="n">
        <v>11</v>
      </c>
      <c r="M2156" t="inlineStr">
        <is>
          <t>Values must be of type &lt;class 'str'&gt;</t>
        </is>
      </c>
      <c r="N2156" t="inlineStr">
        <is>
          <t>00000000</t>
        </is>
      </c>
      <c r="O2156" t="inlineStr">
        <is>
          <t>left</t>
        </is>
      </c>
      <c r="P2156" t="n">
        <v/>
      </c>
      <c r="R2156" t="b">
        <v>1</v>
      </c>
      <c r="S2156" t="inlineStr">
        <is>
          <t>G000385</t>
        </is>
      </c>
      <c r="T2156" t="inlineStr">
        <is>
          <t>Horizontal</t>
        </is>
      </c>
      <c r="U2156" t="n">
        <v>3</v>
      </c>
      <c r="V2156" t="b">
        <v>1</v>
      </c>
      <c r="W2156" t="inlineStr">
        <is>
          <t>ATF fuel!G226:I226</t>
        </is>
      </c>
      <c r="X2156">
        <f>(1+(R[0]C[-4]/R[-1]C[-4])-1)*R[-1]C[0]</f>
        <v/>
      </c>
    </row>
    <row r="2157">
      <c r="A2157" t="inlineStr">
        <is>
          <t>ATF fuel</t>
        </is>
      </c>
      <c r="B2157" t="inlineStr">
        <is>
          <t>H226</t>
        </is>
      </c>
      <c r="C2157" t="n">
        <v>226</v>
      </c>
      <c r="D2157" t="n">
        <v>8</v>
      </c>
      <c r="E2157" t="inlineStr">
        <is>
          <t>Calculation</t>
        </is>
      </c>
      <c r="F2157" t="inlineStr">
        <is>
          <t>'=(1+(D226/D225)-1)*H225</t>
        </is>
      </c>
      <c r="G2157" t="n">
        <v>71.1605954253904</v>
      </c>
      <c r="H2157" t="inlineStr"/>
      <c r="I2157" t="inlineStr">
        <is>
          <t>General</t>
        </is>
      </c>
      <c r="J2157" t="b">
        <v>0</v>
      </c>
      <c r="K2157" t="b">
        <v>0</v>
      </c>
      <c r="L2157" t="n">
        <v>11</v>
      </c>
      <c r="M2157" t="inlineStr">
        <is>
          <t>Values must be of type &lt;class 'str'&gt;</t>
        </is>
      </c>
      <c r="N2157" t="inlineStr">
        <is>
          <t>00000000</t>
        </is>
      </c>
      <c r="O2157" t="inlineStr">
        <is>
          <t>left</t>
        </is>
      </c>
      <c r="P2157" t="n">
        <v/>
      </c>
      <c r="R2157" t="b">
        <v>1</v>
      </c>
      <c r="S2157" t="inlineStr">
        <is>
          <t>G000385</t>
        </is>
      </c>
      <c r="T2157" t="inlineStr">
        <is>
          <t>Horizontal</t>
        </is>
      </c>
      <c r="U2157" t="n">
        <v>3</v>
      </c>
      <c r="V2157" t="b">
        <v>1</v>
      </c>
      <c r="W2157" t="inlineStr">
        <is>
          <t>ATF fuel!G226:I226</t>
        </is>
      </c>
      <c r="X2157">
        <f>(1+(R[0]C[-4]/R[-1]C[-4])-1)*R[-1]C[0]</f>
        <v/>
      </c>
    </row>
    <row r="2158">
      <c r="A2158" t="inlineStr">
        <is>
          <t>ATF fuel</t>
        </is>
      </c>
      <c r="B2158" t="inlineStr">
        <is>
          <t>I226</t>
        </is>
      </c>
      <c r="C2158" t="n">
        <v>226</v>
      </c>
      <c r="D2158" t="n">
        <v>9</v>
      </c>
      <c r="E2158" t="inlineStr">
        <is>
          <t>Calculation</t>
        </is>
      </c>
      <c r="F2158" t="inlineStr">
        <is>
          <t>'=(1+(E226/E225)-1)*I225</t>
        </is>
      </c>
      <c r="G2158" t="n">
        <v>59.84857447060219</v>
      </c>
      <c r="H2158" t="inlineStr"/>
      <c r="I2158" t="inlineStr">
        <is>
          <t>General</t>
        </is>
      </c>
      <c r="J2158" t="b">
        <v>0</v>
      </c>
      <c r="K2158" t="b">
        <v>0</v>
      </c>
      <c r="L2158" t="n">
        <v>11</v>
      </c>
      <c r="M2158" t="inlineStr">
        <is>
          <t>Values must be of type &lt;class 'str'&gt;</t>
        </is>
      </c>
      <c r="N2158" t="inlineStr">
        <is>
          <t>00000000</t>
        </is>
      </c>
      <c r="O2158" t="inlineStr">
        <is>
          <t>left</t>
        </is>
      </c>
      <c r="P2158" t="n">
        <v/>
      </c>
      <c r="R2158" t="b">
        <v>1</v>
      </c>
      <c r="S2158" t="inlineStr">
        <is>
          <t>G000385</t>
        </is>
      </c>
      <c r="T2158" t="inlineStr">
        <is>
          <t>Horizontal</t>
        </is>
      </c>
      <c r="U2158" t="n">
        <v>3</v>
      </c>
      <c r="V2158" t="b">
        <v>1</v>
      </c>
      <c r="W2158" t="inlineStr">
        <is>
          <t>ATF fuel!G226:I226</t>
        </is>
      </c>
      <c r="X2158">
        <f>(1+(R[0]C[-4]/R[-1]C[-4])-1)*R[-1]C[0]</f>
        <v/>
      </c>
    </row>
    <row r="2159">
      <c r="A2159" t="inlineStr">
        <is>
          <t>ATF fuel</t>
        </is>
      </c>
      <c r="B2159" t="inlineStr">
        <is>
          <t>J226</t>
        </is>
      </c>
      <c r="C2159" t="n">
        <v>226</v>
      </c>
      <c r="D2159" t="n">
        <v>10</v>
      </c>
      <c r="E2159" t="inlineStr">
        <is>
          <t>Output</t>
        </is>
      </c>
      <c r="F2159" t="inlineStr">
        <is>
          <t>'=G226/H226-1</t>
        </is>
      </c>
      <c r="G2159" t="n">
        <v>0.730147223047614</v>
      </c>
      <c r="H2159" t="inlineStr"/>
      <c r="I2159" t="inlineStr">
        <is>
          <t>0.0%</t>
        </is>
      </c>
      <c r="J2159" t="b">
        <v>0</v>
      </c>
      <c r="K2159" t="b">
        <v>0</v>
      </c>
      <c r="L2159" t="n">
        <v>11</v>
      </c>
      <c r="M2159" t="inlineStr">
        <is>
          <t>Values must be of type &lt;class 'str'&gt;</t>
        </is>
      </c>
      <c r="N2159" t="inlineStr">
        <is>
          <t>00000000</t>
        </is>
      </c>
      <c r="O2159" t="n">
        <v/>
      </c>
      <c r="P2159" t="n">
        <v/>
      </c>
      <c r="R2159" t="b">
        <v>1</v>
      </c>
      <c r="S2159" t="inlineStr">
        <is>
          <t>G000295</t>
        </is>
      </c>
      <c r="T2159" t="inlineStr">
        <is>
          <t>Vertical</t>
        </is>
      </c>
      <c r="U2159" t="n">
        <v>93</v>
      </c>
      <c r="V2159" t="b">
        <v>1</v>
      </c>
      <c r="W2159" t="inlineStr">
        <is>
          <t>ATF fuel!J136:J228</t>
        </is>
      </c>
      <c r="X2159">
        <f>R[0]C[-3]/R[0]C[-2]-1</f>
        <v/>
      </c>
    </row>
    <row r="2160">
      <c r="A2160" t="inlineStr">
        <is>
          <t>ATF fuel</t>
        </is>
      </c>
      <c r="B2160" t="inlineStr">
        <is>
          <t>B227</t>
        </is>
      </c>
      <c r="C2160" t="n">
        <v>227</v>
      </c>
      <c r="D2160" t="n">
        <v>2</v>
      </c>
      <c r="E2160" t="inlineStr">
        <is>
          <t>Input</t>
        </is>
      </c>
      <c r="F2160" t="n">
        <v/>
      </c>
      <c r="G2160" t="inlineStr">
        <is>
          <t>November 01,2017</t>
        </is>
      </c>
      <c r="H2160" t="inlineStr"/>
      <c r="I2160" t="inlineStr">
        <is>
          <t>General</t>
        </is>
      </c>
      <c r="J2160" t="b">
        <v>0</v>
      </c>
      <c r="K2160" t="b">
        <v>0</v>
      </c>
      <c r="L2160" t="n">
        <v>11</v>
      </c>
      <c r="M2160" t="inlineStr">
        <is>
          <t>Values must be of type &lt;class 'str'&gt;</t>
        </is>
      </c>
      <c r="N2160" t="inlineStr">
        <is>
          <t>00000000</t>
        </is>
      </c>
      <c r="O2160" t="n">
        <v/>
      </c>
      <c r="P2160" t="n">
        <v/>
      </c>
      <c r="R2160" t="b">
        <v>1</v>
      </c>
      <c r="S2160" t="n">
        <v/>
      </c>
      <c r="T2160" t="n">
        <v/>
      </c>
      <c r="U2160" t="n">
        <v/>
      </c>
      <c r="V2160" t="b">
        <v>0</v>
      </c>
      <c r="W2160" t="inlineStr"/>
      <c r="X2160" t="n">
        <v/>
      </c>
    </row>
    <row r="2161">
      <c r="A2161" t="inlineStr">
        <is>
          <t>ATF fuel</t>
        </is>
      </c>
      <c r="B2161" t="inlineStr">
        <is>
          <t>C227</t>
        </is>
      </c>
      <c r="C2161" t="n">
        <v>227</v>
      </c>
      <c r="D2161" t="n">
        <v>3</v>
      </c>
      <c r="E2161" t="inlineStr">
        <is>
          <t>Input</t>
        </is>
      </c>
      <c r="F2161" t="n">
        <v/>
      </c>
      <c r="G2161" t="n">
        <v>55746.25</v>
      </c>
      <c r="H2161" t="inlineStr"/>
      <c r="I2161" t="inlineStr">
        <is>
          <t>General</t>
        </is>
      </c>
      <c r="J2161" t="b">
        <v>0</v>
      </c>
      <c r="K2161" t="b">
        <v>0</v>
      </c>
      <c r="L2161" t="n">
        <v>11</v>
      </c>
      <c r="M2161" t="inlineStr">
        <is>
          <t>Values must be of type &lt;class 'str'&gt;</t>
        </is>
      </c>
      <c r="N2161" t="inlineStr">
        <is>
          <t>00000000</t>
        </is>
      </c>
      <c r="O2161" t="n">
        <v/>
      </c>
      <c r="P2161" t="n">
        <v/>
      </c>
      <c r="R2161" t="b">
        <v>1</v>
      </c>
      <c r="S2161" t="n">
        <v/>
      </c>
      <c r="T2161" t="n">
        <v/>
      </c>
      <c r="U2161" t="n">
        <v/>
      </c>
      <c r="V2161" t="b">
        <v>0</v>
      </c>
      <c r="W2161" t="inlineStr"/>
      <c r="X2161" t="n">
        <v/>
      </c>
    </row>
    <row r="2162">
      <c r="A2162" t="inlineStr">
        <is>
          <t>ATF fuel</t>
        </is>
      </c>
      <c r="B2162" t="inlineStr">
        <is>
          <t>D227</t>
        </is>
      </c>
      <c r="C2162" t="n">
        <v>227</v>
      </c>
      <c r="D2162" t="n">
        <v>4</v>
      </c>
      <c r="E2162" t="inlineStr">
        <is>
          <t>Input</t>
        </is>
      </c>
      <c r="F2162" t="n">
        <v/>
      </c>
      <c r="G2162" t="n">
        <v>60.65</v>
      </c>
      <c r="H2162" t="inlineStr"/>
      <c r="I2162" t="inlineStr">
        <is>
          <t>General</t>
        </is>
      </c>
      <c r="J2162" t="b">
        <v>0</v>
      </c>
      <c r="K2162" t="b">
        <v>0</v>
      </c>
      <c r="L2162" t="n">
        <v>11</v>
      </c>
      <c r="M2162" t="inlineStr">
        <is>
          <t>Values must be of type &lt;class 'str'&gt;</t>
        </is>
      </c>
      <c r="N2162" t="inlineStr">
        <is>
          <t>00000000</t>
        </is>
      </c>
      <c r="O2162" t="n">
        <v/>
      </c>
      <c r="P2162" t="n">
        <v/>
      </c>
      <c r="R2162" t="b">
        <v>1</v>
      </c>
      <c r="S2162" t="n">
        <v/>
      </c>
      <c r="T2162" t="n">
        <v/>
      </c>
      <c r="U2162" t="n">
        <v/>
      </c>
      <c r="V2162" t="b">
        <v>0</v>
      </c>
      <c r="W2162" t="inlineStr"/>
      <c r="X2162" t="n">
        <v/>
      </c>
    </row>
    <row r="2163">
      <c r="A2163" t="inlineStr">
        <is>
          <t>ATF fuel</t>
        </is>
      </c>
      <c r="B2163" t="inlineStr">
        <is>
          <t>E227</t>
        </is>
      </c>
      <c r="C2163" t="n">
        <v>227</v>
      </c>
      <c r="D2163" t="n">
        <v>5</v>
      </c>
      <c r="E2163" t="inlineStr">
        <is>
          <t>Input</t>
        </is>
      </c>
      <c r="F2163" t="n">
        <v/>
      </c>
      <c r="G2163" t="n">
        <v>54.32</v>
      </c>
      <c r="H2163" t="inlineStr"/>
      <c r="I2163" t="inlineStr">
        <is>
          <t>General</t>
        </is>
      </c>
      <c r="J2163" t="b">
        <v>0</v>
      </c>
      <c r="K2163" t="b">
        <v>0</v>
      </c>
      <c r="L2163" t="n">
        <v>11</v>
      </c>
      <c r="M2163" t="inlineStr">
        <is>
          <t>Values must be of type &lt;class 'str'&gt;</t>
        </is>
      </c>
      <c r="N2163" t="inlineStr">
        <is>
          <t>00000000</t>
        </is>
      </c>
      <c r="O2163" t="n">
        <v/>
      </c>
      <c r="P2163" t="n">
        <v/>
      </c>
      <c r="R2163" t="b">
        <v>1</v>
      </c>
      <c r="S2163" t="n">
        <v/>
      </c>
      <c r="T2163" t="n">
        <v/>
      </c>
      <c r="U2163" t="n">
        <v/>
      </c>
      <c r="V2163" t="b">
        <v>0</v>
      </c>
      <c r="W2163" t="inlineStr"/>
      <c r="X2163" t="n">
        <v/>
      </c>
    </row>
    <row r="2164">
      <c r="A2164" t="inlineStr">
        <is>
          <t>ATF fuel</t>
        </is>
      </c>
      <c r="B2164" t="inlineStr">
        <is>
          <t>F227</t>
        </is>
      </c>
      <c r="C2164" t="n">
        <v>227</v>
      </c>
      <c r="D2164" t="n">
        <v>6</v>
      </c>
      <c r="E2164" t="inlineStr">
        <is>
          <t>Input</t>
        </is>
      </c>
      <c r="F2164" t="n">
        <v/>
      </c>
      <c r="G2164" t="inlineStr">
        <is>
          <t>November 01,2017</t>
        </is>
      </c>
      <c r="H2164" t="inlineStr"/>
      <c r="I2164" t="inlineStr">
        <is>
          <t>General</t>
        </is>
      </c>
      <c r="J2164" t="b">
        <v>0</v>
      </c>
      <c r="K2164" t="b">
        <v>0</v>
      </c>
      <c r="L2164" t="n">
        <v>11</v>
      </c>
      <c r="M2164" t="inlineStr">
        <is>
          <t>Values must be of type &lt;class 'str'&gt;</t>
        </is>
      </c>
      <c r="N2164" t="inlineStr">
        <is>
          <t>00000000</t>
        </is>
      </c>
      <c r="O2164" t="inlineStr">
        <is>
          <t>left</t>
        </is>
      </c>
      <c r="P2164" t="n">
        <v/>
      </c>
      <c r="R2164" t="b">
        <v>1</v>
      </c>
      <c r="S2164" t="n">
        <v/>
      </c>
      <c r="T2164" t="n">
        <v/>
      </c>
      <c r="U2164" t="n">
        <v/>
      </c>
      <c r="V2164" t="b">
        <v>0</v>
      </c>
      <c r="W2164" t="inlineStr"/>
      <c r="X2164" t="n">
        <v/>
      </c>
    </row>
    <row r="2165">
      <c r="A2165" t="inlineStr">
        <is>
          <t>ATF fuel</t>
        </is>
      </c>
      <c r="B2165" t="inlineStr">
        <is>
          <t>G227</t>
        </is>
      </c>
      <c r="C2165" t="n">
        <v>227</v>
      </c>
      <c r="D2165" t="n">
        <v>7</v>
      </c>
      <c r="E2165" t="inlineStr">
        <is>
          <t>Calculation</t>
        </is>
      </c>
      <c r="F2165" t="inlineStr">
        <is>
          <t>'=(1+(C227/C226)-1)*G226</t>
        </is>
      </c>
      <c r="G2165" t="n">
        <v>125.6627252691095</v>
      </c>
      <c r="H2165" t="inlineStr"/>
      <c r="I2165" t="inlineStr">
        <is>
          <t>General</t>
        </is>
      </c>
      <c r="J2165" t="b">
        <v>0</v>
      </c>
      <c r="K2165" t="b">
        <v>0</v>
      </c>
      <c r="L2165" t="n">
        <v>11</v>
      </c>
      <c r="M2165" t="inlineStr">
        <is>
          <t>Values must be of type &lt;class 'str'&gt;</t>
        </is>
      </c>
      <c r="N2165" t="inlineStr">
        <is>
          <t>00000000</t>
        </is>
      </c>
      <c r="O2165" t="inlineStr">
        <is>
          <t>left</t>
        </is>
      </c>
      <c r="P2165" t="n">
        <v/>
      </c>
      <c r="R2165" t="b">
        <v>1</v>
      </c>
      <c r="S2165" t="inlineStr">
        <is>
          <t>G000386</t>
        </is>
      </c>
      <c r="T2165" t="inlineStr">
        <is>
          <t>Horizontal</t>
        </is>
      </c>
      <c r="U2165" t="n">
        <v>3</v>
      </c>
      <c r="V2165" t="b">
        <v>1</v>
      </c>
      <c r="W2165" t="inlineStr">
        <is>
          <t>ATF fuel!G227:I227</t>
        </is>
      </c>
      <c r="X2165">
        <f>(1+(R[0]C[-4]/R[-1]C[-4])-1)*R[-1]C[0]</f>
        <v/>
      </c>
    </row>
    <row r="2166">
      <c r="A2166" t="inlineStr">
        <is>
          <t>ATF fuel</t>
        </is>
      </c>
      <c r="B2166" t="inlineStr">
        <is>
          <t>H227</t>
        </is>
      </c>
      <c r="C2166" t="n">
        <v>227</v>
      </c>
      <c r="D2166" t="n">
        <v>8</v>
      </c>
      <c r="E2166" t="inlineStr">
        <is>
          <t>Calculation</t>
        </is>
      </c>
      <c r="F2166" t="inlineStr">
        <is>
          <t>'=(1+(D227/D226)-1)*H226</t>
        </is>
      </c>
      <c r="G2166" t="n">
        <v>73.39949171003278</v>
      </c>
      <c r="H2166" t="inlineStr"/>
      <c r="I2166" t="inlineStr">
        <is>
          <t>General</t>
        </is>
      </c>
      <c r="J2166" t="b">
        <v>0</v>
      </c>
      <c r="K2166" t="b">
        <v>0</v>
      </c>
      <c r="L2166" t="n">
        <v>11</v>
      </c>
      <c r="M2166" t="inlineStr">
        <is>
          <t>Values must be of type &lt;class 'str'&gt;</t>
        </is>
      </c>
      <c r="N2166" t="inlineStr">
        <is>
          <t>00000000</t>
        </is>
      </c>
      <c r="O2166" t="inlineStr">
        <is>
          <t>left</t>
        </is>
      </c>
      <c r="P2166" t="n">
        <v/>
      </c>
      <c r="R2166" t="b">
        <v>1</v>
      </c>
      <c r="S2166" t="inlineStr">
        <is>
          <t>G000386</t>
        </is>
      </c>
      <c r="T2166" t="inlineStr">
        <is>
          <t>Horizontal</t>
        </is>
      </c>
      <c r="U2166" t="n">
        <v>3</v>
      </c>
      <c r="V2166" t="b">
        <v>1</v>
      </c>
      <c r="W2166" t="inlineStr">
        <is>
          <t>ATF fuel!G227:I227</t>
        </is>
      </c>
      <c r="X2166">
        <f>(1+(R[0]C[-4]/R[-1]C[-4])-1)*R[-1]C[0]</f>
        <v/>
      </c>
    </row>
    <row r="2167">
      <c r="A2167" t="inlineStr">
        <is>
          <t>ATF fuel</t>
        </is>
      </c>
      <c r="B2167" t="inlineStr">
        <is>
          <t>I227</t>
        </is>
      </c>
      <c r="C2167" t="n">
        <v>227</v>
      </c>
      <c r="D2167" t="n">
        <v>9</v>
      </c>
      <c r="E2167" t="inlineStr">
        <is>
          <t>Calculation</t>
        </is>
      </c>
      <c r="F2167" t="inlineStr">
        <is>
          <t>'=(1+(E227/E226)-1)*I226</t>
        </is>
      </c>
      <c r="G2167" t="n">
        <v>64.26120903821131</v>
      </c>
      <c r="H2167" t="inlineStr"/>
      <c r="I2167" t="inlineStr">
        <is>
          <t>General</t>
        </is>
      </c>
      <c r="J2167" t="b">
        <v>0</v>
      </c>
      <c r="K2167" t="b">
        <v>0</v>
      </c>
      <c r="L2167" t="n">
        <v>11</v>
      </c>
      <c r="M2167" t="inlineStr">
        <is>
          <t>Values must be of type &lt;class 'str'&gt;</t>
        </is>
      </c>
      <c r="N2167" t="inlineStr">
        <is>
          <t>00000000</t>
        </is>
      </c>
      <c r="O2167" t="inlineStr">
        <is>
          <t>left</t>
        </is>
      </c>
      <c r="P2167" t="n">
        <v/>
      </c>
      <c r="R2167" t="b">
        <v>1</v>
      </c>
      <c r="S2167" t="inlineStr">
        <is>
          <t>G000386</t>
        </is>
      </c>
      <c r="T2167" t="inlineStr">
        <is>
          <t>Horizontal</t>
        </is>
      </c>
      <c r="U2167" t="n">
        <v>3</v>
      </c>
      <c r="V2167" t="b">
        <v>1</v>
      </c>
      <c r="W2167" t="inlineStr">
        <is>
          <t>ATF fuel!G227:I227</t>
        </is>
      </c>
      <c r="X2167">
        <f>(1+(R[0]C[-4]/R[-1]C[-4])-1)*R[-1]C[0]</f>
        <v/>
      </c>
    </row>
    <row r="2168">
      <c r="A2168" t="inlineStr">
        <is>
          <t>ATF fuel</t>
        </is>
      </c>
      <c r="B2168" t="inlineStr">
        <is>
          <t>J227</t>
        </is>
      </c>
      <c r="C2168" t="n">
        <v>227</v>
      </c>
      <c r="D2168" t="n">
        <v>10</v>
      </c>
      <c r="E2168" t="inlineStr">
        <is>
          <t>Output</t>
        </is>
      </c>
      <c r="F2168" t="inlineStr">
        <is>
          <t>'=G227/H227-1</t>
        </is>
      </c>
      <c r="G2168" t="n">
        <v>0.7120380855707344</v>
      </c>
      <c r="H2168" t="inlineStr"/>
      <c r="I2168" t="inlineStr">
        <is>
          <t>0.0%</t>
        </is>
      </c>
      <c r="J2168" t="b">
        <v>0</v>
      </c>
      <c r="K2168" t="b">
        <v>0</v>
      </c>
      <c r="L2168" t="n">
        <v>11</v>
      </c>
      <c r="M2168" t="inlineStr">
        <is>
          <t>Values must be of type &lt;class 'str'&gt;</t>
        </is>
      </c>
      <c r="N2168" t="inlineStr">
        <is>
          <t>00000000</t>
        </is>
      </c>
      <c r="O2168" t="n">
        <v/>
      </c>
      <c r="P2168" t="n">
        <v/>
      </c>
      <c r="R2168" t="b">
        <v>1</v>
      </c>
      <c r="S2168" t="inlineStr">
        <is>
          <t>G000295</t>
        </is>
      </c>
      <c r="T2168" t="inlineStr">
        <is>
          <t>Vertical</t>
        </is>
      </c>
      <c r="U2168" t="n">
        <v>93</v>
      </c>
      <c r="V2168" t="b">
        <v>1</v>
      </c>
      <c r="W2168" t="inlineStr">
        <is>
          <t>ATF fuel!J136:J228</t>
        </is>
      </c>
      <c r="X2168">
        <f>R[0]C[-3]/R[0]C[-2]-1</f>
        <v/>
      </c>
    </row>
    <row r="2169">
      <c r="A2169" t="inlineStr">
        <is>
          <t>ATF fuel</t>
        </is>
      </c>
      <c r="B2169" t="inlineStr">
        <is>
          <t>B228</t>
        </is>
      </c>
      <c r="C2169" t="n">
        <v>228</v>
      </c>
      <c r="D2169" t="n">
        <v>2</v>
      </c>
      <c r="E2169" t="inlineStr">
        <is>
          <t>Input</t>
        </is>
      </c>
      <c r="F2169" t="n">
        <v/>
      </c>
      <c r="G2169" t="inlineStr">
        <is>
          <t>December 01,2017</t>
        </is>
      </c>
      <c r="H2169" t="inlineStr"/>
      <c r="I2169" t="inlineStr">
        <is>
          <t>General</t>
        </is>
      </c>
      <c r="J2169" t="b">
        <v>0</v>
      </c>
      <c r="K2169" t="b">
        <v>0</v>
      </c>
      <c r="L2169" t="n">
        <v>11</v>
      </c>
      <c r="M2169" t="inlineStr">
        <is>
          <t>Values must be of type &lt;class 'str'&gt;</t>
        </is>
      </c>
      <c r="N2169" t="inlineStr">
        <is>
          <t>00000000</t>
        </is>
      </c>
      <c r="O2169" t="n">
        <v/>
      </c>
      <c r="P2169" t="n">
        <v/>
      </c>
      <c r="R2169" t="b">
        <v>1</v>
      </c>
      <c r="S2169" t="n">
        <v/>
      </c>
      <c r="T2169" t="n">
        <v/>
      </c>
      <c r="U2169" t="n">
        <v/>
      </c>
      <c r="V2169" t="b">
        <v>0</v>
      </c>
      <c r="W2169" t="inlineStr"/>
      <c r="X2169" t="n">
        <v/>
      </c>
    </row>
    <row r="2170">
      <c r="A2170" t="inlineStr">
        <is>
          <t>ATF fuel</t>
        </is>
      </c>
      <c r="B2170" t="inlineStr">
        <is>
          <t>C228</t>
        </is>
      </c>
      <c r="C2170" t="n">
        <v>228</v>
      </c>
      <c r="D2170" t="n">
        <v>3</v>
      </c>
      <c r="E2170" t="inlineStr">
        <is>
          <t>Input</t>
        </is>
      </c>
      <c r="F2170" t="n">
        <v/>
      </c>
      <c r="G2170" t="n">
        <v>58985.5</v>
      </c>
      <c r="H2170" t="inlineStr"/>
      <c r="I2170" t="inlineStr">
        <is>
          <t>General</t>
        </is>
      </c>
      <c r="J2170" t="b">
        <v>0</v>
      </c>
      <c r="K2170" t="b">
        <v>0</v>
      </c>
      <c r="L2170" t="n">
        <v>11</v>
      </c>
      <c r="M2170" t="inlineStr">
        <is>
          <t>Values must be of type &lt;class 'str'&gt;</t>
        </is>
      </c>
      <c r="N2170" t="inlineStr">
        <is>
          <t>00000000</t>
        </is>
      </c>
      <c r="O2170" t="n">
        <v/>
      </c>
      <c r="P2170" t="n">
        <v/>
      </c>
      <c r="R2170" t="b">
        <v>1</v>
      </c>
      <c r="S2170" t="n">
        <v/>
      </c>
      <c r="T2170" t="n">
        <v/>
      </c>
      <c r="U2170" t="n">
        <v/>
      </c>
      <c r="V2170" t="b">
        <v>0</v>
      </c>
      <c r="W2170" t="inlineStr"/>
      <c r="X2170" t="n">
        <v/>
      </c>
    </row>
    <row r="2171">
      <c r="A2171" t="inlineStr">
        <is>
          <t>ATF fuel</t>
        </is>
      </c>
      <c r="B2171" t="inlineStr">
        <is>
          <t>D228</t>
        </is>
      </c>
      <c r="C2171" t="n">
        <v>228</v>
      </c>
      <c r="D2171" t="n">
        <v>4</v>
      </c>
      <c r="E2171" t="inlineStr">
        <is>
          <t>Input</t>
        </is>
      </c>
      <c r="F2171" t="n">
        <v/>
      </c>
      <c r="G2171" t="n">
        <v>63.56</v>
      </c>
      <c r="H2171" t="inlineStr"/>
      <c r="I2171" t="inlineStr">
        <is>
          <t>General</t>
        </is>
      </c>
      <c r="J2171" t="b">
        <v>0</v>
      </c>
      <c r="K2171" t="b">
        <v>0</v>
      </c>
      <c r="L2171" t="n">
        <v>11</v>
      </c>
      <c r="M2171" t="inlineStr">
        <is>
          <t>Values must be of type &lt;class 'str'&gt;</t>
        </is>
      </c>
      <c r="N2171" t="inlineStr">
        <is>
          <t>00000000</t>
        </is>
      </c>
      <c r="O2171" t="n">
        <v/>
      </c>
      <c r="P2171" t="n">
        <v/>
      </c>
      <c r="R2171" t="b">
        <v>1</v>
      </c>
      <c r="S2171" t="n">
        <v/>
      </c>
      <c r="T2171" t="n">
        <v/>
      </c>
      <c r="U2171" t="n">
        <v/>
      </c>
      <c r="V2171" t="b">
        <v>0</v>
      </c>
      <c r="W2171" t="inlineStr"/>
      <c r="X2171" t="n">
        <v/>
      </c>
    </row>
    <row r="2172">
      <c r="A2172" t="inlineStr">
        <is>
          <t>ATF fuel</t>
        </is>
      </c>
      <c r="B2172" t="inlineStr">
        <is>
          <t>E228</t>
        </is>
      </c>
      <c r="C2172" t="n">
        <v>228</v>
      </c>
      <c r="D2172" t="n">
        <v>5</v>
      </c>
      <c r="E2172" t="inlineStr">
        <is>
          <t>Input</t>
        </is>
      </c>
      <c r="F2172" t="n">
        <v/>
      </c>
      <c r="G2172" t="n">
        <v>58.35</v>
      </c>
      <c r="H2172" t="inlineStr"/>
      <c r="I2172" t="inlineStr">
        <is>
          <t>General</t>
        </is>
      </c>
      <c r="J2172" t="b">
        <v>0</v>
      </c>
      <c r="K2172" t="b">
        <v>0</v>
      </c>
      <c r="L2172" t="n">
        <v>11</v>
      </c>
      <c r="M2172" t="inlineStr">
        <is>
          <t>Values must be of type &lt;class 'str'&gt;</t>
        </is>
      </c>
      <c r="N2172" t="inlineStr">
        <is>
          <t>00000000</t>
        </is>
      </c>
      <c r="O2172" t="n">
        <v/>
      </c>
      <c r="P2172" t="n">
        <v/>
      </c>
      <c r="R2172" t="b">
        <v>1</v>
      </c>
      <c r="S2172" t="n">
        <v/>
      </c>
      <c r="T2172" t="n">
        <v/>
      </c>
      <c r="U2172" t="n">
        <v/>
      </c>
      <c r="V2172" t="b">
        <v>0</v>
      </c>
      <c r="W2172" t="inlineStr"/>
      <c r="X2172" t="n">
        <v/>
      </c>
    </row>
    <row r="2173">
      <c r="A2173" t="inlineStr">
        <is>
          <t>ATF fuel</t>
        </is>
      </c>
      <c r="B2173" t="inlineStr">
        <is>
          <t>F228</t>
        </is>
      </c>
      <c r="C2173" t="n">
        <v>228</v>
      </c>
      <c r="D2173" t="n">
        <v>6</v>
      </c>
      <c r="E2173" t="inlineStr">
        <is>
          <t>Input</t>
        </is>
      </c>
      <c r="F2173" t="n">
        <v/>
      </c>
      <c r="G2173" t="inlineStr">
        <is>
          <t>December 01,2017</t>
        </is>
      </c>
      <c r="H2173" t="inlineStr"/>
      <c r="I2173" t="inlineStr">
        <is>
          <t>General</t>
        </is>
      </c>
      <c r="J2173" t="b">
        <v>0</v>
      </c>
      <c r="K2173" t="b">
        <v>0</v>
      </c>
      <c r="L2173" t="n">
        <v>11</v>
      </c>
      <c r="M2173" t="inlineStr">
        <is>
          <t>Values must be of type &lt;class 'str'&gt;</t>
        </is>
      </c>
      <c r="N2173" t="inlineStr">
        <is>
          <t>00000000</t>
        </is>
      </c>
      <c r="O2173" t="inlineStr">
        <is>
          <t>left</t>
        </is>
      </c>
      <c r="P2173" t="n">
        <v/>
      </c>
      <c r="R2173" t="b">
        <v>1</v>
      </c>
      <c r="S2173" t="n">
        <v/>
      </c>
      <c r="T2173" t="n">
        <v/>
      </c>
      <c r="U2173" t="n">
        <v/>
      </c>
      <c r="V2173" t="b">
        <v>0</v>
      </c>
      <c r="W2173" t="inlineStr"/>
      <c r="X2173" t="n">
        <v/>
      </c>
    </row>
    <row r="2174">
      <c r="A2174" t="inlineStr">
        <is>
          <t>ATF fuel</t>
        </is>
      </c>
      <c r="B2174" t="inlineStr">
        <is>
          <t>G228</t>
        </is>
      </c>
      <c r="C2174" t="n">
        <v>228</v>
      </c>
      <c r="D2174" t="n">
        <v>7</v>
      </c>
      <c r="E2174" t="inlineStr">
        <is>
          <t>Calculation</t>
        </is>
      </c>
      <c r="F2174" t="inlineStr">
        <is>
          <t>'=(1+(C228/C227)-1)*G227</t>
        </is>
      </c>
      <c r="G2174" t="n">
        <v>132.964615222747</v>
      </c>
      <c r="H2174" t="inlineStr"/>
      <c r="I2174" t="inlineStr">
        <is>
          <t>General</t>
        </is>
      </c>
      <c r="J2174" t="b">
        <v>0</v>
      </c>
      <c r="K2174" t="b">
        <v>0</v>
      </c>
      <c r="L2174" t="n">
        <v>11</v>
      </c>
      <c r="M2174" t="inlineStr">
        <is>
          <t>Values must be of type &lt;class 'str'&gt;</t>
        </is>
      </c>
      <c r="N2174" t="inlineStr">
        <is>
          <t>00000000</t>
        </is>
      </c>
      <c r="O2174" t="inlineStr">
        <is>
          <t>left</t>
        </is>
      </c>
      <c r="P2174" t="n">
        <v/>
      </c>
      <c r="R2174" t="b">
        <v>1</v>
      </c>
      <c r="S2174" t="inlineStr">
        <is>
          <t>G000387</t>
        </is>
      </c>
      <c r="T2174" t="inlineStr">
        <is>
          <t>Horizontal</t>
        </is>
      </c>
      <c r="U2174" t="n">
        <v>3</v>
      </c>
      <c r="V2174" t="b">
        <v>1</v>
      </c>
      <c r="W2174" t="inlineStr">
        <is>
          <t>ATF fuel!G228:I228</t>
        </is>
      </c>
      <c r="X2174">
        <f>(1+(R[0]C[-4]/R[-1]C[-4])-1)*R[-1]C[0]</f>
        <v/>
      </c>
    </row>
    <row r="2175">
      <c r="A2175" t="inlineStr">
        <is>
          <t>ATF fuel</t>
        </is>
      </c>
      <c r="B2175" t="inlineStr">
        <is>
          <t>H228</t>
        </is>
      </c>
      <c r="C2175" t="n">
        <v>228</v>
      </c>
      <c r="D2175" t="n">
        <v>8</v>
      </c>
      <c r="E2175" t="inlineStr">
        <is>
          <t>Calculation</t>
        </is>
      </c>
      <c r="F2175" t="inlineStr">
        <is>
          <t>'=(1+(D228/D227)-1)*H227</t>
        </is>
      </c>
      <c r="G2175" t="n">
        <v>76.92121505506485</v>
      </c>
      <c r="H2175" t="inlineStr"/>
      <c r="I2175" t="inlineStr">
        <is>
          <t>General</t>
        </is>
      </c>
      <c r="J2175" t="b">
        <v>0</v>
      </c>
      <c r="K2175" t="b">
        <v>0</v>
      </c>
      <c r="L2175" t="n">
        <v>11</v>
      </c>
      <c r="M2175" t="inlineStr">
        <is>
          <t>Values must be of type &lt;class 'str'&gt;</t>
        </is>
      </c>
      <c r="N2175" t="inlineStr">
        <is>
          <t>00000000</t>
        </is>
      </c>
      <c r="O2175" t="inlineStr">
        <is>
          <t>left</t>
        </is>
      </c>
      <c r="P2175" t="n">
        <v/>
      </c>
      <c r="R2175" t="b">
        <v>1</v>
      </c>
      <c r="S2175" t="inlineStr">
        <is>
          <t>G000387</t>
        </is>
      </c>
      <c r="T2175" t="inlineStr">
        <is>
          <t>Horizontal</t>
        </is>
      </c>
      <c r="U2175" t="n">
        <v>3</v>
      </c>
      <c r="V2175" t="b">
        <v>1</v>
      </c>
      <c r="W2175" t="inlineStr">
        <is>
          <t>ATF fuel!G228:I228</t>
        </is>
      </c>
      <c r="X2175">
        <f>(1+(R[0]C[-4]/R[-1]C[-4])-1)*R[-1]C[0]</f>
        <v/>
      </c>
    </row>
    <row r="2176">
      <c r="A2176" t="inlineStr">
        <is>
          <t>ATF fuel</t>
        </is>
      </c>
      <c r="B2176" t="inlineStr">
        <is>
          <t>I228</t>
        </is>
      </c>
      <c r="C2176" t="n">
        <v>228</v>
      </c>
      <c r="D2176" t="n">
        <v>9</v>
      </c>
      <c r="E2176" t="inlineStr">
        <is>
          <t>Output</t>
        </is>
      </c>
      <c r="F2176" t="inlineStr">
        <is>
          <t>'=(1+(E228/E227)-1)*I227</t>
        </is>
      </c>
      <c r="G2176" t="n">
        <v>69.02874719034665</v>
      </c>
      <c r="H2176" t="inlineStr"/>
      <c r="I2176" t="inlineStr">
        <is>
          <t>General</t>
        </is>
      </c>
      <c r="J2176" t="b">
        <v>0</v>
      </c>
      <c r="K2176" t="b">
        <v>0</v>
      </c>
      <c r="L2176" t="n">
        <v>11</v>
      </c>
      <c r="M2176" t="inlineStr">
        <is>
          <t>Values must be of type &lt;class 'str'&gt;</t>
        </is>
      </c>
      <c r="N2176" t="inlineStr">
        <is>
          <t>00000000</t>
        </is>
      </c>
      <c r="O2176" t="inlineStr">
        <is>
          <t>left</t>
        </is>
      </c>
      <c r="P2176" t="n">
        <v/>
      </c>
      <c r="R2176" t="b">
        <v>1</v>
      </c>
      <c r="S2176" t="inlineStr">
        <is>
          <t>G000387</t>
        </is>
      </c>
      <c r="T2176" t="inlineStr">
        <is>
          <t>Horizontal</t>
        </is>
      </c>
      <c r="U2176" t="n">
        <v>3</v>
      </c>
      <c r="V2176" t="b">
        <v>1</v>
      </c>
      <c r="W2176" t="inlineStr">
        <is>
          <t>ATF fuel!G228:I228</t>
        </is>
      </c>
      <c r="X2176">
        <f>(1+(R[0]C[-4]/R[-1]C[-4])-1)*R[-1]C[0]</f>
        <v/>
      </c>
    </row>
    <row r="2177">
      <c r="A2177" t="inlineStr">
        <is>
          <t>ATF fuel</t>
        </is>
      </c>
      <c r="B2177" t="inlineStr">
        <is>
          <t>J228</t>
        </is>
      </c>
      <c r="C2177" t="n">
        <v>228</v>
      </c>
      <c r="D2177" t="n">
        <v>10</v>
      </c>
      <c r="E2177" t="inlineStr">
        <is>
          <t>Output</t>
        </is>
      </c>
      <c r="F2177" t="inlineStr">
        <is>
          <t>'=G228/H228-1</t>
        </is>
      </c>
      <c r="G2177" t="n">
        <v>0.7285818369816819</v>
      </c>
      <c r="H2177" t="inlineStr"/>
      <c r="I2177" t="inlineStr">
        <is>
          <t>0.0%</t>
        </is>
      </c>
      <c r="J2177" t="b">
        <v>0</v>
      </c>
      <c r="K2177" t="b">
        <v>0</v>
      </c>
      <c r="L2177" t="n">
        <v>11</v>
      </c>
      <c r="M2177" t="inlineStr">
        <is>
          <t>Values must be of type &lt;class 'str'&gt;</t>
        </is>
      </c>
      <c r="N2177" t="inlineStr">
        <is>
          <t>00000000</t>
        </is>
      </c>
      <c r="O2177" t="n">
        <v/>
      </c>
      <c r="P2177" t="n">
        <v/>
      </c>
      <c r="R2177" t="b">
        <v>1</v>
      </c>
      <c r="S2177" t="inlineStr">
        <is>
          <t>G000295</t>
        </is>
      </c>
      <c r="T2177" t="inlineStr">
        <is>
          <t>Vertical</t>
        </is>
      </c>
      <c r="U2177" t="n">
        <v>93</v>
      </c>
      <c r="V2177" t="b">
        <v>1</v>
      </c>
      <c r="W2177" t="inlineStr">
        <is>
          <t>ATF fuel!J136:J228</t>
        </is>
      </c>
      <c r="X2177">
        <f>R[0]C[-3]/R[0]C[-2]-1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Valuation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Interglobe Aviation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22</v>
      </c>
      <c r="M2" t="inlineStr">
        <is>
          <t>Values must be of type &lt;class 'str'&gt;</t>
        </is>
      </c>
      <c r="N2" t="inlineStr">
        <is>
          <t>FF0B0280</t>
        </is>
      </c>
      <c r="O2" t="inlineStr">
        <is>
          <t>center</t>
        </is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Valuation</t>
        </is>
      </c>
      <c r="B3" t="inlineStr">
        <is>
          <t>D1</t>
        </is>
      </c>
      <c r="C3" t="n">
        <v>1</v>
      </c>
      <c r="D3" t="n">
        <v>4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FF0B0280</t>
        </is>
      </c>
      <c r="O3" t="n">
        <v/>
      </c>
      <c r="P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Valuation</t>
        </is>
      </c>
      <c r="B4" t="inlineStr">
        <is>
          <t>E1</t>
        </is>
      </c>
      <c r="C4" t="n">
        <v>1</v>
      </c>
      <c r="D4" t="n">
        <v>5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FF0B0280</t>
        </is>
      </c>
      <c r="O4" t="n">
        <v/>
      </c>
      <c r="P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Valuation</t>
        </is>
      </c>
      <c r="B5" t="inlineStr">
        <is>
          <t>F1</t>
        </is>
      </c>
      <c r="C5" t="n">
        <v>1</v>
      </c>
      <c r="D5" t="n">
        <v>6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FF0B0280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Valuation</t>
        </is>
      </c>
      <c r="B6" t="inlineStr">
        <is>
          <t>G1</t>
        </is>
      </c>
      <c r="C6" t="n">
        <v>1</v>
      </c>
      <c r="D6" t="n">
        <v>7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FF0B0280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Valuation</t>
        </is>
      </c>
      <c r="B7" t="inlineStr">
        <is>
          <t>H1</t>
        </is>
      </c>
      <c r="C7" t="n">
        <v>1</v>
      </c>
      <c r="D7" t="n">
        <v>8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FF0B0280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Valuation</t>
        </is>
      </c>
      <c r="B8" t="inlineStr">
        <is>
          <t>I1</t>
        </is>
      </c>
      <c r="C8" t="n">
        <v>1</v>
      </c>
      <c r="D8" t="n">
        <v>9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FF0B0280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Valuation</t>
        </is>
      </c>
      <c r="B9" t="inlineStr">
        <is>
          <t>J1</t>
        </is>
      </c>
      <c r="C9" t="n">
        <v>1</v>
      </c>
      <c r="D9" t="n">
        <v>10</v>
      </c>
      <c r="E9" t="inlineStr">
        <is>
          <t>Input</t>
        </is>
      </c>
      <c r="F9" t="n">
        <v/>
      </c>
      <c r="G9" t="n">
        <v>1</v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FF0B0280</t>
        </is>
      </c>
      <c r="O9" t="n">
        <v/>
      </c>
      <c r="P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Valuation</t>
        </is>
      </c>
      <c r="B10" t="inlineStr">
        <is>
          <t>K1</t>
        </is>
      </c>
      <c r="C10" t="n">
        <v>1</v>
      </c>
      <c r="D10" t="n">
        <v>11</v>
      </c>
      <c r="E10" t="inlineStr">
        <is>
          <t>Input</t>
        </is>
      </c>
      <c r="F10" t="n">
        <v/>
      </c>
      <c r="G10" t="n">
        <v>2</v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FF0B0280</t>
        </is>
      </c>
      <c r="O10" t="n">
        <v/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Valuation</t>
        </is>
      </c>
      <c r="B11" t="inlineStr">
        <is>
          <t>L1</t>
        </is>
      </c>
      <c r="C11" t="n">
        <v>1</v>
      </c>
      <c r="D11" t="n">
        <v>12</v>
      </c>
      <c r="E11" t="inlineStr">
        <is>
          <t>Input</t>
        </is>
      </c>
      <c r="F11" t="n">
        <v/>
      </c>
      <c r="G11" t="n">
        <v>3</v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FF0B0280</t>
        </is>
      </c>
      <c r="O11" t="n">
        <v/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Valuation</t>
        </is>
      </c>
      <c r="B12" t="inlineStr">
        <is>
          <t>M1</t>
        </is>
      </c>
      <c r="C12" t="n">
        <v>1</v>
      </c>
      <c r="D12" t="n">
        <v>13</v>
      </c>
      <c r="E12" t="inlineStr">
        <is>
          <t>Input</t>
        </is>
      </c>
      <c r="F12" t="n">
        <v/>
      </c>
      <c r="G12" t="n">
        <v>4</v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FF0B0280</t>
        </is>
      </c>
      <c r="O12" t="n">
        <v/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Valuation</t>
        </is>
      </c>
      <c r="B13" t="inlineStr">
        <is>
          <t>N1</t>
        </is>
      </c>
      <c r="C13" t="n">
        <v>1</v>
      </c>
      <c r="D13" t="n">
        <v>14</v>
      </c>
      <c r="E13" t="inlineStr">
        <is>
          <t>Input</t>
        </is>
      </c>
      <c r="F13" t="n">
        <v/>
      </c>
      <c r="G13" t="n">
        <v>5</v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FF0B0280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Valuation</t>
        </is>
      </c>
      <c r="B14" t="inlineStr">
        <is>
          <t>O1</t>
        </is>
      </c>
      <c r="C14" t="n">
        <v>1</v>
      </c>
      <c r="D14" t="n">
        <v>15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FF0B0280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Valuation</t>
        </is>
      </c>
      <c r="B15" t="inlineStr">
        <is>
          <t>A2</t>
        </is>
      </c>
      <c r="C15" t="n">
        <v>2</v>
      </c>
      <c r="D15" t="n">
        <v>1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Valuation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BOTTOM-UP BETA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Valuation</t>
        </is>
      </c>
      <c r="B17" t="inlineStr">
        <is>
          <t>D3</t>
        </is>
      </c>
      <c r="C17" t="n">
        <v>3</v>
      </c>
      <c r="D17" t="n">
        <v>4</v>
      </c>
      <c r="E17" t="inlineStr">
        <is>
          <t>Input</t>
        </is>
      </c>
      <c r="F17" t="n">
        <v/>
      </c>
      <c r="G17" t="inlineStr">
        <is>
          <t>COST OF DEBT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P17" t="inlineStr">
        <is>
          <t>center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Valuation</t>
        </is>
      </c>
      <c r="B18" t="inlineStr">
        <is>
          <t>E3</t>
        </is>
      </c>
      <c r="C18" t="n">
        <v>3</v>
      </c>
      <c r="D18" t="n">
        <v>5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P18" t="inlineStr">
        <is>
          <t>center</t>
        </is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Valuation</t>
        </is>
      </c>
      <c r="B19" t="inlineStr">
        <is>
          <t>H3</t>
        </is>
      </c>
      <c r="C19" t="n">
        <v>3</v>
      </c>
      <c r="D19" t="n">
        <v>8</v>
      </c>
      <c r="E19" t="inlineStr">
        <is>
          <t>Input</t>
        </is>
      </c>
      <c r="F19" t="n">
        <v/>
      </c>
      <c r="G19" t="inlineStr">
        <is>
          <t>COST OF EQUITY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P19" t="inlineStr">
        <is>
          <t>center</t>
        </is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Valuation</t>
        </is>
      </c>
      <c r="B20" t="inlineStr">
        <is>
          <t>K3</t>
        </is>
      </c>
      <c r="C20" t="n">
        <v>3</v>
      </c>
      <c r="D20" t="n">
        <v>11</v>
      </c>
      <c r="E20" t="inlineStr">
        <is>
          <t>Input</t>
        </is>
      </c>
      <c r="F20" t="n">
        <v/>
      </c>
      <c r="G20" t="inlineStr">
        <is>
          <t>DEBT CALCULATION</t>
        </is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P20" t="inlineStr">
        <is>
          <t>center</t>
        </is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Valuation</t>
        </is>
      </c>
      <c r="B21" t="inlineStr">
        <is>
          <t>O3</t>
        </is>
      </c>
      <c r="C21" t="n">
        <v>3</v>
      </c>
      <c r="D21" t="n">
        <v>15</v>
      </c>
      <c r="E21" t="inlineStr">
        <is>
          <t>Input</t>
        </is>
      </c>
      <c r="F21" t="n">
        <v/>
      </c>
      <c r="G21" t="inlineStr">
        <is>
          <t>Loan Type</t>
        </is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center</t>
        </is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Valuation</t>
        </is>
      </c>
      <c r="B22" t="inlineStr">
        <is>
          <t>P3</t>
        </is>
      </c>
      <c r="C22" t="n">
        <v>3</v>
      </c>
      <c r="D22" t="n">
        <v>16</v>
      </c>
      <c r="E22" t="inlineStr">
        <is>
          <t>Input</t>
        </is>
      </c>
      <c r="F22" t="n">
        <v/>
      </c>
      <c r="G22" t="inlineStr">
        <is>
          <t>Amount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center</t>
        </is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Valuation</t>
        </is>
      </c>
      <c r="B23" t="inlineStr">
        <is>
          <t>Q3</t>
        </is>
      </c>
      <c r="C23" t="n">
        <v>3</v>
      </c>
      <c r="D23" t="n">
        <v>17</v>
      </c>
      <c r="E23" t="inlineStr">
        <is>
          <t>Input</t>
        </is>
      </c>
      <c r="F23" t="n">
        <v/>
      </c>
      <c r="G23" t="inlineStr">
        <is>
          <t xml:space="preserve">Interest </t>
        </is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center</t>
        </is>
      </c>
      <c r="P23" t="n">
        <v/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Valuation</t>
        </is>
      </c>
      <c r="B24" t="inlineStr">
        <is>
          <t>R3</t>
        </is>
      </c>
      <c r="C24" t="n">
        <v>3</v>
      </c>
      <c r="D24" t="n">
        <v>18</v>
      </c>
      <c r="E24" t="inlineStr">
        <is>
          <t>Input</t>
        </is>
      </c>
      <c r="F24" t="n">
        <v/>
      </c>
      <c r="G24" t="inlineStr">
        <is>
          <t>Maturity</t>
        </is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inlineStr">
        <is>
          <t>center</t>
        </is>
      </c>
      <c r="P24" t="n">
        <v/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Valuation</t>
        </is>
      </c>
      <c r="B25" t="inlineStr">
        <is>
          <t>S3</t>
        </is>
      </c>
      <c r="C25" t="n">
        <v>3</v>
      </c>
      <c r="D25" t="n">
        <v>19</v>
      </c>
      <c r="E25" t="inlineStr">
        <is>
          <t>Input</t>
        </is>
      </c>
      <c r="F25" t="n">
        <v/>
      </c>
      <c r="G25" t="inlineStr">
        <is>
          <t>Weights</t>
        </is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inlineStr">
        <is>
          <t>center</t>
        </is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Valuation</t>
        </is>
      </c>
      <c r="B26" t="inlineStr">
        <is>
          <t>A4</t>
        </is>
      </c>
      <c r="C26" t="n">
        <v>4</v>
      </c>
      <c r="D26" t="n">
        <v>1</v>
      </c>
      <c r="E26" t="inlineStr">
        <is>
          <t>Input</t>
        </is>
      </c>
      <c r="F26" t="n">
        <v/>
      </c>
      <c r="G26" t="inlineStr">
        <is>
          <t>Marginal Tax Rate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Valuation</t>
        </is>
      </c>
      <c r="B27" t="inlineStr">
        <is>
          <t>B4</t>
        </is>
      </c>
      <c r="C27" t="n">
        <v>4</v>
      </c>
      <c r="D27" t="n">
        <v>2</v>
      </c>
      <c r="E27" t="inlineStr">
        <is>
          <t>Input</t>
        </is>
      </c>
      <c r="F27" t="n">
        <v/>
      </c>
      <c r="G27" t="n">
        <v>0.3461</v>
      </c>
      <c r="H27" t="inlineStr"/>
      <c r="I27" t="inlineStr">
        <is>
          <t>0.00%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inlineStr">
        <is>
          <t>right</t>
        </is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Valuation</t>
        </is>
      </c>
      <c r="B28" t="inlineStr">
        <is>
          <t>D4</t>
        </is>
      </c>
      <c r="C28" t="n">
        <v>4</v>
      </c>
      <c r="D28" t="n">
        <v>4</v>
      </c>
      <c r="E28" t="inlineStr">
        <is>
          <t>Input</t>
        </is>
      </c>
      <c r="F28" t="n">
        <v/>
      </c>
      <c r="G28" t="inlineStr">
        <is>
          <t>Earnings before interest and taxes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inlineStr">
        <is>
          <t>left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Valuation</t>
        </is>
      </c>
      <c r="B29" t="inlineStr">
        <is>
          <t>E4</t>
        </is>
      </c>
      <c r="C29" t="n">
        <v>4</v>
      </c>
      <c r="D29" t="n">
        <v>5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inlineStr">
        <is>
          <t>left</t>
        </is>
      </c>
      <c r="P29" t="n">
        <v/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Valuation</t>
        </is>
      </c>
      <c r="B30" t="inlineStr">
        <is>
          <t>F4</t>
        </is>
      </c>
      <c r="C30" t="n">
        <v>4</v>
      </c>
      <c r="D30" t="n">
        <v>6</v>
      </c>
      <c r="E30" t="inlineStr">
        <is>
          <t>Input</t>
        </is>
      </c>
      <c r="F30" t="n">
        <v/>
      </c>
      <c r="G30" t="n">
        <v>24751.4</v>
      </c>
      <c r="H30" t="inlineStr"/>
      <c r="I30" t="inlineStr">
        <is>
          <t>#,##0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right</t>
        </is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Valuation</t>
        </is>
      </c>
      <c r="B31" t="inlineStr">
        <is>
          <t>H4</t>
        </is>
      </c>
      <c r="C31" t="n">
        <v>4</v>
      </c>
      <c r="D31" t="n">
        <v>8</v>
      </c>
      <c r="E31" t="inlineStr">
        <is>
          <t>Input</t>
        </is>
      </c>
      <c r="F31" t="n">
        <v/>
      </c>
      <c r="G31" t="inlineStr">
        <is>
          <t>Rf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inlineStr">
        <is>
          <t>left</t>
        </is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Valuation</t>
        </is>
      </c>
      <c r="B32" t="inlineStr">
        <is>
          <t>I4</t>
        </is>
      </c>
      <c r="C32" t="n">
        <v>4</v>
      </c>
      <c r="D32" t="n">
        <v>9</v>
      </c>
      <c r="E32" t="inlineStr">
        <is>
          <t>Input</t>
        </is>
      </c>
      <c r="F32" t="n">
        <v/>
      </c>
      <c r="G32" t="n">
        <v>0.0755</v>
      </c>
      <c r="H32" t="inlineStr"/>
      <c r="I32" t="inlineStr">
        <is>
          <t>0.00%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inlineStr">
        <is>
          <t>right</t>
        </is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Valuation</t>
        </is>
      </c>
      <c r="B33" t="inlineStr">
        <is>
          <t>K4</t>
        </is>
      </c>
      <c r="C33" t="n">
        <v>4</v>
      </c>
      <c r="D33" t="n">
        <v>11</v>
      </c>
      <c r="E33" t="inlineStr">
        <is>
          <t>Input</t>
        </is>
      </c>
      <c r="F33" t="n">
        <v/>
      </c>
      <c r="G33" t="inlineStr">
        <is>
          <t>Capitalized Operating Leases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Valuation</t>
        </is>
      </c>
      <c r="B34" t="inlineStr">
        <is>
          <t>M4</t>
        </is>
      </c>
      <c r="C34" t="n">
        <v>4</v>
      </c>
      <c r="D34" t="n">
        <v>13</v>
      </c>
      <c r="E34" t="inlineStr">
        <is>
          <t>Calculation</t>
        </is>
      </c>
      <c r="F34" t="inlineStr">
        <is>
          <t>'='Assumptions Sheet'!P63</t>
        </is>
      </c>
      <c r="G34" t="n">
        <v>63160.92985726414</v>
      </c>
      <c r="H34" t="inlineStr"/>
      <c r="I34" t="inlineStr">
        <is>
          <t xml:space="preserve">_ * #,##0_ ;_ * \-#,##0_ ;_ * "-"??_ ;_ @_ 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n">
        <v/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>
        <f>'Assumptions Sheet'!R[59]C[3]</f>
        <v/>
      </c>
    </row>
    <row r="35">
      <c r="A35" t="inlineStr">
        <is>
          <t>Valuation</t>
        </is>
      </c>
      <c r="B35" t="inlineStr">
        <is>
          <t>O4</t>
        </is>
      </c>
      <c r="C35" t="n">
        <v>4</v>
      </c>
      <c r="D35" t="n">
        <v>15</v>
      </c>
      <c r="E35" t="inlineStr">
        <is>
          <t>Input</t>
        </is>
      </c>
      <c r="F35" t="n">
        <v/>
      </c>
      <c r="G35" t="inlineStr">
        <is>
          <t>Foreign Currency Term Loan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inlineStr">
        <is>
          <t>center</t>
        </is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Valuation</t>
        </is>
      </c>
      <c r="B36" t="inlineStr">
        <is>
          <t>P4</t>
        </is>
      </c>
      <c r="C36" t="n">
        <v>4</v>
      </c>
      <c r="D36" t="n">
        <v>16</v>
      </c>
      <c r="E36" t="inlineStr">
        <is>
          <t>Input</t>
        </is>
      </c>
      <c r="F36" t="n">
        <v/>
      </c>
      <c r="G36" t="n">
        <v>4604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center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Valuation</t>
        </is>
      </c>
      <c r="B37" t="inlineStr">
        <is>
          <t>Q4</t>
        </is>
      </c>
      <c r="C37" t="n">
        <v>4</v>
      </c>
      <c r="D37" t="n">
        <v>17</v>
      </c>
      <c r="E37" t="inlineStr">
        <is>
          <t>Output</t>
        </is>
      </c>
      <c r="F37" t="inlineStr">
        <is>
          <t>'=1.426%+2.75%</t>
        </is>
      </c>
      <c r="G37" t="n">
        <v>0.04176</v>
      </c>
      <c r="H37" t="inlineStr"/>
      <c r="I37" t="inlineStr">
        <is>
          <t>0.00%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center</t>
        </is>
      </c>
      <c r="P37" t="n">
        <v/>
      </c>
      <c r="R37" t="b">
        <v>1</v>
      </c>
      <c r="S37" t="inlineStr">
        <is>
          <t>G000388</t>
        </is>
      </c>
      <c r="T37" t="inlineStr">
        <is>
          <t>Vertical</t>
        </is>
      </c>
      <c r="U37" t="n">
        <v>3</v>
      </c>
      <c r="V37" t="b">
        <v>1</v>
      </c>
      <c r="W37" t="inlineStr">
        <is>
          <t>Valuation!Q4:Q6</t>
        </is>
      </c>
      <c r="X37">
        <f>1.426%+2.75%</f>
        <v/>
      </c>
    </row>
    <row r="38">
      <c r="A38" t="inlineStr">
        <is>
          <t>Valuation</t>
        </is>
      </c>
      <c r="B38" t="inlineStr">
        <is>
          <t>R4</t>
        </is>
      </c>
      <c r="C38" t="n">
        <v>4</v>
      </c>
      <c r="D38" t="n">
        <v>18</v>
      </c>
      <c r="E38" t="inlineStr">
        <is>
          <t>Input</t>
        </is>
      </c>
      <c r="F38" t="n">
        <v/>
      </c>
      <c r="G38" t="n">
        <v>82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center</t>
        </is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Valuation</t>
        </is>
      </c>
      <c r="B39" t="inlineStr">
        <is>
          <t>S4</t>
        </is>
      </c>
      <c r="C39" t="n">
        <v>4</v>
      </c>
      <c r="D39" t="n">
        <v>19</v>
      </c>
      <c r="E39" t="inlineStr">
        <is>
          <t>Calculation</t>
        </is>
      </c>
      <c r="F39" t="inlineStr">
        <is>
          <t>'=P4*R4</t>
        </is>
      </c>
      <c r="G39" t="n">
        <v>377528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inlineStr">
        <is>
          <t>center</t>
        </is>
      </c>
      <c r="P39" t="n">
        <v/>
      </c>
      <c r="R39" t="b">
        <v>1</v>
      </c>
      <c r="S39" t="inlineStr">
        <is>
          <t>G000389</t>
        </is>
      </c>
      <c r="T39" t="inlineStr">
        <is>
          <t>Vertical</t>
        </is>
      </c>
      <c r="U39" t="n">
        <v>13</v>
      </c>
      <c r="V39" t="b">
        <v>1</v>
      </c>
      <c r="W39" t="inlineStr">
        <is>
          <t>Valuation!S4:S16</t>
        </is>
      </c>
      <c r="X39">
        <f>R[0]C[-3]*R[0]C[-1]</f>
        <v/>
      </c>
    </row>
    <row r="40">
      <c r="A40" t="inlineStr">
        <is>
          <t>Valuation</t>
        </is>
      </c>
      <c r="B40" t="inlineStr">
        <is>
          <t>A5</t>
        </is>
      </c>
      <c r="C40" t="n">
        <v>5</v>
      </c>
      <c r="D40" t="n">
        <v>1</v>
      </c>
      <c r="E40" t="inlineStr">
        <is>
          <t>Input</t>
        </is>
      </c>
      <c r="F40" t="n">
        <v/>
      </c>
      <c r="G40" t="inlineStr">
        <is>
          <t>Mean Beta for Sector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Valuation</t>
        </is>
      </c>
      <c r="B41" t="inlineStr">
        <is>
          <t>B5</t>
        </is>
      </c>
      <c r="C41" t="n">
        <v>5</v>
      </c>
      <c r="D41" t="n">
        <v>2</v>
      </c>
      <c r="E41" t="inlineStr">
        <is>
          <t>Input</t>
        </is>
      </c>
      <c r="F41" t="n">
        <v/>
      </c>
      <c r="G41" t="n">
        <v>0.93</v>
      </c>
      <c r="H41" t="inlineStr"/>
      <c r="I41" t="inlineStr">
        <is>
          <t>0.00</t>
        </is>
      </c>
      <c r="J41" t="b">
        <v>0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right</t>
        </is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Valuation</t>
        </is>
      </c>
      <c r="B42" t="inlineStr">
        <is>
          <t>D5</t>
        </is>
      </c>
      <c r="C42" t="n">
        <v>5</v>
      </c>
      <c r="D42" t="n">
        <v>4</v>
      </c>
      <c r="E42" t="inlineStr">
        <is>
          <t>Input</t>
        </is>
      </c>
      <c r="F42" t="n">
        <v/>
      </c>
      <c r="G42" t="inlineStr">
        <is>
          <t xml:space="preserve"> current interest expenses 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inlineStr">
        <is>
          <t>left</t>
        </is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Valuation</t>
        </is>
      </c>
      <c r="B43" t="inlineStr">
        <is>
          <t>E5</t>
        </is>
      </c>
      <c r="C43" t="n">
        <v>5</v>
      </c>
      <c r="D43" t="n">
        <v>5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inlineStr">
        <is>
          <t>left</t>
        </is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Valuation</t>
        </is>
      </c>
      <c r="B44" t="inlineStr">
        <is>
          <t>F5</t>
        </is>
      </c>
      <c r="C44" t="n">
        <v>5</v>
      </c>
      <c r="D44" t="n">
        <v>6</v>
      </c>
      <c r="E44" t="inlineStr">
        <is>
          <t>Input</t>
        </is>
      </c>
      <c r="F44" t="n">
        <v/>
      </c>
      <c r="G44" t="n">
        <v>3308</v>
      </c>
      <c r="H44" t="inlineStr"/>
      <c r="I44" t="inlineStr">
        <is>
          <t xml:space="preserve">_ * #,##0.00_ ;_ * \-#,##0.00_ ;_ * "-"??_ ;_ @_ 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right</t>
        </is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Valuation</t>
        </is>
      </c>
      <c r="B45" t="inlineStr">
        <is>
          <t>H5</t>
        </is>
      </c>
      <c r="C45" t="n">
        <v>5</v>
      </c>
      <c r="D45" t="n">
        <v>8</v>
      </c>
      <c r="E45" t="inlineStr">
        <is>
          <t>Input</t>
        </is>
      </c>
      <c r="F45" t="n">
        <v/>
      </c>
      <c r="G45" t="inlineStr">
        <is>
          <t>Bottom Up Beta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inlineStr">
        <is>
          <t>left</t>
        </is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Valuation</t>
        </is>
      </c>
      <c r="B46" t="inlineStr">
        <is>
          <t>I5</t>
        </is>
      </c>
      <c r="C46" t="n">
        <v>5</v>
      </c>
      <c r="D46" t="n">
        <v>9</v>
      </c>
      <c r="E46" t="inlineStr">
        <is>
          <t>Calculation</t>
        </is>
      </c>
      <c r="F46" t="inlineStr">
        <is>
          <t>'=B9</t>
        </is>
      </c>
      <c r="G46" t="n">
        <v>0.7245697477293832</v>
      </c>
      <c r="H46" t="inlineStr"/>
      <c r="I46" t="inlineStr">
        <is>
          <t>0.00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right</t>
        </is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>
        <f>R[4]C[-7]</f>
        <v/>
      </c>
    </row>
    <row r="47">
      <c r="A47" t="inlineStr">
        <is>
          <t>Valuation</t>
        </is>
      </c>
      <c r="B47" t="inlineStr">
        <is>
          <t>K5</t>
        </is>
      </c>
      <c r="C47" t="n">
        <v>5</v>
      </c>
      <c r="D47" t="n">
        <v>11</v>
      </c>
      <c r="E47" t="inlineStr">
        <is>
          <t>Input</t>
        </is>
      </c>
      <c r="F47" t="n">
        <v/>
      </c>
      <c r="G47" t="inlineStr">
        <is>
          <t>Book Value of Debt (Sept 17)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Valuation</t>
        </is>
      </c>
      <c r="B48" t="inlineStr">
        <is>
          <t>M5</t>
        </is>
      </c>
      <c r="C48" t="n">
        <v>5</v>
      </c>
      <c r="D48" t="n">
        <v>13</v>
      </c>
      <c r="E48" t="inlineStr">
        <is>
          <t>Calculation</t>
        </is>
      </c>
      <c r="F48" t="inlineStr">
        <is>
          <t>'=23301+27478</t>
        </is>
      </c>
      <c r="G48" t="n">
        <v>50779</v>
      </c>
      <c r="H48" t="inlineStr"/>
      <c r="I48" t="inlineStr">
        <is>
          <t xml:space="preserve">_ * #,##0_ ;_ * \-#,##0_ ;_ * "-"??_ ;_ @_ 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>
        <f>23301+27478</f>
        <v/>
      </c>
    </row>
    <row r="49">
      <c r="A49" t="inlineStr">
        <is>
          <t>Valuation</t>
        </is>
      </c>
      <c r="B49" t="inlineStr">
        <is>
          <t>O5</t>
        </is>
      </c>
      <c r="C49" t="n">
        <v>5</v>
      </c>
      <c r="D49" t="n">
        <v>15</v>
      </c>
      <c r="E49" t="inlineStr">
        <is>
          <t>Input</t>
        </is>
      </c>
      <c r="F49" t="n">
        <v/>
      </c>
      <c r="G49" t="inlineStr">
        <is>
          <t>Foreign Currency Term Loan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center</t>
        </is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Valuation</t>
        </is>
      </c>
      <c r="B50" t="inlineStr">
        <is>
          <t>P5</t>
        </is>
      </c>
      <c r="C50" t="n">
        <v>5</v>
      </c>
      <c r="D50" t="n">
        <v>16</v>
      </c>
      <c r="E50" t="inlineStr">
        <is>
          <t>Input</t>
        </is>
      </c>
      <c r="F50" t="n">
        <v/>
      </c>
      <c r="G50" t="n">
        <v>4035</v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center</t>
        </is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Valuation</t>
        </is>
      </c>
      <c r="B51" t="inlineStr">
        <is>
          <t>Q5</t>
        </is>
      </c>
      <c r="C51" t="n">
        <v>5</v>
      </c>
      <c r="D51" t="n">
        <v>17</v>
      </c>
      <c r="E51" t="inlineStr">
        <is>
          <t>Output</t>
        </is>
      </c>
      <c r="F51" t="inlineStr">
        <is>
          <t>'=1.426%+2.75%</t>
        </is>
      </c>
      <c r="G51" t="n">
        <v>0.04176</v>
      </c>
      <c r="H51" t="inlineStr"/>
      <c r="I51" t="inlineStr">
        <is>
          <t>0.00%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center</t>
        </is>
      </c>
      <c r="P51" t="n">
        <v/>
      </c>
      <c r="R51" t="b">
        <v>1</v>
      </c>
      <c r="S51" t="inlineStr">
        <is>
          <t>G000388</t>
        </is>
      </c>
      <c r="T51" t="inlineStr">
        <is>
          <t>Vertical</t>
        </is>
      </c>
      <c r="U51" t="n">
        <v>3</v>
      </c>
      <c r="V51" t="b">
        <v>1</v>
      </c>
      <c r="W51" t="inlineStr">
        <is>
          <t>Valuation!Q4:Q6</t>
        </is>
      </c>
      <c r="X51">
        <f>1.426%+2.75%</f>
        <v/>
      </c>
    </row>
    <row r="52">
      <c r="A52" t="inlineStr">
        <is>
          <t>Valuation</t>
        </is>
      </c>
      <c r="B52" t="inlineStr">
        <is>
          <t>R5</t>
        </is>
      </c>
      <c r="C52" t="n">
        <v>5</v>
      </c>
      <c r="D52" t="n">
        <v>18</v>
      </c>
      <c r="E52" t="inlineStr">
        <is>
          <t>Input</t>
        </is>
      </c>
      <c r="F52" t="n">
        <v/>
      </c>
      <c r="G52" t="n">
        <v>94</v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center</t>
        </is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Valuation</t>
        </is>
      </c>
      <c r="B53" t="inlineStr">
        <is>
          <t>S5</t>
        </is>
      </c>
      <c r="C53" t="n">
        <v>5</v>
      </c>
      <c r="D53" t="n">
        <v>19</v>
      </c>
      <c r="E53" t="inlineStr">
        <is>
          <t>Calculation</t>
        </is>
      </c>
      <c r="F53" t="inlineStr">
        <is>
          <t>'=P5*R5</t>
        </is>
      </c>
      <c r="G53" t="n">
        <v>379290</v>
      </c>
      <c r="H53" t="inlineStr"/>
      <c r="I53" t="inlineStr">
        <is>
          <t>0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center</t>
        </is>
      </c>
      <c r="P53" t="n">
        <v/>
      </c>
      <c r="R53" t="b">
        <v>1</v>
      </c>
      <c r="S53" t="inlineStr">
        <is>
          <t>G000389</t>
        </is>
      </c>
      <c r="T53" t="inlineStr">
        <is>
          <t>Vertical</t>
        </is>
      </c>
      <c r="U53" t="n">
        <v>13</v>
      </c>
      <c r="V53" t="b">
        <v>1</v>
      </c>
      <c r="W53" t="inlineStr">
        <is>
          <t>Valuation!S4:S16</t>
        </is>
      </c>
      <c r="X53">
        <f>R[0]C[-3]*R[0]C[-1]</f>
        <v/>
      </c>
    </row>
    <row r="54">
      <c r="A54" t="inlineStr">
        <is>
          <t>Valuation</t>
        </is>
      </c>
      <c r="B54" t="inlineStr">
        <is>
          <t>A6</t>
        </is>
      </c>
      <c r="C54" t="n">
        <v>6</v>
      </c>
      <c r="D54" t="n">
        <v>1</v>
      </c>
      <c r="E54" t="inlineStr">
        <is>
          <t>Input</t>
        </is>
      </c>
      <c r="F54" t="n">
        <v/>
      </c>
      <c r="G54" t="inlineStr">
        <is>
          <t>Mean D/E for Sector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Valuation</t>
        </is>
      </c>
      <c r="B55" t="inlineStr">
        <is>
          <t>B6</t>
        </is>
      </c>
      <c r="C55" t="n">
        <v>6</v>
      </c>
      <c r="D55" t="n">
        <v>2</v>
      </c>
      <c r="E55" t="inlineStr">
        <is>
          <t>Input</t>
        </is>
      </c>
      <c r="F55" t="n">
        <v/>
      </c>
      <c r="G55" t="n">
        <v>0.73</v>
      </c>
      <c r="H55" t="inlineStr"/>
      <c r="I55" t="inlineStr">
        <is>
          <t>0.00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right</t>
        </is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Valuation</t>
        </is>
      </c>
      <c r="B56" t="inlineStr">
        <is>
          <t>D6</t>
        </is>
      </c>
      <c r="C56" t="n">
        <v>6</v>
      </c>
      <c r="D56" t="n">
        <v>4</v>
      </c>
      <c r="E56" t="inlineStr">
        <is>
          <t>Input</t>
        </is>
      </c>
      <c r="F56" t="n">
        <v/>
      </c>
      <c r="G56" t="inlineStr">
        <is>
          <t xml:space="preserve">Interest  coverage ratio 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inlineStr">
        <is>
          <t>left</t>
        </is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Valuation</t>
        </is>
      </c>
      <c r="B57" t="inlineStr">
        <is>
          <t>E6</t>
        </is>
      </c>
      <c r="C57" t="n">
        <v>6</v>
      </c>
      <c r="D57" t="n">
        <v>5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inlineStr">
        <is>
          <t>left</t>
        </is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Valuation</t>
        </is>
      </c>
      <c r="B58" t="inlineStr">
        <is>
          <t>F6</t>
        </is>
      </c>
      <c r="C58" t="n">
        <v>6</v>
      </c>
      <c r="D58" t="n">
        <v>6</v>
      </c>
      <c r="E58" t="inlineStr">
        <is>
          <t>Input</t>
        </is>
      </c>
      <c r="F58" t="n">
        <v/>
      </c>
      <c r="G58" t="n">
        <v>7.482285368802902</v>
      </c>
      <c r="H58" t="inlineStr"/>
      <c r="I58" t="inlineStr">
        <is>
          <t>0.00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right</t>
        </is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Valuation</t>
        </is>
      </c>
      <c r="B59" t="inlineStr">
        <is>
          <t>H6</t>
        </is>
      </c>
      <c r="C59" t="n">
        <v>6</v>
      </c>
      <c r="D59" t="n">
        <v>8</v>
      </c>
      <c r="E59" t="inlineStr">
        <is>
          <t>Input</t>
        </is>
      </c>
      <c r="F59" t="n">
        <v/>
      </c>
      <c r="G59" t="inlineStr">
        <is>
          <t>Rm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inlineStr">
        <is>
          <t>left</t>
        </is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Valuation</t>
        </is>
      </c>
      <c r="B60" t="inlineStr">
        <is>
          <t>I6</t>
        </is>
      </c>
      <c r="C60" t="n">
        <v>6</v>
      </c>
      <c r="D60" t="n">
        <v>9</v>
      </c>
      <c r="E60" t="inlineStr">
        <is>
          <t>Output</t>
        </is>
      </c>
      <c r="F60" t="inlineStr">
        <is>
          <t>'=I4+I7</t>
        </is>
      </c>
      <c r="G60" t="n">
        <v>0.1482</v>
      </c>
      <c r="H60" t="inlineStr"/>
      <c r="I60" t="inlineStr">
        <is>
          <t>0.00%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right</t>
        </is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>
        <f>R[-2]C[0]+R[1]C[0]</f>
        <v/>
      </c>
    </row>
    <row r="61">
      <c r="A61" t="inlineStr">
        <is>
          <t>Valuation</t>
        </is>
      </c>
      <c r="B61" t="inlineStr">
        <is>
          <t>K6</t>
        </is>
      </c>
      <c r="C61" t="n">
        <v>6</v>
      </c>
      <c r="D61" t="n">
        <v>11</v>
      </c>
      <c r="E61" t="inlineStr">
        <is>
          <t>Input</t>
        </is>
      </c>
      <c r="F61" t="n">
        <v/>
      </c>
      <c r="G61" t="inlineStr">
        <is>
          <t xml:space="preserve">Interest Expense 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Valuation</t>
        </is>
      </c>
      <c r="B62" t="inlineStr">
        <is>
          <t>M6</t>
        </is>
      </c>
      <c r="C62" t="n">
        <v>6</v>
      </c>
      <c r="D62" t="n">
        <v>13</v>
      </c>
      <c r="E62" t="inlineStr">
        <is>
          <t>Calculation</t>
        </is>
      </c>
      <c r="F62" t="inlineStr">
        <is>
          <t>'=F5</t>
        </is>
      </c>
      <c r="G62" t="n">
        <v>3308</v>
      </c>
      <c r="H62" t="inlineStr"/>
      <c r="I62" t="inlineStr">
        <is>
          <t xml:space="preserve">_ * #,##0_ ;_ * \-#,##0_ ;_ * "-"??_ ;_ @_ 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>
        <f>R[-1]C[-7]</f>
        <v/>
      </c>
    </row>
    <row r="63">
      <c r="A63" t="inlineStr">
        <is>
          <t>Valuation</t>
        </is>
      </c>
      <c r="B63" t="inlineStr">
        <is>
          <t>O6</t>
        </is>
      </c>
      <c r="C63" t="n">
        <v>6</v>
      </c>
      <c r="D63" t="n">
        <v>15</v>
      </c>
      <c r="E63" t="inlineStr">
        <is>
          <t>Input</t>
        </is>
      </c>
      <c r="F63" t="n">
        <v/>
      </c>
      <c r="G63" t="inlineStr">
        <is>
          <t>Foreign Currency Term Loan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center</t>
        </is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Valuation</t>
        </is>
      </c>
      <c r="B64" t="inlineStr">
        <is>
          <t>P6</t>
        </is>
      </c>
      <c r="C64" t="n">
        <v>6</v>
      </c>
      <c r="D64" t="n">
        <v>16</v>
      </c>
      <c r="E64" t="inlineStr">
        <is>
          <t>Input</t>
        </is>
      </c>
      <c r="F64" t="n">
        <v/>
      </c>
      <c r="G64" t="n">
        <v>3000</v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Valuation</t>
        </is>
      </c>
      <c r="B65" t="inlineStr">
        <is>
          <t>Q6</t>
        </is>
      </c>
      <c r="C65" t="n">
        <v>6</v>
      </c>
      <c r="D65" t="n">
        <v>17</v>
      </c>
      <c r="E65" t="inlineStr">
        <is>
          <t>Output</t>
        </is>
      </c>
      <c r="F65" t="inlineStr">
        <is>
          <t>'=1.426%+2.75%</t>
        </is>
      </c>
      <c r="G65" t="n">
        <v>0.04176</v>
      </c>
      <c r="H65" t="inlineStr"/>
      <c r="I65" t="inlineStr">
        <is>
          <t>0.00%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n">
        <v/>
      </c>
      <c r="R65" t="b">
        <v>1</v>
      </c>
      <c r="S65" t="inlineStr">
        <is>
          <t>G000388</t>
        </is>
      </c>
      <c r="T65" t="inlineStr">
        <is>
          <t>Vertical</t>
        </is>
      </c>
      <c r="U65" t="n">
        <v>3</v>
      </c>
      <c r="V65" t="b">
        <v>1</v>
      </c>
      <c r="W65" t="inlineStr">
        <is>
          <t>Valuation!Q4:Q6</t>
        </is>
      </c>
      <c r="X65">
        <f>1.426%+2.75%</f>
        <v/>
      </c>
    </row>
    <row r="66">
      <c r="A66" t="inlineStr">
        <is>
          <t>Valuation</t>
        </is>
      </c>
      <c r="B66" t="inlineStr">
        <is>
          <t>R6</t>
        </is>
      </c>
      <c r="C66" t="n">
        <v>6</v>
      </c>
      <c r="D66" t="n">
        <v>18</v>
      </c>
      <c r="E66" t="inlineStr">
        <is>
          <t>Input</t>
        </is>
      </c>
      <c r="F66" t="n">
        <v/>
      </c>
      <c r="G66" t="n">
        <v>106</v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inlineStr">
        <is>
          <t>center</t>
        </is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Valuation</t>
        </is>
      </c>
      <c r="B67" t="inlineStr">
        <is>
          <t>S6</t>
        </is>
      </c>
      <c r="C67" t="n">
        <v>6</v>
      </c>
      <c r="D67" t="n">
        <v>19</v>
      </c>
      <c r="E67" t="inlineStr">
        <is>
          <t>Calculation</t>
        </is>
      </c>
      <c r="F67" t="inlineStr">
        <is>
          <t>'=P6*R6</t>
        </is>
      </c>
      <c r="G67" t="n">
        <v>318000</v>
      </c>
      <c r="H67" t="inlineStr"/>
      <c r="I67" t="inlineStr">
        <is>
          <t>0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inlineStr">
        <is>
          <t>center</t>
        </is>
      </c>
      <c r="P67" t="n">
        <v/>
      </c>
      <c r="R67" t="b">
        <v>1</v>
      </c>
      <c r="S67" t="inlineStr">
        <is>
          <t>G000389</t>
        </is>
      </c>
      <c r="T67" t="inlineStr">
        <is>
          <t>Vertical</t>
        </is>
      </c>
      <c r="U67" t="n">
        <v>13</v>
      </c>
      <c r="V67" t="b">
        <v>1</v>
      </c>
      <c r="W67" t="inlineStr">
        <is>
          <t>Valuation!S4:S16</t>
        </is>
      </c>
      <c r="X67">
        <f>R[0]C[-3]*R[0]C[-1]</f>
        <v/>
      </c>
    </row>
    <row r="68">
      <c r="A68" t="inlineStr">
        <is>
          <t>Valuation</t>
        </is>
      </c>
      <c r="B68" t="inlineStr">
        <is>
          <t>A7</t>
        </is>
      </c>
      <c r="C68" t="n">
        <v>7</v>
      </c>
      <c r="D68" t="n">
        <v>1</v>
      </c>
      <c r="E68" t="inlineStr">
        <is>
          <t>Input</t>
        </is>
      </c>
      <c r="F68" t="n">
        <v/>
      </c>
      <c r="G68" t="inlineStr">
        <is>
          <t>Unlevered beta For Sector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Valuation</t>
        </is>
      </c>
      <c r="B69" t="inlineStr">
        <is>
          <t>B7</t>
        </is>
      </c>
      <c r="C69" t="n">
        <v>7</v>
      </c>
      <c r="D69" t="n">
        <v>2</v>
      </c>
      <c r="E69" t="inlineStr">
        <is>
          <t>Calculation</t>
        </is>
      </c>
      <c r="F69" t="inlineStr">
        <is>
          <t>'=B5/(1+((1-B4)*B6))</t>
        </is>
      </c>
      <c r="G69" t="n">
        <v>0.6295068118729047</v>
      </c>
      <c r="H69" t="inlineStr"/>
      <c r="I69" t="inlineStr">
        <is>
          <t>0.00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right</t>
        </is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>
        <f>R[-2]C[0]/(1+((1-R[-3]C[0])*R[-1]C[0]))</f>
        <v/>
      </c>
    </row>
    <row r="70">
      <c r="A70" t="inlineStr">
        <is>
          <t>Valuation</t>
        </is>
      </c>
      <c r="B70" t="inlineStr">
        <is>
          <t>D7</t>
        </is>
      </c>
      <c r="C70" t="n">
        <v>7</v>
      </c>
      <c r="D70" t="n">
        <v>4</v>
      </c>
      <c r="E70" t="inlineStr">
        <is>
          <t>Input</t>
        </is>
      </c>
      <c r="F70" t="n">
        <v/>
      </c>
      <c r="G70" t="inlineStr">
        <is>
          <t xml:space="preserve">Estimated Bond Rating 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inlineStr">
        <is>
          <t>left</t>
        </is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Valuation</t>
        </is>
      </c>
      <c r="B71" t="inlineStr">
        <is>
          <t>E7</t>
        </is>
      </c>
      <c r="C71" t="n">
        <v>7</v>
      </c>
      <c r="D71" t="n">
        <v>5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inlineStr">
        <is>
          <t>left</t>
        </is>
      </c>
      <c r="P71" t="n">
        <v/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Valuation</t>
        </is>
      </c>
      <c r="B72" t="inlineStr">
        <is>
          <t>F7</t>
        </is>
      </c>
      <c r="C72" t="n">
        <v>7</v>
      </c>
      <c r="D72" t="n">
        <v>6</v>
      </c>
      <c r="E72" t="inlineStr">
        <is>
          <t>Input</t>
        </is>
      </c>
      <c r="F72" t="n">
        <v/>
      </c>
      <c r="G72" t="inlineStr">
        <is>
          <t>Aa2/AA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inlineStr">
        <is>
          <t>right</t>
        </is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Valuation</t>
        </is>
      </c>
      <c r="B73" t="inlineStr">
        <is>
          <t>H7</t>
        </is>
      </c>
      <c r="C73" t="n">
        <v>7</v>
      </c>
      <c r="D73" t="n">
        <v>8</v>
      </c>
      <c r="E73" t="inlineStr">
        <is>
          <t>Input</t>
        </is>
      </c>
      <c r="F73" t="n">
        <v/>
      </c>
      <c r="G73" t="inlineStr">
        <is>
          <t>Rm - Rf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inlineStr">
        <is>
          <t>left</t>
        </is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Valuation</t>
        </is>
      </c>
      <c r="B74" t="inlineStr">
        <is>
          <t>I7</t>
        </is>
      </c>
      <c r="C74" t="n">
        <v>7</v>
      </c>
      <c r="D74" t="n">
        <v>9</v>
      </c>
      <c r="E74" t="inlineStr">
        <is>
          <t>Input</t>
        </is>
      </c>
      <c r="F74" t="n">
        <v/>
      </c>
      <c r="G74" t="n">
        <v>0.0727</v>
      </c>
      <c r="H74" t="inlineStr"/>
      <c r="I74" t="inlineStr">
        <is>
          <t>0.00%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Values must be of type &lt;class 'str'&gt;</t>
        </is>
      </c>
      <c r="O74" t="inlineStr">
        <is>
          <t>right</t>
        </is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Valuation</t>
        </is>
      </c>
      <c r="B75" t="inlineStr">
        <is>
          <t>K7</t>
        </is>
      </c>
      <c r="C75" t="n">
        <v>7</v>
      </c>
      <c r="D75" t="n">
        <v>11</v>
      </c>
      <c r="E75" t="inlineStr">
        <is>
          <t>Input</t>
        </is>
      </c>
      <c r="F75" t="n">
        <v/>
      </c>
      <c r="G75" t="inlineStr">
        <is>
          <t>Weighted Avg Maturity of Debt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Valuation</t>
        </is>
      </c>
      <c r="B76" t="inlineStr">
        <is>
          <t>M7</t>
        </is>
      </c>
      <c r="C76" t="n">
        <v>7</v>
      </c>
      <c r="D76" t="n">
        <v>13</v>
      </c>
      <c r="E76" t="inlineStr">
        <is>
          <t>Calculation</t>
        </is>
      </c>
      <c r="F76" t="inlineStr">
        <is>
          <t>'=S17/(P17*12)</t>
        </is>
      </c>
      <c r="G76" t="n">
        <v>5.933887600576228</v>
      </c>
      <c r="H76" t="inlineStr"/>
      <c r="I76" t="inlineStr">
        <is>
          <t>0.00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>
        <f>R[10]C[6]/(R[10]C[3]*12)</f>
        <v/>
      </c>
    </row>
    <row r="77">
      <c r="A77" t="inlineStr">
        <is>
          <t>Valuation</t>
        </is>
      </c>
      <c r="B77" t="inlineStr">
        <is>
          <t>O7</t>
        </is>
      </c>
      <c r="C77" t="n">
        <v>7</v>
      </c>
      <c r="D77" t="n">
        <v>15</v>
      </c>
      <c r="E77" t="inlineStr">
        <is>
          <t>Input</t>
        </is>
      </c>
      <c r="F77" t="n">
        <v/>
      </c>
      <c r="G77" t="inlineStr">
        <is>
          <t>Finance Lease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inlineStr">
        <is>
          <t>center</t>
        </is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Valuation</t>
        </is>
      </c>
      <c r="B78" t="inlineStr">
        <is>
          <t>P7</t>
        </is>
      </c>
      <c r="C78" t="n">
        <v>7</v>
      </c>
      <c r="D78" t="n">
        <v>16</v>
      </c>
      <c r="E78" t="inlineStr">
        <is>
          <t>Input</t>
        </is>
      </c>
      <c r="F78" t="n">
        <v/>
      </c>
      <c r="G78" t="n">
        <v>2993</v>
      </c>
      <c r="H78" t="inlineStr"/>
      <c r="I78" t="inlineStr">
        <is>
          <t>0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inlineStr">
        <is>
          <t>center</t>
        </is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Valuation</t>
        </is>
      </c>
      <c r="B79" t="inlineStr">
        <is>
          <t>Q7</t>
        </is>
      </c>
      <c r="C79" t="n">
        <v>7</v>
      </c>
      <c r="D79" t="n">
        <v>17</v>
      </c>
      <c r="E79" t="inlineStr">
        <is>
          <t>Output</t>
        </is>
      </c>
      <c r="F79" t="inlineStr">
        <is>
          <t>'=1.1%+2.5%</t>
        </is>
      </c>
      <c r="G79" t="n">
        <v>0.036</v>
      </c>
      <c r="H79" t="inlineStr"/>
      <c r="I79" t="inlineStr">
        <is>
          <t>0.00%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inlineStr">
        <is>
          <t>center</t>
        </is>
      </c>
      <c r="P79" t="n">
        <v/>
      </c>
      <c r="R79" t="b">
        <v>1</v>
      </c>
      <c r="S79" t="inlineStr">
        <is>
          <t>G000390</t>
        </is>
      </c>
      <c r="T79" t="inlineStr">
        <is>
          <t>Vertical</t>
        </is>
      </c>
      <c r="U79" t="n">
        <v>10</v>
      </c>
      <c r="V79" t="b">
        <v>1</v>
      </c>
      <c r="W79" t="inlineStr">
        <is>
          <t>Valuation!Q7:Q16</t>
        </is>
      </c>
      <c r="X79">
        <f>1.1%+2.5%</f>
        <v/>
      </c>
    </row>
    <row r="80">
      <c r="A80" t="inlineStr">
        <is>
          <t>Valuation</t>
        </is>
      </c>
      <c r="B80" t="inlineStr">
        <is>
          <t>R7</t>
        </is>
      </c>
      <c r="C80" t="n">
        <v>7</v>
      </c>
      <c r="D80" t="n">
        <v>18</v>
      </c>
      <c r="E80" t="inlineStr">
        <is>
          <t>Input</t>
        </is>
      </c>
      <c r="F80" t="n">
        <v/>
      </c>
      <c r="G80" t="n">
        <v>12</v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inlineStr">
        <is>
          <t>center</t>
        </is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Valuation</t>
        </is>
      </c>
      <c r="B81" t="inlineStr">
        <is>
          <t>S7</t>
        </is>
      </c>
      <c r="C81" t="n">
        <v>7</v>
      </c>
      <c r="D81" t="n">
        <v>19</v>
      </c>
      <c r="E81" t="inlineStr">
        <is>
          <t>Calculation</t>
        </is>
      </c>
      <c r="F81" t="inlineStr">
        <is>
          <t>'=P7*R7</t>
        </is>
      </c>
      <c r="G81" t="n">
        <v>35916</v>
      </c>
      <c r="H81" t="inlineStr"/>
      <c r="I81" t="inlineStr">
        <is>
          <t>0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inlineStr">
        <is>
          <t>center</t>
        </is>
      </c>
      <c r="P81" t="n">
        <v/>
      </c>
      <c r="R81" t="b">
        <v>1</v>
      </c>
      <c r="S81" t="inlineStr">
        <is>
          <t>G000389</t>
        </is>
      </c>
      <c r="T81" t="inlineStr">
        <is>
          <t>Vertical</t>
        </is>
      </c>
      <c r="U81" t="n">
        <v>13</v>
      </c>
      <c r="V81" t="b">
        <v>1</v>
      </c>
      <c r="W81" t="inlineStr">
        <is>
          <t>Valuation!S4:S16</t>
        </is>
      </c>
      <c r="X81">
        <f>R[0]C[-3]*R[0]C[-1]</f>
        <v/>
      </c>
    </row>
    <row r="82">
      <c r="A82" t="inlineStr">
        <is>
          <t>Valuation</t>
        </is>
      </c>
      <c r="B82" t="inlineStr">
        <is>
          <t>A8</t>
        </is>
      </c>
      <c r="C82" t="n">
        <v>8</v>
      </c>
      <c r="D82" t="n">
        <v>1</v>
      </c>
      <c r="E82" t="inlineStr">
        <is>
          <t>Input</t>
        </is>
      </c>
      <c r="F82" t="n">
        <v/>
      </c>
      <c r="G82" t="inlineStr">
        <is>
          <t>Debt to Equity of Indigo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Valuation</t>
        </is>
      </c>
      <c r="B83" t="inlineStr">
        <is>
          <t>B8</t>
        </is>
      </c>
      <c r="C83" t="n">
        <v>8</v>
      </c>
      <c r="D83" t="n">
        <v>2</v>
      </c>
      <c r="E83" t="inlineStr">
        <is>
          <t>Output</t>
        </is>
      </c>
      <c r="F83" t="inlineStr">
        <is>
          <t>'=B14/B13</t>
        </is>
      </c>
      <c r="G83" t="n">
        <v>0.2309401541105081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inlineStr">
        <is>
          <t>right</t>
        </is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>
        <f>R[6]C[0]/R[5]C[0]</f>
        <v/>
      </c>
    </row>
    <row r="84">
      <c r="A84" t="inlineStr">
        <is>
          <t>Valuation</t>
        </is>
      </c>
      <c r="B84" t="inlineStr">
        <is>
          <t>D8</t>
        </is>
      </c>
      <c r="C84" t="n">
        <v>8</v>
      </c>
      <c r="D84" t="n">
        <v>4</v>
      </c>
      <c r="E84" t="inlineStr">
        <is>
          <t>Input</t>
        </is>
      </c>
      <c r="F84" t="n">
        <v/>
      </c>
      <c r="G84" t="inlineStr">
        <is>
          <t>Country Risk Free Rate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inlineStr">
        <is>
          <t>left</t>
        </is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Valuation</t>
        </is>
      </c>
      <c r="B85" t="inlineStr">
        <is>
          <t>E8</t>
        </is>
      </c>
      <c r="C85" t="n">
        <v>8</v>
      </c>
      <c r="D85" t="n">
        <v>5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inlineStr">
        <is>
          <t>left</t>
        </is>
      </c>
      <c r="P85" t="n">
        <v/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Valuation</t>
        </is>
      </c>
      <c r="B86" t="inlineStr">
        <is>
          <t>F8</t>
        </is>
      </c>
      <c r="C86" t="n">
        <v>8</v>
      </c>
      <c r="D86" t="n">
        <v>6</v>
      </c>
      <c r="E86" t="inlineStr">
        <is>
          <t>Input</t>
        </is>
      </c>
      <c r="F86" t="n">
        <v/>
      </c>
      <c r="G86" t="n">
        <v>0.0755</v>
      </c>
      <c r="H86" t="inlineStr"/>
      <c r="I86" t="inlineStr">
        <is>
          <t>0.00%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right</t>
        </is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Valuation</t>
        </is>
      </c>
      <c r="B87" t="inlineStr">
        <is>
          <t>H8</t>
        </is>
      </c>
      <c r="C87" t="n">
        <v>8</v>
      </c>
      <c r="D87" t="n">
        <v>8</v>
      </c>
      <c r="E87" t="inlineStr">
        <is>
          <t>Input</t>
        </is>
      </c>
      <c r="F87" t="n">
        <v/>
      </c>
      <c r="G87" t="inlineStr">
        <is>
          <t>Cost Of Equity</t>
        </is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center</t>
        </is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Valuation</t>
        </is>
      </c>
      <c r="B88" t="inlineStr">
        <is>
          <t>I8</t>
        </is>
      </c>
      <c r="C88" t="n">
        <v>8</v>
      </c>
      <c r="D88" t="n">
        <v>9</v>
      </c>
      <c r="E88" t="inlineStr">
        <is>
          <t>Calculation</t>
        </is>
      </c>
      <c r="F88" t="inlineStr">
        <is>
          <t>'=I4+I5*I7</t>
        </is>
      </c>
      <c r="G88" t="n">
        <v>0.1281762206599261</v>
      </c>
      <c r="H88" t="inlineStr"/>
      <c r="I88" t="inlineStr">
        <is>
          <t>0.00%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inlineStr">
        <is>
          <t>right</t>
        </is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>
        <f>R[-4]C[0]+R[-3]C[0]*R[-1]C[0]</f>
        <v/>
      </c>
    </row>
    <row r="89">
      <c r="A89" t="inlineStr">
        <is>
          <t>Valuation</t>
        </is>
      </c>
      <c r="B89" t="inlineStr">
        <is>
          <t>K8</t>
        </is>
      </c>
      <c r="C89" t="n">
        <v>8</v>
      </c>
      <c r="D89" t="n">
        <v>11</v>
      </c>
      <c r="E89" t="inlineStr">
        <is>
          <t>Input</t>
        </is>
      </c>
      <c r="F89" t="n">
        <v/>
      </c>
      <c r="G89" t="inlineStr">
        <is>
          <t>Market Value of Debt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Valuation</t>
        </is>
      </c>
      <c r="B90" t="inlineStr">
        <is>
          <t>M8</t>
        </is>
      </c>
      <c r="C90" t="n">
        <v>8</v>
      </c>
      <c r="D90" t="n">
        <v>13</v>
      </c>
      <c r="E90" t="inlineStr">
        <is>
          <t>Calculation</t>
        </is>
      </c>
      <c r="F90" t="inlineStr">
        <is>
          <t>'=(M6*((1-(1/(1+F11)^M7))/F11))+(M5/(1+F11)^M7)</t>
        </is>
      </c>
      <c r="G90" t="n">
        <v>42162.62986903686</v>
      </c>
      <c r="H90" t="inlineStr"/>
      <c r="I90" t="inlineStr">
        <is>
          <t xml:space="preserve">_ * #,##0_ ;_ * \-#,##0_ ;_ * "-"??_ ;_ @_ 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>
        <f>(R[-2]C[0]*((1-(1/(1+R[3]C[-7])^R[-1]C[0]))/R[3]C[-7]))+(R[-3]C[0]/(1+R[3]C[-7])^R[-1]C[0])</f>
        <v/>
      </c>
    </row>
    <row r="91">
      <c r="A91" t="inlineStr">
        <is>
          <t>Valuation</t>
        </is>
      </c>
      <c r="B91" t="inlineStr">
        <is>
          <t>O8</t>
        </is>
      </c>
      <c r="C91" t="n">
        <v>8</v>
      </c>
      <c r="D91" t="n">
        <v>15</v>
      </c>
      <c r="E91" t="inlineStr">
        <is>
          <t>Input</t>
        </is>
      </c>
      <c r="F91" t="n">
        <v/>
      </c>
      <c r="G91" t="inlineStr">
        <is>
          <t>Finance Lease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inlineStr">
        <is>
          <t>center</t>
        </is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Valuation</t>
        </is>
      </c>
      <c r="B92" t="inlineStr">
        <is>
          <t>P8</t>
        </is>
      </c>
      <c r="C92" t="n">
        <v>8</v>
      </c>
      <c r="D92" t="n">
        <v>16</v>
      </c>
      <c r="E92" t="inlineStr">
        <is>
          <t>Input</t>
        </is>
      </c>
      <c r="F92" t="n">
        <v/>
      </c>
      <c r="G92" t="n">
        <v>2995</v>
      </c>
      <c r="H92" t="inlineStr"/>
      <c r="I92" t="inlineStr">
        <is>
          <t>0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center</t>
        </is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Valuation</t>
        </is>
      </c>
      <c r="B93" t="inlineStr">
        <is>
          <t>Q8</t>
        </is>
      </c>
      <c r="C93" t="n">
        <v>8</v>
      </c>
      <c r="D93" t="n">
        <v>17</v>
      </c>
      <c r="E93" t="inlineStr">
        <is>
          <t>Output</t>
        </is>
      </c>
      <c r="F93" t="inlineStr">
        <is>
          <t>'=1.1%+2.5%</t>
        </is>
      </c>
      <c r="G93" t="n">
        <v>0.036</v>
      </c>
      <c r="H93" t="inlineStr"/>
      <c r="I93" t="inlineStr">
        <is>
          <t>0.00%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inlineStr">
        <is>
          <t>center</t>
        </is>
      </c>
      <c r="P93" t="n">
        <v/>
      </c>
      <c r="R93" t="b">
        <v>1</v>
      </c>
      <c r="S93" t="inlineStr">
        <is>
          <t>G000390</t>
        </is>
      </c>
      <c r="T93" t="inlineStr">
        <is>
          <t>Vertical</t>
        </is>
      </c>
      <c r="U93" t="n">
        <v>10</v>
      </c>
      <c r="V93" t="b">
        <v>1</v>
      </c>
      <c r="W93" t="inlineStr">
        <is>
          <t>Valuation!Q7:Q16</t>
        </is>
      </c>
      <c r="X93">
        <f>1.1%+2.5%</f>
        <v/>
      </c>
    </row>
    <row r="94">
      <c r="A94" t="inlineStr">
        <is>
          <t>Valuation</t>
        </is>
      </c>
      <c r="B94" t="inlineStr">
        <is>
          <t>R8</t>
        </is>
      </c>
      <c r="C94" t="n">
        <v>8</v>
      </c>
      <c r="D94" t="n">
        <v>18</v>
      </c>
      <c r="E94" t="inlineStr">
        <is>
          <t>Input</t>
        </is>
      </c>
      <c r="F94" t="n">
        <v/>
      </c>
      <c r="G94" t="n">
        <v>24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inlineStr">
        <is>
          <t>center</t>
        </is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Valuation</t>
        </is>
      </c>
      <c r="B95" t="inlineStr">
        <is>
          <t>S8</t>
        </is>
      </c>
      <c r="C95" t="n">
        <v>8</v>
      </c>
      <c r="D95" t="n">
        <v>19</v>
      </c>
      <c r="E95" t="inlineStr">
        <is>
          <t>Calculation</t>
        </is>
      </c>
      <c r="F95" t="inlineStr">
        <is>
          <t>'=P8*R8</t>
        </is>
      </c>
      <c r="G95" t="n">
        <v>71880</v>
      </c>
      <c r="H95" t="inlineStr"/>
      <c r="I95" t="inlineStr">
        <is>
          <t>0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inlineStr">
        <is>
          <t>center</t>
        </is>
      </c>
      <c r="P95" t="n">
        <v/>
      </c>
      <c r="R95" t="b">
        <v>1</v>
      </c>
      <c r="S95" t="inlineStr">
        <is>
          <t>G000389</t>
        </is>
      </c>
      <c r="T95" t="inlineStr">
        <is>
          <t>Vertical</t>
        </is>
      </c>
      <c r="U95" t="n">
        <v>13</v>
      </c>
      <c r="V95" t="b">
        <v>1</v>
      </c>
      <c r="W95" t="inlineStr">
        <is>
          <t>Valuation!S4:S16</t>
        </is>
      </c>
      <c r="X95">
        <f>R[0]C[-3]*R[0]C[-1]</f>
        <v/>
      </c>
    </row>
    <row r="96">
      <c r="A96" t="inlineStr">
        <is>
          <t>Valuation</t>
        </is>
      </c>
      <c r="B96" t="inlineStr">
        <is>
          <t>A9</t>
        </is>
      </c>
      <c r="C96" t="n">
        <v>9</v>
      </c>
      <c r="D96" t="n">
        <v>1</v>
      </c>
      <c r="E96" t="inlineStr">
        <is>
          <t>Input</t>
        </is>
      </c>
      <c r="F96" t="n">
        <v/>
      </c>
      <c r="G96" t="inlineStr">
        <is>
          <t>Levered Bottom Up Beta for IndiGo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Valuation</t>
        </is>
      </c>
      <c r="B97" t="inlineStr">
        <is>
          <t>B9</t>
        </is>
      </c>
      <c r="C97" t="n">
        <v>9</v>
      </c>
      <c r="D97" t="n">
        <v>2</v>
      </c>
      <c r="E97" t="inlineStr">
        <is>
          <t>Calculation</t>
        </is>
      </c>
      <c r="F97" t="inlineStr">
        <is>
          <t>'=B7*(1+(1-B4)*(B14/B13))</t>
        </is>
      </c>
      <c r="G97" t="n">
        <v>0.7245697477293832</v>
      </c>
      <c r="H97" t="inlineStr"/>
      <c r="I97" t="inlineStr">
        <is>
          <t>0.00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right</t>
        </is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>
        <f>R[-2]C[0]*(1+(1-R[-5]C[0])*(R[5]C[0]/R[4]C[0]))</f>
        <v/>
      </c>
    </row>
    <row r="98">
      <c r="A98" t="inlineStr">
        <is>
          <t>Valuation</t>
        </is>
      </c>
      <c r="B98" t="inlineStr">
        <is>
          <t>D9</t>
        </is>
      </c>
      <c r="C98" t="n">
        <v>9</v>
      </c>
      <c r="D98" t="n">
        <v>4</v>
      </c>
      <c r="E98" t="inlineStr">
        <is>
          <t>Input</t>
        </is>
      </c>
      <c r="F98" t="n">
        <v/>
      </c>
      <c r="G98" t="inlineStr">
        <is>
          <t xml:space="preserve">Company Default Spread 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inlineStr">
        <is>
          <t>left</t>
        </is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Valuation</t>
        </is>
      </c>
      <c r="B99" t="inlineStr">
        <is>
          <t>E9</t>
        </is>
      </c>
      <c r="C99" t="n">
        <v>9</v>
      </c>
      <c r="D99" t="n">
        <v>5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inlineStr">
        <is>
          <t>left</t>
        </is>
      </c>
      <c r="P99" t="n">
        <v/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Valuation</t>
        </is>
      </c>
      <c r="B100" t="inlineStr">
        <is>
          <t>F9</t>
        </is>
      </c>
      <c r="C100" t="n">
        <v>9</v>
      </c>
      <c r="D100" t="n">
        <v>6</v>
      </c>
      <c r="E100" t="inlineStr">
        <is>
          <t>Input</t>
        </is>
      </c>
      <c r="F100" t="n">
        <v/>
      </c>
      <c r="G100" t="n">
        <v>0.01</v>
      </c>
      <c r="H100" t="inlineStr"/>
      <c r="I100" t="inlineStr">
        <is>
          <t>0.00%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right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Valuation</t>
        </is>
      </c>
      <c r="B101" t="inlineStr">
        <is>
          <t>K9</t>
        </is>
      </c>
      <c r="C101" t="n">
        <v>9</v>
      </c>
      <c r="D101" t="n">
        <v>11</v>
      </c>
      <c r="E101" t="inlineStr">
        <is>
          <t>Input</t>
        </is>
      </c>
      <c r="F101" t="n">
        <v/>
      </c>
      <c r="G101" t="inlineStr">
        <is>
          <t>Adjusted Market Value of Debt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Valuation</t>
        </is>
      </c>
      <c r="B102" t="inlineStr">
        <is>
          <t>M9</t>
        </is>
      </c>
      <c r="C102" t="n">
        <v>9</v>
      </c>
      <c r="D102" t="n">
        <v>13</v>
      </c>
      <c r="E102" t="inlineStr">
        <is>
          <t>Calculation</t>
        </is>
      </c>
      <c r="F102" t="inlineStr">
        <is>
          <t>'=M8+M4</t>
        </is>
      </c>
      <c r="G102" t="n">
        <v>105323.559726301</v>
      </c>
      <c r="H102" t="inlineStr"/>
      <c r="I102" t="inlineStr">
        <is>
          <t xml:space="preserve">_ * #,##0_ ;_ * \-#,##0_ ;_ * "-"??_ ;_ @_ 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>
        <f>R[-1]C[0]+R[-5]C[0]</f>
        <v/>
      </c>
    </row>
    <row r="103">
      <c r="A103" t="inlineStr">
        <is>
          <t>Valuation</t>
        </is>
      </c>
      <c r="B103" t="inlineStr">
        <is>
          <t>O9</t>
        </is>
      </c>
      <c r="C103" t="n">
        <v>9</v>
      </c>
      <c r="D103" t="n">
        <v>15</v>
      </c>
      <c r="E103" t="inlineStr">
        <is>
          <t>Input</t>
        </is>
      </c>
      <c r="F103" t="n">
        <v/>
      </c>
      <c r="G103" t="inlineStr">
        <is>
          <t>Finance Lease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center</t>
        </is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Valuation</t>
        </is>
      </c>
      <c r="B104" t="inlineStr">
        <is>
          <t>P9</t>
        </is>
      </c>
      <c r="C104" t="n">
        <v>9</v>
      </c>
      <c r="D104" t="n">
        <v>16</v>
      </c>
      <c r="E104" t="inlineStr">
        <is>
          <t>Input</t>
        </is>
      </c>
      <c r="F104" t="n">
        <v/>
      </c>
      <c r="G104" t="n">
        <v>2995</v>
      </c>
      <c r="H104" t="inlineStr"/>
      <c r="I104" t="inlineStr">
        <is>
          <t>0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Valuation</t>
        </is>
      </c>
      <c r="B105" t="inlineStr">
        <is>
          <t>Q9</t>
        </is>
      </c>
      <c r="C105" t="n">
        <v>9</v>
      </c>
      <c r="D105" t="n">
        <v>17</v>
      </c>
      <c r="E105" t="inlineStr">
        <is>
          <t>Output</t>
        </is>
      </c>
      <c r="F105" t="inlineStr">
        <is>
          <t>'=1.1%+2.5%</t>
        </is>
      </c>
      <c r="G105" t="n">
        <v>0.036</v>
      </c>
      <c r="H105" t="inlineStr"/>
      <c r="I105" t="inlineStr">
        <is>
          <t>0.00%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n">
        <v/>
      </c>
      <c r="R105" t="b">
        <v>1</v>
      </c>
      <c r="S105" t="inlineStr">
        <is>
          <t>G000390</t>
        </is>
      </c>
      <c r="T105" t="inlineStr">
        <is>
          <t>Vertical</t>
        </is>
      </c>
      <c r="U105" t="n">
        <v>10</v>
      </c>
      <c r="V105" t="b">
        <v>1</v>
      </c>
      <c r="W105" t="inlineStr">
        <is>
          <t>Valuation!Q7:Q16</t>
        </is>
      </c>
      <c r="X105">
        <f>1.1%+2.5%</f>
        <v/>
      </c>
    </row>
    <row r="106">
      <c r="A106" t="inlineStr">
        <is>
          <t>Valuation</t>
        </is>
      </c>
      <c r="B106" t="inlineStr">
        <is>
          <t>R9</t>
        </is>
      </c>
      <c r="C106" t="n">
        <v>9</v>
      </c>
      <c r="D106" t="n">
        <v>18</v>
      </c>
      <c r="E106" t="inlineStr">
        <is>
          <t>Input</t>
        </is>
      </c>
      <c r="F106" t="n">
        <v/>
      </c>
      <c r="G106" t="n">
        <v>36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Valuation</t>
        </is>
      </c>
      <c r="B107" t="inlineStr">
        <is>
          <t>S9</t>
        </is>
      </c>
      <c r="C107" t="n">
        <v>9</v>
      </c>
      <c r="D107" t="n">
        <v>19</v>
      </c>
      <c r="E107" t="inlineStr">
        <is>
          <t>Calculation</t>
        </is>
      </c>
      <c r="F107" t="inlineStr">
        <is>
          <t>'=P9*R9</t>
        </is>
      </c>
      <c r="G107" t="n">
        <v>107820</v>
      </c>
      <c r="H107" t="inlineStr"/>
      <c r="I107" t="inlineStr">
        <is>
          <t>0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n">
        <v/>
      </c>
      <c r="R107" t="b">
        <v>1</v>
      </c>
      <c r="S107" t="inlineStr">
        <is>
          <t>G000389</t>
        </is>
      </c>
      <c r="T107" t="inlineStr">
        <is>
          <t>Vertical</t>
        </is>
      </c>
      <c r="U107" t="n">
        <v>13</v>
      </c>
      <c r="V107" t="b">
        <v>1</v>
      </c>
      <c r="W107" t="inlineStr">
        <is>
          <t>Valuation!S4:S16</t>
        </is>
      </c>
      <c r="X107">
        <f>R[0]C[-3]*R[0]C[-1]</f>
        <v/>
      </c>
    </row>
    <row r="108">
      <c r="A108" t="inlineStr">
        <is>
          <t>Valuation</t>
        </is>
      </c>
      <c r="B108" t="inlineStr">
        <is>
          <t>D10</t>
        </is>
      </c>
      <c r="C108" t="n">
        <v>10</v>
      </c>
      <c r="D108" t="n">
        <v>4</v>
      </c>
      <c r="E108" t="inlineStr">
        <is>
          <t>Input</t>
        </is>
      </c>
      <c r="F108" t="n">
        <v/>
      </c>
      <c r="G108" t="inlineStr">
        <is>
          <t xml:space="preserve">Country Default Spread 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inlineStr">
        <is>
          <t>left</t>
        </is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Valuation</t>
        </is>
      </c>
      <c r="B109" t="inlineStr">
        <is>
          <t>E10</t>
        </is>
      </c>
      <c r="C109" t="n">
        <v>10</v>
      </c>
      <c r="D109" t="n">
        <v>5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inlineStr">
        <is>
          <t>left</t>
        </is>
      </c>
      <c r="P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Valuation</t>
        </is>
      </c>
      <c r="B110" t="inlineStr">
        <is>
          <t>F10</t>
        </is>
      </c>
      <c r="C110" t="n">
        <v>10</v>
      </c>
      <c r="D110" t="n">
        <v>6</v>
      </c>
      <c r="E110" t="inlineStr">
        <is>
          <t>Input</t>
        </is>
      </c>
      <c r="F110" t="n">
        <v/>
      </c>
      <c r="G110" t="n">
        <v>0.0195</v>
      </c>
      <c r="H110" t="inlineStr"/>
      <c r="I110" t="inlineStr">
        <is>
          <t>0.00%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right</t>
        </is>
      </c>
      <c r="P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Valuation</t>
        </is>
      </c>
      <c r="B111" t="inlineStr">
        <is>
          <t>O10</t>
        </is>
      </c>
      <c r="C111" t="n">
        <v>10</v>
      </c>
      <c r="D111" t="n">
        <v>15</v>
      </c>
      <c r="E111" t="inlineStr">
        <is>
          <t>Input</t>
        </is>
      </c>
      <c r="F111" t="n">
        <v/>
      </c>
      <c r="G111" t="inlineStr">
        <is>
          <t>Finance Lease</t>
        </is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Valuation</t>
        </is>
      </c>
      <c r="B112" t="inlineStr">
        <is>
          <t>P10</t>
        </is>
      </c>
      <c r="C112" t="n">
        <v>10</v>
      </c>
      <c r="D112" t="n">
        <v>16</v>
      </c>
      <c r="E112" t="inlineStr">
        <is>
          <t>Input</t>
        </is>
      </c>
      <c r="F112" t="n">
        <v/>
      </c>
      <c r="G112" t="n">
        <v>2995</v>
      </c>
      <c r="H112" t="inlineStr"/>
      <c r="I112" t="inlineStr">
        <is>
          <t>0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Valuation</t>
        </is>
      </c>
      <c r="B113" t="inlineStr">
        <is>
          <t>Q10</t>
        </is>
      </c>
      <c r="C113" t="n">
        <v>10</v>
      </c>
      <c r="D113" t="n">
        <v>17</v>
      </c>
      <c r="E113" t="inlineStr">
        <is>
          <t>Output</t>
        </is>
      </c>
      <c r="F113" t="inlineStr">
        <is>
          <t>'=1.1%+2.5%</t>
        </is>
      </c>
      <c r="G113" t="n">
        <v>0.036</v>
      </c>
      <c r="H113" t="inlineStr"/>
      <c r="I113" t="inlineStr">
        <is>
          <t>0.00%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n">
        <v/>
      </c>
      <c r="R113" t="b">
        <v>1</v>
      </c>
      <c r="S113" t="inlineStr">
        <is>
          <t>G000390</t>
        </is>
      </c>
      <c r="T113" t="inlineStr">
        <is>
          <t>Vertical</t>
        </is>
      </c>
      <c r="U113" t="n">
        <v>10</v>
      </c>
      <c r="V113" t="b">
        <v>1</v>
      </c>
      <c r="W113" t="inlineStr">
        <is>
          <t>Valuation!Q7:Q16</t>
        </is>
      </c>
      <c r="X113">
        <f>1.1%+2.5%</f>
        <v/>
      </c>
    </row>
    <row r="114">
      <c r="A114" t="inlineStr">
        <is>
          <t>Valuation</t>
        </is>
      </c>
      <c r="B114" t="inlineStr">
        <is>
          <t>R10</t>
        </is>
      </c>
      <c r="C114" t="n">
        <v>10</v>
      </c>
      <c r="D114" t="n">
        <v>18</v>
      </c>
      <c r="E114" t="inlineStr">
        <is>
          <t>Input</t>
        </is>
      </c>
      <c r="F114" t="n">
        <v/>
      </c>
      <c r="G114" t="n">
        <v>48</v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Valuation</t>
        </is>
      </c>
      <c r="B115" t="inlineStr">
        <is>
          <t>S10</t>
        </is>
      </c>
      <c r="C115" t="n">
        <v>10</v>
      </c>
      <c r="D115" t="n">
        <v>19</v>
      </c>
      <c r="E115" t="inlineStr">
        <is>
          <t>Calculation</t>
        </is>
      </c>
      <c r="F115" t="inlineStr">
        <is>
          <t>'=P10*R10</t>
        </is>
      </c>
      <c r="G115" t="n">
        <v>143760</v>
      </c>
      <c r="H115" t="inlineStr"/>
      <c r="I115" t="inlineStr">
        <is>
          <t>0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inlineStr">
        <is>
          <t>center</t>
        </is>
      </c>
      <c r="P115" t="n">
        <v/>
      </c>
      <c r="R115" t="b">
        <v>1</v>
      </c>
      <c r="S115" t="inlineStr">
        <is>
          <t>G000389</t>
        </is>
      </c>
      <c r="T115" t="inlineStr">
        <is>
          <t>Vertical</t>
        </is>
      </c>
      <c r="U115" t="n">
        <v>13</v>
      </c>
      <c r="V115" t="b">
        <v>1</v>
      </c>
      <c r="W115" t="inlineStr">
        <is>
          <t>Valuation!S4:S16</t>
        </is>
      </c>
      <c r="X115">
        <f>R[0]C[-3]*R[0]C[-1]</f>
        <v/>
      </c>
    </row>
    <row r="116">
      <c r="A116" t="inlineStr">
        <is>
          <t>Valuation</t>
        </is>
      </c>
      <c r="B116" t="inlineStr">
        <is>
          <t>A11</t>
        </is>
      </c>
      <c r="C116" t="n">
        <v>11</v>
      </c>
      <c r="D116" t="n">
        <v>1</v>
      </c>
      <c r="E116" t="inlineStr">
        <is>
          <t>Input</t>
        </is>
      </c>
      <c r="F116" t="n">
        <v/>
      </c>
      <c r="G116" t="inlineStr">
        <is>
          <t xml:space="preserve">WEIGHTED AVERAGE COST </t>
        </is>
      </c>
      <c r="H116" t="inlineStr"/>
      <c r="I116" t="inlineStr">
        <is>
          <t>General</t>
        </is>
      </c>
      <c r="J116" t="b">
        <v>1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P116" t="inlineStr">
        <is>
          <t>center</t>
        </is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Valuation</t>
        </is>
      </c>
      <c r="B117" t="inlineStr">
        <is>
          <t>D11</t>
        </is>
      </c>
      <c r="C117" t="n">
        <v>11</v>
      </c>
      <c r="D117" t="n">
        <v>4</v>
      </c>
      <c r="E117" t="inlineStr">
        <is>
          <t>Input</t>
        </is>
      </c>
      <c r="F117" t="n">
        <v/>
      </c>
      <c r="G117" t="inlineStr">
        <is>
          <t xml:space="preserve"> Cost of Debt </t>
        </is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inlineStr">
        <is>
          <t>center</t>
        </is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Valuation</t>
        </is>
      </c>
      <c r="B118" t="inlineStr">
        <is>
          <t>E11</t>
        </is>
      </c>
      <c r="C118" t="n">
        <v>11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center</t>
        </is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Valuation</t>
        </is>
      </c>
      <c r="B119" t="inlineStr">
        <is>
          <t>F11</t>
        </is>
      </c>
      <c r="C119" t="n">
        <v>11</v>
      </c>
      <c r="D119" t="n">
        <v>6</v>
      </c>
      <c r="E119" t="inlineStr">
        <is>
          <t>Calculation</t>
        </is>
      </c>
      <c r="F119" t="inlineStr">
        <is>
          <t>'=SUM(F8:F10)</t>
        </is>
      </c>
      <c r="G119" t="n">
        <v>0.105</v>
      </c>
      <c r="H119" t="inlineStr"/>
      <c r="I119" t="inlineStr">
        <is>
          <t>0.00%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right</t>
        </is>
      </c>
      <c r="P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>
        <f>SUM(R[-3]C[0]:R[-1]C[0])</f>
        <v/>
      </c>
    </row>
    <row r="120">
      <c r="A120" t="inlineStr">
        <is>
          <t>Valuation</t>
        </is>
      </c>
      <c r="B120" t="inlineStr">
        <is>
          <t>N11</t>
        </is>
      </c>
      <c r="C120" t="n">
        <v>11</v>
      </c>
      <c r="D120" t="n">
        <v>14</v>
      </c>
      <c r="E120" t="inlineStr">
        <is>
          <t>Input</t>
        </is>
      </c>
      <c r="F120" t="n">
        <v/>
      </c>
      <c r="H120" t="inlineStr"/>
      <c r="I120" t="inlineStr">
        <is>
          <t>0.00%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Valuation</t>
        </is>
      </c>
      <c r="B121" t="inlineStr">
        <is>
          <t>O11</t>
        </is>
      </c>
      <c r="C121" t="n">
        <v>11</v>
      </c>
      <c r="D121" t="n">
        <v>15</v>
      </c>
      <c r="E121" t="inlineStr">
        <is>
          <t>Input</t>
        </is>
      </c>
      <c r="F121" t="n">
        <v/>
      </c>
      <c r="G121" t="inlineStr">
        <is>
          <t>Finance Lease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inlineStr">
        <is>
          <t>center</t>
        </is>
      </c>
      <c r="P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Valuation</t>
        </is>
      </c>
      <c r="B122" t="inlineStr">
        <is>
          <t>P11</t>
        </is>
      </c>
      <c r="C122" t="n">
        <v>11</v>
      </c>
      <c r="D122" t="n">
        <v>16</v>
      </c>
      <c r="E122" t="inlineStr">
        <is>
          <t>Input</t>
        </is>
      </c>
      <c r="F122" t="n">
        <v/>
      </c>
      <c r="G122" t="n">
        <v>2995</v>
      </c>
      <c r="H122" t="inlineStr"/>
      <c r="I122" t="inlineStr">
        <is>
          <t>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inlineStr">
        <is>
          <t>center</t>
        </is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Valuation</t>
        </is>
      </c>
      <c r="B123" t="inlineStr">
        <is>
          <t>Q11</t>
        </is>
      </c>
      <c r="C123" t="n">
        <v>11</v>
      </c>
      <c r="D123" t="n">
        <v>17</v>
      </c>
      <c r="E123" t="inlineStr">
        <is>
          <t>Output</t>
        </is>
      </c>
      <c r="F123" t="inlineStr">
        <is>
          <t>'=1.1%+2.5%</t>
        </is>
      </c>
      <c r="G123" t="n">
        <v>0.036</v>
      </c>
      <c r="H123" t="inlineStr"/>
      <c r="I123" t="inlineStr">
        <is>
          <t>0.00%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inlineStr">
        <is>
          <t>center</t>
        </is>
      </c>
      <c r="P123" t="n">
        <v/>
      </c>
      <c r="R123" t="b">
        <v>1</v>
      </c>
      <c r="S123" t="inlineStr">
        <is>
          <t>G000390</t>
        </is>
      </c>
      <c r="T123" t="inlineStr">
        <is>
          <t>Vertical</t>
        </is>
      </c>
      <c r="U123" t="n">
        <v>10</v>
      </c>
      <c r="V123" t="b">
        <v>1</v>
      </c>
      <c r="W123" t="inlineStr">
        <is>
          <t>Valuation!Q7:Q16</t>
        </is>
      </c>
      <c r="X123">
        <f>1.1%+2.5%</f>
        <v/>
      </c>
    </row>
    <row r="124">
      <c r="A124" t="inlineStr">
        <is>
          <t>Valuation</t>
        </is>
      </c>
      <c r="B124" t="inlineStr">
        <is>
          <t>R11</t>
        </is>
      </c>
      <c r="C124" t="n">
        <v>11</v>
      </c>
      <c r="D124" t="n">
        <v>18</v>
      </c>
      <c r="E124" t="inlineStr">
        <is>
          <t>Input</t>
        </is>
      </c>
      <c r="F124" t="n">
        <v/>
      </c>
      <c r="G124" t="n">
        <v>60</v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center</t>
        </is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Valuation</t>
        </is>
      </c>
      <c r="B125" t="inlineStr">
        <is>
          <t>S11</t>
        </is>
      </c>
      <c r="C125" t="n">
        <v>11</v>
      </c>
      <c r="D125" t="n">
        <v>19</v>
      </c>
      <c r="E125" t="inlineStr">
        <is>
          <t>Calculation</t>
        </is>
      </c>
      <c r="F125" t="inlineStr">
        <is>
          <t>'=P11*R11</t>
        </is>
      </c>
      <c r="G125" t="n">
        <v>179700</v>
      </c>
      <c r="H125" t="inlineStr"/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inlineStr">
        <is>
          <t>center</t>
        </is>
      </c>
      <c r="P125" t="n">
        <v/>
      </c>
      <c r="R125" t="b">
        <v>1</v>
      </c>
      <c r="S125" t="inlineStr">
        <is>
          <t>G000389</t>
        </is>
      </c>
      <c r="T125" t="inlineStr">
        <is>
          <t>Vertical</t>
        </is>
      </c>
      <c r="U125" t="n">
        <v>13</v>
      </c>
      <c r="V125" t="b">
        <v>1</v>
      </c>
      <c r="W125" t="inlineStr">
        <is>
          <t>Valuation!S4:S16</t>
        </is>
      </c>
      <c r="X125">
        <f>R[0]C[-3]*R[0]C[-1]</f>
        <v/>
      </c>
    </row>
    <row r="126">
      <c r="A126" t="inlineStr">
        <is>
          <t>Valuation</t>
        </is>
      </c>
      <c r="B126" t="inlineStr">
        <is>
          <t>A12</t>
        </is>
      </c>
      <c r="C126" t="n">
        <v>12</v>
      </c>
      <c r="D126" t="n">
        <v>1</v>
      </c>
      <c r="E126" t="inlineStr">
        <is>
          <t>Input</t>
        </is>
      </c>
      <c r="F126" t="n">
        <v/>
      </c>
      <c r="G126" t="inlineStr">
        <is>
          <t>Number of Shares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Valuation</t>
        </is>
      </c>
      <c r="B127" t="inlineStr">
        <is>
          <t>B12</t>
        </is>
      </c>
      <c r="C127" t="n">
        <v>12</v>
      </c>
      <c r="D127" t="n">
        <v>2</v>
      </c>
      <c r="E127" t="inlineStr">
        <is>
          <t>Input</t>
        </is>
      </c>
      <c r="F127" t="n">
        <v/>
      </c>
      <c r="G127" t="n">
        <v>383678176</v>
      </c>
      <c r="H127" t="inlineStr"/>
      <c r="I127" t="inlineStr">
        <is>
          <t xml:space="preserve">_ * #,##0_ ;_ * \-#,##0_ ;_ * "-"??_ ;_ @_ 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right</t>
        </is>
      </c>
      <c r="P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Valuation</t>
        </is>
      </c>
      <c r="B128" t="inlineStr">
        <is>
          <t>N12</t>
        </is>
      </c>
      <c r="C128" t="n">
        <v>12</v>
      </c>
      <c r="D128" t="n">
        <v>14</v>
      </c>
      <c r="E128" t="inlineStr">
        <is>
          <t>Input</t>
        </is>
      </c>
      <c r="F128" t="n">
        <v/>
      </c>
      <c r="H128" t="inlineStr"/>
      <c r="I128" t="inlineStr">
        <is>
          <t>0.00%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P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Valuation</t>
        </is>
      </c>
      <c r="B129" t="inlineStr">
        <is>
          <t>O12</t>
        </is>
      </c>
      <c r="C129" t="n">
        <v>12</v>
      </c>
      <c r="D129" t="n">
        <v>15</v>
      </c>
      <c r="E129" t="inlineStr">
        <is>
          <t>Input</t>
        </is>
      </c>
      <c r="F129" t="n">
        <v/>
      </c>
      <c r="G129" t="inlineStr">
        <is>
          <t>Finance Lease</t>
        </is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inlineStr">
        <is>
          <t>center</t>
        </is>
      </c>
      <c r="P129" t="n">
        <v/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Valuation</t>
        </is>
      </c>
      <c r="B130" t="inlineStr">
        <is>
          <t>P12</t>
        </is>
      </c>
      <c r="C130" t="n">
        <v>12</v>
      </c>
      <c r="D130" t="n">
        <v>16</v>
      </c>
      <c r="E130" t="inlineStr">
        <is>
          <t>Input</t>
        </is>
      </c>
      <c r="F130" t="n">
        <v/>
      </c>
      <c r="G130" t="n">
        <v>2267.2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inlineStr">
        <is>
          <t>center</t>
        </is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Valuation</t>
        </is>
      </c>
      <c r="B131" t="inlineStr">
        <is>
          <t>Q12</t>
        </is>
      </c>
      <c r="C131" t="n">
        <v>12</v>
      </c>
      <c r="D131" t="n">
        <v>17</v>
      </c>
      <c r="E131" t="inlineStr">
        <is>
          <t>Output</t>
        </is>
      </c>
      <c r="F131" t="inlineStr">
        <is>
          <t>'=1.1%+2.5%</t>
        </is>
      </c>
      <c r="G131" t="n">
        <v>0.036</v>
      </c>
      <c r="H131" t="inlineStr"/>
      <c r="I131" t="inlineStr">
        <is>
          <t>0.00%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inlineStr">
        <is>
          <t>center</t>
        </is>
      </c>
      <c r="P131" t="n">
        <v/>
      </c>
      <c r="R131" t="b">
        <v>1</v>
      </c>
      <c r="S131" t="inlineStr">
        <is>
          <t>G000390</t>
        </is>
      </c>
      <c r="T131" t="inlineStr">
        <is>
          <t>Vertical</t>
        </is>
      </c>
      <c r="U131" t="n">
        <v>10</v>
      </c>
      <c r="V131" t="b">
        <v>1</v>
      </c>
      <c r="W131" t="inlineStr">
        <is>
          <t>Valuation!Q7:Q16</t>
        </is>
      </c>
      <c r="X131">
        <f>1.1%+2.5%</f>
        <v/>
      </c>
    </row>
    <row r="132">
      <c r="A132" t="inlineStr">
        <is>
          <t>Valuation</t>
        </is>
      </c>
      <c r="B132" t="inlineStr">
        <is>
          <t>R12</t>
        </is>
      </c>
      <c r="C132" t="n">
        <v>12</v>
      </c>
      <c r="D132" t="n">
        <v>18</v>
      </c>
      <c r="E132" t="inlineStr">
        <is>
          <t>Input</t>
        </is>
      </c>
      <c r="F132" t="n">
        <v/>
      </c>
      <c r="G132" t="n">
        <v>72</v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center</t>
        </is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Valuation</t>
        </is>
      </c>
      <c r="B133" t="inlineStr">
        <is>
          <t>S12</t>
        </is>
      </c>
      <c r="C133" t="n">
        <v>12</v>
      </c>
      <c r="D133" t="n">
        <v>19</v>
      </c>
      <c r="E133" t="inlineStr">
        <is>
          <t>Calculation</t>
        </is>
      </c>
      <c r="F133" t="inlineStr">
        <is>
          <t>'=P12*R12</t>
        </is>
      </c>
      <c r="G133" t="n">
        <v>163238.4</v>
      </c>
      <c r="H133" t="inlineStr"/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inlineStr">
        <is>
          <t>center</t>
        </is>
      </c>
      <c r="P133" t="n">
        <v/>
      </c>
      <c r="R133" t="b">
        <v>1</v>
      </c>
      <c r="S133" t="inlineStr">
        <is>
          <t>G000389</t>
        </is>
      </c>
      <c r="T133" t="inlineStr">
        <is>
          <t>Vertical</t>
        </is>
      </c>
      <c r="U133" t="n">
        <v>13</v>
      </c>
      <c r="V133" t="b">
        <v>1</v>
      </c>
      <c r="W133" t="inlineStr">
        <is>
          <t>Valuation!S4:S16</t>
        </is>
      </c>
      <c r="X133">
        <f>R[0]C[-3]*R[0]C[-1]</f>
        <v/>
      </c>
    </row>
    <row r="134">
      <c r="A134" t="inlineStr">
        <is>
          <t>Valuation</t>
        </is>
      </c>
      <c r="B134" t="inlineStr">
        <is>
          <t>A13</t>
        </is>
      </c>
      <c r="C134" t="n">
        <v>13</v>
      </c>
      <c r="D134" t="n">
        <v>1</v>
      </c>
      <c r="E134" t="inlineStr">
        <is>
          <t>Input</t>
        </is>
      </c>
      <c r="F134" t="n">
        <v/>
      </c>
      <c r="G134" t="inlineStr">
        <is>
          <t>Market Value of Equity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inlineStr">
        <is>
          <t>left</t>
        </is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Valuation</t>
        </is>
      </c>
      <c r="B135" t="inlineStr">
        <is>
          <t>B13</t>
        </is>
      </c>
      <c r="C135" t="n">
        <v>13</v>
      </c>
      <c r="D135" t="n">
        <v>2</v>
      </c>
      <c r="E135" t="inlineStr">
        <is>
          <t>Input</t>
        </is>
      </c>
      <c r="F135" t="n">
        <v/>
      </c>
      <c r="G135" t="n">
        <v>456064.3</v>
      </c>
      <c r="H135" t="inlineStr"/>
      <c r="I135" t="inlineStr">
        <is>
          <t xml:space="preserve">_ * #,##0_ ;_ * \-#,##0_ ;_ * "-"??_ ;_ @_ 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right</t>
        </is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Valuation</t>
        </is>
      </c>
      <c r="B136" t="inlineStr">
        <is>
          <t>N13</t>
        </is>
      </c>
      <c r="C136" t="n">
        <v>13</v>
      </c>
      <c r="D136" t="n">
        <v>14</v>
      </c>
      <c r="E136" t="inlineStr">
        <is>
          <t>Input</t>
        </is>
      </c>
      <c r="F136" t="n">
        <v/>
      </c>
      <c r="H136" t="inlineStr"/>
      <c r="I136" t="inlineStr">
        <is>
          <t>0.00%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P136" t="n">
        <v/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Valuation</t>
        </is>
      </c>
      <c r="B137" t="inlineStr">
        <is>
          <t>O13</t>
        </is>
      </c>
      <c r="C137" t="n">
        <v>13</v>
      </c>
      <c r="D137" t="n">
        <v>15</v>
      </c>
      <c r="E137" t="inlineStr">
        <is>
          <t>Input</t>
        </is>
      </c>
      <c r="F137" t="n">
        <v/>
      </c>
      <c r="G137" t="inlineStr">
        <is>
          <t>Finance Lease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inlineStr">
        <is>
          <t>center</t>
        </is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Valuation</t>
        </is>
      </c>
      <c r="B138" t="inlineStr">
        <is>
          <t>P13</t>
        </is>
      </c>
      <c r="C138" t="n">
        <v>13</v>
      </c>
      <c r="D138" t="n">
        <v>16</v>
      </c>
      <c r="E138" t="inlineStr">
        <is>
          <t>Input</t>
        </is>
      </c>
      <c r="F138" t="n">
        <v/>
      </c>
      <c r="G138" t="n">
        <v>2267.2</v>
      </c>
      <c r="H138" t="inlineStr"/>
      <c r="I138" t="inlineStr">
        <is>
          <t>0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inlineStr">
        <is>
          <t>center</t>
        </is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Valuation</t>
        </is>
      </c>
      <c r="B139" t="inlineStr">
        <is>
          <t>Q13</t>
        </is>
      </c>
      <c r="C139" t="n">
        <v>13</v>
      </c>
      <c r="D139" t="n">
        <v>17</v>
      </c>
      <c r="E139" t="inlineStr">
        <is>
          <t>Output</t>
        </is>
      </c>
      <c r="F139" t="inlineStr">
        <is>
          <t>'=1.1%+2.5%</t>
        </is>
      </c>
      <c r="G139" t="n">
        <v>0.036</v>
      </c>
      <c r="H139" t="inlineStr"/>
      <c r="I139" t="inlineStr">
        <is>
          <t>0.00%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inlineStr">
        <is>
          <t>center</t>
        </is>
      </c>
      <c r="P139" t="n">
        <v/>
      </c>
      <c r="R139" t="b">
        <v>1</v>
      </c>
      <c r="S139" t="inlineStr">
        <is>
          <t>G000390</t>
        </is>
      </c>
      <c r="T139" t="inlineStr">
        <is>
          <t>Vertical</t>
        </is>
      </c>
      <c r="U139" t="n">
        <v>10</v>
      </c>
      <c r="V139" t="b">
        <v>1</v>
      </c>
      <c r="W139" t="inlineStr">
        <is>
          <t>Valuation!Q7:Q16</t>
        </is>
      </c>
      <c r="X139">
        <f>1.1%+2.5%</f>
        <v/>
      </c>
    </row>
    <row r="140">
      <c r="A140" t="inlineStr">
        <is>
          <t>Valuation</t>
        </is>
      </c>
      <c r="B140" t="inlineStr">
        <is>
          <t>R13</t>
        </is>
      </c>
      <c r="C140" t="n">
        <v>13</v>
      </c>
      <c r="D140" t="n">
        <v>18</v>
      </c>
      <c r="E140" t="inlineStr">
        <is>
          <t>Input</t>
        </is>
      </c>
      <c r="F140" t="n">
        <v/>
      </c>
      <c r="G140" t="n">
        <v>84</v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center</t>
        </is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Valuation</t>
        </is>
      </c>
      <c r="B141" t="inlineStr">
        <is>
          <t>S13</t>
        </is>
      </c>
      <c r="C141" t="n">
        <v>13</v>
      </c>
      <c r="D141" t="n">
        <v>19</v>
      </c>
      <c r="E141" t="inlineStr">
        <is>
          <t>Calculation</t>
        </is>
      </c>
      <c r="F141" t="inlineStr">
        <is>
          <t>'=P13*R13</t>
        </is>
      </c>
      <c r="G141" t="n">
        <v>190444.8</v>
      </c>
      <c r="H141" t="inlineStr"/>
      <c r="I141" t="inlineStr">
        <is>
          <t>0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inlineStr">
        <is>
          <t>center</t>
        </is>
      </c>
      <c r="P141" t="n">
        <v/>
      </c>
      <c r="R141" t="b">
        <v>1</v>
      </c>
      <c r="S141" t="inlineStr">
        <is>
          <t>G000389</t>
        </is>
      </c>
      <c r="T141" t="inlineStr">
        <is>
          <t>Vertical</t>
        </is>
      </c>
      <c r="U141" t="n">
        <v>13</v>
      </c>
      <c r="V141" t="b">
        <v>1</v>
      </c>
      <c r="W141" t="inlineStr">
        <is>
          <t>Valuation!S4:S16</t>
        </is>
      </c>
      <c r="X141">
        <f>R[0]C[-3]*R[0]C[-1]</f>
        <v/>
      </c>
    </row>
    <row r="142">
      <c r="A142" t="inlineStr">
        <is>
          <t>Valuation</t>
        </is>
      </c>
      <c r="B142" t="inlineStr">
        <is>
          <t>A14</t>
        </is>
      </c>
      <c r="C142" t="n">
        <v>14</v>
      </c>
      <c r="D142" t="n">
        <v>1</v>
      </c>
      <c r="E142" t="inlineStr">
        <is>
          <t>Input</t>
        </is>
      </c>
      <c r="F142" t="n">
        <v/>
      </c>
      <c r="G142" t="inlineStr">
        <is>
          <t>Market Value of Debt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inlineStr">
        <is>
          <t>left</t>
        </is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Valuation</t>
        </is>
      </c>
      <c r="B143" t="inlineStr">
        <is>
          <t>B14</t>
        </is>
      </c>
      <c r="C143" t="n">
        <v>14</v>
      </c>
      <c r="D143" t="n">
        <v>2</v>
      </c>
      <c r="E143" t="inlineStr">
        <is>
          <t>Calculation</t>
        </is>
      </c>
      <c r="F143" t="inlineStr">
        <is>
          <t>'=M9</t>
        </is>
      </c>
      <c r="G143" t="n">
        <v>105323.559726301</v>
      </c>
      <c r="H143" t="inlineStr"/>
      <c r="I143" t="inlineStr">
        <is>
          <t xml:space="preserve">_ * #,##0_ ;_ * \-#,##0_ ;_ * "-"??_ ;_ @_ 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inlineStr">
        <is>
          <t>right</t>
        </is>
      </c>
      <c r="P143" t="n">
        <v/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>
        <f>R[-5]C[11]</f>
        <v/>
      </c>
    </row>
    <row r="144">
      <c r="A144" t="inlineStr">
        <is>
          <t>Valuation</t>
        </is>
      </c>
      <c r="B144" t="inlineStr">
        <is>
          <t>N14</t>
        </is>
      </c>
      <c r="C144" t="n">
        <v>14</v>
      </c>
      <c r="D144" t="n">
        <v>14</v>
      </c>
      <c r="E144" t="inlineStr">
        <is>
          <t>Input</t>
        </is>
      </c>
      <c r="F144" t="n">
        <v/>
      </c>
      <c r="H144" t="inlineStr"/>
      <c r="I144" t="inlineStr">
        <is>
          <t>0.00%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P144" t="n">
        <v/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Valuation</t>
        </is>
      </c>
      <c r="B145" t="inlineStr">
        <is>
          <t>O14</t>
        </is>
      </c>
      <c r="C145" t="n">
        <v>14</v>
      </c>
      <c r="D145" t="n">
        <v>15</v>
      </c>
      <c r="E145" t="inlineStr">
        <is>
          <t>Input</t>
        </is>
      </c>
      <c r="F145" t="n">
        <v/>
      </c>
      <c r="G145" t="inlineStr">
        <is>
          <t>Finance Lease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inlineStr">
        <is>
          <t>center</t>
        </is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Valuation</t>
        </is>
      </c>
      <c r="B146" t="inlineStr">
        <is>
          <t>P14</t>
        </is>
      </c>
      <c r="C146" t="n">
        <v>14</v>
      </c>
      <c r="D146" t="n">
        <v>16</v>
      </c>
      <c r="E146" t="inlineStr">
        <is>
          <t>Input</t>
        </is>
      </c>
      <c r="F146" t="n">
        <v/>
      </c>
      <c r="G146" t="n">
        <v>2267.2</v>
      </c>
      <c r="H146" t="inlineStr"/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inlineStr">
        <is>
          <t>center</t>
        </is>
      </c>
      <c r="P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Valuation</t>
        </is>
      </c>
      <c r="B147" t="inlineStr">
        <is>
          <t>Q14</t>
        </is>
      </c>
      <c r="C147" t="n">
        <v>14</v>
      </c>
      <c r="D147" t="n">
        <v>17</v>
      </c>
      <c r="E147" t="inlineStr">
        <is>
          <t>Output</t>
        </is>
      </c>
      <c r="F147" t="inlineStr">
        <is>
          <t>'=1.1%+2.5%</t>
        </is>
      </c>
      <c r="G147" t="n">
        <v>0.036</v>
      </c>
      <c r="H147" t="inlineStr"/>
      <c r="I147" t="inlineStr">
        <is>
          <t>0.00%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center</t>
        </is>
      </c>
      <c r="P147" t="n">
        <v/>
      </c>
      <c r="R147" t="b">
        <v>1</v>
      </c>
      <c r="S147" t="inlineStr">
        <is>
          <t>G000390</t>
        </is>
      </c>
      <c r="T147" t="inlineStr">
        <is>
          <t>Vertical</t>
        </is>
      </c>
      <c r="U147" t="n">
        <v>10</v>
      </c>
      <c r="V147" t="b">
        <v>1</v>
      </c>
      <c r="W147" t="inlineStr">
        <is>
          <t>Valuation!Q7:Q16</t>
        </is>
      </c>
      <c r="X147">
        <f>1.1%+2.5%</f>
        <v/>
      </c>
    </row>
    <row r="148">
      <c r="A148" t="inlineStr">
        <is>
          <t>Valuation</t>
        </is>
      </c>
      <c r="B148" t="inlineStr">
        <is>
          <t>R14</t>
        </is>
      </c>
      <c r="C148" t="n">
        <v>14</v>
      </c>
      <c r="D148" t="n">
        <v>18</v>
      </c>
      <c r="E148" t="inlineStr">
        <is>
          <t>Input</t>
        </is>
      </c>
      <c r="F148" t="n">
        <v/>
      </c>
      <c r="G148" t="n">
        <v>96</v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center</t>
        </is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Valuation</t>
        </is>
      </c>
      <c r="B149" t="inlineStr">
        <is>
          <t>S14</t>
        </is>
      </c>
      <c r="C149" t="n">
        <v>14</v>
      </c>
      <c r="D149" t="n">
        <v>19</v>
      </c>
      <c r="E149" t="inlineStr">
        <is>
          <t>Calculation</t>
        </is>
      </c>
      <c r="F149" t="inlineStr">
        <is>
          <t>'=P14*R14</t>
        </is>
      </c>
      <c r="G149" t="n">
        <v>217651.2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inlineStr">
        <is>
          <t>center</t>
        </is>
      </c>
      <c r="P149" t="n">
        <v/>
      </c>
      <c r="R149" t="b">
        <v>1</v>
      </c>
      <c r="S149" t="inlineStr">
        <is>
          <t>G000389</t>
        </is>
      </c>
      <c r="T149" t="inlineStr">
        <is>
          <t>Vertical</t>
        </is>
      </c>
      <c r="U149" t="n">
        <v>13</v>
      </c>
      <c r="V149" t="b">
        <v>1</v>
      </c>
      <c r="W149" t="inlineStr">
        <is>
          <t>Valuation!S4:S16</t>
        </is>
      </c>
      <c r="X149">
        <f>R[0]C[-3]*R[0]C[-1]</f>
        <v/>
      </c>
    </row>
    <row r="150">
      <c r="A150" t="inlineStr">
        <is>
          <t>Valuation</t>
        </is>
      </c>
      <c r="B150" t="inlineStr">
        <is>
          <t>A15</t>
        </is>
      </c>
      <c r="C150" t="n">
        <v>15</v>
      </c>
      <c r="D150" t="n">
        <v>1</v>
      </c>
      <c r="E150" t="inlineStr">
        <is>
          <t>Input</t>
        </is>
      </c>
      <c r="F150" t="n">
        <v/>
      </c>
      <c r="G150" t="inlineStr">
        <is>
          <t>Equity Weightage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Valuation</t>
        </is>
      </c>
      <c r="B151" t="inlineStr">
        <is>
          <t>B15</t>
        </is>
      </c>
      <c r="C151" t="n">
        <v>15</v>
      </c>
      <c r="D151" t="n">
        <v>2</v>
      </c>
      <c r="E151" t="inlineStr">
        <is>
          <t>Output</t>
        </is>
      </c>
      <c r="F151" t="inlineStr">
        <is>
          <t>'=B13/(B13+B14)</t>
        </is>
      </c>
      <c r="G151" t="n">
        <v>0.8123871795559484</v>
      </c>
      <c r="H151" t="inlineStr"/>
      <c r="I151" t="inlineStr">
        <is>
          <t>0.00%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inlineStr">
        <is>
          <t>right</t>
        </is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>
        <f>R[-2]C[0]/(R[-2]C[0]+R[-1]C[0])</f>
        <v/>
      </c>
    </row>
    <row r="152">
      <c r="A152" t="inlineStr">
        <is>
          <t>Valuation</t>
        </is>
      </c>
      <c r="B152" t="inlineStr">
        <is>
          <t>N15</t>
        </is>
      </c>
      <c r="C152" t="n">
        <v>15</v>
      </c>
      <c r="D152" t="n">
        <v>14</v>
      </c>
      <c r="E152" t="inlineStr">
        <is>
          <t>Input</t>
        </is>
      </c>
      <c r="F152" t="n">
        <v/>
      </c>
      <c r="H152" t="inlineStr"/>
      <c r="I152" t="inlineStr">
        <is>
          <t>0.00%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Valuation</t>
        </is>
      </c>
      <c r="B153" t="inlineStr">
        <is>
          <t>O15</t>
        </is>
      </c>
      <c r="C153" t="n">
        <v>15</v>
      </c>
      <c r="D153" t="n">
        <v>15</v>
      </c>
      <c r="E153" t="inlineStr">
        <is>
          <t>Input</t>
        </is>
      </c>
      <c r="F153" t="n">
        <v/>
      </c>
      <c r="G153" t="inlineStr">
        <is>
          <t>Finance Lease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inlineStr">
        <is>
          <t>center</t>
        </is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Valuation</t>
        </is>
      </c>
      <c r="B154" t="inlineStr">
        <is>
          <t>P15</t>
        </is>
      </c>
      <c r="C154" t="n">
        <v>15</v>
      </c>
      <c r="D154" t="n">
        <v>16</v>
      </c>
      <c r="E154" t="inlineStr">
        <is>
          <t>Input</t>
        </is>
      </c>
      <c r="F154" t="n">
        <v/>
      </c>
      <c r="G154" t="n">
        <v>2267.2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inlineStr">
        <is>
          <t>center</t>
        </is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Valuation</t>
        </is>
      </c>
      <c r="B155" t="inlineStr">
        <is>
          <t>Q15</t>
        </is>
      </c>
      <c r="C155" t="n">
        <v>15</v>
      </c>
      <c r="D155" t="n">
        <v>17</v>
      </c>
      <c r="E155" t="inlineStr">
        <is>
          <t>Output</t>
        </is>
      </c>
      <c r="F155" t="inlineStr">
        <is>
          <t>'=1.1%+2.5%</t>
        </is>
      </c>
      <c r="G155" t="n">
        <v>0.036</v>
      </c>
      <c r="H155" t="inlineStr"/>
      <c r="I155" t="inlineStr">
        <is>
          <t>0.00%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inlineStr">
        <is>
          <t>center</t>
        </is>
      </c>
      <c r="P155" t="n">
        <v/>
      </c>
      <c r="R155" t="b">
        <v>1</v>
      </c>
      <c r="S155" t="inlineStr">
        <is>
          <t>G000390</t>
        </is>
      </c>
      <c r="T155" t="inlineStr">
        <is>
          <t>Vertical</t>
        </is>
      </c>
      <c r="U155" t="n">
        <v>10</v>
      </c>
      <c r="V155" t="b">
        <v>1</v>
      </c>
      <c r="W155" t="inlineStr">
        <is>
          <t>Valuation!Q7:Q16</t>
        </is>
      </c>
      <c r="X155">
        <f>1.1%+2.5%</f>
        <v/>
      </c>
    </row>
    <row r="156">
      <c r="A156" t="inlineStr">
        <is>
          <t>Valuation</t>
        </is>
      </c>
      <c r="B156" t="inlineStr">
        <is>
          <t>R15</t>
        </is>
      </c>
      <c r="C156" t="n">
        <v>15</v>
      </c>
      <c r="D156" t="n">
        <v>18</v>
      </c>
      <c r="E156" t="inlineStr">
        <is>
          <t>Input</t>
        </is>
      </c>
      <c r="F156" t="n">
        <v/>
      </c>
      <c r="G156" t="n">
        <v>108</v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center</t>
        </is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Valuation</t>
        </is>
      </c>
      <c r="B157" t="inlineStr">
        <is>
          <t>S15</t>
        </is>
      </c>
      <c r="C157" t="n">
        <v>15</v>
      </c>
      <c r="D157" t="n">
        <v>19</v>
      </c>
      <c r="E157" t="inlineStr">
        <is>
          <t>Calculation</t>
        </is>
      </c>
      <c r="F157" t="inlineStr">
        <is>
          <t>'=P15*R15</t>
        </is>
      </c>
      <c r="G157" t="n">
        <v>244857.6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inlineStr">
        <is>
          <t>center</t>
        </is>
      </c>
      <c r="P157" t="n">
        <v/>
      </c>
      <c r="R157" t="b">
        <v>1</v>
      </c>
      <c r="S157" t="inlineStr">
        <is>
          <t>G000389</t>
        </is>
      </c>
      <c r="T157" t="inlineStr">
        <is>
          <t>Vertical</t>
        </is>
      </c>
      <c r="U157" t="n">
        <v>13</v>
      </c>
      <c r="V157" t="b">
        <v>1</v>
      </c>
      <c r="W157" t="inlineStr">
        <is>
          <t>Valuation!S4:S16</t>
        </is>
      </c>
      <c r="X157">
        <f>R[0]C[-3]*R[0]C[-1]</f>
        <v/>
      </c>
    </row>
    <row r="158">
      <c r="A158" t="inlineStr">
        <is>
          <t>Valuation</t>
        </is>
      </c>
      <c r="B158" t="inlineStr">
        <is>
          <t>A16</t>
        </is>
      </c>
      <c r="C158" t="n">
        <v>16</v>
      </c>
      <c r="D158" t="n">
        <v>1</v>
      </c>
      <c r="E158" t="inlineStr">
        <is>
          <t>Input</t>
        </is>
      </c>
      <c r="F158" t="n">
        <v/>
      </c>
      <c r="G158" t="inlineStr">
        <is>
          <t>Debt Weightage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Valuation</t>
        </is>
      </c>
      <c r="B159" t="inlineStr">
        <is>
          <t>B16</t>
        </is>
      </c>
      <c r="C159" t="n">
        <v>16</v>
      </c>
      <c r="D159" t="n">
        <v>2</v>
      </c>
      <c r="E159" t="inlineStr">
        <is>
          <t>Output</t>
        </is>
      </c>
      <c r="F159" t="inlineStr">
        <is>
          <t>'=B14/(B14+B13)</t>
        </is>
      </c>
      <c r="G159" t="n">
        <v>0.1876128204440517</v>
      </c>
      <c r="H159" t="inlineStr"/>
      <c r="I159" t="inlineStr">
        <is>
          <t>0.00%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right</t>
        </is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>
        <f>R[-2]C[0]/(R[-2]C[0]+R[-3]C[0])</f>
        <v/>
      </c>
    </row>
    <row r="160">
      <c r="A160" t="inlineStr">
        <is>
          <t>Valuation</t>
        </is>
      </c>
      <c r="B160" t="inlineStr">
        <is>
          <t>N16</t>
        </is>
      </c>
      <c r="C160" t="n">
        <v>16</v>
      </c>
      <c r="D160" t="n">
        <v>14</v>
      </c>
      <c r="E160" t="inlineStr">
        <is>
          <t>Input</t>
        </is>
      </c>
      <c r="F160" t="n">
        <v/>
      </c>
      <c r="H160" t="inlineStr"/>
      <c r="I160" t="inlineStr">
        <is>
          <t>0.00%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n">
        <v/>
      </c>
      <c r="P160" t="n">
        <v/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Valuation</t>
        </is>
      </c>
      <c r="B161" t="inlineStr">
        <is>
          <t>O16</t>
        </is>
      </c>
      <c r="C161" t="n">
        <v>16</v>
      </c>
      <c r="D161" t="n">
        <v>15</v>
      </c>
      <c r="E161" t="inlineStr">
        <is>
          <t>Input</t>
        </is>
      </c>
      <c r="F161" t="n">
        <v/>
      </c>
      <c r="G161" t="inlineStr">
        <is>
          <t>Finance Lease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Valuation</t>
        </is>
      </c>
      <c r="B162" t="inlineStr">
        <is>
          <t>P16</t>
        </is>
      </c>
      <c r="C162" t="n">
        <v>16</v>
      </c>
      <c r="D162" t="n">
        <v>16</v>
      </c>
      <c r="E162" t="inlineStr">
        <is>
          <t>Input</t>
        </is>
      </c>
      <c r="F162" t="n">
        <v/>
      </c>
      <c r="G162" t="n">
        <v>2267.2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Valuation</t>
        </is>
      </c>
      <c r="B163" t="inlineStr">
        <is>
          <t>Q16</t>
        </is>
      </c>
      <c r="C163" t="n">
        <v>16</v>
      </c>
      <c r="D163" t="n">
        <v>17</v>
      </c>
      <c r="E163" t="inlineStr">
        <is>
          <t>Output</t>
        </is>
      </c>
      <c r="F163" t="inlineStr">
        <is>
          <t>'=1.1%+2.5%</t>
        </is>
      </c>
      <c r="G163" t="n">
        <v>0.036</v>
      </c>
      <c r="H163" t="inlineStr"/>
      <c r="I163" t="inlineStr">
        <is>
          <t>0.00%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center</t>
        </is>
      </c>
      <c r="P163" t="n">
        <v/>
      </c>
      <c r="R163" t="b">
        <v>1</v>
      </c>
      <c r="S163" t="inlineStr">
        <is>
          <t>G000390</t>
        </is>
      </c>
      <c r="T163" t="inlineStr">
        <is>
          <t>Vertical</t>
        </is>
      </c>
      <c r="U163" t="n">
        <v>10</v>
      </c>
      <c r="V163" t="b">
        <v>1</v>
      </c>
      <c r="W163" t="inlineStr">
        <is>
          <t>Valuation!Q7:Q16</t>
        </is>
      </c>
      <c r="X163">
        <f>1.1%+2.5%</f>
        <v/>
      </c>
    </row>
    <row r="164">
      <c r="A164" t="inlineStr">
        <is>
          <t>Valuation</t>
        </is>
      </c>
      <c r="B164" t="inlineStr">
        <is>
          <t>R16</t>
        </is>
      </c>
      <c r="C164" t="n">
        <v>16</v>
      </c>
      <c r="D164" t="n">
        <v>18</v>
      </c>
      <c r="E164" t="inlineStr">
        <is>
          <t>Input</t>
        </is>
      </c>
      <c r="F164" t="n">
        <v/>
      </c>
      <c r="G164" t="n">
        <v>120</v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center</t>
        </is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Valuation</t>
        </is>
      </c>
      <c r="B165" t="inlineStr">
        <is>
          <t>S16</t>
        </is>
      </c>
      <c r="C165" t="n">
        <v>16</v>
      </c>
      <c r="D165" t="n">
        <v>19</v>
      </c>
      <c r="E165" t="inlineStr">
        <is>
          <t>Calculation</t>
        </is>
      </c>
      <c r="F165" t="inlineStr">
        <is>
          <t>'=P16*R16</t>
        </is>
      </c>
      <c r="G165" t="n">
        <v>272064</v>
      </c>
      <c r="H165" t="inlineStr"/>
      <c r="I165" t="inlineStr">
        <is>
          <t>0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n">
        <v/>
      </c>
      <c r="R165" t="b">
        <v>1</v>
      </c>
      <c r="S165" t="inlineStr">
        <is>
          <t>G000389</t>
        </is>
      </c>
      <c r="T165" t="inlineStr">
        <is>
          <t>Vertical</t>
        </is>
      </c>
      <c r="U165" t="n">
        <v>13</v>
      </c>
      <c r="V165" t="b">
        <v>1</v>
      </c>
      <c r="W165" t="inlineStr">
        <is>
          <t>Valuation!S4:S16</t>
        </is>
      </c>
      <c r="X165">
        <f>R[0]C[-3]*R[0]C[-1]</f>
        <v/>
      </c>
    </row>
    <row r="166">
      <c r="A166" t="inlineStr">
        <is>
          <t>Valuation</t>
        </is>
      </c>
      <c r="B166" t="inlineStr">
        <is>
          <t>A17</t>
        </is>
      </c>
      <c r="C166" t="n">
        <v>17</v>
      </c>
      <c r="D166" t="n">
        <v>1</v>
      </c>
      <c r="E166" t="inlineStr">
        <is>
          <t>Input</t>
        </is>
      </c>
      <c r="F166" t="n">
        <v/>
      </c>
      <c r="G166" t="inlineStr">
        <is>
          <t>WACC</t>
        </is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center</t>
        </is>
      </c>
      <c r="P166" t="n">
        <v/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Valuation</t>
        </is>
      </c>
      <c r="B167" t="inlineStr">
        <is>
          <t>B17</t>
        </is>
      </c>
      <c r="C167" t="n">
        <v>17</v>
      </c>
      <c r="D167" t="n">
        <v>2</v>
      </c>
      <c r="E167" t="inlineStr">
        <is>
          <t>Calculation</t>
        </is>
      </c>
      <c r="F167" t="inlineStr">
        <is>
          <t>'=(I8*(B13/(B13+B14)))+(F11*(1-B4)*(B14/(B13+B14)))</t>
        </is>
      </c>
      <c r="G167" t="n">
        <v>0.1170101208333367</v>
      </c>
      <c r="H167" t="inlineStr"/>
      <c r="I167" t="inlineStr">
        <is>
          <t>0.00%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right</t>
        </is>
      </c>
      <c r="P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>
        <f>(R[-9]C[7]*(R[-4]C[0]/(R[-4]C[0]+R[-3]C[0])))+(R[-6]C[4]*(1-R[-13]C[0])*(R[-3]C[0]/(R[-4]C[0]+R[-3]C[0])))</f>
        <v/>
      </c>
    </row>
    <row r="168">
      <c r="A168" t="inlineStr">
        <is>
          <t>Valuation</t>
        </is>
      </c>
      <c r="B168" t="inlineStr">
        <is>
          <t>N17</t>
        </is>
      </c>
      <c r="C168" t="n">
        <v>17</v>
      </c>
      <c r="D168" t="n">
        <v>14</v>
      </c>
      <c r="E168" t="inlineStr">
        <is>
          <t>Input</t>
        </is>
      </c>
      <c r="F168" t="n">
        <v/>
      </c>
      <c r="H168" t="inlineStr"/>
      <c r="I168" t="inlineStr">
        <is>
          <t>0.00%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00000000</t>
        </is>
      </c>
      <c r="O168" t="n">
        <v/>
      </c>
      <c r="P168" t="n">
        <v/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Valuation</t>
        </is>
      </c>
      <c r="B169" t="inlineStr">
        <is>
          <t>O17</t>
        </is>
      </c>
      <c r="C169" t="n">
        <v>17</v>
      </c>
      <c r="D169" t="n">
        <v>15</v>
      </c>
      <c r="E169" t="inlineStr">
        <is>
          <t>Input</t>
        </is>
      </c>
      <c r="F169" t="n">
        <v/>
      </c>
      <c r="G169" t="inlineStr">
        <is>
          <t>Sum Total</t>
        </is>
      </c>
      <c r="H169" t="inlineStr"/>
      <c r="I169" t="inlineStr">
        <is>
          <t>0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inlineStr">
        <is>
          <t>center</t>
        </is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Valuation</t>
        </is>
      </c>
      <c r="B170" t="inlineStr">
        <is>
          <t>P17</t>
        </is>
      </c>
      <c r="C170" t="n">
        <v>17</v>
      </c>
      <c r="D170" t="n">
        <v>16</v>
      </c>
      <c r="E170" t="inlineStr">
        <is>
          <t>Calculation</t>
        </is>
      </c>
      <c r="F170" t="inlineStr">
        <is>
          <t>'=SUM(P4:P16)</t>
        </is>
      </c>
      <c r="G170" t="n">
        <v>37947.99999999999</v>
      </c>
      <c r="H170" t="inlineStr"/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inlineStr">
        <is>
          <t>center</t>
        </is>
      </c>
      <c r="P170" t="n">
        <v/>
      </c>
      <c r="R170" t="b">
        <v>1</v>
      </c>
      <c r="S170" t="inlineStr">
        <is>
          <t>G000391</t>
        </is>
      </c>
      <c r="T170" t="inlineStr">
        <is>
          <t>Block</t>
        </is>
      </c>
      <c r="U170" t="n">
        <v>2</v>
      </c>
      <c r="V170" t="b">
        <v>1</v>
      </c>
      <c r="W170" t="inlineStr">
        <is>
          <t>Valuation!P17:S17</t>
        </is>
      </c>
      <c r="X170">
        <f>SUM(R[-13]C[0]:R[-1]C[0])</f>
        <v/>
      </c>
    </row>
    <row r="171">
      <c r="A171" t="inlineStr">
        <is>
          <t>Valuation</t>
        </is>
      </c>
      <c r="B171" t="inlineStr">
        <is>
          <t>Q17</t>
        </is>
      </c>
      <c r="C171" t="n">
        <v>17</v>
      </c>
      <c r="D171" t="n">
        <v>17</v>
      </c>
      <c r="E171" t="inlineStr">
        <is>
          <t>Input</t>
        </is>
      </c>
      <c r="F171" t="n">
        <v/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inlineStr">
        <is>
          <t>center</t>
        </is>
      </c>
      <c r="P171" t="n">
        <v/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Valuation</t>
        </is>
      </c>
      <c r="B172" t="inlineStr">
        <is>
          <t>R17</t>
        </is>
      </c>
      <c r="C172" t="n">
        <v>17</v>
      </c>
      <c r="D172" t="n">
        <v>18</v>
      </c>
      <c r="E172" t="inlineStr">
        <is>
          <t>Input</t>
        </is>
      </c>
      <c r="F172" t="n">
        <v/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inlineStr">
        <is>
          <t>center</t>
        </is>
      </c>
      <c r="P172" t="n">
        <v/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Valuation</t>
        </is>
      </c>
      <c r="B173" t="inlineStr">
        <is>
          <t>S17</t>
        </is>
      </c>
      <c r="C173" t="n">
        <v>17</v>
      </c>
      <c r="D173" t="n">
        <v>19</v>
      </c>
      <c r="E173" t="inlineStr">
        <is>
          <t>Calculation</t>
        </is>
      </c>
      <c r="F173" t="inlineStr">
        <is>
          <t>'=SUM(S4:S16)</t>
        </is>
      </c>
      <c r="G173" t="n">
        <v>2702150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inlineStr">
        <is>
          <t>center</t>
        </is>
      </c>
      <c r="P173" t="n">
        <v/>
      </c>
      <c r="R173" t="b">
        <v>1</v>
      </c>
      <c r="S173" t="inlineStr">
        <is>
          <t>G000391</t>
        </is>
      </c>
      <c r="T173" t="inlineStr">
        <is>
          <t>Block</t>
        </is>
      </c>
      <c r="U173" t="n">
        <v>2</v>
      </c>
      <c r="V173" t="b">
        <v>1</v>
      </c>
      <c r="W173" t="inlineStr">
        <is>
          <t>Valuation!P17:S17</t>
        </is>
      </c>
      <c r="X173">
        <f>SUM(R[-13]C[0]:R[-1]C[0])</f>
        <v/>
      </c>
    </row>
    <row r="174">
      <c r="A174" t="inlineStr">
        <is>
          <t>Valuation</t>
        </is>
      </c>
      <c r="B174" t="inlineStr">
        <is>
          <t>N18</t>
        </is>
      </c>
      <c r="C174" t="n">
        <v>18</v>
      </c>
      <c r="D174" t="n">
        <v>14</v>
      </c>
      <c r="E174" t="inlineStr">
        <is>
          <t>Input</t>
        </is>
      </c>
      <c r="F174" t="n">
        <v/>
      </c>
      <c r="H174" t="inlineStr"/>
      <c r="I174" t="inlineStr">
        <is>
          <t>0.00%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P174" t="n">
        <v/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Valuation</t>
        </is>
      </c>
      <c r="B175" t="inlineStr">
        <is>
          <t>O18</t>
        </is>
      </c>
      <c r="C175" t="n">
        <v>18</v>
      </c>
      <c r="D175" t="n">
        <v>15</v>
      </c>
      <c r="E175" t="inlineStr">
        <is>
          <t>Input</t>
        </is>
      </c>
      <c r="F175" t="n">
        <v/>
      </c>
      <c r="H175" t="inlineStr"/>
      <c r="I175" t="inlineStr">
        <is>
          <t>0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center</t>
        </is>
      </c>
      <c r="P175" t="n">
        <v/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Valuation</t>
        </is>
      </c>
      <c r="B176" t="inlineStr">
        <is>
          <t>P18</t>
        </is>
      </c>
      <c r="C176" t="n">
        <v>18</v>
      </c>
      <c r="D176" t="n">
        <v>16</v>
      </c>
      <c r="E176" t="inlineStr">
        <is>
          <t>Input</t>
        </is>
      </c>
      <c r="F176" t="n">
        <v/>
      </c>
      <c r="H176" t="inlineStr"/>
      <c r="I176" t="inlineStr">
        <is>
          <t>0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P176" t="n">
        <v/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Valuation</t>
        </is>
      </c>
      <c r="B177" t="inlineStr">
        <is>
          <t>Q18</t>
        </is>
      </c>
      <c r="C177" t="n">
        <v>18</v>
      </c>
      <c r="D177" t="n">
        <v>17</v>
      </c>
      <c r="E177" t="inlineStr">
        <is>
          <t>Input</t>
        </is>
      </c>
      <c r="F177" t="n">
        <v/>
      </c>
      <c r="H177" t="inlineStr"/>
      <c r="I177" t="inlineStr">
        <is>
          <t>0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center</t>
        </is>
      </c>
      <c r="P177" t="n">
        <v/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Valuation</t>
        </is>
      </c>
      <c r="B178" t="inlineStr">
        <is>
          <t>R18</t>
        </is>
      </c>
      <c r="C178" t="n">
        <v>18</v>
      </c>
      <c r="D178" t="n">
        <v>18</v>
      </c>
      <c r="E178" t="inlineStr">
        <is>
          <t>Input</t>
        </is>
      </c>
      <c r="F178" t="n">
        <v/>
      </c>
      <c r="H178" t="inlineStr"/>
      <c r="I178" t="inlineStr">
        <is>
          <t>0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inlineStr">
        <is>
          <t>center</t>
        </is>
      </c>
      <c r="P178" t="n">
        <v/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Valuation</t>
        </is>
      </c>
      <c r="B179" t="inlineStr">
        <is>
          <t>N19</t>
        </is>
      </c>
      <c r="C179" t="n">
        <v>19</v>
      </c>
      <c r="D179" t="n">
        <v>14</v>
      </c>
      <c r="E179" t="inlineStr">
        <is>
          <t>Input</t>
        </is>
      </c>
      <c r="F179" t="n">
        <v/>
      </c>
      <c r="H179" t="inlineStr"/>
      <c r="I179" t="inlineStr">
        <is>
          <t>0.00%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00000000</t>
        </is>
      </c>
      <c r="O179" t="n">
        <v/>
      </c>
      <c r="P179" t="n">
        <v/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Valuation</t>
        </is>
      </c>
      <c r="B180" t="inlineStr">
        <is>
          <t>A20</t>
        </is>
      </c>
      <c r="C180" t="n">
        <v>20</v>
      </c>
      <c r="D180" t="n">
        <v>1</v>
      </c>
      <c r="E180" t="inlineStr">
        <is>
          <t>Input</t>
        </is>
      </c>
      <c r="F180" t="n">
        <v/>
      </c>
      <c r="G180" t="inlineStr">
        <is>
          <t>Date</t>
        </is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Valuation</t>
        </is>
      </c>
      <c r="B181" t="inlineStr">
        <is>
          <t>B20</t>
        </is>
      </c>
      <c r="C181" t="n">
        <v>20</v>
      </c>
      <c r="D181" t="n">
        <v>2</v>
      </c>
      <c r="E181" t="inlineStr">
        <is>
          <t>Input</t>
        </is>
      </c>
      <c r="F181" t="n">
        <v/>
      </c>
      <c r="H181" t="inlineStr"/>
      <c r="I181" t="inlineStr">
        <is>
          <t>[$-409]mmm/yy;@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n">
        <v/>
      </c>
      <c r="P181" t="n">
        <v/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Valuation</t>
        </is>
      </c>
      <c r="B182" t="inlineStr">
        <is>
          <t>C20</t>
        </is>
      </c>
      <c r="C182" t="n">
        <v>20</v>
      </c>
      <c r="D182" t="n">
        <v>3</v>
      </c>
      <c r="E182" t="inlineStr">
        <is>
          <t>Input</t>
        </is>
      </c>
      <c r="F182" t="n">
        <v/>
      </c>
      <c r="G182" s="1" t="n">
        <v>40633</v>
      </c>
      <c r="H182" t="inlineStr"/>
      <c r="I182" t="inlineStr">
        <is>
          <t>[$-409]mmm/yy;@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Valuation</t>
        </is>
      </c>
      <c r="B183" t="inlineStr">
        <is>
          <t>D20</t>
        </is>
      </c>
      <c r="C183" t="n">
        <v>20</v>
      </c>
      <c r="D183" t="n">
        <v>4</v>
      </c>
      <c r="E183" t="inlineStr">
        <is>
          <t>Calculation</t>
        </is>
      </c>
      <c r="F183" t="inlineStr">
        <is>
          <t>'=EOMONTH(C20,12)</t>
        </is>
      </c>
      <c r="G183" s="1" t="n">
        <v>40999</v>
      </c>
      <c r="H183" t="inlineStr"/>
      <c r="I183" t="inlineStr">
        <is>
          <t>[$-409]mmm/yy;@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G000392</t>
        </is>
      </c>
      <c r="T183" t="inlineStr">
        <is>
          <t>Horizontal</t>
        </is>
      </c>
      <c r="U183" t="n">
        <v>11</v>
      </c>
      <c r="V183" t="b">
        <v>1</v>
      </c>
      <c r="W183" t="inlineStr">
        <is>
          <t>Valuation!D20:N20</t>
        </is>
      </c>
      <c r="X183">
        <f>EOMONTH(R[0]C[-1],12)</f>
        <v/>
      </c>
    </row>
    <row r="184">
      <c r="A184" t="inlineStr">
        <is>
          <t>Valuation</t>
        </is>
      </c>
      <c r="B184" t="inlineStr">
        <is>
          <t>E20</t>
        </is>
      </c>
      <c r="C184" t="n">
        <v>20</v>
      </c>
      <c r="D184" t="n">
        <v>5</v>
      </c>
      <c r="E184" t="inlineStr">
        <is>
          <t>Calculation</t>
        </is>
      </c>
      <c r="F184" t="inlineStr">
        <is>
          <t>'=EOMONTH(D20,12)</t>
        </is>
      </c>
      <c r="G184" s="1" t="n">
        <v>41364</v>
      </c>
      <c r="H184" t="inlineStr"/>
      <c r="I184" t="inlineStr">
        <is>
          <t>[$-409]mmm/yy;@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G000392</t>
        </is>
      </c>
      <c r="T184" t="inlineStr">
        <is>
          <t>Horizontal</t>
        </is>
      </c>
      <c r="U184" t="n">
        <v>11</v>
      </c>
      <c r="V184" t="b">
        <v>1</v>
      </c>
      <c r="W184" t="inlineStr">
        <is>
          <t>Valuation!D20:N20</t>
        </is>
      </c>
      <c r="X184">
        <f>EOMONTH(R[0]C[-1],12)</f>
        <v/>
      </c>
    </row>
    <row r="185">
      <c r="A185" t="inlineStr">
        <is>
          <t>Valuation</t>
        </is>
      </c>
      <c r="B185" t="inlineStr">
        <is>
          <t>F20</t>
        </is>
      </c>
      <c r="C185" t="n">
        <v>20</v>
      </c>
      <c r="D185" t="n">
        <v>6</v>
      </c>
      <c r="E185" t="inlineStr">
        <is>
          <t>Calculation</t>
        </is>
      </c>
      <c r="F185" t="inlineStr">
        <is>
          <t>'=EOMONTH(E20,12)</t>
        </is>
      </c>
      <c r="G185" s="1" t="n">
        <v>41729</v>
      </c>
      <c r="H185" t="inlineStr"/>
      <c r="I185" t="inlineStr">
        <is>
          <t>[$-409]mmm/yy;@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G000392</t>
        </is>
      </c>
      <c r="T185" t="inlineStr">
        <is>
          <t>Horizontal</t>
        </is>
      </c>
      <c r="U185" t="n">
        <v>11</v>
      </c>
      <c r="V185" t="b">
        <v>1</v>
      </c>
      <c r="W185" t="inlineStr">
        <is>
          <t>Valuation!D20:N20</t>
        </is>
      </c>
      <c r="X185">
        <f>EOMONTH(R[0]C[-1],12)</f>
        <v/>
      </c>
    </row>
    <row r="186">
      <c r="A186" t="inlineStr">
        <is>
          <t>Valuation</t>
        </is>
      </c>
      <c r="B186" t="inlineStr">
        <is>
          <t>G20</t>
        </is>
      </c>
      <c r="C186" t="n">
        <v>20</v>
      </c>
      <c r="D186" t="n">
        <v>7</v>
      </c>
      <c r="E186" t="inlineStr">
        <is>
          <t>Calculation</t>
        </is>
      </c>
      <c r="F186" t="inlineStr">
        <is>
          <t>'=EOMONTH(F20,12)</t>
        </is>
      </c>
      <c r="G186" s="1" t="n">
        <v>42094</v>
      </c>
      <c r="H186" t="inlineStr"/>
      <c r="I186" t="inlineStr">
        <is>
          <t>[$-409]mmm/yy;@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G000392</t>
        </is>
      </c>
      <c r="T186" t="inlineStr">
        <is>
          <t>Horizontal</t>
        </is>
      </c>
      <c r="U186" t="n">
        <v>11</v>
      </c>
      <c r="V186" t="b">
        <v>1</v>
      </c>
      <c r="W186" t="inlineStr">
        <is>
          <t>Valuation!D20:N20</t>
        </is>
      </c>
      <c r="X186">
        <f>EOMONTH(R[0]C[-1],12)</f>
        <v/>
      </c>
    </row>
    <row r="187">
      <c r="A187" t="inlineStr">
        <is>
          <t>Valuation</t>
        </is>
      </c>
      <c r="B187" t="inlineStr">
        <is>
          <t>H20</t>
        </is>
      </c>
      <c r="C187" t="n">
        <v>20</v>
      </c>
      <c r="D187" t="n">
        <v>8</v>
      </c>
      <c r="E187" t="inlineStr">
        <is>
          <t>Calculation</t>
        </is>
      </c>
      <c r="F187" t="inlineStr">
        <is>
          <t>'=EOMONTH(G20,12)</t>
        </is>
      </c>
      <c r="G187" s="1" t="n">
        <v>42460</v>
      </c>
      <c r="H187" t="inlineStr"/>
      <c r="I187" t="inlineStr">
        <is>
          <t>[$-409]mmm/yy;@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G000392</t>
        </is>
      </c>
      <c r="T187" t="inlineStr">
        <is>
          <t>Horizontal</t>
        </is>
      </c>
      <c r="U187" t="n">
        <v>11</v>
      </c>
      <c r="V187" t="b">
        <v>1</v>
      </c>
      <c r="W187" t="inlineStr">
        <is>
          <t>Valuation!D20:N20</t>
        </is>
      </c>
      <c r="X187">
        <f>EOMONTH(R[0]C[-1],12)</f>
        <v/>
      </c>
    </row>
    <row r="188">
      <c r="A188" t="inlineStr">
        <is>
          <t>Valuation</t>
        </is>
      </c>
      <c r="B188" t="inlineStr">
        <is>
          <t>I20</t>
        </is>
      </c>
      <c r="C188" t="n">
        <v>20</v>
      </c>
      <c r="D188" t="n">
        <v>9</v>
      </c>
      <c r="E188" t="inlineStr">
        <is>
          <t>Calculation</t>
        </is>
      </c>
      <c r="F188" t="inlineStr">
        <is>
          <t>'=EOMONTH(H20,12)</t>
        </is>
      </c>
      <c r="G188" s="1" t="n">
        <v>42825</v>
      </c>
      <c r="H188" t="inlineStr"/>
      <c r="I188" t="inlineStr">
        <is>
          <t>[$-409]mmm/yy;@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G000392</t>
        </is>
      </c>
      <c r="T188" t="inlineStr">
        <is>
          <t>Horizontal</t>
        </is>
      </c>
      <c r="U188" t="n">
        <v>11</v>
      </c>
      <c r="V188" t="b">
        <v>1</v>
      </c>
      <c r="W188" t="inlineStr">
        <is>
          <t>Valuation!D20:N20</t>
        </is>
      </c>
      <c r="X188">
        <f>EOMONTH(R[0]C[-1],12)</f>
        <v/>
      </c>
    </row>
    <row r="189">
      <c r="A189" t="inlineStr">
        <is>
          <t>Valuation</t>
        </is>
      </c>
      <c r="B189" t="inlineStr">
        <is>
          <t>J20</t>
        </is>
      </c>
      <c r="C189" t="n">
        <v>20</v>
      </c>
      <c r="D189" t="n">
        <v>10</v>
      </c>
      <c r="E189" t="inlineStr">
        <is>
          <t>Calculation</t>
        </is>
      </c>
      <c r="F189" t="inlineStr">
        <is>
          <t>'=EOMONTH(I20,12)</t>
        </is>
      </c>
      <c r="G189" s="1" t="n">
        <v>43190</v>
      </c>
      <c r="H189" t="inlineStr"/>
      <c r="I189" t="inlineStr">
        <is>
          <t>[$-409]mmm/yy;@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G000392</t>
        </is>
      </c>
      <c r="T189" t="inlineStr">
        <is>
          <t>Horizontal</t>
        </is>
      </c>
      <c r="U189" t="n">
        <v>11</v>
      </c>
      <c r="V189" t="b">
        <v>1</v>
      </c>
      <c r="W189" t="inlineStr">
        <is>
          <t>Valuation!D20:N20</t>
        </is>
      </c>
      <c r="X189">
        <f>EOMONTH(R[0]C[-1],12)</f>
        <v/>
      </c>
    </row>
    <row r="190">
      <c r="A190" t="inlineStr">
        <is>
          <t>Valuation</t>
        </is>
      </c>
      <c r="B190" t="inlineStr">
        <is>
          <t>K20</t>
        </is>
      </c>
      <c r="C190" t="n">
        <v>20</v>
      </c>
      <c r="D190" t="n">
        <v>11</v>
      </c>
      <c r="E190" t="inlineStr">
        <is>
          <t>Calculation</t>
        </is>
      </c>
      <c r="F190" t="inlineStr">
        <is>
          <t>'=EOMONTH(J20,12)</t>
        </is>
      </c>
      <c r="G190" s="1" t="n">
        <v>43555</v>
      </c>
      <c r="H190" t="inlineStr"/>
      <c r="I190" t="inlineStr">
        <is>
          <t>[$-409]mmm/yy;@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inlineStr">
        <is>
          <t>G000392</t>
        </is>
      </c>
      <c r="T190" t="inlineStr">
        <is>
          <t>Horizontal</t>
        </is>
      </c>
      <c r="U190" t="n">
        <v>11</v>
      </c>
      <c r="V190" t="b">
        <v>1</v>
      </c>
      <c r="W190" t="inlineStr">
        <is>
          <t>Valuation!D20:N20</t>
        </is>
      </c>
      <c r="X190">
        <f>EOMONTH(R[0]C[-1],12)</f>
        <v/>
      </c>
    </row>
    <row r="191">
      <c r="A191" t="inlineStr">
        <is>
          <t>Valuation</t>
        </is>
      </c>
      <c r="B191" t="inlineStr">
        <is>
          <t>L20</t>
        </is>
      </c>
      <c r="C191" t="n">
        <v>20</v>
      </c>
      <c r="D191" t="n">
        <v>12</v>
      </c>
      <c r="E191" t="inlineStr">
        <is>
          <t>Calculation</t>
        </is>
      </c>
      <c r="F191" t="inlineStr">
        <is>
          <t>'=EOMONTH(K20,12)</t>
        </is>
      </c>
      <c r="G191" s="1" t="n">
        <v>43921</v>
      </c>
      <c r="H191" t="inlineStr"/>
      <c r="I191" t="inlineStr">
        <is>
          <t>[$-409]mmm/yy;@</t>
        </is>
      </c>
      <c r="J191" t="b">
        <v>0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G000392</t>
        </is>
      </c>
      <c r="T191" t="inlineStr">
        <is>
          <t>Horizontal</t>
        </is>
      </c>
      <c r="U191" t="n">
        <v>11</v>
      </c>
      <c r="V191" t="b">
        <v>1</v>
      </c>
      <c r="W191" t="inlineStr">
        <is>
          <t>Valuation!D20:N20</t>
        </is>
      </c>
      <c r="X191">
        <f>EOMONTH(R[0]C[-1],12)</f>
        <v/>
      </c>
    </row>
    <row r="192">
      <c r="A192" t="inlineStr">
        <is>
          <t>Valuation</t>
        </is>
      </c>
      <c r="B192" t="inlineStr">
        <is>
          <t>M20</t>
        </is>
      </c>
      <c r="C192" t="n">
        <v>20</v>
      </c>
      <c r="D192" t="n">
        <v>13</v>
      </c>
      <c r="E192" t="inlineStr">
        <is>
          <t>Calculation</t>
        </is>
      </c>
      <c r="F192" t="inlineStr">
        <is>
          <t>'=EOMONTH(L20,12)</t>
        </is>
      </c>
      <c r="G192" s="1" t="n">
        <v>44286</v>
      </c>
      <c r="H192" t="inlineStr"/>
      <c r="I192" t="inlineStr">
        <is>
          <t>[$-409]mmm/yy;@</t>
        </is>
      </c>
      <c r="J192" t="b">
        <v>0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G000392</t>
        </is>
      </c>
      <c r="T192" t="inlineStr">
        <is>
          <t>Horizontal</t>
        </is>
      </c>
      <c r="U192" t="n">
        <v>11</v>
      </c>
      <c r="V192" t="b">
        <v>1</v>
      </c>
      <c r="W192" t="inlineStr">
        <is>
          <t>Valuation!D20:N20</t>
        </is>
      </c>
      <c r="X192">
        <f>EOMONTH(R[0]C[-1],12)</f>
        <v/>
      </c>
    </row>
    <row r="193">
      <c r="A193" t="inlineStr">
        <is>
          <t>Valuation</t>
        </is>
      </c>
      <c r="B193" t="inlineStr">
        <is>
          <t>N20</t>
        </is>
      </c>
      <c r="C193" t="n">
        <v>20</v>
      </c>
      <c r="D193" t="n">
        <v>14</v>
      </c>
      <c r="E193" t="inlineStr">
        <is>
          <t>Calculation</t>
        </is>
      </c>
      <c r="F193" t="inlineStr">
        <is>
          <t>'=EOMONTH(M20,12)</t>
        </is>
      </c>
      <c r="G193" s="1" t="n">
        <v>44651</v>
      </c>
      <c r="H193" t="inlineStr"/>
      <c r="I193" t="inlineStr">
        <is>
          <t>[$-409]mmm/yy;@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G000392</t>
        </is>
      </c>
      <c r="T193" t="inlineStr">
        <is>
          <t>Horizontal</t>
        </is>
      </c>
      <c r="U193" t="n">
        <v>11</v>
      </c>
      <c r="V193" t="b">
        <v>1</v>
      </c>
      <c r="W193" t="inlineStr">
        <is>
          <t>Valuation!D20:N20</t>
        </is>
      </c>
      <c r="X193">
        <f>EOMONTH(R[0]C[-1],12)</f>
        <v/>
      </c>
    </row>
    <row r="194">
      <c r="A194" t="inlineStr">
        <is>
          <t>Valuation</t>
        </is>
      </c>
      <c r="B194" t="inlineStr">
        <is>
          <t>A21</t>
        </is>
      </c>
      <c r="C194" t="n">
        <v>21</v>
      </c>
      <c r="D194" t="n">
        <v>1</v>
      </c>
      <c r="E194" t="inlineStr">
        <is>
          <t>Input</t>
        </is>
      </c>
      <c r="F194" t="n">
        <v/>
      </c>
      <c r="G194" t="inlineStr">
        <is>
          <t>Year</t>
        </is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Valuation</t>
        </is>
      </c>
      <c r="B195" t="inlineStr">
        <is>
          <t>B21</t>
        </is>
      </c>
      <c r="C195" t="n">
        <v>21</v>
      </c>
      <c r="D195" t="n">
        <v>2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n">
        <v/>
      </c>
      <c r="P195" t="n">
        <v/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Valuation</t>
        </is>
      </c>
      <c r="B196" t="inlineStr">
        <is>
          <t>C21</t>
        </is>
      </c>
      <c r="C196" t="n">
        <v>21</v>
      </c>
      <c r="D196" t="n">
        <v>3</v>
      </c>
      <c r="E196" t="inlineStr">
        <is>
          <t>Output</t>
        </is>
      </c>
      <c r="F196" t="inlineStr">
        <is>
          <t>'=YEAR(C20)</t>
        </is>
      </c>
      <c r="G196" t="n">
        <v>2011</v>
      </c>
      <c r="H196" t="inlineStr"/>
      <c r="I196" t="inlineStr">
        <is>
          <t>0\-\A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G000393</t>
        </is>
      </c>
      <c r="T196" t="inlineStr">
        <is>
          <t>Horizontal</t>
        </is>
      </c>
      <c r="U196" t="n">
        <v>12</v>
      </c>
      <c r="V196" t="b">
        <v>1</v>
      </c>
      <c r="W196" t="inlineStr">
        <is>
          <t>Valuation!C21:N21</t>
        </is>
      </c>
      <c r="X196">
        <f>YEAR(R[-1]C[0])</f>
        <v/>
      </c>
    </row>
    <row r="197">
      <c r="A197" t="inlineStr">
        <is>
          <t>Valuation</t>
        </is>
      </c>
      <c r="B197" t="inlineStr">
        <is>
          <t>D21</t>
        </is>
      </c>
      <c r="C197" t="n">
        <v>21</v>
      </c>
      <c r="D197" t="n">
        <v>4</v>
      </c>
      <c r="E197" t="inlineStr">
        <is>
          <t>Output</t>
        </is>
      </c>
      <c r="F197" t="inlineStr">
        <is>
          <t>'=YEAR(D20)</t>
        </is>
      </c>
      <c r="G197" t="n">
        <v>2012</v>
      </c>
      <c r="H197" t="inlineStr"/>
      <c r="I197" t="inlineStr">
        <is>
          <t>0\-\A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G000393</t>
        </is>
      </c>
      <c r="T197" t="inlineStr">
        <is>
          <t>Horizontal</t>
        </is>
      </c>
      <c r="U197" t="n">
        <v>12</v>
      </c>
      <c r="V197" t="b">
        <v>1</v>
      </c>
      <c r="W197" t="inlineStr">
        <is>
          <t>Valuation!C21:N21</t>
        </is>
      </c>
      <c r="X197">
        <f>YEAR(R[-1]C[0])</f>
        <v/>
      </c>
    </row>
    <row r="198">
      <c r="A198" t="inlineStr">
        <is>
          <t>Valuation</t>
        </is>
      </c>
      <c r="B198" t="inlineStr">
        <is>
          <t>E21</t>
        </is>
      </c>
      <c r="C198" t="n">
        <v>21</v>
      </c>
      <c r="D198" t="n">
        <v>5</v>
      </c>
      <c r="E198" t="inlineStr">
        <is>
          <t>Output</t>
        </is>
      </c>
      <c r="F198" t="inlineStr">
        <is>
          <t>'=YEAR(E20)</t>
        </is>
      </c>
      <c r="G198" t="n">
        <v>2013</v>
      </c>
      <c r="H198" t="inlineStr"/>
      <c r="I198" t="inlineStr">
        <is>
          <t>0\-\A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inlineStr">
        <is>
          <t>G000393</t>
        </is>
      </c>
      <c r="T198" t="inlineStr">
        <is>
          <t>Horizontal</t>
        </is>
      </c>
      <c r="U198" t="n">
        <v>12</v>
      </c>
      <c r="V198" t="b">
        <v>1</v>
      </c>
      <c r="W198" t="inlineStr">
        <is>
          <t>Valuation!C21:N21</t>
        </is>
      </c>
      <c r="X198">
        <f>YEAR(R[-1]C[0])</f>
        <v/>
      </c>
    </row>
    <row r="199">
      <c r="A199" t="inlineStr">
        <is>
          <t>Valuation</t>
        </is>
      </c>
      <c r="B199" t="inlineStr">
        <is>
          <t>F21</t>
        </is>
      </c>
      <c r="C199" t="n">
        <v>21</v>
      </c>
      <c r="D199" t="n">
        <v>6</v>
      </c>
      <c r="E199" t="inlineStr">
        <is>
          <t>Output</t>
        </is>
      </c>
      <c r="F199" t="inlineStr">
        <is>
          <t>'=YEAR(F20)</t>
        </is>
      </c>
      <c r="G199" t="n">
        <v>2014</v>
      </c>
      <c r="H199" t="inlineStr"/>
      <c r="I199" t="inlineStr">
        <is>
          <t>0\-\A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G000393</t>
        </is>
      </c>
      <c r="T199" t="inlineStr">
        <is>
          <t>Horizontal</t>
        </is>
      </c>
      <c r="U199" t="n">
        <v>12</v>
      </c>
      <c r="V199" t="b">
        <v>1</v>
      </c>
      <c r="W199" t="inlineStr">
        <is>
          <t>Valuation!C21:N21</t>
        </is>
      </c>
      <c r="X199">
        <f>YEAR(R[-1]C[0])</f>
        <v/>
      </c>
    </row>
    <row r="200">
      <c r="A200" t="inlineStr">
        <is>
          <t>Valuation</t>
        </is>
      </c>
      <c r="B200" t="inlineStr">
        <is>
          <t>G21</t>
        </is>
      </c>
      <c r="C200" t="n">
        <v>21</v>
      </c>
      <c r="D200" t="n">
        <v>7</v>
      </c>
      <c r="E200" t="inlineStr">
        <is>
          <t>Output</t>
        </is>
      </c>
      <c r="F200" t="inlineStr">
        <is>
          <t>'=YEAR(G20)</t>
        </is>
      </c>
      <c r="G200" t="n">
        <v>2015</v>
      </c>
      <c r="H200" t="inlineStr"/>
      <c r="I200" t="inlineStr">
        <is>
          <t>0\-\A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G000393</t>
        </is>
      </c>
      <c r="T200" t="inlineStr">
        <is>
          <t>Horizontal</t>
        </is>
      </c>
      <c r="U200" t="n">
        <v>12</v>
      </c>
      <c r="V200" t="b">
        <v>1</v>
      </c>
      <c r="W200" t="inlineStr">
        <is>
          <t>Valuation!C21:N21</t>
        </is>
      </c>
      <c r="X200">
        <f>YEAR(R[-1]C[0])</f>
        <v/>
      </c>
    </row>
    <row r="201">
      <c r="A201" t="inlineStr">
        <is>
          <t>Valuation</t>
        </is>
      </c>
      <c r="B201" t="inlineStr">
        <is>
          <t>H21</t>
        </is>
      </c>
      <c r="C201" t="n">
        <v>21</v>
      </c>
      <c r="D201" t="n">
        <v>8</v>
      </c>
      <c r="E201" t="inlineStr">
        <is>
          <t>Output</t>
        </is>
      </c>
      <c r="F201" t="inlineStr">
        <is>
          <t>'=YEAR(H20)</t>
        </is>
      </c>
      <c r="G201" t="n">
        <v>2016</v>
      </c>
      <c r="H201" t="inlineStr"/>
      <c r="I201" t="inlineStr">
        <is>
          <t>0\-\A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G000393</t>
        </is>
      </c>
      <c r="T201" t="inlineStr">
        <is>
          <t>Horizontal</t>
        </is>
      </c>
      <c r="U201" t="n">
        <v>12</v>
      </c>
      <c r="V201" t="b">
        <v>1</v>
      </c>
      <c r="W201" t="inlineStr">
        <is>
          <t>Valuation!C21:N21</t>
        </is>
      </c>
      <c r="X201">
        <f>YEAR(R[-1]C[0])</f>
        <v/>
      </c>
    </row>
    <row r="202">
      <c r="A202" t="inlineStr">
        <is>
          <t>Valuation</t>
        </is>
      </c>
      <c r="B202" t="inlineStr">
        <is>
          <t>I21</t>
        </is>
      </c>
      <c r="C202" t="n">
        <v>21</v>
      </c>
      <c r="D202" t="n">
        <v>9</v>
      </c>
      <c r="E202" t="inlineStr">
        <is>
          <t>Output</t>
        </is>
      </c>
      <c r="F202" t="inlineStr">
        <is>
          <t>'=YEAR(I20)</t>
        </is>
      </c>
      <c r="G202" t="n">
        <v>2017</v>
      </c>
      <c r="H202" t="inlineStr"/>
      <c r="I202" t="inlineStr">
        <is>
          <t>0\-\A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G000393</t>
        </is>
      </c>
      <c r="T202" t="inlineStr">
        <is>
          <t>Horizontal</t>
        </is>
      </c>
      <c r="U202" t="n">
        <v>12</v>
      </c>
      <c r="V202" t="b">
        <v>1</v>
      </c>
      <c r="W202" t="inlineStr">
        <is>
          <t>Valuation!C21:N21</t>
        </is>
      </c>
      <c r="X202">
        <f>YEAR(R[-1]C[0])</f>
        <v/>
      </c>
    </row>
    <row r="203">
      <c r="A203" t="inlineStr">
        <is>
          <t>Valuation</t>
        </is>
      </c>
      <c r="B203" t="inlineStr">
        <is>
          <t>J21</t>
        </is>
      </c>
      <c r="C203" t="n">
        <v>21</v>
      </c>
      <c r="D203" t="n">
        <v>10</v>
      </c>
      <c r="E203" t="inlineStr">
        <is>
          <t>Output</t>
        </is>
      </c>
      <c r="F203" t="inlineStr">
        <is>
          <t>'=YEAR(J20)</t>
        </is>
      </c>
      <c r="G203" t="n">
        <v>2018</v>
      </c>
      <c r="H203" t="inlineStr"/>
      <c r="I203" t="inlineStr">
        <is>
          <t>0\-\E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G000393</t>
        </is>
      </c>
      <c r="T203" t="inlineStr">
        <is>
          <t>Horizontal</t>
        </is>
      </c>
      <c r="U203" t="n">
        <v>12</v>
      </c>
      <c r="V203" t="b">
        <v>1</v>
      </c>
      <c r="W203" t="inlineStr">
        <is>
          <t>Valuation!C21:N21</t>
        </is>
      </c>
      <c r="X203">
        <f>YEAR(R[-1]C[0])</f>
        <v/>
      </c>
    </row>
    <row r="204">
      <c r="A204" t="inlineStr">
        <is>
          <t>Valuation</t>
        </is>
      </c>
      <c r="B204" t="inlineStr">
        <is>
          <t>K21</t>
        </is>
      </c>
      <c r="C204" t="n">
        <v>21</v>
      </c>
      <c r="D204" t="n">
        <v>11</v>
      </c>
      <c r="E204" t="inlineStr">
        <is>
          <t>Output</t>
        </is>
      </c>
      <c r="F204" t="inlineStr">
        <is>
          <t>'=YEAR(K20)</t>
        </is>
      </c>
      <c r="G204" t="n">
        <v>2019</v>
      </c>
      <c r="H204" t="inlineStr"/>
      <c r="I204" t="inlineStr">
        <is>
          <t>0\-\E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G000393</t>
        </is>
      </c>
      <c r="T204" t="inlineStr">
        <is>
          <t>Horizontal</t>
        </is>
      </c>
      <c r="U204" t="n">
        <v>12</v>
      </c>
      <c r="V204" t="b">
        <v>1</v>
      </c>
      <c r="W204" t="inlineStr">
        <is>
          <t>Valuation!C21:N21</t>
        </is>
      </c>
      <c r="X204">
        <f>YEAR(R[-1]C[0])</f>
        <v/>
      </c>
    </row>
    <row r="205">
      <c r="A205" t="inlineStr">
        <is>
          <t>Valuation</t>
        </is>
      </c>
      <c r="B205" t="inlineStr">
        <is>
          <t>L21</t>
        </is>
      </c>
      <c r="C205" t="n">
        <v>21</v>
      </c>
      <c r="D205" t="n">
        <v>12</v>
      </c>
      <c r="E205" t="inlineStr">
        <is>
          <t>Output</t>
        </is>
      </c>
      <c r="F205" t="inlineStr">
        <is>
          <t>'=YEAR(L20)</t>
        </is>
      </c>
      <c r="G205" t="n">
        <v>2020</v>
      </c>
      <c r="H205" t="inlineStr"/>
      <c r="I205" t="inlineStr">
        <is>
          <t>0\-\E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G000393</t>
        </is>
      </c>
      <c r="T205" t="inlineStr">
        <is>
          <t>Horizontal</t>
        </is>
      </c>
      <c r="U205" t="n">
        <v>12</v>
      </c>
      <c r="V205" t="b">
        <v>1</v>
      </c>
      <c r="W205" t="inlineStr">
        <is>
          <t>Valuation!C21:N21</t>
        </is>
      </c>
      <c r="X205">
        <f>YEAR(R[-1]C[0])</f>
        <v/>
      </c>
    </row>
    <row r="206">
      <c r="A206" t="inlineStr">
        <is>
          <t>Valuation</t>
        </is>
      </c>
      <c r="B206" t="inlineStr">
        <is>
          <t>M21</t>
        </is>
      </c>
      <c r="C206" t="n">
        <v>21</v>
      </c>
      <c r="D206" t="n">
        <v>13</v>
      </c>
      <c r="E206" t="inlineStr">
        <is>
          <t>Output</t>
        </is>
      </c>
      <c r="F206" t="inlineStr">
        <is>
          <t>'=YEAR(M20)</t>
        </is>
      </c>
      <c r="G206" t="n">
        <v>2021</v>
      </c>
      <c r="H206" t="inlineStr"/>
      <c r="I206" t="inlineStr">
        <is>
          <t>0\-\E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G000393</t>
        </is>
      </c>
      <c r="T206" t="inlineStr">
        <is>
          <t>Horizontal</t>
        </is>
      </c>
      <c r="U206" t="n">
        <v>12</v>
      </c>
      <c r="V206" t="b">
        <v>1</v>
      </c>
      <c r="W206" t="inlineStr">
        <is>
          <t>Valuation!C21:N21</t>
        </is>
      </c>
      <c r="X206">
        <f>YEAR(R[-1]C[0])</f>
        <v/>
      </c>
    </row>
    <row r="207">
      <c r="A207" t="inlineStr">
        <is>
          <t>Valuation</t>
        </is>
      </c>
      <c r="B207" t="inlineStr">
        <is>
          <t>N21</t>
        </is>
      </c>
      <c r="C207" t="n">
        <v>21</v>
      </c>
      <c r="D207" t="n">
        <v>14</v>
      </c>
      <c r="E207" t="inlineStr">
        <is>
          <t>Output</t>
        </is>
      </c>
      <c r="F207" t="inlineStr">
        <is>
          <t>'=YEAR(N20)</t>
        </is>
      </c>
      <c r="G207" t="n">
        <v>2022</v>
      </c>
      <c r="H207" t="inlineStr"/>
      <c r="I207" t="inlineStr">
        <is>
          <t>0\-\E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G000393</t>
        </is>
      </c>
      <c r="T207" t="inlineStr">
        <is>
          <t>Horizontal</t>
        </is>
      </c>
      <c r="U207" t="n">
        <v>12</v>
      </c>
      <c r="V207" t="b">
        <v>1</v>
      </c>
      <c r="W207" t="inlineStr">
        <is>
          <t>Valuation!C21:N21</t>
        </is>
      </c>
      <c r="X207">
        <f>YEAR(R[-1]C[0])</f>
        <v/>
      </c>
    </row>
    <row r="208">
      <c r="A208" t="inlineStr">
        <is>
          <t>Valuation</t>
        </is>
      </c>
      <c r="B208" t="inlineStr">
        <is>
          <t>P21</t>
        </is>
      </c>
      <c r="C208" t="n">
        <v>21</v>
      </c>
      <c r="D208" t="n">
        <v>16</v>
      </c>
      <c r="E208" t="inlineStr">
        <is>
          <t>Input</t>
        </is>
      </c>
      <c r="F208" t="n">
        <v/>
      </c>
      <c r="G208" t="inlineStr">
        <is>
          <t>WACC</t>
        </is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center</t>
        </is>
      </c>
      <c r="P208" t="inlineStr">
        <is>
          <t>center</t>
        </is>
      </c>
      <c r="Q208" t="b">
        <v>1</v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Valuation</t>
        </is>
      </c>
      <c r="B209" t="inlineStr">
        <is>
          <t>Q21</t>
        </is>
      </c>
      <c r="C209" t="n">
        <v>21</v>
      </c>
      <c r="D209" t="n">
        <v>17</v>
      </c>
      <c r="E209" t="inlineStr">
        <is>
          <t>Input</t>
        </is>
      </c>
      <c r="F209" t="n">
        <v/>
      </c>
      <c r="G209" t="inlineStr">
        <is>
          <t>Terminal Growth Rate %</t>
        </is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Valuation</t>
        </is>
      </c>
      <c r="B210" t="inlineStr">
        <is>
          <t>R21</t>
        </is>
      </c>
      <c r="C210" t="n">
        <v>21</v>
      </c>
      <c r="D210" t="n">
        <v>18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n">
        <v/>
      </c>
      <c r="P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Valuation</t>
        </is>
      </c>
      <c r="B211" t="inlineStr">
        <is>
          <t>S21</t>
        </is>
      </c>
      <c r="C211" t="n">
        <v>21</v>
      </c>
      <c r="D211" t="n">
        <v>19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00000000</t>
        </is>
      </c>
      <c r="O211" t="n">
        <v/>
      </c>
      <c r="P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Valuation</t>
        </is>
      </c>
      <c r="B212" t="inlineStr">
        <is>
          <t>T21</t>
        </is>
      </c>
      <c r="C212" t="n">
        <v>21</v>
      </c>
      <c r="D212" t="n">
        <v>20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00000000</t>
        </is>
      </c>
      <c r="O212" t="n">
        <v/>
      </c>
      <c r="P212" t="n">
        <v/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Valuation</t>
        </is>
      </c>
      <c r="B213" t="inlineStr">
        <is>
          <t>U21</t>
        </is>
      </c>
      <c r="C213" t="n">
        <v>21</v>
      </c>
      <c r="D213" t="n">
        <v>21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00000000</t>
        </is>
      </c>
      <c r="O213" t="n">
        <v/>
      </c>
      <c r="P213" t="n">
        <v/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Valuation</t>
        </is>
      </c>
      <c r="B214" t="inlineStr">
        <is>
          <t>V21</t>
        </is>
      </c>
      <c r="C214" t="n">
        <v>21</v>
      </c>
      <c r="D214" t="n">
        <v>22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n">
        <v/>
      </c>
      <c r="P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Valuation</t>
        </is>
      </c>
      <c r="B215" t="inlineStr">
        <is>
          <t>W21</t>
        </is>
      </c>
      <c r="C215" t="n">
        <v>21</v>
      </c>
      <c r="D215" t="n">
        <v>23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Valuation</t>
        </is>
      </c>
      <c r="B216" t="inlineStr">
        <is>
          <t>X21</t>
        </is>
      </c>
      <c r="C216" t="n">
        <v>21</v>
      </c>
      <c r="D216" t="n">
        <v>24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Valuation</t>
        </is>
      </c>
      <c r="B217" t="inlineStr">
        <is>
          <t>Y21</t>
        </is>
      </c>
      <c r="C217" t="n">
        <v>21</v>
      </c>
      <c r="D217" t="n">
        <v>25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Valuation</t>
        </is>
      </c>
      <c r="B218" t="inlineStr">
        <is>
          <t>Z21</t>
        </is>
      </c>
      <c r="C218" t="n">
        <v>21</v>
      </c>
      <c r="D218" t="n">
        <v>26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n">
        <v/>
      </c>
      <c r="P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Valuation</t>
        </is>
      </c>
      <c r="B219" t="inlineStr">
        <is>
          <t>AA21</t>
        </is>
      </c>
      <c r="C219" t="n">
        <v>21</v>
      </c>
      <c r="D219" t="n">
        <v>27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n">
        <v/>
      </c>
      <c r="P219" t="n">
        <v/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Valuation</t>
        </is>
      </c>
      <c r="B220" t="inlineStr">
        <is>
          <t>AB21</t>
        </is>
      </c>
      <c r="C220" t="n">
        <v>21</v>
      </c>
      <c r="D220" t="n">
        <v>28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n">
        <v/>
      </c>
      <c r="P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Valuation</t>
        </is>
      </c>
      <c r="B221" t="inlineStr">
        <is>
          <t>P22</t>
        </is>
      </c>
      <c r="C221" t="n">
        <v>22</v>
      </c>
      <c r="D221" t="n">
        <v>16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n">
        <v/>
      </c>
      <c r="P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Valuation</t>
        </is>
      </c>
      <c r="B222" t="inlineStr">
        <is>
          <t>Q22</t>
        </is>
      </c>
      <c r="C222" t="n">
        <v>22</v>
      </c>
      <c r="D222" t="n">
        <v>17</v>
      </c>
      <c r="E222" t="inlineStr">
        <is>
          <t>Output</t>
        </is>
      </c>
      <c r="F222" t="inlineStr">
        <is>
          <t>'=B46</t>
        </is>
      </c>
      <c r="G222" t="n">
        <v>1697.993794229933</v>
      </c>
      <c r="H222" t="inlineStr"/>
      <c r="I222" t="inlineStr">
        <is>
          <t xml:space="preserve">_ * #,##0_ ;_ * \-#,##0_ ;_ * "-"??_ ;_ @_ </t>
        </is>
      </c>
      <c r="J222" t="b">
        <v>1</v>
      </c>
      <c r="K222" t="b">
        <v>0</v>
      </c>
      <c r="L222" t="n">
        <v>14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left</t>
        </is>
      </c>
      <c r="P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>
        <f>R[24]C[-15]</f>
        <v/>
      </c>
    </row>
    <row r="223">
      <c r="A223" t="inlineStr">
        <is>
          <t>Valuation</t>
        </is>
      </c>
      <c r="B223" t="inlineStr">
        <is>
          <t>R22</t>
        </is>
      </c>
      <c r="C223" t="n">
        <v>22</v>
      </c>
      <c r="D223" t="n">
        <v>18</v>
      </c>
      <c r="E223" t="inlineStr">
        <is>
          <t>Input</t>
        </is>
      </c>
      <c r="F223" t="n">
        <v/>
      </c>
      <c r="G223" t="n">
        <v>0.02</v>
      </c>
      <c r="H223" t="inlineStr"/>
      <c r="I223" t="inlineStr">
        <is>
          <t>0.00%</t>
        </is>
      </c>
      <c r="J223" t="b">
        <v>1</v>
      </c>
      <c r="K223" t="b">
        <v>0</v>
      </c>
      <c r="L223" t="n">
        <v>11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inlineStr">
        <is>
          <t>center</t>
        </is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Valuation</t>
        </is>
      </c>
      <c r="B224" t="inlineStr">
        <is>
          <t>S22</t>
        </is>
      </c>
      <c r="C224" t="n">
        <v>22</v>
      </c>
      <c r="D224" t="n">
        <v>19</v>
      </c>
      <c r="E224" t="inlineStr">
        <is>
          <t>Calculation</t>
        </is>
      </c>
      <c r="F224" t="inlineStr">
        <is>
          <t>'=R22+0.5%</t>
        </is>
      </c>
      <c r="G224" t="n">
        <v>0.025</v>
      </c>
      <c r="H224" t="inlineStr"/>
      <c r="I224" t="inlineStr">
        <is>
          <t>0.00%</t>
        </is>
      </c>
      <c r="J224" t="b">
        <v>1</v>
      </c>
      <c r="K224" t="b">
        <v>0</v>
      </c>
      <c r="L224" t="n">
        <v>11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inlineStr">
        <is>
          <t>center</t>
        </is>
      </c>
      <c r="P224" t="n">
        <v/>
      </c>
      <c r="R224" t="b">
        <v>1</v>
      </c>
      <c r="S224" t="inlineStr">
        <is>
          <t>G000394</t>
        </is>
      </c>
      <c r="T224" t="inlineStr">
        <is>
          <t>Horizontal</t>
        </is>
      </c>
      <c r="U224" t="n">
        <v>10</v>
      </c>
      <c r="V224" t="b">
        <v>1</v>
      </c>
      <c r="W224" t="inlineStr">
        <is>
          <t>Valuation!S22:AB22</t>
        </is>
      </c>
      <c r="X224">
        <f>R[0]C[-1]+0.5%</f>
        <v/>
      </c>
    </row>
    <row r="225">
      <c r="A225" t="inlineStr">
        <is>
          <t>Valuation</t>
        </is>
      </c>
      <c r="B225" t="inlineStr">
        <is>
          <t>T22</t>
        </is>
      </c>
      <c r="C225" t="n">
        <v>22</v>
      </c>
      <c r="D225" t="n">
        <v>20</v>
      </c>
      <c r="E225" t="inlineStr">
        <is>
          <t>Calculation</t>
        </is>
      </c>
      <c r="F225" t="inlineStr">
        <is>
          <t>'=S22+0.5%</t>
        </is>
      </c>
      <c r="G225" t="n">
        <v>0.03</v>
      </c>
      <c r="H225" t="inlineStr"/>
      <c r="I225" t="inlineStr">
        <is>
          <t>0.00%</t>
        </is>
      </c>
      <c r="J225" t="b">
        <v>1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Values must be of type &lt;class 'str'&gt;</t>
        </is>
      </c>
      <c r="O225" t="inlineStr">
        <is>
          <t>center</t>
        </is>
      </c>
      <c r="P225" t="n">
        <v/>
      </c>
      <c r="R225" t="b">
        <v>1</v>
      </c>
      <c r="S225" t="inlineStr">
        <is>
          <t>G000394</t>
        </is>
      </c>
      <c r="T225" t="inlineStr">
        <is>
          <t>Horizontal</t>
        </is>
      </c>
      <c r="U225" t="n">
        <v>10</v>
      </c>
      <c r="V225" t="b">
        <v>1</v>
      </c>
      <c r="W225" t="inlineStr">
        <is>
          <t>Valuation!S22:AB22</t>
        </is>
      </c>
      <c r="X225">
        <f>R[0]C[-1]+0.5%</f>
        <v/>
      </c>
    </row>
    <row r="226">
      <c r="A226" t="inlineStr">
        <is>
          <t>Valuation</t>
        </is>
      </c>
      <c r="B226" t="inlineStr">
        <is>
          <t>U22</t>
        </is>
      </c>
      <c r="C226" t="n">
        <v>22</v>
      </c>
      <c r="D226" t="n">
        <v>21</v>
      </c>
      <c r="E226" t="inlineStr">
        <is>
          <t>Calculation</t>
        </is>
      </c>
      <c r="F226" t="inlineStr">
        <is>
          <t>'=T22+0.5%</t>
        </is>
      </c>
      <c r="G226" t="n">
        <v>0.035</v>
      </c>
      <c r="H226" t="inlineStr"/>
      <c r="I226" t="inlineStr">
        <is>
          <t>0.00%</t>
        </is>
      </c>
      <c r="J226" t="b">
        <v>1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inlineStr">
        <is>
          <t>center</t>
        </is>
      </c>
      <c r="P226" t="n">
        <v/>
      </c>
      <c r="R226" t="b">
        <v>1</v>
      </c>
      <c r="S226" t="inlineStr">
        <is>
          <t>G000394</t>
        </is>
      </c>
      <c r="T226" t="inlineStr">
        <is>
          <t>Horizontal</t>
        </is>
      </c>
      <c r="U226" t="n">
        <v>10</v>
      </c>
      <c r="V226" t="b">
        <v>1</v>
      </c>
      <c r="W226" t="inlineStr">
        <is>
          <t>Valuation!S22:AB22</t>
        </is>
      </c>
      <c r="X226">
        <f>R[0]C[-1]+0.5%</f>
        <v/>
      </c>
    </row>
    <row r="227">
      <c r="A227" t="inlineStr">
        <is>
          <t>Valuation</t>
        </is>
      </c>
      <c r="B227" t="inlineStr">
        <is>
          <t>V22</t>
        </is>
      </c>
      <c r="C227" t="n">
        <v>22</v>
      </c>
      <c r="D227" t="n">
        <v>22</v>
      </c>
      <c r="E227" t="inlineStr">
        <is>
          <t>Calculation</t>
        </is>
      </c>
      <c r="F227" t="inlineStr">
        <is>
          <t>'=U22+0.5%</t>
        </is>
      </c>
      <c r="G227" t="n">
        <v>0.04</v>
      </c>
      <c r="H227" t="inlineStr"/>
      <c r="I227" t="inlineStr">
        <is>
          <t>0.00%</t>
        </is>
      </c>
      <c r="J227" t="b">
        <v>1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inlineStr">
        <is>
          <t>center</t>
        </is>
      </c>
      <c r="P227" t="n">
        <v/>
      </c>
      <c r="R227" t="b">
        <v>1</v>
      </c>
      <c r="S227" t="inlineStr">
        <is>
          <t>G000394</t>
        </is>
      </c>
      <c r="T227" t="inlineStr">
        <is>
          <t>Horizontal</t>
        </is>
      </c>
      <c r="U227" t="n">
        <v>10</v>
      </c>
      <c r="V227" t="b">
        <v>1</v>
      </c>
      <c r="W227" t="inlineStr">
        <is>
          <t>Valuation!S22:AB22</t>
        </is>
      </c>
      <c r="X227">
        <f>R[0]C[-1]+0.5%</f>
        <v/>
      </c>
    </row>
    <row r="228">
      <c r="A228" t="inlineStr">
        <is>
          <t>Valuation</t>
        </is>
      </c>
      <c r="B228" t="inlineStr">
        <is>
          <t>W22</t>
        </is>
      </c>
      <c r="C228" t="n">
        <v>22</v>
      </c>
      <c r="D228" t="n">
        <v>23</v>
      </c>
      <c r="E228" t="inlineStr">
        <is>
          <t>Calculation</t>
        </is>
      </c>
      <c r="F228" t="inlineStr">
        <is>
          <t>'=V22+0.5%</t>
        </is>
      </c>
      <c r="G228" t="n">
        <v>0.045</v>
      </c>
      <c r="H228" t="inlineStr"/>
      <c r="I228" t="inlineStr">
        <is>
          <t>0.00%</t>
        </is>
      </c>
      <c r="J228" t="b">
        <v>1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center</t>
        </is>
      </c>
      <c r="P228" t="n">
        <v/>
      </c>
      <c r="R228" t="b">
        <v>1</v>
      </c>
      <c r="S228" t="inlineStr">
        <is>
          <t>G000394</t>
        </is>
      </c>
      <c r="T228" t="inlineStr">
        <is>
          <t>Horizontal</t>
        </is>
      </c>
      <c r="U228" t="n">
        <v>10</v>
      </c>
      <c r="V228" t="b">
        <v>1</v>
      </c>
      <c r="W228" t="inlineStr">
        <is>
          <t>Valuation!S22:AB22</t>
        </is>
      </c>
      <c r="X228">
        <f>R[0]C[-1]+0.5%</f>
        <v/>
      </c>
    </row>
    <row r="229">
      <c r="A229" t="inlineStr">
        <is>
          <t>Valuation</t>
        </is>
      </c>
      <c r="B229" t="inlineStr">
        <is>
          <t>X22</t>
        </is>
      </c>
      <c r="C229" t="n">
        <v>22</v>
      </c>
      <c r="D229" t="n">
        <v>24</v>
      </c>
      <c r="E229" t="inlineStr">
        <is>
          <t>Calculation</t>
        </is>
      </c>
      <c r="F229" t="inlineStr">
        <is>
          <t>'=W22+0.5%</t>
        </is>
      </c>
      <c r="G229" t="n">
        <v>0.05</v>
      </c>
      <c r="H229" t="inlineStr"/>
      <c r="I229" t="inlineStr">
        <is>
          <t>0.00%</t>
        </is>
      </c>
      <c r="J229" t="b">
        <v>1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n">
        <v/>
      </c>
      <c r="R229" t="b">
        <v>1</v>
      </c>
      <c r="S229" t="inlineStr">
        <is>
          <t>G000394</t>
        </is>
      </c>
      <c r="T229" t="inlineStr">
        <is>
          <t>Horizontal</t>
        </is>
      </c>
      <c r="U229" t="n">
        <v>10</v>
      </c>
      <c r="V229" t="b">
        <v>1</v>
      </c>
      <c r="W229" t="inlineStr">
        <is>
          <t>Valuation!S22:AB22</t>
        </is>
      </c>
      <c r="X229">
        <f>R[0]C[-1]+0.5%</f>
        <v/>
      </c>
    </row>
    <row r="230">
      <c r="A230" t="inlineStr">
        <is>
          <t>Valuation</t>
        </is>
      </c>
      <c r="B230" t="inlineStr">
        <is>
          <t>Y22</t>
        </is>
      </c>
      <c r="C230" t="n">
        <v>22</v>
      </c>
      <c r="D230" t="n">
        <v>25</v>
      </c>
      <c r="E230" t="inlineStr">
        <is>
          <t>Calculation</t>
        </is>
      </c>
      <c r="F230" t="inlineStr">
        <is>
          <t>'=X22+0.5%</t>
        </is>
      </c>
      <c r="G230" t="n">
        <v>0.05499999999999999</v>
      </c>
      <c r="H230" t="inlineStr"/>
      <c r="I230" t="inlineStr">
        <is>
          <t>0.00%</t>
        </is>
      </c>
      <c r="J230" t="b">
        <v>1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n">
        <v/>
      </c>
      <c r="R230" t="b">
        <v>1</v>
      </c>
      <c r="S230" t="inlineStr">
        <is>
          <t>G000394</t>
        </is>
      </c>
      <c r="T230" t="inlineStr">
        <is>
          <t>Horizontal</t>
        </is>
      </c>
      <c r="U230" t="n">
        <v>10</v>
      </c>
      <c r="V230" t="b">
        <v>1</v>
      </c>
      <c r="W230" t="inlineStr">
        <is>
          <t>Valuation!S22:AB22</t>
        </is>
      </c>
      <c r="X230">
        <f>R[0]C[-1]+0.5%</f>
        <v/>
      </c>
    </row>
    <row r="231">
      <c r="A231" t="inlineStr">
        <is>
          <t>Valuation</t>
        </is>
      </c>
      <c r="B231" t="inlineStr">
        <is>
          <t>Z22</t>
        </is>
      </c>
      <c r="C231" t="n">
        <v>22</v>
      </c>
      <c r="D231" t="n">
        <v>26</v>
      </c>
      <c r="E231" t="inlineStr">
        <is>
          <t>Calculation</t>
        </is>
      </c>
      <c r="F231" t="inlineStr">
        <is>
          <t>'=Y22+0.5%</t>
        </is>
      </c>
      <c r="G231" t="n">
        <v>0.05999999999999999</v>
      </c>
      <c r="H231" t="inlineStr"/>
      <c r="I231" t="inlineStr">
        <is>
          <t>0.00%</t>
        </is>
      </c>
      <c r="J231" t="b">
        <v>1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n">
        <v/>
      </c>
      <c r="R231" t="b">
        <v>1</v>
      </c>
      <c r="S231" t="inlineStr">
        <is>
          <t>G000394</t>
        </is>
      </c>
      <c r="T231" t="inlineStr">
        <is>
          <t>Horizontal</t>
        </is>
      </c>
      <c r="U231" t="n">
        <v>10</v>
      </c>
      <c r="V231" t="b">
        <v>1</v>
      </c>
      <c r="W231" t="inlineStr">
        <is>
          <t>Valuation!S22:AB22</t>
        </is>
      </c>
      <c r="X231">
        <f>R[0]C[-1]+0.5%</f>
        <v/>
      </c>
    </row>
    <row r="232">
      <c r="A232" t="inlineStr">
        <is>
          <t>Valuation</t>
        </is>
      </c>
      <c r="B232" t="inlineStr">
        <is>
          <t>AA22</t>
        </is>
      </c>
      <c r="C232" t="n">
        <v>22</v>
      </c>
      <c r="D232" t="n">
        <v>27</v>
      </c>
      <c r="E232" t="inlineStr">
        <is>
          <t>Calculation</t>
        </is>
      </c>
      <c r="F232" t="inlineStr">
        <is>
          <t>'=Z22+0.5%</t>
        </is>
      </c>
      <c r="G232" t="n">
        <v>0.06499999999999999</v>
      </c>
      <c r="H232" t="inlineStr"/>
      <c r="I232" t="inlineStr">
        <is>
          <t>0.00%</t>
        </is>
      </c>
      <c r="J232" t="b">
        <v>1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P232" t="n">
        <v/>
      </c>
      <c r="R232" t="b">
        <v>1</v>
      </c>
      <c r="S232" t="inlineStr">
        <is>
          <t>G000394</t>
        </is>
      </c>
      <c r="T232" t="inlineStr">
        <is>
          <t>Horizontal</t>
        </is>
      </c>
      <c r="U232" t="n">
        <v>10</v>
      </c>
      <c r="V232" t="b">
        <v>1</v>
      </c>
      <c r="W232" t="inlineStr">
        <is>
          <t>Valuation!S22:AB22</t>
        </is>
      </c>
      <c r="X232">
        <f>R[0]C[-1]+0.5%</f>
        <v/>
      </c>
    </row>
    <row r="233">
      <c r="A233" t="inlineStr">
        <is>
          <t>Valuation</t>
        </is>
      </c>
      <c r="B233" t="inlineStr">
        <is>
          <t>AB22</t>
        </is>
      </c>
      <c r="C233" t="n">
        <v>22</v>
      </c>
      <c r="D233" t="n">
        <v>28</v>
      </c>
      <c r="E233" t="inlineStr">
        <is>
          <t>Output</t>
        </is>
      </c>
      <c r="F233" t="inlineStr">
        <is>
          <t>'=AA22+0.5%</t>
        </is>
      </c>
      <c r="G233" t="n">
        <v>0.06999999999999999</v>
      </c>
      <c r="H233" t="inlineStr"/>
      <c r="I233" t="inlineStr">
        <is>
          <t>0.00%</t>
        </is>
      </c>
      <c r="J233" t="b">
        <v>1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center</t>
        </is>
      </c>
      <c r="P233" t="n">
        <v/>
      </c>
      <c r="R233" t="b">
        <v>1</v>
      </c>
      <c r="S233" t="inlineStr">
        <is>
          <t>G000394</t>
        </is>
      </c>
      <c r="T233" t="inlineStr">
        <is>
          <t>Horizontal</t>
        </is>
      </c>
      <c r="U233" t="n">
        <v>10</v>
      </c>
      <c r="V233" t="b">
        <v>1</v>
      </c>
      <c r="W233" t="inlineStr">
        <is>
          <t>Valuation!S22:AB22</t>
        </is>
      </c>
      <c r="X233">
        <f>R[0]C[-1]+0.5%</f>
        <v/>
      </c>
    </row>
    <row r="234">
      <c r="A234" t="inlineStr">
        <is>
          <t>Valuation</t>
        </is>
      </c>
      <c r="B234" t="inlineStr">
        <is>
          <t>A23</t>
        </is>
      </c>
      <c r="C234" t="n">
        <v>23</v>
      </c>
      <c r="D234" t="n">
        <v>1</v>
      </c>
      <c r="E234" t="inlineStr">
        <is>
          <t>Input</t>
        </is>
      </c>
      <c r="F234" t="n">
        <v/>
      </c>
      <c r="G234" t="inlineStr">
        <is>
          <t>Revenues</t>
        </is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inlineStr">
        <is>
          <t>left</t>
        </is>
      </c>
      <c r="P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Valuation</t>
        </is>
      </c>
      <c r="B235" t="inlineStr">
        <is>
          <t>C23</t>
        </is>
      </c>
      <c r="C235" t="n">
        <v>23</v>
      </c>
      <c r="D235" t="n">
        <v>3</v>
      </c>
      <c r="E235" t="inlineStr">
        <is>
          <t>Output</t>
        </is>
      </c>
      <c r="F235" t="inlineStr">
        <is>
          <t>'='Assumptions Sheet'!D32</t>
        </is>
      </c>
      <c r="G235" t="n">
        <v>39441.70047355549</v>
      </c>
      <c r="H235" t="inlineStr"/>
      <c r="I235" t="inlineStr">
        <is>
          <t>#,##0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G000395</t>
        </is>
      </c>
      <c r="T235" t="inlineStr">
        <is>
          <t>Horizontal</t>
        </is>
      </c>
      <c r="U235" t="n">
        <v>12</v>
      </c>
      <c r="V235" t="b">
        <v>1</v>
      </c>
      <c r="W235" t="inlineStr">
        <is>
          <t>Valuation!C23:N23</t>
        </is>
      </c>
      <c r="X235">
        <f>'Assumptions Sheet'!R[9]C[1]</f>
        <v/>
      </c>
    </row>
    <row r="236">
      <c r="A236" t="inlineStr">
        <is>
          <t>Valuation</t>
        </is>
      </c>
      <c r="B236" t="inlineStr">
        <is>
          <t>D23</t>
        </is>
      </c>
      <c r="C236" t="n">
        <v>23</v>
      </c>
      <c r="D236" t="n">
        <v>4</v>
      </c>
      <c r="E236" t="inlineStr">
        <is>
          <t>Output</t>
        </is>
      </c>
      <c r="F236" t="inlineStr">
        <is>
          <t>'='Assumptions Sheet'!E32</t>
        </is>
      </c>
      <c r="G236" t="n">
        <v>57086.31576515087</v>
      </c>
      <c r="H236" t="inlineStr"/>
      <c r="I236" t="inlineStr">
        <is>
          <t>#,##0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G000395</t>
        </is>
      </c>
      <c r="T236" t="inlineStr">
        <is>
          <t>Horizontal</t>
        </is>
      </c>
      <c r="U236" t="n">
        <v>12</v>
      </c>
      <c r="V236" t="b">
        <v>1</v>
      </c>
      <c r="W236" t="inlineStr">
        <is>
          <t>Valuation!C23:N23</t>
        </is>
      </c>
      <c r="X236">
        <f>'Assumptions Sheet'!R[9]C[1]</f>
        <v/>
      </c>
    </row>
    <row r="237">
      <c r="A237" t="inlineStr">
        <is>
          <t>Valuation</t>
        </is>
      </c>
      <c r="B237" t="inlineStr">
        <is>
          <t>E23</t>
        </is>
      </c>
      <c r="C237" t="n">
        <v>23</v>
      </c>
      <c r="D237" t="n">
        <v>5</v>
      </c>
      <c r="E237" t="inlineStr">
        <is>
          <t>Output</t>
        </is>
      </c>
      <c r="F237" t="inlineStr">
        <is>
          <t>'='Assumptions Sheet'!F32</t>
        </is>
      </c>
      <c r="G237" t="n">
        <v>94402.45328315666</v>
      </c>
      <c r="H237" t="inlineStr"/>
      <c r="I237" t="inlineStr">
        <is>
          <t>#,##0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G000395</t>
        </is>
      </c>
      <c r="T237" t="inlineStr">
        <is>
          <t>Horizontal</t>
        </is>
      </c>
      <c r="U237" t="n">
        <v>12</v>
      </c>
      <c r="V237" t="b">
        <v>1</v>
      </c>
      <c r="W237" t="inlineStr">
        <is>
          <t>Valuation!C23:N23</t>
        </is>
      </c>
      <c r="X237">
        <f>'Assumptions Sheet'!R[9]C[1]</f>
        <v/>
      </c>
    </row>
    <row r="238">
      <c r="A238" t="inlineStr">
        <is>
          <t>Valuation</t>
        </is>
      </c>
      <c r="B238" t="inlineStr">
        <is>
          <t>F23</t>
        </is>
      </c>
      <c r="C238" t="n">
        <v>23</v>
      </c>
      <c r="D238" t="n">
        <v>6</v>
      </c>
      <c r="E238" t="inlineStr">
        <is>
          <t>Output</t>
        </is>
      </c>
      <c r="F238" t="inlineStr">
        <is>
          <t>'='Assumptions Sheet'!G32</t>
        </is>
      </c>
      <c r="G238" t="n">
        <v>114321.3101737246</v>
      </c>
      <c r="H238" t="inlineStr"/>
      <c r="I238" t="inlineStr">
        <is>
          <t>#,##0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inlineStr">
        <is>
          <t>G000395</t>
        </is>
      </c>
      <c r="T238" t="inlineStr">
        <is>
          <t>Horizontal</t>
        </is>
      </c>
      <c r="U238" t="n">
        <v>12</v>
      </c>
      <c r="V238" t="b">
        <v>1</v>
      </c>
      <c r="W238" t="inlineStr">
        <is>
          <t>Valuation!C23:N23</t>
        </is>
      </c>
      <c r="X238">
        <f>'Assumptions Sheet'!R[9]C[1]</f>
        <v/>
      </c>
    </row>
    <row r="239">
      <c r="A239" t="inlineStr">
        <is>
          <t>Valuation</t>
        </is>
      </c>
      <c r="B239" t="inlineStr">
        <is>
          <t>G23</t>
        </is>
      </c>
      <c r="C239" t="n">
        <v>23</v>
      </c>
      <c r="D239" t="n">
        <v>7</v>
      </c>
      <c r="E239" t="inlineStr">
        <is>
          <t>Output</t>
        </is>
      </c>
      <c r="F239" t="inlineStr">
        <is>
          <t>'='Assumptions Sheet'!H32</t>
        </is>
      </c>
      <c r="G239" t="n">
        <v>143199.3327029665</v>
      </c>
      <c r="H239" t="inlineStr"/>
      <c r="I239" t="inlineStr">
        <is>
          <t>#,##0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inlineStr">
        <is>
          <t>G000395</t>
        </is>
      </c>
      <c r="T239" t="inlineStr">
        <is>
          <t>Horizontal</t>
        </is>
      </c>
      <c r="U239" t="n">
        <v>12</v>
      </c>
      <c r="V239" t="b">
        <v>1</v>
      </c>
      <c r="W239" t="inlineStr">
        <is>
          <t>Valuation!C23:N23</t>
        </is>
      </c>
      <c r="X239">
        <f>'Assumptions Sheet'!R[9]C[1]</f>
        <v/>
      </c>
    </row>
    <row r="240">
      <c r="A240" t="inlineStr">
        <is>
          <t>Valuation</t>
        </is>
      </c>
      <c r="B240" t="inlineStr">
        <is>
          <t>H23</t>
        </is>
      </c>
      <c r="C240" t="n">
        <v>23</v>
      </c>
      <c r="D240" t="n">
        <v>8</v>
      </c>
      <c r="E240" t="inlineStr">
        <is>
          <t>Output</t>
        </is>
      </c>
      <c r="F240" t="inlineStr">
        <is>
          <t>'='Assumptions Sheet'!I32</t>
        </is>
      </c>
      <c r="G240" t="n">
        <v>166013.1477330861</v>
      </c>
      <c r="H240" t="inlineStr"/>
      <c r="I240" t="inlineStr">
        <is>
          <t>#,##0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inlineStr">
        <is>
          <t>G000395</t>
        </is>
      </c>
      <c r="T240" t="inlineStr">
        <is>
          <t>Horizontal</t>
        </is>
      </c>
      <c r="U240" t="n">
        <v>12</v>
      </c>
      <c r="V240" t="b">
        <v>1</v>
      </c>
      <c r="W240" t="inlineStr">
        <is>
          <t>Valuation!C23:N23</t>
        </is>
      </c>
      <c r="X240">
        <f>'Assumptions Sheet'!R[9]C[1]</f>
        <v/>
      </c>
    </row>
    <row r="241">
      <c r="A241" t="inlineStr">
        <is>
          <t>Valuation</t>
        </is>
      </c>
      <c r="B241" t="inlineStr">
        <is>
          <t>I23</t>
        </is>
      </c>
      <c r="C241" t="n">
        <v>23</v>
      </c>
      <c r="D241" t="n">
        <v>9</v>
      </c>
      <c r="E241" t="inlineStr">
        <is>
          <t>Output</t>
        </is>
      </c>
      <c r="F241" t="inlineStr">
        <is>
          <t>'='Assumptions Sheet'!J32</t>
        </is>
      </c>
      <c r="G241" t="n">
        <v>193696.1671537572</v>
      </c>
      <c r="H241" t="inlineStr"/>
      <c r="I241" t="inlineStr">
        <is>
          <t>#,##0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inlineStr">
        <is>
          <t>G000395</t>
        </is>
      </c>
      <c r="T241" t="inlineStr">
        <is>
          <t>Horizontal</t>
        </is>
      </c>
      <c r="U241" t="n">
        <v>12</v>
      </c>
      <c r="V241" t="b">
        <v>1</v>
      </c>
      <c r="W241" t="inlineStr">
        <is>
          <t>Valuation!C23:N23</t>
        </is>
      </c>
      <c r="X241">
        <f>'Assumptions Sheet'!R[9]C[1]</f>
        <v/>
      </c>
    </row>
    <row r="242">
      <c r="A242" t="inlineStr">
        <is>
          <t>Valuation</t>
        </is>
      </c>
      <c r="B242" t="inlineStr">
        <is>
          <t>J23</t>
        </is>
      </c>
      <c r="C242" t="n">
        <v>23</v>
      </c>
      <c r="D242" t="n">
        <v>10</v>
      </c>
      <c r="E242" t="inlineStr">
        <is>
          <t>Output</t>
        </is>
      </c>
      <c r="F242" t="inlineStr">
        <is>
          <t>'='Assumptions Sheet'!K32</t>
        </is>
      </c>
      <c r="G242" t="n">
        <v>254652.6706182291</v>
      </c>
      <c r="H242" t="inlineStr"/>
      <c r="I242" t="inlineStr">
        <is>
          <t>#,##0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G000395</t>
        </is>
      </c>
      <c r="T242" t="inlineStr">
        <is>
          <t>Horizontal</t>
        </is>
      </c>
      <c r="U242" t="n">
        <v>12</v>
      </c>
      <c r="V242" t="b">
        <v>1</v>
      </c>
      <c r="W242" t="inlineStr">
        <is>
          <t>Valuation!C23:N23</t>
        </is>
      </c>
      <c r="X242">
        <f>'Assumptions Sheet'!R[9]C[1]</f>
        <v/>
      </c>
    </row>
    <row r="243">
      <c r="A243" t="inlineStr">
        <is>
          <t>Valuation</t>
        </is>
      </c>
      <c r="B243" t="inlineStr">
        <is>
          <t>K23</t>
        </is>
      </c>
      <c r="C243" t="n">
        <v>23</v>
      </c>
      <c r="D243" t="n">
        <v>11</v>
      </c>
      <c r="E243" t="inlineStr">
        <is>
          <t>Output</t>
        </is>
      </c>
      <c r="F243" t="inlineStr">
        <is>
          <t>'='Assumptions Sheet'!L32</t>
        </is>
      </c>
      <c r="G243" t="n">
        <v>305739.5112261538</v>
      </c>
      <c r="H243" t="inlineStr"/>
      <c r="I243" t="inlineStr">
        <is>
          <t>#,##0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G000395</t>
        </is>
      </c>
      <c r="T243" t="inlineStr">
        <is>
          <t>Horizontal</t>
        </is>
      </c>
      <c r="U243" t="n">
        <v>12</v>
      </c>
      <c r="V243" t="b">
        <v>1</v>
      </c>
      <c r="W243" t="inlineStr">
        <is>
          <t>Valuation!C23:N23</t>
        </is>
      </c>
      <c r="X243">
        <f>'Assumptions Sheet'!R[9]C[1]</f>
        <v/>
      </c>
    </row>
    <row r="244">
      <c r="A244" t="inlineStr">
        <is>
          <t>Valuation</t>
        </is>
      </c>
      <c r="B244" t="inlineStr">
        <is>
          <t>L23</t>
        </is>
      </c>
      <c r="C244" t="n">
        <v>23</v>
      </c>
      <c r="D244" t="n">
        <v>12</v>
      </c>
      <c r="E244" t="inlineStr">
        <is>
          <t>Output</t>
        </is>
      </c>
      <c r="F244" t="inlineStr">
        <is>
          <t>'='Assumptions Sheet'!M32</t>
        </is>
      </c>
      <c r="G244" t="n">
        <v>365511.6372719192</v>
      </c>
      <c r="H244" t="inlineStr"/>
      <c r="I244" t="inlineStr">
        <is>
          <t>#,##0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G000395</t>
        </is>
      </c>
      <c r="T244" t="inlineStr">
        <is>
          <t>Horizontal</t>
        </is>
      </c>
      <c r="U244" t="n">
        <v>12</v>
      </c>
      <c r="V244" t="b">
        <v>1</v>
      </c>
      <c r="W244" t="inlineStr">
        <is>
          <t>Valuation!C23:N23</t>
        </is>
      </c>
      <c r="X244">
        <f>'Assumptions Sheet'!R[9]C[1]</f>
        <v/>
      </c>
    </row>
    <row r="245">
      <c r="A245" t="inlineStr">
        <is>
          <t>Valuation</t>
        </is>
      </c>
      <c r="B245" t="inlineStr">
        <is>
          <t>M23</t>
        </is>
      </c>
      <c r="C245" t="n">
        <v>23</v>
      </c>
      <c r="D245" t="n">
        <v>13</v>
      </c>
      <c r="E245" t="inlineStr">
        <is>
          <t>Output</t>
        </is>
      </c>
      <c r="F245" t="inlineStr">
        <is>
          <t>'='Assumptions Sheet'!N32</t>
        </is>
      </c>
      <c r="G245" t="n">
        <v>436963.0407831452</v>
      </c>
      <c r="H245" t="inlineStr"/>
      <c r="I245" t="inlineStr">
        <is>
          <t>#,##0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G000395</t>
        </is>
      </c>
      <c r="T245" t="inlineStr">
        <is>
          <t>Horizontal</t>
        </is>
      </c>
      <c r="U245" t="n">
        <v>12</v>
      </c>
      <c r="V245" t="b">
        <v>1</v>
      </c>
      <c r="W245" t="inlineStr">
        <is>
          <t>Valuation!C23:N23</t>
        </is>
      </c>
      <c r="X245">
        <f>'Assumptions Sheet'!R[9]C[1]</f>
        <v/>
      </c>
    </row>
    <row r="246">
      <c r="A246" t="inlineStr">
        <is>
          <t>Valuation</t>
        </is>
      </c>
      <c r="B246" t="inlineStr">
        <is>
          <t>N23</t>
        </is>
      </c>
      <c r="C246" t="n">
        <v>23</v>
      </c>
      <c r="D246" t="n">
        <v>14</v>
      </c>
      <c r="E246" t="inlineStr">
        <is>
          <t>Output</t>
        </is>
      </c>
      <c r="F246" t="inlineStr">
        <is>
          <t>'='Assumptions Sheet'!O32</t>
        </is>
      </c>
      <c r="G246" t="n">
        <v>524625.7685402168</v>
      </c>
      <c r="H246" t="inlineStr"/>
      <c r="I246" t="inlineStr">
        <is>
          <t>#,##0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G000395</t>
        </is>
      </c>
      <c r="T246" t="inlineStr">
        <is>
          <t>Horizontal</t>
        </is>
      </c>
      <c r="U246" t="n">
        <v>12</v>
      </c>
      <c r="V246" t="b">
        <v>1</v>
      </c>
      <c r="W246" t="inlineStr">
        <is>
          <t>Valuation!C23:N23</t>
        </is>
      </c>
      <c r="X246">
        <f>'Assumptions Sheet'!R[9]C[1]</f>
        <v/>
      </c>
    </row>
    <row r="247">
      <c r="A247" t="inlineStr">
        <is>
          <t>Valuation</t>
        </is>
      </c>
      <c r="B247" t="inlineStr">
        <is>
          <t>P23</t>
        </is>
      </c>
      <c r="C247" t="n">
        <v>23</v>
      </c>
      <c r="D247" t="n">
        <v>16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n">
        <v/>
      </c>
      <c r="P247" t="n">
        <v/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Valuation</t>
        </is>
      </c>
      <c r="B248" t="inlineStr">
        <is>
          <t>Q23</t>
        </is>
      </c>
      <c r="C248" t="n">
        <v>23</v>
      </c>
      <c r="D248" t="n">
        <v>17</v>
      </c>
      <c r="E248" t="inlineStr">
        <is>
          <t>Input</t>
        </is>
      </c>
      <c r="F248" t="n">
        <v/>
      </c>
      <c r="G248" t="n">
        <v>0.11</v>
      </c>
      <c r="H248" t="inlineStr"/>
      <c r="I248" t="inlineStr">
        <is>
          <t>0.0%</t>
        </is>
      </c>
      <c r="J248" t="b">
        <v>1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inlineStr">
        <is>
          <t>center</t>
        </is>
      </c>
      <c r="P248" t="n">
        <v/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Valuation</t>
        </is>
      </c>
      <c r="B249" t="inlineStr">
        <is>
          <t>R23</t>
        </is>
      </c>
      <c r="C249" t="n">
        <v>23</v>
      </c>
      <c r="D249" t="n">
        <v>18</v>
      </c>
      <c r="E249" t="inlineStr">
        <is>
          <t>Output</t>
        </is>
      </c>
      <c r="F249" t="inlineStr">
        <is>
          <t>__SPECIAL_FORMULA__</t>
        </is>
      </c>
      <c r="G249" t="n">
        <v>1727.456538545936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inlineStr">
        <is>
          <t>center</t>
        </is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Valuation</t>
        </is>
      </c>
      <c r="B250" t="inlineStr">
        <is>
          <t>S23</t>
        </is>
      </c>
      <c r="C250" t="n">
        <v>23</v>
      </c>
      <c r="D250" t="n">
        <v>19</v>
      </c>
      <c r="E250" t="inlineStr">
        <is>
          <t>Input</t>
        </is>
      </c>
      <c r="F250" t="n">
        <v/>
      </c>
      <c r="G250" t="n">
        <v>1787.633826970159</v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center</t>
        </is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Valuation</t>
        </is>
      </c>
      <c r="B251" t="inlineStr">
        <is>
          <t>T23</t>
        </is>
      </c>
      <c r="C251" t="n">
        <v>23</v>
      </c>
      <c r="D251" t="n">
        <v>20</v>
      </c>
      <c r="E251" t="inlineStr">
        <is>
          <t>Input</t>
        </is>
      </c>
      <c r="F251" t="n">
        <v/>
      </c>
      <c r="G251" t="n">
        <v>1855.333276447409</v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inlineStr">
        <is>
          <t>center</t>
        </is>
      </c>
      <c r="P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Valuation</t>
        </is>
      </c>
      <c r="B252" t="inlineStr">
        <is>
          <t>U23</t>
        </is>
      </c>
      <c r="C252" t="n">
        <v>23</v>
      </c>
      <c r="D252" t="n">
        <v>21</v>
      </c>
      <c r="E252" t="inlineStr">
        <is>
          <t>Input</t>
        </is>
      </c>
      <c r="F252" t="n">
        <v/>
      </c>
      <c r="G252" t="n">
        <v>1932.059319188293</v>
      </c>
      <c r="H252" t="inlineStr"/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center</t>
        </is>
      </c>
      <c r="P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Valuation</t>
        </is>
      </c>
      <c r="B253" t="inlineStr">
        <is>
          <t>V23</t>
        </is>
      </c>
      <c r="C253" t="n">
        <v>23</v>
      </c>
      <c r="D253" t="n">
        <v>22</v>
      </c>
      <c r="E253" t="inlineStr">
        <is>
          <t>Input</t>
        </is>
      </c>
      <c r="F253" t="n">
        <v/>
      </c>
      <c r="G253" t="n">
        <v>2019.746225177874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inlineStr">
        <is>
          <t>center</t>
        </is>
      </c>
      <c r="P253" t="n">
        <v/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Valuation</t>
        </is>
      </c>
      <c r="B254" t="inlineStr">
        <is>
          <t>W23</t>
        </is>
      </c>
      <c r="C254" t="n">
        <v>23</v>
      </c>
      <c r="D254" t="n">
        <v>23</v>
      </c>
      <c r="E254" t="inlineStr">
        <is>
          <t>Input</t>
        </is>
      </c>
      <c r="F254" t="n">
        <v/>
      </c>
      <c r="G254" t="n">
        <v>2120.923424396622</v>
      </c>
      <c r="H254" t="inlineStr"/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inlineStr">
        <is>
          <t>center</t>
        </is>
      </c>
      <c r="P254" t="n">
        <v/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Valuation</t>
        </is>
      </c>
      <c r="B255" t="inlineStr">
        <is>
          <t>X23</t>
        </is>
      </c>
      <c r="C255" t="n">
        <v>23</v>
      </c>
      <c r="D255" t="n">
        <v>24</v>
      </c>
      <c r="E255" t="inlineStr">
        <is>
          <t>Input</t>
        </is>
      </c>
      <c r="F255" t="n">
        <v/>
      </c>
      <c r="G255" t="n">
        <v>2238.963490151828</v>
      </c>
      <c r="H255" t="inlineStr"/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inlineStr">
        <is>
          <t>center</t>
        </is>
      </c>
      <c r="P255" t="n">
        <v/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Valuation</t>
        </is>
      </c>
      <c r="B256" t="inlineStr">
        <is>
          <t>Y23</t>
        </is>
      </c>
      <c r="C256" t="n">
        <v>23</v>
      </c>
      <c r="D256" t="n">
        <v>25</v>
      </c>
      <c r="E256" t="inlineStr">
        <is>
          <t>Input</t>
        </is>
      </c>
      <c r="F256" t="n">
        <v/>
      </c>
      <c r="G256" t="n">
        <v>2378.465386044345</v>
      </c>
      <c r="H256" t="inlineStr"/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inlineStr">
        <is>
          <t>center</t>
        </is>
      </c>
      <c r="P256" t="n">
        <v/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Valuation</t>
        </is>
      </c>
      <c r="B257" t="inlineStr">
        <is>
          <t>Z23</t>
        </is>
      </c>
      <c r="C257" t="n">
        <v>23</v>
      </c>
      <c r="D257" t="n">
        <v>26</v>
      </c>
      <c r="E257" t="inlineStr">
        <is>
          <t>Input</t>
        </is>
      </c>
      <c r="F257" t="n">
        <v/>
      </c>
      <c r="G257" t="n">
        <v>2545.867661115363</v>
      </c>
      <c r="H257" t="inlineStr"/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inlineStr">
        <is>
          <t>center</t>
        </is>
      </c>
      <c r="P257" t="n">
        <v/>
      </c>
      <c r="R257" t="b">
        <v>1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Valuation</t>
        </is>
      </c>
      <c r="B258" t="inlineStr">
        <is>
          <t>AA23</t>
        </is>
      </c>
      <c r="C258" t="n">
        <v>23</v>
      </c>
      <c r="D258" t="n">
        <v>27</v>
      </c>
      <c r="E258" t="inlineStr">
        <is>
          <t>Input</t>
        </is>
      </c>
      <c r="F258" t="n">
        <v/>
      </c>
      <c r="G258" t="n">
        <v>2750.47044175772</v>
      </c>
      <c r="H258" t="inlineStr"/>
      <c r="I258" t="inlineStr">
        <is>
          <t>0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Values must be of type &lt;class 'str'&gt;</t>
        </is>
      </c>
      <c r="O258" t="inlineStr">
        <is>
          <t>center</t>
        </is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Valuation</t>
        </is>
      </c>
      <c r="B259" t="inlineStr">
        <is>
          <t>AB23</t>
        </is>
      </c>
      <c r="C259" t="n">
        <v>23</v>
      </c>
      <c r="D259" t="n">
        <v>28</v>
      </c>
      <c r="E259" t="inlineStr">
        <is>
          <t>Input</t>
        </is>
      </c>
      <c r="F259" t="n">
        <v/>
      </c>
      <c r="G259" t="n">
        <v>3006.223917560666</v>
      </c>
      <c r="H259" t="inlineStr"/>
      <c r="I259" t="inlineStr">
        <is>
          <t>0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Values must be of type &lt;class 'str'&gt;</t>
        </is>
      </c>
      <c r="O259" t="inlineStr">
        <is>
          <t>center</t>
        </is>
      </c>
      <c r="P259" t="n">
        <v/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Valuation</t>
        </is>
      </c>
      <c r="B260" t="inlineStr">
        <is>
          <t>A24</t>
        </is>
      </c>
      <c r="C260" t="n">
        <v>24</v>
      </c>
      <c r="D260" t="n">
        <v>1</v>
      </c>
      <c r="E260" t="inlineStr">
        <is>
          <t>Input</t>
        </is>
      </c>
      <c r="F260" t="n">
        <v/>
      </c>
      <c r="G260" t="inlineStr">
        <is>
          <t>EBITDAR</t>
        </is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10</v>
      </c>
      <c r="M260" t="n">
        <v/>
      </c>
      <c r="N260" t="inlineStr">
        <is>
          <t>00000000</t>
        </is>
      </c>
      <c r="O260" t="inlineStr">
        <is>
          <t>left</t>
        </is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Valuation</t>
        </is>
      </c>
      <c r="B261" t="inlineStr">
        <is>
          <t>C24</t>
        </is>
      </c>
      <c r="C261" t="n">
        <v>24</v>
      </c>
      <c r="D261" t="n">
        <v>3</v>
      </c>
      <c r="E261" t="inlineStr">
        <is>
          <t>Output</t>
        </is>
      </c>
      <c r="F261" t="inlineStr">
        <is>
          <t>'='Income statement'!D17</t>
        </is>
      </c>
      <c r="G261" t="n">
        <v>12324.6</v>
      </c>
      <c r="H261" t="inlineStr"/>
      <c r="I261" t="inlineStr">
        <is>
          <t>#,##0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inlineStr">
        <is>
          <t>G000396</t>
        </is>
      </c>
      <c r="T261" t="inlineStr">
        <is>
          <t>Horizontal</t>
        </is>
      </c>
      <c r="U261" t="n">
        <v>12</v>
      </c>
      <c r="V261" t="b">
        <v>1</v>
      </c>
      <c r="W261" t="inlineStr">
        <is>
          <t>Valuation!C24:N24</t>
        </is>
      </c>
      <c r="X261">
        <f>'Income statement'!R[-7]C[1]</f>
        <v/>
      </c>
    </row>
    <row r="262">
      <c r="A262" t="inlineStr">
        <is>
          <t>Valuation</t>
        </is>
      </c>
      <c r="B262" t="inlineStr">
        <is>
          <t>D24</t>
        </is>
      </c>
      <c r="C262" t="n">
        <v>24</v>
      </c>
      <c r="D262" t="n">
        <v>4</v>
      </c>
      <c r="E262" t="inlineStr">
        <is>
          <t>Output</t>
        </is>
      </c>
      <c r="F262" t="inlineStr">
        <is>
          <t>'='Income statement'!E17</t>
        </is>
      </c>
      <c r="G262" t="n">
        <v>9935.689999999991</v>
      </c>
      <c r="H262" t="inlineStr"/>
      <c r="I262" t="inlineStr">
        <is>
          <t>#,##0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inlineStr">
        <is>
          <t>G000396</t>
        </is>
      </c>
      <c r="T262" t="inlineStr">
        <is>
          <t>Horizontal</t>
        </is>
      </c>
      <c r="U262" t="n">
        <v>12</v>
      </c>
      <c r="V262" t="b">
        <v>1</v>
      </c>
      <c r="W262" t="inlineStr">
        <is>
          <t>Valuation!C24:N24</t>
        </is>
      </c>
      <c r="X262">
        <f>'Income statement'!R[-7]C[1]</f>
        <v/>
      </c>
    </row>
    <row r="263">
      <c r="A263" t="inlineStr">
        <is>
          <t>Valuation</t>
        </is>
      </c>
      <c r="B263" t="inlineStr">
        <is>
          <t>E24</t>
        </is>
      </c>
      <c r="C263" t="n">
        <v>24</v>
      </c>
      <c r="D263" t="n">
        <v>5</v>
      </c>
      <c r="E263" t="inlineStr">
        <is>
          <t>Output</t>
        </is>
      </c>
      <c r="F263" t="inlineStr">
        <is>
          <t>'='Income statement'!F17</t>
        </is>
      </c>
      <c r="G263" t="n">
        <v>24868.86999999999</v>
      </c>
      <c r="H263" t="inlineStr"/>
      <c r="I263" t="inlineStr">
        <is>
          <t>#,##0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inlineStr">
        <is>
          <t>G000396</t>
        </is>
      </c>
      <c r="T263" t="inlineStr">
        <is>
          <t>Horizontal</t>
        </is>
      </c>
      <c r="U263" t="n">
        <v>12</v>
      </c>
      <c r="V263" t="b">
        <v>1</v>
      </c>
      <c r="W263" t="inlineStr">
        <is>
          <t>Valuation!C24:N24</t>
        </is>
      </c>
      <c r="X263">
        <f>'Income statement'!R[-7]C[1]</f>
        <v/>
      </c>
    </row>
    <row r="264">
      <c r="A264" t="inlineStr">
        <is>
          <t>Valuation</t>
        </is>
      </c>
      <c r="B264" t="inlineStr">
        <is>
          <t>F24</t>
        </is>
      </c>
      <c r="C264" t="n">
        <v>24</v>
      </c>
      <c r="D264" t="n">
        <v>6</v>
      </c>
      <c r="E264" t="inlineStr">
        <is>
          <t>Output</t>
        </is>
      </c>
      <c r="F264" t="inlineStr">
        <is>
          <t>'='Income statement'!G17</t>
        </is>
      </c>
      <c r="G264" t="n">
        <v>24907.95999999999</v>
      </c>
      <c r="H264" t="inlineStr"/>
      <c r="I264" t="inlineStr">
        <is>
          <t>#,##0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n">
        <v/>
      </c>
      <c r="P264" t="n">
        <v/>
      </c>
      <c r="R264" t="b">
        <v>1</v>
      </c>
      <c r="S264" t="inlineStr">
        <is>
          <t>G000396</t>
        </is>
      </c>
      <c r="T264" t="inlineStr">
        <is>
          <t>Horizontal</t>
        </is>
      </c>
      <c r="U264" t="n">
        <v>12</v>
      </c>
      <c r="V264" t="b">
        <v>1</v>
      </c>
      <c r="W264" t="inlineStr">
        <is>
          <t>Valuation!C24:N24</t>
        </is>
      </c>
      <c r="X264">
        <f>'Income statement'!R[-7]C[1]</f>
        <v/>
      </c>
    </row>
    <row r="265">
      <c r="A265" t="inlineStr">
        <is>
          <t>Valuation</t>
        </is>
      </c>
      <c r="B265" t="inlineStr">
        <is>
          <t>G24</t>
        </is>
      </c>
      <c r="C265" t="n">
        <v>24</v>
      </c>
      <c r="D265" t="n">
        <v>7</v>
      </c>
      <c r="E265" t="inlineStr">
        <is>
          <t>Output</t>
        </is>
      </c>
      <c r="F265" t="inlineStr">
        <is>
          <t>'='Income statement'!H17</t>
        </is>
      </c>
      <c r="G265" t="n">
        <v>42165.06999999996</v>
      </c>
      <c r="H265" t="inlineStr"/>
      <c r="I265" t="inlineStr">
        <is>
          <t>#,##0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inlineStr">
        <is>
          <t>G000396</t>
        </is>
      </c>
      <c r="T265" t="inlineStr">
        <is>
          <t>Horizontal</t>
        </is>
      </c>
      <c r="U265" t="n">
        <v>12</v>
      </c>
      <c r="V265" t="b">
        <v>1</v>
      </c>
      <c r="W265" t="inlineStr">
        <is>
          <t>Valuation!C24:N24</t>
        </is>
      </c>
      <c r="X265">
        <f>'Income statement'!R[-7]C[1]</f>
        <v/>
      </c>
    </row>
    <row r="266">
      <c r="A266" t="inlineStr">
        <is>
          <t>Valuation</t>
        </is>
      </c>
      <c r="B266" t="inlineStr">
        <is>
          <t>H24</t>
        </is>
      </c>
      <c r="C266" t="n">
        <v>24</v>
      </c>
      <c r="D266" t="n">
        <v>8</v>
      </c>
      <c r="E266" t="inlineStr">
        <is>
          <t>Output</t>
        </is>
      </c>
      <c r="F266" t="inlineStr">
        <is>
          <t>'='Income statement'!I17</t>
        </is>
      </c>
      <c r="G266" t="n">
        <v>60790.33999999999</v>
      </c>
      <c r="H266" t="inlineStr"/>
      <c r="I266" t="inlineStr">
        <is>
          <t>#,##0</t>
        </is>
      </c>
      <c r="J266" t="b">
        <v>0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inlineStr">
        <is>
          <t>G000396</t>
        </is>
      </c>
      <c r="T266" t="inlineStr">
        <is>
          <t>Horizontal</t>
        </is>
      </c>
      <c r="U266" t="n">
        <v>12</v>
      </c>
      <c r="V266" t="b">
        <v>1</v>
      </c>
      <c r="W266" t="inlineStr">
        <is>
          <t>Valuation!C24:N24</t>
        </is>
      </c>
      <c r="X266">
        <f>'Income statement'!R[-7]C[1]</f>
        <v/>
      </c>
    </row>
    <row r="267">
      <c r="A267" t="inlineStr">
        <is>
          <t>Valuation</t>
        </is>
      </c>
      <c r="B267" t="inlineStr">
        <is>
          <t>I24</t>
        </is>
      </c>
      <c r="C267" t="n">
        <v>24</v>
      </c>
      <c r="D267" t="n">
        <v>9</v>
      </c>
      <c r="E267" t="inlineStr">
        <is>
          <t>Output</t>
        </is>
      </c>
      <c r="F267" t="inlineStr">
        <is>
          <t>'='Income statement'!J17</t>
        </is>
      </c>
      <c r="G267" t="n">
        <v>60577.05000000001</v>
      </c>
      <c r="H267" t="inlineStr"/>
      <c r="I267" t="inlineStr">
        <is>
          <t>#,##0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G000396</t>
        </is>
      </c>
      <c r="T267" t="inlineStr">
        <is>
          <t>Horizontal</t>
        </is>
      </c>
      <c r="U267" t="n">
        <v>12</v>
      </c>
      <c r="V267" t="b">
        <v>1</v>
      </c>
      <c r="W267" t="inlineStr">
        <is>
          <t>Valuation!C24:N24</t>
        </is>
      </c>
      <c r="X267">
        <f>'Income statement'!R[-7]C[1]</f>
        <v/>
      </c>
    </row>
    <row r="268">
      <c r="A268" t="inlineStr">
        <is>
          <t>Valuation</t>
        </is>
      </c>
      <c r="B268" t="inlineStr">
        <is>
          <t>J24</t>
        </is>
      </c>
      <c r="C268" t="n">
        <v>24</v>
      </c>
      <c r="D268" t="n">
        <v>10</v>
      </c>
      <c r="E268" t="inlineStr">
        <is>
          <t>Output</t>
        </is>
      </c>
      <c r="F268" t="inlineStr">
        <is>
          <t>'='Income statement'!K17</t>
        </is>
      </c>
      <c r="G268" t="n">
        <v>89731.53737294464</v>
      </c>
      <c r="H268" t="inlineStr"/>
      <c r="I268" t="inlineStr">
        <is>
          <t>#,##0</t>
        </is>
      </c>
      <c r="J268" t="b">
        <v>0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inlineStr">
        <is>
          <t>G000396</t>
        </is>
      </c>
      <c r="T268" t="inlineStr">
        <is>
          <t>Horizontal</t>
        </is>
      </c>
      <c r="U268" t="n">
        <v>12</v>
      </c>
      <c r="V268" t="b">
        <v>1</v>
      </c>
      <c r="W268" t="inlineStr">
        <is>
          <t>Valuation!C24:N24</t>
        </is>
      </c>
      <c r="X268">
        <f>'Income statement'!R[-7]C[1]</f>
        <v/>
      </c>
    </row>
    <row r="269">
      <c r="A269" t="inlineStr">
        <is>
          <t>Valuation</t>
        </is>
      </c>
      <c r="B269" t="inlineStr">
        <is>
          <t>K24</t>
        </is>
      </c>
      <c r="C269" t="n">
        <v>24</v>
      </c>
      <c r="D269" t="n">
        <v>11</v>
      </c>
      <c r="E269" t="inlineStr">
        <is>
          <t>Output</t>
        </is>
      </c>
      <c r="F269" t="inlineStr">
        <is>
          <t>'='Income statement'!L17</t>
        </is>
      </c>
      <c r="G269" t="n">
        <v>102878.7604288288</v>
      </c>
      <c r="H269" t="inlineStr"/>
      <c r="I269" t="inlineStr">
        <is>
          <t>#,##0</t>
        </is>
      </c>
      <c r="J269" t="b">
        <v>0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G000396</t>
        </is>
      </c>
      <c r="T269" t="inlineStr">
        <is>
          <t>Horizontal</t>
        </is>
      </c>
      <c r="U269" t="n">
        <v>12</v>
      </c>
      <c r="V269" t="b">
        <v>1</v>
      </c>
      <c r="W269" t="inlineStr">
        <is>
          <t>Valuation!C24:N24</t>
        </is>
      </c>
      <c r="X269">
        <f>'Income statement'!R[-7]C[1]</f>
        <v/>
      </c>
    </row>
    <row r="270">
      <c r="A270" t="inlineStr">
        <is>
          <t>Valuation</t>
        </is>
      </c>
      <c r="B270" t="inlineStr">
        <is>
          <t>L24</t>
        </is>
      </c>
      <c r="C270" t="n">
        <v>24</v>
      </c>
      <c r="D270" t="n">
        <v>12</v>
      </c>
      <c r="E270" t="inlineStr">
        <is>
          <t>Output</t>
        </is>
      </c>
      <c r="F270" t="inlineStr">
        <is>
          <t>'='Income statement'!M17</t>
        </is>
      </c>
      <c r="G270" t="n">
        <v>128190.9834954994</v>
      </c>
      <c r="H270" t="inlineStr"/>
      <c r="I270" t="inlineStr">
        <is>
          <t>#,##0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G000396</t>
        </is>
      </c>
      <c r="T270" t="inlineStr">
        <is>
          <t>Horizontal</t>
        </is>
      </c>
      <c r="U270" t="n">
        <v>12</v>
      </c>
      <c r="V270" t="b">
        <v>1</v>
      </c>
      <c r="W270" t="inlineStr">
        <is>
          <t>Valuation!C24:N24</t>
        </is>
      </c>
      <c r="X270">
        <f>'Income statement'!R[-7]C[1]</f>
        <v/>
      </c>
    </row>
    <row r="271">
      <c r="A271" t="inlineStr">
        <is>
          <t>Valuation</t>
        </is>
      </c>
      <c r="B271" t="inlineStr">
        <is>
          <t>M24</t>
        </is>
      </c>
      <c r="C271" t="n">
        <v>24</v>
      </c>
      <c r="D271" t="n">
        <v>13</v>
      </c>
      <c r="E271" t="inlineStr">
        <is>
          <t>Output</t>
        </is>
      </c>
      <c r="F271" t="inlineStr">
        <is>
          <t>'='Income statement'!N17</t>
        </is>
      </c>
      <c r="G271" t="n">
        <v>150685.9586280226</v>
      </c>
      <c r="H271" t="inlineStr"/>
      <c r="I271" t="inlineStr">
        <is>
          <t>#,##0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G000396</t>
        </is>
      </c>
      <c r="T271" t="inlineStr">
        <is>
          <t>Horizontal</t>
        </is>
      </c>
      <c r="U271" t="n">
        <v>12</v>
      </c>
      <c r="V271" t="b">
        <v>1</v>
      </c>
      <c r="W271" t="inlineStr">
        <is>
          <t>Valuation!C24:N24</t>
        </is>
      </c>
      <c r="X271">
        <f>'Income statement'!R[-7]C[1]</f>
        <v/>
      </c>
    </row>
    <row r="272">
      <c r="A272" t="inlineStr">
        <is>
          <t>Valuation</t>
        </is>
      </c>
      <c r="B272" t="inlineStr">
        <is>
          <t>N24</t>
        </is>
      </c>
      <c r="C272" t="n">
        <v>24</v>
      </c>
      <c r="D272" t="n">
        <v>14</v>
      </c>
      <c r="E272" t="inlineStr">
        <is>
          <t>Output</t>
        </is>
      </c>
      <c r="F272" t="inlineStr">
        <is>
          <t>'='Income statement'!O17</t>
        </is>
      </c>
      <c r="G272" t="n">
        <v>178973.3611764755</v>
      </c>
      <c r="H272" t="inlineStr"/>
      <c r="I272" t="inlineStr">
        <is>
          <t>#,##0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G000396</t>
        </is>
      </c>
      <c r="T272" t="inlineStr">
        <is>
          <t>Horizontal</t>
        </is>
      </c>
      <c r="U272" t="n">
        <v>12</v>
      </c>
      <c r="V272" t="b">
        <v>1</v>
      </c>
      <c r="W272" t="inlineStr">
        <is>
          <t>Valuation!C24:N24</t>
        </is>
      </c>
      <c r="X272">
        <f>'Income statement'!R[-7]C[1]</f>
        <v/>
      </c>
    </row>
    <row r="273">
      <c r="A273" t="inlineStr">
        <is>
          <t>Valuation</t>
        </is>
      </c>
      <c r="B273" t="inlineStr">
        <is>
          <t>P24</t>
        </is>
      </c>
      <c r="C273" t="n">
        <v>24</v>
      </c>
      <c r="D273" t="n">
        <v>16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n">
        <v/>
      </c>
      <c r="P273" t="n">
        <v/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Valuation</t>
        </is>
      </c>
      <c r="B274" t="inlineStr">
        <is>
          <t>Q24</t>
        </is>
      </c>
      <c r="C274" t="n">
        <v>24</v>
      </c>
      <c r="D274" t="n">
        <v>17</v>
      </c>
      <c r="E274" t="inlineStr">
        <is>
          <t>Calculation</t>
        </is>
      </c>
      <c r="F274" t="inlineStr">
        <is>
          <t>'=Q23+0.7%</t>
        </is>
      </c>
      <c r="G274" t="n">
        <v>0.117</v>
      </c>
      <c r="H274" t="inlineStr"/>
      <c r="I274" t="inlineStr">
        <is>
          <t>0.0%</t>
        </is>
      </c>
      <c r="J274" t="b">
        <v>1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Values must be of type &lt;class 'str'&gt;</t>
        </is>
      </c>
      <c r="O274" t="inlineStr">
        <is>
          <t>center</t>
        </is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>
        <f>R[-1]C[0]+0.7%</f>
        <v/>
      </c>
    </row>
    <row r="275">
      <c r="A275" t="inlineStr">
        <is>
          <t>Valuation</t>
        </is>
      </c>
      <c r="B275" t="inlineStr">
        <is>
          <t>R24</t>
        </is>
      </c>
      <c r="C275" t="n">
        <v>24</v>
      </c>
      <c r="D275" t="n">
        <v>18</v>
      </c>
      <c r="E275" t="inlineStr">
        <is>
          <t>Input</t>
        </is>
      </c>
      <c r="F275" t="n">
        <v/>
      </c>
      <c r="G275" t="n">
        <v>1595.100169171237</v>
      </c>
      <c r="H275" t="inlineStr"/>
      <c r="I275" t="inlineStr">
        <is>
          <t>0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inlineStr">
        <is>
          <t>center</t>
        </is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Valuation</t>
        </is>
      </c>
      <c r="B276" t="inlineStr">
        <is>
          <t>S24</t>
        </is>
      </c>
      <c r="C276" t="n">
        <v>24</v>
      </c>
      <c r="D276" t="n">
        <v>19</v>
      </c>
      <c r="E276" t="inlineStr">
        <is>
          <t>Input</t>
        </is>
      </c>
      <c r="F276" t="n">
        <v/>
      </c>
      <c r="G276" t="n">
        <v>1643.848835554709</v>
      </c>
      <c r="H276" t="inlineStr"/>
      <c r="I276" t="inlineStr">
        <is>
          <t>0</t>
        </is>
      </c>
      <c r="J276" t="b">
        <v>0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inlineStr">
        <is>
          <t>center</t>
        </is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Valuation</t>
        </is>
      </c>
      <c r="B277" t="inlineStr">
        <is>
          <t>T24</t>
        </is>
      </c>
      <c r="C277" t="n">
        <v>24</v>
      </c>
      <c r="D277" t="n">
        <v>20</v>
      </c>
      <c r="E277" t="inlineStr">
        <is>
          <t>Input</t>
        </is>
      </c>
      <c r="F277" t="n">
        <v/>
      </c>
      <c r="G277" t="n">
        <v>1698.200796924786</v>
      </c>
      <c r="H277" t="inlineStr"/>
      <c r="I277" t="inlineStr">
        <is>
          <t>0</t>
        </is>
      </c>
      <c r="J277" t="b">
        <v>0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inlineStr">
        <is>
          <t>center</t>
        </is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Valuation</t>
        </is>
      </c>
      <c r="B278" t="inlineStr">
        <is>
          <t>U24</t>
        </is>
      </c>
      <c r="C278" t="n">
        <v>24</v>
      </c>
      <c r="D278" t="n">
        <v>21</v>
      </c>
      <c r="E278" t="inlineStr">
        <is>
          <t>Input</t>
        </is>
      </c>
      <c r="F278" t="n">
        <v/>
      </c>
      <c r="G278" t="n">
        <v>1759.181046266824</v>
      </c>
      <c r="H278" t="inlineStr"/>
      <c r="I278" t="inlineStr">
        <is>
          <t>0</t>
        </is>
      </c>
      <c r="J278" t="b">
        <v>0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center</t>
        </is>
      </c>
      <c r="P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Valuation</t>
        </is>
      </c>
      <c r="B279" t="inlineStr">
        <is>
          <t>V24</t>
        </is>
      </c>
      <c r="C279" t="n">
        <v>24</v>
      </c>
      <c r="D279" t="n">
        <v>22</v>
      </c>
      <c r="E279" t="inlineStr">
        <is>
          <t>Input</t>
        </is>
      </c>
      <c r="F279" t="n">
        <v/>
      </c>
      <c r="G279" t="n">
        <v>1828.080808510426</v>
      </c>
      <c r="H279" t="inlineStr"/>
      <c r="I279" t="inlineStr">
        <is>
          <t>0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center</t>
        </is>
      </c>
      <c r="P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Valuation</t>
        </is>
      </c>
      <c r="B280" t="inlineStr">
        <is>
          <t>W24</t>
        </is>
      </c>
      <c r="C280" t="n">
        <v>24</v>
      </c>
      <c r="D280" t="n">
        <v>23</v>
      </c>
      <c r="E280" t="inlineStr">
        <is>
          <t>Input</t>
        </is>
      </c>
      <c r="F280" t="n">
        <v/>
      </c>
      <c r="G280" t="n">
        <v>1906.549982176749</v>
      </c>
      <c r="H280" t="inlineStr"/>
      <c r="I280" t="inlineStr">
        <is>
          <t>0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inlineStr">
        <is>
          <t>center</t>
        </is>
      </c>
      <c r="P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Valuation</t>
        </is>
      </c>
      <c r="B281" t="inlineStr">
        <is>
          <t>X24</t>
        </is>
      </c>
      <c r="C281" t="n">
        <v>24</v>
      </c>
      <c r="D281" t="n">
        <v>24</v>
      </c>
      <c r="E281" t="inlineStr">
        <is>
          <t>Input</t>
        </is>
      </c>
      <c r="F281" t="n">
        <v/>
      </c>
      <c r="G281" t="n">
        <v>1996.730972808196</v>
      </c>
      <c r="H281" t="inlineStr"/>
      <c r="I281" t="inlineStr">
        <is>
          <t>0</t>
        </is>
      </c>
      <c r="J281" t="b">
        <v>0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Values must be of type &lt;class 'str'&gt;</t>
        </is>
      </c>
      <c r="O281" t="inlineStr">
        <is>
          <t>center</t>
        </is>
      </c>
      <c r="P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Valuation</t>
        </is>
      </c>
      <c r="B282" t="inlineStr">
        <is>
          <t>Y24</t>
        </is>
      </c>
      <c r="C282" t="n">
        <v>24</v>
      </c>
      <c r="D282" t="n">
        <v>25</v>
      </c>
      <c r="E282" t="inlineStr">
        <is>
          <t>Input</t>
        </is>
      </c>
      <c r="F282" t="n">
        <v/>
      </c>
      <c r="G282" t="n">
        <v>2101.457284509231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Values must be of type &lt;class 'str'&gt;</t>
        </is>
      </c>
      <c r="O282" t="inlineStr">
        <is>
          <t>center</t>
        </is>
      </c>
      <c r="P282" t="n">
        <v/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Valuation</t>
        </is>
      </c>
      <c r="B283" t="inlineStr">
        <is>
          <t>Z24</t>
        </is>
      </c>
      <c r="C283" t="n">
        <v>24</v>
      </c>
      <c r="D283" t="n">
        <v>26</v>
      </c>
      <c r="E283" t="inlineStr">
        <is>
          <t>Input</t>
        </is>
      </c>
      <c r="F283" t="n">
        <v/>
      </c>
      <c r="G283" t="n">
        <v>2224.556633350799</v>
      </c>
      <c r="H283" t="inlineStr"/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inlineStr">
        <is>
          <t>center</t>
        </is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Valuation</t>
        </is>
      </c>
      <c r="B284" t="inlineStr">
        <is>
          <t>AA24</t>
        </is>
      </c>
      <c r="C284" t="n">
        <v>24</v>
      </c>
      <c r="D284" t="n">
        <v>27</v>
      </c>
      <c r="E284" t="inlineStr">
        <is>
          <t>Input</t>
        </is>
      </c>
      <c r="F284" t="n">
        <v/>
      </c>
      <c r="G284" t="n">
        <v>2371.328933892667</v>
      </c>
      <c r="H284" t="inlineStr"/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inlineStr">
        <is>
          <t>center</t>
        </is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Valuation</t>
        </is>
      </c>
      <c r="B285" t="inlineStr">
        <is>
          <t>AB24</t>
        </is>
      </c>
      <c r="C285" t="n">
        <v>24</v>
      </c>
      <c r="D285" t="n">
        <v>28</v>
      </c>
      <c r="E285" t="inlineStr">
        <is>
          <t>Input</t>
        </is>
      </c>
      <c r="F285" t="n">
        <v/>
      </c>
      <c r="G285" t="n">
        <v>2549.329383485998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Values must be of type &lt;class 'str'&gt;</t>
        </is>
      </c>
      <c r="O285" t="inlineStr">
        <is>
          <t>center</t>
        </is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Valuation</t>
        </is>
      </c>
      <c r="B286" t="inlineStr">
        <is>
          <t>A25</t>
        </is>
      </c>
      <c r="C286" t="n">
        <v>25</v>
      </c>
      <c r="D286" t="n">
        <v>1</v>
      </c>
      <c r="E286" t="inlineStr">
        <is>
          <t>Input</t>
        </is>
      </c>
      <c r="F286" t="n">
        <v/>
      </c>
      <c r="G286" t="inlineStr">
        <is>
          <t>EBITDA</t>
        </is>
      </c>
      <c r="H286" t="inlineStr"/>
      <c r="I286" t="inlineStr">
        <is>
          <t>0.0%</t>
        </is>
      </c>
      <c r="J286" t="b">
        <v>0</v>
      </c>
      <c r="K286" t="b">
        <v>0</v>
      </c>
      <c r="L286" t="n">
        <v>10</v>
      </c>
      <c r="M286" t="n">
        <v/>
      </c>
      <c r="N286" t="inlineStr">
        <is>
          <t>00000000</t>
        </is>
      </c>
      <c r="O286" t="inlineStr">
        <is>
          <t>left</t>
        </is>
      </c>
      <c r="P286" t="n">
        <v/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Valuation</t>
        </is>
      </c>
      <c r="B287" t="inlineStr">
        <is>
          <t>C25</t>
        </is>
      </c>
      <c r="C287" t="n">
        <v>25</v>
      </c>
      <c r="D287" t="n">
        <v>3</v>
      </c>
      <c r="E287" t="inlineStr">
        <is>
          <t>Output</t>
        </is>
      </c>
      <c r="F287" t="inlineStr">
        <is>
          <t>'='Income statement'!D21</t>
        </is>
      </c>
      <c r="G287" t="n">
        <v>8226.110000000001</v>
      </c>
      <c r="H287" t="inlineStr"/>
      <c r="I287" t="inlineStr">
        <is>
          <t>#,##0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inlineStr">
        <is>
          <t>G000398</t>
        </is>
      </c>
      <c r="T287" t="inlineStr">
        <is>
          <t>Horizontal</t>
        </is>
      </c>
      <c r="U287" t="n">
        <v>12</v>
      </c>
      <c r="V287" t="b">
        <v>1</v>
      </c>
      <c r="W287" t="inlineStr">
        <is>
          <t>Valuation!C25:N25</t>
        </is>
      </c>
      <c r="X287">
        <f>'Income statement'!R[-4]C[1]</f>
        <v/>
      </c>
    </row>
    <row r="288">
      <c r="A288" t="inlineStr">
        <is>
          <t>Valuation</t>
        </is>
      </c>
      <c r="B288" t="inlineStr">
        <is>
          <t>D25</t>
        </is>
      </c>
      <c r="C288" t="n">
        <v>25</v>
      </c>
      <c r="D288" t="n">
        <v>4</v>
      </c>
      <c r="E288" t="inlineStr">
        <is>
          <t>Output</t>
        </is>
      </c>
      <c r="F288" t="inlineStr">
        <is>
          <t>'='Income statement'!E21</t>
        </is>
      </c>
      <c r="G288" t="n">
        <v>1928.539999999992</v>
      </c>
      <c r="H288" t="inlineStr"/>
      <c r="I288" t="inlineStr">
        <is>
          <t>#,##0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G000398</t>
        </is>
      </c>
      <c r="T288" t="inlineStr">
        <is>
          <t>Horizontal</t>
        </is>
      </c>
      <c r="U288" t="n">
        <v>12</v>
      </c>
      <c r="V288" t="b">
        <v>1</v>
      </c>
      <c r="W288" t="inlineStr">
        <is>
          <t>Valuation!C25:N25</t>
        </is>
      </c>
      <c r="X288">
        <f>'Income statement'!R[-4]C[1]</f>
        <v/>
      </c>
    </row>
    <row r="289">
      <c r="A289" t="inlineStr">
        <is>
          <t>Valuation</t>
        </is>
      </c>
      <c r="B289" t="inlineStr">
        <is>
          <t>E25</t>
        </is>
      </c>
      <c r="C289" t="n">
        <v>25</v>
      </c>
      <c r="D289" t="n">
        <v>5</v>
      </c>
      <c r="E289" t="inlineStr">
        <is>
          <t>Output</t>
        </is>
      </c>
      <c r="F289" t="inlineStr">
        <is>
          <t>'='Income statement'!F21</t>
        </is>
      </c>
      <c r="G289" t="n">
        <v>11307.38999999999</v>
      </c>
      <c r="H289" t="inlineStr"/>
      <c r="I289" t="inlineStr">
        <is>
          <t>#,##0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inlineStr">
        <is>
          <t>G000398</t>
        </is>
      </c>
      <c r="T289" t="inlineStr">
        <is>
          <t>Horizontal</t>
        </is>
      </c>
      <c r="U289" t="n">
        <v>12</v>
      </c>
      <c r="V289" t="b">
        <v>1</v>
      </c>
      <c r="W289" t="inlineStr">
        <is>
          <t>Valuation!C25:N25</t>
        </is>
      </c>
      <c r="X289">
        <f>'Income statement'!R[-4]C[1]</f>
        <v/>
      </c>
    </row>
    <row r="290">
      <c r="A290" t="inlineStr">
        <is>
          <t>Valuation</t>
        </is>
      </c>
      <c r="B290" t="inlineStr">
        <is>
          <t>F25</t>
        </is>
      </c>
      <c r="C290" t="n">
        <v>25</v>
      </c>
      <c r="D290" t="n">
        <v>6</v>
      </c>
      <c r="E290" t="inlineStr">
        <is>
          <t>Output</t>
        </is>
      </c>
      <c r="F290" t="inlineStr">
        <is>
          <t>'='Income statement'!G21</t>
        </is>
      </c>
      <c r="G290" t="n">
        <v>8204.819999999992</v>
      </c>
      <c r="H290" t="inlineStr"/>
      <c r="I290" t="inlineStr">
        <is>
          <t>#,##0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inlineStr">
        <is>
          <t>G000398</t>
        </is>
      </c>
      <c r="T290" t="inlineStr">
        <is>
          <t>Horizontal</t>
        </is>
      </c>
      <c r="U290" t="n">
        <v>12</v>
      </c>
      <c r="V290" t="b">
        <v>1</v>
      </c>
      <c r="W290" t="inlineStr">
        <is>
          <t>Valuation!C25:N25</t>
        </is>
      </c>
      <c r="X290">
        <f>'Income statement'!R[-4]C[1]</f>
        <v/>
      </c>
    </row>
    <row r="291">
      <c r="A291" t="inlineStr">
        <is>
          <t>Valuation</t>
        </is>
      </c>
      <c r="B291" t="inlineStr">
        <is>
          <t>G25</t>
        </is>
      </c>
      <c r="C291" t="n">
        <v>25</v>
      </c>
      <c r="D291" t="n">
        <v>7</v>
      </c>
      <c r="E291" t="inlineStr">
        <is>
          <t>Output</t>
        </is>
      </c>
      <c r="F291" t="inlineStr">
        <is>
          <t>'='Income statement'!H21</t>
        </is>
      </c>
      <c r="G291" t="n">
        <v>22642.68999999996</v>
      </c>
      <c r="H291" t="inlineStr"/>
      <c r="I291" t="inlineStr">
        <is>
          <t>#,##0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inlineStr">
        <is>
          <t>G000398</t>
        </is>
      </c>
      <c r="T291" t="inlineStr">
        <is>
          <t>Horizontal</t>
        </is>
      </c>
      <c r="U291" t="n">
        <v>12</v>
      </c>
      <c r="V291" t="b">
        <v>1</v>
      </c>
      <c r="W291" t="inlineStr">
        <is>
          <t>Valuation!C25:N25</t>
        </is>
      </c>
      <c r="X291">
        <f>'Income statement'!R[-4]C[1]</f>
        <v/>
      </c>
    </row>
    <row r="292">
      <c r="A292" t="inlineStr">
        <is>
          <t>Valuation</t>
        </is>
      </c>
      <c r="B292" t="inlineStr">
        <is>
          <t>H25</t>
        </is>
      </c>
      <c r="C292" t="n">
        <v>25</v>
      </c>
      <c r="D292" t="n">
        <v>8</v>
      </c>
      <c r="E292" t="inlineStr">
        <is>
          <t>Output</t>
        </is>
      </c>
      <c r="F292" t="inlineStr">
        <is>
          <t>'='Income statement'!I21</t>
        </is>
      </c>
      <c r="G292" t="n">
        <v>34668.81999999999</v>
      </c>
      <c r="H292" t="inlineStr"/>
      <c r="I292" t="inlineStr">
        <is>
          <t>#,##0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G000398</t>
        </is>
      </c>
      <c r="T292" t="inlineStr">
        <is>
          <t>Horizontal</t>
        </is>
      </c>
      <c r="U292" t="n">
        <v>12</v>
      </c>
      <c r="V292" t="b">
        <v>1</v>
      </c>
      <c r="W292" t="inlineStr">
        <is>
          <t>Valuation!C25:N25</t>
        </is>
      </c>
      <c r="X292">
        <f>'Income statement'!R[-4]C[1]</f>
        <v/>
      </c>
    </row>
    <row r="293">
      <c r="A293" t="inlineStr">
        <is>
          <t>Valuation</t>
        </is>
      </c>
      <c r="B293" t="inlineStr">
        <is>
          <t>I25</t>
        </is>
      </c>
      <c r="C293" t="n">
        <v>25</v>
      </c>
      <c r="D293" t="n">
        <v>9</v>
      </c>
      <c r="E293" t="inlineStr">
        <is>
          <t>Output</t>
        </is>
      </c>
      <c r="F293" t="inlineStr">
        <is>
          <t>'='Income statement'!J21</t>
        </is>
      </c>
      <c r="G293" t="n">
        <v>29323.32000000001</v>
      </c>
      <c r="H293" t="inlineStr"/>
      <c r="I293" t="inlineStr">
        <is>
          <t>#,##0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G000398</t>
        </is>
      </c>
      <c r="T293" t="inlineStr">
        <is>
          <t>Horizontal</t>
        </is>
      </c>
      <c r="U293" t="n">
        <v>12</v>
      </c>
      <c r="V293" t="b">
        <v>1</v>
      </c>
      <c r="W293" t="inlineStr">
        <is>
          <t>Valuation!C25:N25</t>
        </is>
      </c>
      <c r="X293">
        <f>'Income statement'!R[-4]C[1]</f>
        <v/>
      </c>
    </row>
    <row r="294">
      <c r="A294" t="inlineStr">
        <is>
          <t>Valuation</t>
        </is>
      </c>
      <c r="B294" t="inlineStr">
        <is>
          <t>J25</t>
        </is>
      </c>
      <c r="C294" t="n">
        <v>25</v>
      </c>
      <c r="D294" t="n">
        <v>10</v>
      </c>
      <c r="E294" t="inlineStr">
        <is>
          <t>Output</t>
        </is>
      </c>
      <c r="F294" t="inlineStr">
        <is>
          <t>'='Income statement'!K21</t>
        </is>
      </c>
      <c r="G294" t="n">
        <v>55025.10962391167</v>
      </c>
      <c r="H294" t="inlineStr"/>
      <c r="I294" t="inlineStr">
        <is>
          <t>#,##0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G000398</t>
        </is>
      </c>
      <c r="T294" t="inlineStr">
        <is>
          <t>Horizontal</t>
        </is>
      </c>
      <c r="U294" t="n">
        <v>12</v>
      </c>
      <c r="V294" t="b">
        <v>1</v>
      </c>
      <c r="W294" t="inlineStr">
        <is>
          <t>Valuation!C25:N25</t>
        </is>
      </c>
      <c r="X294">
        <f>'Income statement'!R[-4]C[1]</f>
        <v/>
      </c>
    </row>
    <row r="295">
      <c r="A295" t="inlineStr">
        <is>
          <t>Valuation</t>
        </is>
      </c>
      <c r="B295" t="inlineStr">
        <is>
          <t>K25</t>
        </is>
      </c>
      <c r="C295" t="n">
        <v>25</v>
      </c>
      <c r="D295" t="n">
        <v>11</v>
      </c>
      <c r="E295" t="inlineStr">
        <is>
          <t>Output</t>
        </is>
      </c>
      <c r="F295" t="inlineStr">
        <is>
          <t>'='Income statement'!L21</t>
        </is>
      </c>
      <c r="G295" t="n">
        <v>62111.18422781133</v>
      </c>
      <c r="H295" t="inlineStr"/>
      <c r="I295" t="inlineStr">
        <is>
          <t>#,##0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G000398</t>
        </is>
      </c>
      <c r="T295" t="inlineStr">
        <is>
          <t>Horizontal</t>
        </is>
      </c>
      <c r="U295" t="n">
        <v>12</v>
      </c>
      <c r="V295" t="b">
        <v>1</v>
      </c>
      <c r="W295" t="inlineStr">
        <is>
          <t>Valuation!C25:N25</t>
        </is>
      </c>
      <c r="X295">
        <f>'Income statement'!R[-4]C[1]</f>
        <v/>
      </c>
    </row>
    <row r="296">
      <c r="A296" t="inlineStr">
        <is>
          <t>Valuation</t>
        </is>
      </c>
      <c r="B296" t="inlineStr">
        <is>
          <t>L25</t>
        </is>
      </c>
      <c r="C296" t="n">
        <v>25</v>
      </c>
      <c r="D296" t="n">
        <v>12</v>
      </c>
      <c r="E296" t="inlineStr">
        <is>
          <t>Output</t>
        </is>
      </c>
      <c r="F296" t="inlineStr">
        <is>
          <t>'='Income statement'!M21</t>
        </is>
      </c>
      <c r="G296" t="n">
        <v>75810.78760630531</v>
      </c>
      <c r="H296" t="inlineStr"/>
      <c r="I296" t="inlineStr">
        <is>
          <t>#,##0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inlineStr">
        <is>
          <t>G000398</t>
        </is>
      </c>
      <c r="T296" t="inlineStr">
        <is>
          <t>Horizontal</t>
        </is>
      </c>
      <c r="U296" t="n">
        <v>12</v>
      </c>
      <c r="V296" t="b">
        <v>1</v>
      </c>
      <c r="W296" t="inlineStr">
        <is>
          <t>Valuation!C25:N25</t>
        </is>
      </c>
      <c r="X296">
        <f>'Income statement'!R[-4]C[1]</f>
        <v/>
      </c>
    </row>
    <row r="297">
      <c r="A297" t="inlineStr">
        <is>
          <t>Valuation</t>
        </is>
      </c>
      <c r="B297" t="inlineStr">
        <is>
          <t>M25</t>
        </is>
      </c>
      <c r="C297" t="n">
        <v>25</v>
      </c>
      <c r="D297" t="n">
        <v>13</v>
      </c>
      <c r="E297" t="inlineStr">
        <is>
          <t>Output</t>
        </is>
      </c>
      <c r="F297" t="inlineStr">
        <is>
          <t>'='Income statement'!N21</t>
        </is>
      </c>
      <c r="G297" t="n">
        <v>89953.23440492769</v>
      </c>
      <c r="H297" t="inlineStr"/>
      <c r="I297" t="inlineStr">
        <is>
          <t>#,##0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inlineStr">
        <is>
          <t>G000398</t>
        </is>
      </c>
      <c r="T297" t="inlineStr">
        <is>
          <t>Horizontal</t>
        </is>
      </c>
      <c r="U297" t="n">
        <v>12</v>
      </c>
      <c r="V297" t="b">
        <v>1</v>
      </c>
      <c r="W297" t="inlineStr">
        <is>
          <t>Valuation!C25:N25</t>
        </is>
      </c>
      <c r="X297">
        <f>'Income statement'!R[-4]C[1]</f>
        <v/>
      </c>
    </row>
    <row r="298">
      <c r="A298" t="inlineStr">
        <is>
          <t>Valuation</t>
        </is>
      </c>
      <c r="B298" t="inlineStr">
        <is>
          <t>N25</t>
        </is>
      </c>
      <c r="C298" t="n">
        <v>25</v>
      </c>
      <c r="D298" t="n">
        <v>14</v>
      </c>
      <c r="E298" t="inlineStr">
        <is>
          <t>Output</t>
        </is>
      </c>
      <c r="F298" t="inlineStr">
        <is>
          <t>'='Income statement'!O21</t>
        </is>
      </c>
      <c r="G298" t="n">
        <v>107382.0858874022</v>
      </c>
      <c r="H298" t="inlineStr"/>
      <c r="I298" t="inlineStr">
        <is>
          <t>#,##0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inlineStr">
        <is>
          <t>G000398</t>
        </is>
      </c>
      <c r="T298" t="inlineStr">
        <is>
          <t>Horizontal</t>
        </is>
      </c>
      <c r="U298" t="n">
        <v>12</v>
      </c>
      <c r="V298" t="b">
        <v>1</v>
      </c>
      <c r="W298" t="inlineStr">
        <is>
          <t>Valuation!C25:N25</t>
        </is>
      </c>
      <c r="X298">
        <f>'Income statement'!R[-4]C[1]</f>
        <v/>
      </c>
    </row>
    <row r="299">
      <c r="A299" t="inlineStr">
        <is>
          <t>Valuation</t>
        </is>
      </c>
      <c r="B299" t="inlineStr">
        <is>
          <t>P25</t>
        </is>
      </c>
      <c r="C299" t="n">
        <v>25</v>
      </c>
      <c r="D299" t="n">
        <v>16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Values must be of type &lt;class 'str'&gt;</t>
        </is>
      </c>
      <c r="N299" t="inlineStr">
        <is>
          <t>00000000</t>
        </is>
      </c>
      <c r="O299" t="n">
        <v/>
      </c>
      <c r="P299" t="n">
        <v/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Valuation</t>
        </is>
      </c>
      <c r="B300" t="inlineStr">
        <is>
          <t>Q25</t>
        </is>
      </c>
      <c r="C300" t="n">
        <v>25</v>
      </c>
      <c r="D300" t="n">
        <v>17</v>
      </c>
      <c r="E300" t="inlineStr">
        <is>
          <t>Calculation</t>
        </is>
      </c>
      <c r="F300" t="inlineStr">
        <is>
          <t>'=Q24+0.5%</t>
        </is>
      </c>
      <c r="G300" t="n">
        <v>0.122</v>
      </c>
      <c r="H300" t="inlineStr"/>
      <c r="I300" t="inlineStr">
        <is>
          <t>0.0%</t>
        </is>
      </c>
      <c r="J300" t="b">
        <v>1</v>
      </c>
      <c r="K300" t="b">
        <v>0</v>
      </c>
      <c r="L300" t="n">
        <v>11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inlineStr">
        <is>
          <t>center</t>
        </is>
      </c>
      <c r="P300" t="n">
        <v/>
      </c>
      <c r="R300" t="b">
        <v>1</v>
      </c>
      <c r="S300" t="inlineStr">
        <is>
          <t>G000399</t>
        </is>
      </c>
      <c r="T300" t="inlineStr">
        <is>
          <t>Vertical</t>
        </is>
      </c>
      <c r="U300" t="n">
        <v>12</v>
      </c>
      <c r="V300" t="b">
        <v>1</v>
      </c>
      <c r="W300" t="inlineStr">
        <is>
          <t>Valuation!Q25:Q36</t>
        </is>
      </c>
      <c r="X300">
        <f>R[-1]C[0]+0.5%</f>
        <v/>
      </c>
    </row>
    <row r="301">
      <c r="A301" t="inlineStr">
        <is>
          <t>Valuation</t>
        </is>
      </c>
      <c r="B301" t="inlineStr">
        <is>
          <t>R25</t>
        </is>
      </c>
      <c r="C301" t="n">
        <v>25</v>
      </c>
      <c r="D301" t="n">
        <v>18</v>
      </c>
      <c r="E301" t="inlineStr">
        <is>
          <t>Input</t>
        </is>
      </c>
      <c r="F301" t="n">
        <v/>
      </c>
      <c r="G301" t="n">
        <v>1513.010399909668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inlineStr">
        <is>
          <t>center</t>
        </is>
      </c>
      <c r="P301" t="n">
        <v/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Valuation</t>
        </is>
      </c>
      <c r="B302" t="inlineStr">
        <is>
          <t>S25</t>
        </is>
      </c>
      <c r="C302" t="n">
        <v>25</v>
      </c>
      <c r="D302" t="n">
        <v>19</v>
      </c>
      <c r="E302" t="inlineStr">
        <is>
          <t>Input</t>
        </is>
      </c>
      <c r="F302" t="n">
        <v/>
      </c>
      <c r="G302" t="n">
        <v>1555.247417114005</v>
      </c>
      <c r="H302" t="inlineStr"/>
      <c r="I302" t="inlineStr">
        <is>
          <t>0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inlineStr">
        <is>
          <t>center</t>
        </is>
      </c>
      <c r="P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Valuation</t>
        </is>
      </c>
      <c r="B303" t="inlineStr">
        <is>
          <t>T25</t>
        </is>
      </c>
      <c r="C303" t="n">
        <v>25</v>
      </c>
      <c r="D303" t="n">
        <v>20</v>
      </c>
      <c r="E303" t="inlineStr">
        <is>
          <t>Input</t>
        </is>
      </c>
      <c r="F303" t="n">
        <v/>
      </c>
      <c r="G303" t="n">
        <v>1602.075414449247</v>
      </c>
      <c r="H303" t="inlineStr"/>
      <c r="I303" t="inlineStr">
        <is>
          <t>0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center</t>
        </is>
      </c>
      <c r="P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Valuation</t>
        </is>
      </c>
      <c r="B304" t="inlineStr">
        <is>
          <t>U25</t>
        </is>
      </c>
      <c r="C304" t="n">
        <v>25</v>
      </c>
      <c r="D304" t="n">
        <v>21</v>
      </c>
      <c r="E304" t="inlineStr">
        <is>
          <t>Input</t>
        </is>
      </c>
      <c r="F304" t="n">
        <v/>
      </c>
      <c r="G304" t="n">
        <v>1654.285940213829</v>
      </c>
      <c r="H304" t="inlineStr"/>
      <c r="I304" t="inlineStr">
        <is>
          <t>0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inlineStr">
        <is>
          <t>center</t>
        </is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Valuation</t>
        </is>
      </c>
      <c r="B305" t="inlineStr">
        <is>
          <t>V25</t>
        </is>
      </c>
      <c r="C305" t="n">
        <v>25</v>
      </c>
      <c r="D305" t="n">
        <v>22</v>
      </c>
      <c r="E305" t="inlineStr">
        <is>
          <t>Input</t>
        </is>
      </c>
      <c r="F305" t="n">
        <v/>
      </c>
      <c r="G305" t="n">
        <v>1712.863603266774</v>
      </c>
      <c r="H305" t="inlineStr"/>
      <c r="I305" t="inlineStr">
        <is>
          <t>0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inlineStr">
        <is>
          <t>center</t>
        </is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</row>
    <row r="306">
      <c r="A306" t="inlineStr">
        <is>
          <t>Valuation</t>
        </is>
      </c>
      <c r="B306" t="inlineStr">
        <is>
          <t>W25</t>
        </is>
      </c>
      <c r="C306" t="n">
        <v>25</v>
      </c>
      <c r="D306" t="n">
        <v>23</v>
      </c>
      <c r="E306" t="inlineStr">
        <is>
          <t>Input</t>
        </is>
      </c>
      <c r="F306" t="n">
        <v/>
      </c>
      <c r="G306" t="n">
        <v>1779.048755027893</v>
      </c>
      <c r="H306" t="inlineStr"/>
      <c r="I306" t="inlineStr">
        <is>
          <t>0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inlineStr">
        <is>
          <t>center</t>
        </is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Valuation</t>
        </is>
      </c>
      <c r="B307" t="inlineStr">
        <is>
          <t>X25</t>
        </is>
      </c>
      <c r="C307" t="n">
        <v>25</v>
      </c>
      <c r="D307" t="n">
        <v>24</v>
      </c>
      <c r="E307" t="inlineStr">
        <is>
          <t>Input</t>
        </is>
      </c>
      <c r="F307" t="n">
        <v/>
      </c>
      <c r="G307" t="n">
        <v>1854.426288978057</v>
      </c>
      <c r="H307" t="inlineStr"/>
      <c r="I307" t="inlineStr">
        <is>
          <t>0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Valuation</t>
        </is>
      </c>
      <c r="B308" t="inlineStr">
        <is>
          <t>Y25</t>
        </is>
      </c>
      <c r="C308" t="n">
        <v>25</v>
      </c>
      <c r="D308" t="n">
        <v>25</v>
      </c>
      <c r="E308" t="inlineStr">
        <is>
          <t>Input</t>
        </is>
      </c>
      <c r="F308" t="n">
        <v/>
      </c>
      <c r="G308" t="n">
        <v>1941.054201129738</v>
      </c>
      <c r="H308" t="inlineStr"/>
      <c r="I308" t="inlineStr">
        <is>
          <t>0</t>
        </is>
      </c>
      <c r="J308" t="b">
        <v>0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Valuation</t>
        </is>
      </c>
      <c r="B309" t="inlineStr">
        <is>
          <t>Z25</t>
        </is>
      </c>
      <c r="C309" t="n">
        <v>25</v>
      </c>
      <c r="D309" t="n">
        <v>26</v>
      </c>
      <c r="E309" t="inlineStr">
        <is>
          <t>Input</t>
        </is>
      </c>
      <c r="F309" t="n">
        <v/>
      </c>
      <c r="G309" t="n">
        <v>2041.654357176851</v>
      </c>
      <c r="H309" t="inlineStr"/>
      <c r="I309" t="inlineStr">
        <is>
          <t>0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n">
        <v/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Valuation</t>
        </is>
      </c>
      <c r="B310" t="inlineStr">
        <is>
          <t>AA25</t>
        </is>
      </c>
      <c r="C310" t="n">
        <v>25</v>
      </c>
      <c r="D310" t="n">
        <v>27</v>
      </c>
      <c r="E310" t="inlineStr">
        <is>
          <t>Input</t>
        </is>
      </c>
      <c r="F310" t="n">
        <v/>
      </c>
      <c r="G310" t="n">
        <v>2159.903663407668</v>
      </c>
      <c r="H310" t="inlineStr"/>
      <c r="I310" t="inlineStr">
        <is>
          <t>0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n">
        <v/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Valuation</t>
        </is>
      </c>
      <c r="B311" t="inlineStr">
        <is>
          <t>AB25</t>
        </is>
      </c>
      <c r="C311" t="n">
        <v>25</v>
      </c>
      <c r="D311" t="n">
        <v>28</v>
      </c>
      <c r="E311" t="inlineStr">
        <is>
          <t>Input</t>
        </is>
      </c>
      <c r="F311" t="n">
        <v/>
      </c>
      <c r="G311" t="n">
        <v>2300.89322083672</v>
      </c>
      <c r="H311" t="inlineStr"/>
      <c r="I311" t="inlineStr">
        <is>
          <t>0</t>
        </is>
      </c>
      <c r="J311" t="b">
        <v>0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Valuation</t>
        </is>
      </c>
      <c r="B312" t="inlineStr">
        <is>
          <t>A26</t>
        </is>
      </c>
      <c r="C312" t="n">
        <v>26</v>
      </c>
      <c r="D312" t="n">
        <v>1</v>
      </c>
      <c r="E312" t="inlineStr">
        <is>
          <t>Input</t>
        </is>
      </c>
      <c r="F312" t="n">
        <v/>
      </c>
      <c r="G312" t="inlineStr">
        <is>
          <t>EBIT</t>
        </is>
      </c>
      <c r="H312" t="inlineStr"/>
      <c r="I312" t="inlineStr">
        <is>
          <t>0.0%</t>
        </is>
      </c>
      <c r="J312" t="b">
        <v>0</v>
      </c>
      <c r="K312" t="b">
        <v>0</v>
      </c>
      <c r="L312" t="n">
        <v>10</v>
      </c>
      <c r="M312" t="n">
        <v/>
      </c>
      <c r="N312" t="inlineStr">
        <is>
          <t>00000000</t>
        </is>
      </c>
      <c r="O312" t="inlineStr">
        <is>
          <t>left</t>
        </is>
      </c>
      <c r="P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Valuation</t>
        </is>
      </c>
      <c r="B313" t="inlineStr">
        <is>
          <t>C26</t>
        </is>
      </c>
      <c r="C313" t="n">
        <v>26</v>
      </c>
      <c r="D313" t="n">
        <v>3</v>
      </c>
      <c r="E313" t="inlineStr">
        <is>
          <t>Output</t>
        </is>
      </c>
      <c r="F313" t="inlineStr">
        <is>
          <t>'='Income statement'!D23</t>
        </is>
      </c>
      <c r="G313" t="n">
        <v>7597.410000000001</v>
      </c>
      <c r="H313" t="inlineStr"/>
      <c r="I313" t="inlineStr">
        <is>
          <t>#,##0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n">
        <v/>
      </c>
      <c r="P313" t="n">
        <v/>
      </c>
      <c r="R313" t="b">
        <v>1</v>
      </c>
      <c r="S313" t="inlineStr">
        <is>
          <t>G000400</t>
        </is>
      </c>
      <c r="T313" t="inlineStr">
        <is>
          <t>Horizontal</t>
        </is>
      </c>
      <c r="U313" t="n">
        <v>12</v>
      </c>
      <c r="V313" t="b">
        <v>1</v>
      </c>
      <c r="W313" t="inlineStr">
        <is>
          <t>Valuation!C26:N26</t>
        </is>
      </c>
      <c r="X313">
        <f>'Income statement'!R[-3]C[1]</f>
        <v/>
      </c>
    </row>
    <row r="314">
      <c r="A314" t="inlineStr">
        <is>
          <t>Valuation</t>
        </is>
      </c>
      <c r="B314" t="inlineStr">
        <is>
          <t>D26</t>
        </is>
      </c>
      <c r="C314" t="n">
        <v>26</v>
      </c>
      <c r="D314" t="n">
        <v>4</v>
      </c>
      <c r="E314" t="inlineStr">
        <is>
          <t>Output</t>
        </is>
      </c>
      <c r="F314" t="inlineStr">
        <is>
          <t>'='Income statement'!E23</t>
        </is>
      </c>
      <c r="G314" t="n">
        <v>1263.309999999992</v>
      </c>
      <c r="H314" t="inlineStr"/>
      <c r="I314" t="inlineStr">
        <is>
          <t>#,##0</t>
        </is>
      </c>
      <c r="J314" t="b">
        <v>0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00000000</t>
        </is>
      </c>
      <c r="O314" t="n">
        <v/>
      </c>
      <c r="P314" t="n">
        <v/>
      </c>
      <c r="R314" t="b">
        <v>1</v>
      </c>
      <c r="S314" t="inlineStr">
        <is>
          <t>G000400</t>
        </is>
      </c>
      <c r="T314" t="inlineStr">
        <is>
          <t>Horizontal</t>
        </is>
      </c>
      <c r="U314" t="n">
        <v>12</v>
      </c>
      <c r="V314" t="b">
        <v>1</v>
      </c>
      <c r="W314" t="inlineStr">
        <is>
          <t>Valuation!C26:N26</t>
        </is>
      </c>
      <c r="X314">
        <f>'Income statement'!R[-3]C[1]</f>
        <v/>
      </c>
    </row>
    <row r="315">
      <c r="A315" t="inlineStr">
        <is>
          <t>Valuation</t>
        </is>
      </c>
      <c r="B315" t="inlineStr">
        <is>
          <t>E26</t>
        </is>
      </c>
      <c r="C315" t="n">
        <v>26</v>
      </c>
      <c r="D315" t="n">
        <v>5</v>
      </c>
      <c r="E315" t="inlineStr">
        <is>
          <t>Output</t>
        </is>
      </c>
      <c r="F315" t="inlineStr">
        <is>
          <t>'='Income statement'!F23</t>
        </is>
      </c>
      <c r="G315" t="n">
        <v>10451.18999999999</v>
      </c>
      <c r="H315" t="inlineStr"/>
      <c r="I315" t="inlineStr">
        <is>
          <t>#,##0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inlineStr">
        <is>
          <t>G000400</t>
        </is>
      </c>
      <c r="T315" t="inlineStr">
        <is>
          <t>Horizontal</t>
        </is>
      </c>
      <c r="U315" t="n">
        <v>12</v>
      </c>
      <c r="V315" t="b">
        <v>1</v>
      </c>
      <c r="W315" t="inlineStr">
        <is>
          <t>Valuation!C26:N26</t>
        </is>
      </c>
      <c r="X315">
        <f>'Income statement'!R[-3]C[1]</f>
        <v/>
      </c>
    </row>
    <row r="316">
      <c r="A316" t="inlineStr">
        <is>
          <t>Valuation</t>
        </is>
      </c>
      <c r="B316" t="inlineStr">
        <is>
          <t>F26</t>
        </is>
      </c>
      <c r="C316" t="n">
        <v>26</v>
      </c>
      <c r="D316" t="n">
        <v>6</v>
      </c>
      <c r="E316" t="inlineStr">
        <is>
          <t>Output</t>
        </is>
      </c>
      <c r="F316" t="inlineStr">
        <is>
          <t>'='Income statement'!G23</t>
        </is>
      </c>
      <c r="G316" t="n">
        <v>5944.739999999993</v>
      </c>
      <c r="H316" t="inlineStr"/>
      <c r="I316" t="inlineStr">
        <is>
          <t>#,##0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inlineStr">
        <is>
          <t>G000400</t>
        </is>
      </c>
      <c r="T316" t="inlineStr">
        <is>
          <t>Horizontal</t>
        </is>
      </c>
      <c r="U316" t="n">
        <v>12</v>
      </c>
      <c r="V316" t="b">
        <v>1</v>
      </c>
      <c r="W316" t="inlineStr">
        <is>
          <t>Valuation!C26:N26</t>
        </is>
      </c>
      <c r="X316">
        <f>'Income statement'!R[-3]C[1]</f>
        <v/>
      </c>
    </row>
    <row r="317">
      <c r="A317" t="inlineStr">
        <is>
          <t>Valuation</t>
        </is>
      </c>
      <c r="B317" t="inlineStr">
        <is>
          <t>G26</t>
        </is>
      </c>
      <c r="C317" t="n">
        <v>26</v>
      </c>
      <c r="D317" t="n">
        <v>7</v>
      </c>
      <c r="E317" t="inlineStr">
        <is>
          <t>Output</t>
        </is>
      </c>
      <c r="F317" t="inlineStr">
        <is>
          <t>'='Income statement'!H23</t>
        </is>
      </c>
      <c r="G317" t="n">
        <v>19620.54999999996</v>
      </c>
      <c r="H317" t="inlineStr"/>
      <c r="I317" t="inlineStr">
        <is>
          <t>#,##0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G000400</t>
        </is>
      </c>
      <c r="T317" t="inlineStr">
        <is>
          <t>Horizontal</t>
        </is>
      </c>
      <c r="U317" t="n">
        <v>12</v>
      </c>
      <c r="V317" t="b">
        <v>1</v>
      </c>
      <c r="W317" t="inlineStr">
        <is>
          <t>Valuation!C26:N26</t>
        </is>
      </c>
      <c r="X317">
        <f>'Income statement'!R[-3]C[1]</f>
        <v/>
      </c>
    </row>
    <row r="318">
      <c r="A318" t="inlineStr">
        <is>
          <t>Valuation</t>
        </is>
      </c>
      <c r="B318" t="inlineStr">
        <is>
          <t>H26</t>
        </is>
      </c>
      <c r="C318" t="n">
        <v>26</v>
      </c>
      <c r="D318" t="n">
        <v>8</v>
      </c>
      <c r="E318" t="inlineStr">
        <is>
          <t>Output</t>
        </is>
      </c>
      <c r="F318" t="inlineStr">
        <is>
          <t>'='Income statement'!I23</t>
        </is>
      </c>
      <c r="G318" t="n">
        <v>29638.02999999999</v>
      </c>
      <c r="H318" t="inlineStr"/>
      <c r="I318" t="inlineStr">
        <is>
          <t>#,##0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G000400</t>
        </is>
      </c>
      <c r="T318" t="inlineStr">
        <is>
          <t>Horizontal</t>
        </is>
      </c>
      <c r="U318" t="n">
        <v>12</v>
      </c>
      <c r="V318" t="b">
        <v>1</v>
      </c>
      <c r="W318" t="inlineStr">
        <is>
          <t>Valuation!C26:N26</t>
        </is>
      </c>
      <c r="X318">
        <f>'Income statement'!R[-3]C[1]</f>
        <v/>
      </c>
    </row>
    <row r="319">
      <c r="A319" t="inlineStr">
        <is>
          <t>Valuation</t>
        </is>
      </c>
      <c r="B319" t="inlineStr">
        <is>
          <t>I26</t>
        </is>
      </c>
      <c r="C319" t="n">
        <v>26</v>
      </c>
      <c r="D319" t="n">
        <v>9</v>
      </c>
      <c r="E319" t="inlineStr">
        <is>
          <t>Output</t>
        </is>
      </c>
      <c r="F319" t="inlineStr">
        <is>
          <t>'='Income statement'!J23</t>
        </is>
      </c>
      <c r="G319" t="n">
        <v>24750.79000000001</v>
      </c>
      <c r="H319" t="inlineStr"/>
      <c r="I319" t="inlineStr">
        <is>
          <t>#,##0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G000400</t>
        </is>
      </c>
      <c r="T319" t="inlineStr">
        <is>
          <t>Horizontal</t>
        </is>
      </c>
      <c r="U319" t="n">
        <v>12</v>
      </c>
      <c r="V319" t="b">
        <v>1</v>
      </c>
      <c r="W319" t="inlineStr">
        <is>
          <t>Valuation!C26:N26</t>
        </is>
      </c>
      <c r="X319">
        <f>'Income statement'!R[-3]C[1]</f>
        <v/>
      </c>
    </row>
    <row r="320">
      <c r="A320" t="inlineStr">
        <is>
          <t>Valuation</t>
        </is>
      </c>
      <c r="B320" t="inlineStr">
        <is>
          <t>J26</t>
        </is>
      </c>
      <c r="C320" t="n">
        <v>26</v>
      </c>
      <c r="D320" t="n">
        <v>10</v>
      </c>
      <c r="E320" t="inlineStr">
        <is>
          <t>Output</t>
        </is>
      </c>
      <c r="F320" t="inlineStr">
        <is>
          <t>'='Income statement'!K23</t>
        </is>
      </c>
      <c r="G320" t="n">
        <v>50838.61758391167</v>
      </c>
      <c r="H320" t="inlineStr"/>
      <c r="I320" t="inlineStr">
        <is>
          <t>#,##0</t>
        </is>
      </c>
      <c r="J320" t="b">
        <v>0</v>
      </c>
      <c r="K320" t="b">
        <v>0</v>
      </c>
      <c r="L320" t="n">
        <v>11</v>
      </c>
      <c r="M320" t="inlineStr">
        <is>
          <t>Values must be of type &lt;class 'str'&gt;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inlineStr">
        <is>
          <t>G000400</t>
        </is>
      </c>
      <c r="T320" t="inlineStr">
        <is>
          <t>Horizontal</t>
        </is>
      </c>
      <c r="U320" t="n">
        <v>12</v>
      </c>
      <c r="V320" t="b">
        <v>1</v>
      </c>
      <c r="W320" t="inlineStr">
        <is>
          <t>Valuation!C26:N26</t>
        </is>
      </c>
      <c r="X320">
        <f>'Income statement'!R[-3]C[1]</f>
        <v/>
      </c>
    </row>
    <row r="321">
      <c r="A321" t="inlineStr">
        <is>
          <t>Valuation</t>
        </is>
      </c>
      <c r="B321" t="inlineStr">
        <is>
          <t>K26</t>
        </is>
      </c>
      <c r="C321" t="n">
        <v>26</v>
      </c>
      <c r="D321" t="n">
        <v>11</v>
      </c>
      <c r="E321" t="inlineStr">
        <is>
          <t>Output</t>
        </is>
      </c>
      <c r="F321" t="inlineStr">
        <is>
          <t>'='Income statement'!L23</t>
        </is>
      </c>
      <c r="G321" t="n">
        <v>57301.40882989133</v>
      </c>
      <c r="H321" t="inlineStr"/>
      <c r="I321" t="inlineStr">
        <is>
          <t>#,##0</t>
        </is>
      </c>
      <c r="J321" t="b">
        <v>0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inlineStr">
        <is>
          <t>G000400</t>
        </is>
      </c>
      <c r="T321" t="inlineStr">
        <is>
          <t>Horizontal</t>
        </is>
      </c>
      <c r="U321" t="n">
        <v>12</v>
      </c>
      <c r="V321" t="b">
        <v>1</v>
      </c>
      <c r="W321" t="inlineStr">
        <is>
          <t>Valuation!C26:N26</t>
        </is>
      </c>
      <c r="X321">
        <f>'Income statement'!R[-3]C[1]</f>
        <v/>
      </c>
    </row>
    <row r="322">
      <c r="A322" t="inlineStr">
        <is>
          <t>Valuation</t>
        </is>
      </c>
      <c r="B322" t="inlineStr">
        <is>
          <t>L26</t>
        </is>
      </c>
      <c r="C322" t="n">
        <v>26</v>
      </c>
      <c r="D322" t="n">
        <v>12</v>
      </c>
      <c r="E322" t="inlineStr">
        <is>
          <t>Output</t>
        </is>
      </c>
      <c r="F322" t="inlineStr">
        <is>
          <t>'='Income statement'!M23</t>
        </is>
      </c>
      <c r="G322" t="n">
        <v>70427.20590214596</v>
      </c>
      <c r="H322" t="inlineStr"/>
      <c r="I322" t="inlineStr">
        <is>
          <t>#,##0</t>
        </is>
      </c>
      <c r="J322" t="b">
        <v>0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inlineStr">
        <is>
          <t>G000400</t>
        </is>
      </c>
      <c r="T322" t="inlineStr">
        <is>
          <t>Horizontal</t>
        </is>
      </c>
      <c r="U322" t="n">
        <v>12</v>
      </c>
      <c r="V322" t="b">
        <v>1</v>
      </c>
      <c r="W322" t="inlineStr">
        <is>
          <t>Valuation!C26:N26</t>
        </is>
      </c>
      <c r="X322">
        <f>'Income statement'!R[-3]C[1]</f>
        <v/>
      </c>
    </row>
    <row r="323">
      <c r="A323" t="inlineStr">
        <is>
          <t>Valuation</t>
        </is>
      </c>
      <c r="B323" t="inlineStr">
        <is>
          <t>M26</t>
        </is>
      </c>
      <c r="C323" t="n">
        <v>26</v>
      </c>
      <c r="D323" t="n">
        <v>13</v>
      </c>
      <c r="E323" t="inlineStr">
        <is>
          <t>Output</t>
        </is>
      </c>
      <c r="F323" t="inlineStr">
        <is>
          <t>'='Income statement'!N23</t>
        </is>
      </c>
      <c r="G323" t="n">
        <v>84032.01918469915</v>
      </c>
      <c r="H323" t="inlineStr"/>
      <c r="I323" t="inlineStr">
        <is>
          <t>#,##0</t>
        </is>
      </c>
      <c r="J323" t="b">
        <v>0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inlineStr">
        <is>
          <t>G000400</t>
        </is>
      </c>
      <c r="T323" t="inlineStr">
        <is>
          <t>Horizontal</t>
        </is>
      </c>
      <c r="U323" t="n">
        <v>12</v>
      </c>
      <c r="V323" t="b">
        <v>1</v>
      </c>
      <c r="W323" t="inlineStr">
        <is>
          <t>Valuation!C26:N26</t>
        </is>
      </c>
      <c r="X323">
        <f>'Income statement'!R[-3]C[1]</f>
        <v/>
      </c>
    </row>
    <row r="324">
      <c r="A324" t="inlineStr">
        <is>
          <t>Valuation</t>
        </is>
      </c>
      <c r="B324" t="inlineStr">
        <is>
          <t>N26</t>
        </is>
      </c>
      <c r="C324" t="n">
        <v>26</v>
      </c>
      <c r="D324" t="n">
        <v>14</v>
      </c>
      <c r="E324" t="inlineStr">
        <is>
          <t>Output</t>
        </is>
      </c>
      <c r="F324" t="inlineStr">
        <is>
          <t>'='Income statement'!O23</t>
        </is>
      </c>
      <c r="G324" t="n">
        <v>100951.0056683806</v>
      </c>
      <c r="H324" t="inlineStr"/>
      <c r="I324" t="inlineStr">
        <is>
          <t>#,##0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G000400</t>
        </is>
      </c>
      <c r="T324" t="inlineStr">
        <is>
          <t>Horizontal</t>
        </is>
      </c>
      <c r="U324" t="n">
        <v>12</v>
      </c>
      <c r="V324" t="b">
        <v>1</v>
      </c>
      <c r="W324" t="inlineStr">
        <is>
          <t>Valuation!C26:N26</t>
        </is>
      </c>
      <c r="X324">
        <f>'Income statement'!R[-3]C[1]</f>
        <v/>
      </c>
    </row>
    <row r="325">
      <c r="A325" t="inlineStr">
        <is>
          <t>Valuation</t>
        </is>
      </c>
      <c r="B325" t="inlineStr">
        <is>
          <t>P26</t>
        </is>
      </c>
      <c r="C325" t="n">
        <v>26</v>
      </c>
      <c r="D325" t="n">
        <v>16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n">
        <v/>
      </c>
      <c r="P325" t="n">
        <v/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Valuation</t>
        </is>
      </c>
      <c r="B326" t="inlineStr">
        <is>
          <t>Q26</t>
        </is>
      </c>
      <c r="C326" t="n">
        <v>26</v>
      </c>
      <c r="D326" t="n">
        <v>17</v>
      </c>
      <c r="E326" t="inlineStr">
        <is>
          <t>Calculation</t>
        </is>
      </c>
      <c r="F326" t="inlineStr">
        <is>
          <t>'=Q25+0.5%</t>
        </is>
      </c>
      <c r="G326" t="n">
        <v>0.127</v>
      </c>
      <c r="H326" t="inlineStr"/>
      <c r="I326" t="inlineStr">
        <is>
          <t>0.0%</t>
        </is>
      </c>
      <c r="J326" t="b">
        <v>1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inlineStr">
        <is>
          <t>center</t>
        </is>
      </c>
      <c r="P326" t="n">
        <v/>
      </c>
      <c r="R326" t="b">
        <v>1</v>
      </c>
      <c r="S326" t="inlineStr">
        <is>
          <t>G000399</t>
        </is>
      </c>
      <c r="T326" t="inlineStr">
        <is>
          <t>Vertical</t>
        </is>
      </c>
      <c r="U326" t="n">
        <v>12</v>
      </c>
      <c r="V326" t="b">
        <v>1</v>
      </c>
      <c r="W326" t="inlineStr">
        <is>
          <t>Valuation!Q25:Q36</t>
        </is>
      </c>
      <c r="X326">
        <f>R[-1]C[0]+0.5%</f>
        <v/>
      </c>
    </row>
    <row r="327">
      <c r="A327" t="inlineStr">
        <is>
          <t>Valuation</t>
        </is>
      </c>
      <c r="B327" t="inlineStr">
        <is>
          <t>R26</t>
        </is>
      </c>
      <c r="C327" t="n">
        <v>26</v>
      </c>
      <c r="D327" t="n">
        <v>18</v>
      </c>
      <c r="E327" t="inlineStr">
        <is>
          <t>Input</t>
        </is>
      </c>
      <c r="F327" t="n">
        <v/>
      </c>
      <c r="G327" t="n">
        <v>1439.572456164146</v>
      </c>
      <c r="H327" t="inlineStr"/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Values must be of type &lt;class 'str'&gt;</t>
        </is>
      </c>
      <c r="O327" t="inlineStr">
        <is>
          <t>center</t>
        </is>
      </c>
      <c r="P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Valuation</t>
        </is>
      </c>
      <c r="B328" t="inlineStr">
        <is>
          <t>S26</t>
        </is>
      </c>
      <c r="C328" t="n">
        <v>26</v>
      </c>
      <c r="D328" t="n">
        <v>19</v>
      </c>
      <c r="E328" t="inlineStr">
        <is>
          <t>Input</t>
        </is>
      </c>
      <c r="F328" t="n">
        <v/>
      </c>
      <c r="G328" t="n">
        <v>1476.360073897014</v>
      </c>
      <c r="H328" t="inlineStr"/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inlineStr">
        <is>
          <t>center</t>
        </is>
      </c>
      <c r="P328" t="n">
        <v/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Valuation</t>
        </is>
      </c>
      <c r="B329" t="inlineStr">
        <is>
          <t>T26</t>
        </is>
      </c>
      <c r="C329" t="n">
        <v>26</v>
      </c>
      <c r="D329" t="n">
        <v>20</v>
      </c>
      <c r="E329" t="inlineStr">
        <is>
          <t>Input</t>
        </is>
      </c>
      <c r="F329" t="n">
        <v/>
      </c>
      <c r="G329" t="n">
        <v>1516.940229540486</v>
      </c>
      <c r="H329" t="inlineStr"/>
      <c r="I329" t="inlineStr">
        <is>
          <t>0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Values must be of type &lt;class 'str'&gt;</t>
        </is>
      </c>
      <c r="O329" t="inlineStr">
        <is>
          <t>center</t>
        </is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Valuation</t>
        </is>
      </c>
      <c r="B330" t="inlineStr">
        <is>
          <t>U26</t>
        </is>
      </c>
      <c r="C330" t="n">
        <v>26</v>
      </c>
      <c r="D330" t="n">
        <v>21</v>
      </c>
      <c r="E330" t="inlineStr">
        <is>
          <t>Input</t>
        </is>
      </c>
      <c r="F330" t="n">
        <v/>
      </c>
      <c r="G330" t="n">
        <v>1561.931271666945</v>
      </c>
      <c r="H330" t="inlineStr"/>
      <c r="I330" t="inlineStr">
        <is>
          <t>0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Values must be of type &lt;class 'str'&gt;</t>
        </is>
      </c>
      <c r="O330" t="inlineStr">
        <is>
          <t>center</t>
        </is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Valuation</t>
        </is>
      </c>
      <c r="B331" t="inlineStr">
        <is>
          <t>V26</t>
        </is>
      </c>
      <c r="C331" t="n">
        <v>26</v>
      </c>
      <c r="D331" t="n">
        <v>22</v>
      </c>
      <c r="E331" t="inlineStr">
        <is>
          <t>Input</t>
        </is>
      </c>
      <c r="F331" t="n">
        <v/>
      </c>
      <c r="G331" t="n">
        <v>1612.09369794587</v>
      </c>
      <c r="H331" t="inlineStr"/>
      <c r="I331" t="inlineStr">
        <is>
          <t>0</t>
        </is>
      </c>
      <c r="J331" t="b">
        <v>0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Values must be of type &lt;class 'str'&gt;</t>
        </is>
      </c>
      <c r="O331" t="inlineStr">
        <is>
          <t>center</t>
        </is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</row>
    <row r="332">
      <c r="A332" t="inlineStr">
        <is>
          <t>Valuation</t>
        </is>
      </c>
      <c r="B332" t="inlineStr">
        <is>
          <t>W26</t>
        </is>
      </c>
      <c r="C332" t="n">
        <v>26</v>
      </c>
      <c r="D332" t="n">
        <v>23</v>
      </c>
      <c r="E332" t="inlineStr">
        <is>
          <t>Input</t>
        </is>
      </c>
      <c r="F332" t="n">
        <v/>
      </c>
      <c r="G332" t="n">
        <v>1668.373493283201</v>
      </c>
      <c r="H332" t="inlineStr"/>
      <c r="I332" t="inlineStr">
        <is>
          <t>0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center</t>
        </is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Valuation</t>
        </is>
      </c>
      <c r="B333" t="inlineStr">
        <is>
          <t>X26</t>
        </is>
      </c>
      <c r="C333" t="n">
        <v>26</v>
      </c>
      <c r="D333" t="n">
        <v>24</v>
      </c>
      <c r="E333" t="inlineStr">
        <is>
          <t>Input</t>
        </is>
      </c>
      <c r="F333" t="n">
        <v/>
      </c>
      <c r="G333" t="n">
        <v>1731.962352950055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inlineStr">
        <is>
          <t>center</t>
        </is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Valuation</t>
        </is>
      </c>
      <c r="B334" t="inlineStr">
        <is>
          <t>Y26</t>
        </is>
      </c>
      <c r="C334" t="n">
        <v>26</v>
      </c>
      <c r="D334" t="n">
        <v>25</v>
      </c>
      <c r="E334" t="inlineStr">
        <is>
          <t>Input</t>
        </is>
      </c>
      <c r="F334" t="n">
        <v/>
      </c>
      <c r="G334" t="n">
        <v>1804.382998681749</v>
      </c>
      <c r="H334" t="inlineStr"/>
      <c r="I334" t="inlineStr">
        <is>
          <t>0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inlineStr">
        <is>
          <t>center</t>
        </is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Valuation</t>
        </is>
      </c>
      <c r="B335" t="inlineStr">
        <is>
          <t>Z26</t>
        </is>
      </c>
      <c r="C335" t="n">
        <v>26</v>
      </c>
      <c r="D335" t="n">
        <v>26</v>
      </c>
      <c r="E335" t="inlineStr">
        <is>
          <t>Input</t>
        </is>
      </c>
      <c r="F335" t="n">
        <v/>
      </c>
      <c r="G335" t="n">
        <v>1887.61269601519</v>
      </c>
      <c r="H335" t="inlineStr"/>
      <c r="I335" t="inlineStr">
        <is>
          <t>0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center</t>
        </is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</row>
    <row r="336">
      <c r="A336" t="inlineStr">
        <is>
          <t>Valuation</t>
        </is>
      </c>
      <c r="B336" t="inlineStr">
        <is>
          <t>AA26</t>
        </is>
      </c>
      <c r="C336" t="n">
        <v>26</v>
      </c>
      <c r="D336" t="n">
        <v>27</v>
      </c>
      <c r="E336" t="inlineStr">
        <is>
          <t>Input</t>
        </is>
      </c>
      <c r="F336" t="n">
        <v/>
      </c>
      <c r="G336" t="n">
        <v>1984.26653807983</v>
      </c>
      <c r="H336" t="inlineStr"/>
      <c r="I336" t="inlineStr">
        <is>
          <t>0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inlineStr">
        <is>
          <t>center</t>
        </is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</row>
    <row r="337">
      <c r="A337" t="inlineStr">
        <is>
          <t>Valuation</t>
        </is>
      </c>
      <c r="B337" t="inlineStr">
        <is>
          <t>AB26</t>
        </is>
      </c>
      <c r="C337" t="n">
        <v>26</v>
      </c>
      <c r="D337" t="n">
        <v>28</v>
      </c>
      <c r="E337" t="inlineStr">
        <is>
          <t>Input</t>
        </is>
      </c>
      <c r="F337" t="n">
        <v/>
      </c>
      <c r="G337" t="n">
        <v>2097.877194541776</v>
      </c>
      <c r="H337" t="inlineStr"/>
      <c r="I337" t="inlineStr">
        <is>
          <t>0</t>
        </is>
      </c>
      <c r="J337" t="b">
        <v>0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Values must be of type &lt;class 'str'&gt;</t>
        </is>
      </c>
      <c r="O337" t="inlineStr">
        <is>
          <t>center</t>
        </is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</row>
    <row r="338">
      <c r="A338" t="inlineStr">
        <is>
          <t>Valuation</t>
        </is>
      </c>
      <c r="B338" t="inlineStr">
        <is>
          <t>A27</t>
        </is>
      </c>
      <c r="C338" t="n">
        <v>27</v>
      </c>
      <c r="D338" t="n">
        <v>1</v>
      </c>
      <c r="E338" t="inlineStr">
        <is>
          <t>Input</t>
        </is>
      </c>
      <c r="F338" t="n">
        <v/>
      </c>
      <c r="G338" t="inlineStr">
        <is>
          <t>Tax Expense</t>
        </is>
      </c>
      <c r="H338" t="inlineStr"/>
      <c r="I338" t="inlineStr">
        <is>
          <t>0.0%</t>
        </is>
      </c>
      <c r="J338" t="b">
        <v>0</v>
      </c>
      <c r="K338" t="b">
        <v>0</v>
      </c>
      <c r="L338" t="n">
        <v>10</v>
      </c>
      <c r="M338" t="n">
        <v/>
      </c>
      <c r="N338" t="inlineStr">
        <is>
          <t>00000000</t>
        </is>
      </c>
      <c r="O338" t="inlineStr">
        <is>
          <t>left</t>
        </is>
      </c>
      <c r="P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Valuation</t>
        </is>
      </c>
      <c r="B339" t="inlineStr">
        <is>
          <t>C27</t>
        </is>
      </c>
      <c r="C339" t="n">
        <v>27</v>
      </c>
      <c r="D339" t="n">
        <v>3</v>
      </c>
      <c r="E339" t="inlineStr">
        <is>
          <t>Output</t>
        </is>
      </c>
      <c r="F339" t="inlineStr">
        <is>
          <t>'='Income statement'!D26</t>
        </is>
      </c>
      <c r="G339" t="n">
        <v>-1352.85</v>
      </c>
      <c r="H339" t="inlineStr"/>
      <c r="I339" t="inlineStr">
        <is>
          <t>#,##0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G000401</t>
        </is>
      </c>
      <c r="T339" t="inlineStr">
        <is>
          <t>Horizontal</t>
        </is>
      </c>
      <c r="U339" t="n">
        <v>12</v>
      </c>
      <c r="V339" t="b">
        <v>1</v>
      </c>
      <c r="W339" t="inlineStr">
        <is>
          <t>Valuation!C27:N27</t>
        </is>
      </c>
      <c r="X339">
        <f>'Income statement'!R[-1]C[1]</f>
        <v/>
      </c>
    </row>
    <row r="340">
      <c r="A340" t="inlineStr">
        <is>
          <t>Valuation</t>
        </is>
      </c>
      <c r="B340" t="inlineStr">
        <is>
          <t>D27</t>
        </is>
      </c>
      <c r="C340" t="n">
        <v>27</v>
      </c>
      <c r="D340" t="n">
        <v>4</v>
      </c>
      <c r="E340" t="inlineStr">
        <is>
          <t>Output</t>
        </is>
      </c>
      <c r="F340" t="inlineStr">
        <is>
          <t>'='Income statement'!E26</t>
        </is>
      </c>
      <c r="G340" t="n">
        <v>656.9</v>
      </c>
      <c r="H340" t="inlineStr"/>
      <c r="I340" t="inlineStr">
        <is>
          <t>#,##0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G000401</t>
        </is>
      </c>
      <c r="T340" t="inlineStr">
        <is>
          <t>Horizontal</t>
        </is>
      </c>
      <c r="U340" t="n">
        <v>12</v>
      </c>
      <c r="V340" t="b">
        <v>1</v>
      </c>
      <c r="W340" t="inlineStr">
        <is>
          <t>Valuation!C27:N27</t>
        </is>
      </c>
      <c r="X340">
        <f>'Income statement'!R[-1]C[1]</f>
        <v/>
      </c>
    </row>
    <row r="341">
      <c r="A341" t="inlineStr">
        <is>
          <t>Valuation</t>
        </is>
      </c>
      <c r="B341" t="inlineStr">
        <is>
          <t>E27</t>
        </is>
      </c>
      <c r="C341" t="n">
        <v>27</v>
      </c>
      <c r="D341" t="n">
        <v>5</v>
      </c>
      <c r="E341" t="inlineStr">
        <is>
          <t>Output</t>
        </is>
      </c>
      <c r="F341" t="inlineStr">
        <is>
          <t>'='Income statement'!F26</t>
        </is>
      </c>
      <c r="G341" t="n">
        <v>-2039.61</v>
      </c>
      <c r="H341" t="inlineStr"/>
      <c r="I341" t="inlineStr">
        <is>
          <t>#,##0</t>
        </is>
      </c>
      <c r="J341" t="b">
        <v>0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G000401</t>
        </is>
      </c>
      <c r="T341" t="inlineStr">
        <is>
          <t>Horizontal</t>
        </is>
      </c>
      <c r="U341" t="n">
        <v>12</v>
      </c>
      <c r="V341" t="b">
        <v>1</v>
      </c>
      <c r="W341" t="inlineStr">
        <is>
          <t>Valuation!C27:N27</t>
        </is>
      </c>
      <c r="X341">
        <f>'Income statement'!R[-1]C[1]</f>
        <v/>
      </c>
    </row>
    <row r="342">
      <c r="A342" t="inlineStr">
        <is>
          <t>Valuation</t>
        </is>
      </c>
      <c r="B342" t="inlineStr">
        <is>
          <t>F27</t>
        </is>
      </c>
      <c r="C342" t="n">
        <v>27</v>
      </c>
      <c r="D342" t="n">
        <v>6</v>
      </c>
      <c r="E342" t="inlineStr">
        <is>
          <t>Output</t>
        </is>
      </c>
      <c r="F342" t="inlineStr">
        <is>
          <t>'='Income statement'!G26</t>
        </is>
      </c>
      <c r="G342" t="n">
        <v>14.3</v>
      </c>
      <c r="H342" t="inlineStr"/>
      <c r="I342" t="inlineStr">
        <is>
          <t>#,##0</t>
        </is>
      </c>
      <c r="J342" t="b">
        <v>0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G000401</t>
        </is>
      </c>
      <c r="T342" t="inlineStr">
        <is>
          <t>Horizontal</t>
        </is>
      </c>
      <c r="U342" t="n">
        <v>12</v>
      </c>
      <c r="V342" t="b">
        <v>1</v>
      </c>
      <c r="W342" t="inlineStr">
        <is>
          <t>Valuation!C27:N27</t>
        </is>
      </c>
      <c r="X342">
        <f>'Income statement'!R[-1]C[1]</f>
        <v/>
      </c>
    </row>
    <row r="343">
      <c r="A343" t="inlineStr">
        <is>
          <t>Valuation</t>
        </is>
      </c>
      <c r="B343" t="inlineStr">
        <is>
          <t>G27</t>
        </is>
      </c>
      <c r="C343" t="n">
        <v>27</v>
      </c>
      <c r="D343" t="n">
        <v>7</v>
      </c>
      <c r="E343" t="inlineStr">
        <is>
          <t>Output</t>
        </is>
      </c>
      <c r="F343" t="inlineStr">
        <is>
          <t>'='Income statement'!H26</t>
        </is>
      </c>
      <c r="G343" t="n">
        <v>-5423.51</v>
      </c>
      <c r="H343" t="inlineStr"/>
      <c r="I343" t="inlineStr">
        <is>
          <t>#,##0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inlineStr">
        <is>
          <t>G000401</t>
        </is>
      </c>
      <c r="T343" t="inlineStr">
        <is>
          <t>Horizontal</t>
        </is>
      </c>
      <c r="U343" t="n">
        <v>12</v>
      </c>
      <c r="V343" t="b">
        <v>1</v>
      </c>
      <c r="W343" t="inlineStr">
        <is>
          <t>Valuation!C27:N27</t>
        </is>
      </c>
      <c r="X343">
        <f>'Income statement'!R[-1]C[1]</f>
        <v/>
      </c>
    </row>
    <row r="344">
      <c r="A344" t="inlineStr">
        <is>
          <t>Valuation</t>
        </is>
      </c>
      <c r="B344" t="inlineStr">
        <is>
          <t>H27</t>
        </is>
      </c>
      <c r="C344" t="n">
        <v>27</v>
      </c>
      <c r="D344" t="n">
        <v>8</v>
      </c>
      <c r="E344" t="inlineStr">
        <is>
          <t>Output</t>
        </is>
      </c>
      <c r="F344" t="inlineStr">
        <is>
          <t>'='Income statement'!I26</t>
        </is>
      </c>
      <c r="G344" t="n">
        <v>-6215.56</v>
      </c>
      <c r="H344" t="inlineStr"/>
      <c r="I344" t="inlineStr">
        <is>
          <t>#,##0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inlineStr">
        <is>
          <t>G000401</t>
        </is>
      </c>
      <c r="T344" t="inlineStr">
        <is>
          <t>Horizontal</t>
        </is>
      </c>
      <c r="U344" t="n">
        <v>12</v>
      </c>
      <c r="V344" t="b">
        <v>1</v>
      </c>
      <c r="W344" t="inlineStr">
        <is>
          <t>Valuation!C27:N27</t>
        </is>
      </c>
      <c r="X344">
        <f>'Income statement'!R[-1]C[1]</f>
        <v/>
      </c>
    </row>
    <row r="345">
      <c r="A345" t="inlineStr">
        <is>
          <t>Valuation</t>
        </is>
      </c>
      <c r="B345" t="inlineStr">
        <is>
          <t>I27</t>
        </is>
      </c>
      <c r="C345" t="n">
        <v>27</v>
      </c>
      <c r="D345" t="n">
        <v>9</v>
      </c>
      <c r="E345" t="inlineStr">
        <is>
          <t>Output</t>
        </is>
      </c>
      <c r="F345" t="inlineStr">
        <is>
          <t>'='Income statement'!J26</t>
        </is>
      </c>
      <c r="G345" t="n">
        <v>-4851.52</v>
      </c>
      <c r="H345" t="inlineStr"/>
      <c r="I345" t="inlineStr">
        <is>
          <t>#,##0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inlineStr">
        <is>
          <t>G000401</t>
        </is>
      </c>
      <c r="T345" t="inlineStr">
        <is>
          <t>Horizontal</t>
        </is>
      </c>
      <c r="U345" t="n">
        <v>12</v>
      </c>
      <c r="V345" t="b">
        <v>1</v>
      </c>
      <c r="W345" t="inlineStr">
        <is>
          <t>Valuation!C27:N27</t>
        </is>
      </c>
      <c r="X345">
        <f>'Income statement'!R[-1]C[1]</f>
        <v/>
      </c>
    </row>
    <row r="346">
      <c r="A346" t="inlineStr">
        <is>
          <t>Valuation</t>
        </is>
      </c>
      <c r="B346" t="inlineStr">
        <is>
          <t>J27</t>
        </is>
      </c>
      <c r="C346" t="n">
        <v>27</v>
      </c>
      <c r="D346" t="n">
        <v>10</v>
      </c>
      <c r="E346" t="inlineStr">
        <is>
          <t>Output</t>
        </is>
      </c>
      <c r="F346" t="inlineStr">
        <is>
          <t>'='Income statement'!K26</t>
        </is>
      </c>
      <c r="G346" t="n">
        <v>-10601.93731179101</v>
      </c>
      <c r="H346" t="inlineStr"/>
      <c r="I346" t="inlineStr">
        <is>
          <t>#,##0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G000401</t>
        </is>
      </c>
      <c r="T346" t="inlineStr">
        <is>
          <t>Horizontal</t>
        </is>
      </c>
      <c r="U346" t="n">
        <v>12</v>
      </c>
      <c r="V346" t="b">
        <v>1</v>
      </c>
      <c r="W346" t="inlineStr">
        <is>
          <t>Valuation!C27:N27</t>
        </is>
      </c>
      <c r="X346">
        <f>'Income statement'!R[-1]C[1]</f>
        <v/>
      </c>
    </row>
    <row r="347">
      <c r="A347" t="inlineStr">
        <is>
          <t>Valuation</t>
        </is>
      </c>
      <c r="B347" t="inlineStr">
        <is>
          <t>K27</t>
        </is>
      </c>
      <c r="C347" t="n">
        <v>27</v>
      </c>
      <c r="D347" t="n">
        <v>11</v>
      </c>
      <c r="E347" t="inlineStr">
        <is>
          <t>Output</t>
        </is>
      </c>
      <c r="F347" t="inlineStr">
        <is>
          <t>'='Income statement'!L26</t>
        </is>
      </c>
      <c r="G347" t="n">
        <v>-11865.80673230163</v>
      </c>
      <c r="H347" t="inlineStr"/>
      <c r="I347" t="inlineStr">
        <is>
          <t>#,##0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G000401</t>
        </is>
      </c>
      <c r="T347" t="inlineStr">
        <is>
          <t>Horizontal</t>
        </is>
      </c>
      <c r="U347" t="n">
        <v>12</v>
      </c>
      <c r="V347" t="b">
        <v>1</v>
      </c>
      <c r="W347" t="inlineStr">
        <is>
          <t>Valuation!C27:N27</t>
        </is>
      </c>
      <c r="X347">
        <f>'Income statement'!R[-1]C[1]</f>
        <v/>
      </c>
    </row>
    <row r="348">
      <c r="A348" t="inlineStr">
        <is>
          <t>Valuation</t>
        </is>
      </c>
      <c r="B348" t="inlineStr">
        <is>
          <t>L27</t>
        </is>
      </c>
      <c r="C348" t="n">
        <v>27</v>
      </c>
      <c r="D348" t="n">
        <v>12</v>
      </c>
      <c r="E348" t="inlineStr">
        <is>
          <t>Output</t>
        </is>
      </c>
      <c r="F348" t="inlineStr">
        <is>
          <t>'='Income statement'!M26</t>
        </is>
      </c>
      <c r="G348" t="n">
        <v>-14595.52570658638</v>
      </c>
      <c r="H348" t="inlineStr"/>
      <c r="I348" t="inlineStr">
        <is>
          <t>#,##0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G000401</t>
        </is>
      </c>
      <c r="T348" t="inlineStr">
        <is>
          <t>Horizontal</t>
        </is>
      </c>
      <c r="U348" t="n">
        <v>12</v>
      </c>
      <c r="V348" t="b">
        <v>1</v>
      </c>
      <c r="W348" t="inlineStr">
        <is>
          <t>Valuation!C27:N27</t>
        </is>
      </c>
      <c r="X348">
        <f>'Income statement'!R[-1]C[1]</f>
        <v/>
      </c>
    </row>
    <row r="349">
      <c r="A349" t="inlineStr">
        <is>
          <t>Valuation</t>
        </is>
      </c>
      <c r="B349" t="inlineStr">
        <is>
          <t>M27</t>
        </is>
      </c>
      <c r="C349" t="n">
        <v>27</v>
      </c>
      <c r="D349" t="n">
        <v>13</v>
      </c>
      <c r="E349" t="inlineStr">
        <is>
          <t>Output</t>
        </is>
      </c>
      <c r="F349" t="inlineStr">
        <is>
          <t>'='Income statement'!N26</t>
        </is>
      </c>
      <c r="G349" t="n">
        <v>-17430.01336608532</v>
      </c>
      <c r="H349" t="inlineStr"/>
      <c r="I349" t="inlineStr">
        <is>
          <t>#,##0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G000401</t>
        </is>
      </c>
      <c r="T349" t="inlineStr">
        <is>
          <t>Horizontal</t>
        </is>
      </c>
      <c r="U349" t="n">
        <v>12</v>
      </c>
      <c r="V349" t="b">
        <v>1</v>
      </c>
      <c r="W349" t="inlineStr">
        <is>
          <t>Valuation!C27:N27</t>
        </is>
      </c>
      <c r="X349">
        <f>'Income statement'!R[-1]C[1]</f>
        <v/>
      </c>
    </row>
    <row r="350">
      <c r="A350" t="inlineStr">
        <is>
          <t>Valuation</t>
        </is>
      </c>
      <c r="B350" t="inlineStr">
        <is>
          <t>N27</t>
        </is>
      </c>
      <c r="C350" t="n">
        <v>27</v>
      </c>
      <c r="D350" t="n">
        <v>14</v>
      </c>
      <c r="E350" t="inlineStr">
        <is>
          <t>Output</t>
        </is>
      </c>
      <c r="F350" t="inlineStr">
        <is>
          <t>'='Income statement'!O26</t>
        </is>
      </c>
      <c r="G350" t="n">
        <v>-20978.82846382683</v>
      </c>
      <c r="H350" t="inlineStr"/>
      <c r="I350" t="inlineStr">
        <is>
          <t>#,##0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inlineStr">
        <is>
          <t>G000401</t>
        </is>
      </c>
      <c r="T350" t="inlineStr">
        <is>
          <t>Horizontal</t>
        </is>
      </c>
      <c r="U350" t="n">
        <v>12</v>
      </c>
      <c r="V350" t="b">
        <v>1</v>
      </c>
      <c r="W350" t="inlineStr">
        <is>
          <t>Valuation!C27:N27</t>
        </is>
      </c>
      <c r="X350">
        <f>'Income statement'!R[-1]C[1]</f>
        <v/>
      </c>
    </row>
    <row r="351">
      <c r="A351" t="inlineStr">
        <is>
          <t>Valuation</t>
        </is>
      </c>
      <c r="B351" t="inlineStr">
        <is>
          <t>P27</t>
        </is>
      </c>
      <c r="C351" t="n">
        <v>27</v>
      </c>
      <c r="D351" t="n">
        <v>16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00000000</t>
        </is>
      </c>
      <c r="O351" t="n">
        <v/>
      </c>
      <c r="P351" t="n">
        <v/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Valuation</t>
        </is>
      </c>
      <c r="B352" t="inlineStr">
        <is>
          <t>Q27</t>
        </is>
      </c>
      <c r="C352" t="n">
        <v>27</v>
      </c>
      <c r="D352" t="n">
        <v>17</v>
      </c>
      <c r="E352" t="inlineStr">
        <is>
          <t>Calculation</t>
        </is>
      </c>
      <c r="F352" t="inlineStr">
        <is>
          <t>'=Q26+0.5%</t>
        </is>
      </c>
      <c r="G352" t="n">
        <v>0.132</v>
      </c>
      <c r="H352" t="inlineStr"/>
      <c r="I352" t="inlineStr">
        <is>
          <t>0.0%</t>
        </is>
      </c>
      <c r="J352" t="b">
        <v>1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inlineStr">
        <is>
          <t>center</t>
        </is>
      </c>
      <c r="P352" t="n">
        <v/>
      </c>
      <c r="R352" t="b">
        <v>1</v>
      </c>
      <c r="S352" t="inlineStr">
        <is>
          <t>G000399</t>
        </is>
      </c>
      <c r="T352" t="inlineStr">
        <is>
          <t>Vertical</t>
        </is>
      </c>
      <c r="U352" t="n">
        <v>12</v>
      </c>
      <c r="V352" t="b">
        <v>1</v>
      </c>
      <c r="W352" t="inlineStr">
        <is>
          <t>Valuation!Q25:Q36</t>
        </is>
      </c>
      <c r="X352">
        <f>R[-1]C[0]+0.5%</f>
        <v/>
      </c>
    </row>
    <row r="353">
      <c r="A353" t="inlineStr">
        <is>
          <t>Valuation</t>
        </is>
      </c>
      <c r="B353" t="inlineStr">
        <is>
          <t>R27</t>
        </is>
      </c>
      <c r="C353" t="n">
        <v>27</v>
      </c>
      <c r="D353" t="n">
        <v>18</v>
      </c>
      <c r="E353" t="inlineStr">
        <is>
          <t>Input</t>
        </is>
      </c>
      <c r="F353" t="n">
        <v/>
      </c>
      <c r="G353" t="n">
        <v>1373.568583813915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Valuation</t>
        </is>
      </c>
      <c r="B354" t="inlineStr">
        <is>
          <t>S27</t>
        </is>
      </c>
      <c r="C354" t="n">
        <v>27</v>
      </c>
      <c r="D354" t="n">
        <v>19</v>
      </c>
      <c r="E354" t="inlineStr">
        <is>
          <t>Input</t>
        </is>
      </c>
      <c r="F354" t="n">
        <v/>
      </c>
      <c r="G354" t="n">
        <v>1405.763049136451</v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n">
        <v/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Valuation</t>
        </is>
      </c>
      <c r="B355" t="inlineStr">
        <is>
          <t>T27</t>
        </is>
      </c>
      <c r="C355" t="n">
        <v>27</v>
      </c>
      <c r="D355" t="n">
        <v>20</v>
      </c>
      <c r="E355" t="inlineStr">
        <is>
          <t>Input</t>
        </is>
      </c>
      <c r="F355" t="n">
        <v/>
      </c>
      <c r="G355" t="n">
        <v>1441.113834588647</v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n">
        <v/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Valuation</t>
        </is>
      </c>
      <c r="B356" t="inlineStr">
        <is>
          <t>U27</t>
        </is>
      </c>
      <c r="C356" t="n">
        <v>27</v>
      </c>
      <c r="D356" t="n">
        <v>21</v>
      </c>
      <c r="E356" t="inlineStr">
        <is>
          <t>Input</t>
        </is>
      </c>
      <c r="F356" t="n">
        <v/>
      </c>
      <c r="G356" t="n">
        <v>1480.109030912204</v>
      </c>
      <c r="H356" t="inlineStr"/>
      <c r="I356" t="inlineStr">
        <is>
          <t>0</t>
        </is>
      </c>
      <c r="J356" t="b">
        <v>0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Valuation</t>
        </is>
      </c>
      <c r="B357" t="inlineStr">
        <is>
          <t>V27</t>
        </is>
      </c>
      <c r="C357" t="n">
        <v>27</v>
      </c>
      <c r="D357" t="n">
        <v>22</v>
      </c>
      <c r="E357" t="inlineStr">
        <is>
          <t>Input</t>
        </is>
      </c>
      <c r="F357" t="n">
        <v/>
      </c>
      <c r="G357" t="n">
        <v>1523.3428355318</v>
      </c>
      <c r="H357" t="inlineStr"/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n">
        <v/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Valuation</t>
        </is>
      </c>
      <c r="B358" t="inlineStr">
        <is>
          <t>W27</t>
        </is>
      </c>
      <c r="C358" t="n">
        <v>27</v>
      </c>
      <c r="D358" t="n">
        <v>23</v>
      </c>
      <c r="E358" t="inlineStr">
        <is>
          <t>Input</t>
        </is>
      </c>
      <c r="F358" t="n">
        <v/>
      </c>
      <c r="G358" t="n">
        <v>1571.546042981234</v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n">
        <v/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Valuation</t>
        </is>
      </c>
      <c r="B359" t="inlineStr">
        <is>
          <t>X27</t>
        </is>
      </c>
      <c r="C359" t="n">
        <v>27</v>
      </c>
      <c r="D359" t="n">
        <v>24</v>
      </c>
      <c r="E359" t="inlineStr">
        <is>
          <t>Input</t>
        </is>
      </c>
      <c r="F359" t="n">
        <v/>
      </c>
      <c r="G359" t="n">
        <v>1625.627690363526</v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n">
        <v/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Valuation</t>
        </is>
      </c>
      <c r="B360" t="inlineStr">
        <is>
          <t>Y27</t>
        </is>
      </c>
      <c r="C360" t="n">
        <v>27</v>
      </c>
      <c r="D360" t="n">
        <v>25</v>
      </c>
      <c r="E360" t="inlineStr">
        <is>
          <t>Input</t>
        </is>
      </c>
      <c r="F360" t="n">
        <v/>
      </c>
      <c r="G360" t="n">
        <v>1686.732928314947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n">
        <v/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Valuation</t>
        </is>
      </c>
      <c r="B361" t="inlineStr">
        <is>
          <t>Z27</t>
        </is>
      </c>
      <c r="C361" t="n">
        <v>27</v>
      </c>
      <c r="D361" t="n">
        <v>26</v>
      </c>
      <c r="E361" t="inlineStr">
        <is>
          <t>Input</t>
        </is>
      </c>
      <c r="F361" t="n">
        <v/>
      </c>
      <c r="G361" t="n">
        <v>1756.325004870733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Values must be of type &lt;class 'str'&gt;</t>
        </is>
      </c>
      <c r="O361" t="inlineStr">
        <is>
          <t>center</t>
        </is>
      </c>
      <c r="P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Valuation</t>
        </is>
      </c>
      <c r="B362" t="inlineStr">
        <is>
          <t>AA27</t>
        </is>
      </c>
      <c r="C362" t="n">
        <v>27</v>
      </c>
      <c r="D362" t="n">
        <v>27</v>
      </c>
      <c r="E362" t="inlineStr">
        <is>
          <t>Input</t>
        </is>
      </c>
      <c r="F362" t="n">
        <v/>
      </c>
      <c r="G362" t="n">
        <v>1836.303958524396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inlineStr">
        <is>
          <t>center</t>
        </is>
      </c>
      <c r="P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Valuation</t>
        </is>
      </c>
      <c r="B363" t="inlineStr">
        <is>
          <t>AB27</t>
        </is>
      </c>
      <c r="C363" t="n">
        <v>27</v>
      </c>
      <c r="D363" t="n">
        <v>28</v>
      </c>
      <c r="E363" t="inlineStr">
        <is>
          <t>Input</t>
        </is>
      </c>
      <c r="F363" t="n">
        <v/>
      </c>
      <c r="G363" t="n">
        <v>1929.182743412521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Values must be of type &lt;class 'str'&gt;</t>
        </is>
      </c>
      <c r="O363" t="inlineStr">
        <is>
          <t>center</t>
        </is>
      </c>
      <c r="P363" t="n">
        <v/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Valuation</t>
        </is>
      </c>
      <c r="B364" t="inlineStr">
        <is>
          <t>A28</t>
        </is>
      </c>
      <c r="C364" t="n">
        <v>28</v>
      </c>
      <c r="D364" t="n">
        <v>1</v>
      </c>
      <c r="E364" t="inlineStr">
        <is>
          <t>Input</t>
        </is>
      </c>
      <c r="F364" t="n">
        <v/>
      </c>
      <c r="G364" t="inlineStr">
        <is>
          <t>Net Operating Profit After Tax (NOPAT)</t>
        </is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10</v>
      </c>
      <c r="M364" t="n">
        <v/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Valuation</t>
        </is>
      </c>
      <c r="B365" t="inlineStr">
        <is>
          <t>B28</t>
        </is>
      </c>
      <c r="C365" t="n">
        <v>28</v>
      </c>
      <c r="D365" t="n">
        <v>2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11</v>
      </c>
      <c r="M365" t="inlineStr">
        <is>
          <t>Values must be of type &lt;class 'str'&gt;</t>
        </is>
      </c>
      <c r="N365" t="inlineStr">
        <is>
          <t>00000000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Valuation</t>
        </is>
      </c>
      <c r="B366" t="inlineStr">
        <is>
          <t>C28</t>
        </is>
      </c>
      <c r="C366" t="n">
        <v>28</v>
      </c>
      <c r="D366" t="n">
        <v>3</v>
      </c>
      <c r="E366" t="inlineStr">
        <is>
          <t>Calculation</t>
        </is>
      </c>
      <c r="F366" t="inlineStr">
        <is>
          <t>'='Income statement'!D31</t>
        </is>
      </c>
      <c r="G366" t="n">
        <v>5794.650000000001</v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G000402</t>
        </is>
      </c>
      <c r="T366" t="inlineStr">
        <is>
          <t>Horizontal</t>
        </is>
      </c>
      <c r="U366" t="n">
        <v>12</v>
      </c>
      <c r="V366" t="b">
        <v>1</v>
      </c>
      <c r="W366" t="inlineStr">
        <is>
          <t>Valuation!C28:N28</t>
        </is>
      </c>
      <c r="X366">
        <f>'Income statement'!R[3]C[1]</f>
        <v/>
      </c>
    </row>
    <row r="367">
      <c r="A367" t="inlineStr">
        <is>
          <t>Valuation</t>
        </is>
      </c>
      <c r="B367" t="inlineStr">
        <is>
          <t>D28</t>
        </is>
      </c>
      <c r="C367" t="n">
        <v>28</v>
      </c>
      <c r="D367" t="n">
        <v>4</v>
      </c>
      <c r="E367" t="inlineStr">
        <is>
          <t>Calculation</t>
        </is>
      </c>
      <c r="F367" t="inlineStr">
        <is>
          <t>'='Income statement'!E31</t>
        </is>
      </c>
      <c r="G367" t="n">
        <v>1405.939999999992</v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inlineStr">
        <is>
          <t>G000402</t>
        </is>
      </c>
      <c r="T367" t="inlineStr">
        <is>
          <t>Horizontal</t>
        </is>
      </c>
      <c r="U367" t="n">
        <v>12</v>
      </c>
      <c r="V367" t="b">
        <v>1</v>
      </c>
      <c r="W367" t="inlineStr">
        <is>
          <t>Valuation!C28:N28</t>
        </is>
      </c>
      <c r="X367">
        <f>'Income statement'!R[3]C[1]</f>
        <v/>
      </c>
    </row>
    <row r="368">
      <c r="A368" t="inlineStr">
        <is>
          <t>Valuation</t>
        </is>
      </c>
      <c r="B368" t="inlineStr">
        <is>
          <t>E28</t>
        </is>
      </c>
      <c r="C368" t="n">
        <v>28</v>
      </c>
      <c r="D368" t="n">
        <v>5</v>
      </c>
      <c r="E368" t="inlineStr">
        <is>
          <t>Calculation</t>
        </is>
      </c>
      <c r="F368" t="inlineStr">
        <is>
          <t>'='Income statement'!F31</t>
        </is>
      </c>
      <c r="G368" t="n">
        <v>7833.56999999999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G000402</t>
        </is>
      </c>
      <c r="T368" t="inlineStr">
        <is>
          <t>Horizontal</t>
        </is>
      </c>
      <c r="U368" t="n">
        <v>12</v>
      </c>
      <c r="V368" t="b">
        <v>1</v>
      </c>
      <c r="W368" t="inlineStr">
        <is>
          <t>Valuation!C28:N28</t>
        </is>
      </c>
      <c r="X368">
        <f>'Income statement'!R[3]C[1]</f>
        <v/>
      </c>
    </row>
    <row r="369">
      <c r="A369" t="inlineStr">
        <is>
          <t>Valuation</t>
        </is>
      </c>
      <c r="B369" t="inlineStr">
        <is>
          <t>F28</t>
        </is>
      </c>
      <c r="C369" t="n">
        <v>28</v>
      </c>
      <c r="D369" t="n">
        <v>6</v>
      </c>
      <c r="E369" t="inlineStr">
        <is>
          <t>Calculation</t>
        </is>
      </c>
      <c r="F369" t="inlineStr">
        <is>
          <t>'='Income statement'!G31</t>
        </is>
      </c>
      <c r="G369" t="n">
        <v>4733.269999999992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G000402</t>
        </is>
      </c>
      <c r="T369" t="inlineStr">
        <is>
          <t>Horizontal</t>
        </is>
      </c>
      <c r="U369" t="n">
        <v>12</v>
      </c>
      <c r="V369" t="b">
        <v>1</v>
      </c>
      <c r="W369" t="inlineStr">
        <is>
          <t>Valuation!C28:N28</t>
        </is>
      </c>
      <c r="X369">
        <f>'Income statement'!R[3]C[1]</f>
        <v/>
      </c>
    </row>
    <row r="370">
      <c r="A370" t="inlineStr">
        <is>
          <t>Valuation</t>
        </is>
      </c>
      <c r="B370" t="inlineStr">
        <is>
          <t>G28</t>
        </is>
      </c>
      <c r="C370" t="n">
        <v>28</v>
      </c>
      <c r="D370" t="n">
        <v>7</v>
      </c>
      <c r="E370" t="inlineStr">
        <is>
          <t>Calculation</t>
        </is>
      </c>
      <c r="F370" t="inlineStr">
        <is>
          <t>'='Income statement'!H31</t>
        </is>
      </c>
      <c r="G370" t="n">
        <v>13041.71999999996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G000402</t>
        </is>
      </c>
      <c r="T370" t="inlineStr">
        <is>
          <t>Horizontal</t>
        </is>
      </c>
      <c r="U370" t="n">
        <v>12</v>
      </c>
      <c r="V370" t="b">
        <v>1</v>
      </c>
      <c r="W370" t="inlineStr">
        <is>
          <t>Valuation!C28:N28</t>
        </is>
      </c>
      <c r="X370">
        <f>'Income statement'!R[3]C[1]</f>
        <v/>
      </c>
    </row>
    <row r="371">
      <c r="A371" t="inlineStr">
        <is>
          <t>Valuation</t>
        </is>
      </c>
      <c r="B371" t="inlineStr">
        <is>
          <t>H28</t>
        </is>
      </c>
      <c r="C371" t="n">
        <v>28</v>
      </c>
      <c r="D371" t="n">
        <v>8</v>
      </c>
      <c r="E371" t="inlineStr">
        <is>
          <t>Calculation</t>
        </is>
      </c>
      <c r="F371" t="inlineStr">
        <is>
          <t>'='Income statement'!I31</t>
        </is>
      </c>
      <c r="G371" t="n">
        <v>22073.93999999999</v>
      </c>
      <c r="H371" t="inlineStr"/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Values must be of type &lt;class 'str'&gt;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G000402</t>
        </is>
      </c>
      <c r="T371" t="inlineStr">
        <is>
          <t>Horizontal</t>
        </is>
      </c>
      <c r="U371" t="n">
        <v>12</v>
      </c>
      <c r="V371" t="b">
        <v>1</v>
      </c>
      <c r="W371" t="inlineStr">
        <is>
          <t>Valuation!C28:N28</t>
        </is>
      </c>
      <c r="X371">
        <f>'Income statement'!R[3]C[1]</f>
        <v/>
      </c>
    </row>
    <row r="372">
      <c r="A372" t="inlineStr">
        <is>
          <t>Valuation</t>
        </is>
      </c>
      <c r="B372" t="inlineStr">
        <is>
          <t>I28</t>
        </is>
      </c>
      <c r="C372" t="n">
        <v>28</v>
      </c>
      <c r="D372" t="n">
        <v>9</v>
      </c>
      <c r="E372" t="inlineStr">
        <is>
          <t>Calculation</t>
        </is>
      </c>
      <c r="F372" t="inlineStr">
        <is>
          <t>'='Income statement'!J31</t>
        </is>
      </c>
      <c r="G372" t="n">
        <v>16591.47000000001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Values must be of type &lt;class 'str'&gt;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G000402</t>
        </is>
      </c>
      <c r="T372" t="inlineStr">
        <is>
          <t>Horizontal</t>
        </is>
      </c>
      <c r="U372" t="n">
        <v>12</v>
      </c>
      <c r="V372" t="b">
        <v>1</v>
      </c>
      <c r="W372" t="inlineStr">
        <is>
          <t>Valuation!C28:N28</t>
        </is>
      </c>
      <c r="X372">
        <f>'Income statement'!R[3]C[1]</f>
        <v/>
      </c>
    </row>
    <row r="373">
      <c r="A373" t="inlineStr">
        <is>
          <t>Valuation</t>
        </is>
      </c>
      <c r="B373" t="inlineStr">
        <is>
          <t>J28</t>
        </is>
      </c>
      <c r="C373" t="n">
        <v>28</v>
      </c>
      <c r="D373" t="n">
        <v>10</v>
      </c>
      <c r="E373" t="inlineStr">
        <is>
          <t>Calculation</t>
        </is>
      </c>
      <c r="F373" t="inlineStr">
        <is>
          <t>'='Income statement'!K31</t>
        </is>
      </c>
      <c r="G373" t="n">
        <v>38709.39902212066</v>
      </c>
      <c r="H373" t="inlineStr"/>
      <c r="I373" t="inlineStr">
        <is>
          <t>0</t>
        </is>
      </c>
      <c r="J373" t="b">
        <v>0</v>
      </c>
      <c r="K373" t="b">
        <v>0</v>
      </c>
      <c r="L373" t="n">
        <v>11</v>
      </c>
      <c r="M373" t="inlineStr">
        <is>
          <t>Values must be of type &lt;class 'str'&gt;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G000402</t>
        </is>
      </c>
      <c r="T373" t="inlineStr">
        <is>
          <t>Horizontal</t>
        </is>
      </c>
      <c r="U373" t="n">
        <v>12</v>
      </c>
      <c r="V373" t="b">
        <v>1</v>
      </c>
      <c r="W373" t="inlineStr">
        <is>
          <t>Valuation!C28:N28</t>
        </is>
      </c>
      <c r="X373">
        <f>'Income statement'!R[3]C[1]</f>
        <v/>
      </c>
    </row>
    <row r="374">
      <c r="A374" t="inlineStr">
        <is>
          <t>Valuation</t>
        </is>
      </c>
      <c r="B374" t="inlineStr">
        <is>
          <t>K28</t>
        </is>
      </c>
      <c r="C374" t="n">
        <v>28</v>
      </c>
      <c r="D374" t="n">
        <v>11</v>
      </c>
      <c r="E374" t="inlineStr">
        <is>
          <t>Calculation</t>
        </is>
      </c>
      <c r="F374" t="inlineStr">
        <is>
          <t>'='Income statement'!L31</t>
        </is>
      </c>
      <c r="G374" t="n">
        <v>43323.99202258969</v>
      </c>
      <c r="H374" t="inlineStr"/>
      <c r="I374" t="inlineStr">
        <is>
          <t>0</t>
        </is>
      </c>
      <c r="J374" t="b">
        <v>0</v>
      </c>
      <c r="K374" t="b">
        <v>0</v>
      </c>
      <c r="L374" t="n">
        <v>11</v>
      </c>
      <c r="M374" t="inlineStr">
        <is>
          <t>Values must be of type &lt;class 'str'&gt;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G000402</t>
        </is>
      </c>
      <c r="T374" t="inlineStr">
        <is>
          <t>Horizontal</t>
        </is>
      </c>
      <c r="U374" t="n">
        <v>12</v>
      </c>
      <c r="V374" t="b">
        <v>1</v>
      </c>
      <c r="W374" t="inlineStr">
        <is>
          <t>Valuation!C28:N28</t>
        </is>
      </c>
      <c r="X374">
        <f>'Income statement'!R[3]C[1]</f>
        <v/>
      </c>
    </row>
    <row r="375">
      <c r="A375" t="inlineStr">
        <is>
          <t>Valuation</t>
        </is>
      </c>
      <c r="B375" t="inlineStr">
        <is>
          <t>L28</t>
        </is>
      </c>
      <c r="C375" t="n">
        <v>28</v>
      </c>
      <c r="D375" t="n">
        <v>12</v>
      </c>
      <c r="E375" t="inlineStr">
        <is>
          <t>Calculation</t>
        </is>
      </c>
      <c r="F375" t="inlineStr">
        <is>
          <t>'='Income statement'!M31</t>
        </is>
      </c>
      <c r="G375" t="n">
        <v>53290.64037055957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Values must be of type &lt;class 'str'&gt;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inlineStr">
        <is>
          <t>G000402</t>
        </is>
      </c>
      <c r="T375" t="inlineStr">
        <is>
          <t>Horizontal</t>
        </is>
      </c>
      <c r="U375" t="n">
        <v>12</v>
      </c>
      <c r="V375" t="b">
        <v>1</v>
      </c>
      <c r="W375" t="inlineStr">
        <is>
          <t>Valuation!C28:N28</t>
        </is>
      </c>
      <c r="X375">
        <f>'Income statement'!R[3]C[1]</f>
        <v/>
      </c>
    </row>
    <row r="376">
      <c r="A376" t="inlineStr">
        <is>
          <t>Valuation</t>
        </is>
      </c>
      <c r="B376" t="inlineStr">
        <is>
          <t>M28</t>
        </is>
      </c>
      <c r="C376" t="n">
        <v>28</v>
      </c>
      <c r="D376" t="n">
        <v>13</v>
      </c>
      <c r="E376" t="inlineStr">
        <is>
          <t>Calculation</t>
        </is>
      </c>
      <c r="F376" t="inlineStr">
        <is>
          <t>'='Income statement'!N31</t>
        </is>
      </c>
      <c r="G376" t="n">
        <v>63639.81624361384</v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Values must be of type &lt;class 'str'&gt;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G000402</t>
        </is>
      </c>
      <c r="T376" t="inlineStr">
        <is>
          <t>Horizontal</t>
        </is>
      </c>
      <c r="U376" t="n">
        <v>12</v>
      </c>
      <c r="V376" t="b">
        <v>1</v>
      </c>
      <c r="W376" t="inlineStr">
        <is>
          <t>Valuation!C28:N28</t>
        </is>
      </c>
      <c r="X376">
        <f>'Income statement'!R[3]C[1]</f>
        <v/>
      </c>
    </row>
    <row r="377">
      <c r="A377" t="inlineStr">
        <is>
          <t>Valuation</t>
        </is>
      </c>
      <c r="B377" t="inlineStr">
        <is>
          <t>N28</t>
        </is>
      </c>
      <c r="C377" t="n">
        <v>28</v>
      </c>
      <c r="D377" t="n">
        <v>14</v>
      </c>
      <c r="E377" t="inlineStr">
        <is>
          <t>Calculation</t>
        </is>
      </c>
      <c r="F377" t="inlineStr">
        <is>
          <t>'='Income statement'!O31</t>
        </is>
      </c>
      <c r="G377" t="n">
        <v>76597.11787955379</v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G000402</t>
        </is>
      </c>
      <c r="T377" t="inlineStr">
        <is>
          <t>Horizontal</t>
        </is>
      </c>
      <c r="U377" t="n">
        <v>12</v>
      </c>
      <c r="V377" t="b">
        <v>1</v>
      </c>
      <c r="W377" t="inlineStr">
        <is>
          <t>Valuation!C28:N28</t>
        </is>
      </c>
      <c r="X377">
        <f>'Income statement'!R[3]C[1]</f>
        <v/>
      </c>
    </row>
    <row r="378">
      <c r="A378" t="inlineStr">
        <is>
          <t>Valuation</t>
        </is>
      </c>
      <c r="B378" t="inlineStr">
        <is>
          <t>P28</t>
        </is>
      </c>
      <c r="C378" t="n">
        <v>28</v>
      </c>
      <c r="D378" t="n">
        <v>16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00000000</t>
        </is>
      </c>
      <c r="O378" t="n">
        <v/>
      </c>
      <c r="P378" t="n">
        <v/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Valuation</t>
        </is>
      </c>
      <c r="B379" t="inlineStr">
        <is>
          <t>Q28</t>
        </is>
      </c>
      <c r="C379" t="n">
        <v>28</v>
      </c>
      <c r="D379" t="n">
        <v>17</v>
      </c>
      <c r="E379" t="inlineStr">
        <is>
          <t>Calculation</t>
        </is>
      </c>
      <c r="F379" t="inlineStr">
        <is>
          <t>'=Q27+0.5%</t>
        </is>
      </c>
      <c r="G379" t="n">
        <v>0.137</v>
      </c>
      <c r="H379" t="inlineStr"/>
      <c r="I379" t="inlineStr">
        <is>
          <t>0.0%</t>
        </is>
      </c>
      <c r="J379" t="b">
        <v>1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inlineStr">
        <is>
          <t>center</t>
        </is>
      </c>
      <c r="P379" t="n">
        <v/>
      </c>
      <c r="R379" t="b">
        <v>1</v>
      </c>
      <c r="S379" t="inlineStr">
        <is>
          <t>G000399</t>
        </is>
      </c>
      <c r="T379" t="inlineStr">
        <is>
          <t>Vertical</t>
        </is>
      </c>
      <c r="U379" t="n">
        <v>12</v>
      </c>
      <c r="V379" t="b">
        <v>1</v>
      </c>
      <c r="W379" t="inlineStr">
        <is>
          <t>Valuation!Q25:Q36</t>
        </is>
      </c>
      <c r="X379">
        <f>R[-1]C[0]+0.5%</f>
        <v/>
      </c>
    </row>
    <row r="380">
      <c r="A380" t="inlineStr">
        <is>
          <t>Valuation</t>
        </is>
      </c>
      <c r="B380" t="inlineStr">
        <is>
          <t>R28</t>
        </is>
      </c>
      <c r="C380" t="n">
        <v>28</v>
      </c>
      <c r="D380" t="n">
        <v>18</v>
      </c>
      <c r="E380" t="inlineStr">
        <is>
          <t>Input</t>
        </is>
      </c>
      <c r="F380" t="n">
        <v/>
      </c>
      <c r="G380" t="n">
        <v>1313.992697665034</v>
      </c>
      <c r="H380" t="inlineStr"/>
      <c r="I380" t="inlineStr">
        <is>
          <t>0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inlineStr">
        <is>
          <t>center</t>
        </is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Valuation</t>
        </is>
      </c>
      <c r="B381" t="inlineStr">
        <is>
          <t>S28</t>
        </is>
      </c>
      <c r="C381" t="n">
        <v>28</v>
      </c>
      <c r="D381" t="n">
        <v>19</v>
      </c>
      <c r="E381" t="inlineStr">
        <is>
          <t>Input</t>
        </is>
      </c>
      <c r="F381" t="n">
        <v/>
      </c>
      <c r="G381" t="n">
        <v>1342.290505448323</v>
      </c>
      <c r="H381" t="inlineStr"/>
      <c r="I381" t="inlineStr">
        <is>
          <t>0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inlineStr">
        <is>
          <t>center</t>
        </is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Valuation</t>
        </is>
      </c>
      <c r="B382" t="inlineStr">
        <is>
          <t>T28</t>
        </is>
      </c>
      <c r="C382" t="n">
        <v>28</v>
      </c>
      <c r="D382" t="n">
        <v>20</v>
      </c>
      <c r="E382" t="inlineStr">
        <is>
          <t>Input</t>
        </is>
      </c>
      <c r="F382" t="n">
        <v/>
      </c>
      <c r="G382" t="n">
        <v>1373.232968164631</v>
      </c>
      <c r="H382" t="inlineStr"/>
      <c r="I382" t="inlineStr">
        <is>
          <t>0</t>
        </is>
      </c>
      <c r="J382" t="b">
        <v>0</v>
      </c>
      <c r="K382" t="b">
        <v>0</v>
      </c>
      <c r="L382" t="n">
        <v>11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inlineStr">
        <is>
          <t>center</t>
        </is>
      </c>
      <c r="P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Valuation</t>
        </is>
      </c>
      <c r="B383" t="inlineStr">
        <is>
          <t>U28</t>
        </is>
      </c>
      <c r="C383" t="n">
        <v>28</v>
      </c>
      <c r="D383" t="n">
        <v>21</v>
      </c>
      <c r="E383" t="inlineStr">
        <is>
          <t>Input</t>
        </is>
      </c>
      <c r="F383" t="n">
        <v/>
      </c>
      <c r="G383" t="n">
        <v>1407.209005657046</v>
      </c>
      <c r="H383" t="inlineStr"/>
      <c r="I383" t="inlineStr">
        <is>
          <t>0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inlineStr">
        <is>
          <t>center</t>
        </is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Valuation</t>
        </is>
      </c>
      <c r="B384" t="inlineStr">
        <is>
          <t>V28</t>
        </is>
      </c>
      <c r="C384" t="n">
        <v>28</v>
      </c>
      <c r="D384" t="n">
        <v>22</v>
      </c>
      <c r="E384" t="inlineStr">
        <is>
          <t>Input</t>
        </is>
      </c>
      <c r="F384" t="n">
        <v/>
      </c>
      <c r="G384" t="n">
        <v>1444.687727427031</v>
      </c>
      <c r="H384" t="inlineStr"/>
      <c r="I384" t="inlineStr">
        <is>
          <t>0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inlineStr">
        <is>
          <t>center</t>
        </is>
      </c>
      <c r="P384" t="n">
        <v/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Valuation</t>
        </is>
      </c>
      <c r="B385" t="inlineStr">
        <is>
          <t>W28</t>
        </is>
      </c>
      <c r="C385" t="n">
        <v>28</v>
      </c>
      <c r="D385" t="n">
        <v>23</v>
      </c>
      <c r="E385" t="inlineStr">
        <is>
          <t>Input</t>
        </is>
      </c>
      <c r="F385" t="n">
        <v/>
      </c>
      <c r="G385" t="n">
        <v>1486.240223302448</v>
      </c>
      <c r="H385" t="inlineStr"/>
      <c r="I385" t="inlineStr">
        <is>
          <t>0</t>
        </is>
      </c>
      <c r="J385" t="b">
        <v>0</v>
      </c>
      <c r="K385" t="b">
        <v>0</v>
      </c>
      <c r="L385" t="n">
        <v>11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inlineStr">
        <is>
          <t>center</t>
        </is>
      </c>
      <c r="P385" t="n">
        <v/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Valuation</t>
        </is>
      </c>
      <c r="B386" t="inlineStr">
        <is>
          <t>X28</t>
        </is>
      </c>
      <c r="C386" t="n">
        <v>28</v>
      </c>
      <c r="D386" t="n">
        <v>24</v>
      </c>
      <c r="E386" t="inlineStr">
        <is>
          <t>Input</t>
        </is>
      </c>
      <c r="F386" t="n">
        <v/>
      </c>
      <c r="G386" t="n">
        <v>1532.568868129063</v>
      </c>
      <c r="H386" t="inlineStr"/>
      <c r="I386" t="inlineStr">
        <is>
          <t>0</t>
        </is>
      </c>
      <c r="J386" t="b">
        <v>0</v>
      </c>
      <c r="K386" t="b">
        <v>0</v>
      </c>
      <c r="L386" t="n">
        <v>11</v>
      </c>
      <c r="M386" t="inlineStr">
        <is>
          <t>Values must be of type &lt;class 'str'&gt;</t>
        </is>
      </c>
      <c r="N386" t="inlineStr">
        <is>
          <t>Values must be of type &lt;class 'str'&gt;</t>
        </is>
      </c>
      <c r="O386" t="inlineStr">
        <is>
          <t>center</t>
        </is>
      </c>
      <c r="P386" t="n">
        <v/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Valuation</t>
        </is>
      </c>
      <c r="B387" t="inlineStr">
        <is>
          <t>Y28</t>
        </is>
      </c>
      <c r="C387" t="n">
        <v>28</v>
      </c>
      <c r="D387" t="n">
        <v>25</v>
      </c>
      <c r="E387" t="inlineStr">
        <is>
          <t>Input</t>
        </is>
      </c>
      <c r="F387" t="n">
        <v/>
      </c>
      <c r="G387" t="n">
        <v>1584.547347690631</v>
      </c>
      <c r="H387" t="inlineStr"/>
      <c r="I387" t="inlineStr">
        <is>
          <t>0</t>
        </is>
      </c>
      <c r="J387" t="b">
        <v>0</v>
      </c>
      <c r="K387" t="b">
        <v>0</v>
      </c>
      <c r="L387" t="n">
        <v>11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inlineStr">
        <is>
          <t>center</t>
        </is>
      </c>
      <c r="P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Valuation</t>
        </is>
      </c>
      <c r="B388" t="inlineStr">
        <is>
          <t>Z28</t>
        </is>
      </c>
      <c r="C388" t="n">
        <v>28</v>
      </c>
      <c r="D388" t="n">
        <v>26</v>
      </c>
      <c r="E388" t="inlineStr">
        <is>
          <t>Input</t>
        </is>
      </c>
      <c r="F388" t="n">
        <v/>
      </c>
      <c r="G388" t="n">
        <v>1643.276279143312</v>
      </c>
      <c r="H388" t="inlineStr"/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inlineStr">
        <is>
          <t>center</t>
        </is>
      </c>
      <c r="P388" t="n">
        <v/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Valuation</t>
        </is>
      </c>
      <c r="B389" t="inlineStr">
        <is>
          <t>AA28</t>
        </is>
      </c>
      <c r="C389" t="n">
        <v>28</v>
      </c>
      <c r="D389" t="n">
        <v>27</v>
      </c>
      <c r="E389" t="inlineStr">
        <is>
          <t>Input</t>
        </is>
      </c>
      <c r="F389" t="n">
        <v/>
      </c>
      <c r="G389" t="n">
        <v>1710.162006631087</v>
      </c>
      <c r="H389" t="inlineStr"/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Values must be of type &lt;class 'str'&gt;</t>
        </is>
      </c>
      <c r="N389" t="inlineStr">
        <is>
          <t>Values must be of type &lt;class 'str'&gt;</t>
        </is>
      </c>
      <c r="O389" t="inlineStr">
        <is>
          <t>center</t>
        </is>
      </c>
      <c r="P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Valuation</t>
        </is>
      </c>
      <c r="B390" t="inlineStr">
        <is>
          <t>AB28</t>
        </is>
      </c>
      <c r="C390" t="n">
        <v>28</v>
      </c>
      <c r="D390" t="n">
        <v>28</v>
      </c>
      <c r="E390" t="inlineStr">
        <is>
          <t>Input</t>
        </is>
      </c>
      <c r="F390" t="n">
        <v/>
      </c>
      <c r="G390" t="n">
        <v>1787.030678520023</v>
      </c>
      <c r="H390" t="inlineStr"/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Values must be of type &lt;class 'str'&gt;</t>
        </is>
      </c>
      <c r="O390" t="inlineStr">
        <is>
          <t>center</t>
        </is>
      </c>
      <c r="P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Valuation</t>
        </is>
      </c>
      <c r="B391" t="inlineStr">
        <is>
          <t>A29</t>
        </is>
      </c>
      <c r="C391" t="n">
        <v>29</v>
      </c>
      <c r="D391" t="n">
        <v>1</v>
      </c>
      <c r="E391" t="inlineStr">
        <is>
          <t>Input</t>
        </is>
      </c>
      <c r="F391" t="n">
        <v/>
      </c>
      <c r="G391" t="inlineStr">
        <is>
          <t>Depreciation &amp; Amortisation</t>
        </is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10</v>
      </c>
      <c r="M391" t="n">
        <v/>
      </c>
      <c r="N391" t="inlineStr">
        <is>
          <t>00000000</t>
        </is>
      </c>
      <c r="O391" t="inlineStr">
        <is>
          <t>left</t>
        </is>
      </c>
      <c r="P391" t="n">
        <v/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Valuation</t>
        </is>
      </c>
      <c r="B392" t="inlineStr">
        <is>
          <t>C29</t>
        </is>
      </c>
      <c r="C392" t="n">
        <v>29</v>
      </c>
      <c r="D392" t="n">
        <v>3</v>
      </c>
      <c r="E392" t="inlineStr">
        <is>
          <t>Calculation</t>
        </is>
      </c>
      <c r="F392" t="inlineStr">
        <is>
          <t>'='Income statement'!D22</t>
        </is>
      </c>
      <c r="G392" t="n">
        <v>628.7</v>
      </c>
      <c r="H392" t="inlineStr"/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G000397</t>
        </is>
      </c>
      <c r="T392" t="inlineStr">
        <is>
          <t>Horizontal</t>
        </is>
      </c>
      <c r="U392" t="n">
        <v>12</v>
      </c>
      <c r="V392" t="b">
        <v>1</v>
      </c>
      <c r="W392" t="inlineStr">
        <is>
          <t>Valuation!C29:N29</t>
        </is>
      </c>
      <c r="X392">
        <f>'Income statement'!R[-7]C[1]</f>
        <v/>
      </c>
    </row>
    <row r="393">
      <c r="A393" t="inlineStr">
        <is>
          <t>Valuation</t>
        </is>
      </c>
      <c r="B393" t="inlineStr">
        <is>
          <t>D29</t>
        </is>
      </c>
      <c r="C393" t="n">
        <v>29</v>
      </c>
      <c r="D393" t="n">
        <v>4</v>
      </c>
      <c r="E393" t="inlineStr">
        <is>
          <t>Calculation</t>
        </is>
      </c>
      <c r="F393" t="inlineStr">
        <is>
          <t>'='Income statement'!E22</t>
        </is>
      </c>
      <c r="G393" t="n">
        <v>665.23</v>
      </c>
      <c r="H393" t="inlineStr"/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G000397</t>
        </is>
      </c>
      <c r="T393" t="inlineStr">
        <is>
          <t>Horizontal</t>
        </is>
      </c>
      <c r="U393" t="n">
        <v>12</v>
      </c>
      <c r="V393" t="b">
        <v>1</v>
      </c>
      <c r="W393" t="inlineStr">
        <is>
          <t>Valuation!C29:N29</t>
        </is>
      </c>
      <c r="X393">
        <f>'Income statement'!R[-7]C[1]</f>
        <v/>
      </c>
    </row>
    <row r="394">
      <c r="A394" t="inlineStr">
        <is>
          <t>Valuation</t>
        </is>
      </c>
      <c r="B394" t="inlineStr">
        <is>
          <t>E29</t>
        </is>
      </c>
      <c r="C394" t="n">
        <v>29</v>
      </c>
      <c r="D394" t="n">
        <v>5</v>
      </c>
      <c r="E394" t="inlineStr">
        <is>
          <t>Calculation</t>
        </is>
      </c>
      <c r="F394" t="inlineStr">
        <is>
          <t>'='Income statement'!F22</t>
        </is>
      </c>
      <c r="G394" t="n">
        <v>856.2</v>
      </c>
      <c r="H394" t="inlineStr"/>
      <c r="I394" t="inlineStr">
        <is>
          <t>0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n">
        <v/>
      </c>
      <c r="P394" t="n">
        <v/>
      </c>
      <c r="R394" t="b">
        <v>1</v>
      </c>
      <c r="S394" t="inlineStr">
        <is>
          <t>G000397</t>
        </is>
      </c>
      <c r="T394" t="inlineStr">
        <is>
          <t>Horizontal</t>
        </is>
      </c>
      <c r="U394" t="n">
        <v>12</v>
      </c>
      <c r="V394" t="b">
        <v>1</v>
      </c>
      <c r="W394" t="inlineStr">
        <is>
          <t>Valuation!C29:N29</t>
        </is>
      </c>
      <c r="X394">
        <f>'Income statement'!R[-7]C[1]</f>
        <v/>
      </c>
    </row>
    <row r="395">
      <c r="A395" t="inlineStr">
        <is>
          <t>Valuation</t>
        </is>
      </c>
      <c r="B395" t="inlineStr">
        <is>
          <t>F29</t>
        </is>
      </c>
      <c r="C395" t="n">
        <v>29</v>
      </c>
      <c r="D395" t="n">
        <v>6</v>
      </c>
      <c r="E395" t="inlineStr">
        <is>
          <t>Calculation</t>
        </is>
      </c>
      <c r="F395" t="inlineStr">
        <is>
          <t>'='Income statement'!G22</t>
        </is>
      </c>
      <c r="G395" t="n">
        <v>2260.08</v>
      </c>
      <c r="H395" t="inlineStr"/>
      <c r="I395" t="inlineStr">
        <is>
          <t>0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00000000</t>
        </is>
      </c>
      <c r="O395" t="n">
        <v/>
      </c>
      <c r="P395" t="n">
        <v/>
      </c>
      <c r="R395" t="b">
        <v>1</v>
      </c>
      <c r="S395" t="inlineStr">
        <is>
          <t>G000397</t>
        </is>
      </c>
      <c r="T395" t="inlineStr">
        <is>
          <t>Horizontal</t>
        </is>
      </c>
      <c r="U395" t="n">
        <v>12</v>
      </c>
      <c r="V395" t="b">
        <v>1</v>
      </c>
      <c r="W395" t="inlineStr">
        <is>
          <t>Valuation!C29:N29</t>
        </is>
      </c>
      <c r="X395">
        <f>'Income statement'!R[-7]C[1]</f>
        <v/>
      </c>
    </row>
    <row r="396">
      <c r="A396" t="inlineStr">
        <is>
          <t>Valuation</t>
        </is>
      </c>
      <c r="B396" t="inlineStr">
        <is>
          <t>G29</t>
        </is>
      </c>
      <c r="C396" t="n">
        <v>29</v>
      </c>
      <c r="D396" t="n">
        <v>7</v>
      </c>
      <c r="E396" t="inlineStr">
        <is>
          <t>Calculation</t>
        </is>
      </c>
      <c r="F396" t="inlineStr">
        <is>
          <t>'='Income statement'!H22</t>
        </is>
      </c>
      <c r="G396" t="n">
        <v>3022.14</v>
      </c>
      <c r="H396" t="inlineStr"/>
      <c r="I396" t="inlineStr">
        <is>
          <t>0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00000000</t>
        </is>
      </c>
      <c r="O396" t="n">
        <v/>
      </c>
      <c r="P396" t="n">
        <v/>
      </c>
      <c r="R396" t="b">
        <v>1</v>
      </c>
      <c r="S396" t="inlineStr">
        <is>
          <t>G000397</t>
        </is>
      </c>
      <c r="T396" t="inlineStr">
        <is>
          <t>Horizontal</t>
        </is>
      </c>
      <c r="U396" t="n">
        <v>12</v>
      </c>
      <c r="V396" t="b">
        <v>1</v>
      </c>
      <c r="W396" t="inlineStr">
        <is>
          <t>Valuation!C29:N29</t>
        </is>
      </c>
      <c r="X396">
        <f>'Income statement'!R[-7]C[1]</f>
        <v/>
      </c>
    </row>
    <row r="397">
      <c r="A397" t="inlineStr">
        <is>
          <t>Valuation</t>
        </is>
      </c>
      <c r="B397" t="inlineStr">
        <is>
          <t>H29</t>
        </is>
      </c>
      <c r="C397" t="n">
        <v>29</v>
      </c>
      <c r="D397" t="n">
        <v>8</v>
      </c>
      <c r="E397" t="inlineStr">
        <is>
          <t>Calculation</t>
        </is>
      </c>
      <c r="F397" t="inlineStr">
        <is>
          <t>'='Income statement'!I22</t>
        </is>
      </c>
      <c r="G397" t="n">
        <v>5030.79</v>
      </c>
      <c r="H397" t="inlineStr"/>
      <c r="I397" t="inlineStr">
        <is>
          <t>0</t>
        </is>
      </c>
      <c r="J397" t="b">
        <v>0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00000000</t>
        </is>
      </c>
      <c r="O397" t="n">
        <v/>
      </c>
      <c r="P397" t="n">
        <v/>
      </c>
      <c r="R397" t="b">
        <v>1</v>
      </c>
      <c r="S397" t="inlineStr">
        <is>
          <t>G000397</t>
        </is>
      </c>
      <c r="T397" t="inlineStr">
        <is>
          <t>Horizontal</t>
        </is>
      </c>
      <c r="U397" t="n">
        <v>12</v>
      </c>
      <c r="V397" t="b">
        <v>1</v>
      </c>
      <c r="W397" t="inlineStr">
        <is>
          <t>Valuation!C29:N29</t>
        </is>
      </c>
      <c r="X397">
        <f>'Income statement'!R[-7]C[1]</f>
        <v/>
      </c>
    </row>
    <row r="398">
      <c r="A398" t="inlineStr">
        <is>
          <t>Valuation</t>
        </is>
      </c>
      <c r="B398" t="inlineStr">
        <is>
          <t>I29</t>
        </is>
      </c>
      <c r="C398" t="n">
        <v>29</v>
      </c>
      <c r="D398" t="n">
        <v>9</v>
      </c>
      <c r="E398" t="inlineStr">
        <is>
          <t>Calculation</t>
        </is>
      </c>
      <c r="F398" t="inlineStr">
        <is>
          <t>'='Income statement'!J22</t>
        </is>
      </c>
      <c r="G398" t="n">
        <v>4572.53</v>
      </c>
      <c r="H398" t="inlineStr"/>
      <c r="I398" t="inlineStr">
        <is>
          <t>0</t>
        </is>
      </c>
      <c r="J398" t="b">
        <v>0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00000000</t>
        </is>
      </c>
      <c r="O398" t="n">
        <v/>
      </c>
      <c r="P398" t="n">
        <v/>
      </c>
      <c r="R398" t="b">
        <v>1</v>
      </c>
      <c r="S398" t="inlineStr">
        <is>
          <t>G000397</t>
        </is>
      </c>
      <c r="T398" t="inlineStr">
        <is>
          <t>Horizontal</t>
        </is>
      </c>
      <c r="U398" t="n">
        <v>12</v>
      </c>
      <c r="V398" t="b">
        <v>1</v>
      </c>
      <c r="W398" t="inlineStr">
        <is>
          <t>Valuation!C29:N29</t>
        </is>
      </c>
      <c r="X398">
        <f>'Income statement'!R[-7]C[1]</f>
        <v/>
      </c>
    </row>
    <row r="399">
      <c r="A399" t="inlineStr">
        <is>
          <t>Valuation</t>
        </is>
      </c>
      <c r="B399" t="inlineStr">
        <is>
          <t>J29</t>
        </is>
      </c>
      <c r="C399" t="n">
        <v>29</v>
      </c>
      <c r="D399" t="n">
        <v>10</v>
      </c>
      <c r="E399" t="inlineStr">
        <is>
          <t>Calculation</t>
        </is>
      </c>
      <c r="F399" t="inlineStr">
        <is>
          <t>'='Income statement'!K22</t>
        </is>
      </c>
      <c r="G399" t="n">
        <v>4186.49204</v>
      </c>
      <c r="H399" t="inlineStr"/>
      <c r="I399" t="inlineStr">
        <is>
          <t>0</t>
        </is>
      </c>
      <c r="J399" t="b">
        <v>0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00000000</t>
        </is>
      </c>
      <c r="O399" t="n">
        <v/>
      </c>
      <c r="P399" t="n">
        <v/>
      </c>
      <c r="R399" t="b">
        <v>1</v>
      </c>
      <c r="S399" t="inlineStr">
        <is>
          <t>G000397</t>
        </is>
      </c>
      <c r="T399" t="inlineStr">
        <is>
          <t>Horizontal</t>
        </is>
      </c>
      <c r="U399" t="n">
        <v>12</v>
      </c>
      <c r="V399" t="b">
        <v>1</v>
      </c>
      <c r="W399" t="inlineStr">
        <is>
          <t>Valuation!C29:N29</t>
        </is>
      </c>
      <c r="X399">
        <f>'Income statement'!R[-7]C[1]</f>
        <v/>
      </c>
    </row>
    <row r="400">
      <c r="A400" t="inlineStr">
        <is>
          <t>Valuation</t>
        </is>
      </c>
      <c r="B400" t="inlineStr">
        <is>
          <t>K29</t>
        </is>
      </c>
      <c r="C400" t="n">
        <v>29</v>
      </c>
      <c r="D400" t="n">
        <v>11</v>
      </c>
      <c r="E400" t="inlineStr">
        <is>
          <t>Calculation</t>
        </is>
      </c>
      <c r="F400" t="inlineStr">
        <is>
          <t>'='Income statement'!L22</t>
        </is>
      </c>
      <c r="G400" t="n">
        <v>4809.77539792</v>
      </c>
      <c r="H400" t="inlineStr"/>
      <c r="I400" t="inlineStr">
        <is>
          <t>0</t>
        </is>
      </c>
      <c r="J400" t="b">
        <v>0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00000000</t>
        </is>
      </c>
      <c r="O400" t="n">
        <v/>
      </c>
      <c r="P400" t="n">
        <v/>
      </c>
      <c r="R400" t="b">
        <v>1</v>
      </c>
      <c r="S400" t="inlineStr">
        <is>
          <t>G000397</t>
        </is>
      </c>
      <c r="T400" t="inlineStr">
        <is>
          <t>Horizontal</t>
        </is>
      </c>
      <c r="U400" t="n">
        <v>12</v>
      </c>
      <c r="V400" t="b">
        <v>1</v>
      </c>
      <c r="W400" t="inlineStr">
        <is>
          <t>Valuation!C29:N29</t>
        </is>
      </c>
      <c r="X400">
        <f>'Income statement'!R[-7]C[1]</f>
        <v/>
      </c>
    </row>
    <row r="401">
      <c r="A401" t="inlineStr">
        <is>
          <t>Valuation</t>
        </is>
      </c>
      <c r="B401" t="inlineStr">
        <is>
          <t>L29</t>
        </is>
      </c>
      <c r="C401" t="n">
        <v>29</v>
      </c>
      <c r="D401" t="n">
        <v>12</v>
      </c>
      <c r="E401" t="inlineStr">
        <is>
          <t>Calculation</t>
        </is>
      </c>
      <c r="F401" t="inlineStr">
        <is>
          <t>'='Income statement'!M22</t>
        </is>
      </c>
      <c r="G401" t="n">
        <v>5383.58170415936</v>
      </c>
      <c r="H401" t="inlineStr"/>
      <c r="I401" t="inlineStr">
        <is>
          <t>0</t>
        </is>
      </c>
      <c r="J401" t="b">
        <v>0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n">
        <v/>
      </c>
      <c r="P401" t="n">
        <v/>
      </c>
      <c r="R401" t="b">
        <v>1</v>
      </c>
      <c r="S401" t="inlineStr">
        <is>
          <t>G000397</t>
        </is>
      </c>
      <c r="T401" t="inlineStr">
        <is>
          <t>Horizontal</t>
        </is>
      </c>
      <c r="U401" t="n">
        <v>12</v>
      </c>
      <c r="V401" t="b">
        <v>1</v>
      </c>
      <c r="W401" t="inlineStr">
        <is>
          <t>Valuation!C29:N29</t>
        </is>
      </c>
      <c r="X401">
        <f>'Income statement'!R[-7]C[1]</f>
        <v/>
      </c>
    </row>
    <row r="402">
      <c r="A402" t="inlineStr">
        <is>
          <t>Valuation</t>
        </is>
      </c>
      <c r="B402" t="inlineStr">
        <is>
          <t>M29</t>
        </is>
      </c>
      <c r="C402" t="n">
        <v>29</v>
      </c>
      <c r="D402" t="n">
        <v>13</v>
      </c>
      <c r="E402" t="inlineStr">
        <is>
          <t>Calculation</t>
        </is>
      </c>
      <c r="F402" t="inlineStr">
        <is>
          <t>'='Income statement'!N22</t>
        </is>
      </c>
      <c r="G402" t="n">
        <v>5921.215220228539</v>
      </c>
      <c r="H402" t="inlineStr"/>
      <c r="I402" t="inlineStr">
        <is>
          <t>0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n">
        <v/>
      </c>
      <c r="P402" t="n">
        <v/>
      </c>
      <c r="R402" t="b">
        <v>1</v>
      </c>
      <c r="S402" t="inlineStr">
        <is>
          <t>G000397</t>
        </is>
      </c>
      <c r="T402" t="inlineStr">
        <is>
          <t>Horizontal</t>
        </is>
      </c>
      <c r="U402" t="n">
        <v>12</v>
      </c>
      <c r="V402" t="b">
        <v>1</v>
      </c>
      <c r="W402" t="inlineStr">
        <is>
          <t>Valuation!C29:N29</t>
        </is>
      </c>
      <c r="X402">
        <f>'Income statement'!R[-7]C[1]</f>
        <v/>
      </c>
    </row>
    <row r="403">
      <c r="A403" t="inlineStr">
        <is>
          <t>Valuation</t>
        </is>
      </c>
      <c r="B403" t="inlineStr">
        <is>
          <t>N29</t>
        </is>
      </c>
      <c r="C403" t="n">
        <v>29</v>
      </c>
      <c r="D403" t="n">
        <v>14</v>
      </c>
      <c r="E403" t="inlineStr">
        <is>
          <t>Calculation</t>
        </is>
      </c>
      <c r="F403" t="inlineStr">
        <is>
          <t>'='Income statement'!O22</t>
        </is>
      </c>
      <c r="G403" t="n">
        <v>6431.080219021581</v>
      </c>
      <c r="H403" t="inlineStr"/>
      <c r="I403" t="inlineStr">
        <is>
          <t>0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n">
        <v/>
      </c>
      <c r="P403" t="n">
        <v/>
      </c>
      <c r="R403" t="b">
        <v>1</v>
      </c>
      <c r="S403" t="inlineStr">
        <is>
          <t>G000397</t>
        </is>
      </c>
      <c r="T403" t="inlineStr">
        <is>
          <t>Horizontal</t>
        </is>
      </c>
      <c r="U403" t="n">
        <v>12</v>
      </c>
      <c r="V403" t="b">
        <v>1</v>
      </c>
      <c r="W403" t="inlineStr">
        <is>
          <t>Valuation!C29:N29</t>
        </is>
      </c>
      <c r="X403">
        <f>'Income statement'!R[-7]C[1]</f>
        <v/>
      </c>
    </row>
    <row r="404">
      <c r="A404" t="inlineStr">
        <is>
          <t>Valuation</t>
        </is>
      </c>
      <c r="B404" t="inlineStr">
        <is>
          <t>P29</t>
        </is>
      </c>
      <c r="C404" t="n">
        <v>29</v>
      </c>
      <c r="D404" t="n">
        <v>16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n">
        <v/>
      </c>
      <c r="P404" t="n">
        <v/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</row>
    <row r="405">
      <c r="A405" t="inlineStr">
        <is>
          <t>Valuation</t>
        </is>
      </c>
      <c r="B405" t="inlineStr">
        <is>
          <t>Q29</t>
        </is>
      </c>
      <c r="C405" t="n">
        <v>29</v>
      </c>
      <c r="D405" t="n">
        <v>17</v>
      </c>
      <c r="E405" t="inlineStr">
        <is>
          <t>Calculation</t>
        </is>
      </c>
      <c r="F405" t="inlineStr">
        <is>
          <t>'=Q28+0.5%</t>
        </is>
      </c>
      <c r="G405" t="n">
        <v>0.142</v>
      </c>
      <c r="H405" t="inlineStr"/>
      <c r="I405" t="inlineStr">
        <is>
          <t>0.0%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n">
        <v/>
      </c>
      <c r="R405" t="b">
        <v>1</v>
      </c>
      <c r="S405" t="inlineStr">
        <is>
          <t>G000399</t>
        </is>
      </c>
      <c r="T405" t="inlineStr">
        <is>
          <t>Vertical</t>
        </is>
      </c>
      <c r="U405" t="n">
        <v>12</v>
      </c>
      <c r="V405" t="b">
        <v>1</v>
      </c>
      <c r="W405" t="inlineStr">
        <is>
          <t>Valuation!Q25:Q36</t>
        </is>
      </c>
      <c r="X405">
        <f>R[-1]C[0]+0.5%</f>
        <v/>
      </c>
    </row>
    <row r="406">
      <c r="A406" t="inlineStr">
        <is>
          <t>Valuation</t>
        </is>
      </c>
      <c r="B406" t="inlineStr">
        <is>
          <t>R29</t>
        </is>
      </c>
      <c r="C406" t="n">
        <v>29</v>
      </c>
      <c r="D406" t="n">
        <v>18</v>
      </c>
      <c r="E406" t="inlineStr">
        <is>
          <t>Input</t>
        </is>
      </c>
      <c r="F406" t="n">
        <v/>
      </c>
      <c r="G406" t="n">
        <v>1260.006792625654</v>
      </c>
      <c r="H406" t="inlineStr"/>
      <c r="I406" t="inlineStr">
        <is>
          <t>0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n">
        <v/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Valuation</t>
        </is>
      </c>
      <c r="B407" t="inlineStr">
        <is>
          <t>S29</t>
        </is>
      </c>
      <c r="C407" t="n">
        <v>29</v>
      </c>
      <c r="D407" t="n">
        <v>19</v>
      </c>
      <c r="E407" t="inlineStr">
        <is>
          <t>Input</t>
        </is>
      </c>
      <c r="F407" t="n">
        <v/>
      </c>
      <c r="G407" t="n">
        <v>1284.979189666986</v>
      </c>
      <c r="H407" t="inlineStr"/>
      <c r="I407" t="inlineStr">
        <is>
          <t>0</t>
        </is>
      </c>
      <c r="J407" t="b">
        <v>0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inlineStr">
        <is>
          <t>center</t>
        </is>
      </c>
      <c r="P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Valuation</t>
        </is>
      </c>
      <c r="B408" t="inlineStr">
        <is>
          <t>T29</t>
        </is>
      </c>
      <c r="C408" t="n">
        <v>29</v>
      </c>
      <c r="D408" t="n">
        <v>20</v>
      </c>
      <c r="E408" t="inlineStr">
        <is>
          <t>Input</t>
        </is>
      </c>
      <c r="F408" t="n">
        <v/>
      </c>
      <c r="G408" t="n">
        <v>1312.181265015581</v>
      </c>
      <c r="H408" t="inlineStr"/>
      <c r="I408" t="inlineStr">
        <is>
          <t>0</t>
        </is>
      </c>
      <c r="J408" t="b">
        <v>0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inlineStr">
        <is>
          <t>center</t>
        </is>
      </c>
      <c r="P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Valuation</t>
        </is>
      </c>
      <c r="B409" t="inlineStr">
        <is>
          <t>U29</t>
        </is>
      </c>
      <c r="C409" t="n">
        <v>29</v>
      </c>
      <c r="D409" t="n">
        <v>21</v>
      </c>
      <c r="E409" t="inlineStr">
        <is>
          <t>Input</t>
        </is>
      </c>
      <c r="F409" t="n">
        <v/>
      </c>
      <c r="G409" t="n">
        <v>1341.925590396754</v>
      </c>
      <c r="H409" t="inlineStr"/>
      <c r="I409" t="inlineStr">
        <is>
          <t>0</t>
        </is>
      </c>
      <c r="J409" t="b">
        <v>0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Values must be of type &lt;class 'str'&gt;</t>
        </is>
      </c>
      <c r="O409" t="inlineStr">
        <is>
          <t>center</t>
        </is>
      </c>
      <c r="P409" t="n">
        <v/>
      </c>
      <c r="R409" t="b">
        <v>1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Valuation</t>
        </is>
      </c>
      <c r="B410" t="inlineStr">
        <is>
          <t>V29</t>
        </is>
      </c>
      <c r="C410" t="n">
        <v>29</v>
      </c>
      <c r="D410" t="n">
        <v>22</v>
      </c>
      <c r="E410" t="inlineStr">
        <is>
          <t>Input</t>
        </is>
      </c>
      <c r="F410" t="n">
        <v/>
      </c>
      <c r="G410" t="n">
        <v>1374.586026109415</v>
      </c>
      <c r="H410" t="inlineStr"/>
      <c r="I410" t="inlineStr">
        <is>
          <t>0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Values must be of type &lt;class 'str'&gt;</t>
        </is>
      </c>
      <c r="O410" t="inlineStr">
        <is>
          <t>center</t>
        </is>
      </c>
      <c r="P410" t="n">
        <v/>
      </c>
      <c r="R410" t="b">
        <v>1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Valuation</t>
        </is>
      </c>
      <c r="B411" t="inlineStr">
        <is>
          <t>W29</t>
        </is>
      </c>
      <c r="C411" t="n">
        <v>29</v>
      </c>
      <c r="D411" t="n">
        <v>23</v>
      </c>
      <c r="E411" t="inlineStr">
        <is>
          <t>Input</t>
        </is>
      </c>
      <c r="F411" t="n">
        <v/>
      </c>
      <c r="G411" t="n">
        <v>1410.613517050185</v>
      </c>
      <c r="H411" t="inlineStr"/>
      <c r="I411" t="inlineStr">
        <is>
          <t>0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inlineStr">
        <is>
          <t>center</t>
        </is>
      </c>
      <c r="P411" t="n">
        <v/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Valuation</t>
        </is>
      </c>
      <c r="B412" t="inlineStr">
        <is>
          <t>X29</t>
        </is>
      </c>
      <c r="C412" t="n">
        <v>29</v>
      </c>
      <c r="D412" t="n">
        <v>24</v>
      </c>
      <c r="E412" t="inlineStr">
        <is>
          <t>Input</t>
        </is>
      </c>
      <c r="F412" t="n">
        <v/>
      </c>
      <c r="G412" t="n">
        <v>1450.557039614953</v>
      </c>
      <c r="H412" t="inlineStr"/>
      <c r="I412" t="inlineStr">
        <is>
          <t>0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center</t>
        </is>
      </c>
      <c r="P412" t="n">
        <v/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Valuation</t>
        </is>
      </c>
      <c r="B413" t="inlineStr">
        <is>
          <t>Y29</t>
        </is>
      </c>
      <c r="C413" t="n">
        <v>29</v>
      </c>
      <c r="D413" t="n">
        <v>25</v>
      </c>
      <c r="E413" t="inlineStr">
        <is>
          <t>Input</t>
        </is>
      </c>
      <c r="F413" t="n">
        <v/>
      </c>
      <c r="G413" t="n">
        <v>1495.091771669923</v>
      </c>
      <c r="H413" t="inlineStr"/>
      <c r="I413" t="inlineStr">
        <is>
          <t>0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inlineStr">
        <is>
          <t>center</t>
        </is>
      </c>
      <c r="P413" t="n">
        <v/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Valuation</t>
        </is>
      </c>
      <c r="B414" t="inlineStr">
        <is>
          <t>Z29</t>
        </is>
      </c>
      <c r="C414" t="n">
        <v>29</v>
      </c>
      <c r="D414" t="n">
        <v>26</v>
      </c>
      <c r="E414" t="inlineStr">
        <is>
          <t>Input</t>
        </is>
      </c>
      <c r="F414" t="n">
        <v/>
      </c>
      <c r="G414" t="n">
        <v>1545.057568609646</v>
      </c>
      <c r="H414" t="inlineStr"/>
      <c r="I414" t="inlineStr">
        <is>
          <t>0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inlineStr">
        <is>
          <t>center</t>
        </is>
      </c>
      <c r="P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Valuation</t>
        </is>
      </c>
      <c r="B415" t="inlineStr">
        <is>
          <t>AA29</t>
        </is>
      </c>
      <c r="C415" t="n">
        <v>29</v>
      </c>
      <c r="D415" t="n">
        <v>27</v>
      </c>
      <c r="E415" t="inlineStr">
        <is>
          <t>Input</t>
        </is>
      </c>
      <c r="F415" t="n">
        <v/>
      </c>
      <c r="G415" t="n">
        <v>1601.512430086994</v>
      </c>
      <c r="H415" t="inlineStr"/>
      <c r="I415" t="inlineStr">
        <is>
          <t>0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center</t>
        </is>
      </c>
      <c r="P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Valuation</t>
        </is>
      </c>
      <c r="B416" t="inlineStr">
        <is>
          <t>AB29</t>
        </is>
      </c>
      <c r="C416" t="n">
        <v>29</v>
      </c>
      <c r="D416" t="n">
        <v>28</v>
      </c>
      <c r="E416" t="inlineStr">
        <is>
          <t>Input</t>
        </is>
      </c>
      <c r="F416" t="n">
        <v/>
      </c>
      <c r="G416" t="n">
        <v>1665.808244547309</v>
      </c>
      <c r="H416" t="inlineStr"/>
      <c r="I416" t="inlineStr">
        <is>
          <t>0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inlineStr">
        <is>
          <t>center</t>
        </is>
      </c>
      <c r="P416" t="n">
        <v/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Valuation</t>
        </is>
      </c>
      <c r="B417" t="inlineStr">
        <is>
          <t>A30</t>
        </is>
      </c>
      <c r="C417" t="n">
        <v>30</v>
      </c>
      <c r="D417" t="n">
        <v>1</v>
      </c>
      <c r="E417" t="inlineStr">
        <is>
          <t>Input</t>
        </is>
      </c>
      <c r="F417" t="n">
        <v/>
      </c>
      <c r="G417" t="inlineStr">
        <is>
          <t>Working Capital Change</t>
        </is>
      </c>
      <c r="H417" t="inlineStr"/>
      <c r="I417" t="inlineStr">
        <is>
          <t>0.0%</t>
        </is>
      </c>
      <c r="J417" t="b">
        <v>0</v>
      </c>
      <c r="K417" t="b">
        <v>0</v>
      </c>
      <c r="L417" t="n">
        <v>10</v>
      </c>
      <c r="M417" t="n">
        <v/>
      </c>
      <c r="N417" t="inlineStr">
        <is>
          <t>00000000</t>
        </is>
      </c>
      <c r="O417" t="inlineStr">
        <is>
          <t>left</t>
        </is>
      </c>
      <c r="P417" t="n">
        <v/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Valuation</t>
        </is>
      </c>
      <c r="B418" t="inlineStr">
        <is>
          <t>C30</t>
        </is>
      </c>
      <c r="C418" t="n">
        <v>30</v>
      </c>
      <c r="D418" t="n">
        <v>3</v>
      </c>
      <c r="E418" t="inlineStr">
        <is>
          <t>Calculation</t>
        </is>
      </c>
      <c r="F418" t="inlineStr">
        <is>
          <t>'='CashFlow Statement'!D29</t>
        </is>
      </c>
      <c r="G418" t="n">
        <v>2600.14</v>
      </c>
      <c r="H418" t="inlineStr"/>
      <c r="I418" t="inlineStr">
        <is>
          <t>0</t>
        </is>
      </c>
      <c r="J418" t="b">
        <v>0</v>
      </c>
      <c r="K418" t="b">
        <v>0</v>
      </c>
      <c r="L418" t="n">
        <v>11</v>
      </c>
      <c r="M418" t="inlineStr">
        <is>
          <t>Values must be of type &lt;class 'str'&gt;</t>
        </is>
      </c>
      <c r="N418" t="inlineStr">
        <is>
          <t>00000000</t>
        </is>
      </c>
      <c r="O418" t="n">
        <v/>
      </c>
      <c r="P418" t="n">
        <v/>
      </c>
      <c r="R418" t="b">
        <v>1</v>
      </c>
      <c r="S418" t="inlineStr">
        <is>
          <t>G000403</t>
        </is>
      </c>
      <c r="T418" t="inlineStr">
        <is>
          <t>Horizontal</t>
        </is>
      </c>
      <c r="U418" t="n">
        <v>12</v>
      </c>
      <c r="V418" t="b">
        <v>1</v>
      </c>
      <c r="W418" t="inlineStr">
        <is>
          <t>Valuation!C30:N30</t>
        </is>
      </c>
      <c r="X418">
        <f>'CashFlow Statement'!R[-1]C[1]</f>
        <v/>
      </c>
    </row>
    <row r="419">
      <c r="A419" t="inlineStr">
        <is>
          <t>Valuation</t>
        </is>
      </c>
      <c r="B419" t="inlineStr">
        <is>
          <t>D30</t>
        </is>
      </c>
      <c r="C419" t="n">
        <v>30</v>
      </c>
      <c r="D419" t="n">
        <v>4</v>
      </c>
      <c r="E419" t="inlineStr">
        <is>
          <t>Calculation</t>
        </is>
      </c>
      <c r="F419" t="inlineStr">
        <is>
          <t>'='CashFlow Statement'!E29</t>
        </is>
      </c>
      <c r="G419" t="n">
        <v>8535.029999999999</v>
      </c>
      <c r="H419" t="inlineStr"/>
      <c r="I419" t="inlineStr">
        <is>
          <t>0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00000000</t>
        </is>
      </c>
      <c r="O419" t="n">
        <v/>
      </c>
      <c r="P419" t="n">
        <v/>
      </c>
      <c r="R419" t="b">
        <v>1</v>
      </c>
      <c r="S419" t="inlineStr">
        <is>
          <t>G000403</t>
        </is>
      </c>
      <c r="T419" t="inlineStr">
        <is>
          <t>Horizontal</t>
        </is>
      </c>
      <c r="U419" t="n">
        <v>12</v>
      </c>
      <c r="V419" t="b">
        <v>1</v>
      </c>
      <c r="W419" t="inlineStr">
        <is>
          <t>Valuation!C30:N30</t>
        </is>
      </c>
      <c r="X419">
        <f>'CashFlow Statement'!R[-1]C[1]</f>
        <v/>
      </c>
    </row>
    <row r="420">
      <c r="A420" t="inlineStr">
        <is>
          <t>Valuation</t>
        </is>
      </c>
      <c r="B420" t="inlineStr">
        <is>
          <t>E30</t>
        </is>
      </c>
      <c r="C420" t="n">
        <v>30</v>
      </c>
      <c r="D420" t="n">
        <v>5</v>
      </c>
      <c r="E420" t="inlineStr">
        <is>
          <t>Calculation</t>
        </is>
      </c>
      <c r="F420" t="inlineStr">
        <is>
          <t>'='CashFlow Statement'!F29</t>
        </is>
      </c>
      <c r="G420" t="n">
        <v>9696.27</v>
      </c>
      <c r="H420" t="inlineStr"/>
      <c r="I420" t="inlineStr">
        <is>
          <t>0</t>
        </is>
      </c>
      <c r="J420" t="b">
        <v>0</v>
      </c>
      <c r="K420" t="b">
        <v>0</v>
      </c>
      <c r="L420" t="n">
        <v>11</v>
      </c>
      <c r="M420" t="inlineStr">
        <is>
          <t>Values must be of type &lt;class 'str'&gt;</t>
        </is>
      </c>
      <c r="N420" t="inlineStr">
        <is>
          <t>00000000</t>
        </is>
      </c>
      <c r="O420" t="n">
        <v/>
      </c>
      <c r="P420" t="n">
        <v/>
      </c>
      <c r="R420" t="b">
        <v>1</v>
      </c>
      <c r="S420" t="inlineStr">
        <is>
          <t>G000403</t>
        </is>
      </c>
      <c r="T420" t="inlineStr">
        <is>
          <t>Horizontal</t>
        </is>
      </c>
      <c r="U420" t="n">
        <v>12</v>
      </c>
      <c r="V420" t="b">
        <v>1</v>
      </c>
      <c r="W420" t="inlineStr">
        <is>
          <t>Valuation!C30:N30</t>
        </is>
      </c>
      <c r="X420">
        <f>'CashFlow Statement'!R[-1]C[1]</f>
        <v/>
      </c>
    </row>
    <row r="421">
      <c r="A421" t="inlineStr">
        <is>
          <t>Valuation</t>
        </is>
      </c>
      <c r="B421" t="inlineStr">
        <is>
          <t>F30</t>
        </is>
      </c>
      <c r="C421" t="n">
        <v>30</v>
      </c>
      <c r="D421" t="n">
        <v>6</v>
      </c>
      <c r="E421" t="inlineStr">
        <is>
          <t>Calculation</t>
        </is>
      </c>
      <c r="F421" t="inlineStr">
        <is>
          <t>'='CashFlow Statement'!G29</t>
        </is>
      </c>
      <c r="G421" t="n">
        <v>11218.92</v>
      </c>
      <c r="H421" t="inlineStr"/>
      <c r="I421" t="inlineStr">
        <is>
          <t>0</t>
        </is>
      </c>
      <c r="J421" t="b">
        <v>0</v>
      </c>
      <c r="K421" t="b">
        <v>0</v>
      </c>
      <c r="L421" t="n">
        <v>11</v>
      </c>
      <c r="M421" t="inlineStr">
        <is>
          <t>Values must be of type &lt;class 'str'&gt;</t>
        </is>
      </c>
      <c r="N421" t="inlineStr">
        <is>
          <t>00000000</t>
        </is>
      </c>
      <c r="O421" t="n">
        <v/>
      </c>
      <c r="P421" t="n">
        <v/>
      </c>
      <c r="R421" t="b">
        <v>1</v>
      </c>
      <c r="S421" t="inlineStr">
        <is>
          <t>G000403</t>
        </is>
      </c>
      <c r="T421" t="inlineStr">
        <is>
          <t>Horizontal</t>
        </is>
      </c>
      <c r="U421" t="n">
        <v>12</v>
      </c>
      <c r="V421" t="b">
        <v>1</v>
      </c>
      <c r="W421" t="inlineStr">
        <is>
          <t>Valuation!C30:N30</t>
        </is>
      </c>
      <c r="X421">
        <f>'CashFlow Statement'!R[-1]C[1]</f>
        <v/>
      </c>
    </row>
    <row r="422">
      <c r="A422" t="inlineStr">
        <is>
          <t>Valuation</t>
        </is>
      </c>
      <c r="B422" t="inlineStr">
        <is>
          <t>G30</t>
        </is>
      </c>
      <c r="C422" t="n">
        <v>30</v>
      </c>
      <c r="D422" t="n">
        <v>7</v>
      </c>
      <c r="E422" t="inlineStr">
        <is>
          <t>Calculation</t>
        </is>
      </c>
      <c r="F422" t="inlineStr">
        <is>
          <t>'='CashFlow Statement'!H29</t>
        </is>
      </c>
      <c r="G422" t="n">
        <v>7765.16</v>
      </c>
      <c r="H422" t="inlineStr"/>
      <c r="I422" t="inlineStr">
        <is>
          <t>0</t>
        </is>
      </c>
      <c r="J422" t="b">
        <v>0</v>
      </c>
      <c r="K422" t="b">
        <v>0</v>
      </c>
      <c r="L422" t="n">
        <v>11</v>
      </c>
      <c r="M422" t="inlineStr">
        <is>
          <t>Values must be of type &lt;class 'str'&gt;</t>
        </is>
      </c>
      <c r="N422" t="inlineStr">
        <is>
          <t>00000000</t>
        </is>
      </c>
      <c r="O422" t="n">
        <v/>
      </c>
      <c r="P422" t="n">
        <v/>
      </c>
      <c r="R422" t="b">
        <v>1</v>
      </c>
      <c r="S422" t="inlineStr">
        <is>
          <t>G000403</t>
        </is>
      </c>
      <c r="T422" t="inlineStr">
        <is>
          <t>Horizontal</t>
        </is>
      </c>
      <c r="U422" t="n">
        <v>12</v>
      </c>
      <c r="V422" t="b">
        <v>1</v>
      </c>
      <c r="W422" t="inlineStr">
        <is>
          <t>Valuation!C30:N30</t>
        </is>
      </c>
      <c r="X422">
        <f>'CashFlow Statement'!R[-1]C[1]</f>
        <v/>
      </c>
    </row>
    <row r="423">
      <c r="A423" t="inlineStr">
        <is>
          <t>Valuation</t>
        </is>
      </c>
      <c r="B423" t="inlineStr">
        <is>
          <t>H30</t>
        </is>
      </c>
      <c r="C423" t="n">
        <v>30</v>
      </c>
      <c r="D423" t="n">
        <v>8</v>
      </c>
      <c r="E423" t="inlineStr">
        <is>
          <t>Calculation</t>
        </is>
      </c>
      <c r="F423" t="inlineStr">
        <is>
          <t>'='CashFlow Statement'!I29</t>
        </is>
      </c>
      <c r="G423" t="n">
        <v>3496.89</v>
      </c>
      <c r="H423" t="inlineStr"/>
      <c r="I423" t="inlineStr">
        <is>
          <t>0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n">
        <v/>
      </c>
      <c r="P423" t="n">
        <v/>
      </c>
      <c r="R423" t="b">
        <v>1</v>
      </c>
      <c r="S423" t="inlineStr">
        <is>
          <t>G000403</t>
        </is>
      </c>
      <c r="T423" t="inlineStr">
        <is>
          <t>Horizontal</t>
        </is>
      </c>
      <c r="U423" t="n">
        <v>12</v>
      </c>
      <c r="V423" t="b">
        <v>1</v>
      </c>
      <c r="W423" t="inlineStr">
        <is>
          <t>Valuation!C30:N30</t>
        </is>
      </c>
      <c r="X423">
        <f>'CashFlow Statement'!R[-1]C[1]</f>
        <v/>
      </c>
    </row>
    <row r="424">
      <c r="A424" t="inlineStr">
        <is>
          <t>Valuation</t>
        </is>
      </c>
      <c r="B424" t="inlineStr">
        <is>
          <t>I30</t>
        </is>
      </c>
      <c r="C424" t="n">
        <v>30</v>
      </c>
      <c r="D424" t="n">
        <v>9</v>
      </c>
      <c r="E424" t="inlineStr">
        <is>
          <t>Calculation</t>
        </is>
      </c>
      <c r="F424" t="inlineStr">
        <is>
          <t>'='CashFlow Statement'!J29</t>
        </is>
      </c>
      <c r="G424" t="n">
        <v>21135.19</v>
      </c>
      <c r="H424" t="inlineStr"/>
      <c r="I424" t="inlineStr">
        <is>
          <t>0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n">
        <v/>
      </c>
      <c r="P424" t="n">
        <v/>
      </c>
      <c r="R424" t="b">
        <v>1</v>
      </c>
      <c r="S424" t="inlineStr">
        <is>
          <t>G000403</t>
        </is>
      </c>
      <c r="T424" t="inlineStr">
        <is>
          <t>Horizontal</t>
        </is>
      </c>
      <c r="U424" t="n">
        <v>12</v>
      </c>
      <c r="V424" t="b">
        <v>1</v>
      </c>
      <c r="W424" t="inlineStr">
        <is>
          <t>Valuation!C30:N30</t>
        </is>
      </c>
      <c r="X424">
        <f>'CashFlow Statement'!R[-1]C[1]</f>
        <v/>
      </c>
    </row>
    <row r="425">
      <c r="A425" t="inlineStr">
        <is>
          <t>Valuation</t>
        </is>
      </c>
      <c r="B425" t="inlineStr">
        <is>
          <t>J30</t>
        </is>
      </c>
      <c r="C425" t="n">
        <v>30</v>
      </c>
      <c r="D425" t="n">
        <v>10</v>
      </c>
      <c r="E425" t="inlineStr">
        <is>
          <t>Calculation</t>
        </is>
      </c>
      <c r="F425" t="inlineStr">
        <is>
          <t>'='CashFlow Statement'!K29</t>
        </is>
      </c>
      <c r="G425" t="n">
        <v>5196.874384290048</v>
      </c>
      <c r="H425" t="inlineStr"/>
      <c r="I425" t="inlineStr">
        <is>
          <t>0</t>
        </is>
      </c>
      <c r="J425" t="b">
        <v>0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00000000</t>
        </is>
      </c>
      <c r="O425" t="n">
        <v/>
      </c>
      <c r="P425" t="n">
        <v/>
      </c>
      <c r="R425" t="b">
        <v>1</v>
      </c>
      <c r="S425" t="inlineStr">
        <is>
          <t>G000403</t>
        </is>
      </c>
      <c r="T425" t="inlineStr">
        <is>
          <t>Horizontal</t>
        </is>
      </c>
      <c r="U425" t="n">
        <v>12</v>
      </c>
      <c r="V425" t="b">
        <v>1</v>
      </c>
      <c r="W425" t="inlineStr">
        <is>
          <t>Valuation!C30:N30</t>
        </is>
      </c>
      <c r="X425">
        <f>'CashFlow Statement'!R[-1]C[1]</f>
        <v/>
      </c>
    </row>
    <row r="426">
      <c r="A426" t="inlineStr">
        <is>
          <t>Valuation</t>
        </is>
      </c>
      <c r="B426" t="inlineStr">
        <is>
          <t>K30</t>
        </is>
      </c>
      <c r="C426" t="n">
        <v>30</v>
      </c>
      <c r="D426" t="n">
        <v>11</v>
      </c>
      <c r="E426" t="inlineStr">
        <is>
          <t>Calculation</t>
        </is>
      </c>
      <c r="F426" t="inlineStr">
        <is>
          <t>'='CashFlow Statement'!L29</t>
        </is>
      </c>
      <c r="G426" t="n">
        <v>10131.9694614197</v>
      </c>
      <c r="H426" t="inlineStr"/>
      <c r="I426" t="inlineStr">
        <is>
          <t>0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n">
        <v/>
      </c>
      <c r="P426" t="n">
        <v/>
      </c>
      <c r="R426" t="b">
        <v>1</v>
      </c>
      <c r="S426" t="inlineStr">
        <is>
          <t>G000403</t>
        </is>
      </c>
      <c r="T426" t="inlineStr">
        <is>
          <t>Horizontal</t>
        </is>
      </c>
      <c r="U426" t="n">
        <v>12</v>
      </c>
      <c r="V426" t="b">
        <v>1</v>
      </c>
      <c r="W426" t="inlineStr">
        <is>
          <t>Valuation!C30:N30</t>
        </is>
      </c>
      <c r="X426">
        <f>'CashFlow Statement'!R[-1]C[1]</f>
        <v/>
      </c>
    </row>
    <row r="427">
      <c r="A427" t="inlineStr">
        <is>
          <t>Valuation</t>
        </is>
      </c>
      <c r="B427" t="inlineStr">
        <is>
          <t>L30</t>
        </is>
      </c>
      <c r="C427" t="n">
        <v>30</v>
      </c>
      <c r="D427" t="n">
        <v>12</v>
      </c>
      <c r="E427" t="inlineStr">
        <is>
          <t>Calculation</t>
        </is>
      </c>
      <c r="F427" t="inlineStr">
        <is>
          <t>'='CashFlow Statement'!M29</t>
        </is>
      </c>
      <c r="G427" t="n">
        <v>6889.025206933526</v>
      </c>
      <c r="H427" t="inlineStr"/>
      <c r="I427" t="inlineStr">
        <is>
          <t>0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n">
        <v/>
      </c>
      <c r="P427" t="n">
        <v/>
      </c>
      <c r="R427" t="b">
        <v>1</v>
      </c>
      <c r="S427" t="inlineStr">
        <is>
          <t>G000403</t>
        </is>
      </c>
      <c r="T427" t="inlineStr">
        <is>
          <t>Horizontal</t>
        </is>
      </c>
      <c r="U427" t="n">
        <v>12</v>
      </c>
      <c r="V427" t="b">
        <v>1</v>
      </c>
      <c r="W427" t="inlineStr">
        <is>
          <t>Valuation!C30:N30</t>
        </is>
      </c>
      <c r="X427">
        <f>'CashFlow Statement'!R[-1]C[1]</f>
        <v/>
      </c>
    </row>
    <row r="428">
      <c r="A428" t="inlineStr">
        <is>
          <t>Valuation</t>
        </is>
      </c>
      <c r="B428" t="inlineStr">
        <is>
          <t>M30</t>
        </is>
      </c>
      <c r="C428" t="n">
        <v>30</v>
      </c>
      <c r="D428" t="n">
        <v>13</v>
      </c>
      <c r="E428" t="inlineStr">
        <is>
          <t>Calculation</t>
        </is>
      </c>
      <c r="F428" t="inlineStr">
        <is>
          <t>'='CashFlow Statement'!N29</t>
        </is>
      </c>
      <c r="G428" t="n">
        <v>14124.67724840588</v>
      </c>
      <c r="H428" t="inlineStr"/>
      <c r="I428" t="inlineStr">
        <is>
          <t>0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n">
        <v/>
      </c>
      <c r="P428" t="n">
        <v/>
      </c>
      <c r="R428" t="b">
        <v>1</v>
      </c>
      <c r="S428" t="inlineStr">
        <is>
          <t>G000403</t>
        </is>
      </c>
      <c r="T428" t="inlineStr">
        <is>
          <t>Horizontal</t>
        </is>
      </c>
      <c r="U428" t="n">
        <v>12</v>
      </c>
      <c r="V428" t="b">
        <v>1</v>
      </c>
      <c r="W428" t="inlineStr">
        <is>
          <t>Valuation!C30:N30</t>
        </is>
      </c>
      <c r="X428">
        <f>'CashFlow Statement'!R[-1]C[1]</f>
        <v/>
      </c>
    </row>
    <row r="429">
      <c r="A429" t="inlineStr">
        <is>
          <t>Valuation</t>
        </is>
      </c>
      <c r="B429" t="inlineStr">
        <is>
          <t>N30</t>
        </is>
      </c>
      <c r="C429" t="n">
        <v>30</v>
      </c>
      <c r="D429" t="n">
        <v>14</v>
      </c>
      <c r="E429" t="inlineStr">
        <is>
          <t>Calculation</t>
        </is>
      </c>
      <c r="F429" t="inlineStr">
        <is>
          <t>'='CashFlow Statement'!O29</t>
        </is>
      </c>
      <c r="G429" t="n">
        <v>16643.37170715142</v>
      </c>
      <c r="H429" t="inlineStr"/>
      <c r="I429" t="inlineStr">
        <is>
          <t>0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00000000</t>
        </is>
      </c>
      <c r="O429" t="n">
        <v/>
      </c>
      <c r="P429" t="n">
        <v/>
      </c>
      <c r="R429" t="b">
        <v>1</v>
      </c>
      <c r="S429" t="inlineStr">
        <is>
          <t>G000403</t>
        </is>
      </c>
      <c r="T429" t="inlineStr">
        <is>
          <t>Horizontal</t>
        </is>
      </c>
      <c r="U429" t="n">
        <v>12</v>
      </c>
      <c r="V429" t="b">
        <v>1</v>
      </c>
      <c r="W429" t="inlineStr">
        <is>
          <t>Valuation!C30:N30</t>
        </is>
      </c>
      <c r="X429">
        <f>'CashFlow Statement'!R[-1]C[1]</f>
        <v/>
      </c>
    </row>
    <row r="430">
      <c r="A430" t="inlineStr">
        <is>
          <t>Valuation</t>
        </is>
      </c>
      <c r="B430" t="inlineStr">
        <is>
          <t>P30</t>
        </is>
      </c>
      <c r="C430" t="n">
        <v>30</v>
      </c>
      <c r="D430" t="n">
        <v>16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00000000</t>
        </is>
      </c>
      <c r="O430" t="n">
        <v/>
      </c>
      <c r="P430" t="n">
        <v/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Valuation</t>
        </is>
      </c>
      <c r="B431" t="inlineStr">
        <is>
          <t>Q30</t>
        </is>
      </c>
      <c r="C431" t="n">
        <v>30</v>
      </c>
      <c r="D431" t="n">
        <v>17</v>
      </c>
      <c r="E431" t="inlineStr">
        <is>
          <t>Calculation</t>
        </is>
      </c>
      <c r="F431" t="inlineStr">
        <is>
          <t>'=Q29+0.5%</t>
        </is>
      </c>
      <c r="G431" t="n">
        <v>0.147</v>
      </c>
      <c r="H431" t="inlineStr"/>
      <c r="I431" t="inlineStr">
        <is>
          <t>0.0%</t>
        </is>
      </c>
      <c r="J431" t="b">
        <v>1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center</t>
        </is>
      </c>
      <c r="P431" t="n">
        <v/>
      </c>
      <c r="R431" t="b">
        <v>1</v>
      </c>
      <c r="S431" t="inlineStr">
        <is>
          <t>G000399</t>
        </is>
      </c>
      <c r="T431" t="inlineStr">
        <is>
          <t>Vertical</t>
        </is>
      </c>
      <c r="U431" t="n">
        <v>12</v>
      </c>
      <c r="V431" t="b">
        <v>1</v>
      </c>
      <c r="W431" t="inlineStr">
        <is>
          <t>Valuation!Q25:Q36</t>
        </is>
      </c>
      <c r="X431">
        <f>R[-1]C[0]+0.5%</f>
        <v/>
      </c>
    </row>
    <row r="432">
      <c r="A432" t="inlineStr">
        <is>
          <t>Valuation</t>
        </is>
      </c>
      <c r="B432" t="inlineStr">
        <is>
          <t>R30</t>
        </is>
      </c>
      <c r="C432" t="n">
        <v>30</v>
      </c>
      <c r="D432" t="n">
        <v>18</v>
      </c>
      <c r="E432" t="inlineStr">
        <is>
          <t>Input</t>
        </is>
      </c>
      <c r="F432" t="n">
        <v/>
      </c>
      <c r="G432" t="n">
        <v>1210.907665102112</v>
      </c>
      <c r="H432" t="inlineStr"/>
      <c r="I432" t="inlineStr">
        <is>
          <t>0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inlineStr">
        <is>
          <t>center</t>
        </is>
      </c>
      <c r="P432" t="n">
        <v/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Valuation</t>
        </is>
      </c>
      <c r="B433" t="inlineStr">
        <is>
          <t>S30</t>
        </is>
      </c>
      <c r="C433" t="n">
        <v>30</v>
      </c>
      <c r="D433" t="n">
        <v>19</v>
      </c>
      <c r="E433" t="inlineStr">
        <is>
          <t>Input</t>
        </is>
      </c>
      <c r="F433" t="n">
        <v/>
      </c>
      <c r="G433" t="n">
        <v>1233.026718961425</v>
      </c>
      <c r="H433" t="inlineStr"/>
      <c r="I433" t="inlineStr">
        <is>
          <t>0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Values must be of type &lt;class 'str'&gt;</t>
        </is>
      </c>
      <c r="O433" t="inlineStr">
        <is>
          <t>center</t>
        </is>
      </c>
      <c r="P433" t="n">
        <v/>
      </c>
      <c r="R433" t="b">
        <v>1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Valuation</t>
        </is>
      </c>
      <c r="B434" t="inlineStr">
        <is>
          <t>T30</t>
        </is>
      </c>
      <c r="C434" t="n">
        <v>30</v>
      </c>
      <c r="D434" t="n">
        <v>20</v>
      </c>
      <c r="E434" t="inlineStr">
        <is>
          <t>Input</t>
        </is>
      </c>
      <c r="F434" t="n">
        <v/>
      </c>
      <c r="G434" t="n">
        <v>1257.036290244611</v>
      </c>
      <c r="H434" t="inlineStr"/>
      <c r="I434" t="inlineStr">
        <is>
          <t>0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Values must be of type &lt;class 'str'&gt;</t>
        </is>
      </c>
      <c r="O434" t="inlineStr">
        <is>
          <t>center</t>
        </is>
      </c>
      <c r="P434" t="n">
        <v/>
      </c>
      <c r="R434" t="b">
        <v>1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</row>
    <row r="435">
      <c r="A435" t="inlineStr">
        <is>
          <t>Valuation</t>
        </is>
      </c>
      <c r="B435" t="inlineStr">
        <is>
          <t>U30</t>
        </is>
      </c>
      <c r="C435" t="n">
        <v>30</v>
      </c>
      <c r="D435" t="n">
        <v>21</v>
      </c>
      <c r="E435" t="inlineStr">
        <is>
          <t>Input</t>
        </is>
      </c>
      <c r="F435" t="n">
        <v/>
      </c>
      <c r="G435" t="n">
        <v>1283.18957324951</v>
      </c>
      <c r="H435" t="inlineStr"/>
      <c r="I435" t="inlineStr">
        <is>
          <t>0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Values must be of type &lt;class 'str'&gt;</t>
        </is>
      </c>
      <c r="O435" t="inlineStr">
        <is>
          <t>center</t>
        </is>
      </c>
      <c r="P435" t="n">
        <v/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</row>
    <row r="436">
      <c r="A436" t="inlineStr">
        <is>
          <t>Valuation</t>
        </is>
      </c>
      <c r="B436" t="inlineStr">
        <is>
          <t>V30</t>
        </is>
      </c>
      <c r="C436" t="n">
        <v>30</v>
      </c>
      <c r="D436" t="n">
        <v>22</v>
      </c>
      <c r="E436" t="inlineStr">
        <is>
          <t>Input</t>
        </is>
      </c>
      <c r="F436" t="n">
        <v/>
      </c>
      <c r="G436" t="n">
        <v>1311.787088310942</v>
      </c>
      <c r="H436" t="inlineStr"/>
      <c r="I436" t="inlineStr">
        <is>
          <t>0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Values must be of type &lt;class 'str'&gt;</t>
        </is>
      </c>
      <c r="O436" t="inlineStr">
        <is>
          <t>center</t>
        </is>
      </c>
      <c r="P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</row>
    <row r="437">
      <c r="A437" t="inlineStr">
        <is>
          <t>Valuation</t>
        </is>
      </c>
      <c r="B437" t="inlineStr">
        <is>
          <t>W30</t>
        </is>
      </c>
      <c r="C437" t="n">
        <v>30</v>
      </c>
      <c r="D437" t="n">
        <v>23</v>
      </c>
      <c r="E437" t="inlineStr">
        <is>
          <t>Input</t>
        </is>
      </c>
      <c r="F437" t="n">
        <v/>
      </c>
      <c r="G437" t="n">
        <v>1343.188281319573</v>
      </c>
      <c r="H437" t="inlineStr"/>
      <c r="I437" t="inlineStr">
        <is>
          <t>0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Values must be of type &lt;class 'str'&gt;</t>
        </is>
      </c>
      <c r="O437" t="inlineStr">
        <is>
          <t>center</t>
        </is>
      </c>
      <c r="P437" t="n">
        <v/>
      </c>
      <c r="R437" t="b">
        <v>1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</row>
    <row r="438">
      <c r="A438" t="inlineStr">
        <is>
          <t>Valuation</t>
        </is>
      </c>
      <c r="B438" t="inlineStr">
        <is>
          <t>X30</t>
        </is>
      </c>
      <c r="C438" t="n">
        <v>30</v>
      </c>
      <c r="D438" t="n">
        <v>24</v>
      </c>
      <c r="E438" t="inlineStr">
        <is>
          <t>Input</t>
        </is>
      </c>
      <c r="F438" t="n">
        <v/>
      </c>
      <c r="G438" t="n">
        <v>1377.826710720846</v>
      </c>
      <c r="H438" t="inlineStr"/>
      <c r="I438" t="inlineStr">
        <is>
          <t>0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center</t>
        </is>
      </c>
      <c r="P438" t="n">
        <v/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Valuation</t>
        </is>
      </c>
      <c r="B439" t="inlineStr">
        <is>
          <t>Y30</t>
        </is>
      </c>
      <c r="C439" t="n">
        <v>30</v>
      </c>
      <c r="D439" t="n">
        <v>25</v>
      </c>
      <c r="E439" t="inlineStr">
        <is>
          <t>Input</t>
        </is>
      </c>
      <c r="F439" t="n">
        <v/>
      </c>
      <c r="G439" t="n">
        <v>1416.230186796171</v>
      </c>
      <c r="H439" t="inlineStr"/>
      <c r="I439" t="inlineStr">
        <is>
          <t>0</t>
        </is>
      </c>
      <c r="J439" t="b">
        <v>0</v>
      </c>
      <c r="K439" t="b">
        <v>0</v>
      </c>
      <c r="L439" t="n">
        <v>11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center</t>
        </is>
      </c>
      <c r="P439" t="n">
        <v/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</row>
    <row r="440">
      <c r="A440" t="inlineStr">
        <is>
          <t>Valuation</t>
        </is>
      </c>
      <c r="B440" t="inlineStr">
        <is>
          <t>Z30</t>
        </is>
      </c>
      <c r="C440" t="n">
        <v>30</v>
      </c>
      <c r="D440" t="n">
        <v>26</v>
      </c>
      <c r="E440" t="inlineStr">
        <is>
          <t>Input</t>
        </is>
      </c>
      <c r="F440" t="n">
        <v/>
      </c>
      <c r="G440" t="n">
        <v>1459.047855523832</v>
      </c>
      <c r="H440" t="inlineStr"/>
      <c r="I440" t="inlineStr">
        <is>
          <t>0</t>
        </is>
      </c>
      <c r="J440" t="b">
        <v>0</v>
      </c>
      <c r="K440" t="b">
        <v>0</v>
      </c>
      <c r="L440" t="n">
        <v>11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inlineStr">
        <is>
          <t>center</t>
        </is>
      </c>
      <c r="P440" t="n">
        <v/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Valuation</t>
        </is>
      </c>
      <c r="B441" t="inlineStr">
        <is>
          <t>AA30</t>
        </is>
      </c>
      <c r="C441" t="n">
        <v>30</v>
      </c>
      <c r="D441" t="n">
        <v>27</v>
      </c>
      <c r="E441" t="inlineStr">
        <is>
          <t>Input</t>
        </is>
      </c>
      <c r="F441" t="n">
        <v/>
      </c>
      <c r="G441" t="n">
        <v>1507.0871911695</v>
      </c>
      <c r="H441" t="inlineStr"/>
      <c r="I441" t="inlineStr">
        <is>
          <t>0</t>
        </is>
      </c>
      <c r="J441" t="b">
        <v>0</v>
      </c>
      <c r="K441" t="b">
        <v>0</v>
      </c>
      <c r="L441" t="n">
        <v>11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inlineStr">
        <is>
          <t>center</t>
        </is>
      </c>
      <c r="P441" t="n">
        <v/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Valuation</t>
        </is>
      </c>
      <c r="B442" t="inlineStr">
        <is>
          <t>AB30</t>
        </is>
      </c>
      <c r="C442" t="n">
        <v>30</v>
      </c>
      <c r="D442" t="n">
        <v>28</v>
      </c>
      <c r="E442" t="inlineStr">
        <is>
          <t>Input</t>
        </is>
      </c>
      <c r="F442" t="n">
        <v/>
      </c>
      <c r="G442" t="n">
        <v>1561.365401574346</v>
      </c>
      <c r="H442" t="inlineStr"/>
      <c r="I442" t="inlineStr">
        <is>
          <t>0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inlineStr">
        <is>
          <t>center</t>
        </is>
      </c>
      <c r="P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Valuation</t>
        </is>
      </c>
      <c r="B443" t="inlineStr">
        <is>
          <t>A31</t>
        </is>
      </c>
      <c r="C443" t="n">
        <v>31</v>
      </c>
      <c r="D443" t="n">
        <v>1</v>
      </c>
      <c r="E443" t="inlineStr">
        <is>
          <t>Input</t>
        </is>
      </c>
      <c r="F443" t="n">
        <v/>
      </c>
      <c r="G443" t="inlineStr">
        <is>
          <t>Operating Cash Flow</t>
        </is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10</v>
      </c>
      <c r="M443" t="n">
        <v/>
      </c>
      <c r="N443" t="inlineStr">
        <is>
          <t>00000000</t>
        </is>
      </c>
      <c r="O443" t="n">
        <v/>
      </c>
      <c r="P443" t="n">
        <v/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</row>
    <row r="444">
      <c r="A444" t="inlineStr">
        <is>
          <t>Valuation</t>
        </is>
      </c>
      <c r="B444" t="inlineStr">
        <is>
          <t>B31</t>
        </is>
      </c>
      <c r="C444" t="n">
        <v>31</v>
      </c>
      <c r="D444" t="n">
        <v>2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11</v>
      </c>
      <c r="M444" t="inlineStr">
        <is>
          <t>Values must be of type &lt;class 'str'&gt;</t>
        </is>
      </c>
      <c r="N444" t="inlineStr">
        <is>
          <t>00000000</t>
        </is>
      </c>
      <c r="O444" t="n">
        <v/>
      </c>
      <c r="P444" t="n">
        <v/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Valuation</t>
        </is>
      </c>
      <c r="B445" t="inlineStr">
        <is>
          <t>C31</t>
        </is>
      </c>
      <c r="C445" t="n">
        <v>31</v>
      </c>
      <c r="D445" t="n">
        <v>3</v>
      </c>
      <c r="E445" t="inlineStr">
        <is>
          <t>Calculation</t>
        </is>
      </c>
      <c r="F445" t="inlineStr">
        <is>
          <t>'=SUM(C28,C29,C30)</t>
        </is>
      </c>
      <c r="G445" t="n">
        <v>9023.490000000002</v>
      </c>
      <c r="H445" t="inlineStr"/>
      <c r="I445" t="inlineStr">
        <is>
          <t>0</t>
        </is>
      </c>
      <c r="J445" t="b">
        <v>0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n">
        <v/>
      </c>
      <c r="P445" t="n">
        <v/>
      </c>
      <c r="R445" t="b">
        <v>1</v>
      </c>
      <c r="S445" t="inlineStr">
        <is>
          <t>G000404</t>
        </is>
      </c>
      <c r="T445" t="inlineStr">
        <is>
          <t>Horizontal</t>
        </is>
      </c>
      <c r="U445" t="n">
        <v>12</v>
      </c>
      <c r="V445" t="b">
        <v>1</v>
      </c>
      <c r="W445" t="inlineStr">
        <is>
          <t>Valuation!C31:N31</t>
        </is>
      </c>
      <c r="X445">
        <f>SUM(R[-3]C[0],R[-2]C[0],R[-1]C[0])</f>
        <v/>
      </c>
    </row>
    <row r="446">
      <c r="A446" t="inlineStr">
        <is>
          <t>Valuation</t>
        </is>
      </c>
      <c r="B446" t="inlineStr">
        <is>
          <t>D31</t>
        </is>
      </c>
      <c r="C446" t="n">
        <v>31</v>
      </c>
      <c r="D446" t="n">
        <v>4</v>
      </c>
      <c r="E446" t="inlineStr">
        <is>
          <t>Calculation</t>
        </is>
      </c>
      <c r="F446" t="inlineStr">
        <is>
          <t>'=SUM(D28,D29,D30)</t>
        </is>
      </c>
      <c r="G446" t="n">
        <v>10606.19999999999</v>
      </c>
      <c r="H446" t="inlineStr"/>
      <c r="I446" t="inlineStr">
        <is>
          <t>0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n">
        <v/>
      </c>
      <c r="P446" t="n">
        <v/>
      </c>
      <c r="R446" t="b">
        <v>1</v>
      </c>
      <c r="S446" t="inlineStr">
        <is>
          <t>G000404</t>
        </is>
      </c>
      <c r="T446" t="inlineStr">
        <is>
          <t>Horizontal</t>
        </is>
      </c>
      <c r="U446" t="n">
        <v>12</v>
      </c>
      <c r="V446" t="b">
        <v>1</v>
      </c>
      <c r="W446" t="inlineStr">
        <is>
          <t>Valuation!C31:N31</t>
        </is>
      </c>
      <c r="X446">
        <f>SUM(R[-3]C[0],R[-2]C[0],R[-1]C[0])</f>
        <v/>
      </c>
    </row>
    <row r="447">
      <c r="A447" t="inlineStr">
        <is>
          <t>Valuation</t>
        </is>
      </c>
      <c r="B447" t="inlineStr">
        <is>
          <t>E31</t>
        </is>
      </c>
      <c r="C447" t="n">
        <v>31</v>
      </c>
      <c r="D447" t="n">
        <v>5</v>
      </c>
      <c r="E447" t="inlineStr">
        <is>
          <t>Calculation</t>
        </is>
      </c>
      <c r="F447" t="inlineStr">
        <is>
          <t>'=SUM(E28,E29,E30)</t>
        </is>
      </c>
      <c r="G447" t="n">
        <v>18386.03999999999</v>
      </c>
      <c r="H447" t="inlineStr"/>
      <c r="I447" t="inlineStr">
        <is>
          <t>0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n">
        <v/>
      </c>
      <c r="P447" t="n">
        <v/>
      </c>
      <c r="R447" t="b">
        <v>1</v>
      </c>
      <c r="S447" t="inlineStr">
        <is>
          <t>G000404</t>
        </is>
      </c>
      <c r="T447" t="inlineStr">
        <is>
          <t>Horizontal</t>
        </is>
      </c>
      <c r="U447" t="n">
        <v>12</v>
      </c>
      <c r="V447" t="b">
        <v>1</v>
      </c>
      <c r="W447" t="inlineStr">
        <is>
          <t>Valuation!C31:N31</t>
        </is>
      </c>
      <c r="X447">
        <f>SUM(R[-3]C[0],R[-2]C[0],R[-1]C[0])</f>
        <v/>
      </c>
    </row>
    <row r="448">
      <c r="A448" t="inlineStr">
        <is>
          <t>Valuation</t>
        </is>
      </c>
      <c r="B448" t="inlineStr">
        <is>
          <t>F31</t>
        </is>
      </c>
      <c r="C448" t="n">
        <v>31</v>
      </c>
      <c r="D448" t="n">
        <v>6</v>
      </c>
      <c r="E448" t="inlineStr">
        <is>
          <t>Calculation</t>
        </is>
      </c>
      <c r="F448" t="inlineStr">
        <is>
          <t>'=SUM(F28,F29,F30)</t>
        </is>
      </c>
      <c r="G448" t="n">
        <v>18212.26999999999</v>
      </c>
      <c r="H448" t="inlineStr"/>
      <c r="I448" t="inlineStr">
        <is>
          <t>0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n">
        <v/>
      </c>
      <c r="P448" t="n">
        <v/>
      </c>
      <c r="R448" t="b">
        <v>1</v>
      </c>
      <c r="S448" t="inlineStr">
        <is>
          <t>G000404</t>
        </is>
      </c>
      <c r="T448" t="inlineStr">
        <is>
          <t>Horizontal</t>
        </is>
      </c>
      <c r="U448" t="n">
        <v>12</v>
      </c>
      <c r="V448" t="b">
        <v>1</v>
      </c>
      <c r="W448" t="inlineStr">
        <is>
          <t>Valuation!C31:N31</t>
        </is>
      </c>
      <c r="X448">
        <f>SUM(R[-3]C[0],R[-2]C[0],R[-1]C[0])</f>
        <v/>
      </c>
    </row>
    <row r="449">
      <c r="A449" t="inlineStr">
        <is>
          <t>Valuation</t>
        </is>
      </c>
      <c r="B449" t="inlineStr">
        <is>
          <t>G31</t>
        </is>
      </c>
      <c r="C449" t="n">
        <v>31</v>
      </c>
      <c r="D449" t="n">
        <v>7</v>
      </c>
      <c r="E449" t="inlineStr">
        <is>
          <t>Calculation</t>
        </is>
      </c>
      <c r="F449" t="inlineStr">
        <is>
          <t>'=SUM(G28,G29,G30)</t>
        </is>
      </c>
      <c r="G449" t="n">
        <v>23829.01999999996</v>
      </c>
      <c r="H449" t="inlineStr"/>
      <c r="I449" t="inlineStr">
        <is>
          <t>0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n">
        <v/>
      </c>
      <c r="P449" t="n">
        <v/>
      </c>
      <c r="R449" t="b">
        <v>1</v>
      </c>
      <c r="S449" t="inlineStr">
        <is>
          <t>G000404</t>
        </is>
      </c>
      <c r="T449" t="inlineStr">
        <is>
          <t>Horizontal</t>
        </is>
      </c>
      <c r="U449" t="n">
        <v>12</v>
      </c>
      <c r="V449" t="b">
        <v>1</v>
      </c>
      <c r="W449" t="inlineStr">
        <is>
          <t>Valuation!C31:N31</t>
        </is>
      </c>
      <c r="X449">
        <f>SUM(R[-3]C[0],R[-2]C[0],R[-1]C[0])</f>
        <v/>
      </c>
    </row>
    <row r="450">
      <c r="A450" t="inlineStr">
        <is>
          <t>Valuation</t>
        </is>
      </c>
      <c r="B450" t="inlineStr">
        <is>
          <t>H31</t>
        </is>
      </c>
      <c r="C450" t="n">
        <v>31</v>
      </c>
      <c r="D450" t="n">
        <v>8</v>
      </c>
      <c r="E450" t="inlineStr">
        <is>
          <t>Calculation</t>
        </is>
      </c>
      <c r="F450" t="inlineStr">
        <is>
          <t>'=SUM(H28,H29,H30)</t>
        </is>
      </c>
      <c r="G450" t="n">
        <v>30601.61999999999</v>
      </c>
      <c r="H450" t="inlineStr"/>
      <c r="I450" t="inlineStr">
        <is>
          <t>0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n">
        <v/>
      </c>
      <c r="P450" t="n">
        <v/>
      </c>
      <c r="R450" t="b">
        <v>1</v>
      </c>
      <c r="S450" t="inlineStr">
        <is>
          <t>G000404</t>
        </is>
      </c>
      <c r="T450" t="inlineStr">
        <is>
          <t>Horizontal</t>
        </is>
      </c>
      <c r="U450" t="n">
        <v>12</v>
      </c>
      <c r="V450" t="b">
        <v>1</v>
      </c>
      <c r="W450" t="inlineStr">
        <is>
          <t>Valuation!C31:N31</t>
        </is>
      </c>
      <c r="X450">
        <f>SUM(R[-3]C[0],R[-2]C[0],R[-1]C[0])</f>
        <v/>
      </c>
    </row>
    <row r="451">
      <c r="A451" t="inlineStr">
        <is>
          <t>Valuation</t>
        </is>
      </c>
      <c r="B451" t="inlineStr">
        <is>
          <t>I31</t>
        </is>
      </c>
      <c r="C451" t="n">
        <v>31</v>
      </c>
      <c r="D451" t="n">
        <v>9</v>
      </c>
      <c r="E451" t="inlineStr">
        <is>
          <t>Calculation</t>
        </is>
      </c>
      <c r="F451" t="inlineStr">
        <is>
          <t>'=SUM(I28,I29,I30)</t>
        </is>
      </c>
      <c r="G451" t="n">
        <v>42299.19000000001</v>
      </c>
      <c r="H451" t="inlineStr"/>
      <c r="I451" t="inlineStr">
        <is>
          <t>0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00000000</t>
        </is>
      </c>
      <c r="O451" t="n">
        <v/>
      </c>
      <c r="P451" t="n">
        <v/>
      </c>
      <c r="R451" t="b">
        <v>1</v>
      </c>
      <c r="S451" t="inlineStr">
        <is>
          <t>G000404</t>
        </is>
      </c>
      <c r="T451" t="inlineStr">
        <is>
          <t>Horizontal</t>
        </is>
      </c>
      <c r="U451" t="n">
        <v>12</v>
      </c>
      <c r="V451" t="b">
        <v>1</v>
      </c>
      <c r="W451" t="inlineStr">
        <is>
          <t>Valuation!C31:N31</t>
        </is>
      </c>
      <c r="X451">
        <f>SUM(R[-3]C[0],R[-2]C[0],R[-1]C[0])</f>
        <v/>
      </c>
    </row>
    <row r="452">
      <c r="A452" t="inlineStr">
        <is>
          <t>Valuation</t>
        </is>
      </c>
      <c r="B452" t="inlineStr">
        <is>
          <t>J31</t>
        </is>
      </c>
      <c r="C452" t="n">
        <v>31</v>
      </c>
      <c r="D452" t="n">
        <v>10</v>
      </c>
      <c r="E452" t="inlineStr">
        <is>
          <t>Calculation</t>
        </is>
      </c>
      <c r="F452" t="inlineStr">
        <is>
          <t>'=SUM(J28,J29,J30)</t>
        </is>
      </c>
      <c r="G452" t="n">
        <v>48092.7654464107</v>
      </c>
      <c r="H452" t="inlineStr"/>
      <c r="I452" t="inlineStr">
        <is>
          <t>0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00000000</t>
        </is>
      </c>
      <c r="O452" t="n">
        <v/>
      </c>
      <c r="P452" t="n">
        <v/>
      </c>
      <c r="R452" t="b">
        <v>1</v>
      </c>
      <c r="S452" t="inlineStr">
        <is>
          <t>G000404</t>
        </is>
      </c>
      <c r="T452" t="inlineStr">
        <is>
          <t>Horizontal</t>
        </is>
      </c>
      <c r="U452" t="n">
        <v>12</v>
      </c>
      <c r="V452" t="b">
        <v>1</v>
      </c>
      <c r="W452" t="inlineStr">
        <is>
          <t>Valuation!C31:N31</t>
        </is>
      </c>
      <c r="X452">
        <f>SUM(R[-3]C[0],R[-2]C[0],R[-1]C[0])</f>
        <v/>
      </c>
    </row>
    <row r="453">
      <c r="A453" t="inlineStr">
        <is>
          <t>Valuation</t>
        </is>
      </c>
      <c r="B453" t="inlineStr">
        <is>
          <t>K31</t>
        </is>
      </c>
      <c r="C453" t="n">
        <v>31</v>
      </c>
      <c r="D453" t="n">
        <v>11</v>
      </c>
      <c r="E453" t="inlineStr">
        <is>
          <t>Calculation</t>
        </is>
      </c>
      <c r="F453" t="inlineStr">
        <is>
          <t>'=SUM(K28,K29,K30)</t>
        </is>
      </c>
      <c r="G453" t="n">
        <v>58265.73688192939</v>
      </c>
      <c r="H453" t="inlineStr"/>
      <c r="I453" t="inlineStr">
        <is>
          <t>0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n">
        <v/>
      </c>
      <c r="P453" t="n">
        <v/>
      </c>
      <c r="R453" t="b">
        <v>1</v>
      </c>
      <c r="S453" t="inlineStr">
        <is>
          <t>G000404</t>
        </is>
      </c>
      <c r="T453" t="inlineStr">
        <is>
          <t>Horizontal</t>
        </is>
      </c>
      <c r="U453" t="n">
        <v>12</v>
      </c>
      <c r="V453" t="b">
        <v>1</v>
      </c>
      <c r="W453" t="inlineStr">
        <is>
          <t>Valuation!C31:N31</t>
        </is>
      </c>
      <c r="X453">
        <f>SUM(R[-3]C[0],R[-2]C[0],R[-1]C[0])</f>
        <v/>
      </c>
    </row>
    <row r="454">
      <c r="A454" t="inlineStr">
        <is>
          <t>Valuation</t>
        </is>
      </c>
      <c r="B454" t="inlineStr">
        <is>
          <t>L31</t>
        </is>
      </c>
      <c r="C454" t="n">
        <v>31</v>
      </c>
      <c r="D454" t="n">
        <v>12</v>
      </c>
      <c r="E454" t="inlineStr">
        <is>
          <t>Calculation</t>
        </is>
      </c>
      <c r="F454" t="inlineStr">
        <is>
          <t>'=SUM(L28,L29,L30)</t>
        </is>
      </c>
      <c r="G454" t="n">
        <v>65563.24728165247</v>
      </c>
      <c r="H454" t="inlineStr"/>
      <c r="I454" t="inlineStr">
        <is>
          <t>0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n">
        <v/>
      </c>
      <c r="P454" t="n">
        <v/>
      </c>
      <c r="R454" t="b">
        <v>1</v>
      </c>
      <c r="S454" t="inlineStr">
        <is>
          <t>G000404</t>
        </is>
      </c>
      <c r="T454" t="inlineStr">
        <is>
          <t>Horizontal</t>
        </is>
      </c>
      <c r="U454" t="n">
        <v>12</v>
      </c>
      <c r="V454" t="b">
        <v>1</v>
      </c>
      <c r="W454" t="inlineStr">
        <is>
          <t>Valuation!C31:N31</t>
        </is>
      </c>
      <c r="X454">
        <f>SUM(R[-3]C[0],R[-2]C[0],R[-1]C[0])</f>
        <v/>
      </c>
    </row>
    <row r="455">
      <c r="A455" t="inlineStr">
        <is>
          <t>Valuation</t>
        </is>
      </c>
      <c r="B455" t="inlineStr">
        <is>
          <t>M31</t>
        </is>
      </c>
      <c r="C455" t="n">
        <v>31</v>
      </c>
      <c r="D455" t="n">
        <v>13</v>
      </c>
      <c r="E455" t="inlineStr">
        <is>
          <t>Calculation</t>
        </is>
      </c>
      <c r="F455" t="inlineStr">
        <is>
          <t>'=SUM(M28,M29,M30)</t>
        </is>
      </c>
      <c r="G455" t="n">
        <v>83685.70871224825</v>
      </c>
      <c r="H455" t="inlineStr"/>
      <c r="I455" t="inlineStr">
        <is>
          <t>0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n">
        <v/>
      </c>
      <c r="P455" t="n">
        <v/>
      </c>
      <c r="R455" t="b">
        <v>1</v>
      </c>
      <c r="S455" t="inlineStr">
        <is>
          <t>G000404</t>
        </is>
      </c>
      <c r="T455" t="inlineStr">
        <is>
          <t>Horizontal</t>
        </is>
      </c>
      <c r="U455" t="n">
        <v>12</v>
      </c>
      <c r="V455" t="b">
        <v>1</v>
      </c>
      <c r="W455" t="inlineStr">
        <is>
          <t>Valuation!C31:N31</t>
        </is>
      </c>
      <c r="X455">
        <f>SUM(R[-3]C[0],R[-2]C[0],R[-1]C[0])</f>
        <v/>
      </c>
    </row>
    <row r="456">
      <c r="A456" t="inlineStr">
        <is>
          <t>Valuation</t>
        </is>
      </c>
      <c r="B456" t="inlineStr">
        <is>
          <t>N31</t>
        </is>
      </c>
      <c r="C456" t="n">
        <v>31</v>
      </c>
      <c r="D456" t="n">
        <v>14</v>
      </c>
      <c r="E456" t="inlineStr">
        <is>
          <t>Calculation</t>
        </is>
      </c>
      <c r="F456" t="inlineStr">
        <is>
          <t>'=SUM(N28,N29,N30)</t>
        </is>
      </c>
      <c r="G456" t="n">
        <v>99671.56980572679</v>
      </c>
      <c r="H456" t="inlineStr"/>
      <c r="I456" t="inlineStr">
        <is>
          <t>0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n">
        <v/>
      </c>
      <c r="P456" t="n">
        <v/>
      </c>
      <c r="R456" t="b">
        <v>1</v>
      </c>
      <c r="S456" t="inlineStr">
        <is>
          <t>G000404</t>
        </is>
      </c>
      <c r="T456" t="inlineStr">
        <is>
          <t>Horizontal</t>
        </is>
      </c>
      <c r="U456" t="n">
        <v>12</v>
      </c>
      <c r="V456" t="b">
        <v>1</v>
      </c>
      <c r="W456" t="inlineStr">
        <is>
          <t>Valuation!C31:N31</t>
        </is>
      </c>
      <c r="X456">
        <f>SUM(R[-3]C[0],R[-2]C[0],R[-1]C[0])</f>
        <v/>
      </c>
    </row>
    <row r="457">
      <c r="A457" t="inlineStr">
        <is>
          <t>Valuation</t>
        </is>
      </c>
      <c r="B457" t="inlineStr">
        <is>
          <t>P31</t>
        </is>
      </c>
      <c r="C457" t="n">
        <v>31</v>
      </c>
      <c r="D457" t="n">
        <v>16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n">
        <v/>
      </c>
      <c r="P457" t="n">
        <v/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Valuation</t>
        </is>
      </c>
      <c r="B458" t="inlineStr">
        <is>
          <t>Q31</t>
        </is>
      </c>
      <c r="C458" t="n">
        <v>31</v>
      </c>
      <c r="D458" t="n">
        <v>17</v>
      </c>
      <c r="E458" t="inlineStr">
        <is>
          <t>Calculation</t>
        </is>
      </c>
      <c r="F458" t="inlineStr">
        <is>
          <t>'=Q30+0.5%</t>
        </is>
      </c>
      <c r="G458" t="n">
        <v>0.152</v>
      </c>
      <c r="H458" t="inlineStr"/>
      <c r="I458" t="inlineStr">
        <is>
          <t>0.0%</t>
        </is>
      </c>
      <c r="J458" t="b">
        <v>1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Values must be of type &lt;class 'str'&gt;</t>
        </is>
      </c>
      <c r="O458" t="inlineStr">
        <is>
          <t>center</t>
        </is>
      </c>
      <c r="P458" t="n">
        <v/>
      </c>
      <c r="R458" t="b">
        <v>1</v>
      </c>
      <c r="S458" t="inlineStr">
        <is>
          <t>G000399</t>
        </is>
      </c>
      <c r="T458" t="inlineStr">
        <is>
          <t>Vertical</t>
        </is>
      </c>
      <c r="U458" t="n">
        <v>12</v>
      </c>
      <c r="V458" t="b">
        <v>1</v>
      </c>
      <c r="W458" t="inlineStr">
        <is>
          <t>Valuation!Q25:Q36</t>
        </is>
      </c>
      <c r="X458">
        <f>R[-1]C[0]+0.5%</f>
        <v/>
      </c>
    </row>
    <row r="459">
      <c r="A459" t="inlineStr">
        <is>
          <t>Valuation</t>
        </is>
      </c>
      <c r="B459" t="inlineStr">
        <is>
          <t>R31</t>
        </is>
      </c>
      <c r="C459" t="n">
        <v>31</v>
      </c>
      <c r="D459" t="n">
        <v>18</v>
      </c>
      <c r="E459" t="inlineStr">
        <is>
          <t>Input</t>
        </is>
      </c>
      <c r="F459" t="n">
        <v/>
      </c>
      <c r="G459" t="n">
        <v>1166.101209931243</v>
      </c>
      <c r="H459" t="inlineStr"/>
      <c r="I459" t="inlineStr">
        <is>
          <t>0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inlineStr">
        <is>
          <t>center</t>
        </is>
      </c>
      <c r="P459" t="n">
        <v/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Valuation</t>
        </is>
      </c>
      <c r="B460" t="inlineStr">
        <is>
          <t>S31</t>
        </is>
      </c>
      <c r="C460" t="n">
        <v>31</v>
      </c>
      <c r="D460" t="n">
        <v>19</v>
      </c>
      <c r="E460" t="inlineStr">
        <is>
          <t>Input</t>
        </is>
      </c>
      <c r="F460" t="n">
        <v/>
      </c>
      <c r="G460" t="n">
        <v>1185.759733381931</v>
      </c>
      <c r="H460" t="inlineStr"/>
      <c r="I460" t="inlineStr">
        <is>
          <t>0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inlineStr">
        <is>
          <t>center</t>
        </is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Valuation</t>
        </is>
      </c>
      <c r="B461" t="inlineStr">
        <is>
          <t>T31</t>
        </is>
      </c>
      <c r="C461" t="n">
        <v>31</v>
      </c>
      <c r="D461" t="n">
        <v>20</v>
      </c>
      <c r="E461" t="inlineStr">
        <is>
          <t>Input</t>
        </is>
      </c>
      <c r="F461" t="n">
        <v/>
      </c>
      <c r="G461" t="n">
        <v>1207.029611213824</v>
      </c>
      <c r="H461" t="inlineStr"/>
      <c r="I461" t="inlineStr">
        <is>
          <t>0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inlineStr">
        <is>
          <t>center</t>
        </is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Valuation</t>
        </is>
      </c>
      <c r="B462" t="inlineStr">
        <is>
          <t>U31</t>
        </is>
      </c>
      <c r="C462" t="n">
        <v>31</v>
      </c>
      <c r="D462" t="n">
        <v>21</v>
      </c>
      <c r="E462" t="inlineStr">
        <is>
          <t>Input</t>
        </is>
      </c>
      <c r="F462" t="n">
        <v/>
      </c>
      <c r="G462" t="n">
        <v>1230.117427321946</v>
      </c>
      <c r="H462" t="inlineStr"/>
      <c r="I462" t="inlineStr">
        <is>
          <t>0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inlineStr">
        <is>
          <t>center</t>
        </is>
      </c>
      <c r="P462" t="n">
        <v/>
      </c>
      <c r="R462" t="b">
        <v>1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Valuation</t>
        </is>
      </c>
      <c r="B463" t="inlineStr">
        <is>
          <t>V31</t>
        </is>
      </c>
      <c r="C463" t="n">
        <v>31</v>
      </c>
      <c r="D463" t="n">
        <v>22</v>
      </c>
      <c r="E463" t="inlineStr">
        <is>
          <t>Input</t>
        </is>
      </c>
      <c r="F463" t="n">
        <v/>
      </c>
      <c r="G463" t="n">
        <v>1255.266655582579</v>
      </c>
      <c r="H463" t="inlineStr"/>
      <c r="I463" t="inlineStr">
        <is>
          <t>0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inlineStr">
        <is>
          <t>center</t>
        </is>
      </c>
      <c r="P463" t="n">
        <v/>
      </c>
      <c r="R463" t="b">
        <v>1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Valuation</t>
        </is>
      </c>
      <c r="B464" t="inlineStr">
        <is>
          <t>W31</t>
        </is>
      </c>
      <c r="C464" t="n">
        <v>31</v>
      </c>
      <c r="D464" t="n">
        <v>23</v>
      </c>
      <c r="E464" t="inlineStr">
        <is>
          <t>Input</t>
        </is>
      </c>
      <c r="F464" t="n">
        <v/>
      </c>
      <c r="G464" t="n">
        <v>1282.766279007757</v>
      </c>
      <c r="H464" t="inlineStr"/>
      <c r="I464" t="inlineStr">
        <is>
          <t>0</t>
        </is>
      </c>
      <c r="J464" t="b">
        <v>0</v>
      </c>
      <c r="K464" t="b">
        <v>0</v>
      </c>
      <c r="L464" t="n">
        <v>11</v>
      </c>
      <c r="M464" t="inlineStr">
        <is>
          <t>Values must be of type &lt;class 'str'&gt;</t>
        </is>
      </c>
      <c r="N464" t="inlineStr">
        <is>
          <t>Values must be of type &lt;class 'str'&gt;</t>
        </is>
      </c>
      <c r="O464" t="inlineStr">
        <is>
          <t>center</t>
        </is>
      </c>
      <c r="P464" t="n">
        <v/>
      </c>
      <c r="R464" t="b">
        <v>1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Valuation</t>
        </is>
      </c>
      <c r="B465" t="inlineStr">
        <is>
          <t>X31</t>
        </is>
      </c>
      <c r="C465" t="n">
        <v>31</v>
      </c>
      <c r="D465" t="n">
        <v>24</v>
      </c>
      <c r="E465" t="inlineStr">
        <is>
          <t>Input</t>
        </is>
      </c>
      <c r="F465" t="n">
        <v/>
      </c>
      <c r="G465" t="n">
        <v>1312.961943945208</v>
      </c>
      <c r="H465" t="inlineStr"/>
      <c r="I465" t="inlineStr">
        <is>
          <t>0</t>
        </is>
      </c>
      <c r="J465" t="b">
        <v>0</v>
      </c>
      <c r="K465" t="b">
        <v>0</v>
      </c>
      <c r="L465" t="n">
        <v>11</v>
      </c>
      <c r="M465" t="inlineStr">
        <is>
          <t>Values must be of type &lt;class 'str'&gt;</t>
        </is>
      </c>
      <c r="N465" t="inlineStr">
        <is>
          <t>Values must be of type &lt;class 'str'&gt;</t>
        </is>
      </c>
      <c r="O465" t="inlineStr">
        <is>
          <t>center</t>
        </is>
      </c>
      <c r="P465" t="n">
        <v/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Valuation</t>
        </is>
      </c>
      <c r="B466" t="inlineStr">
        <is>
          <t>Y31</t>
        </is>
      </c>
      <c r="C466" t="n">
        <v>31</v>
      </c>
      <c r="D466" t="n">
        <v>25</v>
      </c>
      <c r="E466" t="inlineStr">
        <is>
          <t>Input</t>
        </is>
      </c>
      <c r="F466" t="n">
        <v/>
      </c>
      <c r="G466" t="n">
        <v>1346.270564030849</v>
      </c>
      <c r="H466" t="inlineStr"/>
      <c r="I466" t="inlineStr">
        <is>
          <t>0</t>
        </is>
      </c>
      <c r="J466" t="b">
        <v>0</v>
      </c>
      <c r="K466" t="b">
        <v>0</v>
      </c>
      <c r="L466" t="n">
        <v>11</v>
      </c>
      <c r="M466" t="inlineStr">
        <is>
          <t>Values must be of type &lt;class 'str'&gt;</t>
        </is>
      </c>
      <c r="N466" t="inlineStr">
        <is>
          <t>Values must be of type &lt;class 'str'&gt;</t>
        </is>
      </c>
      <c r="O466" t="inlineStr">
        <is>
          <t>center</t>
        </is>
      </c>
      <c r="P466" t="n">
        <v/>
      </c>
      <c r="R466" t="b">
        <v>1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Valuation</t>
        </is>
      </c>
      <c r="B467" t="inlineStr">
        <is>
          <t>Z31</t>
        </is>
      </c>
      <c r="C467" t="n">
        <v>31</v>
      </c>
      <c r="D467" t="n">
        <v>26</v>
      </c>
      <c r="E467" t="inlineStr">
        <is>
          <t>Input</t>
        </is>
      </c>
      <c r="F467" t="n">
        <v/>
      </c>
      <c r="G467" t="n">
        <v>1383.199686299712</v>
      </c>
      <c r="H467" t="inlineStr"/>
      <c r="I467" t="inlineStr">
        <is>
          <t>0</t>
        </is>
      </c>
      <c r="J467" t="b">
        <v>0</v>
      </c>
      <c r="K467" t="b">
        <v>0</v>
      </c>
      <c r="L467" t="n">
        <v>11</v>
      </c>
      <c r="M467" t="inlineStr">
        <is>
          <t>Values must be of type &lt;class 'str'&gt;</t>
        </is>
      </c>
      <c r="N467" t="inlineStr">
        <is>
          <t>Values must be of type &lt;class 'str'&gt;</t>
        </is>
      </c>
      <c r="O467" t="inlineStr">
        <is>
          <t>center</t>
        </is>
      </c>
      <c r="P467" t="n">
        <v/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</row>
    <row r="468">
      <c r="A468" t="inlineStr">
        <is>
          <t>Valuation</t>
        </is>
      </c>
      <c r="B468" t="inlineStr">
        <is>
          <t>AA31</t>
        </is>
      </c>
      <c r="C468" t="n">
        <v>31</v>
      </c>
      <c r="D468" t="n">
        <v>27</v>
      </c>
      <c r="E468" t="inlineStr">
        <is>
          <t>Input</t>
        </is>
      </c>
      <c r="F468" t="n">
        <v/>
      </c>
      <c r="G468" t="n">
        <v>1424.373535266146</v>
      </c>
      <c r="H468" t="inlineStr"/>
      <c r="I468" t="inlineStr">
        <is>
          <t>0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inlineStr">
        <is>
          <t>center</t>
        </is>
      </c>
      <c r="P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Valuation</t>
        </is>
      </c>
      <c r="B469" t="inlineStr">
        <is>
          <t>AB31</t>
        </is>
      </c>
      <c r="C469" t="n">
        <v>31</v>
      </c>
      <c r="D469" t="n">
        <v>28</v>
      </c>
      <c r="E469" t="inlineStr">
        <is>
          <t>Input</t>
        </is>
      </c>
      <c r="F469" t="n">
        <v/>
      </c>
      <c r="G469" t="n">
        <v>1470.568585326047</v>
      </c>
      <c r="H469" t="inlineStr"/>
      <c r="I469" t="inlineStr">
        <is>
          <t>0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inlineStr">
        <is>
          <t>center</t>
        </is>
      </c>
      <c r="P469" t="n">
        <v/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Valuation</t>
        </is>
      </c>
      <c r="B470" t="inlineStr">
        <is>
          <t>A32</t>
        </is>
      </c>
      <c r="C470" t="n">
        <v>32</v>
      </c>
      <c r="D470" t="n">
        <v>1</v>
      </c>
      <c r="E470" t="inlineStr">
        <is>
          <t>Input</t>
        </is>
      </c>
      <c r="F470" t="n">
        <v/>
      </c>
      <c r="G470" t="inlineStr">
        <is>
          <t>Interest</t>
        </is>
      </c>
      <c r="H470" t="inlineStr"/>
      <c r="I470" t="inlineStr">
        <is>
          <t>0.0%</t>
        </is>
      </c>
      <c r="J470" t="b">
        <v>0</v>
      </c>
      <c r="K470" t="b">
        <v>0</v>
      </c>
      <c r="L470" t="n">
        <v>10</v>
      </c>
      <c r="M470" t="n">
        <v/>
      </c>
      <c r="N470" t="inlineStr">
        <is>
          <t>00000000</t>
        </is>
      </c>
      <c r="O470" t="inlineStr">
        <is>
          <t>left</t>
        </is>
      </c>
      <c r="P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Valuation</t>
        </is>
      </c>
      <c r="B471" t="inlineStr">
        <is>
          <t>C32</t>
        </is>
      </c>
      <c r="C471" t="n">
        <v>32</v>
      </c>
      <c r="D471" t="n">
        <v>3</v>
      </c>
      <c r="E471" t="inlineStr">
        <is>
          <t>Calculation</t>
        </is>
      </c>
      <c r="F471" t="inlineStr">
        <is>
          <t>'='Income statement'!D24</t>
        </is>
      </c>
      <c r="G471" t="n">
        <v>449.91</v>
      </c>
      <c r="H471" t="inlineStr"/>
      <c r="I471" t="inlineStr">
        <is>
          <t>0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n">
        <v/>
      </c>
      <c r="P471" t="n">
        <v/>
      </c>
      <c r="R471" t="b">
        <v>1</v>
      </c>
      <c r="S471" t="inlineStr">
        <is>
          <t>G000405</t>
        </is>
      </c>
      <c r="T471" t="inlineStr">
        <is>
          <t>Horizontal</t>
        </is>
      </c>
      <c r="U471" t="n">
        <v>12</v>
      </c>
      <c r="V471" t="b">
        <v>1</v>
      </c>
      <c r="W471" t="inlineStr">
        <is>
          <t>Valuation!C32:N32</t>
        </is>
      </c>
      <c r="X471">
        <f>'Income statement'!R[-8]C[1]</f>
        <v/>
      </c>
    </row>
    <row r="472">
      <c r="A472" t="inlineStr">
        <is>
          <t>Valuation</t>
        </is>
      </c>
      <c r="B472" t="inlineStr">
        <is>
          <t>D32</t>
        </is>
      </c>
      <c r="C472" t="n">
        <v>32</v>
      </c>
      <c r="D472" t="n">
        <v>4</v>
      </c>
      <c r="E472" t="inlineStr">
        <is>
          <t>Calculation</t>
        </is>
      </c>
      <c r="F472" t="inlineStr">
        <is>
          <t>'='Income statement'!E24</t>
        </is>
      </c>
      <c r="G472" t="n">
        <v>514.27</v>
      </c>
      <c r="H472" t="inlineStr"/>
      <c r="I472" t="inlineStr">
        <is>
          <t>0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n">
        <v/>
      </c>
      <c r="P472" t="n">
        <v/>
      </c>
      <c r="R472" t="b">
        <v>1</v>
      </c>
      <c r="S472" t="inlineStr">
        <is>
          <t>G000405</t>
        </is>
      </c>
      <c r="T472" t="inlineStr">
        <is>
          <t>Horizontal</t>
        </is>
      </c>
      <c r="U472" t="n">
        <v>12</v>
      </c>
      <c r="V472" t="b">
        <v>1</v>
      </c>
      <c r="W472" t="inlineStr">
        <is>
          <t>Valuation!C32:N32</t>
        </is>
      </c>
      <c r="X472">
        <f>'Income statement'!R[-8]C[1]</f>
        <v/>
      </c>
    </row>
    <row r="473">
      <c r="A473" t="inlineStr">
        <is>
          <t>Valuation</t>
        </is>
      </c>
      <c r="B473" t="inlineStr">
        <is>
          <t>E32</t>
        </is>
      </c>
      <c r="C473" t="n">
        <v>32</v>
      </c>
      <c r="D473" t="n">
        <v>5</v>
      </c>
      <c r="E473" t="inlineStr">
        <is>
          <t>Calculation</t>
        </is>
      </c>
      <c r="F473" t="inlineStr">
        <is>
          <t>'='Income statement'!F24</t>
        </is>
      </c>
      <c r="G473" t="n">
        <v>578.01</v>
      </c>
      <c r="H473" t="inlineStr"/>
      <c r="I473" t="inlineStr">
        <is>
          <t>0</t>
        </is>
      </c>
      <c r="J473" t="b">
        <v>0</v>
      </c>
      <c r="K473" t="b">
        <v>0</v>
      </c>
      <c r="L473" t="n">
        <v>11</v>
      </c>
      <c r="M473" t="inlineStr">
        <is>
          <t>Values must be of type &lt;class 'str'&gt;</t>
        </is>
      </c>
      <c r="N473" t="inlineStr">
        <is>
          <t>00000000</t>
        </is>
      </c>
      <c r="O473" t="n">
        <v/>
      </c>
      <c r="P473" t="n">
        <v/>
      </c>
      <c r="R473" t="b">
        <v>1</v>
      </c>
      <c r="S473" t="inlineStr">
        <is>
          <t>G000405</t>
        </is>
      </c>
      <c r="T473" t="inlineStr">
        <is>
          <t>Horizontal</t>
        </is>
      </c>
      <c r="U473" t="n">
        <v>12</v>
      </c>
      <c r="V473" t="b">
        <v>1</v>
      </c>
      <c r="W473" t="inlineStr">
        <is>
          <t>Valuation!C32:N32</t>
        </is>
      </c>
      <c r="X473">
        <f>'Income statement'!R[-8]C[1]</f>
        <v/>
      </c>
    </row>
    <row r="474">
      <c r="A474" t="inlineStr">
        <is>
          <t>Valuation</t>
        </is>
      </c>
      <c r="B474" t="inlineStr">
        <is>
          <t>F32</t>
        </is>
      </c>
      <c r="C474" t="n">
        <v>32</v>
      </c>
      <c r="D474" t="n">
        <v>6</v>
      </c>
      <c r="E474" t="inlineStr">
        <is>
          <t>Calculation</t>
        </is>
      </c>
      <c r="F474" t="inlineStr">
        <is>
          <t>'='Income statement'!G24</t>
        </is>
      </c>
      <c r="G474" t="n">
        <v>1225.77</v>
      </c>
      <c r="H474" t="inlineStr"/>
      <c r="I474" t="inlineStr">
        <is>
          <t>0</t>
        </is>
      </c>
      <c r="J474" t="b">
        <v>0</v>
      </c>
      <c r="K474" t="b">
        <v>0</v>
      </c>
      <c r="L474" t="n">
        <v>11</v>
      </c>
      <c r="M474" t="inlineStr">
        <is>
          <t>Values must be of type &lt;class 'str'&gt;</t>
        </is>
      </c>
      <c r="N474" t="inlineStr">
        <is>
          <t>00000000</t>
        </is>
      </c>
      <c r="O474" t="n">
        <v/>
      </c>
      <c r="P474" t="n">
        <v/>
      </c>
      <c r="R474" t="b">
        <v>1</v>
      </c>
      <c r="S474" t="inlineStr">
        <is>
          <t>G000405</t>
        </is>
      </c>
      <c r="T474" t="inlineStr">
        <is>
          <t>Horizontal</t>
        </is>
      </c>
      <c r="U474" t="n">
        <v>12</v>
      </c>
      <c r="V474" t="b">
        <v>1</v>
      </c>
      <c r="W474" t="inlineStr">
        <is>
          <t>Valuation!C32:N32</t>
        </is>
      </c>
      <c r="X474">
        <f>'Income statement'!R[-8]C[1]</f>
        <v/>
      </c>
    </row>
    <row r="475">
      <c r="A475" t="inlineStr">
        <is>
          <t>Valuation</t>
        </is>
      </c>
      <c r="B475" t="inlineStr">
        <is>
          <t>G32</t>
        </is>
      </c>
      <c r="C475" t="n">
        <v>32</v>
      </c>
      <c r="D475" t="n">
        <v>7</v>
      </c>
      <c r="E475" t="inlineStr">
        <is>
          <t>Calculation</t>
        </is>
      </c>
      <c r="F475" t="inlineStr">
        <is>
          <t>'='Income statement'!H24</t>
        </is>
      </c>
      <c r="G475" t="n">
        <v>1155.32</v>
      </c>
      <c r="H475" t="inlineStr"/>
      <c r="I475" t="inlineStr">
        <is>
          <t>0</t>
        </is>
      </c>
      <c r="J475" t="b">
        <v>0</v>
      </c>
      <c r="K475" t="b">
        <v>0</v>
      </c>
      <c r="L475" t="n">
        <v>11</v>
      </c>
      <c r="M475" t="inlineStr">
        <is>
          <t>Values must be of type &lt;class 'str'&gt;</t>
        </is>
      </c>
      <c r="N475" t="inlineStr">
        <is>
          <t>00000000</t>
        </is>
      </c>
      <c r="O475" t="n">
        <v/>
      </c>
      <c r="P475" t="n">
        <v/>
      </c>
      <c r="R475" t="b">
        <v>1</v>
      </c>
      <c r="S475" t="inlineStr">
        <is>
          <t>G000405</t>
        </is>
      </c>
      <c r="T475" t="inlineStr">
        <is>
          <t>Horizontal</t>
        </is>
      </c>
      <c r="U475" t="n">
        <v>12</v>
      </c>
      <c r="V475" t="b">
        <v>1</v>
      </c>
      <c r="W475" t="inlineStr">
        <is>
          <t>Valuation!C32:N32</t>
        </is>
      </c>
      <c r="X475">
        <f>'Income statement'!R[-8]C[1]</f>
        <v/>
      </c>
    </row>
    <row r="476">
      <c r="A476" t="inlineStr">
        <is>
          <t>Valuation</t>
        </is>
      </c>
      <c r="B476" t="inlineStr">
        <is>
          <t>H32</t>
        </is>
      </c>
      <c r="C476" t="n">
        <v>32</v>
      </c>
      <c r="D476" t="n">
        <v>8</v>
      </c>
      <c r="E476" t="inlineStr">
        <is>
          <t>Calculation</t>
        </is>
      </c>
      <c r="F476" t="inlineStr">
        <is>
          <t>'='Income statement'!I24</t>
        </is>
      </c>
      <c r="G476" t="n">
        <v>1348.53</v>
      </c>
      <c r="H476" t="inlineStr"/>
      <c r="I476" t="inlineStr">
        <is>
          <t>0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00000000</t>
        </is>
      </c>
      <c r="O476" t="n">
        <v/>
      </c>
      <c r="P476" t="n">
        <v/>
      </c>
      <c r="R476" t="b">
        <v>1</v>
      </c>
      <c r="S476" t="inlineStr">
        <is>
          <t>G000405</t>
        </is>
      </c>
      <c r="T476" t="inlineStr">
        <is>
          <t>Horizontal</t>
        </is>
      </c>
      <c r="U476" t="n">
        <v>12</v>
      </c>
      <c r="V476" t="b">
        <v>1</v>
      </c>
      <c r="W476" t="inlineStr">
        <is>
          <t>Valuation!C32:N32</t>
        </is>
      </c>
      <c r="X476">
        <f>'Income statement'!R[-8]C[1]</f>
        <v/>
      </c>
    </row>
    <row r="477">
      <c r="A477" t="inlineStr">
        <is>
          <t>Valuation</t>
        </is>
      </c>
      <c r="B477" t="inlineStr">
        <is>
          <t>I32</t>
        </is>
      </c>
      <c r="C477" t="n">
        <v>32</v>
      </c>
      <c r="D477" t="n">
        <v>9</v>
      </c>
      <c r="E477" t="inlineStr">
        <is>
          <t>Calculation</t>
        </is>
      </c>
      <c r="F477" t="inlineStr">
        <is>
          <t>'='Income statement'!J24</t>
        </is>
      </c>
      <c r="G477" t="n">
        <v>3307.8</v>
      </c>
      <c r="H477" t="inlineStr"/>
      <c r="I477" t="inlineStr">
        <is>
          <t>0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00000000</t>
        </is>
      </c>
      <c r="O477" t="n">
        <v/>
      </c>
      <c r="P477" t="n">
        <v/>
      </c>
      <c r="R477" t="b">
        <v>1</v>
      </c>
      <c r="S477" t="inlineStr">
        <is>
          <t>G000405</t>
        </is>
      </c>
      <c r="T477" t="inlineStr">
        <is>
          <t>Horizontal</t>
        </is>
      </c>
      <c r="U477" t="n">
        <v>12</v>
      </c>
      <c r="V477" t="b">
        <v>1</v>
      </c>
      <c r="W477" t="inlineStr">
        <is>
          <t>Valuation!C32:N32</t>
        </is>
      </c>
      <c r="X477">
        <f>'Income statement'!R[-8]C[1]</f>
        <v/>
      </c>
    </row>
    <row r="478">
      <c r="A478" t="inlineStr">
        <is>
          <t>Valuation</t>
        </is>
      </c>
      <c r="B478" t="inlineStr">
        <is>
          <t>J32</t>
        </is>
      </c>
      <c r="C478" t="n">
        <v>32</v>
      </c>
      <c r="D478" t="n">
        <v>10</v>
      </c>
      <c r="E478" t="inlineStr">
        <is>
          <t>Calculation</t>
        </is>
      </c>
      <c r="F478" t="inlineStr">
        <is>
          <t>'='Income statement'!K24</t>
        </is>
      </c>
      <c r="G478" t="n">
        <v>1527.28125</v>
      </c>
      <c r="H478" t="inlineStr"/>
      <c r="I478" t="inlineStr">
        <is>
          <t>0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00000000</t>
        </is>
      </c>
      <c r="O478" t="n">
        <v/>
      </c>
      <c r="P478" t="n">
        <v/>
      </c>
      <c r="R478" t="b">
        <v>1</v>
      </c>
      <c r="S478" t="inlineStr">
        <is>
          <t>G000405</t>
        </is>
      </c>
      <c r="T478" t="inlineStr">
        <is>
          <t>Horizontal</t>
        </is>
      </c>
      <c r="U478" t="n">
        <v>12</v>
      </c>
      <c r="V478" t="b">
        <v>1</v>
      </c>
      <c r="W478" t="inlineStr">
        <is>
          <t>Valuation!C32:N32</t>
        </is>
      </c>
      <c r="X478">
        <f>'Income statement'!R[-8]C[1]</f>
        <v/>
      </c>
    </row>
    <row r="479">
      <c r="A479" t="inlineStr">
        <is>
          <t>Valuation</t>
        </is>
      </c>
      <c r="B479" t="inlineStr">
        <is>
          <t>K32</t>
        </is>
      </c>
      <c r="C479" t="n">
        <v>32</v>
      </c>
      <c r="D479" t="n">
        <v>11</v>
      </c>
      <c r="E479" t="inlineStr">
        <is>
          <t>Calculation</t>
        </is>
      </c>
      <c r="F479" t="inlineStr">
        <is>
          <t>'='Income statement'!L24</t>
        </is>
      </c>
      <c r="G479" t="n">
        <v>2111.610075</v>
      </c>
      <c r="H479" t="inlineStr"/>
      <c r="I479" t="inlineStr">
        <is>
          <t>0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00000000</t>
        </is>
      </c>
      <c r="O479" t="n">
        <v/>
      </c>
      <c r="P479" t="n">
        <v/>
      </c>
      <c r="R479" t="b">
        <v>1</v>
      </c>
      <c r="S479" t="inlineStr">
        <is>
          <t>G000405</t>
        </is>
      </c>
      <c r="T479" t="inlineStr">
        <is>
          <t>Horizontal</t>
        </is>
      </c>
      <c r="U479" t="n">
        <v>12</v>
      </c>
      <c r="V479" t="b">
        <v>1</v>
      </c>
      <c r="W479" t="inlineStr">
        <is>
          <t>Valuation!C32:N32</t>
        </is>
      </c>
      <c r="X479">
        <f>'Income statement'!R[-8]C[1]</f>
        <v/>
      </c>
    </row>
    <row r="480">
      <c r="A480" t="inlineStr">
        <is>
          <t>Valuation</t>
        </is>
      </c>
      <c r="B480" t="inlineStr">
        <is>
          <t>L32</t>
        </is>
      </c>
      <c r="C480" t="n">
        <v>32</v>
      </c>
      <c r="D480" t="n">
        <v>12</v>
      </c>
      <c r="E480" t="inlineStr">
        <is>
          <t>Calculation</t>
        </is>
      </c>
      <c r="F480" t="inlineStr">
        <is>
          <t>'='Income statement'!M24</t>
        </is>
      </c>
      <c r="G480" t="n">
        <v>2541.039824999999</v>
      </c>
      <c r="H480" t="inlineStr"/>
      <c r="I480" t="inlineStr">
        <is>
          <t>0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n">
        <v/>
      </c>
      <c r="P480" t="n">
        <v/>
      </c>
      <c r="R480" t="b">
        <v>1</v>
      </c>
      <c r="S480" t="inlineStr">
        <is>
          <t>G000405</t>
        </is>
      </c>
      <c r="T480" t="inlineStr">
        <is>
          <t>Horizontal</t>
        </is>
      </c>
      <c r="U480" t="n">
        <v>12</v>
      </c>
      <c r="V480" t="b">
        <v>1</v>
      </c>
      <c r="W480" t="inlineStr">
        <is>
          <t>Valuation!C32:N32</t>
        </is>
      </c>
      <c r="X480">
        <f>'Income statement'!R[-8]C[1]</f>
        <v/>
      </c>
    </row>
    <row r="481">
      <c r="A481" t="inlineStr">
        <is>
          <t>Valuation</t>
        </is>
      </c>
      <c r="B481" t="inlineStr">
        <is>
          <t>M32</t>
        </is>
      </c>
      <c r="C481" t="n">
        <v>32</v>
      </c>
      <c r="D481" t="n">
        <v>13</v>
      </c>
      <c r="E481" t="inlineStr">
        <is>
          <t>Calculation</t>
        </is>
      </c>
      <c r="F481" t="inlineStr">
        <is>
          <t>'='Income statement'!N24</t>
        </is>
      </c>
      <c r="G481" t="n">
        <v>2962.189575</v>
      </c>
      <c r="H481" t="inlineStr"/>
      <c r="I481" t="inlineStr">
        <is>
          <t>0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00000000</t>
        </is>
      </c>
      <c r="O481" t="n">
        <v/>
      </c>
      <c r="P481" t="n">
        <v/>
      </c>
      <c r="R481" t="b">
        <v>1</v>
      </c>
      <c r="S481" t="inlineStr">
        <is>
          <t>G000405</t>
        </is>
      </c>
      <c r="T481" t="inlineStr">
        <is>
          <t>Horizontal</t>
        </is>
      </c>
      <c r="U481" t="n">
        <v>12</v>
      </c>
      <c r="V481" t="b">
        <v>1</v>
      </c>
      <c r="W481" t="inlineStr">
        <is>
          <t>Valuation!C32:N32</t>
        </is>
      </c>
      <c r="X481">
        <f>'Income statement'!R[-8]C[1]</f>
        <v/>
      </c>
    </row>
    <row r="482">
      <c r="A482" t="inlineStr">
        <is>
          <t>Valuation</t>
        </is>
      </c>
      <c r="B482" t="inlineStr">
        <is>
          <t>N32</t>
        </is>
      </c>
      <c r="C482" t="n">
        <v>32</v>
      </c>
      <c r="D482" t="n">
        <v>14</v>
      </c>
      <c r="E482" t="inlineStr">
        <is>
          <t>Calculation</t>
        </is>
      </c>
      <c r="F482" t="inlineStr">
        <is>
          <t>'='Income statement'!O24</t>
        </is>
      </c>
      <c r="G482" t="n">
        <v>3375.059324999999</v>
      </c>
      <c r="H482" t="inlineStr"/>
      <c r="I482" t="inlineStr">
        <is>
          <t>0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n">
        <v/>
      </c>
      <c r="P482" t="n">
        <v/>
      </c>
      <c r="R482" t="b">
        <v>1</v>
      </c>
      <c r="S482" t="inlineStr">
        <is>
          <t>G000405</t>
        </is>
      </c>
      <c r="T482" t="inlineStr">
        <is>
          <t>Horizontal</t>
        </is>
      </c>
      <c r="U482" t="n">
        <v>12</v>
      </c>
      <c r="V482" t="b">
        <v>1</v>
      </c>
      <c r="W482" t="inlineStr">
        <is>
          <t>Valuation!C32:N32</t>
        </is>
      </c>
      <c r="X482">
        <f>'Income statement'!R[-8]C[1]</f>
        <v/>
      </c>
    </row>
    <row r="483">
      <c r="A483" t="inlineStr">
        <is>
          <t>Valuation</t>
        </is>
      </c>
      <c r="B483" t="inlineStr">
        <is>
          <t>P32</t>
        </is>
      </c>
      <c r="C483" t="n">
        <v>32</v>
      </c>
      <c r="D483" t="n">
        <v>16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n">
        <v/>
      </c>
      <c r="P483" t="n">
        <v/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</row>
    <row r="484">
      <c r="A484" t="inlineStr">
        <is>
          <t>Valuation</t>
        </is>
      </c>
      <c r="B484" t="inlineStr">
        <is>
          <t>Q32</t>
        </is>
      </c>
      <c r="C484" t="n">
        <v>32</v>
      </c>
      <c r="D484" t="n">
        <v>17</v>
      </c>
      <c r="E484" t="inlineStr">
        <is>
          <t>Calculation</t>
        </is>
      </c>
      <c r="F484" t="inlineStr">
        <is>
          <t>'=Q31+0.5%</t>
        </is>
      </c>
      <c r="G484" t="n">
        <v>0.157</v>
      </c>
      <c r="H484" t="inlineStr"/>
      <c r="I484" t="inlineStr">
        <is>
          <t>0.0%</t>
        </is>
      </c>
      <c r="J484" t="b">
        <v>1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inlineStr">
        <is>
          <t>center</t>
        </is>
      </c>
      <c r="P484" t="n">
        <v/>
      </c>
      <c r="R484" t="b">
        <v>1</v>
      </c>
      <c r="S484" t="inlineStr">
        <is>
          <t>G000399</t>
        </is>
      </c>
      <c r="T484" t="inlineStr">
        <is>
          <t>Vertical</t>
        </is>
      </c>
      <c r="U484" t="n">
        <v>12</v>
      </c>
      <c r="V484" t="b">
        <v>1</v>
      </c>
      <c r="W484" t="inlineStr">
        <is>
          <t>Valuation!Q25:Q36</t>
        </is>
      </c>
      <c r="X484">
        <f>R[-1]C[0]+0.5%</f>
        <v/>
      </c>
    </row>
    <row r="485">
      <c r="A485" t="inlineStr">
        <is>
          <t>Valuation</t>
        </is>
      </c>
      <c r="B485" t="inlineStr">
        <is>
          <t>R32</t>
        </is>
      </c>
      <c r="C485" t="n">
        <v>32</v>
      </c>
      <c r="D485" t="n">
        <v>18</v>
      </c>
      <c r="E485" t="inlineStr">
        <is>
          <t>Input</t>
        </is>
      </c>
      <c r="F485" t="n">
        <v/>
      </c>
      <c r="G485" t="n">
        <v>1125.082356676723</v>
      </c>
      <c r="H485" t="inlineStr"/>
      <c r="I485" t="inlineStr">
        <is>
          <t>0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inlineStr">
        <is>
          <t>center</t>
        </is>
      </c>
      <c r="P485" t="n">
        <v/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Valuation</t>
        </is>
      </c>
      <c r="B486" t="inlineStr">
        <is>
          <t>S32</t>
        </is>
      </c>
      <c r="C486" t="n">
        <v>32</v>
      </c>
      <c r="D486" t="n">
        <v>19</v>
      </c>
      <c r="E486" t="inlineStr">
        <is>
          <t>Input</t>
        </is>
      </c>
      <c r="F486" t="n">
        <v/>
      </c>
      <c r="G486" t="n">
        <v>1142.609297887053</v>
      </c>
      <c r="H486" t="inlineStr"/>
      <c r="I486" t="inlineStr">
        <is>
          <t>0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inlineStr">
        <is>
          <t>center</t>
        </is>
      </c>
      <c r="P486" t="n">
        <v/>
      </c>
      <c r="R486" t="b">
        <v>1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Valuation</t>
        </is>
      </c>
      <c r="B487" t="inlineStr">
        <is>
          <t>T32</t>
        </is>
      </c>
      <c r="C487" t="n">
        <v>32</v>
      </c>
      <c r="D487" t="n">
        <v>20</v>
      </c>
      <c r="E487" t="inlineStr">
        <is>
          <t>Input</t>
        </is>
      </c>
      <c r="F487" t="n">
        <v/>
      </c>
      <c r="G487" t="n">
        <v>1161.516313208434</v>
      </c>
      <c r="H487" t="inlineStr"/>
      <c r="I487" t="inlineStr">
        <is>
          <t>0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inlineStr">
        <is>
          <t>center</t>
        </is>
      </c>
      <c r="P487" t="n">
        <v/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Valuation</t>
        </is>
      </c>
      <c r="B488" t="inlineStr">
        <is>
          <t>U32</t>
        </is>
      </c>
      <c r="C488" t="n">
        <v>32</v>
      </c>
      <c r="D488" t="n">
        <v>21</v>
      </c>
      <c r="E488" t="inlineStr">
        <is>
          <t>Input</t>
        </is>
      </c>
      <c r="F488" t="n">
        <v/>
      </c>
      <c r="G488" t="n">
        <v>1181.973083884025</v>
      </c>
      <c r="H488" t="inlineStr"/>
      <c r="I488" t="inlineStr">
        <is>
          <t>0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Values must be of type &lt;class 'str'&gt;</t>
        </is>
      </c>
      <c r="O488" t="inlineStr">
        <is>
          <t>center</t>
        </is>
      </c>
      <c r="P488" t="n">
        <v/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</row>
    <row r="489">
      <c r="A489" t="inlineStr">
        <is>
          <t>Valuation</t>
        </is>
      </c>
      <c r="B489" t="inlineStr">
        <is>
          <t>V32</t>
        </is>
      </c>
      <c r="C489" t="n">
        <v>32</v>
      </c>
      <c r="D489" t="n">
        <v>22</v>
      </c>
      <c r="E489" t="inlineStr">
        <is>
          <t>Input</t>
        </is>
      </c>
      <c r="F489" t="n">
        <v/>
      </c>
      <c r="G489" t="n">
        <v>1204.178296497701</v>
      </c>
      <c r="H489" t="inlineStr"/>
      <c r="I489" t="inlineStr">
        <is>
          <t>0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Values must be of type &lt;class 'str'&gt;</t>
        </is>
      </c>
      <c r="O489" t="inlineStr">
        <is>
          <t>center</t>
        </is>
      </c>
      <c r="P489" t="n">
        <v/>
      </c>
      <c r="R489" t="b">
        <v>1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</row>
    <row r="490">
      <c r="A490" t="inlineStr">
        <is>
          <t>Valuation</t>
        </is>
      </c>
      <c r="B490" t="inlineStr">
        <is>
          <t>W32</t>
        </is>
      </c>
      <c r="C490" t="n">
        <v>32</v>
      </c>
      <c r="D490" t="n">
        <v>23</v>
      </c>
      <c r="E490" t="inlineStr">
        <is>
          <t>Input</t>
        </is>
      </c>
      <c r="F490" t="n">
        <v/>
      </c>
      <c r="G490" t="n">
        <v>1228.366117380456</v>
      </c>
      <c r="H490" t="inlineStr"/>
      <c r="I490" t="inlineStr">
        <is>
          <t>0</t>
        </is>
      </c>
      <c r="J490" t="b">
        <v>0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Values must be of type &lt;class 'str'&gt;</t>
        </is>
      </c>
      <c r="O490" t="inlineStr">
        <is>
          <t>center</t>
        </is>
      </c>
      <c r="P490" t="n">
        <v/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</row>
    <row r="491">
      <c r="A491" t="inlineStr">
        <is>
          <t>Valuation</t>
        </is>
      </c>
      <c r="B491" t="inlineStr">
        <is>
          <t>X32</t>
        </is>
      </c>
      <c r="C491" t="n">
        <v>32</v>
      </c>
      <c r="D491" t="n">
        <v>24</v>
      </c>
      <c r="E491" t="inlineStr">
        <is>
          <t>Input</t>
        </is>
      </c>
      <c r="F491" t="n">
        <v/>
      </c>
      <c r="G491" t="n">
        <v>1254.814482270944</v>
      </c>
      <c r="H491" t="inlineStr"/>
      <c r="I491" t="inlineStr">
        <is>
          <t>0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n">
        <v/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</row>
    <row r="492">
      <c r="A492" t="inlineStr">
        <is>
          <t>Valuation</t>
        </is>
      </c>
      <c r="B492" t="inlineStr">
        <is>
          <t>Y32</t>
        </is>
      </c>
      <c r="C492" t="n">
        <v>32</v>
      </c>
      <c r="D492" t="n">
        <v>25</v>
      </c>
      <c r="E492" t="inlineStr">
        <is>
          <t>Input</t>
        </is>
      </c>
      <c r="F492" t="n">
        <v/>
      </c>
      <c r="G492" t="n">
        <v>1283.855824111481</v>
      </c>
      <c r="H492" t="inlineStr"/>
      <c r="I492" t="inlineStr">
        <is>
          <t>0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n">
        <v/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</row>
    <row r="493">
      <c r="A493" t="inlineStr">
        <is>
          <t>Valuation</t>
        </is>
      </c>
      <c r="B493" t="inlineStr">
        <is>
          <t>Z32</t>
        </is>
      </c>
      <c r="C493" t="n">
        <v>32</v>
      </c>
      <c r="D493" t="n">
        <v>26</v>
      </c>
      <c r="E493" t="inlineStr">
        <is>
          <t>Input</t>
        </is>
      </c>
      <c r="F493" t="n">
        <v/>
      </c>
      <c r="G493" t="n">
        <v>1315.891118719084</v>
      </c>
      <c r="H493" t="inlineStr"/>
      <c r="I493" t="inlineStr">
        <is>
          <t>0</t>
        </is>
      </c>
      <c r="J493" t="b">
        <v>0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n">
        <v/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</row>
    <row r="494">
      <c r="A494" t="inlineStr">
        <is>
          <t>Valuation</t>
        </is>
      </c>
      <c r="B494" t="inlineStr">
        <is>
          <t>AA32</t>
        </is>
      </c>
      <c r="C494" t="n">
        <v>32</v>
      </c>
      <c r="D494" t="n">
        <v>27</v>
      </c>
      <c r="E494" t="inlineStr">
        <is>
          <t>Input</t>
        </is>
      </c>
      <c r="F494" t="n">
        <v/>
      </c>
      <c r="G494" t="n">
        <v>1351.408510566642</v>
      </c>
      <c r="H494" t="inlineStr"/>
      <c r="I494" t="inlineStr">
        <is>
          <t>0</t>
        </is>
      </c>
      <c r="J494" t="b">
        <v>0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n">
        <v/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</row>
    <row r="495">
      <c r="A495" t="inlineStr">
        <is>
          <t>Valuation</t>
        </is>
      </c>
      <c r="B495" t="inlineStr">
        <is>
          <t>AB32</t>
        </is>
      </c>
      <c r="C495" t="n">
        <v>32</v>
      </c>
      <c r="D495" t="n">
        <v>28</v>
      </c>
      <c r="E495" t="inlineStr">
        <is>
          <t>Input</t>
        </is>
      </c>
      <c r="F495" t="n">
        <v/>
      </c>
      <c r="G495" t="n">
        <v>1391.008361247254</v>
      </c>
      <c r="H495" t="inlineStr"/>
      <c r="I495" t="inlineStr">
        <is>
          <t>0</t>
        </is>
      </c>
      <c r="J495" t="b">
        <v>0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n">
        <v/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</row>
    <row r="496">
      <c r="A496" t="inlineStr">
        <is>
          <t>Valuation</t>
        </is>
      </c>
      <c r="B496" t="inlineStr">
        <is>
          <t>A33</t>
        </is>
      </c>
      <c r="C496" t="n">
        <v>33</v>
      </c>
      <c r="D496" t="n">
        <v>1</v>
      </c>
      <c r="E496" t="inlineStr">
        <is>
          <t>Input</t>
        </is>
      </c>
      <c r="F496" t="n">
        <v/>
      </c>
      <c r="G496" t="inlineStr">
        <is>
          <t>Capex</t>
        </is>
      </c>
      <c r="H496" t="inlineStr"/>
      <c r="I496" t="inlineStr">
        <is>
          <t>0.0%</t>
        </is>
      </c>
      <c r="J496" t="b">
        <v>0</v>
      </c>
      <c r="K496" t="b">
        <v>0</v>
      </c>
      <c r="L496" t="n">
        <v>10</v>
      </c>
      <c r="M496" t="n">
        <v/>
      </c>
      <c r="N496" t="inlineStr">
        <is>
          <t>00000000</t>
        </is>
      </c>
      <c r="O496" t="inlineStr">
        <is>
          <t>left</t>
        </is>
      </c>
      <c r="P496" t="n">
        <v/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Valuation</t>
        </is>
      </c>
      <c r="B497" t="inlineStr">
        <is>
          <t>B33</t>
        </is>
      </c>
      <c r="C497" t="n">
        <v>33</v>
      </c>
      <c r="D497" t="n">
        <v>2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00000000</t>
        </is>
      </c>
      <c r="O497" t="n">
        <v/>
      </c>
      <c r="P497" t="n">
        <v/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</row>
    <row r="498">
      <c r="A498" t="inlineStr">
        <is>
          <t>Valuation</t>
        </is>
      </c>
      <c r="B498" t="inlineStr">
        <is>
          <t>C33</t>
        </is>
      </c>
      <c r="C498" t="n">
        <v>33</v>
      </c>
      <c r="D498" t="n">
        <v>3</v>
      </c>
      <c r="E498" t="inlineStr">
        <is>
          <t>Calculation</t>
        </is>
      </c>
      <c r="F498" t="inlineStr">
        <is>
          <t>'='CashFlow Statement'!D31</t>
        </is>
      </c>
      <c r="G498" t="n">
        <v>-2133.12</v>
      </c>
      <c r="H498" t="inlineStr"/>
      <c r="I498" t="inlineStr">
        <is>
          <t>0</t>
        </is>
      </c>
      <c r="J498" t="b">
        <v>0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00000000</t>
        </is>
      </c>
      <c r="O498" t="n">
        <v/>
      </c>
      <c r="P498" t="n">
        <v/>
      </c>
      <c r="R498" t="b">
        <v>1</v>
      </c>
      <c r="S498" t="inlineStr">
        <is>
          <t>G000406</t>
        </is>
      </c>
      <c r="T498" t="inlineStr">
        <is>
          <t>Horizontal</t>
        </is>
      </c>
      <c r="U498" t="n">
        <v>12</v>
      </c>
      <c r="V498" t="b">
        <v>1</v>
      </c>
      <c r="W498" t="inlineStr">
        <is>
          <t>Valuation!C33:N33</t>
        </is>
      </c>
      <c r="X498">
        <f>'CashFlow Statement'!R[-2]C[1]</f>
        <v/>
      </c>
    </row>
    <row r="499">
      <c r="A499" t="inlineStr">
        <is>
          <t>Valuation</t>
        </is>
      </c>
      <c r="B499" t="inlineStr">
        <is>
          <t>D33</t>
        </is>
      </c>
      <c r="C499" t="n">
        <v>33</v>
      </c>
      <c r="D499" t="n">
        <v>4</v>
      </c>
      <c r="E499" t="inlineStr">
        <is>
          <t>Calculation</t>
        </is>
      </c>
      <c r="F499" t="inlineStr">
        <is>
          <t>'='CashFlow Statement'!E31</t>
        </is>
      </c>
      <c r="G499" t="n">
        <v>-331.74</v>
      </c>
      <c r="H499" t="inlineStr"/>
      <c r="I499" t="inlineStr">
        <is>
          <t>0</t>
        </is>
      </c>
      <c r="J499" t="b">
        <v>0</v>
      </c>
      <c r="K499" t="b">
        <v>0</v>
      </c>
      <c r="L499" t="n">
        <v>11</v>
      </c>
      <c r="M499" t="inlineStr">
        <is>
          <t>Values must be of type &lt;class 'str'&gt;</t>
        </is>
      </c>
      <c r="N499" t="inlineStr">
        <is>
          <t>00000000</t>
        </is>
      </c>
      <c r="O499" t="n">
        <v/>
      </c>
      <c r="P499" t="n">
        <v/>
      </c>
      <c r="R499" t="b">
        <v>1</v>
      </c>
      <c r="S499" t="inlineStr">
        <is>
          <t>G000406</t>
        </is>
      </c>
      <c r="T499" t="inlineStr">
        <is>
          <t>Horizontal</t>
        </is>
      </c>
      <c r="U499" t="n">
        <v>12</v>
      </c>
      <c r="V499" t="b">
        <v>1</v>
      </c>
      <c r="W499" t="inlineStr">
        <is>
          <t>Valuation!C33:N33</t>
        </is>
      </c>
      <c r="X499">
        <f>'CashFlow Statement'!R[-2]C[1]</f>
        <v/>
      </c>
    </row>
    <row r="500">
      <c r="A500" t="inlineStr">
        <is>
          <t>Valuation</t>
        </is>
      </c>
      <c r="B500" t="inlineStr">
        <is>
          <t>E33</t>
        </is>
      </c>
      <c r="C500" t="n">
        <v>33</v>
      </c>
      <c r="D500" t="n">
        <v>5</v>
      </c>
      <c r="E500" t="inlineStr">
        <is>
          <t>Calculation</t>
        </is>
      </c>
      <c r="F500" t="inlineStr">
        <is>
          <t>'='CashFlow Statement'!F31</t>
        </is>
      </c>
      <c r="G500" t="n">
        <v>-9155.68</v>
      </c>
      <c r="H500" t="inlineStr"/>
      <c r="I500" t="inlineStr">
        <is>
          <t>0</t>
        </is>
      </c>
      <c r="J500" t="b">
        <v>0</v>
      </c>
      <c r="K500" t="b">
        <v>0</v>
      </c>
      <c r="L500" t="n">
        <v>11</v>
      </c>
      <c r="M500" t="inlineStr">
        <is>
          <t>Values must be of type &lt;class 'str'&gt;</t>
        </is>
      </c>
      <c r="N500" t="inlineStr">
        <is>
          <t>00000000</t>
        </is>
      </c>
      <c r="O500" t="n">
        <v/>
      </c>
      <c r="P500" t="n">
        <v/>
      </c>
      <c r="R500" t="b">
        <v>1</v>
      </c>
      <c r="S500" t="inlineStr">
        <is>
          <t>G000406</t>
        </is>
      </c>
      <c r="T500" t="inlineStr">
        <is>
          <t>Horizontal</t>
        </is>
      </c>
      <c r="U500" t="n">
        <v>12</v>
      </c>
      <c r="V500" t="b">
        <v>1</v>
      </c>
      <c r="W500" t="inlineStr">
        <is>
          <t>Valuation!C33:N33</t>
        </is>
      </c>
      <c r="X500">
        <f>'CashFlow Statement'!R[-2]C[1]</f>
        <v/>
      </c>
    </row>
    <row r="501">
      <c r="A501" t="inlineStr">
        <is>
          <t>Valuation</t>
        </is>
      </c>
      <c r="B501" t="inlineStr">
        <is>
          <t>F33</t>
        </is>
      </c>
      <c r="C501" t="n">
        <v>33</v>
      </c>
      <c r="D501" t="n">
        <v>6</v>
      </c>
      <c r="E501" t="inlineStr">
        <is>
          <t>Calculation</t>
        </is>
      </c>
      <c r="F501" t="inlineStr">
        <is>
          <t>'='CashFlow Statement'!G31</t>
        </is>
      </c>
      <c r="G501" t="n">
        <v>-23241.67</v>
      </c>
      <c r="H501" t="inlineStr"/>
      <c r="I501" t="inlineStr">
        <is>
          <t>0</t>
        </is>
      </c>
      <c r="J501" t="b">
        <v>0</v>
      </c>
      <c r="K501" t="b">
        <v>0</v>
      </c>
      <c r="L501" t="n">
        <v>11</v>
      </c>
      <c r="M501" t="inlineStr">
        <is>
          <t>Values must be of type &lt;class 'str'&gt;</t>
        </is>
      </c>
      <c r="N501" t="inlineStr">
        <is>
          <t>00000000</t>
        </is>
      </c>
      <c r="O501" t="n">
        <v/>
      </c>
      <c r="P501" t="n">
        <v/>
      </c>
      <c r="R501" t="b">
        <v>1</v>
      </c>
      <c r="S501" t="inlineStr">
        <is>
          <t>G000406</t>
        </is>
      </c>
      <c r="T501" t="inlineStr">
        <is>
          <t>Horizontal</t>
        </is>
      </c>
      <c r="U501" t="n">
        <v>12</v>
      </c>
      <c r="V501" t="b">
        <v>1</v>
      </c>
      <c r="W501" t="inlineStr">
        <is>
          <t>Valuation!C33:N33</t>
        </is>
      </c>
      <c r="X501">
        <f>'CashFlow Statement'!R[-2]C[1]</f>
        <v/>
      </c>
    </row>
    <row r="502">
      <c r="A502" t="inlineStr">
        <is>
          <t>Valuation</t>
        </is>
      </c>
      <c r="B502" t="inlineStr">
        <is>
          <t>G33</t>
        </is>
      </c>
      <c r="C502" t="n">
        <v>33</v>
      </c>
      <c r="D502" t="n">
        <v>7</v>
      </c>
      <c r="E502" t="inlineStr">
        <is>
          <t>Calculation</t>
        </is>
      </c>
      <c r="F502" t="inlineStr">
        <is>
          <t>'='CashFlow Statement'!H31</t>
        </is>
      </c>
      <c r="G502" t="n">
        <v>-10171.15</v>
      </c>
      <c r="H502" t="inlineStr"/>
      <c r="I502" t="inlineStr">
        <is>
          <t>0</t>
        </is>
      </c>
      <c r="J502" t="b">
        <v>0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n">
        <v/>
      </c>
      <c r="P502" t="n">
        <v/>
      </c>
      <c r="R502" t="b">
        <v>1</v>
      </c>
      <c r="S502" t="inlineStr">
        <is>
          <t>G000406</t>
        </is>
      </c>
      <c r="T502" t="inlineStr">
        <is>
          <t>Horizontal</t>
        </is>
      </c>
      <c r="U502" t="n">
        <v>12</v>
      </c>
      <c r="V502" t="b">
        <v>1</v>
      </c>
      <c r="W502" t="inlineStr">
        <is>
          <t>Valuation!C33:N33</t>
        </is>
      </c>
      <c r="X502">
        <f>'CashFlow Statement'!R[-2]C[1]</f>
        <v/>
      </c>
    </row>
    <row r="503">
      <c r="A503" t="inlineStr">
        <is>
          <t>Valuation</t>
        </is>
      </c>
      <c r="B503" t="inlineStr">
        <is>
          <t>H33</t>
        </is>
      </c>
      <c r="C503" t="n">
        <v>33</v>
      </c>
      <c r="D503" t="n">
        <v>8</v>
      </c>
      <c r="E503" t="inlineStr">
        <is>
          <t>Calculation</t>
        </is>
      </c>
      <c r="F503" t="inlineStr">
        <is>
          <t>'='CashFlow Statement'!I31</t>
        </is>
      </c>
      <c r="G503" t="n">
        <v>-2319.9</v>
      </c>
      <c r="H503" t="inlineStr"/>
      <c r="I503" t="inlineStr">
        <is>
          <t>0</t>
        </is>
      </c>
      <c r="J503" t="b">
        <v>0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n">
        <v/>
      </c>
      <c r="P503" t="n">
        <v/>
      </c>
      <c r="R503" t="b">
        <v>1</v>
      </c>
      <c r="S503" t="inlineStr">
        <is>
          <t>G000406</t>
        </is>
      </c>
      <c r="T503" t="inlineStr">
        <is>
          <t>Horizontal</t>
        </is>
      </c>
      <c r="U503" t="n">
        <v>12</v>
      </c>
      <c r="V503" t="b">
        <v>1</v>
      </c>
      <c r="W503" t="inlineStr">
        <is>
          <t>Valuation!C33:N33</t>
        </is>
      </c>
      <c r="X503">
        <f>'CashFlow Statement'!R[-2]C[1]</f>
        <v/>
      </c>
    </row>
    <row r="504">
      <c r="A504" t="inlineStr">
        <is>
          <t>Valuation</t>
        </is>
      </c>
      <c r="B504" t="inlineStr">
        <is>
          <t>I33</t>
        </is>
      </c>
      <c r="C504" t="n">
        <v>33</v>
      </c>
      <c r="D504" t="n">
        <v>9</v>
      </c>
      <c r="E504" t="inlineStr">
        <is>
          <t>Calculation</t>
        </is>
      </c>
      <c r="F504" t="inlineStr">
        <is>
          <t>'='CashFlow Statement'!J31</t>
        </is>
      </c>
      <c r="G504" t="n">
        <v>-2372.38</v>
      </c>
      <c r="H504" t="inlineStr"/>
      <c r="I504" t="inlineStr">
        <is>
          <t>0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n">
        <v/>
      </c>
      <c r="P504" t="n">
        <v/>
      </c>
      <c r="R504" t="b">
        <v>1</v>
      </c>
      <c r="S504" t="inlineStr">
        <is>
          <t>G000406</t>
        </is>
      </c>
      <c r="T504" t="inlineStr">
        <is>
          <t>Horizontal</t>
        </is>
      </c>
      <c r="U504" t="n">
        <v>12</v>
      </c>
      <c r="V504" t="b">
        <v>1</v>
      </c>
      <c r="W504" t="inlineStr">
        <is>
          <t>Valuation!C33:N33</t>
        </is>
      </c>
      <c r="X504">
        <f>'CashFlow Statement'!R[-2]C[1]</f>
        <v/>
      </c>
    </row>
    <row r="505">
      <c r="A505" t="inlineStr">
        <is>
          <t>Valuation</t>
        </is>
      </c>
      <c r="B505" t="inlineStr">
        <is>
          <t>J33</t>
        </is>
      </c>
      <c r="C505" t="n">
        <v>33</v>
      </c>
      <c r="D505" t="n">
        <v>10</v>
      </c>
      <c r="E505" t="inlineStr">
        <is>
          <t>Calculation</t>
        </is>
      </c>
      <c r="F505" t="inlineStr">
        <is>
          <t>'='CashFlow Statement'!K31</t>
        </is>
      </c>
      <c r="G505" t="n">
        <v>-10266</v>
      </c>
      <c r="H505" t="inlineStr"/>
      <c r="I505" t="inlineStr">
        <is>
          <t>0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n">
        <v/>
      </c>
      <c r="P505" t="n">
        <v/>
      </c>
      <c r="R505" t="b">
        <v>1</v>
      </c>
      <c r="S505" t="inlineStr">
        <is>
          <t>G000406</t>
        </is>
      </c>
      <c r="T505" t="inlineStr">
        <is>
          <t>Horizontal</t>
        </is>
      </c>
      <c r="U505" t="n">
        <v>12</v>
      </c>
      <c r="V505" t="b">
        <v>1</v>
      </c>
      <c r="W505" t="inlineStr">
        <is>
          <t>Valuation!C33:N33</t>
        </is>
      </c>
      <c r="X505">
        <f>'CashFlow Statement'!R[-2]C[1]</f>
        <v/>
      </c>
    </row>
    <row r="506">
      <c r="A506" t="inlineStr">
        <is>
          <t>Valuation</t>
        </is>
      </c>
      <c r="B506" t="inlineStr">
        <is>
          <t>K33</t>
        </is>
      </c>
      <c r="C506" t="n">
        <v>33</v>
      </c>
      <c r="D506" t="n">
        <v>11</v>
      </c>
      <c r="E506" t="inlineStr">
        <is>
          <t>Calculation</t>
        </is>
      </c>
      <c r="F506" t="inlineStr">
        <is>
          <t>'='CashFlow Statement'!L31</t>
        </is>
      </c>
      <c r="G506" t="n">
        <v>-10578</v>
      </c>
      <c r="H506" t="inlineStr"/>
      <c r="I506" t="inlineStr">
        <is>
          <t>0</t>
        </is>
      </c>
      <c r="J506" t="b">
        <v>0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00000000</t>
        </is>
      </c>
      <c r="O506" t="n">
        <v/>
      </c>
      <c r="P506" t="n">
        <v/>
      </c>
      <c r="R506" t="b">
        <v>1</v>
      </c>
      <c r="S506" t="inlineStr">
        <is>
          <t>G000406</t>
        </is>
      </c>
      <c r="T506" t="inlineStr">
        <is>
          <t>Horizontal</t>
        </is>
      </c>
      <c r="U506" t="n">
        <v>12</v>
      </c>
      <c r="V506" t="b">
        <v>1</v>
      </c>
      <c r="W506" t="inlineStr">
        <is>
          <t>Valuation!C33:N33</t>
        </is>
      </c>
      <c r="X506">
        <f>'CashFlow Statement'!R[-2]C[1]</f>
        <v/>
      </c>
    </row>
    <row r="507">
      <c r="A507" t="inlineStr">
        <is>
          <t>Valuation</t>
        </is>
      </c>
      <c r="B507" t="inlineStr">
        <is>
          <t>L33</t>
        </is>
      </c>
      <c r="C507" t="n">
        <v>33</v>
      </c>
      <c r="D507" t="n">
        <v>12</v>
      </c>
      <c r="E507" t="inlineStr">
        <is>
          <t>Calculation</t>
        </is>
      </c>
      <c r="F507" t="inlineStr">
        <is>
          <t>'='CashFlow Statement'!M31</t>
        </is>
      </c>
      <c r="G507" t="n">
        <v>-10890</v>
      </c>
      <c r="H507" t="inlineStr"/>
      <c r="I507" t="inlineStr">
        <is>
          <t>0</t>
        </is>
      </c>
      <c r="J507" t="b">
        <v>0</v>
      </c>
      <c r="K507" t="b">
        <v>0</v>
      </c>
      <c r="L507" t="n">
        <v>11</v>
      </c>
      <c r="M507" t="inlineStr">
        <is>
          <t>Values must be of type &lt;class 'str'&gt;</t>
        </is>
      </c>
      <c r="N507" t="inlineStr">
        <is>
          <t>00000000</t>
        </is>
      </c>
      <c r="O507" t="n">
        <v/>
      </c>
      <c r="P507" t="n">
        <v/>
      </c>
      <c r="R507" t="b">
        <v>1</v>
      </c>
      <c r="S507" t="inlineStr">
        <is>
          <t>G000406</t>
        </is>
      </c>
      <c r="T507" t="inlineStr">
        <is>
          <t>Horizontal</t>
        </is>
      </c>
      <c r="U507" t="n">
        <v>12</v>
      </c>
      <c r="V507" t="b">
        <v>1</v>
      </c>
      <c r="W507" t="inlineStr">
        <is>
          <t>Valuation!C33:N33</t>
        </is>
      </c>
      <c r="X507">
        <f>'CashFlow Statement'!R[-2]C[1]</f>
        <v/>
      </c>
    </row>
    <row r="508">
      <c r="A508" t="inlineStr">
        <is>
          <t>Valuation</t>
        </is>
      </c>
      <c r="B508" t="inlineStr">
        <is>
          <t>M33</t>
        </is>
      </c>
      <c r="C508" t="n">
        <v>33</v>
      </c>
      <c r="D508" t="n">
        <v>13</v>
      </c>
      <c r="E508" t="inlineStr">
        <is>
          <t>Calculation</t>
        </is>
      </c>
      <c r="F508" t="inlineStr">
        <is>
          <t>'='CashFlow Statement'!N31</t>
        </is>
      </c>
      <c r="G508" t="n">
        <v>-11202</v>
      </c>
      <c r="H508" t="inlineStr"/>
      <c r="I508" t="inlineStr">
        <is>
          <t>0</t>
        </is>
      </c>
      <c r="J508" t="b">
        <v>0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n">
        <v/>
      </c>
      <c r="P508" t="n">
        <v/>
      </c>
      <c r="R508" t="b">
        <v>1</v>
      </c>
      <c r="S508" t="inlineStr">
        <is>
          <t>G000406</t>
        </is>
      </c>
      <c r="T508" t="inlineStr">
        <is>
          <t>Horizontal</t>
        </is>
      </c>
      <c r="U508" t="n">
        <v>12</v>
      </c>
      <c r="V508" t="b">
        <v>1</v>
      </c>
      <c r="W508" t="inlineStr">
        <is>
          <t>Valuation!C33:N33</t>
        </is>
      </c>
      <c r="X508">
        <f>'CashFlow Statement'!R[-2]C[1]</f>
        <v/>
      </c>
    </row>
    <row r="509">
      <c r="A509" t="inlineStr">
        <is>
          <t>Valuation</t>
        </is>
      </c>
      <c r="B509" t="inlineStr">
        <is>
          <t>N33</t>
        </is>
      </c>
      <c r="C509" t="n">
        <v>33</v>
      </c>
      <c r="D509" t="n">
        <v>14</v>
      </c>
      <c r="E509" t="inlineStr">
        <is>
          <t>Calculation</t>
        </is>
      </c>
      <c r="F509" t="inlineStr">
        <is>
          <t>'='CashFlow Statement'!O31</t>
        </is>
      </c>
      <c r="G509" t="n">
        <v>-11514</v>
      </c>
      <c r="H509" t="inlineStr"/>
      <c r="I509" t="inlineStr">
        <is>
          <t>0</t>
        </is>
      </c>
      <c r="J509" t="b">
        <v>0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n">
        <v/>
      </c>
      <c r="P509" t="n">
        <v/>
      </c>
      <c r="R509" t="b">
        <v>1</v>
      </c>
      <c r="S509" t="inlineStr">
        <is>
          <t>G000406</t>
        </is>
      </c>
      <c r="T509" t="inlineStr">
        <is>
          <t>Horizontal</t>
        </is>
      </c>
      <c r="U509" t="n">
        <v>12</v>
      </c>
      <c r="V509" t="b">
        <v>1</v>
      </c>
      <c r="W509" t="inlineStr">
        <is>
          <t>Valuation!C33:N33</t>
        </is>
      </c>
      <c r="X509">
        <f>'CashFlow Statement'!R[-2]C[1]</f>
        <v/>
      </c>
    </row>
    <row r="510">
      <c r="A510" t="inlineStr">
        <is>
          <t>Valuation</t>
        </is>
      </c>
      <c r="B510" t="inlineStr">
        <is>
          <t>P33</t>
        </is>
      </c>
      <c r="C510" t="n">
        <v>33</v>
      </c>
      <c r="D510" t="n">
        <v>16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n">
        <v/>
      </c>
      <c r="P510" t="n">
        <v/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Valuation</t>
        </is>
      </c>
      <c r="B511" t="inlineStr">
        <is>
          <t>Q33</t>
        </is>
      </c>
      <c r="C511" t="n">
        <v>33</v>
      </c>
      <c r="D511" t="n">
        <v>17</v>
      </c>
      <c r="E511" t="inlineStr">
        <is>
          <t>Calculation</t>
        </is>
      </c>
      <c r="F511" t="inlineStr">
        <is>
          <t>'=Q32+0.5%</t>
        </is>
      </c>
      <c r="G511" t="n">
        <v>0.162</v>
      </c>
      <c r="H511" t="inlineStr"/>
      <c r="I511" t="inlineStr">
        <is>
          <t>0.0%</t>
        </is>
      </c>
      <c r="J511" t="b">
        <v>1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Values must be of type &lt;class 'str'&gt;</t>
        </is>
      </c>
      <c r="O511" t="inlineStr">
        <is>
          <t>center</t>
        </is>
      </c>
      <c r="P511" t="n">
        <v/>
      </c>
      <c r="R511" t="b">
        <v>1</v>
      </c>
      <c r="S511" t="inlineStr">
        <is>
          <t>G000399</t>
        </is>
      </c>
      <c r="T511" t="inlineStr">
        <is>
          <t>Vertical</t>
        </is>
      </c>
      <c r="U511" t="n">
        <v>12</v>
      </c>
      <c r="V511" t="b">
        <v>1</v>
      </c>
      <c r="W511" t="inlineStr">
        <is>
          <t>Valuation!Q25:Q36</t>
        </is>
      </c>
      <c r="X511">
        <f>R[-1]C[0]+0.5%</f>
        <v/>
      </c>
    </row>
    <row r="512">
      <c r="A512" t="inlineStr">
        <is>
          <t>Valuation</t>
        </is>
      </c>
      <c r="B512" t="inlineStr">
        <is>
          <t>R33</t>
        </is>
      </c>
      <c r="C512" t="n">
        <v>33</v>
      </c>
      <c r="D512" t="n">
        <v>18</v>
      </c>
      <c r="E512" t="inlineStr">
        <is>
          <t>Input</t>
        </is>
      </c>
      <c r="F512" t="n">
        <v/>
      </c>
      <c r="G512" t="n">
        <v>1087.419254575192</v>
      </c>
      <c r="H512" t="inlineStr"/>
      <c r="I512" t="inlineStr">
        <is>
          <t>0</t>
        </is>
      </c>
      <c r="J512" t="b">
        <v>0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Values must be of type &lt;class 'str'&gt;</t>
        </is>
      </c>
      <c r="O512" t="inlineStr">
        <is>
          <t>center</t>
        </is>
      </c>
      <c r="P512" t="n">
        <v/>
      </c>
      <c r="R512" t="b">
        <v>1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</row>
    <row r="513">
      <c r="A513" t="inlineStr">
        <is>
          <t>Valuation</t>
        </is>
      </c>
      <c r="B513" t="inlineStr">
        <is>
          <t>S33</t>
        </is>
      </c>
      <c r="C513" t="n">
        <v>33</v>
      </c>
      <c r="D513" t="n">
        <v>19</v>
      </c>
      <c r="E513" t="inlineStr">
        <is>
          <t>Input</t>
        </is>
      </c>
      <c r="F513" t="n">
        <v/>
      </c>
      <c r="G513" t="n">
        <v>1103.091701033421</v>
      </c>
      <c r="H513" t="inlineStr"/>
      <c r="I513" t="inlineStr">
        <is>
          <t>0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Values must be of type &lt;class 'str'&gt;</t>
        </is>
      </c>
      <c r="O513" t="inlineStr">
        <is>
          <t>center</t>
        </is>
      </c>
      <c r="P513" t="n">
        <v/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</row>
    <row r="514">
      <c r="A514" t="inlineStr">
        <is>
          <t>Valuation</t>
        </is>
      </c>
      <c r="B514" t="inlineStr">
        <is>
          <t>T33</t>
        </is>
      </c>
      <c r="C514" t="n">
        <v>33</v>
      </c>
      <c r="D514" t="n">
        <v>20</v>
      </c>
      <c r="E514" t="inlineStr">
        <is>
          <t>Input</t>
        </is>
      </c>
      <c r="F514" t="n">
        <v/>
      </c>
      <c r="G514" t="n">
        <v>1119.951454041516</v>
      </c>
      <c r="H514" t="inlineStr"/>
      <c r="I514" t="inlineStr">
        <is>
          <t>0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inlineStr">
        <is>
          <t>center</t>
        </is>
      </c>
      <c r="P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</row>
    <row r="515">
      <c r="A515" t="inlineStr">
        <is>
          <t>Valuation</t>
        </is>
      </c>
      <c r="B515" t="inlineStr">
        <is>
          <t>U33</t>
        </is>
      </c>
      <c r="C515" t="n">
        <v>33</v>
      </c>
      <c r="D515" t="n">
        <v>21</v>
      </c>
      <c r="E515" t="inlineStr">
        <is>
          <t>Input</t>
        </is>
      </c>
      <c r="F515" t="n">
        <v/>
      </c>
      <c r="G515" t="n">
        <v>1138.138746656547</v>
      </c>
      <c r="H515" t="inlineStr"/>
      <c r="I515" t="inlineStr">
        <is>
          <t>0</t>
        </is>
      </c>
      <c r="J515" t="b">
        <v>0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Values must be of type &lt;class 'str'&gt;</t>
        </is>
      </c>
      <c r="O515" t="inlineStr">
        <is>
          <t>center</t>
        </is>
      </c>
      <c r="P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</row>
    <row r="516">
      <c r="A516" t="inlineStr">
        <is>
          <t>Valuation</t>
        </is>
      </c>
      <c r="B516" t="inlineStr">
        <is>
          <t>V33</t>
        </is>
      </c>
      <c r="C516" t="n">
        <v>33</v>
      </c>
      <c r="D516" t="n">
        <v>22</v>
      </c>
      <c r="E516" t="inlineStr">
        <is>
          <t>Input</t>
        </is>
      </c>
      <c r="F516" t="n">
        <v/>
      </c>
      <c r="G516" t="n">
        <v>1157.816800961336</v>
      </c>
      <c r="H516" t="inlineStr"/>
      <c r="I516" t="inlineStr">
        <is>
          <t>0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Values must be of type &lt;class 'str'&gt;</t>
        </is>
      </c>
      <c r="O516" t="inlineStr">
        <is>
          <t>center</t>
        </is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</row>
    <row r="517">
      <c r="A517" t="inlineStr">
        <is>
          <t>Valuation</t>
        </is>
      </c>
      <c r="B517" t="inlineStr">
        <is>
          <t>W33</t>
        </is>
      </c>
      <c r="C517" t="n">
        <v>33</v>
      </c>
      <c r="D517" t="n">
        <v>23</v>
      </c>
      <c r="E517" t="inlineStr">
        <is>
          <t>Input</t>
        </is>
      </c>
      <c r="F517" t="n">
        <v/>
      </c>
      <c r="G517" t="n">
        <v>1179.176740249439</v>
      </c>
      <c r="H517" t="inlineStr"/>
      <c r="I517" t="inlineStr">
        <is>
          <t>0</t>
        </is>
      </c>
      <c r="J517" t="b">
        <v>0</v>
      </c>
      <c r="K517" t="b">
        <v>0</v>
      </c>
      <c r="L517" t="n">
        <v>11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inlineStr">
        <is>
          <t>center</t>
        </is>
      </c>
      <c r="P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</row>
    <row r="518">
      <c r="A518" t="inlineStr">
        <is>
          <t>Valuation</t>
        </is>
      </c>
      <c r="B518" t="inlineStr">
        <is>
          <t>X33</t>
        </is>
      </c>
      <c r="C518" t="n">
        <v>33</v>
      </c>
      <c r="D518" t="n">
        <v>24</v>
      </c>
      <c r="E518" t="inlineStr">
        <is>
          <t>Input</t>
        </is>
      </c>
      <c r="F518" t="n">
        <v/>
      </c>
      <c r="G518" t="n">
        <v>1202.44381697398</v>
      </c>
      <c r="H518" t="inlineStr"/>
      <c r="I518" t="inlineStr">
        <is>
          <t>0</t>
        </is>
      </c>
      <c r="J518" t="b">
        <v>0</v>
      </c>
      <c r="K518" t="b">
        <v>0</v>
      </c>
      <c r="L518" t="n">
        <v>11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inlineStr">
        <is>
          <t>center</t>
        </is>
      </c>
      <c r="P518" t="n">
        <v/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</row>
    <row r="519">
      <c r="A519" t="inlineStr">
        <is>
          <t>Valuation</t>
        </is>
      </c>
      <c r="B519" t="inlineStr">
        <is>
          <t>Y33</t>
        </is>
      </c>
      <c r="C519" t="n">
        <v>33</v>
      </c>
      <c r="D519" t="n">
        <v>25</v>
      </c>
      <c r="E519" t="inlineStr">
        <is>
          <t>Input</t>
        </is>
      </c>
      <c r="F519" t="n">
        <v/>
      </c>
      <c r="G519" t="n">
        <v>1227.885386850347</v>
      </c>
      <c r="H519" t="inlineStr"/>
      <c r="I519" t="inlineStr">
        <is>
          <t>0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Values must be of type &lt;class 'str'&gt;</t>
        </is>
      </c>
      <c r="O519" t="inlineStr">
        <is>
          <t>center</t>
        </is>
      </c>
      <c r="P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</row>
    <row r="520">
      <c r="A520" t="inlineStr">
        <is>
          <t>Valuation</t>
        </is>
      </c>
      <c r="B520" t="inlineStr">
        <is>
          <t>Z33</t>
        </is>
      </c>
      <c r="C520" t="n">
        <v>33</v>
      </c>
      <c r="D520" t="n">
        <v>26</v>
      </c>
      <c r="E520" t="inlineStr">
        <is>
          <t>Input</t>
        </is>
      </c>
      <c r="F520" t="n">
        <v/>
      </c>
      <c r="G520" t="n">
        <v>1255.821228283222</v>
      </c>
      <c r="H520" t="inlineStr"/>
      <c r="I520" t="inlineStr">
        <is>
          <t>0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Values must be of type &lt;class 'str'&gt;</t>
        </is>
      </c>
      <c r="O520" t="inlineStr">
        <is>
          <t>center</t>
        </is>
      </c>
      <c r="P520" t="n">
        <v/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</row>
    <row r="521">
      <c r="A521" t="inlineStr">
        <is>
          <t>Valuation</t>
        </is>
      </c>
      <c r="B521" t="inlineStr">
        <is>
          <t>AA33</t>
        </is>
      </c>
      <c r="C521" t="n">
        <v>33</v>
      </c>
      <c r="D521" t="n">
        <v>27</v>
      </c>
      <c r="E521" t="inlineStr">
        <is>
          <t>Input</t>
        </is>
      </c>
      <c r="F521" t="n">
        <v/>
      </c>
      <c r="G521" t="n">
        <v>1286.637053368969</v>
      </c>
      <c r="H521" t="inlineStr"/>
      <c r="I521" t="inlineStr">
        <is>
          <t>0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Values must be of type &lt;class 'str'&gt;</t>
        </is>
      </c>
      <c r="O521" t="inlineStr">
        <is>
          <t>center</t>
        </is>
      </c>
      <c r="P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</row>
    <row r="522">
      <c r="A522" t="inlineStr">
        <is>
          <t>Valuation</t>
        </is>
      </c>
      <c r="B522" t="inlineStr">
        <is>
          <t>AB33</t>
        </is>
      </c>
      <c r="C522" t="n">
        <v>33</v>
      </c>
      <c r="D522" t="n">
        <v>28</v>
      </c>
      <c r="E522" t="inlineStr">
        <is>
          <t>Input</t>
        </is>
      </c>
      <c r="F522" t="n">
        <v/>
      </c>
      <c r="G522" t="n">
        <v>1320.802424659689</v>
      </c>
      <c r="H522" t="inlineStr"/>
      <c r="I522" t="inlineStr">
        <is>
          <t>0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inlineStr">
        <is>
          <t>center</t>
        </is>
      </c>
      <c r="P522" t="n">
        <v/>
      </c>
      <c r="R522" t="b">
        <v>1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</row>
    <row r="523">
      <c r="A523" t="inlineStr">
        <is>
          <t>Valuation</t>
        </is>
      </c>
      <c r="B523" t="inlineStr">
        <is>
          <t>A34</t>
        </is>
      </c>
      <c r="C523" t="n">
        <v>34</v>
      </c>
      <c r="D523" t="n">
        <v>1</v>
      </c>
      <c r="E523" t="inlineStr">
        <is>
          <t>Input</t>
        </is>
      </c>
      <c r="F523" t="n">
        <v/>
      </c>
      <c r="G523" t="inlineStr">
        <is>
          <t>FCFF</t>
        </is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10</v>
      </c>
      <c r="M523" t="n">
        <v/>
      </c>
      <c r="N523" t="inlineStr">
        <is>
          <t>00000000</t>
        </is>
      </c>
      <c r="O523" t="n">
        <v/>
      </c>
      <c r="P523" t="n">
        <v/>
      </c>
      <c r="R523" t="b">
        <v>1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</row>
    <row r="524">
      <c r="A524" t="inlineStr">
        <is>
          <t>Valuation</t>
        </is>
      </c>
      <c r="B524" t="inlineStr">
        <is>
          <t>C34</t>
        </is>
      </c>
      <c r="C524" t="n">
        <v>34</v>
      </c>
      <c r="D524" t="n">
        <v>3</v>
      </c>
      <c r="E524" t="inlineStr">
        <is>
          <t>Output</t>
        </is>
      </c>
      <c r="F524" t="inlineStr">
        <is>
          <t>'=C31+(1-$B$4)*C32+C33</t>
        </is>
      </c>
      <c r="G524" t="n">
        <v>7184.566149000001</v>
      </c>
      <c r="H524" t="inlineStr"/>
      <c r="I524" t="inlineStr">
        <is>
          <t>0</t>
        </is>
      </c>
      <c r="J524" t="b">
        <v>0</v>
      </c>
      <c r="K524" t="b">
        <v>0</v>
      </c>
      <c r="L524" t="n">
        <v>11</v>
      </c>
      <c r="M524" t="inlineStr">
        <is>
          <t>Values must be of type &lt;class 'str'&gt;</t>
        </is>
      </c>
      <c r="N524" t="inlineStr">
        <is>
          <t>00000000</t>
        </is>
      </c>
      <c r="O524" t="n">
        <v/>
      </c>
      <c r="P524" t="n">
        <v/>
      </c>
      <c r="R524" t="b">
        <v>1</v>
      </c>
      <c r="S524" t="inlineStr">
        <is>
          <t>G000407</t>
        </is>
      </c>
      <c r="T524" t="inlineStr">
        <is>
          <t>Horizontal</t>
        </is>
      </c>
      <c r="U524" t="n">
        <v>12</v>
      </c>
      <c r="V524" t="b">
        <v>1</v>
      </c>
      <c r="W524" t="inlineStr">
        <is>
          <t>Valuation!C34:N34</t>
        </is>
      </c>
      <c r="X524">
        <f>R[-3]C[0]+(1-R4C2)*R[-2]C[0]+R[-1]C[0]</f>
        <v/>
      </c>
    </row>
    <row r="525">
      <c r="A525" t="inlineStr">
        <is>
          <t>Valuation</t>
        </is>
      </c>
      <c r="B525" t="inlineStr">
        <is>
          <t>D34</t>
        </is>
      </c>
      <c r="C525" t="n">
        <v>34</v>
      </c>
      <c r="D525" t="n">
        <v>4</v>
      </c>
      <c r="E525" t="inlineStr">
        <is>
          <t>Output</t>
        </is>
      </c>
      <c r="F525" t="inlineStr">
        <is>
          <t>'=D31+(1-$B$4)*D32+D33</t>
        </is>
      </c>
      <c r="G525" t="n">
        <v>10610.74115299999</v>
      </c>
      <c r="H525" t="inlineStr"/>
      <c r="I525" t="inlineStr">
        <is>
          <t>0</t>
        </is>
      </c>
      <c r="J525" t="b">
        <v>0</v>
      </c>
      <c r="K525" t="b">
        <v>0</v>
      </c>
      <c r="L525" t="n">
        <v>11</v>
      </c>
      <c r="M525" t="inlineStr">
        <is>
          <t>Values must be of type &lt;class 'str'&gt;</t>
        </is>
      </c>
      <c r="N525" t="inlineStr">
        <is>
          <t>00000000</t>
        </is>
      </c>
      <c r="O525" t="n">
        <v/>
      </c>
      <c r="P525" t="n">
        <v/>
      </c>
      <c r="R525" t="b">
        <v>1</v>
      </c>
      <c r="S525" t="inlineStr">
        <is>
          <t>G000407</t>
        </is>
      </c>
      <c r="T525" t="inlineStr">
        <is>
          <t>Horizontal</t>
        </is>
      </c>
      <c r="U525" t="n">
        <v>12</v>
      </c>
      <c r="V525" t="b">
        <v>1</v>
      </c>
      <c r="W525" t="inlineStr">
        <is>
          <t>Valuation!C34:N34</t>
        </is>
      </c>
      <c r="X525">
        <f>R[-3]C[0]+(1-R4C2)*R[-2]C[0]+R[-1]C[0]</f>
        <v/>
      </c>
    </row>
    <row r="526">
      <c r="A526" t="inlineStr">
        <is>
          <t>Valuation</t>
        </is>
      </c>
      <c r="B526" t="inlineStr">
        <is>
          <t>E34</t>
        </is>
      </c>
      <c r="C526" t="n">
        <v>34</v>
      </c>
      <c r="D526" t="n">
        <v>5</v>
      </c>
      <c r="E526" t="inlineStr">
        <is>
          <t>Output</t>
        </is>
      </c>
      <c r="F526" t="inlineStr">
        <is>
          <t>'=E31+(1-$B$4)*E32+E33</t>
        </is>
      </c>
      <c r="G526" t="n">
        <v>9608.320738999988</v>
      </c>
      <c r="H526" t="inlineStr"/>
      <c r="I526" t="inlineStr">
        <is>
          <t>0</t>
        </is>
      </c>
      <c r="J526" t="b">
        <v>0</v>
      </c>
      <c r="K526" t="b">
        <v>0</v>
      </c>
      <c r="L526" t="n">
        <v>11</v>
      </c>
      <c r="M526" t="inlineStr">
        <is>
          <t>Values must be of type &lt;class 'str'&gt;</t>
        </is>
      </c>
      <c r="N526" t="inlineStr">
        <is>
          <t>00000000</t>
        </is>
      </c>
      <c r="O526" t="n">
        <v/>
      </c>
      <c r="P526" t="n">
        <v/>
      </c>
      <c r="R526" t="b">
        <v>1</v>
      </c>
      <c r="S526" t="inlineStr">
        <is>
          <t>G000407</t>
        </is>
      </c>
      <c r="T526" t="inlineStr">
        <is>
          <t>Horizontal</t>
        </is>
      </c>
      <c r="U526" t="n">
        <v>12</v>
      </c>
      <c r="V526" t="b">
        <v>1</v>
      </c>
      <c r="W526" t="inlineStr">
        <is>
          <t>Valuation!C34:N34</t>
        </is>
      </c>
      <c r="X526">
        <f>R[-3]C[0]+(1-R4C2)*R[-2]C[0]+R[-1]C[0]</f>
        <v/>
      </c>
    </row>
    <row r="527">
      <c r="A527" t="inlineStr">
        <is>
          <t>Valuation</t>
        </is>
      </c>
      <c r="B527" t="inlineStr">
        <is>
          <t>F34</t>
        </is>
      </c>
      <c r="C527" t="n">
        <v>34</v>
      </c>
      <c r="D527" t="n">
        <v>6</v>
      </c>
      <c r="E527" t="inlineStr">
        <is>
          <t>Output</t>
        </is>
      </c>
      <c r="F527" t="inlineStr">
        <is>
          <t>'=F31+(1-$B$4)*F32+F33</t>
        </is>
      </c>
      <c r="G527" t="n">
        <v>-4227.868997000005</v>
      </c>
      <c r="H527" t="inlineStr"/>
      <c r="I527" t="inlineStr">
        <is>
          <t>0</t>
        </is>
      </c>
      <c r="J527" t="b">
        <v>0</v>
      </c>
      <c r="K527" t="b">
        <v>0</v>
      </c>
      <c r="L527" t="n">
        <v>11</v>
      </c>
      <c r="M527" t="inlineStr">
        <is>
          <t>Values must be of type &lt;class 'str'&gt;</t>
        </is>
      </c>
      <c r="N527" t="inlineStr">
        <is>
          <t>00000000</t>
        </is>
      </c>
      <c r="O527" t="n">
        <v/>
      </c>
      <c r="P527" t="n">
        <v/>
      </c>
      <c r="R527" t="b">
        <v>1</v>
      </c>
      <c r="S527" t="inlineStr">
        <is>
          <t>G000407</t>
        </is>
      </c>
      <c r="T527" t="inlineStr">
        <is>
          <t>Horizontal</t>
        </is>
      </c>
      <c r="U527" t="n">
        <v>12</v>
      </c>
      <c r="V527" t="b">
        <v>1</v>
      </c>
      <c r="W527" t="inlineStr">
        <is>
          <t>Valuation!C34:N34</t>
        </is>
      </c>
      <c r="X527">
        <f>R[-3]C[0]+(1-R4C2)*R[-2]C[0]+R[-1]C[0]</f>
        <v/>
      </c>
    </row>
    <row r="528">
      <c r="A528" t="inlineStr">
        <is>
          <t>Valuation</t>
        </is>
      </c>
      <c r="B528" t="inlineStr">
        <is>
          <t>G34</t>
        </is>
      </c>
      <c r="C528" t="n">
        <v>34</v>
      </c>
      <c r="D528" t="n">
        <v>7</v>
      </c>
      <c r="E528" t="inlineStr">
        <is>
          <t>Output</t>
        </is>
      </c>
      <c r="F528" t="inlineStr">
        <is>
          <t>'=G31+(1-$B$4)*G32+G33</t>
        </is>
      </c>
      <c r="G528" t="n">
        <v>14413.33374799996</v>
      </c>
      <c r="H528" t="inlineStr"/>
      <c r="I528" t="inlineStr">
        <is>
          <t>0</t>
        </is>
      </c>
      <c r="J528" t="b">
        <v>0</v>
      </c>
      <c r="K528" t="b">
        <v>0</v>
      </c>
      <c r="L528" t="n">
        <v>11</v>
      </c>
      <c r="M528" t="inlineStr">
        <is>
          <t>Values must be of type &lt;class 'str'&gt;</t>
        </is>
      </c>
      <c r="N528" t="inlineStr">
        <is>
          <t>00000000</t>
        </is>
      </c>
      <c r="O528" t="n">
        <v/>
      </c>
      <c r="P528" t="n">
        <v/>
      </c>
      <c r="R528" t="b">
        <v>1</v>
      </c>
      <c r="S528" t="inlineStr">
        <is>
          <t>G000407</t>
        </is>
      </c>
      <c r="T528" t="inlineStr">
        <is>
          <t>Horizontal</t>
        </is>
      </c>
      <c r="U528" t="n">
        <v>12</v>
      </c>
      <c r="V528" t="b">
        <v>1</v>
      </c>
      <c r="W528" t="inlineStr">
        <is>
          <t>Valuation!C34:N34</t>
        </is>
      </c>
      <c r="X528">
        <f>R[-3]C[0]+(1-R4C2)*R[-2]C[0]+R[-1]C[0]</f>
        <v/>
      </c>
    </row>
    <row r="529">
      <c r="A529" t="inlineStr">
        <is>
          <t>Valuation</t>
        </is>
      </c>
      <c r="B529" t="inlineStr">
        <is>
          <t>H34</t>
        </is>
      </c>
      <c r="C529" t="n">
        <v>34</v>
      </c>
      <c r="D529" t="n">
        <v>8</v>
      </c>
      <c r="E529" t="inlineStr">
        <is>
          <t>Output</t>
        </is>
      </c>
      <c r="F529" t="inlineStr">
        <is>
          <t>'=H31+(1-$B$4)*H32+H33</t>
        </is>
      </c>
      <c r="G529" t="n">
        <v>29163.52376699999</v>
      </c>
      <c r="H529" t="inlineStr"/>
      <c r="I529" t="inlineStr">
        <is>
          <t>0</t>
        </is>
      </c>
      <c r="J529" t="b">
        <v>0</v>
      </c>
      <c r="K529" t="b">
        <v>0</v>
      </c>
      <c r="L529" t="n">
        <v>11</v>
      </c>
      <c r="M529" t="inlineStr">
        <is>
          <t>Values must be of type &lt;class 'str'&gt;</t>
        </is>
      </c>
      <c r="N529" t="inlineStr">
        <is>
          <t>00000000</t>
        </is>
      </c>
      <c r="O529" t="n">
        <v/>
      </c>
      <c r="P529" t="n">
        <v/>
      </c>
      <c r="R529" t="b">
        <v>1</v>
      </c>
      <c r="S529" t="inlineStr">
        <is>
          <t>G000407</t>
        </is>
      </c>
      <c r="T529" t="inlineStr">
        <is>
          <t>Horizontal</t>
        </is>
      </c>
      <c r="U529" t="n">
        <v>12</v>
      </c>
      <c r="V529" t="b">
        <v>1</v>
      </c>
      <c r="W529" t="inlineStr">
        <is>
          <t>Valuation!C34:N34</t>
        </is>
      </c>
      <c r="X529">
        <f>R[-3]C[0]+(1-R4C2)*R[-2]C[0]+R[-1]C[0]</f>
        <v/>
      </c>
    </row>
    <row r="530">
      <c r="A530" t="inlineStr">
        <is>
          <t>Valuation</t>
        </is>
      </c>
      <c r="B530" t="inlineStr">
        <is>
          <t>I34</t>
        </is>
      </c>
      <c r="C530" t="n">
        <v>34</v>
      </c>
      <c r="D530" t="n">
        <v>9</v>
      </c>
      <c r="E530" t="inlineStr">
        <is>
          <t>Output</t>
        </is>
      </c>
      <c r="F530" t="inlineStr">
        <is>
          <t>'=I31+(1-$B$4)*I32+I33</t>
        </is>
      </c>
      <c r="G530" t="n">
        <v>42089.78042000001</v>
      </c>
      <c r="H530" t="inlineStr"/>
      <c r="I530" t="inlineStr">
        <is>
          <t>0</t>
        </is>
      </c>
      <c r="J530" t="b">
        <v>0</v>
      </c>
      <c r="K530" t="b">
        <v>0</v>
      </c>
      <c r="L530" t="n">
        <v>11</v>
      </c>
      <c r="M530" t="inlineStr">
        <is>
          <t>Values must be of type &lt;class 'str'&gt;</t>
        </is>
      </c>
      <c r="N530" t="inlineStr">
        <is>
          <t>00000000</t>
        </is>
      </c>
      <c r="O530" t="n">
        <v/>
      </c>
      <c r="P530" t="n">
        <v/>
      </c>
      <c r="R530" t="b">
        <v>1</v>
      </c>
      <c r="S530" t="inlineStr">
        <is>
          <t>G000407</t>
        </is>
      </c>
      <c r="T530" t="inlineStr">
        <is>
          <t>Horizontal</t>
        </is>
      </c>
      <c r="U530" t="n">
        <v>12</v>
      </c>
      <c r="V530" t="b">
        <v>1</v>
      </c>
      <c r="W530" t="inlineStr">
        <is>
          <t>Valuation!C34:N34</t>
        </is>
      </c>
      <c r="X530">
        <f>R[-3]C[0]+(1-R4C2)*R[-2]C[0]+R[-1]C[0]</f>
        <v/>
      </c>
    </row>
    <row r="531">
      <c r="A531" t="inlineStr">
        <is>
          <t>Valuation</t>
        </is>
      </c>
      <c r="B531" t="inlineStr">
        <is>
          <t>J34</t>
        </is>
      </c>
      <c r="C531" t="n">
        <v>34</v>
      </c>
      <c r="D531" t="n">
        <v>10</v>
      </c>
      <c r="E531" t="inlineStr">
        <is>
          <t>Calculation</t>
        </is>
      </c>
      <c r="F531" t="inlineStr">
        <is>
          <t>'=J31+(1-$B$4)*J32+J33</t>
        </is>
      </c>
      <c r="G531" t="n">
        <v>38825.4546557857</v>
      </c>
      <c r="H531" t="inlineStr"/>
      <c r="I531" t="inlineStr">
        <is>
          <t>0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00000000</t>
        </is>
      </c>
      <c r="O531" t="n">
        <v/>
      </c>
      <c r="P531" t="n">
        <v/>
      </c>
      <c r="R531" t="b">
        <v>1</v>
      </c>
      <c r="S531" t="inlineStr">
        <is>
          <t>G000407</t>
        </is>
      </c>
      <c r="T531" t="inlineStr">
        <is>
          <t>Horizontal</t>
        </is>
      </c>
      <c r="U531" t="n">
        <v>12</v>
      </c>
      <c r="V531" t="b">
        <v>1</v>
      </c>
      <c r="W531" t="inlineStr">
        <is>
          <t>Valuation!C34:N34</t>
        </is>
      </c>
      <c r="X531">
        <f>R[-3]C[0]+(1-R4C2)*R[-2]C[0]+R[-1]C[0]</f>
        <v/>
      </c>
    </row>
    <row r="532">
      <c r="A532" t="inlineStr">
        <is>
          <t>Valuation</t>
        </is>
      </c>
      <c r="B532" t="inlineStr">
        <is>
          <t>K34</t>
        </is>
      </c>
      <c r="C532" t="n">
        <v>34</v>
      </c>
      <c r="D532" t="n">
        <v>11</v>
      </c>
      <c r="E532" t="inlineStr">
        <is>
          <t>Calculation</t>
        </is>
      </c>
      <c r="F532" t="inlineStr">
        <is>
          <t>'=K31+(1-$B$4)*K32+K33</t>
        </is>
      </c>
      <c r="G532" t="n">
        <v>49068.51870997189</v>
      </c>
      <c r="H532" t="inlineStr"/>
      <c r="I532" t="inlineStr">
        <is>
          <t>0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00000000</t>
        </is>
      </c>
      <c r="O532" t="n">
        <v/>
      </c>
      <c r="P532" t="n">
        <v/>
      </c>
      <c r="R532" t="b">
        <v>1</v>
      </c>
      <c r="S532" t="inlineStr">
        <is>
          <t>G000407</t>
        </is>
      </c>
      <c r="T532" t="inlineStr">
        <is>
          <t>Horizontal</t>
        </is>
      </c>
      <c r="U532" t="n">
        <v>12</v>
      </c>
      <c r="V532" t="b">
        <v>1</v>
      </c>
      <c r="W532" t="inlineStr">
        <is>
          <t>Valuation!C34:N34</t>
        </is>
      </c>
      <c r="X532">
        <f>R[-3]C[0]+(1-R4C2)*R[-2]C[0]+R[-1]C[0]</f>
        <v/>
      </c>
    </row>
    <row r="533">
      <c r="A533" t="inlineStr">
        <is>
          <t>Valuation</t>
        </is>
      </c>
      <c r="B533" t="inlineStr">
        <is>
          <t>L34</t>
        </is>
      </c>
      <c r="C533" t="n">
        <v>34</v>
      </c>
      <c r="D533" t="n">
        <v>12</v>
      </c>
      <c r="E533" t="inlineStr">
        <is>
          <t>Calculation</t>
        </is>
      </c>
      <c r="F533" t="inlineStr">
        <is>
          <t>'=L31+(1-$B$4)*L32+L33</t>
        </is>
      </c>
      <c r="G533" t="n">
        <v>56334.83322321996</v>
      </c>
      <c r="H533" t="inlineStr"/>
      <c r="I533" t="inlineStr">
        <is>
          <t>0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n">
        <v/>
      </c>
      <c r="P533" t="n">
        <v/>
      </c>
      <c r="R533" t="b">
        <v>1</v>
      </c>
      <c r="S533" t="inlineStr">
        <is>
          <t>G000407</t>
        </is>
      </c>
      <c r="T533" t="inlineStr">
        <is>
          <t>Horizontal</t>
        </is>
      </c>
      <c r="U533" t="n">
        <v>12</v>
      </c>
      <c r="V533" t="b">
        <v>1</v>
      </c>
      <c r="W533" t="inlineStr">
        <is>
          <t>Valuation!C34:N34</t>
        </is>
      </c>
      <c r="X533">
        <f>R[-3]C[0]+(1-R4C2)*R[-2]C[0]+R[-1]C[0]</f>
        <v/>
      </c>
    </row>
    <row r="534">
      <c r="A534" t="inlineStr">
        <is>
          <t>Valuation</t>
        </is>
      </c>
      <c r="B534" t="inlineStr">
        <is>
          <t>M34</t>
        </is>
      </c>
      <c r="C534" t="n">
        <v>34</v>
      </c>
      <c r="D534" t="n">
        <v>13</v>
      </c>
      <c r="E534" t="inlineStr">
        <is>
          <t>Calculation</t>
        </is>
      </c>
      <c r="F534" t="inlineStr">
        <is>
          <t>'=M31+(1-$B$4)*M32+M33</t>
        </is>
      </c>
      <c r="G534" t="n">
        <v>74420.68447534075</v>
      </c>
      <c r="H534" t="inlineStr"/>
      <c r="I534" t="inlineStr">
        <is>
          <t>0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n">
        <v/>
      </c>
      <c r="P534" t="n">
        <v/>
      </c>
      <c r="R534" t="b">
        <v>1</v>
      </c>
      <c r="S534" t="inlineStr">
        <is>
          <t>G000407</t>
        </is>
      </c>
      <c r="T534" t="inlineStr">
        <is>
          <t>Horizontal</t>
        </is>
      </c>
      <c r="U534" t="n">
        <v>12</v>
      </c>
      <c r="V534" t="b">
        <v>1</v>
      </c>
      <c r="W534" t="inlineStr">
        <is>
          <t>Valuation!C34:N34</t>
        </is>
      </c>
      <c r="X534">
        <f>R[-3]C[0]+(1-R4C2)*R[-2]C[0]+R[-1]C[0]</f>
        <v/>
      </c>
    </row>
    <row r="535">
      <c r="A535" t="inlineStr">
        <is>
          <t>Valuation</t>
        </is>
      </c>
      <c r="B535" t="inlineStr">
        <is>
          <t>N34</t>
        </is>
      </c>
      <c r="C535" t="n">
        <v>34</v>
      </c>
      <c r="D535" t="n">
        <v>14</v>
      </c>
      <c r="E535" t="inlineStr">
        <is>
          <t>Calculation</t>
        </is>
      </c>
      <c r="F535" t="inlineStr">
        <is>
          <t>'=N31+(1-$B$4)*N32+N33</t>
        </is>
      </c>
      <c r="G535" t="n">
        <v>90364.52109834428</v>
      </c>
      <c r="H535" t="inlineStr"/>
      <c r="I535" t="inlineStr">
        <is>
          <t>0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00000000</t>
        </is>
      </c>
      <c r="O535" t="n">
        <v/>
      </c>
      <c r="P535" t="n">
        <v/>
      </c>
      <c r="R535" t="b">
        <v>1</v>
      </c>
      <c r="S535" t="inlineStr">
        <is>
          <t>G000407</t>
        </is>
      </c>
      <c r="T535" t="inlineStr">
        <is>
          <t>Horizontal</t>
        </is>
      </c>
      <c r="U535" t="n">
        <v>12</v>
      </c>
      <c r="V535" t="b">
        <v>1</v>
      </c>
      <c r="W535" t="inlineStr">
        <is>
          <t>Valuation!C34:N34</t>
        </is>
      </c>
      <c r="X535">
        <f>R[-3]C[0]+(1-R4C2)*R[-2]C[0]+R[-1]C[0]</f>
        <v/>
      </c>
    </row>
    <row r="536">
      <c r="A536" t="inlineStr">
        <is>
          <t>Valuation</t>
        </is>
      </c>
      <c r="B536" t="inlineStr">
        <is>
          <t>P34</t>
        </is>
      </c>
      <c r="C536" t="n">
        <v>34</v>
      </c>
      <c r="D536" t="n">
        <v>16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00000000</t>
        </is>
      </c>
      <c r="O536" t="n">
        <v/>
      </c>
      <c r="P536" t="n">
        <v/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Valuation</t>
        </is>
      </c>
      <c r="B537" t="inlineStr">
        <is>
          <t>Q34</t>
        </is>
      </c>
      <c r="C537" t="n">
        <v>34</v>
      </c>
      <c r="D537" t="n">
        <v>17</v>
      </c>
      <c r="E537" t="inlineStr">
        <is>
          <t>Calculation</t>
        </is>
      </c>
      <c r="F537" t="inlineStr">
        <is>
          <t>'=Q33+0.5%</t>
        </is>
      </c>
      <c r="G537" t="n">
        <v>0.167</v>
      </c>
      <c r="H537" t="inlineStr"/>
      <c r="I537" t="inlineStr">
        <is>
          <t>0.0%</t>
        </is>
      </c>
      <c r="J537" t="b">
        <v>1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n">
        <v/>
      </c>
      <c r="R537" t="b">
        <v>1</v>
      </c>
      <c r="S537" t="inlineStr">
        <is>
          <t>G000399</t>
        </is>
      </c>
      <c r="T537" t="inlineStr">
        <is>
          <t>Vertical</t>
        </is>
      </c>
      <c r="U537" t="n">
        <v>12</v>
      </c>
      <c r="V537" t="b">
        <v>1</v>
      </c>
      <c r="W537" t="inlineStr">
        <is>
          <t>Valuation!Q25:Q36</t>
        </is>
      </c>
      <c r="X537">
        <f>R[-1]C[0]+0.5%</f>
        <v/>
      </c>
    </row>
    <row r="538">
      <c r="A538" t="inlineStr">
        <is>
          <t>Valuation</t>
        </is>
      </c>
      <c r="B538" t="inlineStr">
        <is>
          <t>R34</t>
        </is>
      </c>
      <c r="C538" t="n">
        <v>34</v>
      </c>
      <c r="D538" t="n">
        <v>18</v>
      </c>
      <c r="E538" t="inlineStr">
        <is>
          <t>Input</t>
        </is>
      </c>
      <c r="F538" t="n">
        <v/>
      </c>
      <c r="G538" t="n">
        <v>1052.740693894724</v>
      </c>
      <c r="H538" t="inlineStr"/>
      <c r="I538" t="inlineStr">
        <is>
          <t>0</t>
        </is>
      </c>
      <c r="J538" t="b">
        <v>0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n">
        <v/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Valuation</t>
        </is>
      </c>
      <c r="B539" t="inlineStr">
        <is>
          <t>S34</t>
        </is>
      </c>
      <c r="C539" t="n">
        <v>34</v>
      </c>
      <c r="D539" t="n">
        <v>19</v>
      </c>
      <c r="E539" t="inlineStr">
        <is>
          <t>Input</t>
        </is>
      </c>
      <c r="F539" t="n">
        <v/>
      </c>
      <c r="G539" t="n">
        <v>1066.793319484661</v>
      </c>
      <c r="H539" t="inlineStr"/>
      <c r="I539" t="inlineStr">
        <is>
          <t>0</t>
        </is>
      </c>
      <c r="J539" t="b">
        <v>0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n">
        <v/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Valuation</t>
        </is>
      </c>
      <c r="B540" t="inlineStr">
        <is>
          <t>T34</t>
        </is>
      </c>
      <c r="C540" t="n">
        <v>34</v>
      </c>
      <c r="D540" t="n">
        <v>20</v>
      </c>
      <c r="E540" t="inlineStr">
        <is>
          <t>Input</t>
        </is>
      </c>
      <c r="F540" t="n">
        <v/>
      </c>
      <c r="G540" t="n">
        <v>1081.871684168753</v>
      </c>
      <c r="H540" t="inlineStr"/>
      <c r="I540" t="inlineStr">
        <is>
          <t>0</t>
        </is>
      </c>
      <c r="J540" t="b">
        <v>0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n">
        <v/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Valuation</t>
        </is>
      </c>
      <c r="B541" t="inlineStr">
        <is>
          <t>U34</t>
        </is>
      </c>
      <c r="C541" t="n">
        <v>34</v>
      </c>
      <c r="D541" t="n">
        <v>21</v>
      </c>
      <c r="E541" t="inlineStr">
        <is>
          <t>Input</t>
        </is>
      </c>
      <c r="F541" t="n">
        <v/>
      </c>
      <c r="G541" t="n">
        <v>1098.092349207701</v>
      </c>
      <c r="H541" t="inlineStr"/>
      <c r="I541" t="inlineStr">
        <is>
          <t>0</t>
        </is>
      </c>
      <c r="J541" t="b">
        <v>0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n">
        <v/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Valuation</t>
        </is>
      </c>
      <c r="B542" t="inlineStr">
        <is>
          <t>V34</t>
        </is>
      </c>
      <c r="C542" t="n">
        <v>34</v>
      </c>
      <c r="D542" t="n">
        <v>22</v>
      </c>
      <c r="E542" t="inlineStr">
        <is>
          <t>Input</t>
        </is>
      </c>
      <c r="F542" t="n">
        <v/>
      </c>
      <c r="G542" t="n">
        <v>1115.590231966251</v>
      </c>
      <c r="H542" t="inlineStr"/>
      <c r="I542" t="inlineStr">
        <is>
          <t>0</t>
        </is>
      </c>
      <c r="J542" t="b">
        <v>0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n">
        <v/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Valuation</t>
        </is>
      </c>
      <c r="B543" t="inlineStr">
        <is>
          <t>W34</t>
        </is>
      </c>
      <c r="C543" t="n">
        <v>34</v>
      </c>
      <c r="D543" t="n">
        <v>23</v>
      </c>
      <c r="E543" t="inlineStr">
        <is>
          <t>Input</t>
        </is>
      </c>
      <c r="F543" t="n">
        <v/>
      </c>
      <c r="G543" t="n">
        <v>1134.522367409927</v>
      </c>
      <c r="H543" t="inlineStr"/>
      <c r="I543" t="inlineStr">
        <is>
          <t>0</t>
        </is>
      </c>
      <c r="J543" t="b">
        <v>0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n">
        <v/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</row>
    <row r="544">
      <c r="A544" t="inlineStr">
        <is>
          <t>Valuation</t>
        </is>
      </c>
      <c r="B544" t="inlineStr">
        <is>
          <t>X34</t>
        </is>
      </c>
      <c r="C544" t="n">
        <v>34</v>
      </c>
      <c r="D544" t="n">
        <v>24</v>
      </c>
      <c r="E544" t="inlineStr">
        <is>
          <t>Input</t>
        </is>
      </c>
      <c r="F544" t="n">
        <v/>
      </c>
      <c r="G544" t="n">
        <v>1155.072634088107</v>
      </c>
      <c r="H544" t="inlineStr"/>
      <c r="I544" t="inlineStr">
        <is>
          <t>0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n">
        <v/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</row>
    <row r="545">
      <c r="A545" t="inlineStr">
        <is>
          <t>Valuation</t>
        </is>
      </c>
      <c r="B545" t="inlineStr">
        <is>
          <t>Y34</t>
        </is>
      </c>
      <c r="C545" t="n">
        <v>34</v>
      </c>
      <c r="D545" t="n">
        <v>25</v>
      </c>
      <c r="E545" t="inlineStr">
        <is>
          <t>Input</t>
        </is>
      </c>
      <c r="F545" t="n">
        <v/>
      </c>
      <c r="G545" t="n">
        <v>1177.457746005409</v>
      </c>
      <c r="H545" t="inlineStr"/>
      <c r="I545" t="inlineStr">
        <is>
          <t>0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Values must be of type &lt;class 'str'&gt;</t>
        </is>
      </c>
      <c r="O545" t="inlineStr">
        <is>
          <t>center</t>
        </is>
      </c>
      <c r="P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</row>
    <row r="546">
      <c r="A546" t="inlineStr">
        <is>
          <t>Valuation</t>
        </is>
      </c>
      <c r="B546" t="inlineStr">
        <is>
          <t>Z34</t>
        </is>
      </c>
      <c r="C546" t="n">
        <v>34</v>
      </c>
      <c r="D546" t="n">
        <v>26</v>
      </c>
      <c r="E546" t="inlineStr">
        <is>
          <t>Input</t>
        </is>
      </c>
      <c r="F546" t="n">
        <v/>
      </c>
      <c r="G546" t="n">
        <v>1201.934924457039</v>
      </c>
      <c r="H546" t="inlineStr"/>
      <c r="I546" t="inlineStr">
        <is>
          <t>0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Values must be of type &lt;class 'str'&gt;</t>
        </is>
      </c>
      <c r="O546" t="inlineStr">
        <is>
          <t>center</t>
        </is>
      </c>
      <c r="P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</row>
    <row r="547">
      <c r="A547" t="inlineStr">
        <is>
          <t>Valuation</t>
        </is>
      </c>
      <c r="B547" t="inlineStr">
        <is>
          <t>AA34</t>
        </is>
      </c>
      <c r="C547" t="n">
        <v>34</v>
      </c>
      <c r="D547" t="n">
        <v>27</v>
      </c>
      <c r="E547" t="inlineStr">
        <is>
          <t>Input</t>
        </is>
      </c>
      <c r="F547" t="n">
        <v/>
      </c>
      <c r="G547" t="n">
        <v>1228.811826286279</v>
      </c>
      <c r="H547" t="inlineStr"/>
      <c r="I547" t="inlineStr">
        <is>
          <t>0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Values must be of type &lt;class 'str'&gt;</t>
        </is>
      </c>
      <c r="O547" t="inlineStr">
        <is>
          <t>center</t>
        </is>
      </c>
      <c r="P547" t="n">
        <v/>
      </c>
      <c r="R547" t="b">
        <v>1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</row>
    <row r="548">
      <c r="A548" t="inlineStr">
        <is>
          <t>Valuation</t>
        </is>
      </c>
      <c r="B548" t="inlineStr">
        <is>
          <t>AB34</t>
        </is>
      </c>
      <c r="C548" t="n">
        <v>34</v>
      </c>
      <c r="D548" t="n">
        <v>28</v>
      </c>
      <c r="E548" t="inlineStr">
        <is>
          <t>Input</t>
        </is>
      </c>
      <c r="F548" t="n">
        <v/>
      </c>
      <c r="G548" t="n">
        <v>1258.459542737091</v>
      </c>
      <c r="H548" t="inlineStr"/>
      <c r="I548" t="inlineStr">
        <is>
          <t>0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Values must be of type &lt;class 'str'&gt;</t>
        </is>
      </c>
      <c r="O548" t="inlineStr">
        <is>
          <t>center</t>
        </is>
      </c>
      <c r="P548" t="n">
        <v/>
      </c>
      <c r="R548" t="b">
        <v>1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</row>
    <row r="549">
      <c r="A549" t="inlineStr">
        <is>
          <t>Valuation</t>
        </is>
      </c>
      <c r="B549" t="inlineStr">
        <is>
          <t>A35</t>
        </is>
      </c>
      <c r="C549" t="n">
        <v>35</v>
      </c>
      <c r="D549" t="n">
        <v>1</v>
      </c>
      <c r="E549" t="inlineStr">
        <is>
          <t>Input</t>
        </is>
      </c>
      <c r="F549" t="n">
        <v/>
      </c>
      <c r="G549" t="inlineStr">
        <is>
          <t>PV of FCFF</t>
        </is>
      </c>
      <c r="H549" t="inlineStr"/>
      <c r="I549" t="inlineStr">
        <is>
          <t>0.0%</t>
        </is>
      </c>
      <c r="J549" t="b">
        <v>0</v>
      </c>
      <c r="K549" t="b">
        <v>0</v>
      </c>
      <c r="L549" t="n">
        <v>10</v>
      </c>
      <c r="M549" t="n">
        <v/>
      </c>
      <c r="N549" t="inlineStr">
        <is>
          <t>00000000</t>
        </is>
      </c>
      <c r="O549" t="inlineStr">
        <is>
          <t>left</t>
        </is>
      </c>
      <c r="P549" t="n">
        <v/>
      </c>
      <c r="R549" t="b">
        <v>1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Valuation</t>
        </is>
      </c>
      <c r="B550" t="inlineStr">
        <is>
          <t>B35</t>
        </is>
      </c>
      <c r="C550" t="n">
        <v>35</v>
      </c>
      <c r="D550" t="n">
        <v>2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00000000</t>
        </is>
      </c>
      <c r="O550" t="n">
        <v/>
      </c>
      <c r="P550" t="n">
        <v/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Valuation</t>
        </is>
      </c>
      <c r="B551" t="inlineStr">
        <is>
          <t>C35</t>
        </is>
      </c>
      <c r="C551" t="n">
        <v>35</v>
      </c>
      <c r="D551" t="n">
        <v>3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Values must be of type &lt;class 'str'&gt;</t>
        </is>
      </c>
      <c r="N551" t="inlineStr">
        <is>
          <t>00000000</t>
        </is>
      </c>
      <c r="O551" t="n">
        <v/>
      </c>
      <c r="P551" t="n">
        <v/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</row>
    <row r="552">
      <c r="A552" t="inlineStr">
        <is>
          <t>Valuation</t>
        </is>
      </c>
      <c r="B552" t="inlineStr">
        <is>
          <t>D35</t>
        </is>
      </c>
      <c r="C552" t="n">
        <v>35</v>
      </c>
      <c r="D552" t="n">
        <v>4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Values must be of type &lt;class 'str'&gt;</t>
        </is>
      </c>
      <c r="N552" t="inlineStr">
        <is>
          <t>00000000</t>
        </is>
      </c>
      <c r="O552" t="n">
        <v/>
      </c>
      <c r="P552" t="n">
        <v/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</row>
    <row r="553">
      <c r="A553" t="inlineStr">
        <is>
          <t>Valuation</t>
        </is>
      </c>
      <c r="B553" t="inlineStr">
        <is>
          <t>E35</t>
        </is>
      </c>
      <c r="C553" t="n">
        <v>35</v>
      </c>
      <c r="D553" t="n">
        <v>5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Values must be of type &lt;class 'str'&gt;</t>
        </is>
      </c>
      <c r="N553" t="inlineStr">
        <is>
          <t>00000000</t>
        </is>
      </c>
      <c r="O553" t="n">
        <v/>
      </c>
      <c r="P553" t="n">
        <v/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</row>
    <row r="554">
      <c r="A554" t="inlineStr">
        <is>
          <t>Valuation</t>
        </is>
      </c>
      <c r="B554" t="inlineStr">
        <is>
          <t>F35</t>
        </is>
      </c>
      <c r="C554" t="n">
        <v>35</v>
      </c>
      <c r="D554" t="n">
        <v>6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11</v>
      </c>
      <c r="M554" t="inlineStr">
        <is>
          <t>Values must be of type &lt;class 'str'&gt;</t>
        </is>
      </c>
      <c r="N554" t="inlineStr">
        <is>
          <t>00000000</t>
        </is>
      </c>
      <c r="O554" t="n">
        <v/>
      </c>
      <c r="P554" t="n">
        <v/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</row>
    <row r="555">
      <c r="A555" t="inlineStr">
        <is>
          <t>Valuation</t>
        </is>
      </c>
      <c r="B555" t="inlineStr">
        <is>
          <t>G35</t>
        </is>
      </c>
      <c r="C555" t="n">
        <v>35</v>
      </c>
      <c r="D555" t="n">
        <v>7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11</v>
      </c>
      <c r="M555" t="inlineStr">
        <is>
          <t>Values must be of type &lt;class 'str'&gt;</t>
        </is>
      </c>
      <c r="N555" t="inlineStr">
        <is>
          <t>00000000</t>
        </is>
      </c>
      <c r="O555" t="n">
        <v/>
      </c>
      <c r="P555" t="n">
        <v/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</row>
    <row r="556">
      <c r="A556" t="inlineStr">
        <is>
          <t>Valuation</t>
        </is>
      </c>
      <c r="B556" t="inlineStr">
        <is>
          <t>H35</t>
        </is>
      </c>
      <c r="C556" t="n">
        <v>35</v>
      </c>
      <c r="D556" t="n">
        <v>8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11</v>
      </c>
      <c r="M556" t="inlineStr">
        <is>
          <t>Values must be of type &lt;class 'str'&gt;</t>
        </is>
      </c>
      <c r="N556" t="inlineStr">
        <is>
          <t>00000000</t>
        </is>
      </c>
      <c r="O556" t="n">
        <v/>
      </c>
      <c r="P556" t="n">
        <v/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</row>
    <row r="557">
      <c r="A557" t="inlineStr">
        <is>
          <t>Valuation</t>
        </is>
      </c>
      <c r="B557" t="inlineStr">
        <is>
          <t>I35</t>
        </is>
      </c>
      <c r="C557" t="n">
        <v>35</v>
      </c>
      <c r="D557" t="n">
        <v>9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n">
        <v/>
      </c>
      <c r="P557" t="n">
        <v/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</row>
    <row r="558">
      <c r="A558" t="inlineStr">
        <is>
          <t>Valuation</t>
        </is>
      </c>
      <c r="B558" t="inlineStr">
        <is>
          <t>J35</t>
        </is>
      </c>
      <c r="C558" t="n">
        <v>35</v>
      </c>
      <c r="D558" t="n">
        <v>10</v>
      </c>
      <c r="E558" t="inlineStr">
        <is>
          <t>Calculation</t>
        </is>
      </c>
      <c r="F558" t="inlineStr">
        <is>
          <t>'=J34/(1+$B$17)^J36</t>
        </is>
      </c>
      <c r="G558" t="n">
        <v>34758.37320687862</v>
      </c>
      <c r="H558" t="inlineStr"/>
      <c r="I558" t="inlineStr">
        <is>
          <t>0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00000000</t>
        </is>
      </c>
      <c r="O558" t="n">
        <v/>
      </c>
      <c r="P558" t="n">
        <v/>
      </c>
      <c r="R558" t="b">
        <v>1</v>
      </c>
      <c r="S558" t="inlineStr">
        <is>
          <t>G000408</t>
        </is>
      </c>
      <c r="T558" t="inlineStr">
        <is>
          <t>Horizontal</t>
        </is>
      </c>
      <c r="U558" t="n">
        <v>5</v>
      </c>
      <c r="V558" t="b">
        <v>1</v>
      </c>
      <c r="W558" t="inlineStr">
        <is>
          <t>Valuation!J35:N35</t>
        </is>
      </c>
      <c r="X558">
        <f>R[-1]C[0]/(1+R17C2)^R[1]C[0]</f>
        <v/>
      </c>
    </row>
    <row r="559">
      <c r="A559" t="inlineStr">
        <is>
          <t>Valuation</t>
        </is>
      </c>
      <c r="B559" t="inlineStr">
        <is>
          <t>K35</t>
        </is>
      </c>
      <c r="C559" t="n">
        <v>35</v>
      </c>
      <c r="D559" t="n">
        <v>11</v>
      </c>
      <c r="E559" t="inlineStr">
        <is>
          <t>Calculation</t>
        </is>
      </c>
      <c r="F559" t="inlineStr">
        <is>
          <t>'=K34/(1+$B$17)^K36</t>
        </is>
      </c>
      <c r="G559" t="n">
        <v>39326.81103146693</v>
      </c>
      <c r="H559" t="inlineStr"/>
      <c r="I559" t="inlineStr">
        <is>
          <t>0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n">
        <v/>
      </c>
      <c r="P559" t="n">
        <v/>
      </c>
      <c r="R559" t="b">
        <v>1</v>
      </c>
      <c r="S559" t="inlineStr">
        <is>
          <t>G000408</t>
        </is>
      </c>
      <c r="T559" t="inlineStr">
        <is>
          <t>Horizontal</t>
        </is>
      </c>
      <c r="U559" t="n">
        <v>5</v>
      </c>
      <c r="V559" t="b">
        <v>1</v>
      </c>
      <c r="W559" t="inlineStr">
        <is>
          <t>Valuation!J35:N35</t>
        </is>
      </c>
      <c r="X559">
        <f>R[-1]C[0]/(1+R17C2)^R[1]C[0]</f>
        <v/>
      </c>
    </row>
    <row r="560">
      <c r="A560" t="inlineStr">
        <is>
          <t>Valuation</t>
        </is>
      </c>
      <c r="B560" t="inlineStr">
        <is>
          <t>L35</t>
        </is>
      </c>
      <c r="C560" t="n">
        <v>35</v>
      </c>
      <c r="D560" t="n">
        <v>12</v>
      </c>
      <c r="E560" t="inlineStr">
        <is>
          <t>Calculation</t>
        </is>
      </c>
      <c r="F560" t="inlineStr">
        <is>
          <t>'=L34/(1+$B$17)^L36</t>
        </is>
      </c>
      <c r="G560" t="n">
        <v>40420.87295478355</v>
      </c>
      <c r="H560" t="inlineStr"/>
      <c r="I560" t="inlineStr">
        <is>
          <t>0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n">
        <v/>
      </c>
      <c r="P560" t="n">
        <v/>
      </c>
      <c r="R560" t="b">
        <v>1</v>
      </c>
      <c r="S560" t="inlineStr">
        <is>
          <t>G000408</t>
        </is>
      </c>
      <c r="T560" t="inlineStr">
        <is>
          <t>Horizontal</t>
        </is>
      </c>
      <c r="U560" t="n">
        <v>5</v>
      </c>
      <c r="V560" t="b">
        <v>1</v>
      </c>
      <c r="W560" t="inlineStr">
        <is>
          <t>Valuation!J35:N35</t>
        </is>
      </c>
      <c r="X560">
        <f>R[-1]C[0]/(1+R17C2)^R[1]C[0]</f>
        <v/>
      </c>
    </row>
    <row r="561">
      <c r="A561" t="inlineStr">
        <is>
          <t>Valuation</t>
        </is>
      </c>
      <c r="B561" t="inlineStr">
        <is>
          <t>M35</t>
        </is>
      </c>
      <c r="C561" t="n">
        <v>35</v>
      </c>
      <c r="D561" t="n">
        <v>13</v>
      </c>
      <c r="E561" t="inlineStr">
        <is>
          <t>Calculation</t>
        </is>
      </c>
      <c r="F561" t="inlineStr">
        <is>
          <t>'=M34/(1+$B$17)^M36</t>
        </is>
      </c>
      <c r="G561" t="n">
        <v>47804.10895690581</v>
      </c>
      <c r="H561" t="inlineStr"/>
      <c r="I561" t="inlineStr">
        <is>
          <t>0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00000000</t>
        </is>
      </c>
      <c r="O561" t="n">
        <v/>
      </c>
      <c r="P561" t="n">
        <v/>
      </c>
      <c r="R561" t="b">
        <v>1</v>
      </c>
      <c r="S561" t="inlineStr">
        <is>
          <t>G000408</t>
        </is>
      </c>
      <c r="T561" t="inlineStr">
        <is>
          <t>Horizontal</t>
        </is>
      </c>
      <c r="U561" t="n">
        <v>5</v>
      </c>
      <c r="V561" t="b">
        <v>1</v>
      </c>
      <c r="W561" t="inlineStr">
        <is>
          <t>Valuation!J35:N35</t>
        </is>
      </c>
      <c r="X561">
        <f>R[-1]C[0]/(1+R17C2)^R[1]C[0]</f>
        <v/>
      </c>
    </row>
    <row r="562">
      <c r="A562" t="inlineStr">
        <is>
          <t>Valuation</t>
        </is>
      </c>
      <c r="B562" t="inlineStr">
        <is>
          <t>N35</t>
        </is>
      </c>
      <c r="C562" t="n">
        <v>35</v>
      </c>
      <c r="D562" t="n">
        <v>14</v>
      </c>
      <c r="E562" t="inlineStr">
        <is>
          <t>Calculation</t>
        </is>
      </c>
      <c r="F562" t="inlineStr">
        <is>
          <t>'=N34/(1+$B$17)^N36</t>
        </is>
      </c>
      <c r="G562" t="n">
        <v>51965.17697884461</v>
      </c>
      <c r="H562" t="inlineStr"/>
      <c r="I562" t="inlineStr">
        <is>
          <t>0</t>
        </is>
      </c>
      <c r="J562" t="b">
        <v>0</v>
      </c>
      <c r="K562" t="b">
        <v>0</v>
      </c>
      <c r="L562" t="n">
        <v>11</v>
      </c>
      <c r="M562" t="inlineStr">
        <is>
          <t>Values must be of type &lt;class 'str'&gt;</t>
        </is>
      </c>
      <c r="N562" t="inlineStr">
        <is>
          <t>00000000</t>
        </is>
      </c>
      <c r="O562" t="n">
        <v/>
      </c>
      <c r="P562" t="n">
        <v/>
      </c>
      <c r="R562" t="b">
        <v>1</v>
      </c>
      <c r="S562" t="inlineStr">
        <is>
          <t>G000408</t>
        </is>
      </c>
      <c r="T562" t="inlineStr">
        <is>
          <t>Horizontal</t>
        </is>
      </c>
      <c r="U562" t="n">
        <v>5</v>
      </c>
      <c r="V562" t="b">
        <v>1</v>
      </c>
      <c r="W562" t="inlineStr">
        <is>
          <t>Valuation!J35:N35</t>
        </is>
      </c>
      <c r="X562">
        <f>R[-1]C[0]/(1+R17C2)^R[1]C[0]</f>
        <v/>
      </c>
    </row>
    <row r="563">
      <c r="A563" t="inlineStr">
        <is>
          <t>Valuation</t>
        </is>
      </c>
      <c r="B563" t="inlineStr">
        <is>
          <t>P35</t>
        </is>
      </c>
      <c r="C563" t="n">
        <v>35</v>
      </c>
      <c r="D563" t="n">
        <v>16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Values must be of type &lt;class 'str'&gt;</t>
        </is>
      </c>
      <c r="N563" t="inlineStr">
        <is>
          <t>00000000</t>
        </is>
      </c>
      <c r="O563" t="n">
        <v/>
      </c>
      <c r="P563" t="n">
        <v/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Valuation</t>
        </is>
      </c>
      <c r="B564" t="inlineStr">
        <is>
          <t>Q35</t>
        </is>
      </c>
      <c r="C564" t="n">
        <v>35</v>
      </c>
      <c r="D564" t="n">
        <v>17</v>
      </c>
      <c r="E564" t="inlineStr">
        <is>
          <t>Calculation</t>
        </is>
      </c>
      <c r="F564" t="inlineStr">
        <is>
          <t>'=Q34+0.5%</t>
        </is>
      </c>
      <c r="G564" t="n">
        <v>0.172</v>
      </c>
      <c r="H564" t="inlineStr"/>
      <c r="I564" t="inlineStr">
        <is>
          <t>0.0%</t>
        </is>
      </c>
      <c r="J564" t="b">
        <v>1</v>
      </c>
      <c r="K564" t="b">
        <v>0</v>
      </c>
      <c r="L564" t="n">
        <v>11</v>
      </c>
      <c r="M564" t="inlineStr">
        <is>
          <t>Values must be of type &lt;class 'str'&gt;</t>
        </is>
      </c>
      <c r="N564" t="inlineStr">
        <is>
          <t>Values must be of type &lt;class 'str'&gt;</t>
        </is>
      </c>
      <c r="O564" t="inlineStr">
        <is>
          <t>center</t>
        </is>
      </c>
      <c r="P564" t="n">
        <v/>
      </c>
      <c r="R564" t="b">
        <v>1</v>
      </c>
      <c r="S564" t="inlineStr">
        <is>
          <t>G000399</t>
        </is>
      </c>
      <c r="T564" t="inlineStr">
        <is>
          <t>Vertical</t>
        </is>
      </c>
      <c r="U564" t="n">
        <v>12</v>
      </c>
      <c r="V564" t="b">
        <v>1</v>
      </c>
      <c r="W564" t="inlineStr">
        <is>
          <t>Valuation!Q25:Q36</t>
        </is>
      </c>
      <c r="X564">
        <f>R[-1]C[0]+0.5%</f>
        <v/>
      </c>
    </row>
    <row r="565">
      <c r="A565" t="inlineStr">
        <is>
          <t>Valuation</t>
        </is>
      </c>
      <c r="B565" t="inlineStr">
        <is>
          <t>R35</t>
        </is>
      </c>
      <c r="C565" t="n">
        <v>35</v>
      </c>
      <c r="D565" t="n">
        <v>18</v>
      </c>
      <c r="E565" t="inlineStr">
        <is>
          <t>Input</t>
        </is>
      </c>
      <c r="F565" t="n">
        <v/>
      </c>
      <c r="G565" t="n">
        <v>1020.726017892142</v>
      </c>
      <c r="H565" t="inlineStr"/>
      <c r="I565" t="inlineStr">
        <is>
          <t>0</t>
        </is>
      </c>
      <c r="J565" t="b">
        <v>0</v>
      </c>
      <c r="K565" t="b">
        <v>0</v>
      </c>
      <c r="L565" t="n">
        <v>11</v>
      </c>
      <c r="M565" t="inlineStr">
        <is>
          <t>Values must be of type &lt;class 'str'&gt;</t>
        </is>
      </c>
      <c r="N565" t="inlineStr">
        <is>
          <t>Values must be of type &lt;class 'str'&gt;</t>
        </is>
      </c>
      <c r="O565" t="inlineStr">
        <is>
          <t>center</t>
        </is>
      </c>
      <c r="P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Valuation</t>
        </is>
      </c>
      <c r="B566" t="inlineStr">
        <is>
          <t>S35</t>
        </is>
      </c>
      <c r="C566" t="n">
        <v>35</v>
      </c>
      <c r="D566" t="n">
        <v>19</v>
      </c>
      <c r="E566" t="inlineStr">
        <is>
          <t>Input</t>
        </is>
      </c>
      <c r="F566" t="n">
        <v/>
      </c>
      <c r="G566" t="n">
        <v>1033.358579677431</v>
      </c>
      <c r="H566" t="inlineStr"/>
      <c r="I566" t="inlineStr">
        <is>
          <t>0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Values must be of type &lt;class 'str'&gt;</t>
        </is>
      </c>
      <c r="O566" t="inlineStr">
        <is>
          <t>center</t>
        </is>
      </c>
      <c r="P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</row>
    <row r="567">
      <c r="A567" t="inlineStr">
        <is>
          <t>Valuation</t>
        </is>
      </c>
      <c r="B567" t="inlineStr">
        <is>
          <t>T35</t>
        </is>
      </c>
      <c r="C567" t="n">
        <v>35</v>
      </c>
      <c r="D567" t="n">
        <v>20</v>
      </c>
      <c r="E567" t="inlineStr">
        <is>
          <t>Input</t>
        </is>
      </c>
      <c r="F567" t="n">
        <v/>
      </c>
      <c r="G567" t="n">
        <v>1046.880758489854</v>
      </c>
      <c r="H567" t="inlineStr"/>
      <c r="I567" t="inlineStr">
        <is>
          <t>0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inlineStr">
        <is>
          <t>center</t>
        </is>
      </c>
      <c r="P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Valuation</t>
        </is>
      </c>
      <c r="B568" t="inlineStr">
        <is>
          <t>U35</t>
        </is>
      </c>
      <c r="C568" t="n">
        <v>35</v>
      </c>
      <c r="D568" t="n">
        <v>21</v>
      </c>
      <c r="E568" t="inlineStr">
        <is>
          <t>Input</t>
        </is>
      </c>
      <c r="F568" t="n">
        <v/>
      </c>
      <c r="G568" t="n">
        <v>1061.389957653549</v>
      </c>
      <c r="H568" t="inlineStr"/>
      <c r="I568" t="inlineStr">
        <is>
          <t>0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inlineStr">
        <is>
          <t>center</t>
        </is>
      </c>
      <c r="P568" t="n">
        <v/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Valuation</t>
        </is>
      </c>
      <c r="B569" t="inlineStr">
        <is>
          <t>V35</t>
        </is>
      </c>
      <c r="C569" t="n">
        <v>35</v>
      </c>
      <c r="D569" t="n">
        <v>22</v>
      </c>
      <c r="E569" t="inlineStr">
        <is>
          <t>Input</t>
        </is>
      </c>
      <c r="F569" t="n">
        <v/>
      </c>
      <c r="G569" t="n">
        <v>1076.998338572069</v>
      </c>
      <c r="H569" t="inlineStr"/>
      <c r="I569" t="inlineStr">
        <is>
          <t>0</t>
        </is>
      </c>
      <c r="J569" t="b">
        <v>0</v>
      </c>
      <c r="K569" t="b">
        <v>0</v>
      </c>
      <c r="L569" t="n">
        <v>11</v>
      </c>
      <c r="M569" t="inlineStr">
        <is>
          <t>Values must be of type &lt;class 'str'&gt;</t>
        </is>
      </c>
      <c r="N569" t="inlineStr">
        <is>
          <t>Values must be of type &lt;class 'str'&gt;</t>
        </is>
      </c>
      <c r="O569" t="inlineStr">
        <is>
          <t>center</t>
        </is>
      </c>
      <c r="P569" t="n">
        <v/>
      </c>
      <c r="R569" t="b">
        <v>1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</row>
    <row r="570">
      <c r="A570" t="inlineStr">
        <is>
          <t>Valuation</t>
        </is>
      </c>
      <c r="B570" t="inlineStr">
        <is>
          <t>W35</t>
        </is>
      </c>
      <c r="C570" t="n">
        <v>35</v>
      </c>
      <c r="D570" t="n">
        <v>23</v>
      </c>
      <c r="E570" t="inlineStr">
        <is>
          <t>Input</t>
        </is>
      </c>
      <c r="F570" t="n">
        <v/>
      </c>
      <c r="G570" t="n">
        <v>1093.835725862126</v>
      </c>
      <c r="H570" t="inlineStr"/>
      <c r="I570" t="inlineStr">
        <is>
          <t>0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Values must be of type &lt;class 'str'&gt;</t>
        </is>
      </c>
      <c r="O570" t="inlineStr">
        <is>
          <t>center</t>
        </is>
      </c>
      <c r="P570" t="n">
        <v/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</row>
    <row r="571">
      <c r="A571" t="inlineStr">
        <is>
          <t>Valuation</t>
        </is>
      </c>
      <c r="B571" t="inlineStr">
        <is>
          <t>X35</t>
        </is>
      </c>
      <c r="C571" t="n">
        <v>35</v>
      </c>
      <c r="D571" t="n">
        <v>24</v>
      </c>
      <c r="E571" t="inlineStr">
        <is>
          <t>Input</t>
        </is>
      </c>
      <c r="F571" t="n">
        <v/>
      </c>
      <c r="G571" t="n">
        <v>1112.053226864483</v>
      </c>
      <c r="H571" t="inlineStr"/>
      <c r="I571" t="inlineStr">
        <is>
          <t>0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Values must be of type &lt;class 'str'&gt;</t>
        </is>
      </c>
      <c r="O571" t="inlineStr">
        <is>
          <t>center</t>
        </is>
      </c>
      <c r="P571" t="n">
        <v/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</row>
    <row r="572">
      <c r="A572" t="inlineStr">
        <is>
          <t>Valuation</t>
        </is>
      </c>
      <c r="B572" t="inlineStr">
        <is>
          <t>Y35</t>
        </is>
      </c>
      <c r="C572" t="n">
        <v>35</v>
      </c>
      <c r="D572" t="n">
        <v>25</v>
      </c>
      <c r="E572" t="inlineStr">
        <is>
          <t>Input</t>
        </is>
      </c>
      <c r="F572" t="n">
        <v/>
      </c>
      <c r="G572" t="n">
        <v>1131.827779234563</v>
      </c>
      <c r="H572" t="inlineStr"/>
      <c r="I572" t="inlineStr">
        <is>
          <t>0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Values must be of type &lt;class 'str'&gt;</t>
        </is>
      </c>
      <c r="O572" t="inlineStr">
        <is>
          <t>center</t>
        </is>
      </c>
      <c r="P572" t="n">
        <v/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</row>
    <row r="573">
      <c r="A573" t="inlineStr">
        <is>
          <t>Valuation</t>
        </is>
      </c>
      <c r="B573" t="inlineStr">
        <is>
          <t>Z35</t>
        </is>
      </c>
      <c r="C573" t="n">
        <v>35</v>
      </c>
      <c r="D573" t="n">
        <v>26</v>
      </c>
      <c r="E573" t="inlineStr">
        <is>
          <t>Input</t>
        </is>
      </c>
      <c r="F573" t="n">
        <v/>
      </c>
      <c r="G573" t="n">
        <v>1153.367916637685</v>
      </c>
      <c r="H573" t="inlineStr"/>
      <c r="I573" t="inlineStr">
        <is>
          <t>0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Values must be of type &lt;class 'str'&gt;</t>
        </is>
      </c>
      <c r="O573" t="inlineStr">
        <is>
          <t>center</t>
        </is>
      </c>
      <c r="P573" t="n">
        <v/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</row>
    <row r="574">
      <c r="A574" t="inlineStr">
        <is>
          <t>Valuation</t>
        </is>
      </c>
      <c r="B574" t="inlineStr">
        <is>
          <t>AA35</t>
        </is>
      </c>
      <c r="C574" t="n">
        <v>35</v>
      </c>
      <c r="D574" t="n">
        <v>27</v>
      </c>
      <c r="E574" t="inlineStr">
        <is>
          <t>Input</t>
        </is>
      </c>
      <c r="F574" t="n">
        <v/>
      </c>
      <c r="G574" t="n">
        <v>1176.92115099437</v>
      </c>
      <c r="H574" t="inlineStr"/>
      <c r="I574" t="inlineStr">
        <is>
          <t>0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Values must be of type &lt;class 'str'&gt;</t>
        </is>
      </c>
      <c r="O574" t="inlineStr">
        <is>
          <t>center</t>
        </is>
      </c>
      <c r="P574" t="n">
        <v/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</row>
    <row r="575">
      <c r="A575" t="inlineStr">
        <is>
          <t>Valuation</t>
        </is>
      </c>
      <c r="B575" t="inlineStr">
        <is>
          <t>AB35</t>
        </is>
      </c>
      <c r="C575" t="n">
        <v>35</v>
      </c>
      <c r="D575" t="n">
        <v>28</v>
      </c>
      <c r="E575" t="inlineStr">
        <is>
          <t>Input</t>
        </is>
      </c>
      <c r="F575" t="n">
        <v/>
      </c>
      <c r="G575" t="n">
        <v>1202.78352597426</v>
      </c>
      <c r="H575" t="inlineStr"/>
      <c r="I575" t="inlineStr">
        <is>
          <t>0</t>
        </is>
      </c>
      <c r="J575" t="b">
        <v>0</v>
      </c>
      <c r="K575" t="b">
        <v>0</v>
      </c>
      <c r="L575" t="n">
        <v>11</v>
      </c>
      <c r="M575" t="inlineStr">
        <is>
          <t>Values must be of type &lt;class 'str'&gt;</t>
        </is>
      </c>
      <c r="N575" t="inlineStr">
        <is>
          <t>Values must be of type &lt;class 'str'&gt;</t>
        </is>
      </c>
      <c r="O575" t="inlineStr">
        <is>
          <t>center</t>
        </is>
      </c>
      <c r="P575" t="n">
        <v/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</row>
    <row r="576">
      <c r="A576" t="inlineStr">
        <is>
          <t>Valuation</t>
        </is>
      </c>
      <c r="B576" t="inlineStr">
        <is>
          <t>D36</t>
        </is>
      </c>
      <c r="C576" t="n">
        <v>36</v>
      </c>
      <c r="D576" t="n">
        <v>4</v>
      </c>
      <c r="E576" t="inlineStr">
        <is>
          <t>Input</t>
        </is>
      </c>
      <c r="F576" t="n">
        <v/>
      </c>
      <c r="H576" t="inlineStr"/>
      <c r="I576" t="inlineStr">
        <is>
          <t>#,##0.00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00000000</t>
        </is>
      </c>
      <c r="O576" t="n">
        <v/>
      </c>
      <c r="P576" t="n">
        <v/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</row>
    <row r="577">
      <c r="A577" t="inlineStr">
        <is>
          <t>Valuation</t>
        </is>
      </c>
      <c r="B577" t="inlineStr">
        <is>
          <t>J36</t>
        </is>
      </c>
      <c r="C577" t="n">
        <v>36</v>
      </c>
      <c r="D577" t="n">
        <v>10</v>
      </c>
      <c r="E577" t="inlineStr">
        <is>
          <t>Input</t>
        </is>
      </c>
      <c r="F577" t="n">
        <v/>
      </c>
      <c r="G577" t="n">
        <v>1</v>
      </c>
      <c r="H577" t="inlineStr"/>
      <c r="I577" t="inlineStr">
        <is>
          <t>0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n">
        <v/>
      </c>
      <c r="P577" t="n">
        <v/>
      </c>
      <c r="R577" t="b">
        <v>1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</row>
    <row r="578">
      <c r="A578" t="inlineStr">
        <is>
          <t>Valuation</t>
        </is>
      </c>
      <c r="B578" t="inlineStr">
        <is>
          <t>K36</t>
        </is>
      </c>
      <c r="C578" t="n">
        <v>36</v>
      </c>
      <c r="D578" t="n">
        <v>11</v>
      </c>
      <c r="E578" t="inlineStr">
        <is>
          <t>Input</t>
        </is>
      </c>
      <c r="F578" t="n">
        <v/>
      </c>
      <c r="G578" t="n">
        <v>2</v>
      </c>
      <c r="H578" t="inlineStr"/>
      <c r="I578" t="inlineStr">
        <is>
          <t>0</t>
        </is>
      </c>
      <c r="J578" t="b">
        <v>0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00000000</t>
        </is>
      </c>
      <c r="O578" t="n">
        <v/>
      </c>
      <c r="P578" t="n">
        <v/>
      </c>
      <c r="R578" t="b">
        <v>1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</row>
    <row r="579">
      <c r="A579" t="inlineStr">
        <is>
          <t>Valuation</t>
        </is>
      </c>
      <c r="B579" t="inlineStr">
        <is>
          <t>L36</t>
        </is>
      </c>
      <c r="C579" t="n">
        <v>36</v>
      </c>
      <c r="D579" t="n">
        <v>12</v>
      </c>
      <c r="E579" t="inlineStr">
        <is>
          <t>Input</t>
        </is>
      </c>
      <c r="F579" t="n">
        <v/>
      </c>
      <c r="G579" t="n">
        <v>3</v>
      </c>
      <c r="H579" t="inlineStr"/>
      <c r="I579" t="inlineStr">
        <is>
          <t>0</t>
        </is>
      </c>
      <c r="J579" t="b">
        <v>0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00000000</t>
        </is>
      </c>
      <c r="O579" t="n">
        <v/>
      </c>
      <c r="P579" t="n">
        <v/>
      </c>
      <c r="R579" t="b">
        <v>1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</row>
    <row r="580">
      <c r="A580" t="inlineStr">
        <is>
          <t>Valuation</t>
        </is>
      </c>
      <c r="B580" t="inlineStr">
        <is>
          <t>M36</t>
        </is>
      </c>
      <c r="C580" t="n">
        <v>36</v>
      </c>
      <c r="D580" t="n">
        <v>13</v>
      </c>
      <c r="E580" t="inlineStr">
        <is>
          <t>Input</t>
        </is>
      </c>
      <c r="F580" t="n">
        <v/>
      </c>
      <c r="G580" t="n">
        <v>4</v>
      </c>
      <c r="H580" t="inlineStr"/>
      <c r="I580" t="inlineStr">
        <is>
          <t>0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n">
        <v/>
      </c>
      <c r="P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</row>
    <row r="581">
      <c r="A581" t="inlineStr">
        <is>
          <t>Valuation</t>
        </is>
      </c>
      <c r="B581" t="inlineStr">
        <is>
          <t>N36</t>
        </is>
      </c>
      <c r="C581" t="n">
        <v>36</v>
      </c>
      <c r="D581" t="n">
        <v>14</v>
      </c>
      <c r="E581" t="inlineStr">
        <is>
          <t>Input</t>
        </is>
      </c>
      <c r="F581" t="n">
        <v/>
      </c>
      <c r="G581" t="n">
        <v>5</v>
      </c>
      <c r="H581" t="inlineStr"/>
      <c r="I581" t="inlineStr">
        <is>
          <t>0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n">
        <v/>
      </c>
      <c r="P581" t="n">
        <v/>
      </c>
      <c r="R581" t="b">
        <v>1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</row>
    <row r="582">
      <c r="A582" t="inlineStr">
        <is>
          <t>Valuation</t>
        </is>
      </c>
      <c r="B582" t="inlineStr">
        <is>
          <t>P36</t>
        </is>
      </c>
      <c r="C582" t="n">
        <v>36</v>
      </c>
      <c r="D582" t="n">
        <v>16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n">
        <v/>
      </c>
      <c r="P582" t="n">
        <v/>
      </c>
      <c r="R582" t="b">
        <v>0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</row>
    <row r="583">
      <c r="A583" t="inlineStr">
        <is>
          <t>Valuation</t>
        </is>
      </c>
      <c r="B583" t="inlineStr">
        <is>
          <t>Q36</t>
        </is>
      </c>
      <c r="C583" t="n">
        <v>36</v>
      </c>
      <c r="D583" t="n">
        <v>17</v>
      </c>
      <c r="E583" t="inlineStr">
        <is>
          <t>Output</t>
        </is>
      </c>
      <c r="F583" t="inlineStr">
        <is>
          <t>'=Q35+0.5%</t>
        </is>
      </c>
      <c r="G583" t="n">
        <v>0.177</v>
      </c>
      <c r="H583" t="inlineStr"/>
      <c r="I583" t="inlineStr">
        <is>
          <t>0.0%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n">
        <v/>
      </c>
      <c r="R583" t="b">
        <v>1</v>
      </c>
      <c r="S583" t="inlineStr">
        <is>
          <t>G000399</t>
        </is>
      </c>
      <c r="T583" t="inlineStr">
        <is>
          <t>Vertical</t>
        </is>
      </c>
      <c r="U583" t="n">
        <v>12</v>
      </c>
      <c r="V583" t="b">
        <v>1</v>
      </c>
      <c r="W583" t="inlineStr">
        <is>
          <t>Valuation!Q25:Q36</t>
        </is>
      </c>
      <c r="X583">
        <f>R[-1]C[0]+0.5%</f>
        <v/>
      </c>
    </row>
    <row r="584">
      <c r="A584" t="inlineStr">
        <is>
          <t>Valuation</t>
        </is>
      </c>
      <c r="B584" t="inlineStr">
        <is>
          <t>R36</t>
        </is>
      </c>
      <c r="C584" t="n">
        <v>36</v>
      </c>
      <c r="D584" t="n">
        <v>18</v>
      </c>
      <c r="E584" t="inlineStr">
        <is>
          <t>Input</t>
        </is>
      </c>
      <c r="F584" t="n">
        <v/>
      </c>
      <c r="G584" t="n">
        <v>991.0969696127714</v>
      </c>
      <c r="H584" t="inlineStr"/>
      <c r="I584" t="inlineStr">
        <is>
          <t>0</t>
        </is>
      </c>
      <c r="J584" t="b">
        <v>0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n">
        <v/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</row>
    <row r="585">
      <c r="A585" t="inlineStr">
        <is>
          <t>Valuation</t>
        </is>
      </c>
      <c r="B585" t="inlineStr">
        <is>
          <t>S36</t>
        </is>
      </c>
      <c r="C585" t="n">
        <v>36</v>
      </c>
      <c r="D585" t="n">
        <v>19</v>
      </c>
      <c r="E585" t="inlineStr">
        <is>
          <t>Input</t>
        </is>
      </c>
      <c r="F585" t="n">
        <v/>
      </c>
      <c r="G585" t="n">
        <v>1002.480302936118</v>
      </c>
      <c r="H585" t="inlineStr"/>
      <c r="I585" t="inlineStr">
        <is>
          <t>0</t>
        </is>
      </c>
      <c r="J585" t="b">
        <v>0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n">
        <v/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</row>
    <row r="586">
      <c r="A586" t="inlineStr">
        <is>
          <t>Valuation</t>
        </is>
      </c>
      <c r="B586" t="inlineStr">
        <is>
          <t>T36</t>
        </is>
      </c>
      <c r="C586" t="n">
        <v>36</v>
      </c>
      <c r="D586" t="n">
        <v>20</v>
      </c>
      <c r="E586" t="inlineStr">
        <is>
          <t>Input</t>
        </is>
      </c>
      <c r="F586" t="n">
        <v/>
      </c>
      <c r="G586" t="n">
        <v>1014.638012676018</v>
      </c>
      <c r="H586" t="inlineStr"/>
      <c r="I586" t="inlineStr">
        <is>
          <t>0</t>
        </is>
      </c>
      <c r="J586" t="b">
        <v>0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n">
        <v/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</row>
    <row r="587">
      <c r="A587" t="inlineStr">
        <is>
          <t>Valuation</t>
        </is>
      </c>
      <c r="B587" t="inlineStr">
        <is>
          <t>U36</t>
        </is>
      </c>
      <c r="C587" t="n">
        <v>36</v>
      </c>
      <c r="D587" t="n">
        <v>21</v>
      </c>
      <c r="E587" t="inlineStr">
        <is>
          <t>Input</t>
        </is>
      </c>
      <c r="F587" t="n">
        <v/>
      </c>
      <c r="G587" t="n">
        <v>1027.651899158165</v>
      </c>
      <c r="H587" t="inlineStr"/>
      <c r="I587" t="inlineStr">
        <is>
          <t>0</t>
        </is>
      </c>
      <c r="J587" t="b">
        <v>0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n">
        <v/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</row>
    <row r="588">
      <c r="A588" t="inlineStr">
        <is>
          <t>Valuation</t>
        </is>
      </c>
      <c r="B588" t="inlineStr">
        <is>
          <t>V36</t>
        </is>
      </c>
      <c r="C588" t="n">
        <v>36</v>
      </c>
      <c r="D588" t="n">
        <v>22</v>
      </c>
      <c r="E588" t="inlineStr">
        <is>
          <t>Input</t>
        </is>
      </c>
      <c r="F588" t="n">
        <v/>
      </c>
      <c r="G588" t="n">
        <v>1041.615704361636</v>
      </c>
      <c r="H588" t="inlineStr"/>
      <c r="I588" t="inlineStr">
        <is>
          <t>0</t>
        </is>
      </c>
      <c r="J588" t="b">
        <v>0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n">
        <v/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</row>
    <row r="589">
      <c r="A589" t="inlineStr">
        <is>
          <t>Valuation</t>
        </is>
      </c>
      <c r="B589" t="inlineStr">
        <is>
          <t>W36</t>
        </is>
      </c>
      <c r="C589" t="n">
        <v>36</v>
      </c>
      <c r="D589" t="n">
        <v>23</v>
      </c>
      <c r="E589" t="inlineStr">
        <is>
          <t>Input</t>
        </is>
      </c>
      <c r="F589" t="n">
        <v/>
      </c>
      <c r="G589" t="n">
        <v>1056.637373595673</v>
      </c>
      <c r="H589" t="inlineStr"/>
      <c r="I589" t="inlineStr">
        <is>
          <t>0</t>
        </is>
      </c>
      <c r="J589" t="b">
        <v>0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n">
        <v/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</row>
    <row r="590">
      <c r="A590" t="inlineStr">
        <is>
          <t>Valuation</t>
        </is>
      </c>
      <c r="B590" t="inlineStr">
        <is>
          <t>X36</t>
        </is>
      </c>
      <c r="C590" t="n">
        <v>36</v>
      </c>
      <c r="D590" t="n">
        <v>24</v>
      </c>
      <c r="E590" t="inlineStr">
        <is>
          <t>Input</t>
        </is>
      </c>
      <c r="F590" t="n">
        <v/>
      </c>
      <c r="G590" t="n">
        <v>1072.841851430816</v>
      </c>
      <c r="H590" t="inlineStr"/>
      <c r="I590" t="inlineStr">
        <is>
          <t>0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n">
        <v/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</row>
    <row r="591">
      <c r="A591" t="inlineStr">
        <is>
          <t>Valuation</t>
        </is>
      </c>
      <c r="B591" t="inlineStr">
        <is>
          <t>Y36</t>
        </is>
      </c>
      <c r="C591" t="n">
        <v>36</v>
      </c>
      <c r="D591" t="n">
        <v>25</v>
      </c>
      <c r="E591" t="inlineStr">
        <is>
          <t>Input</t>
        </is>
      </c>
      <c r="F591" t="n">
        <v/>
      </c>
      <c r="G591" t="n">
        <v>1090.374565154086</v>
      </c>
      <c r="H591" t="inlineStr"/>
      <c r="I591" t="inlineStr">
        <is>
          <t>0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Values must be of type &lt;class 'str'&gt;</t>
        </is>
      </c>
      <c r="O591" t="inlineStr">
        <is>
          <t>center</t>
        </is>
      </c>
      <c r="P591" t="n">
        <v/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</row>
    <row r="592">
      <c r="A592" t="inlineStr">
        <is>
          <t>Valuation</t>
        </is>
      </c>
      <c r="B592" t="inlineStr">
        <is>
          <t>Z36</t>
        </is>
      </c>
      <c r="C592" t="n">
        <v>36</v>
      </c>
      <c r="D592" t="n">
        <v>26</v>
      </c>
      <c r="E592" t="inlineStr">
        <is>
          <t>Input</t>
        </is>
      </c>
      <c r="F592" t="n">
        <v/>
      </c>
      <c r="G592" t="n">
        <v>1109.405801417805</v>
      </c>
      <c r="H592" t="inlineStr"/>
      <c r="I592" t="inlineStr">
        <is>
          <t>0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Values must be of type &lt;class 'str'&gt;</t>
        </is>
      </c>
      <c r="O592" t="inlineStr">
        <is>
          <t>center</t>
        </is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</row>
    <row r="593">
      <c r="A593" t="inlineStr">
        <is>
          <t>Valuation</t>
        </is>
      </c>
      <c r="B593" t="inlineStr">
        <is>
          <t>AA36</t>
        </is>
      </c>
      <c r="C593" t="n">
        <v>36</v>
      </c>
      <c r="D593" t="n">
        <v>27</v>
      </c>
      <c r="E593" t="inlineStr">
        <is>
          <t>Input</t>
        </is>
      </c>
      <c r="F593" t="n">
        <v/>
      </c>
      <c r="G593" t="n">
        <v>1130.136255205071</v>
      </c>
      <c r="H593" t="inlineStr"/>
      <c r="I593" t="inlineStr">
        <is>
          <t>0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Values must be of type &lt;class 'str'&gt;</t>
        </is>
      </c>
      <c r="O593" t="inlineStr">
        <is>
          <t>center</t>
        </is>
      </c>
      <c r="P593" t="n">
        <v/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</row>
    <row r="594">
      <c r="A594" t="inlineStr">
        <is>
          <t>Valuation</t>
        </is>
      </c>
      <c r="B594" t="inlineStr">
        <is>
          <t>AB36</t>
        </is>
      </c>
      <c r="C594" t="n">
        <v>36</v>
      </c>
      <c r="D594" t="n">
        <v>28</v>
      </c>
      <c r="E594" t="inlineStr">
        <is>
          <t>Input</t>
        </is>
      </c>
      <c r="F594" t="n">
        <v/>
      </c>
      <c r="G594" t="n">
        <v>1152.804134579932</v>
      </c>
      <c r="H594" t="inlineStr"/>
      <c r="I594" t="inlineStr">
        <is>
          <t>0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inlineStr">
        <is>
          <t>center</t>
        </is>
      </c>
      <c r="P594" t="n">
        <v/>
      </c>
      <c r="R594" t="b">
        <v>1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</row>
    <row r="595">
      <c r="A595" t="inlineStr">
        <is>
          <t>Valuation</t>
        </is>
      </c>
      <c r="B595" t="inlineStr">
        <is>
          <t>AW36</t>
        </is>
      </c>
      <c r="C595" t="n">
        <v>36</v>
      </c>
      <c r="D595" t="n">
        <v>49</v>
      </c>
      <c r="E595" t="inlineStr">
        <is>
          <t>Input</t>
        </is>
      </c>
      <c r="F595" t="n">
        <v/>
      </c>
      <c r="G595" t="n">
        <v>2018</v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00000000</t>
        </is>
      </c>
      <c r="O595" t="inlineStr">
        <is>
          <t>center</t>
        </is>
      </c>
      <c r="P595" t="n">
        <v/>
      </c>
      <c r="R595" t="b">
        <v>1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</row>
    <row r="596">
      <c r="A596" t="inlineStr">
        <is>
          <t>Valuation</t>
        </is>
      </c>
      <c r="B596" t="inlineStr">
        <is>
          <t>AX36</t>
        </is>
      </c>
      <c r="C596" t="n">
        <v>36</v>
      </c>
      <c r="D596" t="n">
        <v>50</v>
      </c>
      <c r="E596" t="inlineStr">
        <is>
          <t>Input</t>
        </is>
      </c>
      <c r="F596" t="n">
        <v/>
      </c>
      <c r="G596" t="n">
        <v>2019</v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inlineStr">
        <is>
          <t>center</t>
        </is>
      </c>
      <c r="P596" t="n">
        <v/>
      </c>
      <c r="R596" t="b">
        <v>1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</row>
    <row r="597">
      <c r="A597" t="inlineStr">
        <is>
          <t>Valuation</t>
        </is>
      </c>
      <c r="B597" t="inlineStr">
        <is>
          <t>AY36</t>
        </is>
      </c>
      <c r="C597" t="n">
        <v>36</v>
      </c>
      <c r="D597" t="n">
        <v>51</v>
      </c>
      <c r="E597" t="inlineStr">
        <is>
          <t>Input</t>
        </is>
      </c>
      <c r="F597" t="n">
        <v/>
      </c>
      <c r="G597" t="n">
        <v>2020</v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inlineStr">
        <is>
          <t>center</t>
        </is>
      </c>
      <c r="P597" t="n">
        <v/>
      </c>
      <c r="R597" t="b">
        <v>1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</row>
    <row r="598">
      <c r="A598" t="inlineStr">
        <is>
          <t>Valuation</t>
        </is>
      </c>
      <c r="B598" t="inlineStr">
        <is>
          <t>AZ36</t>
        </is>
      </c>
      <c r="C598" t="n">
        <v>36</v>
      </c>
      <c r="D598" t="n">
        <v>52</v>
      </c>
      <c r="E598" t="inlineStr">
        <is>
          <t>Input</t>
        </is>
      </c>
      <c r="F598" t="n">
        <v/>
      </c>
      <c r="G598" t="n">
        <v>2021</v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inlineStr">
        <is>
          <t>center</t>
        </is>
      </c>
      <c r="P598" t="n">
        <v/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</row>
    <row r="599">
      <c r="A599" t="inlineStr">
        <is>
          <t>Valuation</t>
        </is>
      </c>
      <c r="B599" t="inlineStr">
        <is>
          <t>BA36</t>
        </is>
      </c>
      <c r="C599" t="n">
        <v>36</v>
      </c>
      <c r="D599" t="n">
        <v>53</v>
      </c>
      <c r="E599" t="inlineStr">
        <is>
          <t>Input</t>
        </is>
      </c>
      <c r="F599" t="n">
        <v/>
      </c>
      <c r="G599" t="n">
        <v>2022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inlineStr">
        <is>
          <t>center</t>
        </is>
      </c>
      <c r="P599" t="n">
        <v/>
      </c>
      <c r="R599" t="b">
        <v>1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</row>
    <row r="600">
      <c r="A600" t="inlineStr">
        <is>
          <t>Valuation</t>
        </is>
      </c>
      <c r="B600" t="inlineStr">
        <is>
          <t>D37</t>
        </is>
      </c>
      <c r="C600" t="n">
        <v>37</v>
      </c>
      <c r="D600" t="n">
        <v>4</v>
      </c>
      <c r="E600" t="inlineStr">
        <is>
          <t>Input</t>
        </is>
      </c>
      <c r="F600" t="n">
        <v/>
      </c>
      <c r="H600" t="inlineStr"/>
      <c r="I600" t="inlineStr">
        <is>
          <t>#,##0.00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n">
        <v/>
      </c>
      <c r="P600" t="n">
        <v/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</row>
    <row r="601">
      <c r="A601" t="inlineStr">
        <is>
          <t>Valuation</t>
        </is>
      </c>
      <c r="B601" t="inlineStr">
        <is>
          <t>AV37</t>
        </is>
      </c>
      <c r="C601" t="n">
        <v>37</v>
      </c>
      <c r="D601" t="n">
        <v>48</v>
      </c>
      <c r="E601" t="inlineStr">
        <is>
          <t>Input</t>
        </is>
      </c>
      <c r="F601" t="n">
        <v/>
      </c>
      <c r="G601" t="inlineStr">
        <is>
          <t>Revenues</t>
        </is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n">
        <v/>
      </c>
      <c r="P601" t="n">
        <v/>
      </c>
      <c r="R601" t="b">
        <v>1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</row>
    <row r="602">
      <c r="A602" t="inlineStr">
        <is>
          <t>Valuation</t>
        </is>
      </c>
      <c r="B602" t="inlineStr">
        <is>
          <t>AW37</t>
        </is>
      </c>
      <c r="C602" t="n">
        <v>37</v>
      </c>
      <c r="D602" t="n">
        <v>49</v>
      </c>
      <c r="E602" t="inlineStr">
        <is>
          <t>Input</t>
        </is>
      </c>
      <c r="F602" t="n">
        <v/>
      </c>
      <c r="G602" t="n">
        <v>254652.6706182291</v>
      </c>
      <c r="H602" t="inlineStr"/>
      <c r="I602" t="inlineStr">
        <is>
          <t>0</t>
        </is>
      </c>
      <c r="J602" t="b">
        <v>0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inlineStr">
        <is>
          <t>center</t>
        </is>
      </c>
      <c r="P602" t="n">
        <v/>
      </c>
      <c r="R602" t="b">
        <v>1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</row>
    <row r="603">
      <c r="A603" t="inlineStr">
        <is>
          <t>Valuation</t>
        </is>
      </c>
      <c r="B603" t="inlineStr">
        <is>
          <t>AX37</t>
        </is>
      </c>
      <c r="C603" t="n">
        <v>37</v>
      </c>
      <c r="D603" t="n">
        <v>50</v>
      </c>
      <c r="E603" t="inlineStr">
        <is>
          <t>Input</t>
        </is>
      </c>
      <c r="F603" t="n">
        <v/>
      </c>
      <c r="G603" t="n">
        <v>305739.5112261538</v>
      </c>
      <c r="H603" t="inlineStr"/>
      <c r="I603" t="inlineStr">
        <is>
          <t>0</t>
        </is>
      </c>
      <c r="J603" t="b">
        <v>0</v>
      </c>
      <c r="K603" t="b">
        <v>0</v>
      </c>
      <c r="L603" t="n">
        <v>11</v>
      </c>
      <c r="M603" t="inlineStr">
        <is>
          <t>Values must be of type &lt;class 'str'&gt;</t>
        </is>
      </c>
      <c r="N603" t="inlineStr">
        <is>
          <t>00000000</t>
        </is>
      </c>
      <c r="O603" t="inlineStr">
        <is>
          <t>center</t>
        </is>
      </c>
      <c r="P603" t="n">
        <v/>
      </c>
      <c r="R603" t="b">
        <v>1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</row>
    <row r="604">
      <c r="A604" t="inlineStr">
        <is>
          <t>Valuation</t>
        </is>
      </c>
      <c r="B604" t="inlineStr">
        <is>
          <t>AY37</t>
        </is>
      </c>
      <c r="C604" t="n">
        <v>37</v>
      </c>
      <c r="D604" t="n">
        <v>51</v>
      </c>
      <c r="E604" t="inlineStr">
        <is>
          <t>Input</t>
        </is>
      </c>
      <c r="F604" t="n">
        <v/>
      </c>
      <c r="G604" t="n">
        <v>365511.6372719192</v>
      </c>
      <c r="H604" t="inlineStr"/>
      <c r="I604" t="inlineStr">
        <is>
          <t>0</t>
        </is>
      </c>
      <c r="J604" t="b">
        <v>0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00000000</t>
        </is>
      </c>
      <c r="O604" t="inlineStr">
        <is>
          <t>center</t>
        </is>
      </c>
      <c r="P604" t="n">
        <v/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</row>
    <row r="605">
      <c r="A605" t="inlineStr">
        <is>
          <t>Valuation</t>
        </is>
      </c>
      <c r="B605" t="inlineStr">
        <is>
          <t>AZ37</t>
        </is>
      </c>
      <c r="C605" t="n">
        <v>37</v>
      </c>
      <c r="D605" t="n">
        <v>52</v>
      </c>
      <c r="E605" t="inlineStr">
        <is>
          <t>Input</t>
        </is>
      </c>
      <c r="F605" t="n">
        <v/>
      </c>
      <c r="G605" t="n">
        <v>436963.0407831452</v>
      </c>
      <c r="H605" t="inlineStr"/>
      <c r="I605" t="inlineStr">
        <is>
          <t>0</t>
        </is>
      </c>
      <c r="J605" t="b">
        <v>0</v>
      </c>
      <c r="K605" t="b">
        <v>0</v>
      </c>
      <c r="L605" t="n">
        <v>11</v>
      </c>
      <c r="M605" t="inlineStr">
        <is>
          <t>Values must be of type &lt;class 'str'&gt;</t>
        </is>
      </c>
      <c r="N605" t="inlineStr">
        <is>
          <t>00000000</t>
        </is>
      </c>
      <c r="O605" t="inlineStr">
        <is>
          <t>center</t>
        </is>
      </c>
      <c r="P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</row>
    <row r="606">
      <c r="A606" t="inlineStr">
        <is>
          <t>Valuation</t>
        </is>
      </c>
      <c r="B606" t="inlineStr">
        <is>
          <t>BA37</t>
        </is>
      </c>
      <c r="C606" t="n">
        <v>37</v>
      </c>
      <c r="D606" t="n">
        <v>53</v>
      </c>
      <c r="E606" t="inlineStr">
        <is>
          <t>Input</t>
        </is>
      </c>
      <c r="F606" t="n">
        <v/>
      </c>
      <c r="G606" t="n">
        <v>524625.7685402168</v>
      </c>
      <c r="H606" t="inlineStr"/>
      <c r="I606" t="inlineStr">
        <is>
          <t>0</t>
        </is>
      </c>
      <c r="J606" t="b">
        <v>0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00000000</t>
        </is>
      </c>
      <c r="O606" t="inlineStr">
        <is>
          <t>center</t>
        </is>
      </c>
      <c r="P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</row>
    <row r="607">
      <c r="A607" t="inlineStr">
        <is>
          <t>Valuation</t>
        </is>
      </c>
      <c r="B607" t="inlineStr">
        <is>
          <t>A38</t>
        </is>
      </c>
      <c r="C607" t="n">
        <v>38</v>
      </c>
      <c r="D607" t="n">
        <v>1</v>
      </c>
      <c r="E607" t="inlineStr">
        <is>
          <t>Input</t>
        </is>
      </c>
      <c r="F607" t="n">
        <v/>
      </c>
      <c r="G607" t="inlineStr">
        <is>
          <t>Terminal Value</t>
        </is>
      </c>
      <c r="H607" t="inlineStr"/>
      <c r="I607" t="inlineStr">
        <is>
          <t>General</t>
        </is>
      </c>
      <c r="J607" t="b">
        <v>1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00000000</t>
        </is>
      </c>
      <c r="O607" t="n">
        <v/>
      </c>
      <c r="P607" t="inlineStr">
        <is>
          <t>center</t>
        </is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</row>
    <row r="608">
      <c r="A608" t="inlineStr">
        <is>
          <t>Valuation</t>
        </is>
      </c>
      <c r="B608" t="inlineStr">
        <is>
          <t>D38</t>
        </is>
      </c>
      <c r="C608" t="n">
        <v>38</v>
      </c>
      <c r="D608" t="n">
        <v>4</v>
      </c>
      <c r="E608" t="inlineStr">
        <is>
          <t>Input</t>
        </is>
      </c>
      <c r="F608" t="n">
        <v/>
      </c>
      <c r="H608" t="inlineStr"/>
      <c r="I608" t="inlineStr">
        <is>
          <t>#,##0.00</t>
        </is>
      </c>
      <c r="J608" t="b">
        <v>0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00000000</t>
        </is>
      </c>
      <c r="O608" t="n">
        <v/>
      </c>
      <c r="P608" t="n">
        <v/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</row>
    <row r="609">
      <c r="A609" t="inlineStr">
        <is>
          <t>Valuation</t>
        </is>
      </c>
      <c r="B609" t="inlineStr">
        <is>
          <t>AV38</t>
        </is>
      </c>
      <c r="C609" t="n">
        <v>38</v>
      </c>
      <c r="D609" t="n">
        <v>48</v>
      </c>
      <c r="E609" t="inlineStr">
        <is>
          <t>Input</t>
        </is>
      </c>
      <c r="F609" t="n">
        <v/>
      </c>
      <c r="G609" t="inlineStr">
        <is>
          <t>EBITDAR</t>
        </is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11</v>
      </c>
      <c r="M609" t="inlineStr">
        <is>
          <t>Values must be of type &lt;class 'str'&gt;</t>
        </is>
      </c>
      <c r="N609" t="inlineStr">
        <is>
          <t>00000000</t>
        </is>
      </c>
      <c r="O609" t="n">
        <v/>
      </c>
      <c r="P609" t="n">
        <v/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</row>
    <row r="610">
      <c r="A610" t="inlineStr">
        <is>
          <t>Valuation</t>
        </is>
      </c>
      <c r="B610" t="inlineStr">
        <is>
          <t>AW38</t>
        </is>
      </c>
      <c r="C610" t="n">
        <v>38</v>
      </c>
      <c r="D610" t="n">
        <v>49</v>
      </c>
      <c r="E610" t="inlineStr">
        <is>
          <t>Input</t>
        </is>
      </c>
      <c r="F610" t="n">
        <v/>
      </c>
      <c r="G610" t="n">
        <v>89731.53737294464</v>
      </c>
      <c r="H610" t="inlineStr"/>
      <c r="I610" t="inlineStr">
        <is>
          <t>0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inlineStr">
        <is>
          <t>center</t>
        </is>
      </c>
      <c r="P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</row>
    <row r="611">
      <c r="A611" t="inlineStr">
        <is>
          <t>Valuation</t>
        </is>
      </c>
      <c r="B611" t="inlineStr">
        <is>
          <t>AX38</t>
        </is>
      </c>
      <c r="C611" t="n">
        <v>38</v>
      </c>
      <c r="D611" t="n">
        <v>50</v>
      </c>
      <c r="E611" t="inlineStr">
        <is>
          <t>Input</t>
        </is>
      </c>
      <c r="F611" t="n">
        <v/>
      </c>
      <c r="G611" t="n">
        <v>102878.7604288288</v>
      </c>
      <c r="H611" t="inlineStr"/>
      <c r="I611" t="inlineStr">
        <is>
          <t>0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inlineStr">
        <is>
          <t>center</t>
        </is>
      </c>
      <c r="P611" t="n">
        <v/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</row>
    <row r="612">
      <c r="A612" t="inlineStr">
        <is>
          <t>Valuation</t>
        </is>
      </c>
      <c r="B612" t="inlineStr">
        <is>
          <t>AY38</t>
        </is>
      </c>
      <c r="C612" t="n">
        <v>38</v>
      </c>
      <c r="D612" t="n">
        <v>51</v>
      </c>
      <c r="E612" t="inlineStr">
        <is>
          <t>Input</t>
        </is>
      </c>
      <c r="F612" t="n">
        <v/>
      </c>
      <c r="G612" t="n">
        <v>128190.9834954994</v>
      </c>
      <c r="H612" t="inlineStr"/>
      <c r="I612" t="inlineStr">
        <is>
          <t>0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inlineStr">
        <is>
          <t>center</t>
        </is>
      </c>
      <c r="P612" t="n">
        <v/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</row>
    <row r="613">
      <c r="A613" t="inlineStr">
        <is>
          <t>Valuation</t>
        </is>
      </c>
      <c r="B613" t="inlineStr">
        <is>
          <t>AZ38</t>
        </is>
      </c>
      <c r="C613" t="n">
        <v>38</v>
      </c>
      <c r="D613" t="n">
        <v>52</v>
      </c>
      <c r="E613" t="inlineStr">
        <is>
          <t>Input</t>
        </is>
      </c>
      <c r="F613" t="n">
        <v/>
      </c>
      <c r="G613" t="n">
        <v>150685.9586280226</v>
      </c>
      <c r="H613" t="inlineStr"/>
      <c r="I613" t="inlineStr">
        <is>
          <t>0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inlineStr">
        <is>
          <t>center</t>
        </is>
      </c>
      <c r="P613" t="n">
        <v/>
      </c>
      <c r="R613" t="b">
        <v>1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</row>
    <row r="614">
      <c r="A614" t="inlineStr">
        <is>
          <t>Valuation</t>
        </is>
      </c>
      <c r="B614" t="inlineStr">
        <is>
          <t>BA38</t>
        </is>
      </c>
      <c r="C614" t="n">
        <v>38</v>
      </c>
      <c r="D614" t="n">
        <v>53</v>
      </c>
      <c r="E614" t="inlineStr">
        <is>
          <t>Input</t>
        </is>
      </c>
      <c r="F614" t="n">
        <v/>
      </c>
      <c r="G614" t="n">
        <v>178973.3611764755</v>
      </c>
      <c r="H614" t="inlineStr"/>
      <c r="I614" t="inlineStr">
        <is>
          <t>0</t>
        </is>
      </c>
      <c r="J614" t="b">
        <v>0</v>
      </c>
      <c r="K614" t="b">
        <v>0</v>
      </c>
      <c r="L614" t="n">
        <v>11</v>
      </c>
      <c r="M614" t="inlineStr">
        <is>
          <t>Values must be of type &lt;class 'str'&gt;</t>
        </is>
      </c>
      <c r="N614" t="inlineStr">
        <is>
          <t>00000000</t>
        </is>
      </c>
      <c r="O614" t="inlineStr">
        <is>
          <t>center</t>
        </is>
      </c>
      <c r="P614" t="n">
        <v/>
      </c>
      <c r="R614" t="b">
        <v>1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</row>
    <row r="615">
      <c r="A615" t="inlineStr">
        <is>
          <t>Valuation</t>
        </is>
      </c>
      <c r="B615" t="inlineStr">
        <is>
          <t>A39</t>
        </is>
      </c>
      <c r="C615" t="n">
        <v>39</v>
      </c>
      <c r="D615" t="n">
        <v>1</v>
      </c>
      <c r="E615" t="inlineStr">
        <is>
          <t>Input</t>
        </is>
      </c>
      <c r="F615" t="n">
        <v/>
      </c>
      <c r="G615" t="inlineStr">
        <is>
          <t>Sum of PV of Cash Flows</t>
        </is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n">
        <v/>
      </c>
      <c r="P615" t="n">
        <v/>
      </c>
      <c r="R615" t="b">
        <v>1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</row>
    <row r="616">
      <c r="A616" t="inlineStr">
        <is>
          <t>Valuation</t>
        </is>
      </c>
      <c r="B616" t="inlineStr">
        <is>
          <t>B39</t>
        </is>
      </c>
      <c r="C616" t="n">
        <v>39</v>
      </c>
      <c r="D616" t="n">
        <v>2</v>
      </c>
      <c r="E616" t="inlineStr">
        <is>
          <t>Calculation</t>
        </is>
      </c>
      <c r="F616" t="inlineStr">
        <is>
          <t>'=SUM(J35:N35)</t>
        </is>
      </c>
      <c r="G616" t="n">
        <v>214275.3431288795</v>
      </c>
      <c r="H616" t="inlineStr"/>
      <c r="I616" t="inlineStr">
        <is>
          <t xml:space="preserve">_ * #,##0_ ;_ * \-#,##0_ ;_ * "-"??_ ;_ @_ </t>
        </is>
      </c>
      <c r="J616" t="b">
        <v>0</v>
      </c>
      <c r="K616" t="b">
        <v>0</v>
      </c>
      <c r="L616" t="n">
        <v>11</v>
      </c>
      <c r="M616" t="inlineStr">
        <is>
          <t>Values must be of type &lt;class 'str'&gt;</t>
        </is>
      </c>
      <c r="N616" t="inlineStr">
        <is>
          <t>Values must be of type &lt;class 'str'&gt;</t>
        </is>
      </c>
      <c r="O616" t="inlineStr">
        <is>
          <t>right</t>
        </is>
      </c>
      <c r="P616" t="n">
        <v/>
      </c>
      <c r="R616" t="b">
        <v>1</v>
      </c>
      <c r="S616" t="n">
        <v/>
      </c>
      <c r="T616" t="n">
        <v/>
      </c>
      <c r="U616" t="n">
        <v/>
      </c>
      <c r="V616" t="b">
        <v>0</v>
      </c>
      <c r="W616" t="inlineStr"/>
      <c r="X616">
        <f>SUM(R[-4]C[8]:R[-4]C[12])</f>
        <v/>
      </c>
    </row>
    <row r="617">
      <c r="A617" t="inlineStr">
        <is>
          <t>Valuation</t>
        </is>
      </c>
      <c r="B617" t="inlineStr">
        <is>
          <t>D39</t>
        </is>
      </c>
      <c r="C617" t="n">
        <v>39</v>
      </c>
      <c r="D617" t="n">
        <v>4</v>
      </c>
      <c r="E617" t="inlineStr">
        <is>
          <t>Input</t>
        </is>
      </c>
      <c r="F617" t="n">
        <v/>
      </c>
      <c r="H617" t="inlineStr"/>
      <c r="I617" t="inlineStr">
        <is>
          <t>#,##0</t>
        </is>
      </c>
      <c r="J617" t="b">
        <v>0</v>
      </c>
      <c r="K617" t="b">
        <v>0</v>
      </c>
      <c r="L617" t="n">
        <v>11</v>
      </c>
      <c r="M617" t="inlineStr">
        <is>
          <t>Values must be of type &lt;class 'str'&gt;</t>
        </is>
      </c>
      <c r="N617" t="inlineStr">
        <is>
          <t>00000000</t>
        </is>
      </c>
      <c r="O617" t="n">
        <v/>
      </c>
      <c r="P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</row>
    <row r="618">
      <c r="A618" t="inlineStr">
        <is>
          <t>Valuation</t>
        </is>
      </c>
      <c r="B618" t="inlineStr">
        <is>
          <t>AV39</t>
        </is>
      </c>
      <c r="C618" t="n">
        <v>39</v>
      </c>
      <c r="D618" t="n">
        <v>48</v>
      </c>
      <c r="E618" t="inlineStr">
        <is>
          <t>Input</t>
        </is>
      </c>
      <c r="F618" t="n">
        <v/>
      </c>
      <c r="G618" t="inlineStr">
        <is>
          <t>Net Operating Profit After Tax (NOPAT)</t>
        </is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11</v>
      </c>
      <c r="M618" t="inlineStr">
        <is>
          <t>Values must be of type &lt;class 'str'&gt;</t>
        </is>
      </c>
      <c r="N618" t="inlineStr">
        <is>
          <t>00000000</t>
        </is>
      </c>
      <c r="O618" t="n">
        <v/>
      </c>
      <c r="P618" t="n">
        <v/>
      </c>
      <c r="R618" t="b">
        <v>1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</row>
    <row r="619">
      <c r="A619" t="inlineStr">
        <is>
          <t>Valuation</t>
        </is>
      </c>
      <c r="B619" t="inlineStr">
        <is>
          <t>AW39</t>
        </is>
      </c>
      <c r="C619" t="n">
        <v>39</v>
      </c>
      <c r="D619" t="n">
        <v>49</v>
      </c>
      <c r="E619" t="inlineStr">
        <is>
          <t>Input</t>
        </is>
      </c>
      <c r="F619" t="n">
        <v/>
      </c>
      <c r="G619" t="n">
        <v>38709.39902212066</v>
      </c>
      <c r="H619" t="inlineStr"/>
      <c r="I619" t="inlineStr">
        <is>
          <t>0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inlineStr">
        <is>
          <t>center</t>
        </is>
      </c>
      <c r="P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</row>
    <row r="620">
      <c r="A620" t="inlineStr">
        <is>
          <t>Valuation</t>
        </is>
      </c>
      <c r="B620" t="inlineStr">
        <is>
          <t>AX39</t>
        </is>
      </c>
      <c r="C620" t="n">
        <v>39</v>
      </c>
      <c r="D620" t="n">
        <v>50</v>
      </c>
      <c r="E620" t="inlineStr">
        <is>
          <t>Input</t>
        </is>
      </c>
      <c r="F620" t="n">
        <v/>
      </c>
      <c r="G620" t="n">
        <v>43323.99202258969</v>
      </c>
      <c r="H620" t="inlineStr"/>
      <c r="I620" t="inlineStr">
        <is>
          <t>0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00000000</t>
        </is>
      </c>
      <c r="O620" t="inlineStr">
        <is>
          <t>center</t>
        </is>
      </c>
      <c r="P620" t="n">
        <v/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</row>
    <row r="621">
      <c r="A621" t="inlineStr">
        <is>
          <t>Valuation</t>
        </is>
      </c>
      <c r="B621" t="inlineStr">
        <is>
          <t>AY39</t>
        </is>
      </c>
      <c r="C621" t="n">
        <v>39</v>
      </c>
      <c r="D621" t="n">
        <v>51</v>
      </c>
      <c r="E621" t="inlineStr">
        <is>
          <t>Input</t>
        </is>
      </c>
      <c r="F621" t="n">
        <v/>
      </c>
      <c r="G621" t="n">
        <v>53290.64037055957</v>
      </c>
      <c r="H621" t="inlineStr"/>
      <c r="I621" t="inlineStr">
        <is>
          <t>0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inlineStr">
        <is>
          <t>center</t>
        </is>
      </c>
      <c r="P621" t="n">
        <v/>
      </c>
      <c r="R621" t="b">
        <v>1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</row>
    <row r="622">
      <c r="A622" t="inlineStr">
        <is>
          <t>Valuation</t>
        </is>
      </c>
      <c r="B622" t="inlineStr">
        <is>
          <t>AZ39</t>
        </is>
      </c>
      <c r="C622" t="n">
        <v>39</v>
      </c>
      <c r="D622" t="n">
        <v>52</v>
      </c>
      <c r="E622" t="inlineStr">
        <is>
          <t>Input</t>
        </is>
      </c>
      <c r="F622" t="n">
        <v/>
      </c>
      <c r="G622" t="n">
        <v>63639.81624361384</v>
      </c>
      <c r="H622" t="inlineStr"/>
      <c r="I622" t="inlineStr">
        <is>
          <t>0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inlineStr">
        <is>
          <t>center</t>
        </is>
      </c>
      <c r="P622" t="n">
        <v/>
      </c>
      <c r="R622" t="b">
        <v>1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</row>
    <row r="623">
      <c r="A623" t="inlineStr">
        <is>
          <t>Valuation</t>
        </is>
      </c>
      <c r="B623" t="inlineStr">
        <is>
          <t>BA39</t>
        </is>
      </c>
      <c r="C623" t="n">
        <v>39</v>
      </c>
      <c r="D623" t="n">
        <v>53</v>
      </c>
      <c r="E623" t="inlineStr">
        <is>
          <t>Input</t>
        </is>
      </c>
      <c r="F623" t="n">
        <v/>
      </c>
      <c r="G623" t="n">
        <v>76597.11787955379</v>
      </c>
      <c r="H623" t="inlineStr"/>
      <c r="I623" t="inlineStr">
        <is>
          <t>0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inlineStr">
        <is>
          <t>center</t>
        </is>
      </c>
      <c r="P623" t="n">
        <v/>
      </c>
      <c r="R623" t="b">
        <v>1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</row>
    <row r="624">
      <c r="A624" t="inlineStr">
        <is>
          <t>Valuation</t>
        </is>
      </c>
      <c r="B624" t="inlineStr">
        <is>
          <t>A40</t>
        </is>
      </c>
      <c r="C624" t="n">
        <v>40</v>
      </c>
      <c r="D624" t="n">
        <v>1</v>
      </c>
      <c r="E624" t="inlineStr">
        <is>
          <t>Input</t>
        </is>
      </c>
      <c r="F624" t="n">
        <v/>
      </c>
      <c r="G624" t="inlineStr">
        <is>
          <t xml:space="preserve">Perpetual Value of Growth </t>
        </is>
      </c>
      <c r="H624" t="inlineStr"/>
      <c r="I624" t="inlineStr">
        <is>
          <t>General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n">
        <v/>
      </c>
      <c r="P624" t="n">
        <v/>
      </c>
      <c r="R624" t="b">
        <v>1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</row>
    <row r="625">
      <c r="A625" t="inlineStr">
        <is>
          <t>Valuation</t>
        </is>
      </c>
      <c r="B625" t="inlineStr">
        <is>
          <t>B40</t>
        </is>
      </c>
      <c r="C625" t="n">
        <v>40</v>
      </c>
      <c r="D625" t="n">
        <v>2</v>
      </c>
      <c r="E625" t="inlineStr">
        <is>
          <t>Input</t>
        </is>
      </c>
      <c r="F625" t="n">
        <v/>
      </c>
      <c r="G625" t="n">
        <v>0.03</v>
      </c>
      <c r="H625" t="inlineStr"/>
      <c r="I625" t="inlineStr">
        <is>
          <t>0.00%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Values must be of type &lt;class 'str'&gt;</t>
        </is>
      </c>
      <c r="O625" t="inlineStr">
        <is>
          <t>right</t>
        </is>
      </c>
      <c r="P625" t="n">
        <v/>
      </c>
      <c r="R625" t="b">
        <v>1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</row>
    <row r="626">
      <c r="A626" t="inlineStr">
        <is>
          <t>Valuation</t>
        </is>
      </c>
      <c r="B626" t="inlineStr">
        <is>
          <t>AV40</t>
        </is>
      </c>
      <c r="C626" t="n">
        <v>40</v>
      </c>
      <c r="D626" t="n">
        <v>48</v>
      </c>
      <c r="E626" t="inlineStr">
        <is>
          <t>Input</t>
        </is>
      </c>
      <c r="F626" t="n">
        <v/>
      </c>
      <c r="G626" t="inlineStr">
        <is>
          <t>Operating Cash Flow</t>
        </is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00000000</t>
        </is>
      </c>
      <c r="O626" t="n">
        <v/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</row>
    <row r="627">
      <c r="A627" t="inlineStr">
        <is>
          <t>Valuation</t>
        </is>
      </c>
      <c r="B627" t="inlineStr">
        <is>
          <t>AW40</t>
        </is>
      </c>
      <c r="C627" t="n">
        <v>40</v>
      </c>
      <c r="D627" t="n">
        <v>49</v>
      </c>
      <c r="E627" t="inlineStr">
        <is>
          <t>Input</t>
        </is>
      </c>
      <c r="F627" t="n">
        <v/>
      </c>
      <c r="G627" t="n">
        <v>48092.7654464107</v>
      </c>
      <c r="H627" t="inlineStr"/>
      <c r="I627" t="inlineStr">
        <is>
          <t>0</t>
        </is>
      </c>
      <c r="J627" t="b">
        <v>0</v>
      </c>
      <c r="K627" t="b">
        <v>0</v>
      </c>
      <c r="L627" t="n">
        <v>11</v>
      </c>
      <c r="M627" t="inlineStr">
        <is>
          <t>Values must be of type &lt;class 'str'&gt;</t>
        </is>
      </c>
      <c r="N627" t="inlineStr">
        <is>
          <t>00000000</t>
        </is>
      </c>
      <c r="O627" t="inlineStr">
        <is>
          <t>center</t>
        </is>
      </c>
      <c r="P627" t="n">
        <v/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</row>
    <row r="628">
      <c r="A628" t="inlineStr">
        <is>
          <t>Valuation</t>
        </is>
      </c>
      <c r="B628" t="inlineStr">
        <is>
          <t>AX40</t>
        </is>
      </c>
      <c r="C628" t="n">
        <v>40</v>
      </c>
      <c r="D628" t="n">
        <v>50</v>
      </c>
      <c r="E628" t="inlineStr">
        <is>
          <t>Input</t>
        </is>
      </c>
      <c r="F628" t="n">
        <v/>
      </c>
      <c r="G628" t="n">
        <v>58265.73688192939</v>
      </c>
      <c r="H628" t="inlineStr"/>
      <c r="I628" t="inlineStr">
        <is>
          <t>0</t>
        </is>
      </c>
      <c r="J628" t="b">
        <v>0</v>
      </c>
      <c r="K628" t="b">
        <v>0</v>
      </c>
      <c r="L628" t="n">
        <v>11</v>
      </c>
      <c r="M628" t="inlineStr">
        <is>
          <t>Values must be of type &lt;class 'str'&gt;</t>
        </is>
      </c>
      <c r="N628" t="inlineStr">
        <is>
          <t>00000000</t>
        </is>
      </c>
      <c r="O628" t="inlineStr">
        <is>
          <t>center</t>
        </is>
      </c>
      <c r="P628" t="n">
        <v/>
      </c>
      <c r="R628" t="b">
        <v>1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</row>
    <row r="629">
      <c r="A629" t="inlineStr">
        <is>
          <t>Valuation</t>
        </is>
      </c>
      <c r="B629" t="inlineStr">
        <is>
          <t>AY40</t>
        </is>
      </c>
      <c r="C629" t="n">
        <v>40</v>
      </c>
      <c r="D629" t="n">
        <v>51</v>
      </c>
      <c r="E629" t="inlineStr">
        <is>
          <t>Input</t>
        </is>
      </c>
      <c r="F629" t="n">
        <v/>
      </c>
      <c r="G629" t="n">
        <v>65563.24728165247</v>
      </c>
      <c r="H629" t="inlineStr"/>
      <c r="I629" t="inlineStr">
        <is>
          <t>0</t>
        </is>
      </c>
      <c r="J629" t="b">
        <v>0</v>
      </c>
      <c r="K629" t="b">
        <v>0</v>
      </c>
      <c r="L629" t="n">
        <v>11</v>
      </c>
      <c r="M629" t="inlineStr">
        <is>
          <t>Values must be of type &lt;class 'str'&gt;</t>
        </is>
      </c>
      <c r="N629" t="inlineStr">
        <is>
          <t>00000000</t>
        </is>
      </c>
      <c r="O629" t="inlineStr">
        <is>
          <t>center</t>
        </is>
      </c>
      <c r="P629" t="n">
        <v/>
      </c>
      <c r="R629" t="b">
        <v>1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</row>
    <row r="630">
      <c r="A630" t="inlineStr">
        <is>
          <t>Valuation</t>
        </is>
      </c>
      <c r="B630" t="inlineStr">
        <is>
          <t>AZ40</t>
        </is>
      </c>
      <c r="C630" t="n">
        <v>40</v>
      </c>
      <c r="D630" t="n">
        <v>52</v>
      </c>
      <c r="E630" t="inlineStr">
        <is>
          <t>Input</t>
        </is>
      </c>
      <c r="F630" t="n">
        <v/>
      </c>
      <c r="G630" t="n">
        <v>83685.70871224825</v>
      </c>
      <c r="H630" t="inlineStr"/>
      <c r="I630" t="inlineStr">
        <is>
          <t>0</t>
        </is>
      </c>
      <c r="J630" t="b">
        <v>0</v>
      </c>
      <c r="K630" t="b">
        <v>0</v>
      </c>
      <c r="L630" t="n">
        <v>11</v>
      </c>
      <c r="M630" t="inlineStr">
        <is>
          <t>Values must be of type &lt;class 'str'&gt;</t>
        </is>
      </c>
      <c r="N630" t="inlineStr">
        <is>
          <t>00000000</t>
        </is>
      </c>
      <c r="O630" t="inlineStr">
        <is>
          <t>center</t>
        </is>
      </c>
      <c r="P630" t="n">
        <v/>
      </c>
      <c r="R630" t="b">
        <v>1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</row>
    <row r="631">
      <c r="A631" t="inlineStr">
        <is>
          <t>Valuation</t>
        </is>
      </c>
      <c r="B631" t="inlineStr">
        <is>
          <t>BA40</t>
        </is>
      </c>
      <c r="C631" t="n">
        <v>40</v>
      </c>
      <c r="D631" t="n">
        <v>53</v>
      </c>
      <c r="E631" t="inlineStr">
        <is>
          <t>Input</t>
        </is>
      </c>
      <c r="F631" t="n">
        <v/>
      </c>
      <c r="G631" t="n">
        <v>99671.56980572679</v>
      </c>
      <c r="H631" t="inlineStr"/>
      <c r="I631" t="inlineStr">
        <is>
          <t>0</t>
        </is>
      </c>
      <c r="J631" t="b">
        <v>0</v>
      </c>
      <c r="K631" t="b">
        <v>0</v>
      </c>
      <c r="L631" t="n">
        <v>11</v>
      </c>
      <c r="M631" t="inlineStr">
        <is>
          <t>Values must be of type &lt;class 'str'&gt;</t>
        </is>
      </c>
      <c r="N631" t="inlineStr">
        <is>
          <t>00000000</t>
        </is>
      </c>
      <c r="O631" t="inlineStr">
        <is>
          <t>center</t>
        </is>
      </c>
      <c r="P631" t="n">
        <v/>
      </c>
      <c r="R631" t="b">
        <v>1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</row>
    <row r="632">
      <c r="A632" t="inlineStr">
        <is>
          <t>Valuation</t>
        </is>
      </c>
      <c r="B632" t="inlineStr">
        <is>
          <t>A41</t>
        </is>
      </c>
      <c r="C632" t="n">
        <v>41</v>
      </c>
      <c r="D632" t="n">
        <v>1</v>
      </c>
      <c r="E632" t="inlineStr">
        <is>
          <t>Input</t>
        </is>
      </c>
      <c r="F632" t="n">
        <v/>
      </c>
      <c r="G632" t="inlineStr">
        <is>
          <t>Present Value of Terminal Value</t>
        </is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11</v>
      </c>
      <c r="M632" t="inlineStr">
        <is>
          <t>Values must be of type &lt;class 'str'&gt;</t>
        </is>
      </c>
      <c r="N632" t="inlineStr">
        <is>
          <t>00000000</t>
        </is>
      </c>
      <c r="O632" t="n">
        <v/>
      </c>
      <c r="P632" t="n">
        <v/>
      </c>
      <c r="R632" t="b">
        <v>1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</row>
    <row r="633">
      <c r="A633" t="inlineStr">
        <is>
          <t>Valuation</t>
        </is>
      </c>
      <c r="B633" t="inlineStr">
        <is>
          <t>B41</t>
        </is>
      </c>
      <c r="C633" t="n">
        <v>41</v>
      </c>
      <c r="D633" t="n">
        <v>2</v>
      </c>
      <c r="E633" t="inlineStr">
        <is>
          <t>Calculation</t>
        </is>
      </c>
      <c r="F633" t="inlineStr">
        <is>
          <t>'=((N35*(1+B40))/(B17-B40))/(1+B17)^5</t>
        </is>
      </c>
      <c r="G633" t="n">
        <v>353748.2687005807</v>
      </c>
      <c r="H633" t="inlineStr"/>
      <c r="I633" t="inlineStr">
        <is>
          <t xml:space="preserve">_ * #,##0_ ;_ * \-#,##0_ ;_ * "-"??_ ;_ @_ 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Values must be of type &lt;class 'str'&gt;</t>
        </is>
      </c>
      <c r="O633" t="inlineStr">
        <is>
          <t>right</t>
        </is>
      </c>
      <c r="P633" t="n">
        <v/>
      </c>
      <c r="R633" t="b">
        <v>1</v>
      </c>
      <c r="S633" t="n">
        <v/>
      </c>
      <c r="T633" t="n">
        <v/>
      </c>
      <c r="U633" t="n">
        <v/>
      </c>
      <c r="V633" t="b">
        <v>0</v>
      </c>
      <c r="W633" t="inlineStr"/>
      <c r="X633">
        <f>((R[-6]C[12]*(1+R[-1]C[0]))/(R[-24]C[0]-R[-1]C[0]))/(1+R[-24]C[0])^5</f>
        <v/>
      </c>
    </row>
    <row r="634">
      <c r="A634" t="inlineStr">
        <is>
          <t>Valuation</t>
        </is>
      </c>
      <c r="B634" t="inlineStr">
        <is>
          <t>C41</t>
        </is>
      </c>
      <c r="C634" t="n">
        <v>41</v>
      </c>
      <c r="D634" t="n">
        <v>3</v>
      </c>
      <c r="E634" t="inlineStr">
        <is>
          <t>Input</t>
        </is>
      </c>
      <c r="F634" t="n">
        <v/>
      </c>
      <c r="H634" t="inlineStr"/>
      <c r="I634" t="inlineStr">
        <is>
          <t>0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n">
        <v/>
      </c>
      <c r="P634" t="n">
        <v/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</row>
    <row r="635">
      <c r="A635" t="inlineStr">
        <is>
          <t>Valuation</t>
        </is>
      </c>
      <c r="B635" t="inlineStr">
        <is>
          <t>AV41</t>
        </is>
      </c>
      <c r="C635" t="n">
        <v>41</v>
      </c>
      <c r="D635" t="n">
        <v>48</v>
      </c>
      <c r="E635" t="inlineStr">
        <is>
          <t>Input</t>
        </is>
      </c>
      <c r="F635" t="n">
        <v/>
      </c>
      <c r="G635" t="inlineStr">
        <is>
          <t>FCFF</t>
        </is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n">
        <v/>
      </c>
      <c r="P635" t="n">
        <v/>
      </c>
      <c r="R635" t="b">
        <v>1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</row>
    <row r="636">
      <c r="A636" t="inlineStr">
        <is>
          <t>Valuation</t>
        </is>
      </c>
      <c r="B636" t="inlineStr">
        <is>
          <t>AW41</t>
        </is>
      </c>
      <c r="C636" t="n">
        <v>41</v>
      </c>
      <c r="D636" t="n">
        <v>49</v>
      </c>
      <c r="E636" t="inlineStr">
        <is>
          <t>Input</t>
        </is>
      </c>
      <c r="F636" t="n">
        <v/>
      </c>
      <c r="G636" t="n">
        <v>38825.4546557857</v>
      </c>
      <c r="H636" t="inlineStr"/>
      <c r="I636" t="inlineStr">
        <is>
          <t>0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inlineStr">
        <is>
          <t>center</t>
        </is>
      </c>
      <c r="P636" t="n">
        <v/>
      </c>
      <c r="R636" t="b">
        <v>1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</row>
    <row r="637">
      <c r="A637" t="inlineStr">
        <is>
          <t>Valuation</t>
        </is>
      </c>
      <c r="B637" t="inlineStr">
        <is>
          <t>AX41</t>
        </is>
      </c>
      <c r="C637" t="n">
        <v>41</v>
      </c>
      <c r="D637" t="n">
        <v>50</v>
      </c>
      <c r="E637" t="inlineStr">
        <is>
          <t>Input</t>
        </is>
      </c>
      <c r="F637" t="n">
        <v/>
      </c>
      <c r="G637" t="n">
        <v>49068.51870997189</v>
      </c>
      <c r="H637" t="inlineStr"/>
      <c r="I637" t="inlineStr">
        <is>
          <t>0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00000000</t>
        </is>
      </c>
      <c r="O637" t="inlineStr">
        <is>
          <t>center</t>
        </is>
      </c>
      <c r="P637" t="n">
        <v/>
      </c>
      <c r="R637" t="b">
        <v>1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</row>
    <row r="638">
      <c r="A638" t="inlineStr">
        <is>
          <t>Valuation</t>
        </is>
      </c>
      <c r="B638" t="inlineStr">
        <is>
          <t>AY41</t>
        </is>
      </c>
      <c r="C638" t="n">
        <v>41</v>
      </c>
      <c r="D638" t="n">
        <v>51</v>
      </c>
      <c r="E638" t="inlineStr">
        <is>
          <t>Input</t>
        </is>
      </c>
      <c r="F638" t="n">
        <v/>
      </c>
      <c r="G638" t="n">
        <v>56334.83322321996</v>
      </c>
      <c r="H638" t="inlineStr"/>
      <c r="I638" t="inlineStr">
        <is>
          <t>0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00000000</t>
        </is>
      </c>
      <c r="O638" t="inlineStr">
        <is>
          <t>center</t>
        </is>
      </c>
      <c r="P638" t="n">
        <v/>
      </c>
      <c r="R638" t="b">
        <v>1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</row>
    <row r="639">
      <c r="A639" t="inlineStr">
        <is>
          <t>Valuation</t>
        </is>
      </c>
      <c r="B639" t="inlineStr">
        <is>
          <t>AZ41</t>
        </is>
      </c>
      <c r="C639" t="n">
        <v>41</v>
      </c>
      <c r="D639" t="n">
        <v>52</v>
      </c>
      <c r="E639" t="inlineStr">
        <is>
          <t>Input</t>
        </is>
      </c>
      <c r="F639" t="n">
        <v/>
      </c>
      <c r="G639" t="n">
        <v>74420.68447534075</v>
      </c>
      <c r="H639" t="inlineStr"/>
      <c r="I639" t="inlineStr">
        <is>
          <t>0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00000000</t>
        </is>
      </c>
      <c r="O639" t="inlineStr">
        <is>
          <t>center</t>
        </is>
      </c>
      <c r="P639" t="n">
        <v/>
      </c>
      <c r="R639" t="b">
        <v>1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</row>
    <row r="640">
      <c r="A640" t="inlineStr">
        <is>
          <t>Valuation</t>
        </is>
      </c>
      <c r="B640" t="inlineStr">
        <is>
          <t>BA41</t>
        </is>
      </c>
      <c r="C640" t="n">
        <v>41</v>
      </c>
      <c r="D640" t="n">
        <v>53</v>
      </c>
      <c r="E640" t="inlineStr">
        <is>
          <t>Input</t>
        </is>
      </c>
      <c r="F640" t="n">
        <v/>
      </c>
      <c r="G640" t="n">
        <v>90364.52109834428</v>
      </c>
      <c r="H640" t="inlineStr"/>
      <c r="I640" t="inlineStr">
        <is>
          <t>0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00000000</t>
        </is>
      </c>
      <c r="O640" t="inlineStr">
        <is>
          <t>center</t>
        </is>
      </c>
      <c r="P640" t="n">
        <v/>
      </c>
      <c r="R640" t="b">
        <v>1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</row>
    <row r="641">
      <c r="A641" t="inlineStr">
        <is>
          <t>Valuation</t>
        </is>
      </c>
      <c r="B641" t="inlineStr">
        <is>
          <t>A42</t>
        </is>
      </c>
      <c r="C641" t="n">
        <v>42</v>
      </c>
      <c r="D641" t="n">
        <v>1</v>
      </c>
      <c r="E641" t="inlineStr">
        <is>
          <t>Input</t>
        </is>
      </c>
      <c r="F641" t="n">
        <v/>
      </c>
      <c r="G641" t="inlineStr">
        <is>
          <t>Book Value of Debt</t>
        </is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00000000</t>
        </is>
      </c>
      <c r="O641" t="n">
        <v/>
      </c>
      <c r="P641" t="n">
        <v/>
      </c>
      <c r="R641" t="b">
        <v>1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</row>
    <row r="642">
      <c r="A642" t="inlineStr">
        <is>
          <t>Valuation</t>
        </is>
      </c>
      <c r="B642" t="inlineStr">
        <is>
          <t>B42</t>
        </is>
      </c>
      <c r="C642" t="n">
        <v>42</v>
      </c>
      <c r="D642" t="n">
        <v>2</v>
      </c>
      <c r="E642" t="inlineStr">
        <is>
          <t>Input</t>
        </is>
      </c>
      <c r="F642" t="n">
        <v/>
      </c>
      <c r="G642" t="n">
        <v>50779</v>
      </c>
      <c r="H642" t="inlineStr"/>
      <c r="I642" t="inlineStr">
        <is>
          <t xml:space="preserve">_ * #,##0_ ;_ * \-#,##0_ ;_ * "-"??_ ;_ @_ 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Values must be of type &lt;class 'str'&gt;</t>
        </is>
      </c>
      <c r="O642" t="inlineStr">
        <is>
          <t>right</t>
        </is>
      </c>
      <c r="P642" t="n">
        <v/>
      </c>
      <c r="R642" t="b">
        <v>1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</row>
    <row r="643">
      <c r="A643" t="inlineStr">
        <is>
          <t>Valuation</t>
        </is>
      </c>
      <c r="B643" t="inlineStr">
        <is>
          <t>AV42</t>
        </is>
      </c>
      <c r="C643" t="n">
        <v>42</v>
      </c>
      <c r="D643" t="n">
        <v>48</v>
      </c>
      <c r="E643" t="inlineStr">
        <is>
          <t>Input</t>
        </is>
      </c>
      <c r="F643" t="n">
        <v/>
      </c>
      <c r="G643" t="inlineStr">
        <is>
          <t>PV of FCFF</t>
        </is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00000000</t>
        </is>
      </c>
      <c r="O643" t="n">
        <v/>
      </c>
      <c r="P643" t="n">
        <v/>
      </c>
      <c r="R643" t="b">
        <v>1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</row>
    <row r="644">
      <c r="A644" t="inlineStr">
        <is>
          <t>Valuation</t>
        </is>
      </c>
      <c r="B644" t="inlineStr">
        <is>
          <t>AW42</t>
        </is>
      </c>
      <c r="C644" t="n">
        <v>42</v>
      </c>
      <c r="D644" t="n">
        <v>49</v>
      </c>
      <c r="E644" t="inlineStr">
        <is>
          <t>Input</t>
        </is>
      </c>
      <c r="F644" t="n">
        <v/>
      </c>
      <c r="G644" t="n">
        <v>34758.37320687862</v>
      </c>
      <c r="H644" t="inlineStr"/>
      <c r="I644" t="inlineStr">
        <is>
          <t>0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inlineStr">
        <is>
          <t>center</t>
        </is>
      </c>
      <c r="P644" t="n">
        <v/>
      </c>
      <c r="R644" t="b">
        <v>1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</row>
    <row r="645">
      <c r="A645" t="inlineStr">
        <is>
          <t>Valuation</t>
        </is>
      </c>
      <c r="B645" t="inlineStr">
        <is>
          <t>AX42</t>
        </is>
      </c>
      <c r="C645" t="n">
        <v>42</v>
      </c>
      <c r="D645" t="n">
        <v>50</v>
      </c>
      <c r="E645" t="inlineStr">
        <is>
          <t>Input</t>
        </is>
      </c>
      <c r="F645" t="n">
        <v/>
      </c>
      <c r="G645" t="n">
        <v>39326.81103146693</v>
      </c>
      <c r="H645" t="inlineStr"/>
      <c r="I645" t="inlineStr">
        <is>
          <t>0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inlineStr">
        <is>
          <t>center</t>
        </is>
      </c>
      <c r="P645" t="n">
        <v/>
      </c>
      <c r="R645" t="b">
        <v>1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</row>
    <row r="646">
      <c r="A646" t="inlineStr">
        <is>
          <t>Valuation</t>
        </is>
      </c>
      <c r="B646" t="inlineStr">
        <is>
          <t>AY42</t>
        </is>
      </c>
      <c r="C646" t="n">
        <v>42</v>
      </c>
      <c r="D646" t="n">
        <v>51</v>
      </c>
      <c r="E646" t="inlineStr">
        <is>
          <t>Input</t>
        </is>
      </c>
      <c r="F646" t="n">
        <v/>
      </c>
      <c r="G646" t="n">
        <v>40420.87295478355</v>
      </c>
      <c r="H646" t="inlineStr"/>
      <c r="I646" t="inlineStr">
        <is>
          <t>0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inlineStr">
        <is>
          <t>center</t>
        </is>
      </c>
      <c r="P646" t="n">
        <v/>
      </c>
      <c r="R646" t="b">
        <v>1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</row>
    <row r="647">
      <c r="A647" t="inlineStr">
        <is>
          <t>Valuation</t>
        </is>
      </c>
      <c r="B647" t="inlineStr">
        <is>
          <t>AZ42</t>
        </is>
      </c>
      <c r="C647" t="n">
        <v>42</v>
      </c>
      <c r="D647" t="n">
        <v>52</v>
      </c>
      <c r="E647" t="inlineStr">
        <is>
          <t>Input</t>
        </is>
      </c>
      <c r="F647" t="n">
        <v/>
      </c>
      <c r="G647" t="n">
        <v>47804.10895690581</v>
      </c>
      <c r="H647" t="inlineStr"/>
      <c r="I647" t="inlineStr">
        <is>
          <t>0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inlineStr">
        <is>
          <t>center</t>
        </is>
      </c>
      <c r="P647" t="n">
        <v/>
      </c>
      <c r="R647" t="b">
        <v>1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</row>
    <row r="648">
      <c r="A648" t="inlineStr">
        <is>
          <t>Valuation</t>
        </is>
      </c>
      <c r="B648" t="inlineStr">
        <is>
          <t>BA42</t>
        </is>
      </c>
      <c r="C648" t="n">
        <v>42</v>
      </c>
      <c r="D648" t="n">
        <v>53</v>
      </c>
      <c r="E648" t="inlineStr">
        <is>
          <t>Input</t>
        </is>
      </c>
      <c r="F648" t="n">
        <v/>
      </c>
      <c r="G648" t="n">
        <v>51965.17697884461</v>
      </c>
      <c r="H648" t="inlineStr"/>
      <c r="I648" t="inlineStr">
        <is>
          <t>0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inlineStr">
        <is>
          <t>center</t>
        </is>
      </c>
      <c r="P648" t="n">
        <v/>
      </c>
      <c r="R648" t="b">
        <v>1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</row>
    <row r="649">
      <c r="A649" t="inlineStr">
        <is>
          <t>Valuation</t>
        </is>
      </c>
      <c r="B649" t="inlineStr">
        <is>
          <t>A43</t>
        </is>
      </c>
      <c r="C649" t="n">
        <v>43</v>
      </c>
      <c r="D649" t="n">
        <v>1</v>
      </c>
      <c r="E649" t="inlineStr">
        <is>
          <t>Input</t>
        </is>
      </c>
      <c r="F649" t="n">
        <v/>
      </c>
      <c r="G649" t="inlineStr">
        <is>
          <t>Enterprise Value</t>
        </is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00000000</t>
        </is>
      </c>
      <c r="O649" t="n">
        <v/>
      </c>
      <c r="P649" t="n">
        <v/>
      </c>
      <c r="R649" t="b">
        <v>1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</row>
    <row r="650">
      <c r="A650" t="inlineStr">
        <is>
          <t>Valuation</t>
        </is>
      </c>
      <c r="B650" t="inlineStr">
        <is>
          <t>B43</t>
        </is>
      </c>
      <c r="C650" t="n">
        <v>43</v>
      </c>
      <c r="D650" t="n">
        <v>2</v>
      </c>
      <c r="E650" t="inlineStr">
        <is>
          <t>Calculation</t>
        </is>
      </c>
      <c r="F650" t="inlineStr">
        <is>
          <t>'=B42+B41+B39+B44</t>
        </is>
      </c>
      <c r="G650" t="n">
        <v>702262.1618294602</v>
      </c>
      <c r="H650" t="inlineStr"/>
      <c r="I650" t="inlineStr">
        <is>
          <t xml:space="preserve">_ * #,##0_ ;_ * \-#,##0_ ;_ * "-"??_ ;_ @_ </t>
        </is>
      </c>
      <c r="J650" t="b">
        <v>0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Values must be of type &lt;class 'str'&gt;</t>
        </is>
      </c>
      <c r="O650" t="inlineStr">
        <is>
          <t>right</t>
        </is>
      </c>
      <c r="P650" t="n">
        <v/>
      </c>
      <c r="R650" t="b">
        <v>1</v>
      </c>
      <c r="S650" t="n">
        <v/>
      </c>
      <c r="T650" t="n">
        <v/>
      </c>
      <c r="U650" t="n">
        <v/>
      </c>
      <c r="V650" t="b">
        <v>0</v>
      </c>
      <c r="W650" t="inlineStr"/>
      <c r="X650">
        <f>R[-1]C[0]+R[-2]C[0]+R[-4]C[0]+R[1]C[0]</f>
        <v/>
      </c>
    </row>
    <row r="651">
      <c r="A651" t="inlineStr">
        <is>
          <t>Valuation</t>
        </is>
      </c>
      <c r="B651" t="inlineStr">
        <is>
          <t>A44</t>
        </is>
      </c>
      <c r="C651" t="n">
        <v>44</v>
      </c>
      <c r="D651" t="n">
        <v>1</v>
      </c>
      <c r="E651" t="inlineStr">
        <is>
          <t>Input</t>
        </is>
      </c>
      <c r="F651" t="n">
        <v/>
      </c>
      <c r="G651" t="inlineStr">
        <is>
          <t>Value of Non-Operating Assets</t>
        </is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11</v>
      </c>
      <c r="M651" t="inlineStr">
        <is>
          <t>Values must be of type &lt;class 'str'&gt;</t>
        </is>
      </c>
      <c r="N651" t="inlineStr">
        <is>
          <t>00000000</t>
        </is>
      </c>
      <c r="O651" t="n">
        <v/>
      </c>
      <c r="P651" t="n">
        <v/>
      </c>
      <c r="R651" t="b">
        <v>1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</row>
    <row r="652">
      <c r="A652" t="inlineStr">
        <is>
          <t>Valuation</t>
        </is>
      </c>
      <c r="B652" t="inlineStr">
        <is>
          <t>B44</t>
        </is>
      </c>
      <c r="C652" t="n">
        <v>44</v>
      </c>
      <c r="D652" t="n">
        <v>2</v>
      </c>
      <c r="E652" t="inlineStr">
        <is>
          <t>Calculation</t>
        </is>
      </c>
      <c r="F652" t="inlineStr">
        <is>
          <t>'='Balance sheet'!J43+'Balance sheet'!J40</t>
        </is>
      </c>
      <c r="G652" t="n">
        <v>83459.55</v>
      </c>
      <c r="H652" t="inlineStr"/>
      <c r="I652" t="inlineStr">
        <is>
          <t xml:space="preserve">_ * #,##0_ ;_ * \-#,##0_ ;_ * "-"??_ ;_ @_ </t>
        </is>
      </c>
      <c r="J652" t="b">
        <v>0</v>
      </c>
      <c r="K652" t="b">
        <v>0</v>
      </c>
      <c r="L652" t="n">
        <v>11</v>
      </c>
      <c r="M652" t="inlineStr">
        <is>
          <t>Values must be of type &lt;class 'str'&gt;</t>
        </is>
      </c>
      <c r="N652" t="inlineStr">
        <is>
          <t>Values must be of type &lt;class 'str'&gt;</t>
        </is>
      </c>
      <c r="O652" t="inlineStr">
        <is>
          <t>right</t>
        </is>
      </c>
      <c r="P652" t="n">
        <v/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>
        <f>'Balance sheet'!R[-1]C[8]+'Balance sheet'!R[-4]C[8]</f>
        <v/>
      </c>
    </row>
    <row r="653">
      <c r="A653" t="inlineStr">
        <is>
          <t>Valuation</t>
        </is>
      </c>
      <c r="B653" t="inlineStr">
        <is>
          <t>A45</t>
        </is>
      </c>
      <c r="C653" t="n">
        <v>45</v>
      </c>
      <c r="D653" t="n">
        <v>1</v>
      </c>
      <c r="E653" t="inlineStr">
        <is>
          <t>Input</t>
        </is>
      </c>
      <c r="F653" t="n">
        <v/>
      </c>
      <c r="G653" t="inlineStr">
        <is>
          <t>Equity Value</t>
        </is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11</v>
      </c>
      <c r="M653" t="inlineStr">
        <is>
          <t>Values must be of type &lt;class 'str'&gt;</t>
        </is>
      </c>
      <c r="N653" t="inlineStr">
        <is>
          <t>00000000</t>
        </is>
      </c>
      <c r="O653" t="n">
        <v/>
      </c>
      <c r="P653" t="n">
        <v/>
      </c>
      <c r="R653" t="b">
        <v>1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</row>
    <row r="654">
      <c r="A654" t="inlineStr">
        <is>
          <t>Valuation</t>
        </is>
      </c>
      <c r="B654" t="inlineStr">
        <is>
          <t>B45</t>
        </is>
      </c>
      <c r="C654" t="n">
        <v>45</v>
      </c>
      <c r="D654" t="n">
        <v>2</v>
      </c>
      <c r="E654" t="inlineStr">
        <is>
          <t>Calculation</t>
        </is>
      </c>
      <c r="F654" t="inlineStr">
        <is>
          <t>'=B43-B42</t>
        </is>
      </c>
      <c r="G654" t="n">
        <v>651483.1618294602</v>
      </c>
      <c r="H654" t="inlineStr"/>
      <c r="I654" t="inlineStr">
        <is>
          <t xml:space="preserve">_ * #,##0_ ;_ * \-#,##0_ ;_ * "-"??_ ;_ @_ </t>
        </is>
      </c>
      <c r="J654" t="b">
        <v>0</v>
      </c>
      <c r="K654" t="b">
        <v>0</v>
      </c>
      <c r="L654" t="n">
        <v>11</v>
      </c>
      <c r="M654" t="inlineStr">
        <is>
          <t>Values must be of type &lt;class 'str'&gt;</t>
        </is>
      </c>
      <c r="N654" t="inlineStr">
        <is>
          <t>Values must be of type &lt;class 'str'&gt;</t>
        </is>
      </c>
      <c r="O654" t="inlineStr">
        <is>
          <t>right</t>
        </is>
      </c>
      <c r="P654" t="n">
        <v/>
      </c>
      <c r="R654" t="b">
        <v>1</v>
      </c>
      <c r="S654" t="n">
        <v/>
      </c>
      <c r="T654" t="n">
        <v/>
      </c>
      <c r="U654" t="n">
        <v/>
      </c>
      <c r="V654" t="b">
        <v>0</v>
      </c>
      <c r="W654" t="inlineStr"/>
      <c r="X654">
        <f>R[-2]C[0]-R[-3]C[0]</f>
        <v/>
      </c>
    </row>
    <row r="655">
      <c r="A655" t="inlineStr">
        <is>
          <t>Valuation</t>
        </is>
      </c>
      <c r="B655" t="inlineStr">
        <is>
          <t>A46</t>
        </is>
      </c>
      <c r="C655" t="n">
        <v>46</v>
      </c>
      <c r="D655" t="n">
        <v>1</v>
      </c>
      <c r="E655" t="inlineStr">
        <is>
          <t>Input</t>
        </is>
      </c>
      <c r="F655" t="n">
        <v/>
      </c>
      <c r="G655" t="inlineStr">
        <is>
          <t>Value Per Share</t>
        </is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00000000</t>
        </is>
      </c>
      <c r="O655" t="n">
        <v/>
      </c>
      <c r="P655" t="n">
        <v/>
      </c>
      <c r="R655" t="b">
        <v>1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</row>
    <row r="656">
      <c r="A656" t="inlineStr">
        <is>
          <t>Valuation</t>
        </is>
      </c>
      <c r="B656" t="inlineStr">
        <is>
          <t>B46</t>
        </is>
      </c>
      <c r="C656" t="n">
        <v>46</v>
      </c>
      <c r="D656" t="n">
        <v>2</v>
      </c>
      <c r="E656" t="inlineStr">
        <is>
          <t>Calculation</t>
        </is>
      </c>
      <c r="F656" t="inlineStr">
        <is>
          <t>'=B45*10^6/B12</t>
        </is>
      </c>
      <c r="G656" t="n">
        <v>1697.993794229933</v>
      </c>
      <c r="H656" t="inlineStr"/>
      <c r="I656" t="inlineStr">
        <is>
          <t xml:space="preserve">_ * #,##0_ ;_ * \-#,##0_ ;_ * "-"??_ ;_ @_ 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Values must be of type &lt;class 'str'&gt;</t>
        </is>
      </c>
      <c r="O656" t="inlineStr">
        <is>
          <t>right</t>
        </is>
      </c>
      <c r="P656" t="n">
        <v/>
      </c>
      <c r="R656" t="b">
        <v>1</v>
      </c>
      <c r="S656" t="n">
        <v/>
      </c>
      <c r="T656" t="n">
        <v/>
      </c>
      <c r="U656" t="n">
        <v/>
      </c>
      <c r="V656" t="b">
        <v>0</v>
      </c>
      <c r="W656" t="inlineStr"/>
      <c r="X656">
        <f>R[-1]C[0]*10^6/R[-34]C[0]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/home/nitish/Documents/github/Excel-To-Python/Codex/ExcelFiles/Indigo.xlsx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/home/nitish/Documents/github/Excel-To-Python/Codex/ExcelFiles/Indigo.xlsx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["Intro", "Assumptions Sheet", "Income statement", "Asset Schedule ", "Cost Matrix", "ATF Fuel 2", "Balance sheet", "Revenue Matrix", "Debt schedule", "Incentive", "CashFlow Statement", "ATF fuel", "Valuation"]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"2026-03-05T04:05:04.258075+00:00"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Intro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Intro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Intro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Intro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Intro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Intro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Assumptions Sheet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Assumptions Sheet</t>
        </is>
      </c>
      <c r="C14" t="inlineStr">
        <is>
          <t>FreezePanes</t>
        </is>
      </c>
      <c r="D14" t="inlineStr">
        <is>
          <t>T50</t>
        </is>
      </c>
    </row>
    <row r="15">
      <c r="A15" t="inlineStr">
        <is>
          <t>SheetLayout</t>
        </is>
      </c>
      <c r="B15" t="inlineStr">
        <is>
          <t>Assumptions Sheet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Assumptions Sheet</t>
        </is>
      </c>
      <c r="C16" t="inlineStr">
        <is>
          <t>MergedRanges</t>
        </is>
      </c>
      <c r="D16" t="inlineStr">
        <is>
          <t>["J38:J39"]</t>
        </is>
      </c>
    </row>
    <row r="17">
      <c r="A17" t="inlineStr">
        <is>
          <t>SheetLayout</t>
        </is>
      </c>
      <c r="B17" t="inlineStr">
        <is>
          <t>Assumptions Sheet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Assumptions Sheet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Income statement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Income statement</t>
        </is>
      </c>
      <c r="C20" t="inlineStr">
        <is>
          <t>FreezePanes</t>
        </is>
      </c>
      <c r="D20" t="inlineStr">
        <is>
          <t>G21</t>
        </is>
      </c>
    </row>
    <row r="21">
      <c r="A21" t="inlineStr">
        <is>
          <t>SheetLayout</t>
        </is>
      </c>
      <c r="B21" t="inlineStr">
        <is>
          <t>Income statement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Income statement</t>
        </is>
      </c>
      <c r="C22" t="inlineStr">
        <is>
          <t>MergedRanges</t>
        </is>
      </c>
      <c r="D22" t="inlineStr">
        <is>
          <t>["A1:C1"]</t>
        </is>
      </c>
    </row>
    <row r="23">
      <c r="A23" t="inlineStr">
        <is>
          <t>SheetLayout</t>
        </is>
      </c>
      <c r="B23" t="inlineStr">
        <is>
          <t>Income statement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Income statement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 xml:space="preserve">Asset Schedule 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 xml:space="preserve">Asset Schedule </t>
        </is>
      </c>
      <c r="C26" t="inlineStr">
        <is>
          <t>FreezePanes</t>
        </is>
      </c>
      <c r="D26" t="inlineStr">
        <is>
          <t>D7</t>
        </is>
      </c>
    </row>
    <row r="27">
      <c r="A27" t="inlineStr">
        <is>
          <t>SheetLayout</t>
        </is>
      </c>
      <c r="B27" t="inlineStr">
        <is>
          <t xml:space="preserve">Asset Schedule 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 xml:space="preserve">Asset Schedule </t>
        </is>
      </c>
      <c r="C28" t="inlineStr">
        <is>
          <t>MergedRanges</t>
        </is>
      </c>
      <c r="D28" t="inlineStr">
        <is>
          <t>["A1:C1"]</t>
        </is>
      </c>
    </row>
    <row r="29">
      <c r="A29" t="inlineStr">
        <is>
          <t>SheetLayout</t>
        </is>
      </c>
      <c r="B29" t="inlineStr">
        <is>
          <t xml:space="preserve">Asset Schedule 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 xml:space="preserve">Asset Schedule 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Cost Matrix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Cost Matrix</t>
        </is>
      </c>
      <c r="C32" t="inlineStr">
        <is>
          <t>FreezePanes</t>
        </is>
      </c>
      <c r="D32" t="inlineStr">
        <is>
          <t>AC7</t>
        </is>
      </c>
    </row>
    <row r="33">
      <c r="A33" t="inlineStr">
        <is>
          <t>SheetLayout</t>
        </is>
      </c>
      <c r="B33" t="inlineStr">
        <is>
          <t>Cost Matrix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Cost Matrix</t>
        </is>
      </c>
      <c r="C34" t="inlineStr">
        <is>
          <t>MergedRanges</t>
        </is>
      </c>
      <c r="D34" t="inlineStr">
        <is>
          <t>["A1:C1"]</t>
        </is>
      </c>
    </row>
    <row r="35">
      <c r="A35" t="inlineStr">
        <is>
          <t>SheetLayout</t>
        </is>
      </c>
      <c r="B35" t="inlineStr">
        <is>
          <t>Cost Matrix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Cost Matrix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ATF Fuel 2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ATF Fuel 2</t>
        </is>
      </c>
      <c r="C38" t="inlineStr">
        <is>
          <t>FreezePanes</t>
        </is>
      </c>
      <c r="D38" t="inlineStr">
        <is>
          <t>A91</t>
        </is>
      </c>
    </row>
    <row r="39">
      <c r="A39" t="inlineStr">
        <is>
          <t>SheetLayout</t>
        </is>
      </c>
      <c r="B39" t="inlineStr">
        <is>
          <t>ATF Fuel 2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ATF Fuel 2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ATF Fuel 2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ATF Fuel 2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Balance sheet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Balance sheet</t>
        </is>
      </c>
      <c r="C44" t="inlineStr">
        <is>
          <t>FreezePanes</t>
        </is>
      </c>
      <c r="D44" t="inlineStr">
        <is>
          <t>D13</t>
        </is>
      </c>
    </row>
    <row r="45">
      <c r="A45" t="inlineStr">
        <is>
          <t>SheetLayout</t>
        </is>
      </c>
      <c r="B45" t="inlineStr">
        <is>
          <t>Balance sheet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Balance sheet</t>
        </is>
      </c>
      <c r="C46" t="inlineStr">
        <is>
          <t>MergedRanges</t>
        </is>
      </c>
      <c r="D46" t="inlineStr">
        <is>
          <t>["A1:C1"]</t>
        </is>
      </c>
    </row>
    <row r="47">
      <c r="A47" t="inlineStr">
        <is>
          <t>SheetLayout</t>
        </is>
      </c>
      <c r="B47" t="inlineStr">
        <is>
          <t>Balance sheet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Balance sheet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Revenue Matrix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Revenue Matrix</t>
        </is>
      </c>
      <c r="C50" t="inlineStr">
        <is>
          <t>FreezePanes</t>
        </is>
      </c>
      <c r="D50" t="inlineStr">
        <is>
          <t>D7</t>
        </is>
      </c>
    </row>
    <row r="51">
      <c r="A51" t="inlineStr">
        <is>
          <t>SheetLayout</t>
        </is>
      </c>
      <c r="B51" t="inlineStr">
        <is>
          <t>Revenue Matrix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Revenue Matrix</t>
        </is>
      </c>
      <c r="C52" t="inlineStr">
        <is>
          <t>MergedRanges</t>
        </is>
      </c>
      <c r="D52" t="inlineStr">
        <is>
          <t>["A1:C1"]</t>
        </is>
      </c>
    </row>
    <row r="53">
      <c r="A53" t="inlineStr">
        <is>
          <t>SheetLayout</t>
        </is>
      </c>
      <c r="B53" t="inlineStr">
        <is>
          <t>Revenue Matrix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Revenue Matrix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Debt schedule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Debt schedule</t>
        </is>
      </c>
      <c r="C56" t="inlineStr">
        <is>
          <t>FreezePanes</t>
        </is>
      </c>
      <c r="D56" t="inlineStr">
        <is>
          <t>D7</t>
        </is>
      </c>
    </row>
    <row r="57">
      <c r="A57" t="inlineStr">
        <is>
          <t>SheetLayout</t>
        </is>
      </c>
      <c r="B57" t="inlineStr">
        <is>
          <t>Debt schedule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Debt schedule</t>
        </is>
      </c>
      <c r="C58" t="inlineStr">
        <is>
          <t>MergedRanges</t>
        </is>
      </c>
      <c r="D58" t="inlineStr">
        <is>
          <t>["A1:C1"]</t>
        </is>
      </c>
    </row>
    <row r="59">
      <c r="A59" t="inlineStr">
        <is>
          <t>SheetLayout</t>
        </is>
      </c>
      <c r="B59" t="inlineStr">
        <is>
          <t>Debt schedule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Debt schedule</t>
        </is>
      </c>
      <c r="C60" t="inlineStr">
        <is>
          <t>ColumnDimensions</t>
        </is>
      </c>
      <c r="D60" t="inlineStr">
        <is>
          <t>[]</t>
        </is>
      </c>
    </row>
    <row r="61">
      <c r="A61" t="inlineStr">
        <is>
          <t>SheetLayout</t>
        </is>
      </c>
      <c r="B61" t="inlineStr">
        <is>
          <t>Incentive</t>
        </is>
      </c>
      <c r="C61" t="inlineStr">
        <is>
          <t>Index</t>
        </is>
      </c>
      <c r="D61" t="inlineStr">
        <is>
          <t>9</t>
        </is>
      </c>
    </row>
    <row r="62">
      <c r="A62" t="inlineStr">
        <is>
          <t>SheetLayout</t>
        </is>
      </c>
      <c r="B62" t="inlineStr">
        <is>
          <t>Incentive</t>
        </is>
      </c>
      <c r="C62" t="inlineStr">
        <is>
          <t>FreezePanes</t>
        </is>
      </c>
      <c r="D62" t="inlineStr">
        <is>
          <t>D7</t>
        </is>
      </c>
    </row>
    <row r="63">
      <c r="A63" t="inlineStr">
        <is>
          <t>SheetLayout</t>
        </is>
      </c>
      <c r="B63" t="inlineStr">
        <is>
          <t>Incentive</t>
        </is>
      </c>
      <c r="C63" t="inlineStr">
        <is>
          <t>TabColor</t>
        </is>
      </c>
      <c r="D63" t="inlineStr"/>
    </row>
    <row r="64">
      <c r="A64" t="inlineStr">
        <is>
          <t>SheetLayout</t>
        </is>
      </c>
      <c r="B64" t="inlineStr">
        <is>
          <t>Incentive</t>
        </is>
      </c>
      <c r="C64" t="inlineStr">
        <is>
          <t>MergedRanges</t>
        </is>
      </c>
      <c r="D64" t="inlineStr">
        <is>
          <t>["A1:C1"]</t>
        </is>
      </c>
    </row>
    <row r="65">
      <c r="A65" t="inlineStr">
        <is>
          <t>SheetLayout</t>
        </is>
      </c>
      <c r="B65" t="inlineStr">
        <is>
          <t>Incentive</t>
        </is>
      </c>
      <c r="C65" t="inlineStr">
        <is>
          <t>RowDimensions</t>
        </is>
      </c>
      <c r="D65" t="inlineStr">
        <is>
          <t>[]</t>
        </is>
      </c>
    </row>
    <row r="66">
      <c r="A66" t="inlineStr">
        <is>
          <t>SheetLayout</t>
        </is>
      </c>
      <c r="B66" t="inlineStr">
        <is>
          <t>Incentive</t>
        </is>
      </c>
      <c r="C66" t="inlineStr">
        <is>
          <t>ColumnDimensions</t>
        </is>
      </c>
      <c r="D66" t="inlineStr">
        <is>
          <t>[]</t>
        </is>
      </c>
    </row>
    <row r="67">
      <c r="A67" t="inlineStr">
        <is>
          <t>SheetLayout</t>
        </is>
      </c>
      <c r="B67" t="inlineStr">
        <is>
          <t>CashFlow Statement</t>
        </is>
      </c>
      <c r="C67" t="inlineStr">
        <is>
          <t>Index</t>
        </is>
      </c>
      <c r="D67" t="inlineStr">
        <is>
          <t>10</t>
        </is>
      </c>
    </row>
    <row r="68">
      <c r="A68" t="inlineStr">
        <is>
          <t>SheetLayout</t>
        </is>
      </c>
      <c r="B68" t="inlineStr">
        <is>
          <t>CashFlow Statement</t>
        </is>
      </c>
      <c r="C68" t="inlineStr">
        <is>
          <t>FreezePanes</t>
        </is>
      </c>
      <c r="D68" t="inlineStr">
        <is>
          <t>D43</t>
        </is>
      </c>
    </row>
    <row r="69">
      <c r="A69" t="inlineStr">
        <is>
          <t>SheetLayout</t>
        </is>
      </c>
      <c r="B69" t="inlineStr">
        <is>
          <t>CashFlow Statement</t>
        </is>
      </c>
      <c r="C69" t="inlineStr">
        <is>
          <t>TabColor</t>
        </is>
      </c>
      <c r="D69" t="inlineStr"/>
    </row>
    <row r="70">
      <c r="A70" t="inlineStr">
        <is>
          <t>SheetLayout</t>
        </is>
      </c>
      <c r="B70" t="inlineStr">
        <is>
          <t>CashFlow Statement</t>
        </is>
      </c>
      <c r="C70" t="inlineStr">
        <is>
          <t>MergedRanges</t>
        </is>
      </c>
      <c r="D70" t="inlineStr">
        <is>
          <t>["A1:C1"]</t>
        </is>
      </c>
    </row>
    <row r="71">
      <c r="A71" t="inlineStr">
        <is>
          <t>SheetLayout</t>
        </is>
      </c>
      <c r="B71" t="inlineStr">
        <is>
          <t>CashFlow Statement</t>
        </is>
      </c>
      <c r="C71" t="inlineStr">
        <is>
          <t>RowDimensions</t>
        </is>
      </c>
      <c r="D71" t="inlineStr">
        <is>
          <t>[]</t>
        </is>
      </c>
    </row>
    <row r="72">
      <c r="A72" t="inlineStr">
        <is>
          <t>SheetLayout</t>
        </is>
      </c>
      <c r="B72" t="inlineStr">
        <is>
          <t>CashFlow Statement</t>
        </is>
      </c>
      <c r="C72" t="inlineStr">
        <is>
          <t>ColumnDimensions</t>
        </is>
      </c>
      <c r="D72" t="inlineStr">
        <is>
          <t>[]</t>
        </is>
      </c>
    </row>
    <row r="73">
      <c r="A73" t="inlineStr">
        <is>
          <t>SheetLayout</t>
        </is>
      </c>
      <c r="B73" t="inlineStr">
        <is>
          <t>ATF fuel</t>
        </is>
      </c>
      <c r="C73" t="inlineStr">
        <is>
          <t>Index</t>
        </is>
      </c>
      <c r="D73" t="inlineStr">
        <is>
          <t>11</t>
        </is>
      </c>
    </row>
    <row r="74">
      <c r="A74" t="inlineStr">
        <is>
          <t>SheetLayout</t>
        </is>
      </c>
      <c r="B74" t="inlineStr">
        <is>
          <t>ATF fuel</t>
        </is>
      </c>
      <c r="C74" t="inlineStr">
        <is>
          <t>FreezePanes</t>
        </is>
      </c>
      <c r="D74" t="inlineStr"/>
    </row>
    <row r="75">
      <c r="A75" t="inlineStr">
        <is>
          <t>SheetLayout</t>
        </is>
      </c>
      <c r="B75" t="inlineStr">
        <is>
          <t>ATF fuel</t>
        </is>
      </c>
      <c r="C75" t="inlineStr">
        <is>
          <t>TabColor</t>
        </is>
      </c>
      <c r="D75" t="inlineStr"/>
    </row>
    <row r="76">
      <c r="A76" t="inlineStr">
        <is>
          <t>SheetLayout</t>
        </is>
      </c>
      <c r="B76" t="inlineStr">
        <is>
          <t>ATF fuel</t>
        </is>
      </c>
      <c r="C76" t="inlineStr">
        <is>
          <t>MergedRanges</t>
        </is>
      </c>
      <c r="D76" t="inlineStr">
        <is>
          <t>[]</t>
        </is>
      </c>
    </row>
    <row r="77">
      <c r="A77" t="inlineStr">
        <is>
          <t>SheetLayout</t>
        </is>
      </c>
      <c r="B77" t="inlineStr">
        <is>
          <t>ATF fuel</t>
        </is>
      </c>
      <c r="C77" t="inlineStr">
        <is>
          <t>RowDimensions</t>
        </is>
      </c>
      <c r="D77" t="inlineStr">
        <is>
          <t>[]</t>
        </is>
      </c>
    </row>
    <row r="78">
      <c r="A78" t="inlineStr">
        <is>
          <t>SheetLayout</t>
        </is>
      </c>
      <c r="B78" t="inlineStr">
        <is>
          <t>ATF fuel</t>
        </is>
      </c>
      <c r="C78" t="inlineStr">
        <is>
          <t>ColumnDimensions</t>
        </is>
      </c>
      <c r="D78" t="inlineStr">
        <is>
          <t>[]</t>
        </is>
      </c>
    </row>
    <row r="79">
      <c r="A79" t="inlineStr">
        <is>
          <t>SheetLayout</t>
        </is>
      </c>
      <c r="B79" t="inlineStr">
        <is>
          <t>Valuation</t>
        </is>
      </c>
      <c r="C79" t="inlineStr">
        <is>
          <t>Index</t>
        </is>
      </c>
      <c r="D79" t="inlineStr">
        <is>
          <t>12</t>
        </is>
      </c>
    </row>
    <row r="80">
      <c r="A80" t="inlineStr">
        <is>
          <t>SheetLayout</t>
        </is>
      </c>
      <c r="B80" t="inlineStr">
        <is>
          <t>Valuation</t>
        </is>
      </c>
      <c r="C80" t="inlineStr">
        <is>
          <t>FreezePanes</t>
        </is>
      </c>
      <c r="D80" t="inlineStr"/>
    </row>
    <row r="81">
      <c r="A81" t="inlineStr">
        <is>
          <t>SheetLayout</t>
        </is>
      </c>
      <c r="B81" t="inlineStr">
        <is>
          <t>Valuation</t>
        </is>
      </c>
      <c r="C81" t="inlineStr">
        <is>
          <t>TabColor</t>
        </is>
      </c>
      <c r="D81" t="inlineStr"/>
    </row>
    <row r="82">
      <c r="A82" t="inlineStr">
        <is>
          <t>SheetLayout</t>
        </is>
      </c>
      <c r="B82" t="inlineStr">
        <is>
          <t>Valuation</t>
        </is>
      </c>
      <c r="C82" t="inlineStr">
        <is>
          <t>MergedRanges</t>
        </is>
      </c>
      <c r="D82" t="inlineStr">
        <is>
          <t>["A1:C1", "P21:P36", "Q21:AB21"]</t>
        </is>
      </c>
    </row>
    <row r="83">
      <c r="A83" t="inlineStr">
        <is>
          <t>SheetLayout</t>
        </is>
      </c>
      <c r="B83" t="inlineStr">
        <is>
          <t>Valuation</t>
        </is>
      </c>
      <c r="C83" t="inlineStr">
        <is>
          <t>RowDimensions</t>
        </is>
      </c>
      <c r="D83" t="inlineStr">
        <is>
          <t>[]</t>
        </is>
      </c>
    </row>
    <row r="84">
      <c r="A84" t="inlineStr">
        <is>
          <t>SheetLayout</t>
        </is>
      </c>
      <c r="B84" t="inlineStr">
        <is>
          <t>Valuation</t>
        </is>
      </c>
      <c r="C84" t="inlineStr">
        <is>
          <t>ColumnDimensions</t>
        </is>
      </c>
      <c r="D84" t="inlineStr">
        <is>
          <t>[]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  <row r="2">
      <c r="A2" t="inlineStr">
        <is>
          <t>G000001</t>
        </is>
      </c>
      <c r="B2" t="inlineStr">
        <is>
          <t>Assumptions Sheet</t>
        </is>
      </c>
      <c r="C2" t="inlineStr">
        <is>
          <t>Horizontal</t>
        </is>
      </c>
      <c r="D2" t="n">
        <v>6</v>
      </c>
      <c r="E2" t="inlineStr">
        <is>
          <t>Assumptions Sheet!K2:P2</t>
        </is>
      </c>
      <c r="F2" t="inlineStr">
        <is>
          <t>'=R[0]C[-1]*(1+R[1]C[0])</t>
        </is>
      </c>
      <c r="G2" t="inlineStr">
        <is>
          <t>Vectorizable</t>
        </is>
      </c>
    </row>
    <row r="3">
      <c r="A3" t="inlineStr">
        <is>
          <t>G000002</t>
        </is>
      </c>
      <c r="B3" t="inlineStr">
        <is>
          <t>Assumptions Sheet</t>
        </is>
      </c>
      <c r="C3" t="inlineStr">
        <is>
          <t>Horizontal</t>
        </is>
      </c>
      <c r="D3" t="n">
        <v>5</v>
      </c>
      <c r="E3" t="inlineStr">
        <is>
          <t>Assumptions Sheet!K15:O15</t>
        </is>
      </c>
      <c r="F3" t="inlineStr">
        <is>
          <t>'=R[0]C[-1]*(1+R[1]C[0])</t>
        </is>
      </c>
      <c r="G3" t="inlineStr">
        <is>
          <t>Vectorizable</t>
        </is>
      </c>
    </row>
    <row r="4">
      <c r="A4" t="inlineStr">
        <is>
          <t>G000003</t>
        </is>
      </c>
      <c r="B4" t="inlineStr">
        <is>
          <t>Assumptions Sheet</t>
        </is>
      </c>
      <c r="C4" t="inlineStr">
        <is>
          <t>Horizontal</t>
        </is>
      </c>
      <c r="D4" t="n">
        <v>7</v>
      </c>
      <c r="E4" t="inlineStr">
        <is>
          <t>Assumptions Sheet!D3:J3</t>
        </is>
      </c>
      <c r="F4" t="inlineStr">
        <is>
          <t>'=(R[-1]C[0]/R[-1]C[-1])-1</t>
        </is>
      </c>
      <c r="G4" t="inlineStr">
        <is>
          <t>Vectorizable</t>
        </is>
      </c>
    </row>
    <row r="5">
      <c r="A5" t="inlineStr">
        <is>
          <t>G000004</t>
        </is>
      </c>
      <c r="B5" t="inlineStr">
        <is>
          <t>Assumptions Sheet</t>
        </is>
      </c>
      <c r="C5" t="inlineStr">
        <is>
          <t>Horizontal</t>
        </is>
      </c>
      <c r="D5" t="n">
        <v>6</v>
      </c>
      <c r="E5" t="inlineStr">
        <is>
          <t>Assumptions Sheet!K4:P4</t>
        </is>
      </c>
      <c r="F5" t="inlineStr">
        <is>
          <t>'=R[-2]C[0]*R[1]C[0]</t>
        </is>
      </c>
      <c r="G5" t="inlineStr">
        <is>
          <t>Vectorizable</t>
        </is>
      </c>
    </row>
    <row r="6">
      <c r="A6" t="inlineStr">
        <is>
          <t>G000005</t>
        </is>
      </c>
      <c r="B6" t="inlineStr">
        <is>
          <t>Assumptions Sheet</t>
        </is>
      </c>
      <c r="C6" t="inlineStr">
        <is>
          <t>Horizontal</t>
        </is>
      </c>
      <c r="D6" t="n">
        <v>5</v>
      </c>
      <c r="E6" t="inlineStr">
        <is>
          <t>Assumptions Sheet!L5:P5</t>
        </is>
      </c>
      <c r="F6" t="inlineStr">
        <is>
          <t>'=R[0]C[-1]</t>
        </is>
      </c>
      <c r="G6" t="inlineStr">
        <is>
          <t>Vectorizable</t>
        </is>
      </c>
    </row>
    <row r="7">
      <c r="A7" t="inlineStr">
        <is>
          <t>G000006</t>
        </is>
      </c>
      <c r="B7" t="inlineStr">
        <is>
          <t>Assumptions Sheet</t>
        </is>
      </c>
      <c r="C7" t="inlineStr">
        <is>
          <t>Horizontal</t>
        </is>
      </c>
      <c r="D7" t="n">
        <v>5</v>
      </c>
      <c r="E7" t="inlineStr">
        <is>
          <t>Assumptions Sheet!L7:P7</t>
        </is>
      </c>
      <c r="F7" t="inlineStr">
        <is>
          <t>'=R[0]C[-1]</t>
        </is>
      </c>
      <c r="G7" t="inlineStr">
        <is>
          <t>Vectorizable</t>
        </is>
      </c>
    </row>
    <row r="8">
      <c r="A8" t="inlineStr">
        <is>
          <t>G000007</t>
        </is>
      </c>
      <c r="B8" t="inlineStr">
        <is>
          <t>Assumptions Sheet</t>
        </is>
      </c>
      <c r="C8" t="inlineStr">
        <is>
          <t>Horizontal</t>
        </is>
      </c>
      <c r="D8" t="n">
        <v>5</v>
      </c>
      <c r="E8" t="inlineStr">
        <is>
          <t>Assumptions Sheet!L20:P20</t>
        </is>
      </c>
      <c r="F8" t="inlineStr">
        <is>
          <t>'=R[0]C[-1]</t>
        </is>
      </c>
      <c r="G8" t="inlineStr">
        <is>
          <t>Vectorizable</t>
        </is>
      </c>
    </row>
    <row r="9">
      <c r="A9" t="inlineStr">
        <is>
          <t>G000008</t>
        </is>
      </c>
      <c r="B9" t="inlineStr">
        <is>
          <t>Assumptions Sheet</t>
        </is>
      </c>
      <c r="C9" t="inlineStr">
        <is>
          <t>Horizontal</t>
        </is>
      </c>
      <c r="D9" t="n">
        <v>5</v>
      </c>
      <c r="E9" t="inlineStr">
        <is>
          <t>Assumptions Sheet!L31:P31</t>
        </is>
      </c>
      <c r="F9" t="inlineStr">
        <is>
          <t>'=R[0]C[-1]</t>
        </is>
      </c>
      <c r="G9" t="inlineStr">
        <is>
          <t>Vectorizable</t>
        </is>
      </c>
    </row>
    <row r="10">
      <c r="A10" t="inlineStr">
        <is>
          <t>G000009</t>
        </is>
      </c>
      <c r="B10" t="inlineStr">
        <is>
          <t>Assumptions Sheet</t>
        </is>
      </c>
      <c r="C10" t="inlineStr">
        <is>
          <t>Horizontal</t>
        </is>
      </c>
      <c r="D10" t="n">
        <v>4</v>
      </c>
      <c r="E10" t="inlineStr">
        <is>
          <t>Assumptions Sheet!W59:Z59</t>
        </is>
      </c>
      <c r="F10" t="inlineStr">
        <is>
          <t>'=R[0]C[-1]</t>
        </is>
      </c>
      <c r="G10" t="inlineStr">
        <is>
          <t>Vectorizable</t>
        </is>
      </c>
    </row>
    <row r="11">
      <c r="A11" t="inlineStr">
        <is>
          <t>G000010</t>
        </is>
      </c>
      <c r="B11" t="inlineStr">
        <is>
          <t>Assumptions Sheet</t>
        </is>
      </c>
      <c r="C11" t="inlineStr">
        <is>
          <t>Horizontal</t>
        </is>
      </c>
      <c r="D11" t="n">
        <v>4</v>
      </c>
      <c r="E11" t="inlineStr">
        <is>
          <t>Assumptions Sheet!W60:Z60</t>
        </is>
      </c>
      <c r="F11" t="inlineStr">
        <is>
          <t>'=R[0]C[-1]</t>
        </is>
      </c>
      <c r="G11" t="inlineStr">
        <is>
          <t>Vectorizable</t>
        </is>
      </c>
    </row>
    <row r="12">
      <c r="A12" t="inlineStr">
        <is>
          <t>G000011</t>
        </is>
      </c>
      <c r="B12" t="inlineStr">
        <is>
          <t>Assumptions Sheet</t>
        </is>
      </c>
      <c r="C12" t="inlineStr">
        <is>
          <t>Horizontal</t>
        </is>
      </c>
      <c r="D12" t="n">
        <v>6</v>
      </c>
      <c r="E12" t="inlineStr">
        <is>
          <t>Assumptions Sheet!K6:P6</t>
        </is>
      </c>
      <c r="F12" t="inlineStr">
        <is>
          <t>'=R[18]C[0]/R[-4]C[0]</t>
        </is>
      </c>
      <c r="G12" t="inlineStr">
        <is>
          <t>Vectorizable</t>
        </is>
      </c>
    </row>
    <row r="13">
      <c r="A13" t="inlineStr">
        <is>
          <t>G000012</t>
        </is>
      </c>
      <c r="B13" t="inlineStr">
        <is>
          <t>Assumptions Sheet</t>
        </is>
      </c>
      <c r="C13" t="inlineStr">
        <is>
          <t>Horizontal</t>
        </is>
      </c>
      <c r="D13" t="n">
        <v>8</v>
      </c>
      <c r="E13" t="inlineStr">
        <is>
          <t>Assumptions Sheet!C7:J7</t>
        </is>
      </c>
      <c r="F13" t="inlineStr">
        <is>
          <t>'=R[17]C[0]/R[-3]C[0]</t>
        </is>
      </c>
      <c r="G13" t="inlineStr">
        <is>
          <t>Vectorizable</t>
        </is>
      </c>
    </row>
    <row r="14">
      <c r="A14" t="inlineStr">
        <is>
          <t>G000013</t>
        </is>
      </c>
      <c r="B14" t="inlineStr">
        <is>
          <t>Assumptions Sheet</t>
        </is>
      </c>
      <c r="C14" t="inlineStr">
        <is>
          <t>Horizontal</t>
        </is>
      </c>
      <c r="D14" t="n">
        <v>5</v>
      </c>
      <c r="E14" t="inlineStr">
        <is>
          <t>Assumptions Sheet!K8:O8</t>
        </is>
      </c>
      <c r="F14" t="inlineStr">
        <is>
          <t>'='Cost Matrix'!R[-1]C[0]</t>
        </is>
      </c>
      <c r="G14" t="inlineStr">
        <is>
          <t>Vectorizable</t>
        </is>
      </c>
    </row>
    <row r="15">
      <c r="A15" t="inlineStr">
        <is>
          <t>G000014</t>
        </is>
      </c>
      <c r="B15" t="inlineStr">
        <is>
          <t>Assumptions Sheet</t>
        </is>
      </c>
      <c r="C15" t="inlineStr">
        <is>
          <t>Horizontal</t>
        </is>
      </c>
      <c r="D15" t="n">
        <v>7</v>
      </c>
      <c r="E15" t="inlineStr">
        <is>
          <t>Assumptions Sheet!D9:J9</t>
        </is>
      </c>
      <c r="F15" t="inlineStr">
        <is>
          <t>'=R[-1]C[0]/AVERAGE(R[8]C[-1]:R[8]C[0])</t>
        </is>
      </c>
      <c r="G15" t="inlineStr">
        <is>
          <t>Vectorizable</t>
        </is>
      </c>
    </row>
    <row r="16">
      <c r="A16" t="inlineStr">
        <is>
          <t>G000015</t>
        </is>
      </c>
      <c r="B16" t="inlineStr">
        <is>
          <t>Assumptions Sheet</t>
        </is>
      </c>
      <c r="C16" t="inlineStr">
        <is>
          <t>Horizontal</t>
        </is>
      </c>
      <c r="D16" t="n">
        <v>5</v>
      </c>
      <c r="E16" t="inlineStr">
        <is>
          <t>Assumptions Sheet!K9:O9</t>
        </is>
      </c>
      <c r="F16" t="inlineStr">
        <is>
          <t>'='Cost Matrix'!R[0]C[0]</t>
        </is>
      </c>
      <c r="G16" t="inlineStr">
        <is>
          <t>Vectorizable</t>
        </is>
      </c>
    </row>
    <row r="17">
      <c r="A17" t="inlineStr">
        <is>
          <t>G000016</t>
        </is>
      </c>
      <c r="B17" t="inlineStr">
        <is>
          <t>Assumptions Sheet</t>
        </is>
      </c>
      <c r="C17" t="inlineStr">
        <is>
          <t>Horizontal</t>
        </is>
      </c>
      <c r="D17" t="n">
        <v>7</v>
      </c>
      <c r="E17" t="inlineStr">
        <is>
          <t>Assumptions Sheet!D10:J10</t>
        </is>
      </c>
      <c r="F17" t="inlineStr">
        <is>
          <t>'=R[-1]C[0]/R[-1]C[-1]-1</t>
        </is>
      </c>
      <c r="G17" t="inlineStr">
        <is>
          <t>Vectorizable</t>
        </is>
      </c>
    </row>
    <row r="18">
      <c r="A18" t="inlineStr">
        <is>
          <t>G000017</t>
        </is>
      </c>
      <c r="B18" t="inlineStr">
        <is>
          <t>Assumptions Sheet</t>
        </is>
      </c>
      <c r="C18" t="inlineStr">
        <is>
          <t>Horizontal</t>
        </is>
      </c>
      <c r="D18" t="n">
        <v>7</v>
      </c>
      <c r="E18" t="inlineStr">
        <is>
          <t>Assumptions Sheet!D16:J16</t>
        </is>
      </c>
      <c r="F18" t="inlineStr">
        <is>
          <t>'=R[-1]C[0]/R[-1]C[-1]-1</t>
        </is>
      </c>
      <c r="G18" t="inlineStr">
        <is>
          <t>Vectorizable</t>
        </is>
      </c>
    </row>
    <row r="19">
      <c r="A19" t="inlineStr">
        <is>
          <t>G000018</t>
        </is>
      </c>
      <c r="B19" t="inlineStr">
        <is>
          <t>Assumptions Sheet</t>
        </is>
      </c>
      <c r="C19" t="inlineStr">
        <is>
          <t>Horizontal</t>
        </is>
      </c>
      <c r="D19" t="n">
        <v>12</v>
      </c>
      <c r="E19" t="inlineStr">
        <is>
          <t>Assumptions Sheet!D11:O11</t>
        </is>
      </c>
      <c r="F19" t="inlineStr">
        <is>
          <t>'='Income statement'!R[-2]C[0]/R[-9]C[-1]</t>
        </is>
      </c>
      <c r="G19" t="inlineStr">
        <is>
          <t>Vectorizable</t>
        </is>
      </c>
    </row>
    <row r="20">
      <c r="A20" t="inlineStr">
        <is>
          <t>G000019</t>
        </is>
      </c>
      <c r="B20" t="inlineStr">
        <is>
          <t>Assumptions Sheet</t>
        </is>
      </c>
      <c r="C20" t="inlineStr">
        <is>
          <t>Horizontal</t>
        </is>
      </c>
      <c r="D20" t="n">
        <v>5</v>
      </c>
      <c r="E20" t="inlineStr">
        <is>
          <t>Assumptions Sheet!K12:O12</t>
        </is>
      </c>
      <c r="F20" t="inlineStr">
        <is>
          <t>'=SUM('Income statement'!R[2]C[0],'Income statement'!R[4]C[0],'Income statement'!R[8]C[0])/R[-10]C[0]</t>
        </is>
      </c>
      <c r="G20" t="inlineStr">
        <is>
          <t>Vectorizable</t>
        </is>
      </c>
    </row>
    <row r="21">
      <c r="A21" t="inlineStr">
        <is>
          <t>G000020</t>
        </is>
      </c>
      <c r="B21" t="inlineStr">
        <is>
          <t>Assumptions Sheet</t>
        </is>
      </c>
      <c r="C21" t="inlineStr">
        <is>
          <t>Horizontal</t>
        </is>
      </c>
      <c r="D21" t="n">
        <v>12</v>
      </c>
      <c r="E21" t="inlineStr">
        <is>
          <t>Assumptions Sheet!D13:O13</t>
        </is>
      </c>
      <c r="F21" t="inlineStr">
        <is>
          <t>'=R[-2]C[0]-R[-1]C[0]</t>
        </is>
      </c>
      <c r="G21" t="inlineStr">
        <is>
          <t>Vectorizable</t>
        </is>
      </c>
    </row>
    <row r="22">
      <c r="A22" t="inlineStr">
        <is>
          <t>G000021</t>
        </is>
      </c>
      <c r="B22" t="inlineStr">
        <is>
          <t>Assumptions Sheet</t>
        </is>
      </c>
      <c r="C22" t="inlineStr">
        <is>
          <t>Horizontal</t>
        </is>
      </c>
      <c r="D22" t="n">
        <v>4</v>
      </c>
      <c r="E22" t="inlineStr">
        <is>
          <t>Assumptions Sheet!D14:G14</t>
        </is>
      </c>
      <c r="F22" t="inlineStr">
        <is>
          <t>'=SUM('Income statement'!R[0]C[0],'Income statement'!R[6]C[0])/R[-12]C[0]</t>
        </is>
      </c>
      <c r="G22" t="inlineStr">
        <is>
          <t>Vectorizable</t>
        </is>
      </c>
    </row>
    <row r="23">
      <c r="A23" t="inlineStr">
        <is>
          <t>G000022</t>
        </is>
      </c>
      <c r="B23" t="inlineStr">
        <is>
          <t>Assumptions Sheet</t>
        </is>
      </c>
      <c r="C23" t="inlineStr">
        <is>
          <t>Horizontal</t>
        </is>
      </c>
      <c r="D23" t="n">
        <v>5</v>
      </c>
      <c r="E23" t="inlineStr">
        <is>
          <t>Assumptions Sheet!K14:O14</t>
        </is>
      </c>
      <c r="F23" t="inlineStr">
        <is>
          <t>'=SUM('Income statement'!R[0]C[0],'Income statement'!R[6]C[0])/R[-12]C[0]</t>
        </is>
      </c>
      <c r="G23" t="inlineStr">
        <is>
          <t>Vectorizable</t>
        </is>
      </c>
    </row>
    <row r="24">
      <c r="A24" t="inlineStr">
        <is>
          <t>G000023</t>
        </is>
      </c>
      <c r="B24" t="inlineStr">
        <is>
          <t>Assumptions Sheet</t>
        </is>
      </c>
      <c r="C24" t="inlineStr">
        <is>
          <t>Horizontal</t>
        </is>
      </c>
      <c r="D24" t="n">
        <v>5</v>
      </c>
      <c r="E24" t="inlineStr">
        <is>
          <t>Assumptions Sheet!L17:P17</t>
        </is>
      </c>
      <c r="F24" t="inlineStr">
        <is>
          <t>'=R[-15]C[0]/R[3]C[0]</t>
        </is>
      </c>
      <c r="G24" t="inlineStr">
        <is>
          <t>Vectorizable</t>
        </is>
      </c>
    </row>
    <row r="25">
      <c r="A25" t="inlineStr">
        <is>
          <t>G000024</t>
        </is>
      </c>
      <c r="B25" t="inlineStr">
        <is>
          <t>Assumptions Sheet</t>
        </is>
      </c>
      <c r="C25" t="inlineStr">
        <is>
          <t>Horizontal</t>
        </is>
      </c>
      <c r="D25" t="n">
        <v>13</v>
      </c>
      <c r="E25" t="inlineStr">
        <is>
          <t>Assumptions Sheet!D18:P18</t>
        </is>
      </c>
      <c r="F25" t="inlineStr">
        <is>
          <t>'=R[-1]C[0]-R[-1]C[-1]</t>
        </is>
      </c>
      <c r="G25" t="inlineStr">
        <is>
          <t>Vectorizable</t>
        </is>
      </c>
    </row>
    <row r="26">
      <c r="A26" t="inlineStr">
        <is>
          <t>G000025</t>
        </is>
      </c>
      <c r="B26" t="inlineStr">
        <is>
          <t>Assumptions Sheet</t>
        </is>
      </c>
      <c r="C26" t="inlineStr">
        <is>
          <t>Horizontal</t>
        </is>
      </c>
      <c r="D26" t="n">
        <v>13</v>
      </c>
      <c r="E26" t="inlineStr">
        <is>
          <t>Assumptions Sheet!D19:P19</t>
        </is>
      </c>
      <c r="F26" t="inlineStr">
        <is>
          <t>'=R[-1]C[0]/R[-2]C[-1]</t>
        </is>
      </c>
      <c r="G26" t="inlineStr">
        <is>
          <t>Vectorizable</t>
        </is>
      </c>
    </row>
    <row r="27">
      <c r="A27" t="inlineStr">
        <is>
          <t>G000026</t>
        </is>
      </c>
      <c r="B27" t="inlineStr">
        <is>
          <t>Assumptions Sheet</t>
        </is>
      </c>
      <c r="C27" t="inlineStr">
        <is>
          <t>Horizontal</t>
        </is>
      </c>
      <c r="D27" t="n">
        <v>2</v>
      </c>
      <c r="E27" t="inlineStr">
        <is>
          <t>Assumptions Sheet!C20:D20</t>
        </is>
      </c>
      <c r="F27" t="inlineStr">
        <is>
          <t>'=R[-18]C[0]/R[-3]C[0]</t>
        </is>
      </c>
      <c r="G27" t="inlineStr">
        <is>
          <t>Vectorizable</t>
        </is>
      </c>
    </row>
    <row r="28">
      <c r="A28" t="inlineStr">
        <is>
          <t>G000027</t>
        </is>
      </c>
      <c r="B28" t="inlineStr">
        <is>
          <t>Assumptions Sheet</t>
        </is>
      </c>
      <c r="C28" t="inlineStr">
        <is>
          <t>Horizontal</t>
        </is>
      </c>
      <c r="D28" t="n">
        <v>6</v>
      </c>
      <c r="E28" t="inlineStr">
        <is>
          <t>Assumptions Sheet!E20:J20</t>
        </is>
      </c>
      <c r="F28" t="inlineStr">
        <is>
          <t>'='Revenue Matrix'!R[-5]C[0]</t>
        </is>
      </c>
      <c r="G28" t="inlineStr">
        <is>
          <t>Vectorizable</t>
        </is>
      </c>
    </row>
    <row r="29">
      <c r="A29" t="inlineStr">
        <is>
          <t>G000028</t>
        </is>
      </c>
      <c r="B29" t="inlineStr">
        <is>
          <t>Assumptions Sheet</t>
        </is>
      </c>
      <c r="C29" t="inlineStr">
        <is>
          <t>Horizontal</t>
        </is>
      </c>
      <c r="D29" t="n">
        <v>6</v>
      </c>
      <c r="E29" t="inlineStr">
        <is>
          <t>Assumptions Sheet!K24:P24</t>
        </is>
      </c>
      <c r="F29" t="inlineStr">
        <is>
          <t>'=R[-17]C[0]*R[-20]C[0]</t>
        </is>
      </c>
      <c r="G29" t="inlineStr">
        <is>
          <t>Vectorizable</t>
        </is>
      </c>
    </row>
    <row r="30">
      <c r="A30" t="inlineStr">
        <is>
          <t>G000029</t>
        </is>
      </c>
      <c r="B30" t="inlineStr">
        <is>
          <t>Assumptions Sheet</t>
        </is>
      </c>
      <c r="C30" t="inlineStr">
        <is>
          <t>Horizontal</t>
        </is>
      </c>
      <c r="D30" t="n">
        <v>7</v>
      </c>
      <c r="E30" t="inlineStr">
        <is>
          <t>Assumptions Sheet!C26:I26</t>
        </is>
      </c>
      <c r="F30" t="inlineStr">
        <is>
          <t>'=R[14]C[0]</t>
        </is>
      </c>
      <c r="G30" t="inlineStr">
        <is>
          <t>Vectorizable</t>
        </is>
      </c>
    </row>
    <row r="31">
      <c r="A31" t="inlineStr">
        <is>
          <t>G000030</t>
        </is>
      </c>
      <c r="B31" t="inlineStr">
        <is>
          <t>Assumptions Sheet</t>
        </is>
      </c>
      <c r="C31" t="inlineStr">
        <is>
          <t>Horizontal</t>
        </is>
      </c>
      <c r="D31" t="n">
        <v>6</v>
      </c>
      <c r="E31" t="inlineStr">
        <is>
          <t>Assumptions Sheet!K26:P26</t>
        </is>
      </c>
      <c r="F31" t="inlineStr">
        <is>
          <t>'=R[1]C[0]*R[-2]C[0]</t>
        </is>
      </c>
      <c r="G31" t="inlineStr">
        <is>
          <t>Vectorizable</t>
        </is>
      </c>
    </row>
    <row r="32">
      <c r="A32" t="inlineStr">
        <is>
          <t>G000031</t>
        </is>
      </c>
      <c r="B32" t="inlineStr">
        <is>
          <t>Assumptions Sheet</t>
        </is>
      </c>
      <c r="C32" t="inlineStr">
        <is>
          <t>Horizontal</t>
        </is>
      </c>
      <c r="D32" t="n">
        <v>8</v>
      </c>
      <c r="E32" t="inlineStr">
        <is>
          <t>Assumptions Sheet!C27:J27</t>
        </is>
      </c>
      <c r="F32" t="inlineStr">
        <is>
          <t>'=R[-1]C[0]/R24C[0]</t>
        </is>
      </c>
      <c r="G32" t="inlineStr">
        <is>
          <t>Vectorizable</t>
        </is>
      </c>
    </row>
    <row r="33">
      <c r="A33" t="inlineStr">
        <is>
          <t>G000032</t>
        </is>
      </c>
      <c r="B33" t="inlineStr">
        <is>
          <t>Assumptions Sheet</t>
        </is>
      </c>
      <c r="C33" t="inlineStr">
        <is>
          <t>Horizontal</t>
        </is>
      </c>
      <c r="D33" t="n">
        <v>8</v>
      </c>
      <c r="E33" t="inlineStr">
        <is>
          <t>Assumptions Sheet!C29:J29</t>
        </is>
      </c>
      <c r="F33" t="inlineStr">
        <is>
          <t>'=R[-1]C[0]/R24C[0]</t>
        </is>
      </c>
      <c r="G33" t="inlineStr">
        <is>
          <t>Vectorizable</t>
        </is>
      </c>
    </row>
    <row r="34">
      <c r="A34" t="inlineStr">
        <is>
          <t>G000033</t>
        </is>
      </c>
      <c r="B34" t="inlineStr">
        <is>
          <t>Assumptions Sheet</t>
        </is>
      </c>
      <c r="C34" t="inlineStr">
        <is>
          <t>Horizontal</t>
        </is>
      </c>
      <c r="D34" t="n">
        <v>8</v>
      </c>
      <c r="E34" t="inlineStr">
        <is>
          <t>Assumptions Sheet!C31:J31</t>
        </is>
      </c>
      <c r="F34" t="inlineStr">
        <is>
          <t>'=R[-1]C[0]/R24C[0]</t>
        </is>
      </c>
      <c r="G34" t="inlineStr">
        <is>
          <t>Vectorizable</t>
        </is>
      </c>
    </row>
    <row r="35">
      <c r="A35" t="inlineStr">
        <is>
          <t>G000034</t>
        </is>
      </c>
      <c r="B35" t="inlineStr">
        <is>
          <t>Assumptions Sheet</t>
        </is>
      </c>
      <c r="C35" t="inlineStr">
        <is>
          <t>Horizontal</t>
        </is>
      </c>
      <c r="D35" t="n">
        <v>6</v>
      </c>
      <c r="E35" t="inlineStr">
        <is>
          <t>Assumptions Sheet!K28:P28</t>
        </is>
      </c>
      <c r="F35" t="inlineStr">
        <is>
          <t>'=R[1]C[0]*R[-4]C[0]</t>
        </is>
      </c>
      <c r="G35" t="inlineStr">
        <is>
          <t>Vectorizable</t>
        </is>
      </c>
    </row>
    <row r="36">
      <c r="A36" t="inlineStr">
        <is>
          <t>G000035</t>
        </is>
      </c>
      <c r="B36" t="inlineStr">
        <is>
          <t>Assumptions Sheet</t>
        </is>
      </c>
      <c r="C36" t="inlineStr">
        <is>
          <t>Horizontal</t>
        </is>
      </c>
      <c r="D36" t="n">
        <v>6</v>
      </c>
      <c r="E36" t="inlineStr">
        <is>
          <t>Assumptions Sheet!K29:P29</t>
        </is>
      </c>
      <c r="F36" t="inlineStr">
        <is>
          <t>'=R[0]C[-1]+0.06%</t>
        </is>
      </c>
      <c r="G36" t="inlineStr">
        <is>
          <t>Vectorizable</t>
        </is>
      </c>
    </row>
    <row r="37">
      <c r="A37" t="inlineStr">
        <is>
          <t>G000036</t>
        </is>
      </c>
      <c r="B37" t="inlineStr">
        <is>
          <t>Assumptions Sheet</t>
        </is>
      </c>
      <c r="C37" t="inlineStr">
        <is>
          <t>Horizontal</t>
        </is>
      </c>
      <c r="D37" t="n">
        <v>6</v>
      </c>
      <c r="E37" t="inlineStr">
        <is>
          <t>Assumptions Sheet!K30:P30</t>
        </is>
      </c>
      <c r="F37" t="inlineStr">
        <is>
          <t>'=R[-6]C[0]*R[1]C[0]</t>
        </is>
      </c>
      <c r="G37" t="inlineStr">
        <is>
          <t>Vectorizable</t>
        </is>
      </c>
    </row>
    <row r="38">
      <c r="A38" t="inlineStr">
        <is>
          <t>G000037</t>
        </is>
      </c>
      <c r="B38" t="inlineStr">
        <is>
          <t>Assumptions Sheet</t>
        </is>
      </c>
      <c r="C38" t="inlineStr">
        <is>
          <t>Horizontal</t>
        </is>
      </c>
      <c r="D38" t="n">
        <v>13</v>
      </c>
      <c r="E38" t="inlineStr">
        <is>
          <t>Assumptions Sheet!D32:P32</t>
        </is>
      </c>
      <c r="F38" t="inlineStr">
        <is>
          <t>'=SUM(R[-8]C[0]:R[-2]C[0])</t>
        </is>
      </c>
      <c r="G38" t="inlineStr">
        <is>
          <t>Vectorizable</t>
        </is>
      </c>
    </row>
    <row r="39">
      <c r="A39" t="inlineStr">
        <is>
          <t>G000038</t>
        </is>
      </c>
      <c r="B39" t="inlineStr">
        <is>
          <t>Assumptions Sheet</t>
        </is>
      </c>
      <c r="C39" t="inlineStr">
        <is>
          <t>Horizontal</t>
        </is>
      </c>
      <c r="D39" t="n">
        <v>8</v>
      </c>
      <c r="E39" t="inlineStr">
        <is>
          <t>Assumptions Sheet!C40:J40</t>
        </is>
      </c>
      <c r="F39" t="inlineStr">
        <is>
          <t>'=SUM(R[-6]C[0]:R[-1]C[0])</t>
        </is>
      </c>
      <c r="G39" t="inlineStr">
        <is>
          <t>Vectorizable</t>
        </is>
      </c>
    </row>
    <row r="40">
      <c r="A40" t="inlineStr">
        <is>
          <t>G000039</t>
        </is>
      </c>
      <c r="B40" t="inlineStr">
        <is>
          <t>Assumptions Sheet</t>
        </is>
      </c>
      <c r="C40" t="inlineStr">
        <is>
          <t>Horizontal</t>
        </is>
      </c>
      <c r="D40" t="n">
        <v>8</v>
      </c>
      <c r="E40" t="inlineStr">
        <is>
          <t>Assumptions Sheet!C48:J48</t>
        </is>
      </c>
      <c r="F40" t="inlineStr">
        <is>
          <t>'=R[4]C[0]/R[-16]C[0]</t>
        </is>
      </c>
      <c r="G40" t="inlineStr">
        <is>
          <t>Vectorizable</t>
        </is>
      </c>
    </row>
    <row r="41">
      <c r="A41" t="inlineStr">
        <is>
          <t>G000040</t>
        </is>
      </c>
      <c r="B41" t="inlineStr">
        <is>
          <t>Assumptions Sheet</t>
        </is>
      </c>
      <c r="C41" t="inlineStr">
        <is>
          <t>Horizontal</t>
        </is>
      </c>
      <c r="D41" t="n">
        <v>7</v>
      </c>
      <c r="E41" t="inlineStr">
        <is>
          <t>Assumptions Sheet!D49:J49</t>
        </is>
      </c>
      <c r="F41" t="inlineStr">
        <is>
          <t>'=R[0]C[-1]+1</t>
        </is>
      </c>
      <c r="G41" t="inlineStr">
        <is>
          <t>Vectorizable</t>
        </is>
      </c>
    </row>
    <row r="42">
      <c r="A42" t="inlineStr">
        <is>
          <t>G000041</t>
        </is>
      </c>
      <c r="B42" t="inlineStr">
        <is>
          <t>Assumptions Sheet</t>
        </is>
      </c>
      <c r="C42" t="inlineStr">
        <is>
          <t>Horizontal</t>
        </is>
      </c>
      <c r="D42" t="n">
        <v>3</v>
      </c>
      <c r="E42" t="inlineStr">
        <is>
          <t>Assumptions Sheet!H50:J50</t>
        </is>
      </c>
      <c r="F42" t="inlineStr">
        <is>
          <t>'=R[2]C[0]-R[1]C[0]</t>
        </is>
      </c>
      <c r="G42" t="inlineStr">
        <is>
          <t>Vectorizable</t>
        </is>
      </c>
    </row>
    <row r="43">
      <c r="A43" t="inlineStr">
        <is>
          <t>G000042</t>
        </is>
      </c>
      <c r="B43" t="inlineStr">
        <is>
          <t>Assumptions Sheet</t>
        </is>
      </c>
      <c r="C43" t="inlineStr">
        <is>
          <t>Horizontal</t>
        </is>
      </c>
      <c r="D43" t="n">
        <v>8</v>
      </c>
      <c r="E43" t="inlineStr">
        <is>
          <t>Assumptions Sheet!C55:J55</t>
        </is>
      </c>
      <c r="F43" t="inlineStr">
        <is>
          <t>'=SUM(R[-2]C[0]:R[-1]C[0])/R[1]C[0]</t>
        </is>
      </c>
      <c r="G43" t="inlineStr">
        <is>
          <t>Vectorizable</t>
        </is>
      </c>
    </row>
    <row r="44">
      <c r="A44" t="inlineStr">
        <is>
          <t>G000043</t>
        </is>
      </c>
      <c r="B44" t="inlineStr">
        <is>
          <t>Assumptions Sheet</t>
        </is>
      </c>
      <c r="C44" t="inlineStr">
        <is>
          <t>Horizontal</t>
        </is>
      </c>
      <c r="D44" t="n">
        <v>8</v>
      </c>
      <c r="E44" t="inlineStr">
        <is>
          <t>Assumptions Sheet!C56:J56</t>
        </is>
      </c>
      <c r="F44" t="inlineStr">
        <is>
          <t>'=SUM(R[-6]C[0],R[-3]C[0],R[-2]C[0])</t>
        </is>
      </c>
      <c r="G44" t="inlineStr">
        <is>
          <t>Vectorizable</t>
        </is>
      </c>
    </row>
    <row r="45">
      <c r="A45" t="inlineStr">
        <is>
          <t>G000044</t>
        </is>
      </c>
      <c r="B45" t="inlineStr">
        <is>
          <t>Assumptions Sheet</t>
        </is>
      </c>
      <c r="C45" t="inlineStr">
        <is>
          <t>Horizontal</t>
        </is>
      </c>
      <c r="D45" t="n">
        <v>8</v>
      </c>
      <c r="E45" t="inlineStr">
        <is>
          <t>Assumptions Sheet!C57:J57</t>
        </is>
      </c>
      <c r="F45" t="inlineStr">
        <is>
          <t>'=SUM(R[-5]C[0]:R[-3]C[0])</t>
        </is>
      </c>
      <c r="G45" t="inlineStr">
        <is>
          <t>Vectorizable</t>
        </is>
      </c>
    </row>
    <row r="46">
      <c r="A46" t="inlineStr">
        <is>
          <t>G000045</t>
        </is>
      </c>
      <c r="B46" t="inlineStr">
        <is>
          <t>Assumptions Sheet</t>
        </is>
      </c>
      <c r="C46" t="inlineStr">
        <is>
          <t>Horizontal</t>
        </is>
      </c>
      <c r="D46" t="n">
        <v>8</v>
      </c>
      <c r="E46" t="inlineStr">
        <is>
          <t>Assumptions Sheet!C58:J58</t>
        </is>
      </c>
      <c r="F46" t="inlineStr">
        <is>
          <t>'=R[-41]C[0]</t>
        </is>
      </c>
      <c r="G46" t="inlineStr">
        <is>
          <t>Vectorizable</t>
        </is>
      </c>
    </row>
    <row r="47">
      <c r="A47" t="inlineStr">
        <is>
          <t>G000046</t>
        </is>
      </c>
      <c r="B47" t="inlineStr">
        <is>
          <t>Assumptions Sheet</t>
        </is>
      </c>
      <c r="C47" t="inlineStr">
        <is>
          <t>Horizontal</t>
        </is>
      </c>
      <c r="D47" t="n">
        <v>8</v>
      </c>
      <c r="E47" t="inlineStr">
        <is>
          <t>Assumptions Sheet!C59:J59</t>
        </is>
      </c>
      <c r="F47" t="inlineStr">
        <is>
          <t>'=R[-3]C[0]/R[-1]C[0]</t>
        </is>
      </c>
      <c r="G47" t="inlineStr">
        <is>
          <t>Vectorizable</t>
        </is>
      </c>
    </row>
    <row r="48">
      <c r="A48" t="inlineStr">
        <is>
          <t>G000047</t>
        </is>
      </c>
      <c r="B48" t="inlineStr">
        <is>
          <t>Assumptions Sheet</t>
        </is>
      </c>
      <c r="C48" t="inlineStr">
        <is>
          <t>Block</t>
        </is>
      </c>
      <c r="D48" t="n">
        <v>2</v>
      </c>
      <c r="E48" t="inlineStr">
        <is>
          <t>Assumptions Sheet!F62:F65</t>
        </is>
      </c>
      <c r="F48" t="inlineStr">
        <is>
          <t>'=R[0]C[-3]</t>
        </is>
      </c>
      <c r="G48" t="inlineStr">
        <is>
          <t>Vectorizable</t>
        </is>
      </c>
    </row>
    <row r="49">
      <c r="A49" t="inlineStr">
        <is>
          <t>G000048</t>
        </is>
      </c>
      <c r="B49" t="inlineStr">
        <is>
          <t>Assumptions Sheet</t>
        </is>
      </c>
      <c r="C49" t="inlineStr">
        <is>
          <t>Horizontal</t>
        </is>
      </c>
      <c r="D49" t="n">
        <v>4</v>
      </c>
      <c r="E49" t="inlineStr">
        <is>
          <t>Assumptions Sheet!G62:J62</t>
        </is>
      </c>
      <c r="F49" t="inlineStr">
        <is>
          <t>'=R62C4/4</t>
        </is>
      </c>
      <c r="G49" t="inlineStr">
        <is>
          <t>Vectorizable</t>
        </is>
      </c>
    </row>
    <row r="50">
      <c r="A50" t="inlineStr">
        <is>
          <t>G000049</t>
        </is>
      </c>
      <c r="B50" t="inlineStr">
        <is>
          <t>Assumptions Sheet</t>
        </is>
      </c>
      <c r="C50" t="inlineStr">
        <is>
          <t>Horizontal</t>
        </is>
      </c>
      <c r="D50" t="n">
        <v>5</v>
      </c>
      <c r="E50" t="inlineStr">
        <is>
          <t>Assumptions Sheet!K62:O62</t>
        </is>
      </c>
      <c r="F50" t="inlineStr">
        <is>
          <t>'=R62C5/5</t>
        </is>
      </c>
      <c r="G50" t="inlineStr">
        <is>
          <t>Vectorizable</t>
        </is>
      </c>
    </row>
    <row r="51">
      <c r="A51" t="inlineStr">
        <is>
          <t>G000050</t>
        </is>
      </c>
      <c r="B51" t="inlineStr">
        <is>
          <t>Assumptions Sheet</t>
        </is>
      </c>
      <c r="C51" t="inlineStr">
        <is>
          <t>Horizontal</t>
        </is>
      </c>
      <c r="D51" t="n">
        <v>10</v>
      </c>
      <c r="E51" t="inlineStr">
        <is>
          <t>Assumptions Sheet!F63:O63</t>
        </is>
      </c>
      <c r="F51" t="inlineStr">
        <is>
          <t>'=R[-1]C[0]/(1+R62C16)^R[-2]C[0]</t>
        </is>
      </c>
      <c r="G51" t="inlineStr">
        <is>
          <t>Vectorizable</t>
        </is>
      </c>
    </row>
    <row r="52">
      <c r="A52" t="inlineStr">
        <is>
          <t>G000051</t>
        </is>
      </c>
      <c r="B52" t="inlineStr">
        <is>
          <t>Assumptions Sheet</t>
        </is>
      </c>
      <c r="C52" t="inlineStr">
        <is>
          <t>Block</t>
        </is>
      </c>
      <c r="D52" t="n">
        <v>2</v>
      </c>
      <c r="E52" t="inlineStr">
        <is>
          <t>Assumptions Sheet!P63:P66</t>
        </is>
      </c>
      <c r="F52" t="inlineStr">
        <is>
          <t>'=SUM(R[0]C[-10]:R[0]C[-1])</t>
        </is>
      </c>
      <c r="G52" t="inlineStr">
        <is>
          <t>Vectorizable</t>
        </is>
      </c>
    </row>
    <row r="53">
      <c r="A53" t="inlineStr">
        <is>
          <t>G000052</t>
        </is>
      </c>
      <c r="B53" t="inlineStr">
        <is>
          <t>Assumptions Sheet</t>
        </is>
      </c>
      <c r="C53" t="inlineStr">
        <is>
          <t>Horizontal</t>
        </is>
      </c>
      <c r="D53" t="n">
        <v>4</v>
      </c>
      <c r="E53" t="inlineStr">
        <is>
          <t>Assumptions Sheet!G65:J65</t>
        </is>
      </c>
      <c r="F53" t="inlineStr">
        <is>
          <t>'=R65C4/4</t>
        </is>
      </c>
      <c r="G53" t="inlineStr">
        <is>
          <t>Vectorizable</t>
        </is>
      </c>
    </row>
    <row r="54">
      <c r="A54" t="inlineStr">
        <is>
          <t>G000053</t>
        </is>
      </c>
      <c r="B54" t="inlineStr">
        <is>
          <t>Assumptions Sheet</t>
        </is>
      </c>
      <c r="C54" t="inlineStr">
        <is>
          <t>Horizontal</t>
        </is>
      </c>
      <c r="D54" t="n">
        <v>5</v>
      </c>
      <c r="E54" t="inlineStr">
        <is>
          <t>Assumptions Sheet!K65:O65</t>
        </is>
      </c>
      <c r="F54" t="inlineStr">
        <is>
          <t>'=R65C5/5</t>
        </is>
      </c>
      <c r="G54" t="inlineStr">
        <is>
          <t>Vectorizable</t>
        </is>
      </c>
    </row>
    <row r="55">
      <c r="A55" t="inlineStr">
        <is>
          <t>G000054</t>
        </is>
      </c>
      <c r="B55" t="inlineStr">
        <is>
          <t>Assumptions Sheet</t>
        </is>
      </c>
      <c r="C55" t="inlineStr">
        <is>
          <t>Horizontal</t>
        </is>
      </c>
      <c r="D55" t="n">
        <v>10</v>
      </c>
      <c r="E55" t="inlineStr">
        <is>
          <t>Assumptions Sheet!F66:O66</t>
        </is>
      </c>
      <c r="F55" t="inlineStr">
        <is>
          <t>'=R[-2]C[0]*12</t>
        </is>
      </c>
      <c r="G55" t="inlineStr">
        <is>
          <t>Vectorizable</t>
        </is>
      </c>
    </row>
    <row r="56">
      <c r="A56" t="inlineStr">
        <is>
          <t>G000055</t>
        </is>
      </c>
      <c r="B56" t="inlineStr">
        <is>
          <t>Assumptions Sheet</t>
        </is>
      </c>
      <c r="C56" t="inlineStr">
        <is>
          <t>Horizontal</t>
        </is>
      </c>
      <c r="D56" t="n">
        <v>4</v>
      </c>
      <c r="E56" t="inlineStr">
        <is>
          <t>Assumptions Sheet!D73:G73</t>
        </is>
      </c>
      <c r="F56" t="inlineStr">
        <is>
          <t>'=SUM(R[-4]C[0]:R[-1]C[0])</t>
        </is>
      </c>
      <c r="G56" t="inlineStr">
        <is>
          <t>Vectorizable</t>
        </is>
      </c>
    </row>
    <row r="57">
      <c r="A57" t="inlineStr">
        <is>
          <t>G000056</t>
        </is>
      </c>
      <c r="B57" t="inlineStr">
        <is>
          <t>Income statement</t>
        </is>
      </c>
      <c r="C57" t="inlineStr">
        <is>
          <t>Horizontal</t>
        </is>
      </c>
      <c r="D57" t="n">
        <v>11</v>
      </c>
      <c r="E57" t="inlineStr">
        <is>
          <t>Income statement!E5:O5</t>
        </is>
      </c>
      <c r="F57" t="inlineStr">
        <is>
          <t>'=EOMONTH(R[0]C[-1],12)</t>
        </is>
      </c>
      <c r="G57" t="inlineStr">
        <is>
          <t>Vectorizable</t>
        </is>
      </c>
    </row>
    <row r="58">
      <c r="A58" t="inlineStr">
        <is>
          <t>G000057</t>
        </is>
      </c>
      <c r="B58" t="inlineStr">
        <is>
          <t>Income statement</t>
        </is>
      </c>
      <c r="C58" t="inlineStr">
        <is>
          <t>Horizontal</t>
        </is>
      </c>
      <c r="D58" t="n">
        <v>12</v>
      </c>
      <c r="E58" t="inlineStr">
        <is>
          <t>Income statement!D6:O6</t>
        </is>
      </c>
      <c r="F58" t="inlineStr">
        <is>
          <t>'=YEAR(R[-1]C[0])</t>
        </is>
      </c>
      <c r="G58" t="inlineStr">
        <is>
          <t>Vectorizable</t>
        </is>
      </c>
    </row>
    <row r="59">
      <c r="A59" t="inlineStr">
        <is>
          <t>G000058</t>
        </is>
      </c>
      <c r="B59" t="inlineStr">
        <is>
          <t>Income statement</t>
        </is>
      </c>
      <c r="C59" t="inlineStr">
        <is>
          <t>Horizontal</t>
        </is>
      </c>
      <c r="D59" t="n">
        <v>5</v>
      </c>
      <c r="E59" t="inlineStr">
        <is>
          <t>Income statement!K7:O7</t>
        </is>
      </c>
      <c r="F59" t="inlineStr">
        <is>
          <t>'=SUM('Assumptions Sheet'!R[17]C[0],'Assumptions Sheet'!R[19]C[0],'Assumptions Sheet'!R[21]C[0])</t>
        </is>
      </c>
      <c r="G59" t="inlineStr">
        <is>
          <t>Vectorizable</t>
        </is>
      </c>
    </row>
    <row r="60">
      <c r="A60" t="inlineStr">
        <is>
          <t>G000059</t>
        </is>
      </c>
      <c r="B60" t="inlineStr">
        <is>
          <t>Income statement</t>
        </is>
      </c>
      <c r="C60" t="inlineStr">
        <is>
          <t>Horizontal</t>
        </is>
      </c>
      <c r="D60" t="n">
        <v>5</v>
      </c>
      <c r="E60" t="inlineStr">
        <is>
          <t>Income statement!K8:O8</t>
        </is>
      </c>
      <c r="F60" t="inlineStr">
        <is>
          <t>'='Assumptions Sheet'!R[22]C[0]</t>
        </is>
      </c>
      <c r="G60" t="inlineStr">
        <is>
          <t>Vectorizable</t>
        </is>
      </c>
    </row>
    <row r="61">
      <c r="A61" t="inlineStr">
        <is>
          <t>G000060</t>
        </is>
      </c>
      <c r="B61" t="inlineStr">
        <is>
          <t>Income statement</t>
        </is>
      </c>
      <c r="C61" t="inlineStr">
        <is>
          <t>Horizontal</t>
        </is>
      </c>
      <c r="D61" t="n">
        <v>12</v>
      </c>
      <c r="E61" t="inlineStr">
        <is>
          <t>Income statement!D9:O9</t>
        </is>
      </c>
      <c r="F61" t="inlineStr">
        <is>
          <t>'=SUM(R[-2]C[0]:R[-1]C[0])</t>
        </is>
      </c>
      <c r="G61" t="inlineStr">
        <is>
          <t>Vectorizable</t>
        </is>
      </c>
    </row>
    <row r="62">
      <c r="A62" t="inlineStr">
        <is>
          <t>G000061</t>
        </is>
      </c>
      <c r="B62" t="inlineStr">
        <is>
          <t>Income statement</t>
        </is>
      </c>
      <c r="C62" t="inlineStr">
        <is>
          <t>Horizontal</t>
        </is>
      </c>
      <c r="D62" t="n">
        <v>5</v>
      </c>
      <c r="E62" t="inlineStr">
        <is>
          <t>Income statement!K10:O10</t>
        </is>
      </c>
      <c r="F62" t="inlineStr">
        <is>
          <t>'='Cost Matrix'!R[22]C[0]</t>
        </is>
      </c>
      <c r="G62" t="inlineStr">
        <is>
          <t>Vectorizable</t>
        </is>
      </c>
    </row>
    <row r="63">
      <c r="A63" t="inlineStr">
        <is>
          <t>G000062</t>
        </is>
      </c>
      <c r="B63" t="inlineStr">
        <is>
          <t>Income statement</t>
        </is>
      </c>
      <c r="C63" t="inlineStr">
        <is>
          <t>Horizontal</t>
        </is>
      </c>
      <c r="D63" t="n">
        <v>5</v>
      </c>
      <c r="E63" t="inlineStr">
        <is>
          <t>Income statement!K12:O12</t>
        </is>
      </c>
      <c r="F63" t="inlineStr">
        <is>
          <t>'='Cost Matrix'!R[23]C[0]</t>
        </is>
      </c>
      <c r="G63" t="inlineStr">
        <is>
          <t>Vectorizable</t>
        </is>
      </c>
    </row>
    <row r="64">
      <c r="A64" t="inlineStr">
        <is>
          <t>G000063</t>
        </is>
      </c>
      <c r="B64" t="inlineStr">
        <is>
          <t>Income statement</t>
        </is>
      </c>
      <c r="C64" t="inlineStr">
        <is>
          <t>Horizontal</t>
        </is>
      </c>
      <c r="D64" t="n">
        <v>5</v>
      </c>
      <c r="E64" t="inlineStr">
        <is>
          <t>Income statement!K13:O13</t>
        </is>
      </c>
      <c r="F64" t="inlineStr">
        <is>
          <t>'='Cost Matrix'!R[28]C[0]</t>
        </is>
      </c>
      <c r="G64" t="inlineStr">
        <is>
          <t>Vectorizable</t>
        </is>
      </c>
    </row>
    <row r="65">
      <c r="A65" t="inlineStr">
        <is>
          <t>G000064</t>
        </is>
      </c>
      <c r="B65" t="inlineStr">
        <is>
          <t>Income statement</t>
        </is>
      </c>
      <c r="C65" t="inlineStr">
        <is>
          <t>Horizontal</t>
        </is>
      </c>
      <c r="D65" t="n">
        <v>12</v>
      </c>
      <c r="E65" t="inlineStr">
        <is>
          <t>Income statement!D14:O14</t>
        </is>
      </c>
      <c r="F65" t="inlineStr">
        <is>
          <t>'=SUM(R[-4]C[0]:R[-1]C[0])</t>
        </is>
      </c>
      <c r="G65" t="inlineStr">
        <is>
          <t>Vectorizable</t>
        </is>
      </c>
    </row>
    <row r="66">
      <c r="A66" t="inlineStr">
        <is>
          <t>G000065</t>
        </is>
      </c>
      <c r="B66" t="inlineStr">
        <is>
          <t>Income statement</t>
        </is>
      </c>
      <c r="C66" t="inlineStr">
        <is>
          <t>Horizontal</t>
        </is>
      </c>
      <c r="D66" t="n">
        <v>12</v>
      </c>
      <c r="E66" t="inlineStr">
        <is>
          <t>Income statement!D15:O15</t>
        </is>
      </c>
      <c r="F66" t="inlineStr">
        <is>
          <t>'=R[-6]C[0]-R[-1]C[0]</t>
        </is>
      </c>
      <c r="G66" t="inlineStr">
        <is>
          <t>Vectorizable</t>
        </is>
      </c>
    </row>
    <row r="67">
      <c r="A67" t="inlineStr">
        <is>
          <t>G000066</t>
        </is>
      </c>
      <c r="B67" t="inlineStr">
        <is>
          <t>Income statement</t>
        </is>
      </c>
      <c r="C67" t="inlineStr">
        <is>
          <t>Horizontal</t>
        </is>
      </c>
      <c r="D67" t="n">
        <v>5</v>
      </c>
      <c r="E67" t="inlineStr">
        <is>
          <t>Income statement!K16:O16</t>
        </is>
      </c>
      <c r="F67" t="inlineStr">
        <is>
          <t>'='Cost Matrix'!R[10]C[0]</t>
        </is>
      </c>
      <c r="G67" t="inlineStr">
        <is>
          <t>Vectorizable</t>
        </is>
      </c>
    </row>
    <row r="68">
      <c r="A68" t="inlineStr">
        <is>
          <t>G000067</t>
        </is>
      </c>
      <c r="B68" t="inlineStr">
        <is>
          <t>Income statement</t>
        </is>
      </c>
      <c r="C68" t="inlineStr">
        <is>
          <t>Horizontal</t>
        </is>
      </c>
      <c r="D68" t="n">
        <v>5</v>
      </c>
      <c r="E68" t="inlineStr">
        <is>
          <t>Income statement!K18:O18</t>
        </is>
      </c>
      <c r="F68" t="inlineStr">
        <is>
          <t>'='Cost Matrix'!R[10]C[0]</t>
        </is>
      </c>
      <c r="G68" t="inlineStr">
        <is>
          <t>Vectorizable</t>
        </is>
      </c>
    </row>
    <row r="69">
      <c r="A69" t="inlineStr">
        <is>
          <t>G000068</t>
        </is>
      </c>
      <c r="B69" t="inlineStr">
        <is>
          <t>Income statement</t>
        </is>
      </c>
      <c r="C69" t="inlineStr">
        <is>
          <t>Horizontal</t>
        </is>
      </c>
      <c r="D69" t="n">
        <v>12</v>
      </c>
      <c r="E69" t="inlineStr">
        <is>
          <t>Income statement!D17:O17</t>
        </is>
      </c>
      <c r="F69" t="inlineStr">
        <is>
          <t>'=R[-2]C[0]-R[-1]C[0]</t>
        </is>
      </c>
      <c r="G69" t="inlineStr">
        <is>
          <t>Vectorizable</t>
        </is>
      </c>
    </row>
    <row r="70">
      <c r="A70" t="inlineStr">
        <is>
          <t>G000069</t>
        </is>
      </c>
      <c r="B70" t="inlineStr">
        <is>
          <t>Income statement</t>
        </is>
      </c>
      <c r="C70" t="inlineStr">
        <is>
          <t>Horizontal</t>
        </is>
      </c>
      <c r="D70" t="n">
        <v>12</v>
      </c>
      <c r="E70" t="inlineStr">
        <is>
          <t>Income statement!D23:O23</t>
        </is>
      </c>
      <c r="F70" t="inlineStr">
        <is>
          <t>'=R[-2]C[0]-R[-1]C[0]</t>
        </is>
      </c>
      <c r="G70" t="inlineStr">
        <is>
          <t>Vectorizable</t>
        </is>
      </c>
    </row>
    <row r="71">
      <c r="A71" t="inlineStr">
        <is>
          <t>G000070</t>
        </is>
      </c>
      <c r="B71" t="inlineStr">
        <is>
          <t>Income statement</t>
        </is>
      </c>
      <c r="C71" t="inlineStr">
        <is>
          <t>Horizontal</t>
        </is>
      </c>
      <c r="D71" t="n">
        <v>12</v>
      </c>
      <c r="E71" t="inlineStr">
        <is>
          <t>Income statement!D25:O25</t>
        </is>
      </c>
      <c r="F71" t="inlineStr">
        <is>
          <t>'=R[-2]C[0]-R[-1]C[0]</t>
        </is>
      </c>
      <c r="G71" t="inlineStr">
        <is>
          <t>Vectorizable</t>
        </is>
      </c>
    </row>
    <row r="72">
      <c r="A72" t="inlineStr">
        <is>
          <t>G000071</t>
        </is>
      </c>
      <c r="B72" t="inlineStr">
        <is>
          <t>Income statement</t>
        </is>
      </c>
      <c r="C72" t="inlineStr">
        <is>
          <t>Horizontal</t>
        </is>
      </c>
      <c r="D72" t="n">
        <v>3</v>
      </c>
      <c r="E72" t="inlineStr">
        <is>
          <t>Income statement!H18:J18</t>
        </is>
      </c>
      <c r="F72" t="inlineStr">
        <is>
          <t>'=R[2]C[0]-R[1]C[0]</t>
        </is>
      </c>
      <c r="G72" t="inlineStr">
        <is>
          <t>Vectorizable</t>
        </is>
      </c>
    </row>
    <row r="73">
      <c r="A73" t="inlineStr">
        <is>
          <t>G000072</t>
        </is>
      </c>
      <c r="B73" t="inlineStr">
        <is>
          <t>Income statement</t>
        </is>
      </c>
      <c r="C73" t="inlineStr">
        <is>
          <t>Horizontal</t>
        </is>
      </c>
      <c r="D73" t="n">
        <v>5</v>
      </c>
      <c r="E73" t="inlineStr">
        <is>
          <t>Income statement!K19:O19</t>
        </is>
      </c>
      <c r="F73" t="inlineStr">
        <is>
          <t>'=-'Incentive'!R[-11]C[0]</t>
        </is>
      </c>
      <c r="G73" t="inlineStr">
        <is>
          <t>Vectorizable</t>
        </is>
      </c>
    </row>
    <row r="74">
      <c r="A74" t="inlineStr">
        <is>
          <t>G000073</t>
        </is>
      </c>
      <c r="B74" t="inlineStr">
        <is>
          <t>Income statement</t>
        </is>
      </c>
      <c r="C74" t="inlineStr">
        <is>
          <t>Horizontal</t>
        </is>
      </c>
      <c r="D74" t="n">
        <v>4</v>
      </c>
      <c r="E74" t="inlineStr">
        <is>
          <t>Income statement!D20:G20</t>
        </is>
      </c>
      <c r="F74" t="inlineStr">
        <is>
          <t>'=R[-2]C[0]+R[-1]C[0]</t>
        </is>
      </c>
      <c r="G74" t="inlineStr">
        <is>
          <t>Vectorizable</t>
        </is>
      </c>
    </row>
    <row r="75">
      <c r="A75" t="inlineStr">
        <is>
          <t>G000074</t>
        </is>
      </c>
      <c r="B75" t="inlineStr">
        <is>
          <t>Income statement</t>
        </is>
      </c>
      <c r="C75" t="inlineStr">
        <is>
          <t>Horizontal</t>
        </is>
      </c>
      <c r="D75" t="n">
        <v>5</v>
      </c>
      <c r="E75" t="inlineStr">
        <is>
          <t>Income statement!K20:O20</t>
        </is>
      </c>
      <c r="F75" t="inlineStr">
        <is>
          <t>'=R[-2]C[0]+R[-1]C[0]</t>
        </is>
      </c>
      <c r="G75" t="inlineStr">
        <is>
          <t>Vectorizable</t>
        </is>
      </c>
    </row>
    <row r="76">
      <c r="A76" t="inlineStr">
        <is>
          <t>G000075</t>
        </is>
      </c>
      <c r="B76" t="inlineStr">
        <is>
          <t>Income statement</t>
        </is>
      </c>
      <c r="C76" t="inlineStr">
        <is>
          <t>Horizontal</t>
        </is>
      </c>
      <c r="D76" t="n">
        <v>12</v>
      </c>
      <c r="E76" t="inlineStr">
        <is>
          <t>Income statement!D21:O21</t>
        </is>
      </c>
      <c r="F76" t="inlineStr">
        <is>
          <t>'=R[-4]C[0]-R[-1]C[0]</t>
        </is>
      </c>
      <c r="G76" t="inlineStr">
        <is>
          <t>Vectorizable</t>
        </is>
      </c>
    </row>
    <row r="77">
      <c r="A77" t="inlineStr">
        <is>
          <t>G000076</t>
        </is>
      </c>
      <c r="B77" t="inlineStr">
        <is>
          <t>Income statement</t>
        </is>
      </c>
      <c r="C77" t="inlineStr">
        <is>
          <t>Horizontal</t>
        </is>
      </c>
      <c r="D77" t="n">
        <v>5</v>
      </c>
      <c r="E77" t="inlineStr">
        <is>
          <t>Income statement!K22:O22</t>
        </is>
      </c>
      <c r="F77" t="inlineStr">
        <is>
          <t>'=-('Asset Schedule '!R[-12]C[0]+'Asset Schedule '!R[1]C[0])</t>
        </is>
      </c>
      <c r="G77" t="inlineStr">
        <is>
          <t>Vectorizable</t>
        </is>
      </c>
    </row>
    <row r="78">
      <c r="A78" t="inlineStr">
        <is>
          <t>G000077</t>
        </is>
      </c>
      <c r="B78" t="inlineStr">
        <is>
          <t>Income statement</t>
        </is>
      </c>
      <c r="C78" t="inlineStr">
        <is>
          <t>Horizontal</t>
        </is>
      </c>
      <c r="D78" t="n">
        <v>5</v>
      </c>
      <c r="E78" t="inlineStr">
        <is>
          <t>Income statement!K24:O24</t>
        </is>
      </c>
      <c r="F78" t="inlineStr">
        <is>
          <t>'='Debt schedule'!R[-12]C[0]</t>
        </is>
      </c>
      <c r="G78" t="inlineStr">
        <is>
          <t>Vectorizable</t>
        </is>
      </c>
    </row>
    <row r="79">
      <c r="A79" t="inlineStr">
        <is>
          <t>G000078</t>
        </is>
      </c>
      <c r="B79" t="inlineStr">
        <is>
          <t>Income statement</t>
        </is>
      </c>
      <c r="C79" t="inlineStr">
        <is>
          <t>Horizontal</t>
        </is>
      </c>
      <c r="D79" t="n">
        <v>5</v>
      </c>
      <c r="E79" t="inlineStr">
        <is>
          <t>Income statement!D26:H26</t>
        </is>
      </c>
      <c r="F79" t="inlineStr">
        <is>
          <t>'=SUM(R[2]C[0]:R[4]C[0])</t>
        </is>
      </c>
      <c r="G79" t="inlineStr">
        <is>
          <t>Vectorizable</t>
        </is>
      </c>
    </row>
    <row r="80">
      <c r="A80" t="inlineStr">
        <is>
          <t>G000079</t>
        </is>
      </c>
      <c r="B80" t="inlineStr">
        <is>
          <t>Income statement</t>
        </is>
      </c>
      <c r="C80" t="inlineStr">
        <is>
          <t>Horizontal</t>
        </is>
      </c>
      <c r="D80" t="n">
        <v>2</v>
      </c>
      <c r="E80" t="inlineStr">
        <is>
          <t>Income statement!I26:J26</t>
        </is>
      </c>
      <c r="F80" t="inlineStr">
        <is>
          <t>'=R[2]C[0]-R[4]C[0]</t>
        </is>
      </c>
      <c r="G80" t="inlineStr">
        <is>
          <t>Vectorizable</t>
        </is>
      </c>
    </row>
    <row r="81">
      <c r="A81" t="inlineStr">
        <is>
          <t>G000080</t>
        </is>
      </c>
      <c r="B81" t="inlineStr">
        <is>
          <t>Income statement</t>
        </is>
      </c>
      <c r="C81" t="inlineStr">
        <is>
          <t>Horizontal</t>
        </is>
      </c>
      <c r="D81" t="n">
        <v>5</v>
      </c>
      <c r="E81" t="inlineStr">
        <is>
          <t>Income statement!K26:O26</t>
        </is>
      </c>
      <c r="F81" t="inlineStr">
        <is>
          <t>'=IF(R[-1]C[0]&gt;0,-R[-1]C[0]*R[1]C[0],0)</t>
        </is>
      </c>
      <c r="G81" t="inlineStr">
        <is>
          <t>Vectorizable</t>
        </is>
      </c>
    </row>
    <row r="82">
      <c r="A82" t="inlineStr">
        <is>
          <t>G000081</t>
        </is>
      </c>
      <c r="B82" t="inlineStr">
        <is>
          <t>Income statement</t>
        </is>
      </c>
      <c r="C82" t="inlineStr">
        <is>
          <t>Horizontal</t>
        </is>
      </c>
      <c r="D82" t="n">
        <v>7</v>
      </c>
      <c r="E82" t="inlineStr">
        <is>
          <t>Income statement!D27:J27</t>
        </is>
      </c>
      <c r="F82" t="inlineStr">
        <is>
          <t>'=-R[-1]C[0]/R[-2]C[0]</t>
        </is>
      </c>
      <c r="G82" t="inlineStr">
        <is>
          <t>Vectorizable</t>
        </is>
      </c>
    </row>
    <row r="83">
      <c r="A83" t="inlineStr">
        <is>
          <t>G000082</t>
        </is>
      </c>
      <c r="B83" t="inlineStr">
        <is>
          <t>Income statement</t>
        </is>
      </c>
      <c r="C83" t="inlineStr">
        <is>
          <t>Horizontal</t>
        </is>
      </c>
      <c r="D83" t="n">
        <v>12</v>
      </c>
      <c r="E83" t="inlineStr">
        <is>
          <t>Income statement!D31:O31</t>
        </is>
      </c>
      <c r="F83" t="inlineStr">
        <is>
          <t>'=R[-6]C[0]+R[-5]C[0]</t>
        </is>
      </c>
      <c r="G83" t="inlineStr">
        <is>
          <t>Vectorizable</t>
        </is>
      </c>
    </row>
    <row r="84">
      <c r="A84" t="inlineStr">
        <is>
          <t>G000083</t>
        </is>
      </c>
      <c r="B84" t="inlineStr">
        <is>
          <t>Income statement</t>
        </is>
      </c>
      <c r="C84" t="inlineStr">
        <is>
          <t>Horizontal</t>
        </is>
      </c>
      <c r="D84" t="n">
        <v>7</v>
      </c>
      <c r="E84" t="inlineStr">
        <is>
          <t>Income statement!D32:J32</t>
        </is>
      </c>
      <c r="F84" t="inlineStr">
        <is>
          <t>'=R[-4]C[0]/R[-7]C[0]</t>
        </is>
      </c>
      <c r="G84" t="inlineStr">
        <is>
          <t>Vectorizable</t>
        </is>
      </c>
    </row>
    <row r="85">
      <c r="A85" t="inlineStr">
        <is>
          <t>G000084</t>
        </is>
      </c>
      <c r="B85" t="inlineStr">
        <is>
          <t xml:space="preserve">Asset Schedule </t>
        </is>
      </c>
      <c r="C85" t="inlineStr">
        <is>
          <t>Horizontal</t>
        </is>
      </c>
      <c r="D85" t="n">
        <v>11</v>
      </c>
      <c r="E85" t="inlineStr">
        <is>
          <t>Asset Schedule !E5:O5</t>
        </is>
      </c>
      <c r="F85" t="inlineStr">
        <is>
          <t>'=EOMONTH(R[0]C[-1],12)</t>
        </is>
      </c>
      <c r="G85" t="inlineStr">
        <is>
          <t>Vectorizable</t>
        </is>
      </c>
    </row>
    <row r="86">
      <c r="A86" t="inlineStr">
        <is>
          <t>G000085</t>
        </is>
      </c>
      <c r="B86" t="inlineStr">
        <is>
          <t xml:space="preserve">Asset Schedule </t>
        </is>
      </c>
      <c r="C86" t="inlineStr">
        <is>
          <t>Horizontal</t>
        </is>
      </c>
      <c r="D86" t="n">
        <v>12</v>
      </c>
      <c r="E86" t="inlineStr">
        <is>
          <t>Asset Schedule !D6:O6</t>
        </is>
      </c>
      <c r="F86" t="inlineStr">
        <is>
          <t>'=YEAR(R[-1]C[0])</t>
        </is>
      </c>
      <c r="G86" t="inlineStr">
        <is>
          <t>Vectorizable</t>
        </is>
      </c>
    </row>
    <row r="87">
      <c r="A87" t="inlineStr">
        <is>
          <t>G000086</t>
        </is>
      </c>
      <c r="B87" t="inlineStr">
        <is>
          <t xml:space="preserve">Asset Schedule </t>
        </is>
      </c>
      <c r="C87" t="inlineStr">
        <is>
          <t>Horizontal</t>
        </is>
      </c>
      <c r="D87" t="n">
        <v>7</v>
      </c>
      <c r="E87" t="inlineStr">
        <is>
          <t>Asset Schedule !I8:O8</t>
        </is>
      </c>
      <c r="F87" t="inlineStr">
        <is>
          <t>'=R[4]C[-1]</t>
        </is>
      </c>
      <c r="G87" t="inlineStr">
        <is>
          <t>Vectorizable</t>
        </is>
      </c>
    </row>
    <row r="88">
      <c r="A88" t="inlineStr">
        <is>
          <t>G000087</t>
        </is>
      </c>
      <c r="B88" t="inlineStr">
        <is>
          <t xml:space="preserve">Asset Schedule </t>
        </is>
      </c>
      <c r="C88" t="inlineStr">
        <is>
          <t>Horizontal</t>
        </is>
      </c>
      <c r="D88" t="n">
        <v>7</v>
      </c>
      <c r="E88" t="inlineStr">
        <is>
          <t>Asset Schedule !I21:O21</t>
        </is>
      </c>
      <c r="F88" t="inlineStr">
        <is>
          <t>'=R[4]C[-1]</t>
        </is>
      </c>
      <c r="G88" t="inlineStr">
        <is>
          <t>Vectorizable</t>
        </is>
      </c>
    </row>
    <row r="89">
      <c r="A89" t="inlineStr">
        <is>
          <t>G000088</t>
        </is>
      </c>
      <c r="B89" t="inlineStr">
        <is>
          <t xml:space="preserve">Asset Schedule </t>
        </is>
      </c>
      <c r="C89" t="inlineStr">
        <is>
          <t>Horizontal</t>
        </is>
      </c>
      <c r="D89" t="n">
        <v>5</v>
      </c>
      <c r="E89" t="inlineStr">
        <is>
          <t>Asset Schedule !K9:O9</t>
        </is>
      </c>
      <c r="F89" t="inlineStr">
        <is>
          <t>'=R[6]C[0]</t>
        </is>
      </c>
      <c r="G89" t="inlineStr">
        <is>
          <t>Vectorizable</t>
        </is>
      </c>
    </row>
    <row r="90">
      <c r="A90" t="inlineStr">
        <is>
          <t>G000089</t>
        </is>
      </c>
      <c r="B90" t="inlineStr">
        <is>
          <t xml:space="preserve">Asset Schedule </t>
        </is>
      </c>
      <c r="C90" t="inlineStr">
        <is>
          <t>Horizontal</t>
        </is>
      </c>
      <c r="D90" t="n">
        <v>5</v>
      </c>
      <c r="E90" t="inlineStr">
        <is>
          <t>Asset Schedule !K10:O10</t>
        </is>
      </c>
      <c r="F90" t="inlineStr">
        <is>
          <t>'=(R[-2]C[0]+R[-1]C[0]/2)*R[8]C[0]</t>
        </is>
      </c>
      <c r="G90" t="inlineStr">
        <is>
          <t>Vectorizable</t>
        </is>
      </c>
    </row>
    <row r="91">
      <c r="A91" t="inlineStr">
        <is>
          <t>G000090</t>
        </is>
      </c>
      <c r="B91" t="inlineStr">
        <is>
          <t xml:space="preserve">Asset Schedule </t>
        </is>
      </c>
      <c r="C91" t="inlineStr">
        <is>
          <t>Horizontal</t>
        </is>
      </c>
      <c r="D91" t="n">
        <v>2</v>
      </c>
      <c r="E91" t="inlineStr">
        <is>
          <t>Asset Schedule !H11:I11</t>
        </is>
      </c>
      <c r="F91" t="inlineStr">
        <is>
          <t>'=R[1]C[0]-SUM(R[-3]C[0]:R[-1]C[0])</t>
        </is>
      </c>
      <c r="G91" t="inlineStr">
        <is>
          <t>Vectorizable</t>
        </is>
      </c>
    </row>
    <row r="92">
      <c r="A92" t="inlineStr">
        <is>
          <t>G000091</t>
        </is>
      </c>
      <c r="B92" t="inlineStr">
        <is>
          <t xml:space="preserve">Asset Schedule </t>
        </is>
      </c>
      <c r="C92" t="inlineStr">
        <is>
          <t>Horizontal</t>
        </is>
      </c>
      <c r="D92" t="n">
        <v>3</v>
      </c>
      <c r="E92" t="inlineStr">
        <is>
          <t>Asset Schedule !H24:J24</t>
        </is>
      </c>
      <c r="F92" t="inlineStr">
        <is>
          <t>'=R[1]C[0]-SUM(R[-3]C[0]:R[-1]C[0])</t>
        </is>
      </c>
      <c r="G92" t="inlineStr">
        <is>
          <t>Vectorizable</t>
        </is>
      </c>
    </row>
    <row r="93">
      <c r="A93" t="inlineStr">
        <is>
          <t>G000092</t>
        </is>
      </c>
      <c r="B93" t="inlineStr">
        <is>
          <t xml:space="preserve">Asset Schedule </t>
        </is>
      </c>
      <c r="C93" t="inlineStr">
        <is>
          <t>Horizontal</t>
        </is>
      </c>
      <c r="D93" t="n">
        <v>5</v>
      </c>
      <c r="E93" t="inlineStr">
        <is>
          <t>Asset Schedule !K12:O12</t>
        </is>
      </c>
      <c r="F93" t="inlineStr">
        <is>
          <t>'=SUM(R[-4]C[0]:R[-1]C[0])</t>
        </is>
      </c>
      <c r="G93" t="inlineStr">
        <is>
          <t>Vectorizable</t>
        </is>
      </c>
    </row>
    <row r="94">
      <c r="A94" t="inlineStr">
        <is>
          <t>G000093</t>
        </is>
      </c>
      <c r="B94" t="inlineStr">
        <is>
          <t xml:space="preserve">Asset Schedule </t>
        </is>
      </c>
      <c r="C94" t="inlineStr">
        <is>
          <t>Horizontal</t>
        </is>
      </c>
      <c r="D94" t="n">
        <v>5</v>
      </c>
      <c r="E94" t="inlineStr">
        <is>
          <t>Asset Schedule !K25:O25</t>
        </is>
      </c>
      <c r="F94" t="inlineStr">
        <is>
          <t>'=SUM(R[-4]C[0]:R[-1]C[0])</t>
        </is>
      </c>
      <c r="G94" t="inlineStr">
        <is>
          <t>Vectorizable</t>
        </is>
      </c>
    </row>
    <row r="95">
      <c r="A95" t="inlineStr">
        <is>
          <t>G000094</t>
        </is>
      </c>
      <c r="B95" t="inlineStr">
        <is>
          <t xml:space="preserve">Asset Schedule </t>
        </is>
      </c>
      <c r="C95" t="inlineStr">
        <is>
          <t>Horizontal</t>
        </is>
      </c>
      <c r="D95" t="n">
        <v>5</v>
      </c>
      <c r="E95" t="inlineStr">
        <is>
          <t>Asset Schedule !K15:O15</t>
        </is>
      </c>
      <c r="F95" t="inlineStr">
        <is>
          <t>'=R[-1]C[0]*R[1]C[0]</t>
        </is>
      </c>
      <c r="G95" t="inlineStr">
        <is>
          <t>Vectorizable</t>
        </is>
      </c>
    </row>
    <row r="96">
      <c r="A96" t="inlineStr">
        <is>
          <t>G000095</t>
        </is>
      </c>
      <c r="B96" t="inlineStr">
        <is>
          <t xml:space="preserve">Asset Schedule </t>
        </is>
      </c>
      <c r="C96" t="inlineStr">
        <is>
          <t>Horizontal</t>
        </is>
      </c>
      <c r="D96" t="n">
        <v>5</v>
      </c>
      <c r="E96" t="inlineStr">
        <is>
          <t>Asset Schedule !K16:O16</t>
        </is>
      </c>
      <c r="F96" t="inlineStr">
        <is>
          <t>'=26*'Cost Matrix'!R[-3]C[7]</t>
        </is>
      </c>
      <c r="G96" t="inlineStr">
        <is>
          <t>Vectorizable</t>
        </is>
      </c>
    </row>
    <row r="97">
      <c r="A97" t="inlineStr">
        <is>
          <t>G000096</t>
        </is>
      </c>
      <c r="B97" t="inlineStr">
        <is>
          <t xml:space="preserve">Asset Schedule </t>
        </is>
      </c>
      <c r="C97" t="inlineStr">
        <is>
          <t>Horizontal</t>
        </is>
      </c>
      <c r="D97" t="n">
        <v>3</v>
      </c>
      <c r="E97" t="inlineStr">
        <is>
          <t>Asset Schedule !H18:J18</t>
        </is>
      </c>
      <c r="F97" t="inlineStr">
        <is>
          <t>'=R[-8]C[0]/(R[-10]C[0]+R[-9]C[0]/2)</t>
        </is>
      </c>
      <c r="G97" t="inlineStr">
        <is>
          <t>Vectorizable</t>
        </is>
      </c>
    </row>
    <row r="98">
      <c r="A98" t="inlineStr">
        <is>
          <t>G000097</t>
        </is>
      </c>
      <c r="B98" t="inlineStr">
        <is>
          <t xml:space="preserve">Asset Schedule </t>
        </is>
      </c>
      <c r="C98" t="inlineStr">
        <is>
          <t>Horizontal</t>
        </is>
      </c>
      <c r="D98" t="n">
        <v>5</v>
      </c>
      <c r="E98" t="inlineStr">
        <is>
          <t>Asset Schedule !K23:O23</t>
        </is>
      </c>
      <c r="F98" t="inlineStr">
        <is>
          <t>'=(R[-2]C[0]+R[-1]C[0]/2)*R[4]C[0]</t>
        </is>
      </c>
      <c r="G98" t="inlineStr">
        <is>
          <t>Vectorizable</t>
        </is>
      </c>
    </row>
    <row r="99">
      <c r="A99" t="inlineStr">
        <is>
          <t>G000098</t>
        </is>
      </c>
      <c r="B99" t="inlineStr">
        <is>
          <t xml:space="preserve">Asset Schedule </t>
        </is>
      </c>
      <c r="C99" t="inlineStr">
        <is>
          <t>Horizontal</t>
        </is>
      </c>
      <c r="D99" t="n">
        <v>3</v>
      </c>
      <c r="E99" t="inlineStr">
        <is>
          <t>Asset Schedule !H27:J27</t>
        </is>
      </c>
      <c r="F99" t="inlineStr">
        <is>
          <t>'=R[-4]C[0]/(R[-6]C[0]+R[-5]C[0]/2)</t>
        </is>
      </c>
      <c r="G99" t="inlineStr">
        <is>
          <t>Vectorizable</t>
        </is>
      </c>
    </row>
    <row r="100">
      <c r="A100" t="inlineStr">
        <is>
          <t>G000099</t>
        </is>
      </c>
      <c r="B100" t="inlineStr">
        <is>
          <t>Cost Matrix</t>
        </is>
      </c>
      <c r="C100" t="inlineStr">
        <is>
          <t>Horizontal</t>
        </is>
      </c>
      <c r="D100" t="n">
        <v>11</v>
      </c>
      <c r="E100" t="inlineStr">
        <is>
          <t>Cost Matrix!E5:O5</t>
        </is>
      </c>
      <c r="F100" t="inlineStr">
        <is>
          <t>'=EOMONTH(R[0]C[-1],12)</t>
        </is>
      </c>
      <c r="G100" t="inlineStr">
        <is>
          <t>Vectorizable</t>
        </is>
      </c>
    </row>
    <row r="101">
      <c r="A101" t="inlineStr">
        <is>
          <t>G000100</t>
        </is>
      </c>
      <c r="B101" t="inlineStr">
        <is>
          <t>Cost Matrix</t>
        </is>
      </c>
      <c r="C101" t="inlineStr">
        <is>
          <t>Horizontal</t>
        </is>
      </c>
      <c r="D101" t="n">
        <v>12</v>
      </c>
      <c r="E101" t="inlineStr">
        <is>
          <t>Cost Matrix!D6:O6</t>
        </is>
      </c>
      <c r="F101" t="inlineStr">
        <is>
          <t>'=YEAR(R[-1]C[0])</t>
        </is>
      </c>
      <c r="G101" t="inlineStr">
        <is>
          <t>Vectorizable</t>
        </is>
      </c>
    </row>
    <row r="102">
      <c r="A102" t="inlineStr">
        <is>
          <t>G000101</t>
        </is>
      </c>
      <c r="B102" t="inlineStr">
        <is>
          <t>Cost Matrix</t>
        </is>
      </c>
      <c r="C102" t="inlineStr">
        <is>
          <t>Horizontal</t>
        </is>
      </c>
      <c r="D102" t="n">
        <v>5</v>
      </c>
      <c r="E102" t="inlineStr">
        <is>
          <t>Cost Matrix!K7:O7</t>
        </is>
      </c>
      <c r="F102" t="inlineStr">
        <is>
          <t>'=AVERAGE(R[1]C[-1]:R[1]C[0])*R[2]C[0]</t>
        </is>
      </c>
      <c r="G102" t="inlineStr">
        <is>
          <t>Vectorizable</t>
        </is>
      </c>
    </row>
    <row r="103">
      <c r="A103" t="inlineStr">
        <is>
          <t>G000102</t>
        </is>
      </c>
      <c r="B103" t="inlineStr">
        <is>
          <t>Cost Matrix</t>
        </is>
      </c>
      <c r="C103" t="inlineStr">
        <is>
          <t>Horizontal</t>
        </is>
      </c>
      <c r="D103" t="n">
        <v>5</v>
      </c>
      <c r="E103" t="inlineStr">
        <is>
          <t>Cost Matrix!K8:O8</t>
        </is>
      </c>
      <c r="F103" t="inlineStr">
        <is>
          <t>'='Assumptions Sheet'!R[9]C[0]</t>
        </is>
      </c>
      <c r="G103" t="inlineStr">
        <is>
          <t>Vectorizable</t>
        </is>
      </c>
    </row>
    <row r="104">
      <c r="A104" t="inlineStr">
        <is>
          <t>G000103</t>
        </is>
      </c>
      <c r="B104" t="inlineStr">
        <is>
          <t>Cost Matrix</t>
        </is>
      </c>
      <c r="C104" t="inlineStr">
        <is>
          <t>Horizontal</t>
        </is>
      </c>
      <c r="D104" t="n">
        <v>6</v>
      </c>
      <c r="E104" t="inlineStr">
        <is>
          <t>Cost Matrix!E9:J9</t>
        </is>
      </c>
      <c r="F104" t="inlineStr">
        <is>
          <t>'=R[-2]C[0]/AVERAGE(R[-1]C[-1]:R[-1]C[0])</t>
        </is>
      </c>
      <c r="G104" t="inlineStr">
        <is>
          <t>Vectorizable</t>
        </is>
      </c>
    </row>
    <row r="105">
      <c r="A105" t="inlineStr">
        <is>
          <t>G000104</t>
        </is>
      </c>
      <c r="B105" t="inlineStr">
        <is>
          <t>Cost Matrix</t>
        </is>
      </c>
      <c r="C105" t="inlineStr">
        <is>
          <t>Horizontal</t>
        </is>
      </c>
      <c r="D105" t="n">
        <v>5</v>
      </c>
      <c r="E105" t="inlineStr">
        <is>
          <t>Cost Matrix!K9:O9</t>
        </is>
      </c>
      <c r="F105" t="inlineStr">
        <is>
          <t>'=R[1]C[0]*R[2]C[0]</t>
        </is>
      </c>
      <c r="G105" t="inlineStr">
        <is>
          <t>Vectorizable</t>
        </is>
      </c>
    </row>
    <row r="106">
      <c r="A106" t="inlineStr">
        <is>
          <t>G000105</t>
        </is>
      </c>
      <c r="B106" t="inlineStr">
        <is>
          <t>Cost Matrix</t>
        </is>
      </c>
      <c r="C106" t="inlineStr">
        <is>
          <t>Horizontal</t>
        </is>
      </c>
      <c r="D106" t="n">
        <v>5</v>
      </c>
      <c r="E106" t="inlineStr">
        <is>
          <t>Cost Matrix!K13:O13</t>
        </is>
      </c>
      <c r="F106" t="inlineStr">
        <is>
          <t>'=R[1]C[0]*R[2]C[0]</t>
        </is>
      </c>
      <c r="G106" t="inlineStr">
        <is>
          <t>Vectorizable</t>
        </is>
      </c>
    </row>
    <row r="107">
      <c r="A107" t="inlineStr">
        <is>
          <t>G000106</t>
        </is>
      </c>
      <c r="B107" t="inlineStr">
        <is>
          <t>Cost Matrix</t>
        </is>
      </c>
      <c r="C107" t="inlineStr">
        <is>
          <t>Horizontal</t>
        </is>
      </c>
      <c r="D107" t="n">
        <v>6</v>
      </c>
      <c r="E107" t="inlineStr">
        <is>
          <t>Cost Matrix!E11:J11</t>
        </is>
      </c>
      <c r="F107" t="inlineStr">
        <is>
          <t>'=R[-2]C[0]/R[-1]C[0]</t>
        </is>
      </c>
      <c r="G107" t="inlineStr">
        <is>
          <t>Vectorizable</t>
        </is>
      </c>
    </row>
    <row r="108">
      <c r="A108" t="inlineStr">
        <is>
          <t>G000107</t>
        </is>
      </c>
      <c r="B108" t="inlineStr">
        <is>
          <t>Cost Matrix</t>
        </is>
      </c>
      <c r="C108" t="inlineStr">
        <is>
          <t>Horizontal</t>
        </is>
      </c>
      <c r="D108" t="n">
        <v>6</v>
      </c>
      <c r="E108" t="inlineStr">
        <is>
          <t>Cost Matrix!E15:J15</t>
        </is>
      </c>
      <c r="F108" t="inlineStr">
        <is>
          <t>'=R[-2]C[0]/R[-1]C[0]</t>
        </is>
      </c>
      <c r="G108" t="inlineStr">
        <is>
          <t>Vectorizable</t>
        </is>
      </c>
    </row>
    <row r="109">
      <c r="A109" t="inlineStr">
        <is>
          <t>G000108</t>
        </is>
      </c>
      <c r="B109" t="inlineStr">
        <is>
          <t>Cost Matrix</t>
        </is>
      </c>
      <c r="C109" t="inlineStr">
        <is>
          <t>Horizontal</t>
        </is>
      </c>
      <c r="D109" t="n">
        <v>4</v>
      </c>
      <c r="E109" t="inlineStr">
        <is>
          <t>Cost Matrix!L11:O11</t>
        </is>
      </c>
      <c r="F109" t="inlineStr">
        <is>
          <t>'=R[0]C[-1]-0.3</t>
        </is>
      </c>
      <c r="G109" t="inlineStr">
        <is>
          <t>Vectorizable</t>
        </is>
      </c>
    </row>
    <row r="110">
      <c r="A110" t="inlineStr">
        <is>
          <t>G000109</t>
        </is>
      </c>
      <c r="B110" t="inlineStr">
        <is>
          <t>Cost Matrix</t>
        </is>
      </c>
      <c r="C110" t="inlineStr">
        <is>
          <t>Horizontal</t>
        </is>
      </c>
      <c r="D110" t="n">
        <v>5</v>
      </c>
      <c r="E110" t="inlineStr">
        <is>
          <t>Cost Matrix!K14:O14</t>
        </is>
      </c>
      <c r="F110" t="inlineStr">
        <is>
          <t>'=R[3]C[7]/1000</t>
        </is>
      </c>
      <c r="G110" t="inlineStr">
        <is>
          <t>Vectorizable</t>
        </is>
      </c>
    </row>
    <row r="111">
      <c r="A111" t="inlineStr">
        <is>
          <t>G000110</t>
        </is>
      </c>
      <c r="B111" t="inlineStr">
        <is>
          <t>Cost Matrix</t>
        </is>
      </c>
      <c r="C111" t="inlineStr">
        <is>
          <t>Horizontal</t>
        </is>
      </c>
      <c r="D111" t="n">
        <v>5</v>
      </c>
      <c r="E111" t="inlineStr">
        <is>
          <t>Cost Matrix!K15:O15</t>
        </is>
      </c>
      <c r="F111" t="inlineStr">
        <is>
          <t>'=R[2]C[0]*R[-8]C[0]/10^6</t>
        </is>
      </c>
      <c r="G111" t="inlineStr">
        <is>
          <t>Vectorizable</t>
        </is>
      </c>
    </row>
    <row r="112">
      <c r="A112" t="inlineStr">
        <is>
          <t>G000111</t>
        </is>
      </c>
      <c r="B112" t="inlineStr">
        <is>
          <t>Cost Matrix</t>
        </is>
      </c>
      <c r="C112" t="inlineStr">
        <is>
          <t>Horizontal</t>
        </is>
      </c>
      <c r="D112" t="n">
        <v>4</v>
      </c>
      <c r="E112" t="inlineStr">
        <is>
          <t>Cost Matrix!S15:V15</t>
        </is>
      </c>
      <c r="F112" t="inlineStr">
        <is>
          <t>'=R[-1]C[0]*R[-2]C[0]</t>
        </is>
      </c>
      <c r="G112" t="inlineStr">
        <is>
          <t>Vectorizable</t>
        </is>
      </c>
    </row>
    <row r="113">
      <c r="A113" t="inlineStr">
        <is>
          <t>G000112</t>
        </is>
      </c>
      <c r="B113" t="inlineStr">
        <is>
          <t>Cost Matrix</t>
        </is>
      </c>
      <c r="C113" t="inlineStr">
        <is>
          <t>Horizontal</t>
        </is>
      </c>
      <c r="D113" t="n">
        <v>4</v>
      </c>
      <c r="E113" t="inlineStr">
        <is>
          <t>Cost Matrix!AK15:AN15</t>
        </is>
      </c>
      <c r="F113" t="inlineStr">
        <is>
          <t>'=R[-1]C[0]*R[-2]C[0]</t>
        </is>
      </c>
      <c r="G113" t="inlineStr">
        <is>
          <t>Vectorizable</t>
        </is>
      </c>
    </row>
    <row r="114">
      <c r="A114" t="inlineStr">
        <is>
          <t>G000113</t>
        </is>
      </c>
      <c r="B114" t="inlineStr">
        <is>
          <t>Cost Matrix</t>
        </is>
      </c>
      <c r="C114" t="inlineStr">
        <is>
          <t>Horizontal</t>
        </is>
      </c>
      <c r="D114" t="n">
        <v>4</v>
      </c>
      <c r="E114" t="inlineStr">
        <is>
          <t>Cost Matrix!S16:V16</t>
        </is>
      </c>
      <c r="F114" t="inlineStr">
        <is>
          <t>'=(R[-1]C[0]/R[-1]C[-1])-1</t>
        </is>
      </c>
      <c r="G114" t="inlineStr">
        <is>
          <t>Vectorizable</t>
        </is>
      </c>
    </row>
    <row r="115">
      <c r="A115" t="inlineStr">
        <is>
          <t>G000114</t>
        </is>
      </c>
      <c r="B115" t="inlineStr">
        <is>
          <t>Cost Matrix</t>
        </is>
      </c>
      <c r="C115" t="inlineStr">
        <is>
          <t>Horizontal</t>
        </is>
      </c>
      <c r="D115" t="n">
        <v>4</v>
      </c>
      <c r="E115" t="inlineStr">
        <is>
          <t>Cost Matrix!AK16:AN16</t>
        </is>
      </c>
      <c r="F115" t="inlineStr">
        <is>
          <t>'=(R[-1]C[0]/R[-1]C[-1])-1</t>
        </is>
      </c>
      <c r="G115" t="inlineStr">
        <is>
          <t>Vectorizable</t>
        </is>
      </c>
    </row>
    <row r="116">
      <c r="A116" t="inlineStr">
        <is>
          <t>G000115</t>
        </is>
      </c>
      <c r="B116" t="inlineStr">
        <is>
          <t>Cost Matrix</t>
        </is>
      </c>
      <c r="C116" t="inlineStr">
        <is>
          <t>Horizontal</t>
        </is>
      </c>
      <c r="D116" t="n">
        <v>6</v>
      </c>
      <c r="E116" t="inlineStr">
        <is>
          <t>Cost Matrix!E17:J17</t>
        </is>
      </c>
      <c r="F116" t="inlineStr">
        <is>
          <t>'=R[-2]C[0]/R[-10]C[0]*10^6</t>
        </is>
      </c>
      <c r="G116" t="inlineStr">
        <is>
          <t>Vectorizable</t>
        </is>
      </c>
    </row>
    <row r="117">
      <c r="A117" t="inlineStr">
        <is>
          <t>G000116</t>
        </is>
      </c>
      <c r="B117" t="inlineStr">
        <is>
          <t>Cost Matrix</t>
        </is>
      </c>
      <c r="C117" t="inlineStr">
        <is>
          <t>Horizontal</t>
        </is>
      </c>
      <c r="D117" t="n">
        <v>5</v>
      </c>
      <c r="E117" t="inlineStr">
        <is>
          <t>Cost Matrix!K17:O17</t>
        </is>
      </c>
      <c r="F117" t="inlineStr">
        <is>
          <t>'=R17C10*(1-R[1]C[0])</t>
        </is>
      </c>
      <c r="G117" t="inlineStr">
        <is>
          <t>Vectorizable</t>
        </is>
      </c>
    </row>
    <row r="118">
      <c r="A118" t="inlineStr">
        <is>
          <t>G000117</t>
        </is>
      </c>
      <c r="B118" t="inlineStr">
        <is>
          <t>Cost Matrix</t>
        </is>
      </c>
      <c r="C118" t="inlineStr">
        <is>
          <t>Horizontal</t>
        </is>
      </c>
      <c r="D118" t="n">
        <v>4</v>
      </c>
      <c r="E118" t="inlineStr">
        <is>
          <t>Cost Matrix!S17:V17</t>
        </is>
      </c>
      <c r="F118" t="inlineStr">
        <is>
          <t>'=R[0]C[-1]*(1+R[-1]C[0])</t>
        </is>
      </c>
      <c r="G118" t="inlineStr">
        <is>
          <t>Vectorizable</t>
        </is>
      </c>
    </row>
    <row r="119">
      <c r="A119" t="inlineStr">
        <is>
          <t>G000118</t>
        </is>
      </c>
      <c r="B119" t="inlineStr">
        <is>
          <t>Cost Matrix</t>
        </is>
      </c>
      <c r="C119" t="inlineStr">
        <is>
          <t>Horizontal</t>
        </is>
      </c>
      <c r="D119" t="n">
        <v>4</v>
      </c>
      <c r="E119" t="inlineStr">
        <is>
          <t>Cost Matrix!AK17:AN17</t>
        </is>
      </c>
      <c r="F119" t="inlineStr">
        <is>
          <t>'=R[0]C[-1]*(1+R[-1]C[0])</t>
        </is>
      </c>
      <c r="G119" t="inlineStr">
        <is>
          <t>Vectorizable</t>
        </is>
      </c>
    </row>
    <row r="120">
      <c r="A120" t="inlineStr">
        <is>
          <t>G000119</t>
        </is>
      </c>
      <c r="B120" t="inlineStr">
        <is>
          <t>Cost Matrix</t>
        </is>
      </c>
      <c r="C120" t="inlineStr">
        <is>
          <t>Horizontal</t>
        </is>
      </c>
      <c r="D120" t="n">
        <v>5</v>
      </c>
      <c r="E120" t="inlineStr">
        <is>
          <t>Cost Matrix!F18:J18</t>
        </is>
      </c>
      <c r="F120" t="inlineStr">
        <is>
          <t>'=R[-1]C[0]/R[-1]C[-1]-1</t>
        </is>
      </c>
      <c r="G120" t="inlineStr">
        <is>
          <t>Vectorizable</t>
        </is>
      </c>
    </row>
    <row r="121">
      <c r="A121" t="inlineStr">
        <is>
          <t>G000120</t>
        </is>
      </c>
      <c r="B121" t="inlineStr">
        <is>
          <t>Cost Matrix</t>
        </is>
      </c>
      <c r="C121" t="inlineStr">
        <is>
          <t>Horizontal</t>
        </is>
      </c>
      <c r="D121" t="n">
        <v>5</v>
      </c>
      <c r="E121" t="inlineStr">
        <is>
          <t>Cost Matrix!K26:O26</t>
        </is>
      </c>
      <c r="F121" t="inlineStr">
        <is>
          <t>'=R[-13]C[0]</t>
        </is>
      </c>
      <c r="G121" t="inlineStr">
        <is>
          <t>Vectorizable</t>
        </is>
      </c>
    </row>
    <row r="122">
      <c r="A122" t="inlineStr">
        <is>
          <t>G000121</t>
        </is>
      </c>
      <c r="B122" t="inlineStr">
        <is>
          <t>Cost Matrix</t>
        </is>
      </c>
      <c r="C122" t="inlineStr">
        <is>
          <t>Horizontal</t>
        </is>
      </c>
      <c r="D122" t="n">
        <v>12</v>
      </c>
      <c r="E122" t="inlineStr">
        <is>
          <t>Cost Matrix!D27:O27</t>
        </is>
      </c>
      <c r="F122" t="inlineStr">
        <is>
          <t>'=R[-1]C[0]/R25C[0]</t>
        </is>
      </c>
      <c r="G122" t="inlineStr">
        <is>
          <t>Vectorizable</t>
        </is>
      </c>
    </row>
    <row r="123">
      <c r="A123" t="inlineStr">
        <is>
          <t>G000122</t>
        </is>
      </c>
      <c r="B123" t="inlineStr">
        <is>
          <t>Cost Matrix</t>
        </is>
      </c>
      <c r="C123" t="inlineStr">
        <is>
          <t>Horizontal</t>
        </is>
      </c>
      <c r="D123" t="n">
        <v>7</v>
      </c>
      <c r="E123" t="inlineStr">
        <is>
          <t>Cost Matrix!D29:J29</t>
        </is>
      </c>
      <c r="F123" t="inlineStr">
        <is>
          <t>'=R[-1]C[0]/R25C[0]</t>
        </is>
      </c>
      <c r="G123" t="inlineStr">
        <is>
          <t>Vectorizable</t>
        </is>
      </c>
    </row>
    <row r="124">
      <c r="A124" t="inlineStr">
        <is>
          <t>G000123</t>
        </is>
      </c>
      <c r="B124" t="inlineStr">
        <is>
          <t>Cost Matrix</t>
        </is>
      </c>
      <c r="C124" t="inlineStr">
        <is>
          <t>Horizontal</t>
        </is>
      </c>
      <c r="D124" t="n">
        <v>5</v>
      </c>
      <c r="E124" t="inlineStr">
        <is>
          <t>Cost Matrix!K31:O31</t>
        </is>
      </c>
      <c r="F124" t="inlineStr">
        <is>
          <t>'=R[-1]C[0]/R25C[0]</t>
        </is>
      </c>
      <c r="G124" t="inlineStr">
        <is>
          <t>Vectorizable</t>
        </is>
      </c>
    </row>
    <row r="125">
      <c r="A125" t="inlineStr">
        <is>
          <t>G000124</t>
        </is>
      </c>
      <c r="B125" t="inlineStr">
        <is>
          <t>Cost Matrix</t>
        </is>
      </c>
      <c r="C125" t="inlineStr">
        <is>
          <t>Horizontal</t>
        </is>
      </c>
      <c r="D125" t="n">
        <v>7</v>
      </c>
      <c r="E125" t="inlineStr">
        <is>
          <t>Cost Matrix!D33:J33</t>
        </is>
      </c>
      <c r="F125" t="inlineStr">
        <is>
          <t>'=R[-1]C[0]/R25C[0]</t>
        </is>
      </c>
      <c r="G125" t="inlineStr">
        <is>
          <t>Vectorizable</t>
        </is>
      </c>
    </row>
    <row r="126">
      <c r="A126" t="inlineStr">
        <is>
          <t>G000125</t>
        </is>
      </c>
      <c r="B126" t="inlineStr">
        <is>
          <t>Cost Matrix</t>
        </is>
      </c>
      <c r="C126" t="inlineStr">
        <is>
          <t>Horizontal</t>
        </is>
      </c>
      <c r="D126" t="n">
        <v>7</v>
      </c>
      <c r="E126" t="inlineStr">
        <is>
          <t>Cost Matrix!D36:J36</t>
        </is>
      </c>
      <c r="F126" t="inlineStr">
        <is>
          <t>'=R[-1]C[0]/R25C[0]</t>
        </is>
      </c>
      <c r="G126" t="inlineStr">
        <is>
          <t>Vectorizable</t>
        </is>
      </c>
    </row>
    <row r="127">
      <c r="A127" t="inlineStr">
        <is>
          <t>G000126</t>
        </is>
      </c>
      <c r="B127" t="inlineStr">
        <is>
          <t>Cost Matrix</t>
        </is>
      </c>
      <c r="C127" t="inlineStr">
        <is>
          <t>Horizontal</t>
        </is>
      </c>
      <c r="D127" t="n">
        <v>7</v>
      </c>
      <c r="E127" t="inlineStr">
        <is>
          <t>Cost Matrix!D38:J38</t>
        </is>
      </c>
      <c r="F127" t="inlineStr">
        <is>
          <t>'=R[-1]C[0]/R25C[0]</t>
        </is>
      </c>
      <c r="G127" t="inlineStr">
        <is>
          <t>Vectorizable</t>
        </is>
      </c>
    </row>
    <row r="128">
      <c r="A128" t="inlineStr">
        <is>
          <t>G000127</t>
        </is>
      </c>
      <c r="B128" t="inlineStr">
        <is>
          <t>Cost Matrix</t>
        </is>
      </c>
      <c r="C128" t="inlineStr">
        <is>
          <t>Horizontal</t>
        </is>
      </c>
      <c r="D128" t="n">
        <v>7</v>
      </c>
      <c r="E128" t="inlineStr">
        <is>
          <t>Cost Matrix!D40:J40</t>
        </is>
      </c>
      <c r="F128" t="inlineStr">
        <is>
          <t>'=R[-1]C[0]/R25C[0]</t>
        </is>
      </c>
      <c r="G128" t="inlineStr">
        <is>
          <t>Vectorizable</t>
        </is>
      </c>
    </row>
    <row r="129">
      <c r="A129" t="inlineStr">
        <is>
          <t>G000128</t>
        </is>
      </c>
      <c r="B129" t="inlineStr">
        <is>
          <t>Cost Matrix</t>
        </is>
      </c>
      <c r="C129" t="inlineStr">
        <is>
          <t>Horizontal</t>
        </is>
      </c>
      <c r="D129" t="n">
        <v>7</v>
      </c>
      <c r="E129" t="inlineStr">
        <is>
          <t>Cost Matrix!D42:J42</t>
        </is>
      </c>
      <c r="F129" t="inlineStr">
        <is>
          <t>'=R[-1]C[0]/R25C[0]</t>
        </is>
      </c>
      <c r="G129" t="inlineStr">
        <is>
          <t>Vectorizable</t>
        </is>
      </c>
    </row>
    <row r="130">
      <c r="A130" t="inlineStr">
        <is>
          <t>G000129</t>
        </is>
      </c>
      <c r="B130" t="inlineStr">
        <is>
          <t>Cost Matrix</t>
        </is>
      </c>
      <c r="C130" t="inlineStr">
        <is>
          <t>Horizontal</t>
        </is>
      </c>
      <c r="D130" t="n">
        <v>5</v>
      </c>
      <c r="E130" t="inlineStr">
        <is>
          <t>Cost Matrix!K28:O28</t>
        </is>
      </c>
      <c r="F130" t="inlineStr">
        <is>
          <t>'=R[1]C[0]*R25C[0]</t>
        </is>
      </c>
      <c r="G130" t="inlineStr">
        <is>
          <t>Vectorizable</t>
        </is>
      </c>
    </row>
    <row r="131">
      <c r="A131" t="inlineStr">
        <is>
          <t>G000130</t>
        </is>
      </c>
      <c r="B131" t="inlineStr">
        <is>
          <t>Cost Matrix</t>
        </is>
      </c>
      <c r="C131" t="inlineStr">
        <is>
          <t>Horizontal</t>
        </is>
      </c>
      <c r="D131" t="n">
        <v>5</v>
      </c>
      <c r="E131" t="inlineStr">
        <is>
          <t>Cost Matrix!K32:O32</t>
        </is>
      </c>
      <c r="F131" t="inlineStr">
        <is>
          <t>'=R[1]C[0]*R25C[0]</t>
        </is>
      </c>
      <c r="G131" t="inlineStr">
        <is>
          <t>Vectorizable</t>
        </is>
      </c>
    </row>
    <row r="132">
      <c r="A132" t="inlineStr">
        <is>
          <t>G000131</t>
        </is>
      </c>
      <c r="B132" t="inlineStr">
        <is>
          <t>Cost Matrix</t>
        </is>
      </c>
      <c r="C132" t="inlineStr">
        <is>
          <t>Horizontal</t>
        </is>
      </c>
      <c r="D132" t="n">
        <v>5</v>
      </c>
      <c r="E132" t="inlineStr">
        <is>
          <t>Cost Matrix!K35:O35</t>
        </is>
      </c>
      <c r="F132" t="inlineStr">
        <is>
          <t>'=R[1]C[0]*R25C[0]</t>
        </is>
      </c>
      <c r="G132" t="inlineStr">
        <is>
          <t>Vectorizable</t>
        </is>
      </c>
    </row>
    <row r="133">
      <c r="A133" t="inlineStr">
        <is>
          <t>G000132</t>
        </is>
      </c>
      <c r="B133" t="inlineStr">
        <is>
          <t>Cost Matrix</t>
        </is>
      </c>
      <c r="C133" t="inlineStr">
        <is>
          <t>Horizontal</t>
        </is>
      </c>
      <c r="D133" t="n">
        <v>5</v>
      </c>
      <c r="E133" t="inlineStr">
        <is>
          <t>Cost Matrix!K39:O39</t>
        </is>
      </c>
      <c r="F133" t="inlineStr">
        <is>
          <t>'=R[1]C[0]*R25C[0]</t>
        </is>
      </c>
      <c r="G133" t="inlineStr">
        <is>
          <t>Vectorizable</t>
        </is>
      </c>
    </row>
    <row r="134">
      <c r="A134" t="inlineStr">
        <is>
          <t>G000133</t>
        </is>
      </c>
      <c r="B134" t="inlineStr">
        <is>
          <t>Cost Matrix</t>
        </is>
      </c>
      <c r="C134" t="inlineStr">
        <is>
          <t>Horizontal</t>
        </is>
      </c>
      <c r="D134" t="n">
        <v>5</v>
      </c>
      <c r="E134" t="inlineStr">
        <is>
          <t>Cost Matrix!K41:O41</t>
        </is>
      </c>
      <c r="F134" t="inlineStr">
        <is>
          <t>'=R[1]C[0]*R25C[0]</t>
        </is>
      </c>
      <c r="G134" t="inlineStr">
        <is>
          <t>Vectorizable</t>
        </is>
      </c>
    </row>
    <row r="135">
      <c r="A135" t="inlineStr">
        <is>
          <t>G000134</t>
        </is>
      </c>
      <c r="B135" t="inlineStr">
        <is>
          <t>Cost Matrix</t>
        </is>
      </c>
      <c r="C135" t="inlineStr">
        <is>
          <t>Horizontal</t>
        </is>
      </c>
      <c r="D135" t="n">
        <v>4</v>
      </c>
      <c r="E135" t="inlineStr">
        <is>
          <t>Cost Matrix!L29:O29</t>
        </is>
      </c>
      <c r="F135" t="inlineStr">
        <is>
          <t>'=R[0]C[-1]-0.3%</t>
        </is>
      </c>
      <c r="G135" t="inlineStr">
        <is>
          <t>Vectorizable</t>
        </is>
      </c>
    </row>
    <row r="136">
      <c r="A136" t="inlineStr">
        <is>
          <t>G000135</t>
        </is>
      </c>
      <c r="B136" t="inlineStr">
        <is>
          <t>Cost Matrix</t>
        </is>
      </c>
      <c r="C136" t="inlineStr">
        <is>
          <t>Horizontal</t>
        </is>
      </c>
      <c r="D136" t="n">
        <v>7</v>
      </c>
      <c r="E136" t="inlineStr">
        <is>
          <t>Cost Matrix!D30:J30</t>
        </is>
      </c>
      <c r="F136" t="inlineStr">
        <is>
          <t>'='Assumptions Sheet'!R[21]C[0]</t>
        </is>
      </c>
      <c r="G136" t="inlineStr">
        <is>
          <t>Vectorizable</t>
        </is>
      </c>
    </row>
    <row r="137">
      <c r="A137" t="inlineStr">
        <is>
          <t>G000136</t>
        </is>
      </c>
      <c r="B137" t="inlineStr">
        <is>
          <t>Cost Matrix</t>
        </is>
      </c>
      <c r="C137" t="inlineStr">
        <is>
          <t>Horizontal</t>
        </is>
      </c>
      <c r="D137" t="n">
        <v>5</v>
      </c>
      <c r="E137" t="inlineStr">
        <is>
          <t>Cost Matrix!K30:O30</t>
        </is>
      </c>
      <c r="F137" t="inlineStr">
        <is>
          <t>'=30%*-'Balance sheet'!R[-14]C[0]</t>
        </is>
      </c>
      <c r="G137" t="inlineStr">
        <is>
          <t>Vectorizable</t>
        </is>
      </c>
    </row>
    <row r="138">
      <c r="A138" t="inlineStr">
        <is>
          <t>G000137</t>
        </is>
      </c>
      <c r="B138" t="inlineStr">
        <is>
          <t>Cost Matrix</t>
        </is>
      </c>
      <c r="C138" t="inlineStr">
        <is>
          <t>Horizontal</t>
        </is>
      </c>
      <c r="D138" t="n">
        <v>7</v>
      </c>
      <c r="E138" t="inlineStr">
        <is>
          <t>Cost Matrix!D31:J31</t>
        </is>
      </c>
      <c r="F138" t="inlineStr">
        <is>
          <t>'=R[-1]C[0]/R[-3]C[0]</t>
        </is>
      </c>
      <c r="G138" t="inlineStr">
        <is>
          <t>Vectorizable</t>
        </is>
      </c>
    </row>
    <row r="139">
      <c r="A139" t="inlineStr">
        <is>
          <t>G000138</t>
        </is>
      </c>
      <c r="B139" t="inlineStr">
        <is>
          <t>Cost Matrix</t>
        </is>
      </c>
      <c r="C139" t="inlineStr">
        <is>
          <t>Horizontal</t>
        </is>
      </c>
      <c r="D139" t="n">
        <v>4</v>
      </c>
      <c r="E139" t="inlineStr">
        <is>
          <t>Cost Matrix!L33:O33</t>
        </is>
      </c>
      <c r="F139" t="inlineStr">
        <is>
          <t>'=R[0]C[-1]</t>
        </is>
      </c>
      <c r="G139" t="inlineStr">
        <is>
          <t>Vectorizable</t>
        </is>
      </c>
    </row>
    <row r="140">
      <c r="A140" t="inlineStr">
        <is>
          <t>G000139</t>
        </is>
      </c>
      <c r="B140" t="inlineStr">
        <is>
          <t>Cost Matrix</t>
        </is>
      </c>
      <c r="C140" t="inlineStr">
        <is>
          <t>Horizontal</t>
        </is>
      </c>
      <c r="D140" t="n">
        <v>5</v>
      </c>
      <c r="E140" t="inlineStr">
        <is>
          <t>Cost Matrix!K48:O48</t>
        </is>
      </c>
      <c r="F140" t="inlineStr">
        <is>
          <t>'=R[0]C[-1]</t>
        </is>
      </c>
      <c r="G140" t="inlineStr">
        <is>
          <t>Vectorizable</t>
        </is>
      </c>
    </row>
    <row r="141">
      <c r="A141" t="inlineStr">
        <is>
          <t>G000140</t>
        </is>
      </c>
      <c r="B141" t="inlineStr">
        <is>
          <t>Cost Matrix</t>
        </is>
      </c>
      <c r="C141" t="inlineStr">
        <is>
          <t>Horizontal</t>
        </is>
      </c>
      <c r="D141" t="n">
        <v>5</v>
      </c>
      <c r="E141" t="inlineStr">
        <is>
          <t>Cost Matrix!K49:O49</t>
        </is>
      </c>
      <c r="F141" t="inlineStr">
        <is>
          <t>'=R[0]C[-1]</t>
        </is>
      </c>
      <c r="G141" t="inlineStr">
        <is>
          <t>Vectorizable</t>
        </is>
      </c>
    </row>
    <row r="142">
      <c r="A142" t="inlineStr">
        <is>
          <t>G000141</t>
        </is>
      </c>
      <c r="B142" t="inlineStr">
        <is>
          <t>Cost Matrix</t>
        </is>
      </c>
      <c r="C142" t="inlineStr">
        <is>
          <t>Horizontal</t>
        </is>
      </c>
      <c r="D142" t="n">
        <v>5</v>
      </c>
      <c r="E142" t="inlineStr">
        <is>
          <t>Cost Matrix!K37:O37</t>
        </is>
      </c>
      <c r="F142" t="inlineStr">
        <is>
          <t>'='Debt schedule'!R[-25]C[0]</t>
        </is>
      </c>
      <c r="G142" t="inlineStr">
        <is>
          <t>Vectorizable</t>
        </is>
      </c>
    </row>
    <row r="143">
      <c r="A143" t="inlineStr">
        <is>
          <t>G000142</t>
        </is>
      </c>
      <c r="B143" t="inlineStr">
        <is>
          <t>Cost Matrix</t>
        </is>
      </c>
      <c r="C143" t="inlineStr">
        <is>
          <t>Horizontal</t>
        </is>
      </c>
      <c r="D143" t="n">
        <v>7</v>
      </c>
      <c r="E143" t="inlineStr">
        <is>
          <t>Cost Matrix!D41:J41</t>
        </is>
      </c>
      <c r="F143" t="inlineStr">
        <is>
          <t>'='Assumptions Sheet'!R[32]C[0]</t>
        </is>
      </c>
      <c r="G143" t="inlineStr">
        <is>
          <t>Vectorizable</t>
        </is>
      </c>
    </row>
    <row r="144">
      <c r="A144" t="inlineStr">
        <is>
          <t>G000143</t>
        </is>
      </c>
      <c r="B144" t="inlineStr">
        <is>
          <t>Cost Matrix</t>
        </is>
      </c>
      <c r="C144" t="inlineStr">
        <is>
          <t>Horizontal</t>
        </is>
      </c>
      <c r="D144" t="n">
        <v>5</v>
      </c>
      <c r="E144" t="inlineStr">
        <is>
          <t>Cost Matrix!K42:O42</t>
        </is>
      </c>
      <c r="F144" t="inlineStr">
        <is>
          <t>'=22%</t>
        </is>
      </c>
      <c r="G144" t="inlineStr">
        <is>
          <t>Vectorizable</t>
        </is>
      </c>
    </row>
    <row r="145">
      <c r="A145" t="inlineStr">
        <is>
          <t>G000144</t>
        </is>
      </c>
      <c r="B145" t="inlineStr">
        <is>
          <t>Cost Matrix</t>
        </is>
      </c>
      <c r="C145" t="inlineStr">
        <is>
          <t>Horizontal</t>
        </is>
      </c>
      <c r="D145" t="n">
        <v>12</v>
      </c>
      <c r="E145" t="inlineStr">
        <is>
          <t>Cost Matrix!D43:O43</t>
        </is>
      </c>
      <c r="F145" t="inlineStr">
        <is>
          <t>'=SUM(R[-17]C[0],R[-15]C[0],R[-13]C[0],R[-11]C[0],R[-9]C[0],R[-8]C[0],R[-6]C[0],R[-4]C[0],R[-2]C[0])</t>
        </is>
      </c>
      <c r="G145" t="inlineStr">
        <is>
          <t>Vectorizable</t>
        </is>
      </c>
    </row>
    <row r="146">
      <c r="A146" t="inlineStr">
        <is>
          <t>G000145</t>
        </is>
      </c>
      <c r="B146" t="inlineStr">
        <is>
          <t>Cost Matrix</t>
        </is>
      </c>
      <c r="C146" t="inlineStr">
        <is>
          <t>Horizontal</t>
        </is>
      </c>
      <c r="D146" t="n">
        <v>7</v>
      </c>
      <c r="E146" t="inlineStr">
        <is>
          <t>Cost Matrix!D46:J46</t>
        </is>
      </c>
      <c r="F146" t="inlineStr">
        <is>
          <t>'=-'CashFlow Statement'!R[0]C[0]</t>
        </is>
      </c>
      <c r="G146" t="inlineStr">
        <is>
          <t>Vectorizable</t>
        </is>
      </c>
    </row>
    <row r="147">
      <c r="A147" t="inlineStr">
        <is>
          <t>G000146</t>
        </is>
      </c>
      <c r="B147" t="inlineStr">
        <is>
          <t>Cost Matrix</t>
        </is>
      </c>
      <c r="C147" t="inlineStr">
        <is>
          <t>Horizontal</t>
        </is>
      </c>
      <c r="D147" t="n">
        <v>7</v>
      </c>
      <c r="E147" t="inlineStr">
        <is>
          <t>Cost Matrix!D47:J47</t>
        </is>
      </c>
      <c r="F147" t="inlineStr">
        <is>
          <t>'=-'CashFlow Statement'!R[0]C[0]</t>
        </is>
      </c>
      <c r="G147" t="inlineStr">
        <is>
          <t>Vectorizable</t>
        </is>
      </c>
    </row>
    <row r="148">
      <c r="A148" t="inlineStr">
        <is>
          <t>G000147</t>
        </is>
      </c>
      <c r="B148" t="inlineStr">
        <is>
          <t>Cost Matrix</t>
        </is>
      </c>
      <c r="C148" t="inlineStr">
        <is>
          <t>Horizontal</t>
        </is>
      </c>
      <c r="D148" t="n">
        <v>5</v>
      </c>
      <c r="E148" t="inlineStr">
        <is>
          <t>Cost Matrix!K46:O46</t>
        </is>
      </c>
      <c r="F148" t="inlineStr">
        <is>
          <t>'=R[2]C[0]*'Income statement'!R[-15]C[0]</t>
        </is>
      </c>
      <c r="G148" t="inlineStr">
        <is>
          <t>Vectorizable</t>
        </is>
      </c>
    </row>
    <row r="149">
      <c r="A149" t="inlineStr">
        <is>
          <t>G000148</t>
        </is>
      </c>
      <c r="B149" t="inlineStr">
        <is>
          <t>Cost Matrix</t>
        </is>
      </c>
      <c r="C149" t="inlineStr">
        <is>
          <t>Horizontal</t>
        </is>
      </c>
      <c r="D149" t="n">
        <v>5</v>
      </c>
      <c r="E149" t="inlineStr">
        <is>
          <t>Cost Matrix!K47:O47</t>
        </is>
      </c>
      <c r="F149" t="inlineStr">
        <is>
          <t>'=R[-1]C[0]*R[2]C[0]</t>
        </is>
      </c>
      <c r="G149" t="inlineStr">
        <is>
          <t>Vectorizable</t>
        </is>
      </c>
    </row>
    <row r="150">
      <c r="A150" t="inlineStr">
        <is>
          <t>G000149</t>
        </is>
      </c>
      <c r="B150" t="inlineStr">
        <is>
          <t>Cost Matrix</t>
        </is>
      </c>
      <c r="C150" t="inlineStr">
        <is>
          <t>Horizontal</t>
        </is>
      </c>
      <c r="D150" t="n">
        <v>7</v>
      </c>
      <c r="E150" t="inlineStr">
        <is>
          <t>Cost Matrix!D48:J48</t>
        </is>
      </c>
      <c r="F150" t="inlineStr">
        <is>
          <t>'=R[-2]C[0]/'Income statement'!R[-17]C[0]</t>
        </is>
      </c>
      <c r="G150" t="inlineStr">
        <is>
          <t>Vectorizable</t>
        </is>
      </c>
    </row>
    <row r="151">
      <c r="A151" t="inlineStr">
        <is>
          <t>G000150</t>
        </is>
      </c>
      <c r="B151" t="inlineStr">
        <is>
          <t>Cost Matrix</t>
        </is>
      </c>
      <c r="C151" t="inlineStr">
        <is>
          <t>Horizontal</t>
        </is>
      </c>
      <c r="D151" t="n">
        <v>2</v>
      </c>
      <c r="E151" t="inlineStr">
        <is>
          <t>Cost Matrix!E49:F49</t>
        </is>
      </c>
      <c r="F151" t="inlineStr">
        <is>
          <t>'=R[-2]C[0]/R[-3]C[0]</t>
        </is>
      </c>
      <c r="G151" t="inlineStr">
        <is>
          <t>Vectorizable</t>
        </is>
      </c>
    </row>
    <row r="152">
      <c r="A152" t="inlineStr">
        <is>
          <t>G000151</t>
        </is>
      </c>
      <c r="B152" t="inlineStr">
        <is>
          <t>Cost Matrix</t>
        </is>
      </c>
      <c r="C152" t="inlineStr">
        <is>
          <t>Horizontal</t>
        </is>
      </c>
      <c r="D152" t="n">
        <v>3</v>
      </c>
      <c r="E152" t="inlineStr">
        <is>
          <t>Cost Matrix!H49:J49</t>
        </is>
      </c>
      <c r="F152" t="inlineStr">
        <is>
          <t>'=R[-2]C[0]/R[-3]C[0]</t>
        </is>
      </c>
      <c r="G152" t="inlineStr">
        <is>
          <t>Vectorizable</t>
        </is>
      </c>
    </row>
    <row r="153">
      <c r="A153" t="inlineStr">
        <is>
          <t>G000152</t>
        </is>
      </c>
      <c r="B153" t="inlineStr">
        <is>
          <t>ATF Fuel 2</t>
        </is>
      </c>
      <c r="C153" t="inlineStr">
        <is>
          <t>Vertical</t>
        </is>
      </c>
      <c r="D153" t="n">
        <v>98</v>
      </c>
      <c r="E153" t="inlineStr">
        <is>
          <t>ATF Fuel 2!H2:H99</t>
        </is>
      </c>
      <c r="F153" t="inlineStr">
        <is>
          <t>'=R[0]C[-4]*R[0]C[-2]</t>
        </is>
      </c>
      <c r="G153" t="inlineStr">
        <is>
          <t>Vectorizable</t>
        </is>
      </c>
    </row>
    <row r="154">
      <c r="A154" t="inlineStr">
        <is>
          <t>G000153</t>
        </is>
      </c>
      <c r="B154" t="inlineStr">
        <is>
          <t>ATF Fuel 2</t>
        </is>
      </c>
      <c r="C154" t="inlineStr">
        <is>
          <t>Vertical</t>
        </is>
      </c>
      <c r="D154" t="n">
        <v>93</v>
      </c>
      <c r="E154" t="inlineStr">
        <is>
          <t>ATF Fuel 2!Q2:Q94</t>
        </is>
      </c>
      <c r="F154" t="inlineStr">
        <is>
          <t>'=R[0]C[-4]/R[0]C[-3]-1</t>
        </is>
      </c>
      <c r="G154" t="inlineStr">
        <is>
          <t>Vectorizable</t>
        </is>
      </c>
    </row>
    <row r="155">
      <c r="A155" t="inlineStr">
        <is>
          <t>G000154</t>
        </is>
      </c>
      <c r="B155" t="inlineStr">
        <is>
          <t>ATF Fuel 2</t>
        </is>
      </c>
      <c r="C155" t="inlineStr">
        <is>
          <t>Vertical</t>
        </is>
      </c>
      <c r="D155" t="n">
        <v>92</v>
      </c>
      <c r="E155" t="inlineStr">
        <is>
          <t>ATF Fuel 2!C3:C94</t>
        </is>
      </c>
      <c r="F155" t="inlineStr">
        <is>
          <t>'=R[0]C[-1]/R[-1]C[-1]-1</t>
        </is>
      </c>
      <c r="G155" t="inlineStr">
        <is>
          <t>Vectorizable</t>
        </is>
      </c>
    </row>
    <row r="156">
      <c r="A156" t="inlineStr">
        <is>
          <t>G000155</t>
        </is>
      </c>
      <c r="B156" t="inlineStr">
        <is>
          <t>ATF Fuel 2</t>
        </is>
      </c>
      <c r="C156" t="inlineStr">
        <is>
          <t>Vertical</t>
        </is>
      </c>
      <c r="D156" t="n">
        <v>93</v>
      </c>
      <c r="E156" t="inlineStr">
        <is>
          <t>ATF Fuel 2!G3:G95</t>
        </is>
      </c>
      <c r="F156" t="inlineStr">
        <is>
          <t>'=R[0]C[-1]/R[-1]C[-1]-1</t>
        </is>
      </c>
      <c r="G156" t="inlineStr">
        <is>
          <t>Vectorizable</t>
        </is>
      </c>
    </row>
    <row r="157">
      <c r="A157" t="inlineStr">
        <is>
          <t>G000156</t>
        </is>
      </c>
      <c r="B157" t="inlineStr">
        <is>
          <t>ATF Fuel 2</t>
        </is>
      </c>
      <c r="C157" t="inlineStr">
        <is>
          <t>Vertical</t>
        </is>
      </c>
      <c r="D157" t="n">
        <v>97</v>
      </c>
      <c r="E157" t="inlineStr">
        <is>
          <t>ATF Fuel 2!I3:I99</t>
        </is>
      </c>
      <c r="F157" t="inlineStr">
        <is>
          <t>'=R[0]C[-1]/R[-1]C[-1]-1</t>
        </is>
      </c>
      <c r="G157" t="inlineStr">
        <is>
          <t>Vectorizable</t>
        </is>
      </c>
    </row>
    <row r="158">
      <c r="A158" t="inlineStr">
        <is>
          <t>G000157</t>
        </is>
      </c>
      <c r="B158" t="inlineStr">
        <is>
          <t>ATF Fuel 2</t>
        </is>
      </c>
      <c r="C158" t="inlineStr">
        <is>
          <t>Vertical</t>
        </is>
      </c>
      <c r="D158" t="n">
        <v>93</v>
      </c>
      <c r="E158" t="inlineStr">
        <is>
          <t>ATF Fuel 2!K3:K95</t>
        </is>
      </c>
      <c r="F158" t="inlineStr">
        <is>
          <t>'=R[0]C[-1]/R[-1]C[-1]-1</t>
        </is>
      </c>
      <c r="G158" t="inlineStr">
        <is>
          <t>Vectorizable</t>
        </is>
      </c>
    </row>
    <row r="159">
      <c r="A159" t="inlineStr">
        <is>
          <t>G000158</t>
        </is>
      </c>
      <c r="B159" t="inlineStr">
        <is>
          <t>ATF Fuel 2</t>
        </is>
      </c>
      <c r="C159" t="inlineStr">
        <is>
          <t>Vertical</t>
        </is>
      </c>
      <c r="D159" t="n">
        <v>92</v>
      </c>
      <c r="E159" t="inlineStr">
        <is>
          <t>ATF Fuel 2!E3:E94</t>
        </is>
      </c>
      <c r="F159" t="inlineStr">
        <is>
          <t>'=R[0]C[-3]/R[-1]C[-3]-1</t>
        </is>
      </c>
      <c r="G159" t="inlineStr">
        <is>
          <t>Vectorizable</t>
        </is>
      </c>
    </row>
    <row r="160">
      <c r="A160" t="inlineStr">
        <is>
          <t>G000159</t>
        </is>
      </c>
      <c r="B160" t="inlineStr">
        <is>
          <t>ATF Fuel 2</t>
        </is>
      </c>
      <c r="C160" t="inlineStr">
        <is>
          <t>Vertical</t>
        </is>
      </c>
      <c r="D160" t="n">
        <v>92</v>
      </c>
      <c r="E160" t="inlineStr">
        <is>
          <t>ATF Fuel 2!M3:M94</t>
        </is>
      </c>
      <c r="F160" t="inlineStr">
        <is>
          <t>'=(1+(R[0]C[-11]/R[-1]C[-11])-1)*R[-1]C[0]</t>
        </is>
      </c>
      <c r="G160" t="inlineStr">
        <is>
          <t>Vectorizable</t>
        </is>
      </c>
    </row>
    <row r="161">
      <c r="A161" t="inlineStr">
        <is>
          <t>G000160</t>
        </is>
      </c>
      <c r="B161" t="inlineStr">
        <is>
          <t>ATF Fuel 2</t>
        </is>
      </c>
      <c r="C161" t="inlineStr">
        <is>
          <t>Vertical</t>
        </is>
      </c>
      <c r="D161" t="n">
        <v>92</v>
      </c>
      <c r="E161" t="inlineStr">
        <is>
          <t>ATF Fuel 2!N3:N94</t>
        </is>
      </c>
      <c r="F161" t="inlineStr">
        <is>
          <t>'=(1+(R[0]C[-8]/R[-1]C[-8])-1)*R[-1]C[0]</t>
        </is>
      </c>
      <c r="G161" t="inlineStr">
        <is>
          <t>Vectorizable</t>
        </is>
      </c>
    </row>
    <row r="162">
      <c r="A162" t="inlineStr">
        <is>
          <t>G000161</t>
        </is>
      </c>
      <c r="B162" t="inlineStr">
        <is>
          <t>ATF Fuel 2</t>
        </is>
      </c>
      <c r="C162" t="inlineStr">
        <is>
          <t>Vertical</t>
        </is>
      </c>
      <c r="D162" t="n">
        <v>92</v>
      </c>
      <c r="E162" t="inlineStr">
        <is>
          <t>ATF Fuel 2!P3:P94</t>
        </is>
      </c>
      <c r="F162" t="inlineStr">
        <is>
          <t>'=(1+(R[0]C[-8]/R[-1]C[-8])-1)*R[-1]C[0]</t>
        </is>
      </c>
      <c r="G162" t="inlineStr">
        <is>
          <t>Vectorizable</t>
        </is>
      </c>
    </row>
    <row r="163">
      <c r="A163" t="inlineStr">
        <is>
          <t>G000162</t>
        </is>
      </c>
      <c r="B163" t="inlineStr">
        <is>
          <t>ATF Fuel 2</t>
        </is>
      </c>
      <c r="C163" t="inlineStr">
        <is>
          <t>Vertical</t>
        </is>
      </c>
      <c r="D163" t="n">
        <v>92</v>
      </c>
      <c r="E163" t="inlineStr">
        <is>
          <t>ATF Fuel 2!O3:O94</t>
        </is>
      </c>
      <c r="F163" t="inlineStr">
        <is>
          <t>'=(1+(R[0]C[-5]/R[-1]C[-5])-1)*R[-1]C[0]</t>
        </is>
      </c>
      <c r="G163" t="inlineStr">
        <is>
          <t>Vectorizable</t>
        </is>
      </c>
    </row>
    <row r="164">
      <c r="A164" t="inlineStr">
        <is>
          <t>G000163</t>
        </is>
      </c>
      <c r="B164" t="inlineStr">
        <is>
          <t>ATF Fuel 2</t>
        </is>
      </c>
      <c r="C164" t="inlineStr">
        <is>
          <t>Horizontal</t>
        </is>
      </c>
      <c r="D164" t="n">
        <v>2</v>
      </c>
      <c r="E164" t="inlineStr">
        <is>
          <t>ATF Fuel 2!AN7:AO7</t>
        </is>
      </c>
      <c r="F164" t="inlineStr">
        <is>
          <t>'=R[-3]C[0]-R[-2]C[0]</t>
        </is>
      </c>
      <c r="G164" t="inlineStr">
        <is>
          <t>Vectorizable</t>
        </is>
      </c>
    </row>
    <row r="165">
      <c r="A165" t="inlineStr">
        <is>
          <t>G000164</t>
        </is>
      </c>
      <c r="B165" t="inlineStr">
        <is>
          <t>ATF Fuel 2</t>
        </is>
      </c>
      <c r="C165" t="inlineStr">
        <is>
          <t>Horizontal</t>
        </is>
      </c>
      <c r="D165" t="n">
        <v>2</v>
      </c>
      <c r="E165" t="inlineStr">
        <is>
          <t>ATF Fuel 2!AN8:AO8</t>
        </is>
      </c>
      <c r="F165" t="inlineStr">
        <is>
          <t>'=R[-1]C[0]*R[-2]C[0]</t>
        </is>
      </c>
      <c r="G165" t="inlineStr">
        <is>
          <t>Vectorizable</t>
        </is>
      </c>
    </row>
    <row r="166">
      <c r="A166" t="inlineStr">
        <is>
          <t>G000165</t>
        </is>
      </c>
      <c r="B166" t="inlineStr">
        <is>
          <t>ATF Fuel 2</t>
        </is>
      </c>
      <c r="C166" t="inlineStr">
        <is>
          <t>Horizontal</t>
        </is>
      </c>
      <c r="D166" t="n">
        <v>2</v>
      </c>
      <c r="E166" t="inlineStr">
        <is>
          <t>ATF Fuel 2!AN10:AO10</t>
        </is>
      </c>
      <c r="F166" t="inlineStr">
        <is>
          <t>'=R[-1]C[0]/R[-2]C[0]</t>
        </is>
      </c>
      <c r="G166" t="inlineStr">
        <is>
          <t>Vectorizable</t>
        </is>
      </c>
    </row>
    <row r="167">
      <c r="A167" t="inlineStr">
        <is>
          <t>G000166</t>
        </is>
      </c>
      <c r="B167" t="inlineStr">
        <is>
          <t>ATF Fuel 2</t>
        </is>
      </c>
      <c r="C167" t="inlineStr">
        <is>
          <t>Vertical</t>
        </is>
      </c>
      <c r="D167" t="n">
        <v>5</v>
      </c>
      <c r="E167" t="inlineStr">
        <is>
          <t>ATF Fuel 2!B95:B99</t>
        </is>
      </c>
      <c r="F167" t="inlineStr">
        <is>
          <t>'=R[-1]C[0]*(1+R95C3)</t>
        </is>
      </c>
      <c r="G167" t="inlineStr">
        <is>
          <t>Vectorizable</t>
        </is>
      </c>
    </row>
    <row r="168">
      <c r="A168" t="inlineStr">
        <is>
          <t>G000167</t>
        </is>
      </c>
      <c r="B168" t="inlineStr">
        <is>
          <t>ATF Fuel 2</t>
        </is>
      </c>
      <c r="C168" t="inlineStr">
        <is>
          <t>Vertical</t>
        </is>
      </c>
      <c r="D168" t="n">
        <v>5</v>
      </c>
      <c r="E168" t="inlineStr">
        <is>
          <t>ATF Fuel 2!C95:C99</t>
        </is>
      </c>
      <c r="F168" t="inlineStr">
        <is>
          <t>'=R[0]C[6]</t>
        </is>
      </c>
      <c r="G168" t="inlineStr">
        <is>
          <t>Vectorizable</t>
        </is>
      </c>
    </row>
    <row r="169">
      <c r="A169" t="inlineStr">
        <is>
          <t>G000168</t>
        </is>
      </c>
      <c r="B169" t="inlineStr">
        <is>
          <t>ATF Fuel 2</t>
        </is>
      </c>
      <c r="C169" t="inlineStr">
        <is>
          <t>Vertical</t>
        </is>
      </c>
      <c r="D169" t="n">
        <v>2</v>
      </c>
      <c r="E169" t="inlineStr">
        <is>
          <t>ATF Fuel 2!F98:F99</t>
        </is>
      </c>
      <c r="F169" t="inlineStr">
        <is>
          <t>'=R[-1]C[0]</t>
        </is>
      </c>
      <c r="G169" t="inlineStr">
        <is>
          <t>Vectorizable</t>
        </is>
      </c>
    </row>
    <row r="170">
      <c r="A170" t="inlineStr">
        <is>
          <t>G000169</t>
        </is>
      </c>
      <c r="B170" t="inlineStr">
        <is>
          <t>Balance sheet</t>
        </is>
      </c>
      <c r="C170" t="inlineStr">
        <is>
          <t>Horizontal</t>
        </is>
      </c>
      <c r="D170" t="n">
        <v>11</v>
      </c>
      <c r="E170" t="inlineStr">
        <is>
          <t>Balance sheet!E5:O5</t>
        </is>
      </c>
      <c r="F170" t="inlineStr">
        <is>
          <t>'=EOMONTH(R[0]C[-1],12)</t>
        </is>
      </c>
      <c r="G170" t="inlineStr">
        <is>
          <t>Vectorizable</t>
        </is>
      </c>
    </row>
    <row r="171">
      <c r="A171" t="inlineStr">
        <is>
          <t>G000170</t>
        </is>
      </c>
      <c r="B171" t="inlineStr">
        <is>
          <t>Balance sheet</t>
        </is>
      </c>
      <c r="C171" t="inlineStr">
        <is>
          <t>Horizontal</t>
        </is>
      </c>
      <c r="D171" t="n">
        <v>12</v>
      </c>
      <c r="E171" t="inlineStr">
        <is>
          <t>Balance sheet!D6:O6</t>
        </is>
      </c>
      <c r="F171" t="inlineStr">
        <is>
          <t>'=YEAR(R[-1]C[0])</t>
        </is>
      </c>
      <c r="G171" t="inlineStr">
        <is>
          <t>Vectorizable</t>
        </is>
      </c>
    </row>
    <row r="172">
      <c r="A172" t="inlineStr">
        <is>
          <t>G000171</t>
        </is>
      </c>
      <c r="B172" t="inlineStr">
        <is>
          <t>Balance sheet</t>
        </is>
      </c>
      <c r="C172" t="inlineStr">
        <is>
          <t>Horizontal</t>
        </is>
      </c>
      <c r="D172" t="n">
        <v>5</v>
      </c>
      <c r="E172" t="inlineStr">
        <is>
          <t>Balance sheet!K8:O8</t>
        </is>
      </c>
      <c r="F172" t="inlineStr">
        <is>
          <t>'=R[0]C[-1]</t>
        </is>
      </c>
      <c r="G172" t="inlineStr">
        <is>
          <t>Vectorizable</t>
        </is>
      </c>
    </row>
    <row r="173">
      <c r="A173" t="inlineStr">
        <is>
          <t>G000172</t>
        </is>
      </c>
      <c r="B173" t="inlineStr">
        <is>
          <t>Balance sheet</t>
        </is>
      </c>
      <c r="C173" t="inlineStr">
        <is>
          <t>Horizontal</t>
        </is>
      </c>
      <c r="D173" t="n">
        <v>5</v>
      </c>
      <c r="E173" t="inlineStr">
        <is>
          <t>Balance sheet!K12:O12</t>
        </is>
      </c>
      <c r="F173" t="inlineStr">
        <is>
          <t>'=R[0]C[-1]</t>
        </is>
      </c>
      <c r="G173" t="inlineStr">
        <is>
          <t>Vectorizable</t>
        </is>
      </c>
    </row>
    <row r="174">
      <c r="A174" t="inlineStr">
        <is>
          <t>G000173</t>
        </is>
      </c>
      <c r="B174" t="inlineStr">
        <is>
          <t>Balance sheet</t>
        </is>
      </c>
      <c r="C174" t="inlineStr">
        <is>
          <t>Horizontal</t>
        </is>
      </c>
      <c r="D174" t="n">
        <v>5</v>
      </c>
      <c r="E174" t="inlineStr">
        <is>
          <t>Balance sheet!K15:O15</t>
        </is>
      </c>
      <c r="F174" t="inlineStr">
        <is>
          <t>'=R[0]C[-1]</t>
        </is>
      </c>
      <c r="G174" t="inlineStr">
        <is>
          <t>Vectorizable</t>
        </is>
      </c>
    </row>
    <row r="175">
      <c r="A175" t="inlineStr">
        <is>
          <t>G000174</t>
        </is>
      </c>
      <c r="B175" t="inlineStr">
        <is>
          <t>Balance sheet</t>
        </is>
      </c>
      <c r="C175" t="inlineStr">
        <is>
          <t>Horizontal</t>
        </is>
      </c>
      <c r="D175" t="n">
        <v>5</v>
      </c>
      <c r="E175" t="inlineStr">
        <is>
          <t>Balance sheet!K20:O20</t>
        </is>
      </c>
      <c r="F175" t="inlineStr">
        <is>
          <t>'=R[0]C[-1]</t>
        </is>
      </c>
      <c r="G175" t="inlineStr">
        <is>
          <t>Vectorizable</t>
        </is>
      </c>
    </row>
    <row r="176">
      <c r="A176" t="inlineStr">
        <is>
          <t>G000175</t>
        </is>
      </c>
      <c r="B176" t="inlineStr">
        <is>
          <t>Balance sheet</t>
        </is>
      </c>
      <c r="C176" t="inlineStr">
        <is>
          <t>Horizontal</t>
        </is>
      </c>
      <c r="D176" t="n">
        <v>5</v>
      </c>
      <c r="E176" t="inlineStr">
        <is>
          <t>Balance sheet!K30:O30</t>
        </is>
      </c>
      <c r="F176" t="inlineStr">
        <is>
          <t>'=R[0]C[-1]</t>
        </is>
      </c>
      <c r="G176" t="inlineStr">
        <is>
          <t>Vectorizable</t>
        </is>
      </c>
    </row>
    <row r="177">
      <c r="A177" t="inlineStr">
        <is>
          <t>G000176</t>
        </is>
      </c>
      <c r="B177" t="inlineStr">
        <is>
          <t>Balance sheet</t>
        </is>
      </c>
      <c r="C177" t="inlineStr">
        <is>
          <t>Horizontal</t>
        </is>
      </c>
      <c r="D177" t="n">
        <v>5</v>
      </c>
      <c r="E177" t="inlineStr">
        <is>
          <t>Balance sheet!K31:O31</t>
        </is>
      </c>
      <c r="F177" t="inlineStr">
        <is>
          <t>'=R[0]C[-1]</t>
        </is>
      </c>
      <c r="G177" t="inlineStr">
        <is>
          <t>Vectorizable</t>
        </is>
      </c>
    </row>
    <row r="178">
      <c r="A178" t="inlineStr">
        <is>
          <t>G000177</t>
        </is>
      </c>
      <c r="B178" t="inlineStr">
        <is>
          <t>Balance sheet</t>
        </is>
      </c>
      <c r="C178" t="inlineStr">
        <is>
          <t>Horizontal</t>
        </is>
      </c>
      <c r="D178" t="n">
        <v>5</v>
      </c>
      <c r="E178" t="inlineStr">
        <is>
          <t>Balance sheet!K34:O34</t>
        </is>
      </c>
      <c r="F178" t="inlineStr">
        <is>
          <t>'=R[0]C[-1]</t>
        </is>
      </c>
      <c r="G178" t="inlineStr">
        <is>
          <t>Vectorizable</t>
        </is>
      </c>
    </row>
    <row r="179">
      <c r="A179" t="inlineStr">
        <is>
          <t>G000178</t>
        </is>
      </c>
      <c r="B179" t="inlineStr">
        <is>
          <t>Balance sheet</t>
        </is>
      </c>
      <c r="C179" t="inlineStr">
        <is>
          <t>Horizontal</t>
        </is>
      </c>
      <c r="D179" t="n">
        <v>5</v>
      </c>
      <c r="E179" t="inlineStr">
        <is>
          <t>Balance sheet!K35:O35</t>
        </is>
      </c>
      <c r="F179" t="inlineStr">
        <is>
          <t>'=R[0]C[-1]</t>
        </is>
      </c>
      <c r="G179" t="inlineStr">
        <is>
          <t>Vectorizable</t>
        </is>
      </c>
    </row>
    <row r="180">
      <c r="A180" t="inlineStr">
        <is>
          <t>G000179</t>
        </is>
      </c>
      <c r="B180" t="inlineStr">
        <is>
          <t>Balance sheet</t>
        </is>
      </c>
      <c r="C180" t="inlineStr">
        <is>
          <t>Horizontal</t>
        </is>
      </c>
      <c r="D180" t="n">
        <v>5</v>
      </c>
      <c r="E180" t="inlineStr">
        <is>
          <t>Balance sheet!K36:O36</t>
        </is>
      </c>
      <c r="F180" t="inlineStr">
        <is>
          <t>'=R[0]C[-1]</t>
        </is>
      </c>
      <c r="G180" t="inlineStr">
        <is>
          <t>Vectorizable</t>
        </is>
      </c>
    </row>
    <row r="181">
      <c r="A181" t="inlineStr">
        <is>
          <t>G000180</t>
        </is>
      </c>
      <c r="B181" t="inlineStr">
        <is>
          <t>Balance sheet</t>
        </is>
      </c>
      <c r="C181" t="inlineStr">
        <is>
          <t>Horizontal</t>
        </is>
      </c>
      <c r="D181" t="n">
        <v>5</v>
      </c>
      <c r="E181" t="inlineStr">
        <is>
          <t>Balance sheet!K37:O37</t>
        </is>
      </c>
      <c r="F181" t="inlineStr">
        <is>
          <t>'=R[0]C[-1]</t>
        </is>
      </c>
      <c r="G181" t="inlineStr">
        <is>
          <t>Vectorizable</t>
        </is>
      </c>
    </row>
    <row r="182">
      <c r="A182" t="inlineStr">
        <is>
          <t>G000181</t>
        </is>
      </c>
      <c r="B182" t="inlineStr">
        <is>
          <t>Balance sheet</t>
        </is>
      </c>
      <c r="C182" t="inlineStr">
        <is>
          <t>Horizontal</t>
        </is>
      </c>
      <c r="D182" t="n">
        <v>5</v>
      </c>
      <c r="E182" t="inlineStr">
        <is>
          <t>Balance sheet!K40:O40</t>
        </is>
      </c>
      <c r="F182" t="inlineStr">
        <is>
          <t>'=R[0]C[-1]</t>
        </is>
      </c>
      <c r="G182" t="inlineStr">
        <is>
          <t>Vectorizable</t>
        </is>
      </c>
    </row>
    <row r="183">
      <c r="A183" t="inlineStr">
        <is>
          <t>G000182</t>
        </is>
      </c>
      <c r="B183" t="inlineStr">
        <is>
          <t>Balance sheet</t>
        </is>
      </c>
      <c r="C183" t="inlineStr">
        <is>
          <t>Horizontal</t>
        </is>
      </c>
      <c r="D183" t="n">
        <v>4</v>
      </c>
      <c r="E183" t="inlineStr">
        <is>
          <t>Balance sheet!L51:O51</t>
        </is>
      </c>
      <c r="F183" t="inlineStr">
        <is>
          <t>'=R[0]C[-1]</t>
        </is>
      </c>
      <c r="G183" t="inlineStr">
        <is>
          <t>Vectorizable</t>
        </is>
      </c>
    </row>
    <row r="184">
      <c r="A184" t="inlineStr">
        <is>
          <t>G000183</t>
        </is>
      </c>
      <c r="B184" t="inlineStr">
        <is>
          <t>Balance sheet</t>
        </is>
      </c>
      <c r="C184" t="inlineStr">
        <is>
          <t>Horizontal</t>
        </is>
      </c>
      <c r="D184" t="n">
        <v>4</v>
      </c>
      <c r="E184" t="inlineStr">
        <is>
          <t>Balance sheet!L53:O53</t>
        </is>
      </c>
      <c r="F184" t="inlineStr">
        <is>
          <t>'=R[0]C[-1]</t>
        </is>
      </c>
      <c r="G184" t="inlineStr">
        <is>
          <t>Vectorizable</t>
        </is>
      </c>
    </row>
    <row r="185">
      <c r="A185" t="inlineStr">
        <is>
          <t>G000184</t>
        </is>
      </c>
      <c r="B185" t="inlineStr">
        <is>
          <t>Balance sheet</t>
        </is>
      </c>
      <c r="C185" t="inlineStr">
        <is>
          <t>Horizontal</t>
        </is>
      </c>
      <c r="D185" t="n">
        <v>4</v>
      </c>
      <c r="E185" t="inlineStr">
        <is>
          <t>Balance sheet!L54:O54</t>
        </is>
      </c>
      <c r="F185" t="inlineStr">
        <is>
          <t>'=R[0]C[-1]</t>
        </is>
      </c>
      <c r="G185" t="inlineStr">
        <is>
          <t>Vectorizable</t>
        </is>
      </c>
    </row>
    <row r="186">
      <c r="A186" t="inlineStr">
        <is>
          <t>G000185</t>
        </is>
      </c>
      <c r="B186" t="inlineStr">
        <is>
          <t>Balance sheet</t>
        </is>
      </c>
      <c r="C186" t="inlineStr">
        <is>
          <t>Horizontal</t>
        </is>
      </c>
      <c r="D186" t="n">
        <v>4</v>
      </c>
      <c r="E186" t="inlineStr">
        <is>
          <t>Balance sheet!L56:O56</t>
        </is>
      </c>
      <c r="F186" t="inlineStr">
        <is>
          <t>'=R[0]C[-1]</t>
        </is>
      </c>
      <c r="G186" t="inlineStr">
        <is>
          <t>Vectorizable</t>
        </is>
      </c>
    </row>
    <row r="187">
      <c r="A187" t="inlineStr">
        <is>
          <t>G000186</t>
        </is>
      </c>
      <c r="B187" t="inlineStr">
        <is>
          <t>Balance sheet</t>
        </is>
      </c>
      <c r="C187" t="inlineStr">
        <is>
          <t>Horizontal</t>
        </is>
      </c>
      <c r="D187" t="n">
        <v>4</v>
      </c>
      <c r="E187" t="inlineStr">
        <is>
          <t>Balance sheet!L57:O57</t>
        </is>
      </c>
      <c r="F187" t="inlineStr">
        <is>
          <t>'=R[0]C[-1]</t>
        </is>
      </c>
      <c r="G187" t="inlineStr">
        <is>
          <t>Vectorizable</t>
        </is>
      </c>
    </row>
    <row r="188">
      <c r="A188" t="inlineStr">
        <is>
          <t>G000187</t>
        </is>
      </c>
      <c r="B188" t="inlineStr">
        <is>
          <t>Balance sheet</t>
        </is>
      </c>
      <c r="C188" t="inlineStr">
        <is>
          <t>Horizontal</t>
        </is>
      </c>
      <c r="D188" t="n">
        <v>5</v>
      </c>
      <c r="E188" t="inlineStr">
        <is>
          <t>Balance sheet!K9:O9</t>
        </is>
      </c>
      <c r="F188" t="inlineStr">
        <is>
          <t>'=R[0]C[-1]+'Income statement'!R[22]C[0]-'Cost Matrix'!R[37]C[0]-'Cost Matrix'!R[38]C[0]</t>
        </is>
      </c>
      <c r="G188" t="inlineStr">
        <is>
          <t>Vectorizable</t>
        </is>
      </c>
    </row>
    <row r="189">
      <c r="A189" t="inlineStr">
        <is>
          <t>G000188</t>
        </is>
      </c>
      <c r="B189" t="inlineStr">
        <is>
          <t>Balance sheet</t>
        </is>
      </c>
      <c r="C189" t="inlineStr">
        <is>
          <t>Horizontal</t>
        </is>
      </c>
      <c r="D189" t="n">
        <v>12</v>
      </c>
      <c r="E189" t="inlineStr">
        <is>
          <t>Balance sheet!D10:O10</t>
        </is>
      </c>
      <c r="F189" t="inlineStr">
        <is>
          <t>'=SUM(R[-2]C[0]:R[-1]C[0])</t>
        </is>
      </c>
      <c r="G189" t="inlineStr">
        <is>
          <t>Vectorizable</t>
        </is>
      </c>
    </row>
    <row r="190">
      <c r="A190" t="inlineStr">
        <is>
          <t>G000189</t>
        </is>
      </c>
      <c r="B190" t="inlineStr">
        <is>
          <t>Balance sheet</t>
        </is>
      </c>
      <c r="C190" t="inlineStr">
        <is>
          <t>Horizontal</t>
        </is>
      </c>
      <c r="D190" t="n">
        <v>5</v>
      </c>
      <c r="E190" t="inlineStr">
        <is>
          <t>Balance sheet!K13:O13</t>
        </is>
      </c>
      <c r="F190" t="inlineStr">
        <is>
          <t>'='Debt schedule'!R[-3]C[0]</t>
        </is>
      </c>
      <c r="G190" t="inlineStr">
        <is>
          <t>Vectorizable</t>
        </is>
      </c>
    </row>
    <row r="191">
      <c r="A191" t="inlineStr">
        <is>
          <t>G000190</t>
        </is>
      </c>
      <c r="B191" t="inlineStr">
        <is>
          <t>Balance sheet</t>
        </is>
      </c>
      <c r="C191" t="inlineStr">
        <is>
          <t>Horizontal</t>
        </is>
      </c>
      <c r="D191" t="n">
        <v>5</v>
      </c>
      <c r="E191" t="inlineStr">
        <is>
          <t>Balance sheet!K14:O14</t>
        </is>
      </c>
      <c r="F191" t="inlineStr">
        <is>
          <t>'=R[43]C[0]*'Income statement'!R[4]C[0]</t>
        </is>
      </c>
      <c r="G191" t="inlineStr">
        <is>
          <t>Vectorizable</t>
        </is>
      </c>
    </row>
    <row r="192">
      <c r="A192" t="inlineStr">
        <is>
          <t>G000191</t>
        </is>
      </c>
      <c r="B192" t="inlineStr">
        <is>
          <t>Balance sheet</t>
        </is>
      </c>
      <c r="C192" t="inlineStr">
        <is>
          <t>Horizontal</t>
        </is>
      </c>
      <c r="D192" t="n">
        <v>5</v>
      </c>
      <c r="E192" t="inlineStr">
        <is>
          <t>Balance sheet!K16:O16</t>
        </is>
      </c>
      <c r="F192" t="inlineStr">
        <is>
          <t>'='Incentive'!R[-9]C[0]</t>
        </is>
      </c>
      <c r="G192" t="inlineStr">
        <is>
          <t>Vectorizable</t>
        </is>
      </c>
    </row>
    <row r="193">
      <c r="A193" t="inlineStr">
        <is>
          <t>G000192</t>
        </is>
      </c>
      <c r="B193" t="inlineStr">
        <is>
          <t>Balance sheet</t>
        </is>
      </c>
      <c r="C193" t="inlineStr">
        <is>
          <t>Horizontal</t>
        </is>
      </c>
      <c r="D193" t="n">
        <v>12</v>
      </c>
      <c r="E193" t="inlineStr">
        <is>
          <t>Balance sheet!D17:O17</t>
        </is>
      </c>
      <c r="F193" t="inlineStr">
        <is>
          <t>'=SUM(R[-5]C[0]:R[-1]C[0])</t>
        </is>
      </c>
      <c r="G193" t="inlineStr">
        <is>
          <t>Vectorizable</t>
        </is>
      </c>
    </row>
    <row r="194">
      <c r="A194" t="inlineStr">
        <is>
          <t>G000193</t>
        </is>
      </c>
      <c r="B194" t="inlineStr">
        <is>
          <t>Balance sheet</t>
        </is>
      </c>
      <c r="C194" t="inlineStr">
        <is>
          <t>Horizontal</t>
        </is>
      </c>
      <c r="D194" t="n">
        <v>12</v>
      </c>
      <c r="E194" t="inlineStr">
        <is>
          <t>Balance sheet!D25:O25</t>
        </is>
      </c>
      <c r="F194" t="inlineStr">
        <is>
          <t>'=SUM(R[-5]C[0]:R[-1]C[0])</t>
        </is>
      </c>
      <c r="G194" t="inlineStr">
        <is>
          <t>Vectorizable</t>
        </is>
      </c>
    </row>
    <row r="195">
      <c r="A195" t="inlineStr">
        <is>
          <t>G000194</t>
        </is>
      </c>
      <c r="B195" t="inlineStr">
        <is>
          <t>Balance sheet</t>
        </is>
      </c>
      <c r="C195" t="inlineStr">
        <is>
          <t>Horizontal</t>
        </is>
      </c>
      <c r="D195" t="n">
        <v>7</v>
      </c>
      <c r="E195" t="inlineStr">
        <is>
          <t>Balance sheet!D18:J18</t>
        </is>
      </c>
      <c r="F195" t="inlineStr">
        <is>
          <t>'='Cost Matrix'!R[12]C[0]</t>
        </is>
      </c>
      <c r="G195" t="inlineStr">
        <is>
          <t>Vectorizable</t>
        </is>
      </c>
    </row>
    <row r="196">
      <c r="A196" t="inlineStr">
        <is>
          <t>G000195</t>
        </is>
      </c>
      <c r="B196" t="inlineStr">
        <is>
          <t>Balance sheet</t>
        </is>
      </c>
      <c r="C196" t="inlineStr">
        <is>
          <t>Horizontal</t>
        </is>
      </c>
      <c r="D196" t="n">
        <v>7</v>
      </c>
      <c r="E196" t="inlineStr">
        <is>
          <t>Balance sheet!D19:J19</t>
        </is>
      </c>
      <c r="F196" t="inlineStr">
        <is>
          <t>'=R[-1]C[0]/R[-3]C[0]</t>
        </is>
      </c>
      <c r="G196" t="inlineStr">
        <is>
          <t>Vectorizable</t>
        </is>
      </c>
    </row>
    <row r="197">
      <c r="A197" t="inlineStr">
        <is>
          <t>G000196</t>
        </is>
      </c>
      <c r="B197" t="inlineStr">
        <is>
          <t>Balance sheet</t>
        </is>
      </c>
      <c r="C197" t="inlineStr">
        <is>
          <t>Horizontal</t>
        </is>
      </c>
      <c r="D197" t="n">
        <v>5</v>
      </c>
      <c r="E197" t="inlineStr">
        <is>
          <t>Balance sheet!K21:O21</t>
        </is>
      </c>
      <c r="F197" t="inlineStr">
        <is>
          <t>'=('Income statement'!R[-7]C[0]+'Income statement'!R[-5]C[0])*R[29]C[0]</t>
        </is>
      </c>
      <c r="G197" t="inlineStr">
        <is>
          <t>Vectorizable</t>
        </is>
      </c>
    </row>
    <row r="198">
      <c r="A198" t="inlineStr">
        <is>
          <t>G000197</t>
        </is>
      </c>
      <c r="B198" t="inlineStr">
        <is>
          <t>Balance sheet</t>
        </is>
      </c>
      <c r="C198" t="inlineStr">
        <is>
          <t>Horizontal</t>
        </is>
      </c>
      <c r="D198" t="n">
        <v>5</v>
      </c>
      <c r="E198" t="inlineStr">
        <is>
          <t>Balance sheet!K22:O22</t>
        </is>
      </c>
      <c r="F198" t="inlineStr">
        <is>
          <t>'=R[29]C[0]*'Income statement'!R[-8]C[0]</t>
        </is>
      </c>
      <c r="G198" t="inlineStr">
        <is>
          <t>Vectorizable</t>
        </is>
      </c>
    </row>
    <row r="199">
      <c r="A199" t="inlineStr">
        <is>
          <t>G000198</t>
        </is>
      </c>
      <c r="B199" t="inlineStr">
        <is>
          <t>Balance sheet</t>
        </is>
      </c>
      <c r="C199" t="inlineStr">
        <is>
          <t>Horizontal</t>
        </is>
      </c>
      <c r="D199" t="n">
        <v>5</v>
      </c>
      <c r="E199" t="inlineStr">
        <is>
          <t>Balance sheet!K23:O23</t>
        </is>
      </c>
      <c r="F199" t="inlineStr">
        <is>
          <t>'=R[29]C[0]*'Income statement'!R[-9]C[0]</t>
        </is>
      </c>
      <c r="G199" t="inlineStr">
        <is>
          <t>Vectorizable</t>
        </is>
      </c>
    </row>
    <row r="200">
      <c r="A200" t="inlineStr">
        <is>
          <t>G000199</t>
        </is>
      </c>
      <c r="B200" t="inlineStr">
        <is>
          <t>Balance sheet</t>
        </is>
      </c>
      <c r="C200" t="inlineStr">
        <is>
          <t>Horizontal</t>
        </is>
      </c>
      <c r="D200" t="n">
        <v>5</v>
      </c>
      <c r="E200" t="inlineStr">
        <is>
          <t>Balance sheet!K24:O24</t>
        </is>
      </c>
      <c r="F200" t="inlineStr">
        <is>
          <t>'='Incentive'!R[-16]C[0]</t>
        </is>
      </c>
      <c r="G200" t="inlineStr">
        <is>
          <t>Vectorizable</t>
        </is>
      </c>
    </row>
    <row r="201">
      <c r="A201" t="inlineStr">
        <is>
          <t>G000200</t>
        </is>
      </c>
      <c r="B201" t="inlineStr">
        <is>
          <t>Balance sheet</t>
        </is>
      </c>
      <c r="C201" t="inlineStr">
        <is>
          <t>Horizontal</t>
        </is>
      </c>
      <c r="D201" t="n">
        <v>12</v>
      </c>
      <c r="E201" t="inlineStr">
        <is>
          <t>Balance sheet!D26:O26</t>
        </is>
      </c>
      <c r="F201" t="inlineStr">
        <is>
          <t>'=R[-16]C[0]+R[-9]C[0]+R[-1]C[0]</t>
        </is>
      </c>
      <c r="G201" t="inlineStr">
        <is>
          <t>Vectorizable</t>
        </is>
      </c>
    </row>
    <row r="202">
      <c r="A202" t="inlineStr">
        <is>
          <t>G000201</t>
        </is>
      </c>
      <c r="B202" t="inlineStr">
        <is>
          <t>Balance sheet</t>
        </is>
      </c>
      <c r="C202" t="inlineStr">
        <is>
          <t>Horizontal</t>
        </is>
      </c>
      <c r="D202" t="n">
        <v>5</v>
      </c>
      <c r="E202" t="inlineStr">
        <is>
          <t>Balance sheet!K28:O28</t>
        </is>
      </c>
      <c r="F202" t="inlineStr">
        <is>
          <t>'='Asset Schedule '!R[-16]C[0]</t>
        </is>
      </c>
      <c r="G202" t="inlineStr">
        <is>
          <t>Vectorizable</t>
        </is>
      </c>
    </row>
    <row r="203">
      <c r="A203" t="inlineStr">
        <is>
          <t>G000202</t>
        </is>
      </c>
      <c r="B203" t="inlineStr">
        <is>
          <t>Balance sheet</t>
        </is>
      </c>
      <c r="C203" t="inlineStr">
        <is>
          <t>Horizontal</t>
        </is>
      </c>
      <c r="D203" t="n">
        <v>5</v>
      </c>
      <c r="E203" t="inlineStr">
        <is>
          <t>Balance sheet!K29:O29</t>
        </is>
      </c>
      <c r="F203" t="inlineStr">
        <is>
          <t>'='Asset Schedule '!R[-4]C[0]</t>
        </is>
      </c>
      <c r="G203" t="inlineStr">
        <is>
          <t>Vectorizable</t>
        </is>
      </c>
    </row>
    <row r="204">
      <c r="A204" t="inlineStr">
        <is>
          <t>G000203</t>
        </is>
      </c>
      <c r="B204" t="inlineStr">
        <is>
          <t>Balance sheet</t>
        </is>
      </c>
      <c r="C204" t="inlineStr">
        <is>
          <t>Horizontal</t>
        </is>
      </c>
      <c r="D204" t="n">
        <v>12</v>
      </c>
      <c r="E204" t="inlineStr">
        <is>
          <t>Balance sheet!D32:O32</t>
        </is>
      </c>
      <c r="F204" t="inlineStr">
        <is>
          <t>'=SUM(R[-4]C[0]:R[-1]C[0])</t>
        </is>
      </c>
      <c r="G204" t="inlineStr">
        <is>
          <t>Vectorizable</t>
        </is>
      </c>
    </row>
    <row r="205">
      <c r="A205" t="inlineStr">
        <is>
          <t>G000204</t>
        </is>
      </c>
      <c r="B205" t="inlineStr">
        <is>
          <t>Balance sheet</t>
        </is>
      </c>
      <c r="C205" t="inlineStr">
        <is>
          <t>Horizontal</t>
        </is>
      </c>
      <c r="D205" t="n">
        <v>12</v>
      </c>
      <c r="E205" t="inlineStr">
        <is>
          <t>Balance sheet!D38:O38</t>
        </is>
      </c>
      <c r="F205" t="inlineStr">
        <is>
          <t>'=SUM(R[-4]C[0]:R[-1]C[0])</t>
        </is>
      </c>
      <c r="G205" t="inlineStr">
        <is>
          <t>Vectorizable</t>
        </is>
      </c>
    </row>
    <row r="206">
      <c r="A206" t="inlineStr">
        <is>
          <t>G000205</t>
        </is>
      </c>
      <c r="B206" t="inlineStr">
        <is>
          <t>Balance sheet</t>
        </is>
      </c>
      <c r="C206" t="inlineStr">
        <is>
          <t>Horizontal</t>
        </is>
      </c>
      <c r="D206" t="n">
        <v>5</v>
      </c>
      <c r="E206" t="inlineStr">
        <is>
          <t>Balance sheet!K41:O41</t>
        </is>
      </c>
      <c r="F206" t="inlineStr">
        <is>
          <t>'=('Income statement'!R[-27]C[0]+'Income statement'!R[-25]C[0])*R[12]C[0]</t>
        </is>
      </c>
      <c r="G206" t="inlineStr">
        <is>
          <t>Vectorizable</t>
        </is>
      </c>
    </row>
    <row r="207">
      <c r="A207" t="inlineStr">
        <is>
          <t>G000206</t>
        </is>
      </c>
      <c r="B207" t="inlineStr">
        <is>
          <t>Balance sheet</t>
        </is>
      </c>
      <c r="C207" t="inlineStr">
        <is>
          <t>Horizontal</t>
        </is>
      </c>
      <c r="D207" t="n">
        <v>5</v>
      </c>
      <c r="E207" t="inlineStr">
        <is>
          <t>Balance sheet!K42:O42</t>
        </is>
      </c>
      <c r="F207" t="inlineStr">
        <is>
          <t>'=R[12]C[0]*'Income statement'!R[-35]C[0]</t>
        </is>
      </c>
      <c r="G207" t="inlineStr">
        <is>
          <t>Vectorizable</t>
        </is>
      </c>
    </row>
    <row r="208">
      <c r="A208" t="inlineStr">
        <is>
          <t>G000207</t>
        </is>
      </c>
      <c r="B208" t="inlineStr">
        <is>
          <t>Balance sheet</t>
        </is>
      </c>
      <c r="C208" t="inlineStr">
        <is>
          <t>Horizontal</t>
        </is>
      </c>
      <c r="D208" t="n">
        <v>5</v>
      </c>
      <c r="E208" t="inlineStr">
        <is>
          <t>Balance sheet!K43:O43</t>
        </is>
      </c>
      <c r="F208" t="inlineStr">
        <is>
          <t>'='CashFlow Statement'!R[12]C[0]+'CashFlow Statement'!R[14]C[0]</t>
        </is>
      </c>
      <c r="G208" t="inlineStr">
        <is>
          <t>Vectorizable</t>
        </is>
      </c>
    </row>
    <row r="209">
      <c r="A209" t="inlineStr">
        <is>
          <t>G000208</t>
        </is>
      </c>
      <c r="B209" t="inlineStr">
        <is>
          <t>Balance sheet</t>
        </is>
      </c>
      <c r="C209" t="inlineStr">
        <is>
          <t>Horizontal</t>
        </is>
      </c>
      <c r="D209" t="n">
        <v>5</v>
      </c>
      <c r="E209" t="inlineStr">
        <is>
          <t>Balance sheet!K44:O44</t>
        </is>
      </c>
      <c r="F209" t="inlineStr">
        <is>
          <t>'='Income statement'!R[-37]C[0]*R[11]C[0]</t>
        </is>
      </c>
      <c r="G209" t="inlineStr">
        <is>
          <t>Vectorizable</t>
        </is>
      </c>
    </row>
    <row r="210">
      <c r="A210" t="inlineStr">
        <is>
          <t>G000209</t>
        </is>
      </c>
      <c r="B210" t="inlineStr">
        <is>
          <t>Balance sheet</t>
        </is>
      </c>
      <c r="C210" t="inlineStr">
        <is>
          <t>Horizontal</t>
        </is>
      </c>
      <c r="D210" t="n">
        <v>5</v>
      </c>
      <c r="E210" t="inlineStr">
        <is>
          <t>Balance sheet!K45:O45</t>
        </is>
      </c>
      <c r="F210" t="inlineStr">
        <is>
          <t>'=R[11]C[0]*'Income statement'!R[-38]C[0]</t>
        </is>
      </c>
      <c r="G210" t="inlineStr">
        <is>
          <t>Vectorizable</t>
        </is>
      </c>
    </row>
    <row r="211">
      <c r="A211" t="inlineStr">
        <is>
          <t>G000210</t>
        </is>
      </c>
      <c r="B211" t="inlineStr">
        <is>
          <t>Balance sheet</t>
        </is>
      </c>
      <c r="C211" t="inlineStr">
        <is>
          <t>Horizontal</t>
        </is>
      </c>
      <c r="D211" t="n">
        <v>12</v>
      </c>
      <c r="E211" t="inlineStr">
        <is>
          <t>Balance sheet!D46:O46</t>
        </is>
      </c>
      <c r="F211" t="inlineStr">
        <is>
          <t>'=SUM(R[-6]C[0]:R[-1]C[0])</t>
        </is>
      </c>
      <c r="G211" t="inlineStr">
        <is>
          <t>Vectorizable</t>
        </is>
      </c>
    </row>
    <row r="212">
      <c r="A212" t="inlineStr">
        <is>
          <t>G000211</t>
        </is>
      </c>
      <c r="B212" t="inlineStr">
        <is>
          <t>Balance sheet</t>
        </is>
      </c>
      <c r="C212" t="inlineStr">
        <is>
          <t>Horizontal</t>
        </is>
      </c>
      <c r="D212" t="n">
        <v>12</v>
      </c>
      <c r="E212" t="inlineStr">
        <is>
          <t>Balance sheet!D47:O47</t>
        </is>
      </c>
      <c r="F212" t="inlineStr">
        <is>
          <t>'=R[-15]C[0]+R[-9]C[0]+R[-1]C[0]</t>
        </is>
      </c>
      <c r="G212" t="inlineStr">
        <is>
          <t>Vectorizable</t>
        </is>
      </c>
    </row>
    <row r="213">
      <c r="A213" t="inlineStr">
        <is>
          <t>G000212</t>
        </is>
      </c>
      <c r="B213" t="inlineStr">
        <is>
          <t>Balance sheet</t>
        </is>
      </c>
      <c r="C213" t="inlineStr">
        <is>
          <t>Horizontal</t>
        </is>
      </c>
      <c r="D213" t="n">
        <v>12</v>
      </c>
      <c r="E213" t="inlineStr">
        <is>
          <t>Balance sheet!D48:O48</t>
        </is>
      </c>
      <c r="F213" t="inlineStr">
        <is>
          <t>'=R[-22]C[0]-R[-1]C[0]</t>
        </is>
      </c>
      <c r="G213" t="inlineStr">
        <is>
          <t>Vectorizable</t>
        </is>
      </c>
    </row>
    <row r="214">
      <c r="A214" t="inlineStr">
        <is>
          <t>G000213</t>
        </is>
      </c>
      <c r="B214" t="inlineStr">
        <is>
          <t>Balance sheet</t>
        </is>
      </c>
      <c r="C214" t="inlineStr">
        <is>
          <t>Horizontal</t>
        </is>
      </c>
      <c r="D214" t="n">
        <v>7</v>
      </c>
      <c r="E214" t="inlineStr">
        <is>
          <t>Balance sheet!D50:J50</t>
        </is>
      </c>
      <c r="F214" t="inlineStr">
        <is>
          <t>'=R[-29]C[0]/('Income statement'!R[-36]C[0]+'Income statement'!R[-34]C[0])</t>
        </is>
      </c>
      <c r="G214" t="inlineStr">
        <is>
          <t>Vectorizable</t>
        </is>
      </c>
    </row>
    <row r="215">
      <c r="A215" t="inlineStr">
        <is>
          <t>G000214</t>
        </is>
      </c>
      <c r="B215" t="inlineStr">
        <is>
          <t>Balance sheet</t>
        </is>
      </c>
      <c r="C215" t="inlineStr">
        <is>
          <t>Horizontal</t>
        </is>
      </c>
      <c r="D215" t="n">
        <v>7</v>
      </c>
      <c r="E215" t="inlineStr">
        <is>
          <t>Balance sheet!D51:J51</t>
        </is>
      </c>
      <c r="F215" t="inlineStr">
        <is>
          <t>'=R[-29]C[0]/'Income statement'!R[-37]C[0]</t>
        </is>
      </c>
      <c r="G215" t="inlineStr">
        <is>
          <t>Vectorizable</t>
        </is>
      </c>
    </row>
    <row r="216">
      <c r="A216" t="inlineStr">
        <is>
          <t>G000215</t>
        </is>
      </c>
      <c r="B216" t="inlineStr">
        <is>
          <t>Balance sheet</t>
        </is>
      </c>
      <c r="C216" t="inlineStr">
        <is>
          <t>Vertical</t>
        </is>
      </c>
      <c r="D216" t="n">
        <v>2</v>
      </c>
      <c r="E216" t="inlineStr">
        <is>
          <t>Balance sheet!K53:K54</t>
        </is>
      </c>
      <c r="F216" t="inlineStr">
        <is>
          <t>'=AVERAGE(R[0]C[-7]:R[0]C[-1])</t>
        </is>
      </c>
      <c r="G216" t="inlineStr">
        <is>
          <t>Vectorizable</t>
        </is>
      </c>
    </row>
    <row r="217">
      <c r="A217" t="inlineStr">
        <is>
          <t>G000216</t>
        </is>
      </c>
      <c r="B217" t="inlineStr">
        <is>
          <t>Balance sheet</t>
        </is>
      </c>
      <c r="C217" t="inlineStr">
        <is>
          <t>Block</t>
        </is>
      </c>
      <c r="D217" t="n">
        <v>2</v>
      </c>
      <c r="E217" t="inlineStr">
        <is>
          <t>Balance sheet!K51:K56</t>
        </is>
      </c>
      <c r="F217" t="inlineStr">
        <is>
          <t>'=AVERAGE(R[0]C[-7]:R[0]C[-1])</t>
        </is>
      </c>
      <c r="G217" t="inlineStr">
        <is>
          <t>Vectorizable</t>
        </is>
      </c>
    </row>
    <row r="218">
      <c r="A218" t="inlineStr">
        <is>
          <t>G000217</t>
        </is>
      </c>
      <c r="B218" t="inlineStr">
        <is>
          <t>Balance sheet</t>
        </is>
      </c>
      <c r="C218" t="inlineStr">
        <is>
          <t>Horizontal</t>
        </is>
      </c>
      <c r="D218" t="n">
        <v>7</v>
      </c>
      <c r="E218" t="inlineStr">
        <is>
          <t>Balance sheet!D52:J52</t>
        </is>
      </c>
      <c r="F218" t="inlineStr">
        <is>
          <t>'=R[-29]C[0]/'Income statement'!R[-38]C[0]</t>
        </is>
      </c>
      <c r="G218" t="inlineStr">
        <is>
          <t>Vectorizable</t>
        </is>
      </c>
    </row>
    <row r="219">
      <c r="A219" t="inlineStr">
        <is>
          <t>G000218</t>
        </is>
      </c>
      <c r="B219" t="inlineStr">
        <is>
          <t>Balance sheet</t>
        </is>
      </c>
      <c r="C219" t="inlineStr">
        <is>
          <t>Horizontal</t>
        </is>
      </c>
      <c r="D219" t="n">
        <v>7</v>
      </c>
      <c r="E219" t="inlineStr">
        <is>
          <t>Balance sheet!D53:J53</t>
        </is>
      </c>
      <c r="F219" t="inlineStr">
        <is>
          <t>'=R[-12]C[0]/('Income statement'!R[-39]C[0]+'Income statement'!R[-37]C[0])</t>
        </is>
      </c>
      <c r="G219" t="inlineStr">
        <is>
          <t>Vectorizable</t>
        </is>
      </c>
    </row>
    <row r="220">
      <c r="A220" t="inlineStr">
        <is>
          <t>G000219</t>
        </is>
      </c>
      <c r="B220" t="inlineStr">
        <is>
          <t>Balance sheet</t>
        </is>
      </c>
      <c r="C220" t="inlineStr">
        <is>
          <t>Horizontal</t>
        </is>
      </c>
      <c r="D220" t="n">
        <v>7</v>
      </c>
      <c r="E220" t="inlineStr">
        <is>
          <t>Balance sheet!D54:J54</t>
        </is>
      </c>
      <c r="F220" t="inlineStr">
        <is>
          <t>'=R[-12]C[0]/'Income statement'!R[-47]C[0]</t>
        </is>
      </c>
      <c r="G220" t="inlineStr">
        <is>
          <t>Vectorizable</t>
        </is>
      </c>
    </row>
    <row r="221">
      <c r="A221" t="inlineStr">
        <is>
          <t>G000220</t>
        </is>
      </c>
      <c r="B221" t="inlineStr">
        <is>
          <t>Balance sheet</t>
        </is>
      </c>
      <c r="C221" t="inlineStr">
        <is>
          <t>Horizontal</t>
        </is>
      </c>
      <c r="D221" t="n">
        <v>7</v>
      </c>
      <c r="E221" t="inlineStr">
        <is>
          <t>Balance sheet!D55:J55</t>
        </is>
      </c>
      <c r="F221" t="inlineStr">
        <is>
          <t>'=R[-11]C[0]/'Income statement'!R[-48]C[0]</t>
        </is>
      </c>
      <c r="G221" t="inlineStr">
        <is>
          <t>Vectorizable</t>
        </is>
      </c>
    </row>
    <row r="222">
      <c r="A222" t="inlineStr">
        <is>
          <t>G000221</t>
        </is>
      </c>
      <c r="B222" t="inlineStr">
        <is>
          <t>Balance sheet</t>
        </is>
      </c>
      <c r="C222" t="inlineStr">
        <is>
          <t>Horizontal</t>
        </is>
      </c>
      <c r="D222" t="n">
        <v>7</v>
      </c>
      <c r="E222" t="inlineStr">
        <is>
          <t>Balance sheet!D56:J56</t>
        </is>
      </c>
      <c r="F222" t="inlineStr">
        <is>
          <t>'=R[-11]C[0]/'Income statement'!R[-49]C[0]</t>
        </is>
      </c>
      <c r="G222" t="inlineStr">
        <is>
          <t>Vectorizable</t>
        </is>
      </c>
    </row>
    <row r="223">
      <c r="A223" t="inlineStr">
        <is>
          <t>G000222</t>
        </is>
      </c>
      <c r="B223" t="inlineStr">
        <is>
          <t>Balance sheet</t>
        </is>
      </c>
      <c r="C223" t="inlineStr">
        <is>
          <t>Horizontal</t>
        </is>
      </c>
      <c r="D223" t="n">
        <v>7</v>
      </c>
      <c r="E223" t="inlineStr">
        <is>
          <t>Balance sheet!D57:J57</t>
        </is>
      </c>
      <c r="F223" t="inlineStr">
        <is>
          <t>'=R[-43]C[0]/'Income statement'!R[-39]C[0]</t>
        </is>
      </c>
      <c r="G223" t="inlineStr">
        <is>
          <t>Vectorizable</t>
        </is>
      </c>
    </row>
    <row r="224">
      <c r="A224" t="inlineStr">
        <is>
          <t>G000223</t>
        </is>
      </c>
      <c r="B224" t="inlineStr">
        <is>
          <t>Revenue Matrix</t>
        </is>
      </c>
      <c r="C224" t="inlineStr">
        <is>
          <t>Horizontal</t>
        </is>
      </c>
      <c r="D224" t="n">
        <v>11</v>
      </c>
      <c r="E224" t="inlineStr">
        <is>
          <t>Revenue Matrix!E5:O5</t>
        </is>
      </c>
      <c r="F224" t="inlineStr">
        <is>
          <t>'=EOMONTH(R[0]C[-1],12)</t>
        </is>
      </c>
      <c r="G224" t="inlineStr">
        <is>
          <t>Vectorizable</t>
        </is>
      </c>
    </row>
    <row r="225">
      <c r="A225" t="inlineStr">
        <is>
          <t>G000224</t>
        </is>
      </c>
      <c r="B225" t="inlineStr">
        <is>
          <t>Revenue Matrix</t>
        </is>
      </c>
      <c r="C225" t="inlineStr">
        <is>
          <t>Horizontal</t>
        </is>
      </c>
      <c r="D225" t="n">
        <v>12</v>
      </c>
      <c r="E225" t="inlineStr">
        <is>
          <t>Revenue Matrix!D6:O6</t>
        </is>
      </c>
      <c r="F225" t="inlineStr">
        <is>
          <t>'=YEAR(R[-1]C[0])</t>
        </is>
      </c>
      <c r="G225" t="inlineStr">
        <is>
          <t>Vectorizable</t>
        </is>
      </c>
    </row>
    <row r="226">
      <c r="A226" t="inlineStr">
        <is>
          <t>G000225</t>
        </is>
      </c>
      <c r="B226" t="inlineStr">
        <is>
          <t>Revenue Matrix</t>
        </is>
      </c>
      <c r="C226" t="inlineStr">
        <is>
          <t>Horizontal</t>
        </is>
      </c>
      <c r="D226" t="n">
        <v>5</v>
      </c>
      <c r="E226" t="inlineStr">
        <is>
          <t>Revenue Matrix!K7:O7</t>
        </is>
      </c>
      <c r="F226" t="inlineStr">
        <is>
          <t>'='Assumptions Sheet'!R[17]C[0]</t>
        </is>
      </c>
      <c r="G226" t="inlineStr">
        <is>
          <t>Vectorizable</t>
        </is>
      </c>
    </row>
    <row r="227">
      <c r="A227" t="inlineStr">
        <is>
          <t>G000226</t>
        </is>
      </c>
      <c r="B227" t="inlineStr">
        <is>
          <t>Revenue Matrix</t>
        </is>
      </c>
      <c r="C227" t="inlineStr">
        <is>
          <t>Horizontal</t>
        </is>
      </c>
      <c r="D227" t="n">
        <v>5</v>
      </c>
      <c r="E227" t="inlineStr">
        <is>
          <t>Revenue Matrix!K8:O8</t>
        </is>
      </c>
      <c r="F227" t="inlineStr">
        <is>
          <t>'='Assumptions Sheet'!R[18]C[0]</t>
        </is>
      </c>
      <c r="G227" t="inlineStr">
        <is>
          <t>Vectorizable</t>
        </is>
      </c>
    </row>
    <row r="228">
      <c r="A228" t="inlineStr">
        <is>
          <t>G000227</t>
        </is>
      </c>
      <c r="B228" t="inlineStr">
        <is>
          <t>Revenue Matrix</t>
        </is>
      </c>
      <c r="C228" t="inlineStr">
        <is>
          <t>Horizontal</t>
        </is>
      </c>
      <c r="D228" t="n">
        <v>5</v>
      </c>
      <c r="E228" t="inlineStr">
        <is>
          <t>Revenue Matrix!K9:O9</t>
        </is>
      </c>
      <c r="F228" t="inlineStr">
        <is>
          <t>'='Assumptions Sheet'!R[19]C[0]</t>
        </is>
      </c>
      <c r="G228" t="inlineStr">
        <is>
          <t>Vectorizable</t>
        </is>
      </c>
    </row>
    <row r="229">
      <c r="A229" t="inlineStr">
        <is>
          <t>G000228</t>
        </is>
      </c>
      <c r="B229" t="inlineStr">
        <is>
          <t>Revenue Matrix</t>
        </is>
      </c>
      <c r="C229" t="inlineStr">
        <is>
          <t>Horizontal</t>
        </is>
      </c>
      <c r="D229" t="n">
        <v>12</v>
      </c>
      <c r="E229" t="inlineStr">
        <is>
          <t>Revenue Matrix!D10:O10</t>
        </is>
      </c>
      <c r="F229" t="inlineStr">
        <is>
          <t>'='Assumptions Sheet'!R[20]C[-1]</t>
        </is>
      </c>
      <c r="G229" t="inlineStr">
        <is>
          <t>Vectorizable</t>
        </is>
      </c>
    </row>
    <row r="230">
      <c r="A230" t="inlineStr">
        <is>
          <t>G000229</t>
        </is>
      </c>
      <c r="B230" t="inlineStr">
        <is>
          <t>Revenue Matrix</t>
        </is>
      </c>
      <c r="C230" t="inlineStr">
        <is>
          <t>Horizontal</t>
        </is>
      </c>
      <c r="D230" t="n">
        <v>6</v>
      </c>
      <c r="E230" t="inlineStr">
        <is>
          <t>Revenue Matrix!D11:I11</t>
        </is>
      </c>
      <c r="F230" t="inlineStr">
        <is>
          <t>'=SUM(R[-4]C[0]:R[-2]C[0])</t>
        </is>
      </c>
      <c r="G230" t="inlineStr">
        <is>
          <t>Vectorizable</t>
        </is>
      </c>
    </row>
    <row r="231">
      <c r="A231" t="inlineStr">
        <is>
          <t>G000230</t>
        </is>
      </c>
      <c r="B231" t="inlineStr">
        <is>
          <t>Revenue Matrix</t>
        </is>
      </c>
      <c r="C231" t="inlineStr">
        <is>
          <t>Horizontal</t>
        </is>
      </c>
      <c r="D231" t="n">
        <v>5</v>
      </c>
      <c r="E231" t="inlineStr">
        <is>
          <t>Revenue Matrix!K11:O11</t>
        </is>
      </c>
      <c r="F231" t="inlineStr">
        <is>
          <t>'=SUM(R[-4]C[0]:R[-2]C[0])</t>
        </is>
      </c>
      <c r="G231" t="inlineStr">
        <is>
          <t>Vectorizable</t>
        </is>
      </c>
    </row>
    <row r="232">
      <c r="A232" t="inlineStr">
        <is>
          <t>G000231</t>
        </is>
      </c>
      <c r="B232" t="inlineStr">
        <is>
          <t>Revenue Matrix</t>
        </is>
      </c>
      <c r="C232" t="inlineStr">
        <is>
          <t>Horizontal</t>
        </is>
      </c>
      <c r="D232" t="n">
        <v>5</v>
      </c>
      <c r="E232" t="inlineStr">
        <is>
          <t>Revenue Matrix!K13:O13</t>
        </is>
      </c>
      <c r="F232" t="inlineStr">
        <is>
          <t>'='Assumptions Sheet'!R[-11]C[0]</t>
        </is>
      </c>
      <c r="G232" t="inlineStr">
        <is>
          <t>Vectorizable</t>
        </is>
      </c>
    </row>
    <row r="233">
      <c r="A233" t="inlineStr">
        <is>
          <t>G000232</t>
        </is>
      </c>
      <c r="B233" t="inlineStr">
        <is>
          <t>Revenue Matrix</t>
        </is>
      </c>
      <c r="C233" t="inlineStr">
        <is>
          <t>Horizontal</t>
        </is>
      </c>
      <c r="D233" t="n">
        <v>5</v>
      </c>
      <c r="E233" t="inlineStr">
        <is>
          <t>Revenue Matrix!K14:O14</t>
        </is>
      </c>
      <c r="F233" t="inlineStr">
        <is>
          <t>'='Assumptions Sheet'!R[3]C[0]</t>
        </is>
      </c>
      <c r="G233" t="inlineStr">
        <is>
          <t>Vectorizable</t>
        </is>
      </c>
    </row>
    <row r="234">
      <c r="A234" t="inlineStr">
        <is>
          <t>G000233</t>
        </is>
      </c>
      <c r="B234" t="inlineStr">
        <is>
          <t>Revenue Matrix</t>
        </is>
      </c>
      <c r="C234" t="inlineStr">
        <is>
          <t>Horizontal</t>
        </is>
      </c>
      <c r="D234" t="n">
        <v>6</v>
      </c>
      <c r="E234" t="inlineStr">
        <is>
          <t>Revenue Matrix!E15:J15</t>
        </is>
      </c>
      <c r="F234" t="inlineStr">
        <is>
          <t>'=R[-2]C[0]/AVERAGE(R[-1]C[-1]:R[-1]C[0])</t>
        </is>
      </c>
      <c r="G234" t="inlineStr">
        <is>
          <t>Vectorizable</t>
        </is>
      </c>
    </row>
    <row r="235">
      <c r="A235" t="inlineStr">
        <is>
          <t>G000234</t>
        </is>
      </c>
      <c r="B235" t="inlineStr">
        <is>
          <t>Revenue Matrix</t>
        </is>
      </c>
      <c r="C235" t="inlineStr">
        <is>
          <t>Horizontal</t>
        </is>
      </c>
      <c r="D235" t="n">
        <v>5</v>
      </c>
      <c r="E235" t="inlineStr">
        <is>
          <t>Revenue Matrix!K15:O15</t>
        </is>
      </c>
      <c r="F235" t="inlineStr">
        <is>
          <t>'='Assumptions Sheet'!R[5]C[0]</t>
        </is>
      </c>
      <c r="G235" t="inlineStr">
        <is>
          <t>Vectorizable</t>
        </is>
      </c>
    </row>
    <row r="236">
      <c r="A236" t="inlineStr">
        <is>
          <t>G000235</t>
        </is>
      </c>
      <c r="B236" t="inlineStr">
        <is>
          <t>Revenue Matrix</t>
        </is>
      </c>
      <c r="C236" t="inlineStr">
        <is>
          <t>Horizontal</t>
        </is>
      </c>
      <c r="D236" t="n">
        <v>11</v>
      </c>
      <c r="E236" t="inlineStr">
        <is>
          <t>Revenue Matrix!E16:O16</t>
        </is>
      </c>
      <c r="F236" t="inlineStr">
        <is>
          <t>'=R[-2]C[0]/R[-2]C[-1]-1</t>
        </is>
      </c>
      <c r="G236" t="inlineStr">
        <is>
          <t>Vectorizable</t>
        </is>
      </c>
    </row>
    <row r="237">
      <c r="A237" t="inlineStr">
        <is>
          <t>G000236</t>
        </is>
      </c>
      <c r="B237" t="inlineStr">
        <is>
          <t>Revenue Matrix</t>
        </is>
      </c>
      <c r="C237" t="inlineStr">
        <is>
          <t>Horizontal</t>
        </is>
      </c>
      <c r="D237" t="n">
        <v>5</v>
      </c>
      <c r="E237" t="inlineStr">
        <is>
          <t>Revenue Matrix!K17:O17</t>
        </is>
      </c>
      <c r="F237" t="inlineStr">
        <is>
          <t>'='Assumptions Sheet'!R[-13]C[0]</t>
        </is>
      </c>
      <c r="G237" t="inlineStr">
        <is>
          <t>Vectorizable</t>
        </is>
      </c>
    </row>
    <row r="238">
      <c r="A238" t="inlineStr">
        <is>
          <t>G000237</t>
        </is>
      </c>
      <c r="B238" t="inlineStr">
        <is>
          <t>Revenue Matrix</t>
        </is>
      </c>
      <c r="C238" t="inlineStr">
        <is>
          <t>Horizontal</t>
        </is>
      </c>
      <c r="D238" t="n">
        <v>5</v>
      </c>
      <c r="E238" t="inlineStr">
        <is>
          <t>Revenue Matrix!K18:O18</t>
        </is>
      </c>
      <c r="F238" t="inlineStr">
        <is>
          <t>'='Assumptions Sheet'!R[-13]C[0]</t>
        </is>
      </c>
      <c r="G238" t="inlineStr">
        <is>
          <t>Vectorizable</t>
        </is>
      </c>
    </row>
    <row r="239">
      <c r="A239" t="inlineStr">
        <is>
          <t>G000238</t>
        </is>
      </c>
      <c r="B239" t="inlineStr">
        <is>
          <t>Revenue Matrix</t>
        </is>
      </c>
      <c r="C239" t="inlineStr">
        <is>
          <t>Horizontal</t>
        </is>
      </c>
      <c r="D239" t="n">
        <v>5</v>
      </c>
      <c r="E239" t="inlineStr">
        <is>
          <t>Revenue Matrix!K19:O19</t>
        </is>
      </c>
      <c r="F239" t="inlineStr">
        <is>
          <t>'='Assumptions Sheet'!R[-12]C[0]</t>
        </is>
      </c>
      <c r="G239" t="inlineStr">
        <is>
          <t>Vectorizable</t>
        </is>
      </c>
    </row>
    <row r="240">
      <c r="A240" t="inlineStr">
        <is>
          <t>G000239</t>
        </is>
      </c>
      <c r="B240" t="inlineStr">
        <is>
          <t>Debt schedule</t>
        </is>
      </c>
      <c r="C240" t="inlineStr">
        <is>
          <t>Horizontal</t>
        </is>
      </c>
      <c r="D240" t="n">
        <v>11</v>
      </c>
      <c r="E240" t="inlineStr">
        <is>
          <t>Debt schedule!E5:O5</t>
        </is>
      </c>
      <c r="F240" t="inlineStr">
        <is>
          <t>'=EOMONTH(R[0]C[-1],12)</t>
        </is>
      </c>
      <c r="G240" t="inlineStr">
        <is>
          <t>Vectorizable</t>
        </is>
      </c>
    </row>
    <row r="241">
      <c r="A241" t="inlineStr">
        <is>
          <t>G000240</t>
        </is>
      </c>
      <c r="B241" t="inlineStr">
        <is>
          <t>Debt schedule</t>
        </is>
      </c>
      <c r="C241" t="inlineStr">
        <is>
          <t>Horizontal</t>
        </is>
      </c>
      <c r="D241" t="n">
        <v>12</v>
      </c>
      <c r="E241" t="inlineStr">
        <is>
          <t>Debt schedule!D6:O6</t>
        </is>
      </c>
      <c r="F241" t="inlineStr">
        <is>
          <t>'=YEAR(R[-1]C[0])</t>
        </is>
      </c>
      <c r="G241" t="inlineStr">
        <is>
          <t>Vectorizable</t>
        </is>
      </c>
    </row>
    <row r="242">
      <c r="A242" t="inlineStr">
        <is>
          <t>G000241</t>
        </is>
      </c>
      <c r="B242" t="inlineStr">
        <is>
          <t>Debt schedule</t>
        </is>
      </c>
      <c r="C242" t="inlineStr">
        <is>
          <t>Horizontal</t>
        </is>
      </c>
      <c r="D242" t="n">
        <v>11</v>
      </c>
      <c r="E242" t="inlineStr">
        <is>
          <t>Debt schedule!E7:O7</t>
        </is>
      </c>
      <c r="F242" t="inlineStr">
        <is>
          <t>'=R[3]C[-1]</t>
        </is>
      </c>
      <c r="G242" t="inlineStr">
        <is>
          <t>Vectorizable</t>
        </is>
      </c>
    </row>
    <row r="243">
      <c r="A243" t="inlineStr">
        <is>
          <t>G000242</t>
        </is>
      </c>
      <c r="B243" t="inlineStr">
        <is>
          <t>Debt schedule</t>
        </is>
      </c>
      <c r="C243" t="inlineStr">
        <is>
          <t>Horizontal</t>
        </is>
      </c>
      <c r="D243" t="n">
        <v>5</v>
      </c>
      <c r="E243" t="inlineStr">
        <is>
          <t>Debt schedule!K8:O8</t>
        </is>
      </c>
      <c r="F243" t="inlineStr">
        <is>
          <t>'='Asset Schedule '!R[1]C[0]</t>
        </is>
      </c>
      <c r="G243" t="inlineStr">
        <is>
          <t>Vectorizable</t>
        </is>
      </c>
    </row>
    <row r="244">
      <c r="A244" t="inlineStr">
        <is>
          <t>G000243</t>
        </is>
      </c>
      <c r="B244" t="inlineStr">
        <is>
          <t>Debt schedule</t>
        </is>
      </c>
      <c r="C244" t="inlineStr">
        <is>
          <t>Horizontal</t>
        </is>
      </c>
      <c r="D244" t="n">
        <v>5</v>
      </c>
      <c r="E244" t="inlineStr">
        <is>
          <t>Debt schedule!K10:O10</t>
        </is>
      </c>
      <c r="F244" t="inlineStr">
        <is>
          <t>'=SUM(R[-3]C[0]:R[-1]C[0])</t>
        </is>
      </c>
      <c r="G244" t="inlineStr">
        <is>
          <t>Vectorizable</t>
        </is>
      </c>
    </row>
    <row r="245">
      <c r="A245" t="inlineStr">
        <is>
          <t>G000244</t>
        </is>
      </c>
      <c r="B245" t="inlineStr">
        <is>
          <t>Debt schedule</t>
        </is>
      </c>
      <c r="C245" t="inlineStr">
        <is>
          <t>Horizontal</t>
        </is>
      </c>
      <c r="D245" t="n">
        <v>5</v>
      </c>
      <c r="E245" t="inlineStr">
        <is>
          <t>Debt schedule!K12:O12</t>
        </is>
      </c>
      <c r="F245" t="inlineStr">
        <is>
          <t>'=AVERAGE(R[-5]C[0],R[-2]C[0])*R[1]C[0]</t>
        </is>
      </c>
      <c r="G245" t="inlineStr">
        <is>
          <t>Vectorizable</t>
        </is>
      </c>
    </row>
    <row r="246">
      <c r="A246" t="inlineStr">
        <is>
          <t>G000245</t>
        </is>
      </c>
      <c r="B246" t="inlineStr">
        <is>
          <t>Debt schedule</t>
        </is>
      </c>
      <c r="C246" t="inlineStr">
        <is>
          <t>Horizontal</t>
        </is>
      </c>
      <c r="D246" t="n">
        <v>7</v>
      </c>
      <c r="E246" t="inlineStr">
        <is>
          <t>Debt schedule!D13:J13</t>
        </is>
      </c>
      <c r="F246" t="inlineStr">
        <is>
          <t>'=R[-1]C[0]/AVERAGE(R[-6]C[0],R[-3]C[0])</t>
        </is>
      </c>
      <c r="G246" t="inlineStr">
        <is>
          <t>Vectorizable</t>
        </is>
      </c>
    </row>
    <row r="247">
      <c r="A247" t="inlineStr">
        <is>
          <t>G000246</t>
        </is>
      </c>
      <c r="B247" t="inlineStr">
        <is>
          <t>Incentive</t>
        </is>
      </c>
      <c r="C247" t="inlineStr">
        <is>
          <t>Horizontal</t>
        </is>
      </c>
      <c r="D247" t="n">
        <v>11</v>
      </c>
      <c r="E247" t="inlineStr">
        <is>
          <t>Incentive!E5:O5</t>
        </is>
      </c>
      <c r="F247" t="inlineStr">
        <is>
          <t>'=EOMONTH(R[0]C[-1],12)</t>
        </is>
      </c>
      <c r="G247" t="inlineStr">
        <is>
          <t>Vectorizable</t>
        </is>
      </c>
    </row>
    <row r="248">
      <c r="A248" t="inlineStr">
        <is>
          <t>G000247</t>
        </is>
      </c>
      <c r="B248" t="inlineStr">
        <is>
          <t>Incentive</t>
        </is>
      </c>
      <c r="C248" t="inlineStr">
        <is>
          <t>Horizontal</t>
        </is>
      </c>
      <c r="D248" t="n">
        <v>12</v>
      </c>
      <c r="E248" t="inlineStr">
        <is>
          <t>Incentive!D6:O6</t>
        </is>
      </c>
      <c r="F248" t="inlineStr">
        <is>
          <t>'=YEAR(R[-1]C[0])</t>
        </is>
      </c>
      <c r="G248" t="inlineStr">
        <is>
          <t>Vectorizable</t>
        </is>
      </c>
    </row>
    <row r="249">
      <c r="A249" t="inlineStr">
        <is>
          <t>G000248</t>
        </is>
      </c>
      <c r="B249" t="inlineStr">
        <is>
          <t>Incentive</t>
        </is>
      </c>
      <c r="C249" t="inlineStr">
        <is>
          <t>Horizontal</t>
        </is>
      </c>
      <c r="D249" t="n">
        <v>5</v>
      </c>
      <c r="E249" t="inlineStr">
        <is>
          <t>Incentive!K7:O7</t>
        </is>
      </c>
      <c r="F249" t="inlineStr">
        <is>
          <t>'=R[0]C[-1]+R[5]C[0]-R[1]C[0]</t>
        </is>
      </c>
      <c r="G249" t="inlineStr">
        <is>
          <t>Vectorizable</t>
        </is>
      </c>
    </row>
    <row r="250">
      <c r="A250" t="inlineStr">
        <is>
          <t>G000249</t>
        </is>
      </c>
      <c r="B250" t="inlineStr">
        <is>
          <t>Incentive</t>
        </is>
      </c>
      <c r="C250" t="inlineStr">
        <is>
          <t>Horizontal</t>
        </is>
      </c>
      <c r="D250" t="n">
        <v>5</v>
      </c>
      <c r="E250" t="inlineStr">
        <is>
          <t>Incentive!K8:O8</t>
        </is>
      </c>
      <c r="F250" t="inlineStr">
        <is>
          <t>'=R[-1]C[-1]*R[8]C[0]</t>
        </is>
      </c>
      <c r="G250" t="inlineStr">
        <is>
          <t>Vectorizable</t>
        </is>
      </c>
    </row>
    <row r="251">
      <c r="A251" t="inlineStr">
        <is>
          <t>G000250</t>
        </is>
      </c>
      <c r="B251" t="inlineStr">
        <is>
          <t>Incentive</t>
        </is>
      </c>
      <c r="C251" t="inlineStr">
        <is>
          <t>Horizontal</t>
        </is>
      </c>
      <c r="D251" t="n">
        <v>11</v>
      </c>
      <c r="E251" t="inlineStr">
        <is>
          <t>Incentive!E10:O10</t>
        </is>
      </c>
      <c r="F251" t="inlineStr">
        <is>
          <t>'='Revenue Matrix'!R[4]C[0]-'Revenue Matrix'!R[4]C[-1]</t>
        </is>
      </c>
      <c r="G251" t="inlineStr">
        <is>
          <t>Vectorizable</t>
        </is>
      </c>
    </row>
    <row r="252">
      <c r="A252" t="inlineStr">
        <is>
          <t>G000251</t>
        </is>
      </c>
      <c r="B252" t="inlineStr">
        <is>
          <t>Incentive</t>
        </is>
      </c>
      <c r="C252" t="inlineStr">
        <is>
          <t>Horizontal</t>
        </is>
      </c>
      <c r="D252" t="n">
        <v>6</v>
      </c>
      <c r="E252" t="inlineStr">
        <is>
          <t>Incentive!E12:J12</t>
        </is>
      </c>
      <c r="F252" t="inlineStr">
        <is>
          <t>'=R[-5]C[0]-R[-5]C[-1]+R[-4]C[0]</t>
        </is>
      </c>
      <c r="G252" t="inlineStr">
        <is>
          <t>Vectorizable</t>
        </is>
      </c>
    </row>
    <row r="253">
      <c r="A253" t="inlineStr">
        <is>
          <t>G000252</t>
        </is>
      </c>
      <c r="B253" t="inlineStr">
        <is>
          <t>Incentive</t>
        </is>
      </c>
      <c r="C253" t="inlineStr">
        <is>
          <t>Horizontal</t>
        </is>
      </c>
      <c r="D253" t="n">
        <v>5</v>
      </c>
      <c r="E253" t="inlineStr">
        <is>
          <t>Incentive!K12:O12</t>
        </is>
      </c>
      <c r="F253" t="inlineStr">
        <is>
          <t>'=R[-2]C[0]*R[2]C[0]</t>
        </is>
      </c>
      <c r="G253" t="inlineStr">
        <is>
          <t>Vectorizable</t>
        </is>
      </c>
    </row>
    <row r="254">
      <c r="A254" t="inlineStr">
        <is>
          <t>G000253</t>
        </is>
      </c>
      <c r="B254" t="inlineStr">
        <is>
          <t>Incentive</t>
        </is>
      </c>
      <c r="C254" t="inlineStr">
        <is>
          <t>Horizontal</t>
        </is>
      </c>
      <c r="D254" t="n">
        <v>6</v>
      </c>
      <c r="E254" t="inlineStr">
        <is>
          <t>Incentive!E14:J14</t>
        </is>
      </c>
      <c r="F254" t="inlineStr">
        <is>
          <t>'=R[-2]C[0]/R[-4]C[0]</t>
        </is>
      </c>
      <c r="G254" t="inlineStr">
        <is>
          <t>Vectorizable</t>
        </is>
      </c>
    </row>
    <row r="255">
      <c r="A255" t="inlineStr">
        <is>
          <t>G000254</t>
        </is>
      </c>
      <c r="B255" t="inlineStr">
        <is>
          <t>Incentive</t>
        </is>
      </c>
      <c r="C255" t="inlineStr">
        <is>
          <t>Horizontal</t>
        </is>
      </c>
      <c r="D255" t="n">
        <v>6</v>
      </c>
      <c r="E255" t="inlineStr">
        <is>
          <t>Incentive!E16:J16</t>
        </is>
      </c>
      <c r="F255" t="inlineStr">
        <is>
          <t>'=R[-8]C[0]/R[-9]C[-1]</t>
        </is>
      </c>
      <c r="G255" t="inlineStr">
        <is>
          <t>Vectorizable</t>
        </is>
      </c>
    </row>
    <row r="256">
      <c r="A256" t="inlineStr">
        <is>
          <t>G000255</t>
        </is>
      </c>
      <c r="B256" t="inlineStr">
        <is>
          <t>CashFlow Statement</t>
        </is>
      </c>
      <c r="C256" t="inlineStr">
        <is>
          <t>Horizontal</t>
        </is>
      </c>
      <c r="D256" t="n">
        <v>11</v>
      </c>
      <c r="E256" t="inlineStr">
        <is>
          <t>CashFlow Statement!E5:O5</t>
        </is>
      </c>
      <c r="F256" t="inlineStr">
        <is>
          <t>'=EOMONTH(R[0]C[-1],12)</t>
        </is>
      </c>
      <c r="G256" t="inlineStr">
        <is>
          <t>Vectorizable</t>
        </is>
      </c>
    </row>
    <row r="257">
      <c r="A257" t="inlineStr">
        <is>
          <t>G000256</t>
        </is>
      </c>
      <c r="B257" t="inlineStr">
        <is>
          <t>CashFlow Statement</t>
        </is>
      </c>
      <c r="C257" t="inlineStr">
        <is>
          <t>Horizontal</t>
        </is>
      </c>
      <c r="D257" t="n">
        <v>12</v>
      </c>
      <c r="E257" t="inlineStr">
        <is>
          <t>CashFlow Statement!D6:O6</t>
        </is>
      </c>
      <c r="F257" t="inlineStr">
        <is>
          <t>'=YEAR(R[-1]C[0])</t>
        </is>
      </c>
      <c r="G257" t="inlineStr">
        <is>
          <t>Vectorizable</t>
        </is>
      </c>
    </row>
    <row r="258">
      <c r="A258" t="inlineStr">
        <is>
          <t>G000257</t>
        </is>
      </c>
      <c r="B258" t="inlineStr">
        <is>
          <t>CashFlow Statement</t>
        </is>
      </c>
      <c r="C258" t="inlineStr">
        <is>
          <t>Horizontal</t>
        </is>
      </c>
      <c r="D258" t="n">
        <v>5</v>
      </c>
      <c r="E258" t="inlineStr">
        <is>
          <t>CashFlow Statement!K8:O8</t>
        </is>
      </c>
      <c r="F258" t="inlineStr">
        <is>
          <t>'='Income statement'!R[17]C[0]</t>
        </is>
      </c>
      <c r="G258" t="inlineStr">
        <is>
          <t>Vectorizable</t>
        </is>
      </c>
    </row>
    <row r="259">
      <c r="A259" t="inlineStr">
        <is>
          <t>G000258</t>
        </is>
      </c>
      <c r="B259" t="inlineStr">
        <is>
          <t>CashFlow Statement</t>
        </is>
      </c>
      <c r="C259" t="inlineStr">
        <is>
          <t>Horizontal</t>
        </is>
      </c>
      <c r="D259" t="n">
        <v>5</v>
      </c>
      <c r="E259" t="inlineStr">
        <is>
          <t>CashFlow Statement!K10:O10</t>
        </is>
      </c>
      <c r="F259" t="inlineStr">
        <is>
          <t>'='Income statement'!R[12]C[0]</t>
        </is>
      </c>
      <c r="G259" t="inlineStr">
        <is>
          <t>Vectorizable</t>
        </is>
      </c>
    </row>
    <row r="260">
      <c r="A260" t="inlineStr">
        <is>
          <t>G000259</t>
        </is>
      </c>
      <c r="B260" t="inlineStr">
        <is>
          <t>CashFlow Statement</t>
        </is>
      </c>
      <c r="C260" t="inlineStr">
        <is>
          <t>Horizontal</t>
        </is>
      </c>
      <c r="D260" t="n">
        <v>5</v>
      </c>
      <c r="E260" t="inlineStr">
        <is>
          <t>CashFlow Statement!K13:O13</t>
        </is>
      </c>
      <c r="F260" t="inlineStr">
        <is>
          <t>'='Income statement'!R[11]C[0]</t>
        </is>
      </c>
      <c r="G260" t="inlineStr">
        <is>
          <t>Vectorizable</t>
        </is>
      </c>
    </row>
    <row r="261">
      <c r="A261" t="inlineStr">
        <is>
          <t>G000260</t>
        </is>
      </c>
      <c r="B261" t="inlineStr">
        <is>
          <t>CashFlow Statement</t>
        </is>
      </c>
      <c r="C261" t="inlineStr">
        <is>
          <t>Horizontal</t>
        </is>
      </c>
      <c r="D261" t="n">
        <v>5</v>
      </c>
      <c r="E261" t="inlineStr">
        <is>
          <t>CashFlow Statement!K18:O18</t>
        </is>
      </c>
      <c r="F261" t="inlineStr">
        <is>
          <t>'='Balance sheet'!R[-2]C[0]-'Balance sheet'!R[-2]C[-1]</t>
        </is>
      </c>
      <c r="G261" t="inlineStr">
        <is>
          <t>Vectorizable</t>
        </is>
      </c>
    </row>
    <row r="262">
      <c r="A262" t="inlineStr">
        <is>
          <t>G000261</t>
        </is>
      </c>
      <c r="B262" t="inlineStr">
        <is>
          <t>CashFlow Statement</t>
        </is>
      </c>
      <c r="C262" t="inlineStr">
        <is>
          <t>Horizontal</t>
        </is>
      </c>
      <c r="D262" t="n">
        <v>12</v>
      </c>
      <c r="E262" t="inlineStr">
        <is>
          <t>CashFlow Statement!D19:O19</t>
        </is>
      </c>
      <c r="F262" t="inlineStr">
        <is>
          <t>'=SUM(R[-11]C[0]:R[-1]C[0])</t>
        </is>
      </c>
      <c r="G262" t="inlineStr">
        <is>
          <t>Vectorizable</t>
        </is>
      </c>
    </row>
    <row r="263">
      <c r="A263" t="inlineStr">
        <is>
          <t>G000262</t>
        </is>
      </c>
      <c r="B263" t="inlineStr">
        <is>
          <t>CashFlow Statement</t>
        </is>
      </c>
      <c r="C263" t="inlineStr">
        <is>
          <t>Horizontal</t>
        </is>
      </c>
      <c r="D263" t="n">
        <v>5</v>
      </c>
      <c r="E263" t="inlineStr">
        <is>
          <t>CashFlow Statement!K21:O21</t>
        </is>
      </c>
      <c r="F263" t="inlineStr">
        <is>
          <t>'='Balance sheet'!R[21]C[-1]-'Balance sheet'!R[21]C[0]</t>
        </is>
      </c>
      <c r="G263" t="inlineStr">
        <is>
          <t>Vectorizable</t>
        </is>
      </c>
    </row>
    <row r="264">
      <c r="A264" t="inlineStr">
        <is>
          <t>G000263</t>
        </is>
      </c>
      <c r="B264" t="inlineStr">
        <is>
          <t>CashFlow Statement</t>
        </is>
      </c>
      <c r="C264" t="inlineStr">
        <is>
          <t>Horizontal</t>
        </is>
      </c>
      <c r="D264" t="n">
        <v>5</v>
      </c>
      <c r="E264" t="inlineStr">
        <is>
          <t>CashFlow Statement!K22:O22</t>
        </is>
      </c>
      <c r="F264" t="inlineStr">
        <is>
          <t>'='Balance sheet'!R[19]C[-1]-'Balance sheet'!R[19]C[0]</t>
        </is>
      </c>
      <c r="G264" t="inlineStr">
        <is>
          <t>Vectorizable</t>
        </is>
      </c>
    </row>
    <row r="265">
      <c r="A265" t="inlineStr">
        <is>
          <t>G000264</t>
        </is>
      </c>
      <c r="B265" t="inlineStr">
        <is>
          <t>CashFlow Statement</t>
        </is>
      </c>
      <c r="C265" t="inlineStr">
        <is>
          <t>Horizontal</t>
        </is>
      </c>
      <c r="D265" t="n">
        <v>5</v>
      </c>
      <c r="E265" t="inlineStr">
        <is>
          <t>CashFlow Statement!K23:O23</t>
        </is>
      </c>
      <c r="F265" t="inlineStr">
        <is>
          <t>'=('Balance sheet'!R[21]C[-1]-'Balance sheet'!R[21]C[0])+('Balance sheet'!R[22]C[-1]-'Balance sheet'!R[22]C[0])</t>
        </is>
      </c>
      <c r="G265" t="inlineStr">
        <is>
          <t>Vectorizable</t>
        </is>
      </c>
    </row>
    <row r="266">
      <c r="A266" t="inlineStr">
        <is>
          <t>G000265</t>
        </is>
      </c>
      <c r="B266" t="inlineStr">
        <is>
          <t>CashFlow Statement</t>
        </is>
      </c>
      <c r="C266" t="inlineStr">
        <is>
          <t>Horizontal</t>
        </is>
      </c>
      <c r="D266" t="n">
        <v>5</v>
      </c>
      <c r="E266" t="inlineStr">
        <is>
          <t>CashFlow Statement!K24:O24</t>
        </is>
      </c>
      <c r="F266" t="inlineStr">
        <is>
          <t>'=('Balance sheet'!R[-3]C[0]-'Balance sheet'!R[-3]C[-1])+('Balance sheet'!R[-2]C[0]-'Balance sheet'!R[-2]C[-1])+('Balance sheet'!R[-1]C[0]-'Balance sheet'!R[-1]C[-1])</t>
        </is>
      </c>
      <c r="G266" t="inlineStr">
        <is>
          <t>Vectorizable</t>
        </is>
      </c>
    </row>
    <row r="267">
      <c r="A267" t="inlineStr">
        <is>
          <t>G000266</t>
        </is>
      </c>
      <c r="B267" t="inlineStr">
        <is>
          <t>CashFlow Statement</t>
        </is>
      </c>
      <c r="C267" t="inlineStr">
        <is>
          <t>Horizontal</t>
        </is>
      </c>
      <c r="D267" t="n">
        <v>5</v>
      </c>
      <c r="E267" t="inlineStr">
        <is>
          <t>CashFlow Statement!K25:O25</t>
        </is>
      </c>
      <c r="F267" t="inlineStr">
        <is>
          <t>'='Balance sheet'!R[-1]C[0]-'Balance sheet'!R[-1]C[-1]</t>
        </is>
      </c>
      <c r="G267" t="inlineStr">
        <is>
          <t>Vectorizable</t>
        </is>
      </c>
    </row>
    <row r="268">
      <c r="A268" t="inlineStr">
        <is>
          <t>G000267</t>
        </is>
      </c>
      <c r="B268" t="inlineStr">
        <is>
          <t>CashFlow Statement</t>
        </is>
      </c>
      <c r="C268" t="inlineStr">
        <is>
          <t>Horizontal</t>
        </is>
      </c>
      <c r="D268" t="n">
        <v>12</v>
      </c>
      <c r="E268" t="inlineStr">
        <is>
          <t>CashFlow Statement!D26:O26</t>
        </is>
      </c>
      <c r="F268" t="inlineStr">
        <is>
          <t>'=SUM(R[-5]C[0]:R[-1]C[0])+R[-7]C[0]</t>
        </is>
      </c>
      <c r="G268" t="inlineStr">
        <is>
          <t>Vectorizable</t>
        </is>
      </c>
    </row>
    <row r="269">
      <c r="A269" t="inlineStr">
        <is>
          <t>G000268</t>
        </is>
      </c>
      <c r="B269" t="inlineStr">
        <is>
          <t>CashFlow Statement</t>
        </is>
      </c>
      <c r="C269" t="inlineStr">
        <is>
          <t>Horizontal</t>
        </is>
      </c>
      <c r="D269" t="n">
        <v>5</v>
      </c>
      <c r="E269" t="inlineStr">
        <is>
          <t>CashFlow Statement!K27:O27</t>
        </is>
      </c>
      <c r="F269" t="inlineStr">
        <is>
          <t>'='Income statement'!R[-1]C[0]</t>
        </is>
      </c>
      <c r="G269" t="inlineStr">
        <is>
          <t>Vectorizable</t>
        </is>
      </c>
    </row>
    <row r="270">
      <c r="A270" t="inlineStr">
        <is>
          <t>G000269</t>
        </is>
      </c>
      <c r="B270" t="inlineStr">
        <is>
          <t>CashFlow Statement</t>
        </is>
      </c>
      <c r="C270" t="inlineStr">
        <is>
          <t>Horizontal</t>
        </is>
      </c>
      <c r="D270" t="n">
        <v>12</v>
      </c>
      <c r="E270" t="inlineStr">
        <is>
          <t>CashFlow Statement!D28:O28</t>
        </is>
      </c>
      <c r="F270" t="inlineStr">
        <is>
          <t>'=R[-2]C[0]+R[-1]C[0]</t>
        </is>
      </c>
      <c r="G270" t="inlineStr">
        <is>
          <t>Vectorizable</t>
        </is>
      </c>
    </row>
    <row r="271">
      <c r="A271" t="inlineStr">
        <is>
          <t>G000270</t>
        </is>
      </c>
      <c r="B271" t="inlineStr">
        <is>
          <t>CashFlow Statement</t>
        </is>
      </c>
      <c r="C271" t="inlineStr">
        <is>
          <t>Horizontal</t>
        </is>
      </c>
      <c r="D271" t="n">
        <v>12</v>
      </c>
      <c r="E271" t="inlineStr">
        <is>
          <t>CashFlow Statement!D29:O29</t>
        </is>
      </c>
      <c r="F271" t="inlineStr">
        <is>
          <t>'=SUM(R[-8]C[0]:R[-4]C[0])</t>
        </is>
      </c>
      <c r="G271" t="inlineStr">
        <is>
          <t>Vectorizable</t>
        </is>
      </c>
    </row>
    <row r="272">
      <c r="A272" t="inlineStr">
        <is>
          <t>G000271</t>
        </is>
      </c>
      <c r="B272" t="inlineStr">
        <is>
          <t>CashFlow Statement</t>
        </is>
      </c>
      <c r="C272" t="inlineStr">
        <is>
          <t>Horizontal</t>
        </is>
      </c>
      <c r="D272" t="n">
        <v>5</v>
      </c>
      <c r="E272" t="inlineStr">
        <is>
          <t>CashFlow Statement!K31:O31</t>
        </is>
      </c>
      <c r="F272" t="inlineStr">
        <is>
          <t>'=-'Asset Schedule '!R[-22]C[0]-'Asset Schedule '!R[-9]C[0]</t>
        </is>
      </c>
      <c r="G272" t="inlineStr">
        <is>
          <t>Vectorizable</t>
        </is>
      </c>
    </row>
    <row r="273">
      <c r="A273" t="inlineStr">
        <is>
          <t>G000272</t>
        </is>
      </c>
      <c r="B273" t="inlineStr">
        <is>
          <t>CashFlow Statement</t>
        </is>
      </c>
      <c r="C273" t="inlineStr">
        <is>
          <t>Horizontal</t>
        </is>
      </c>
      <c r="D273" t="n">
        <v>12</v>
      </c>
      <c r="E273" t="inlineStr">
        <is>
          <t>CashFlow Statement!D36:O36</t>
        </is>
      </c>
      <c r="F273" t="inlineStr">
        <is>
          <t>'=SUM(R[-5]C[0]:R[-1]C[0])</t>
        </is>
      </c>
      <c r="G273" t="inlineStr">
        <is>
          <t>Vectorizable</t>
        </is>
      </c>
    </row>
    <row r="274">
      <c r="A274" t="inlineStr">
        <is>
          <t>G000273</t>
        </is>
      </c>
      <c r="B274" t="inlineStr">
        <is>
          <t>CashFlow Statement</t>
        </is>
      </c>
      <c r="C274" t="inlineStr">
        <is>
          <t>Horizontal</t>
        </is>
      </c>
      <c r="D274" t="n">
        <v>5</v>
      </c>
      <c r="E274" t="inlineStr">
        <is>
          <t>CashFlow Statement!K39:O39</t>
        </is>
      </c>
      <c r="F274" t="inlineStr">
        <is>
          <t>'='Debt schedule'!R[-31]C[0]+'Debt schedule'!R[-30]C[0]</t>
        </is>
      </c>
      <c r="G274" t="inlineStr">
        <is>
          <t>Vectorizable</t>
        </is>
      </c>
    </row>
    <row r="275">
      <c r="A275" t="inlineStr">
        <is>
          <t>G000274</t>
        </is>
      </c>
      <c r="B275" t="inlineStr">
        <is>
          <t>CashFlow Statement</t>
        </is>
      </c>
      <c r="C275" t="inlineStr">
        <is>
          <t>Horizontal</t>
        </is>
      </c>
      <c r="D275" t="n">
        <v>5</v>
      </c>
      <c r="E275" t="inlineStr">
        <is>
          <t>CashFlow Statement!K40:O40</t>
        </is>
      </c>
      <c r="F275" t="inlineStr">
        <is>
          <t>'=-R[-27]C[0]</t>
        </is>
      </c>
      <c r="G275" t="inlineStr">
        <is>
          <t>Vectorizable</t>
        </is>
      </c>
    </row>
    <row r="276">
      <c r="A276" t="inlineStr">
        <is>
          <t>G000275</t>
        </is>
      </c>
      <c r="B276" t="inlineStr">
        <is>
          <t>CashFlow Statement</t>
        </is>
      </c>
      <c r="C276" t="inlineStr">
        <is>
          <t>Horizontal</t>
        </is>
      </c>
      <c r="D276" t="n">
        <v>5</v>
      </c>
      <c r="E276" t="inlineStr">
        <is>
          <t>CashFlow Statement!K41:O41</t>
        </is>
      </c>
      <c r="F276" t="inlineStr">
        <is>
          <t>'='Balance sheet'!R[-27]C[0]-'Balance sheet'!R[-27]C[-1]</t>
        </is>
      </c>
      <c r="G276" t="inlineStr">
        <is>
          <t>Vectorizable</t>
        </is>
      </c>
    </row>
    <row r="277">
      <c r="A277" t="inlineStr">
        <is>
          <t>G000276</t>
        </is>
      </c>
      <c r="B277" t="inlineStr">
        <is>
          <t>CashFlow Statement</t>
        </is>
      </c>
      <c r="C277" t="inlineStr">
        <is>
          <t>Horizontal</t>
        </is>
      </c>
      <c r="D277" t="n">
        <v>5</v>
      </c>
      <c r="E277" t="inlineStr">
        <is>
          <t>CashFlow Statement!K46:O46</t>
        </is>
      </c>
      <c r="F277" t="inlineStr">
        <is>
          <t>'=-'Cost Matrix'!R[0]C[0]</t>
        </is>
      </c>
      <c r="G277" t="inlineStr">
        <is>
          <t>Vectorizable</t>
        </is>
      </c>
    </row>
    <row r="278">
      <c r="A278" t="inlineStr">
        <is>
          <t>G000277</t>
        </is>
      </c>
      <c r="B278" t="inlineStr">
        <is>
          <t>CashFlow Statement</t>
        </is>
      </c>
      <c r="C278" t="inlineStr">
        <is>
          <t>Horizontal</t>
        </is>
      </c>
      <c r="D278" t="n">
        <v>5</v>
      </c>
      <c r="E278" t="inlineStr">
        <is>
          <t>CashFlow Statement!K47:O47</t>
        </is>
      </c>
      <c r="F278" t="inlineStr">
        <is>
          <t>'=-'Cost Matrix'!R[0]C[0]</t>
        </is>
      </c>
      <c r="G278" t="inlineStr">
        <is>
          <t>Vectorizable</t>
        </is>
      </c>
    </row>
    <row r="279">
      <c r="A279" t="inlineStr">
        <is>
          <t>G000278</t>
        </is>
      </c>
      <c r="B279" t="inlineStr">
        <is>
          <t>CashFlow Statement</t>
        </is>
      </c>
      <c r="C279" t="inlineStr">
        <is>
          <t>Horizontal</t>
        </is>
      </c>
      <c r="D279" t="n">
        <v>12</v>
      </c>
      <c r="E279" t="inlineStr">
        <is>
          <t>CashFlow Statement!D48:O48</t>
        </is>
      </c>
      <c r="F279" t="inlineStr">
        <is>
          <t>'=SUM(R[-9]C[0]:R[-1]C[0])</t>
        </is>
      </c>
      <c r="G279" t="inlineStr">
        <is>
          <t>Vectorizable</t>
        </is>
      </c>
    </row>
    <row r="280">
      <c r="A280" t="inlineStr">
        <is>
          <t>G000279</t>
        </is>
      </c>
      <c r="B280" t="inlineStr">
        <is>
          <t>CashFlow Statement</t>
        </is>
      </c>
      <c r="C280" t="inlineStr">
        <is>
          <t>Horizontal</t>
        </is>
      </c>
      <c r="D280" t="n">
        <v>12</v>
      </c>
      <c r="E280" t="inlineStr">
        <is>
          <t>CashFlow Statement!D50:O50</t>
        </is>
      </c>
      <c r="F280" t="inlineStr">
        <is>
          <t>'=R[-22]C[0]+R[-14]C[0]+R[-2]C[0]</t>
        </is>
      </c>
      <c r="G280" t="inlineStr">
        <is>
          <t>Vectorizable</t>
        </is>
      </c>
    </row>
    <row r="281">
      <c r="A281" t="inlineStr">
        <is>
          <t>G000280</t>
        </is>
      </c>
      <c r="B281" t="inlineStr">
        <is>
          <t>CashFlow Statement</t>
        </is>
      </c>
      <c r="C281" t="inlineStr">
        <is>
          <t>Horizontal</t>
        </is>
      </c>
      <c r="D281" t="n">
        <v>5</v>
      </c>
      <c r="E281" t="inlineStr">
        <is>
          <t>CashFlow Statement!K54:O54</t>
        </is>
      </c>
      <c r="F281" t="inlineStr">
        <is>
          <t>'=R[1]C[-1]</t>
        </is>
      </c>
      <c r="G281" t="inlineStr">
        <is>
          <t>Vectorizable</t>
        </is>
      </c>
    </row>
    <row r="282">
      <c r="A282" t="inlineStr">
        <is>
          <t>G000281</t>
        </is>
      </c>
      <c r="B282" t="inlineStr">
        <is>
          <t>CashFlow Statement</t>
        </is>
      </c>
      <c r="C282" t="inlineStr">
        <is>
          <t>Horizontal</t>
        </is>
      </c>
      <c r="D282" t="n">
        <v>7</v>
      </c>
      <c r="E282" t="inlineStr">
        <is>
          <t>CashFlow Statement!D55:J55</t>
        </is>
      </c>
      <c r="F282" t="inlineStr">
        <is>
          <t>'=R[-1]C[0]+R[-3]C[0]+R[-5]C[0]</t>
        </is>
      </c>
      <c r="G282" t="inlineStr">
        <is>
          <t>Vectorizable</t>
        </is>
      </c>
    </row>
    <row r="283">
      <c r="A283" t="inlineStr">
        <is>
          <t>G000282</t>
        </is>
      </c>
      <c r="B283" t="inlineStr">
        <is>
          <t>CashFlow Statement</t>
        </is>
      </c>
      <c r="C283" t="inlineStr">
        <is>
          <t>Horizontal</t>
        </is>
      </c>
      <c r="D283" t="n">
        <v>5</v>
      </c>
      <c r="E283" t="inlineStr">
        <is>
          <t>CashFlow Statement!K55:O55</t>
        </is>
      </c>
      <c r="F283" t="inlineStr">
        <is>
          <t>'=R[-1]C[0]+R[-5]C[0]</t>
        </is>
      </c>
      <c r="G283" t="inlineStr">
        <is>
          <t>Vectorizable</t>
        </is>
      </c>
    </row>
    <row r="284">
      <c r="A284" t="inlineStr">
        <is>
          <t>G000283</t>
        </is>
      </c>
      <c r="B284" t="inlineStr">
        <is>
          <t>CashFlow Statement</t>
        </is>
      </c>
      <c r="C284" t="inlineStr">
        <is>
          <t>Horizontal</t>
        </is>
      </c>
      <c r="D284" t="n">
        <v>5</v>
      </c>
      <c r="E284" t="inlineStr">
        <is>
          <t>CashFlow Statement!K57:O57</t>
        </is>
      </c>
      <c r="F284" t="inlineStr">
        <is>
          <t>'=R[0]C[-1]</t>
        </is>
      </c>
      <c r="G284" t="inlineStr">
        <is>
          <t>Vectorizable</t>
        </is>
      </c>
    </row>
    <row r="285">
      <c r="A285" t="inlineStr">
        <is>
          <t>G000284</t>
        </is>
      </c>
      <c r="B285" t="inlineStr">
        <is>
          <t>ATF fuel</t>
        </is>
      </c>
      <c r="C285" t="inlineStr">
        <is>
          <t>Vertical</t>
        </is>
      </c>
      <c r="D285" t="n">
        <v>130</v>
      </c>
      <c r="E285" t="inlineStr">
        <is>
          <t>ATF fuel!F2:F131</t>
        </is>
      </c>
      <c r="F285" t="inlineStr">
        <is>
          <t>'=AVERAGE(R[0]C[-4]:R[0]C[-1])</t>
        </is>
      </c>
      <c r="G285" t="inlineStr">
        <is>
          <t>Vectorizable</t>
        </is>
      </c>
    </row>
    <row r="286">
      <c r="A286" t="inlineStr">
        <is>
          <t>G000285</t>
        </is>
      </c>
      <c r="B286" t="inlineStr">
        <is>
          <t>ATF fuel</t>
        </is>
      </c>
      <c r="C286" t="inlineStr">
        <is>
          <t>Vertical</t>
        </is>
      </c>
      <c r="D286" t="n">
        <v>7</v>
      </c>
      <c r="E286" t="inlineStr">
        <is>
          <t>ATF fuel!O2:O8</t>
        </is>
      </c>
      <c r="F286" t="inlineStr">
        <is>
          <t>'=R[0]C[-3]/1000</t>
        </is>
      </c>
      <c r="G286" t="inlineStr">
        <is>
          <t>Vectorizable</t>
        </is>
      </c>
    </row>
    <row r="287">
      <c r="A287" t="inlineStr">
        <is>
          <t>G000286</t>
        </is>
      </c>
      <c r="B287" t="inlineStr">
        <is>
          <t>ATF fuel</t>
        </is>
      </c>
      <c r="C287" t="inlineStr">
        <is>
          <t>Vertical</t>
        </is>
      </c>
      <c r="D287" t="n">
        <v>129</v>
      </c>
      <c r="E287" t="inlineStr">
        <is>
          <t>ATF fuel!G3:G131</t>
        </is>
      </c>
      <c r="F287" t="inlineStr">
        <is>
          <t>'=R[-1]C[0]-1</t>
        </is>
      </c>
      <c r="G287" t="inlineStr">
        <is>
          <t>Vectorizable</t>
        </is>
      </c>
    </row>
    <row r="288">
      <c r="A288" t="inlineStr">
        <is>
          <t>G000287</t>
        </is>
      </c>
      <c r="B288" t="inlineStr">
        <is>
          <t>ATF fuel</t>
        </is>
      </c>
      <c r="C288" t="inlineStr">
        <is>
          <t>Vertical</t>
        </is>
      </c>
      <c r="D288" t="n">
        <v>20</v>
      </c>
      <c r="E288" t="inlineStr">
        <is>
          <t>ATF fuel!H33:H52</t>
        </is>
      </c>
      <c r="F288" t="inlineStr">
        <is>
          <t>'=INDIRECT("A"&amp;R[33]C[-1])</t>
        </is>
      </c>
      <c r="G288" t="inlineStr">
        <is>
          <t>Vectorizable</t>
        </is>
      </c>
    </row>
    <row r="289">
      <c r="A289" t="inlineStr">
        <is>
          <t>G000288</t>
        </is>
      </c>
      <c r="B289" t="inlineStr">
        <is>
          <t>ATF fuel</t>
        </is>
      </c>
      <c r="C289" t="inlineStr">
        <is>
          <t>Vertical</t>
        </is>
      </c>
      <c r="D289" t="n">
        <v>20</v>
      </c>
      <c r="E289" t="inlineStr">
        <is>
          <t>ATF fuel!I33:I52</t>
        </is>
      </c>
      <c r="F289" t="inlineStr">
        <is>
          <t>'=INDIRECT("F"&amp;R[33]C[-2])</t>
        </is>
      </c>
      <c r="G289" t="inlineStr">
        <is>
          <t>Vectorizable</t>
        </is>
      </c>
    </row>
    <row r="290">
      <c r="A290" t="inlineStr">
        <is>
          <t>G000289</t>
        </is>
      </c>
      <c r="B290" t="inlineStr">
        <is>
          <t>ATF fuel</t>
        </is>
      </c>
      <c r="C290" t="inlineStr">
        <is>
          <t>Vertical</t>
        </is>
      </c>
      <c r="D290" t="n">
        <v>17</v>
      </c>
      <c r="E290" t="inlineStr">
        <is>
          <t>ATF fuel!H53:H69</t>
        </is>
      </c>
      <c r="F290" t="inlineStr">
        <is>
          <t>'=INDIRECT("A"&amp;R[34]C[-1])</t>
        </is>
      </c>
      <c r="G290" t="inlineStr">
        <is>
          <t>Vectorizable</t>
        </is>
      </c>
    </row>
    <row r="291">
      <c r="A291" t="inlineStr">
        <is>
          <t>G000290</t>
        </is>
      </c>
      <c r="B291" t="inlineStr">
        <is>
          <t>ATF fuel</t>
        </is>
      </c>
      <c r="C291" t="inlineStr">
        <is>
          <t>Vertical</t>
        </is>
      </c>
      <c r="D291" t="n">
        <v>17</v>
      </c>
      <c r="E291" t="inlineStr">
        <is>
          <t>ATF fuel!I53:I69</t>
        </is>
      </c>
      <c r="F291" t="inlineStr">
        <is>
          <t>'=INDIRECT("F"&amp;R[34]C[-2])</t>
        </is>
      </c>
      <c r="G291" t="inlineStr">
        <is>
          <t>Vectorizable</t>
        </is>
      </c>
    </row>
    <row r="292">
      <c r="A292" t="inlineStr">
        <is>
          <t>G000291</t>
        </is>
      </c>
      <c r="B292" t="inlineStr">
        <is>
          <t>ATF fuel</t>
        </is>
      </c>
      <c r="C292" t="inlineStr">
        <is>
          <t>Vertical</t>
        </is>
      </c>
      <c r="D292" t="n">
        <v>4</v>
      </c>
      <c r="E292" t="inlineStr">
        <is>
          <t>ATF fuel!H70:H73</t>
        </is>
      </c>
      <c r="F292" t="inlineStr">
        <is>
          <t>'=INDIRECT("A"&amp;R[35]C[-1])</t>
        </is>
      </c>
      <c r="G292" t="inlineStr">
        <is>
          <t>Vectorizable</t>
        </is>
      </c>
    </row>
    <row r="293">
      <c r="A293" t="inlineStr">
        <is>
          <t>G000292</t>
        </is>
      </c>
      <c r="B293" t="inlineStr">
        <is>
          <t>ATF fuel</t>
        </is>
      </c>
      <c r="C293" t="inlineStr">
        <is>
          <t>Vertical</t>
        </is>
      </c>
      <c r="D293" t="n">
        <v>4</v>
      </c>
      <c r="E293" t="inlineStr">
        <is>
          <t>ATF fuel!I70:I73</t>
        </is>
      </c>
      <c r="F293" t="inlineStr">
        <is>
          <t>'=INDIRECT("F"&amp;R[35]C[-2])</t>
        </is>
      </c>
      <c r="G293" t="inlineStr">
        <is>
          <t>Vectorizable</t>
        </is>
      </c>
    </row>
    <row r="294">
      <c r="A294" t="inlineStr">
        <is>
          <t>G000293</t>
        </is>
      </c>
      <c r="B294" t="inlineStr">
        <is>
          <t>ATF fuel</t>
        </is>
      </c>
      <c r="C294" t="inlineStr">
        <is>
          <t>Vertical</t>
        </is>
      </c>
      <c r="D294" t="n">
        <v>20</v>
      </c>
      <c r="E294" t="inlineStr">
        <is>
          <t>ATF fuel!H75:H94</t>
        </is>
      </c>
      <c r="F294" t="inlineStr">
        <is>
          <t>'=INDIRECT("A"&amp;R[37]C[-1])</t>
        </is>
      </c>
      <c r="G294" t="inlineStr">
        <is>
          <t>Vectorizable</t>
        </is>
      </c>
    </row>
    <row r="295">
      <c r="A295" t="inlineStr">
        <is>
          <t>G000294</t>
        </is>
      </c>
      <c r="B295" t="inlineStr">
        <is>
          <t>ATF fuel</t>
        </is>
      </c>
      <c r="C295" t="inlineStr">
        <is>
          <t>Vertical</t>
        </is>
      </c>
      <c r="D295" t="n">
        <v>20</v>
      </c>
      <c r="E295" t="inlineStr">
        <is>
          <t>ATF fuel!I75:I94</t>
        </is>
      </c>
      <c r="F295" t="inlineStr">
        <is>
          <t>'=INDIRECT("F"&amp;R[37]C[-2])</t>
        </is>
      </c>
      <c r="G295" t="inlineStr">
        <is>
          <t>Vectorizable</t>
        </is>
      </c>
    </row>
    <row r="296">
      <c r="A296" t="inlineStr">
        <is>
          <t>G000295</t>
        </is>
      </c>
      <c r="B296" t="inlineStr">
        <is>
          <t>ATF fuel</t>
        </is>
      </c>
      <c r="C296" t="inlineStr">
        <is>
          <t>Vertical</t>
        </is>
      </c>
      <c r="D296" t="n">
        <v>93</v>
      </c>
      <c r="E296" t="inlineStr">
        <is>
          <t>ATF fuel!J136:J228</t>
        </is>
      </c>
      <c r="F296" t="inlineStr">
        <is>
          <t>'=R[0]C[-3]/R[0]C[-2]-1</t>
        </is>
      </c>
      <c r="G296" t="inlineStr">
        <is>
          <t>Vectorizable</t>
        </is>
      </c>
    </row>
    <row r="297">
      <c r="A297" t="inlineStr">
        <is>
          <t>G000296</t>
        </is>
      </c>
      <c r="B297" t="inlineStr">
        <is>
          <t>ATF fuel</t>
        </is>
      </c>
      <c r="C297" t="inlineStr">
        <is>
          <t>Horizontal</t>
        </is>
      </c>
      <c r="D297" t="n">
        <v>3</v>
      </c>
      <c r="E297" t="inlineStr">
        <is>
          <t>ATF fuel!G137:I137</t>
        </is>
      </c>
      <c r="F297" t="inlineStr">
        <is>
          <t>'=(1+(R[0]C[-4]/R[-1]C[-4])-1)*R[-1]C[0]</t>
        </is>
      </c>
      <c r="G297" t="inlineStr">
        <is>
          <t>Vectorizable</t>
        </is>
      </c>
    </row>
    <row r="298">
      <c r="A298" t="inlineStr">
        <is>
          <t>G000297</t>
        </is>
      </c>
      <c r="B298" t="inlineStr">
        <is>
          <t>ATF fuel</t>
        </is>
      </c>
      <c r="C298" t="inlineStr">
        <is>
          <t>Horizontal</t>
        </is>
      </c>
      <c r="D298" t="n">
        <v>3</v>
      </c>
      <c r="E298" t="inlineStr">
        <is>
          <t>ATF fuel!G138:I138</t>
        </is>
      </c>
      <c r="F298" t="inlineStr">
        <is>
          <t>'=(1+(R[0]C[-4]/R[-1]C[-4])-1)*R[-1]C[0]</t>
        </is>
      </c>
      <c r="G298" t="inlineStr">
        <is>
          <t>Vectorizable</t>
        </is>
      </c>
    </row>
    <row r="299">
      <c r="A299" t="inlineStr">
        <is>
          <t>G000298</t>
        </is>
      </c>
      <c r="B299" t="inlineStr">
        <is>
          <t>ATF fuel</t>
        </is>
      </c>
      <c r="C299" t="inlineStr">
        <is>
          <t>Horizontal</t>
        </is>
      </c>
      <c r="D299" t="n">
        <v>3</v>
      </c>
      <c r="E299" t="inlineStr">
        <is>
          <t>ATF fuel!G139:I139</t>
        </is>
      </c>
      <c r="F299" t="inlineStr">
        <is>
          <t>'=(1+(R[0]C[-4]/R[-1]C[-4])-1)*R[-1]C[0]</t>
        </is>
      </c>
      <c r="G299" t="inlineStr">
        <is>
          <t>Vectorizable</t>
        </is>
      </c>
    </row>
    <row r="300">
      <c r="A300" t="inlineStr">
        <is>
          <t>G000299</t>
        </is>
      </c>
      <c r="B300" t="inlineStr">
        <is>
          <t>ATF fuel</t>
        </is>
      </c>
      <c r="C300" t="inlineStr">
        <is>
          <t>Horizontal</t>
        </is>
      </c>
      <c r="D300" t="n">
        <v>3</v>
      </c>
      <c r="E300" t="inlineStr">
        <is>
          <t>ATF fuel!G140:I140</t>
        </is>
      </c>
      <c r="F300" t="inlineStr">
        <is>
          <t>'=(1+(R[0]C[-4]/R[-1]C[-4])-1)*R[-1]C[0]</t>
        </is>
      </c>
      <c r="G300" t="inlineStr">
        <is>
          <t>Vectorizable</t>
        </is>
      </c>
    </row>
    <row r="301">
      <c r="A301" t="inlineStr">
        <is>
          <t>G000300</t>
        </is>
      </c>
      <c r="B301" t="inlineStr">
        <is>
          <t>ATF fuel</t>
        </is>
      </c>
      <c r="C301" t="inlineStr">
        <is>
          <t>Horizontal</t>
        </is>
      </c>
      <c r="D301" t="n">
        <v>3</v>
      </c>
      <c r="E301" t="inlineStr">
        <is>
          <t>ATF fuel!G141:I141</t>
        </is>
      </c>
      <c r="F301" t="inlineStr">
        <is>
          <t>'=(1+(R[0]C[-4]/R[-1]C[-4])-1)*R[-1]C[0]</t>
        </is>
      </c>
      <c r="G301" t="inlineStr">
        <is>
          <t>Vectorizable</t>
        </is>
      </c>
    </row>
    <row r="302">
      <c r="A302" t="inlineStr">
        <is>
          <t>G000301</t>
        </is>
      </c>
      <c r="B302" t="inlineStr">
        <is>
          <t>ATF fuel</t>
        </is>
      </c>
      <c r="C302" t="inlineStr">
        <is>
          <t>Horizontal</t>
        </is>
      </c>
      <c r="D302" t="n">
        <v>3</v>
      </c>
      <c r="E302" t="inlineStr">
        <is>
          <t>ATF fuel!G142:I142</t>
        </is>
      </c>
      <c r="F302" t="inlineStr">
        <is>
          <t>'=(1+(R[0]C[-4]/R[-1]C[-4])-1)*R[-1]C[0]</t>
        </is>
      </c>
      <c r="G302" t="inlineStr">
        <is>
          <t>Vectorizable</t>
        </is>
      </c>
    </row>
    <row r="303">
      <c r="A303" t="inlineStr">
        <is>
          <t>G000302</t>
        </is>
      </c>
      <c r="B303" t="inlineStr">
        <is>
          <t>ATF fuel</t>
        </is>
      </c>
      <c r="C303" t="inlineStr">
        <is>
          <t>Horizontal</t>
        </is>
      </c>
      <c r="D303" t="n">
        <v>3</v>
      </c>
      <c r="E303" t="inlineStr">
        <is>
          <t>ATF fuel!G143:I143</t>
        </is>
      </c>
      <c r="F303" t="inlineStr">
        <is>
          <t>'=(1+(R[0]C[-4]/R[-1]C[-4])-1)*R[-1]C[0]</t>
        </is>
      </c>
      <c r="G303" t="inlineStr">
        <is>
          <t>Vectorizable</t>
        </is>
      </c>
    </row>
    <row r="304">
      <c r="A304" t="inlineStr">
        <is>
          <t>G000303</t>
        </is>
      </c>
      <c r="B304" t="inlineStr">
        <is>
          <t>ATF fuel</t>
        </is>
      </c>
      <c r="C304" t="inlineStr">
        <is>
          <t>Horizontal</t>
        </is>
      </c>
      <c r="D304" t="n">
        <v>3</v>
      </c>
      <c r="E304" t="inlineStr">
        <is>
          <t>ATF fuel!G144:I144</t>
        </is>
      </c>
      <c r="F304" t="inlineStr">
        <is>
          <t>'=(1+(R[0]C[-4]/R[-1]C[-4])-1)*R[-1]C[0]</t>
        </is>
      </c>
      <c r="G304" t="inlineStr">
        <is>
          <t>Vectorizable</t>
        </is>
      </c>
    </row>
    <row r="305">
      <c r="A305" t="inlineStr">
        <is>
          <t>G000304</t>
        </is>
      </c>
      <c r="B305" t="inlineStr">
        <is>
          <t>ATF fuel</t>
        </is>
      </c>
      <c r="C305" t="inlineStr">
        <is>
          <t>Horizontal</t>
        </is>
      </c>
      <c r="D305" t="n">
        <v>3</v>
      </c>
      <c r="E305" t="inlineStr">
        <is>
          <t>ATF fuel!G145:I145</t>
        </is>
      </c>
      <c r="F305" t="inlineStr">
        <is>
          <t>'=(1+(R[0]C[-4]/R[-1]C[-4])-1)*R[-1]C[0]</t>
        </is>
      </c>
      <c r="G305" t="inlineStr">
        <is>
          <t>Vectorizable</t>
        </is>
      </c>
    </row>
    <row r="306">
      <c r="A306" t="inlineStr">
        <is>
          <t>G000305</t>
        </is>
      </c>
      <c r="B306" t="inlineStr">
        <is>
          <t>ATF fuel</t>
        </is>
      </c>
      <c r="C306" t="inlineStr">
        <is>
          <t>Horizontal</t>
        </is>
      </c>
      <c r="D306" t="n">
        <v>3</v>
      </c>
      <c r="E306" t="inlineStr">
        <is>
          <t>ATF fuel!G146:I146</t>
        </is>
      </c>
      <c r="F306" t="inlineStr">
        <is>
          <t>'=(1+(R[0]C[-4]/R[-1]C[-4])-1)*R[-1]C[0]</t>
        </is>
      </c>
      <c r="G306" t="inlineStr">
        <is>
          <t>Vectorizable</t>
        </is>
      </c>
    </row>
    <row r="307">
      <c r="A307" t="inlineStr">
        <is>
          <t>G000306</t>
        </is>
      </c>
      <c r="B307" t="inlineStr">
        <is>
          <t>ATF fuel</t>
        </is>
      </c>
      <c r="C307" t="inlineStr">
        <is>
          <t>Horizontal</t>
        </is>
      </c>
      <c r="D307" t="n">
        <v>3</v>
      </c>
      <c r="E307" t="inlineStr">
        <is>
          <t>ATF fuel!G147:I147</t>
        </is>
      </c>
      <c r="F307" t="inlineStr">
        <is>
          <t>'=(1+(R[0]C[-4]/R[-1]C[-4])-1)*R[-1]C[0]</t>
        </is>
      </c>
      <c r="G307" t="inlineStr">
        <is>
          <t>Vectorizable</t>
        </is>
      </c>
    </row>
    <row r="308">
      <c r="A308" t="inlineStr">
        <is>
          <t>G000307</t>
        </is>
      </c>
      <c r="B308" t="inlineStr">
        <is>
          <t>ATF fuel</t>
        </is>
      </c>
      <c r="C308" t="inlineStr">
        <is>
          <t>Horizontal</t>
        </is>
      </c>
      <c r="D308" t="n">
        <v>3</v>
      </c>
      <c r="E308" t="inlineStr">
        <is>
          <t>ATF fuel!G148:I148</t>
        </is>
      </c>
      <c r="F308" t="inlineStr">
        <is>
          <t>'=(1+(R[0]C[-4]/R[-1]C[-4])-1)*R[-1]C[0]</t>
        </is>
      </c>
      <c r="G308" t="inlineStr">
        <is>
          <t>Vectorizable</t>
        </is>
      </c>
    </row>
    <row r="309">
      <c r="A309" t="inlineStr">
        <is>
          <t>G000308</t>
        </is>
      </c>
      <c r="B309" t="inlineStr">
        <is>
          <t>ATF fuel</t>
        </is>
      </c>
      <c r="C309" t="inlineStr">
        <is>
          <t>Horizontal</t>
        </is>
      </c>
      <c r="D309" t="n">
        <v>3</v>
      </c>
      <c r="E309" t="inlineStr">
        <is>
          <t>ATF fuel!G149:I149</t>
        </is>
      </c>
      <c r="F309" t="inlineStr">
        <is>
          <t>'=(1+(R[0]C[-4]/R[-1]C[-4])-1)*R[-1]C[0]</t>
        </is>
      </c>
      <c r="G309" t="inlineStr">
        <is>
          <t>Vectorizable</t>
        </is>
      </c>
    </row>
    <row r="310">
      <c r="A310" t="inlineStr">
        <is>
          <t>G000309</t>
        </is>
      </c>
      <c r="B310" t="inlineStr">
        <is>
          <t>ATF fuel</t>
        </is>
      </c>
      <c r="C310" t="inlineStr">
        <is>
          <t>Horizontal</t>
        </is>
      </c>
      <c r="D310" t="n">
        <v>3</v>
      </c>
      <c r="E310" t="inlineStr">
        <is>
          <t>ATF fuel!G150:I150</t>
        </is>
      </c>
      <c r="F310" t="inlineStr">
        <is>
          <t>'=(1+(R[0]C[-4]/R[-1]C[-4])-1)*R[-1]C[0]</t>
        </is>
      </c>
      <c r="G310" t="inlineStr">
        <is>
          <t>Vectorizable</t>
        </is>
      </c>
    </row>
    <row r="311">
      <c r="A311" t="inlineStr">
        <is>
          <t>G000310</t>
        </is>
      </c>
      <c r="B311" t="inlineStr">
        <is>
          <t>ATF fuel</t>
        </is>
      </c>
      <c r="C311" t="inlineStr">
        <is>
          <t>Horizontal</t>
        </is>
      </c>
      <c r="D311" t="n">
        <v>3</v>
      </c>
      <c r="E311" t="inlineStr">
        <is>
          <t>ATF fuel!G151:I151</t>
        </is>
      </c>
      <c r="F311" t="inlineStr">
        <is>
          <t>'=(1+(R[0]C[-4]/R[-1]C[-4])-1)*R[-1]C[0]</t>
        </is>
      </c>
      <c r="G311" t="inlineStr">
        <is>
          <t>Vectorizable</t>
        </is>
      </c>
    </row>
    <row r="312">
      <c r="A312" t="inlineStr">
        <is>
          <t>G000311</t>
        </is>
      </c>
      <c r="B312" t="inlineStr">
        <is>
          <t>ATF fuel</t>
        </is>
      </c>
      <c r="C312" t="inlineStr">
        <is>
          <t>Horizontal</t>
        </is>
      </c>
      <c r="D312" t="n">
        <v>3</v>
      </c>
      <c r="E312" t="inlineStr">
        <is>
          <t>ATF fuel!G152:I152</t>
        </is>
      </c>
      <c r="F312" t="inlineStr">
        <is>
          <t>'=(1+(R[0]C[-4]/R[-1]C[-4])-1)*R[-1]C[0]</t>
        </is>
      </c>
      <c r="G312" t="inlineStr">
        <is>
          <t>Vectorizable</t>
        </is>
      </c>
    </row>
    <row r="313">
      <c r="A313" t="inlineStr">
        <is>
          <t>G000312</t>
        </is>
      </c>
      <c r="B313" t="inlineStr">
        <is>
          <t>ATF fuel</t>
        </is>
      </c>
      <c r="C313" t="inlineStr">
        <is>
          <t>Horizontal</t>
        </is>
      </c>
      <c r="D313" t="n">
        <v>3</v>
      </c>
      <c r="E313" t="inlineStr">
        <is>
          <t>ATF fuel!G153:I153</t>
        </is>
      </c>
      <c r="F313" t="inlineStr">
        <is>
          <t>'=(1+(R[0]C[-4]/R[-1]C[-4])-1)*R[-1]C[0]</t>
        </is>
      </c>
      <c r="G313" t="inlineStr">
        <is>
          <t>Vectorizable</t>
        </is>
      </c>
    </row>
    <row r="314">
      <c r="A314" t="inlineStr">
        <is>
          <t>G000313</t>
        </is>
      </c>
      <c r="B314" t="inlineStr">
        <is>
          <t>ATF fuel</t>
        </is>
      </c>
      <c r="C314" t="inlineStr">
        <is>
          <t>Horizontal</t>
        </is>
      </c>
      <c r="D314" t="n">
        <v>3</v>
      </c>
      <c r="E314" t="inlineStr">
        <is>
          <t>ATF fuel!G154:I154</t>
        </is>
      </c>
      <c r="F314" t="inlineStr">
        <is>
          <t>'=(1+(R[0]C[-4]/R[-1]C[-4])-1)*R[-1]C[0]</t>
        </is>
      </c>
      <c r="G314" t="inlineStr">
        <is>
          <t>Vectorizable</t>
        </is>
      </c>
    </row>
    <row r="315">
      <c r="A315" t="inlineStr">
        <is>
          <t>G000314</t>
        </is>
      </c>
      <c r="B315" t="inlineStr">
        <is>
          <t>ATF fuel</t>
        </is>
      </c>
      <c r="C315" t="inlineStr">
        <is>
          <t>Horizontal</t>
        </is>
      </c>
      <c r="D315" t="n">
        <v>3</v>
      </c>
      <c r="E315" t="inlineStr">
        <is>
          <t>ATF fuel!G155:I155</t>
        </is>
      </c>
      <c r="F315" t="inlineStr">
        <is>
          <t>'=(1+(R[0]C[-4]/R[-1]C[-4])-1)*R[-1]C[0]</t>
        </is>
      </c>
      <c r="G315" t="inlineStr">
        <is>
          <t>Vectorizable</t>
        </is>
      </c>
    </row>
    <row r="316">
      <c r="A316" t="inlineStr">
        <is>
          <t>G000315</t>
        </is>
      </c>
      <c r="B316" t="inlineStr">
        <is>
          <t>ATF fuel</t>
        </is>
      </c>
      <c r="C316" t="inlineStr">
        <is>
          <t>Horizontal</t>
        </is>
      </c>
      <c r="D316" t="n">
        <v>3</v>
      </c>
      <c r="E316" t="inlineStr">
        <is>
          <t>ATF fuel!G156:I156</t>
        </is>
      </c>
      <c r="F316" t="inlineStr">
        <is>
          <t>'=(1+(R[0]C[-4]/R[-1]C[-4])-1)*R[-1]C[0]</t>
        </is>
      </c>
      <c r="G316" t="inlineStr">
        <is>
          <t>Vectorizable</t>
        </is>
      </c>
    </row>
    <row r="317">
      <c r="A317" t="inlineStr">
        <is>
          <t>G000316</t>
        </is>
      </c>
      <c r="B317" t="inlineStr">
        <is>
          <t>ATF fuel</t>
        </is>
      </c>
      <c r="C317" t="inlineStr">
        <is>
          <t>Horizontal</t>
        </is>
      </c>
      <c r="D317" t="n">
        <v>3</v>
      </c>
      <c r="E317" t="inlineStr">
        <is>
          <t>ATF fuel!G157:I157</t>
        </is>
      </c>
      <c r="F317" t="inlineStr">
        <is>
          <t>'=(1+(R[0]C[-4]/R[-1]C[-4])-1)*R[-1]C[0]</t>
        </is>
      </c>
      <c r="G317" t="inlineStr">
        <is>
          <t>Vectorizable</t>
        </is>
      </c>
    </row>
    <row r="318">
      <c r="A318" t="inlineStr">
        <is>
          <t>G000317</t>
        </is>
      </c>
      <c r="B318" t="inlineStr">
        <is>
          <t>ATF fuel</t>
        </is>
      </c>
      <c r="C318" t="inlineStr">
        <is>
          <t>Horizontal</t>
        </is>
      </c>
      <c r="D318" t="n">
        <v>3</v>
      </c>
      <c r="E318" t="inlineStr">
        <is>
          <t>ATF fuel!G158:I158</t>
        </is>
      </c>
      <c r="F318" t="inlineStr">
        <is>
          <t>'=(1+(R[0]C[-4]/R[-1]C[-4])-1)*R[-1]C[0]</t>
        </is>
      </c>
      <c r="G318" t="inlineStr">
        <is>
          <t>Vectorizable</t>
        </is>
      </c>
    </row>
    <row r="319">
      <c r="A319" t="inlineStr">
        <is>
          <t>G000318</t>
        </is>
      </c>
      <c r="B319" t="inlineStr">
        <is>
          <t>ATF fuel</t>
        </is>
      </c>
      <c r="C319" t="inlineStr">
        <is>
          <t>Horizontal</t>
        </is>
      </c>
      <c r="D319" t="n">
        <v>3</v>
      </c>
      <c r="E319" t="inlineStr">
        <is>
          <t>ATF fuel!G159:I159</t>
        </is>
      </c>
      <c r="F319" t="inlineStr">
        <is>
          <t>'=(1+(R[0]C[-4]/R[-1]C[-4])-1)*R[-1]C[0]</t>
        </is>
      </c>
      <c r="G319" t="inlineStr">
        <is>
          <t>Vectorizable</t>
        </is>
      </c>
    </row>
    <row r="320">
      <c r="A320" t="inlineStr">
        <is>
          <t>G000319</t>
        </is>
      </c>
      <c r="B320" t="inlineStr">
        <is>
          <t>ATF fuel</t>
        </is>
      </c>
      <c r="C320" t="inlineStr">
        <is>
          <t>Horizontal</t>
        </is>
      </c>
      <c r="D320" t="n">
        <v>3</v>
      </c>
      <c r="E320" t="inlineStr">
        <is>
          <t>ATF fuel!G160:I160</t>
        </is>
      </c>
      <c r="F320" t="inlineStr">
        <is>
          <t>'=(1+(R[0]C[-4]/R[-1]C[-4])-1)*R[-1]C[0]</t>
        </is>
      </c>
      <c r="G320" t="inlineStr">
        <is>
          <t>Vectorizable</t>
        </is>
      </c>
    </row>
    <row r="321">
      <c r="A321" t="inlineStr">
        <is>
          <t>G000320</t>
        </is>
      </c>
      <c r="B321" t="inlineStr">
        <is>
          <t>ATF fuel</t>
        </is>
      </c>
      <c r="C321" t="inlineStr">
        <is>
          <t>Horizontal</t>
        </is>
      </c>
      <c r="D321" t="n">
        <v>3</v>
      </c>
      <c r="E321" t="inlineStr">
        <is>
          <t>ATF fuel!G161:I161</t>
        </is>
      </c>
      <c r="F321" t="inlineStr">
        <is>
          <t>'=(1+(R[0]C[-4]/R[-1]C[-4])-1)*R[-1]C[0]</t>
        </is>
      </c>
      <c r="G321" t="inlineStr">
        <is>
          <t>Vectorizable</t>
        </is>
      </c>
    </row>
    <row r="322">
      <c r="A322" t="inlineStr">
        <is>
          <t>G000321</t>
        </is>
      </c>
      <c r="B322" t="inlineStr">
        <is>
          <t>ATF fuel</t>
        </is>
      </c>
      <c r="C322" t="inlineStr">
        <is>
          <t>Horizontal</t>
        </is>
      </c>
      <c r="D322" t="n">
        <v>3</v>
      </c>
      <c r="E322" t="inlineStr">
        <is>
          <t>ATF fuel!G162:I162</t>
        </is>
      </c>
      <c r="F322" t="inlineStr">
        <is>
          <t>'=(1+(R[0]C[-4]/R[-1]C[-4])-1)*R[-1]C[0]</t>
        </is>
      </c>
      <c r="G322" t="inlineStr">
        <is>
          <t>Vectorizable</t>
        </is>
      </c>
    </row>
    <row r="323">
      <c r="A323" t="inlineStr">
        <is>
          <t>G000322</t>
        </is>
      </c>
      <c r="B323" t="inlineStr">
        <is>
          <t>ATF fuel</t>
        </is>
      </c>
      <c r="C323" t="inlineStr">
        <is>
          <t>Horizontal</t>
        </is>
      </c>
      <c r="D323" t="n">
        <v>3</v>
      </c>
      <c r="E323" t="inlineStr">
        <is>
          <t>ATF fuel!G163:I163</t>
        </is>
      </c>
      <c r="F323" t="inlineStr">
        <is>
          <t>'=(1+(R[0]C[-4]/R[-1]C[-4])-1)*R[-1]C[0]</t>
        </is>
      </c>
      <c r="G323" t="inlineStr">
        <is>
          <t>Vectorizable</t>
        </is>
      </c>
    </row>
    <row r="324">
      <c r="A324" t="inlineStr">
        <is>
          <t>G000323</t>
        </is>
      </c>
      <c r="B324" t="inlineStr">
        <is>
          <t>ATF fuel</t>
        </is>
      </c>
      <c r="C324" t="inlineStr">
        <is>
          <t>Horizontal</t>
        </is>
      </c>
      <c r="D324" t="n">
        <v>3</v>
      </c>
      <c r="E324" t="inlineStr">
        <is>
          <t>ATF fuel!G164:I164</t>
        </is>
      </c>
      <c r="F324" t="inlineStr">
        <is>
          <t>'=(1+(R[0]C[-4]/R[-1]C[-4])-1)*R[-1]C[0]</t>
        </is>
      </c>
      <c r="G324" t="inlineStr">
        <is>
          <t>Vectorizable</t>
        </is>
      </c>
    </row>
    <row r="325">
      <c r="A325" t="inlineStr">
        <is>
          <t>G000324</t>
        </is>
      </c>
      <c r="B325" t="inlineStr">
        <is>
          <t>ATF fuel</t>
        </is>
      </c>
      <c r="C325" t="inlineStr">
        <is>
          <t>Horizontal</t>
        </is>
      </c>
      <c r="D325" t="n">
        <v>3</v>
      </c>
      <c r="E325" t="inlineStr">
        <is>
          <t>ATF fuel!G165:I165</t>
        </is>
      </c>
      <c r="F325" t="inlineStr">
        <is>
          <t>'=(1+(R[0]C[-4]/R[-1]C[-4])-1)*R[-1]C[0]</t>
        </is>
      </c>
      <c r="G325" t="inlineStr">
        <is>
          <t>Vectorizable</t>
        </is>
      </c>
    </row>
    <row r="326">
      <c r="A326" t="inlineStr">
        <is>
          <t>G000325</t>
        </is>
      </c>
      <c r="B326" t="inlineStr">
        <is>
          <t>ATF fuel</t>
        </is>
      </c>
      <c r="C326" t="inlineStr">
        <is>
          <t>Horizontal</t>
        </is>
      </c>
      <c r="D326" t="n">
        <v>3</v>
      </c>
      <c r="E326" t="inlineStr">
        <is>
          <t>ATF fuel!G166:I166</t>
        </is>
      </c>
      <c r="F326" t="inlineStr">
        <is>
          <t>'=(1+(R[0]C[-4]/R[-1]C[-4])-1)*R[-1]C[0]</t>
        </is>
      </c>
      <c r="G326" t="inlineStr">
        <is>
          <t>Vectorizable</t>
        </is>
      </c>
    </row>
    <row r="327">
      <c r="A327" t="inlineStr">
        <is>
          <t>G000326</t>
        </is>
      </c>
      <c r="B327" t="inlineStr">
        <is>
          <t>ATF fuel</t>
        </is>
      </c>
      <c r="C327" t="inlineStr">
        <is>
          <t>Horizontal</t>
        </is>
      </c>
      <c r="D327" t="n">
        <v>3</v>
      </c>
      <c r="E327" t="inlineStr">
        <is>
          <t>ATF fuel!G167:I167</t>
        </is>
      </c>
      <c r="F327" t="inlineStr">
        <is>
          <t>'=(1+(R[0]C[-4]/R[-1]C[-4])-1)*R[-1]C[0]</t>
        </is>
      </c>
      <c r="G327" t="inlineStr">
        <is>
          <t>Vectorizable</t>
        </is>
      </c>
    </row>
    <row r="328">
      <c r="A328" t="inlineStr">
        <is>
          <t>G000327</t>
        </is>
      </c>
      <c r="B328" t="inlineStr">
        <is>
          <t>ATF fuel</t>
        </is>
      </c>
      <c r="C328" t="inlineStr">
        <is>
          <t>Horizontal</t>
        </is>
      </c>
      <c r="D328" t="n">
        <v>3</v>
      </c>
      <c r="E328" t="inlineStr">
        <is>
          <t>ATF fuel!G168:I168</t>
        </is>
      </c>
      <c r="F328" t="inlineStr">
        <is>
          <t>'=(1+(R[0]C[-4]/R[-1]C[-4])-1)*R[-1]C[0]</t>
        </is>
      </c>
      <c r="G328" t="inlineStr">
        <is>
          <t>Vectorizable</t>
        </is>
      </c>
    </row>
    <row r="329">
      <c r="A329" t="inlineStr">
        <is>
          <t>G000328</t>
        </is>
      </c>
      <c r="B329" t="inlineStr">
        <is>
          <t>ATF fuel</t>
        </is>
      </c>
      <c r="C329" t="inlineStr">
        <is>
          <t>Horizontal</t>
        </is>
      </c>
      <c r="D329" t="n">
        <v>3</v>
      </c>
      <c r="E329" t="inlineStr">
        <is>
          <t>ATF fuel!G169:I169</t>
        </is>
      </c>
      <c r="F329" t="inlineStr">
        <is>
          <t>'=(1+(R[0]C[-4]/R[-1]C[-4])-1)*R[-1]C[0]</t>
        </is>
      </c>
      <c r="G329" t="inlineStr">
        <is>
          <t>Vectorizable</t>
        </is>
      </c>
    </row>
    <row r="330">
      <c r="A330" t="inlineStr">
        <is>
          <t>G000329</t>
        </is>
      </c>
      <c r="B330" t="inlineStr">
        <is>
          <t>ATF fuel</t>
        </is>
      </c>
      <c r="C330" t="inlineStr">
        <is>
          <t>Horizontal</t>
        </is>
      </c>
      <c r="D330" t="n">
        <v>3</v>
      </c>
      <c r="E330" t="inlineStr">
        <is>
          <t>ATF fuel!G170:I170</t>
        </is>
      </c>
      <c r="F330" t="inlineStr">
        <is>
          <t>'=(1+(R[0]C[-4]/R[-1]C[-4])-1)*R[-1]C[0]</t>
        </is>
      </c>
      <c r="G330" t="inlineStr">
        <is>
          <t>Vectorizable</t>
        </is>
      </c>
    </row>
    <row r="331">
      <c r="A331" t="inlineStr">
        <is>
          <t>G000330</t>
        </is>
      </c>
      <c r="B331" t="inlineStr">
        <is>
          <t>ATF fuel</t>
        </is>
      </c>
      <c r="C331" t="inlineStr">
        <is>
          <t>Horizontal</t>
        </is>
      </c>
      <c r="D331" t="n">
        <v>3</v>
      </c>
      <c r="E331" t="inlineStr">
        <is>
          <t>ATF fuel!G171:I171</t>
        </is>
      </c>
      <c r="F331" t="inlineStr">
        <is>
          <t>'=(1+(R[0]C[-4]/R[-1]C[-4])-1)*R[-1]C[0]</t>
        </is>
      </c>
      <c r="G331" t="inlineStr">
        <is>
          <t>Vectorizable</t>
        </is>
      </c>
    </row>
    <row r="332">
      <c r="A332" t="inlineStr">
        <is>
          <t>G000331</t>
        </is>
      </c>
      <c r="B332" t="inlineStr">
        <is>
          <t>ATF fuel</t>
        </is>
      </c>
      <c r="C332" t="inlineStr">
        <is>
          <t>Horizontal</t>
        </is>
      </c>
      <c r="D332" t="n">
        <v>3</v>
      </c>
      <c r="E332" t="inlineStr">
        <is>
          <t>ATF fuel!G172:I172</t>
        </is>
      </c>
      <c r="F332" t="inlineStr">
        <is>
          <t>'=(1+(R[0]C[-4]/R[-1]C[-4])-1)*R[-1]C[0]</t>
        </is>
      </c>
      <c r="G332" t="inlineStr">
        <is>
          <t>Vectorizable</t>
        </is>
      </c>
    </row>
    <row r="333">
      <c r="A333" t="inlineStr">
        <is>
          <t>G000332</t>
        </is>
      </c>
      <c r="B333" t="inlineStr">
        <is>
          <t>ATF fuel</t>
        </is>
      </c>
      <c r="C333" t="inlineStr">
        <is>
          <t>Horizontal</t>
        </is>
      </c>
      <c r="D333" t="n">
        <v>3</v>
      </c>
      <c r="E333" t="inlineStr">
        <is>
          <t>ATF fuel!G173:I173</t>
        </is>
      </c>
      <c r="F333" t="inlineStr">
        <is>
          <t>'=(1+(R[0]C[-4]/R[-1]C[-4])-1)*R[-1]C[0]</t>
        </is>
      </c>
      <c r="G333" t="inlineStr">
        <is>
          <t>Vectorizable</t>
        </is>
      </c>
    </row>
    <row r="334">
      <c r="A334" t="inlineStr">
        <is>
          <t>G000333</t>
        </is>
      </c>
      <c r="B334" t="inlineStr">
        <is>
          <t>ATF fuel</t>
        </is>
      </c>
      <c r="C334" t="inlineStr">
        <is>
          <t>Horizontal</t>
        </is>
      </c>
      <c r="D334" t="n">
        <v>3</v>
      </c>
      <c r="E334" t="inlineStr">
        <is>
          <t>ATF fuel!G174:I174</t>
        </is>
      </c>
      <c r="F334" t="inlineStr">
        <is>
          <t>'=(1+(R[0]C[-4]/R[-1]C[-4])-1)*R[-1]C[0]</t>
        </is>
      </c>
      <c r="G334" t="inlineStr">
        <is>
          <t>Vectorizable</t>
        </is>
      </c>
    </row>
    <row r="335">
      <c r="A335" t="inlineStr">
        <is>
          <t>G000334</t>
        </is>
      </c>
      <c r="B335" t="inlineStr">
        <is>
          <t>ATF fuel</t>
        </is>
      </c>
      <c r="C335" t="inlineStr">
        <is>
          <t>Horizontal</t>
        </is>
      </c>
      <c r="D335" t="n">
        <v>3</v>
      </c>
      <c r="E335" t="inlineStr">
        <is>
          <t>ATF fuel!G175:I175</t>
        </is>
      </c>
      <c r="F335" t="inlineStr">
        <is>
          <t>'=(1+(R[0]C[-4]/R[-1]C[-4])-1)*R[-1]C[0]</t>
        </is>
      </c>
      <c r="G335" t="inlineStr">
        <is>
          <t>Vectorizable</t>
        </is>
      </c>
    </row>
    <row r="336">
      <c r="A336" t="inlineStr">
        <is>
          <t>G000335</t>
        </is>
      </c>
      <c r="B336" t="inlineStr">
        <is>
          <t>ATF fuel</t>
        </is>
      </c>
      <c r="C336" t="inlineStr">
        <is>
          <t>Horizontal</t>
        </is>
      </c>
      <c r="D336" t="n">
        <v>3</v>
      </c>
      <c r="E336" t="inlineStr">
        <is>
          <t>ATF fuel!G176:I176</t>
        </is>
      </c>
      <c r="F336" t="inlineStr">
        <is>
          <t>'=(1+(R[0]C[-4]/R[-1]C[-4])-1)*R[-1]C[0]</t>
        </is>
      </c>
      <c r="G336" t="inlineStr">
        <is>
          <t>Vectorizable</t>
        </is>
      </c>
    </row>
    <row r="337">
      <c r="A337" t="inlineStr">
        <is>
          <t>G000336</t>
        </is>
      </c>
      <c r="B337" t="inlineStr">
        <is>
          <t>ATF fuel</t>
        </is>
      </c>
      <c r="C337" t="inlineStr">
        <is>
          <t>Horizontal</t>
        </is>
      </c>
      <c r="D337" t="n">
        <v>3</v>
      </c>
      <c r="E337" t="inlineStr">
        <is>
          <t>ATF fuel!G177:I177</t>
        </is>
      </c>
      <c r="F337" t="inlineStr">
        <is>
          <t>'=(1+(R[0]C[-4]/R[-1]C[-4])-1)*R[-1]C[0]</t>
        </is>
      </c>
      <c r="G337" t="inlineStr">
        <is>
          <t>Vectorizable</t>
        </is>
      </c>
    </row>
    <row r="338">
      <c r="A338" t="inlineStr">
        <is>
          <t>G000337</t>
        </is>
      </c>
      <c r="B338" t="inlineStr">
        <is>
          <t>ATF fuel</t>
        </is>
      </c>
      <c r="C338" t="inlineStr">
        <is>
          <t>Horizontal</t>
        </is>
      </c>
      <c r="D338" t="n">
        <v>3</v>
      </c>
      <c r="E338" t="inlineStr">
        <is>
          <t>ATF fuel!G178:I178</t>
        </is>
      </c>
      <c r="F338" t="inlineStr">
        <is>
          <t>'=(1+(R[0]C[-4]/R[-1]C[-4])-1)*R[-1]C[0]</t>
        </is>
      </c>
      <c r="G338" t="inlineStr">
        <is>
          <t>Vectorizable</t>
        </is>
      </c>
    </row>
    <row r="339">
      <c r="A339" t="inlineStr">
        <is>
          <t>G000338</t>
        </is>
      </c>
      <c r="B339" t="inlineStr">
        <is>
          <t>ATF fuel</t>
        </is>
      </c>
      <c r="C339" t="inlineStr">
        <is>
          <t>Horizontal</t>
        </is>
      </c>
      <c r="D339" t="n">
        <v>3</v>
      </c>
      <c r="E339" t="inlineStr">
        <is>
          <t>ATF fuel!G179:I179</t>
        </is>
      </c>
      <c r="F339" t="inlineStr">
        <is>
          <t>'=(1+(R[0]C[-4]/R[-1]C[-4])-1)*R[-1]C[0]</t>
        </is>
      </c>
      <c r="G339" t="inlineStr">
        <is>
          <t>Vectorizable</t>
        </is>
      </c>
    </row>
    <row r="340">
      <c r="A340" t="inlineStr">
        <is>
          <t>G000339</t>
        </is>
      </c>
      <c r="B340" t="inlineStr">
        <is>
          <t>ATF fuel</t>
        </is>
      </c>
      <c r="C340" t="inlineStr">
        <is>
          <t>Horizontal</t>
        </is>
      </c>
      <c r="D340" t="n">
        <v>3</v>
      </c>
      <c r="E340" t="inlineStr">
        <is>
          <t>ATF fuel!G180:I180</t>
        </is>
      </c>
      <c r="F340" t="inlineStr">
        <is>
          <t>'=(1+(R[0]C[-4]/R[-1]C[-4])-1)*R[-1]C[0]</t>
        </is>
      </c>
      <c r="G340" t="inlineStr">
        <is>
          <t>Vectorizable</t>
        </is>
      </c>
    </row>
    <row r="341">
      <c r="A341" t="inlineStr">
        <is>
          <t>G000340</t>
        </is>
      </c>
      <c r="B341" t="inlineStr">
        <is>
          <t>ATF fuel</t>
        </is>
      </c>
      <c r="C341" t="inlineStr">
        <is>
          <t>Horizontal</t>
        </is>
      </c>
      <c r="D341" t="n">
        <v>3</v>
      </c>
      <c r="E341" t="inlineStr">
        <is>
          <t>ATF fuel!G181:I181</t>
        </is>
      </c>
      <c r="F341" t="inlineStr">
        <is>
          <t>'=(1+(R[0]C[-4]/R[-1]C[-4])-1)*R[-1]C[0]</t>
        </is>
      </c>
      <c r="G341" t="inlineStr">
        <is>
          <t>Vectorizable</t>
        </is>
      </c>
    </row>
    <row r="342">
      <c r="A342" t="inlineStr">
        <is>
          <t>G000341</t>
        </is>
      </c>
      <c r="B342" t="inlineStr">
        <is>
          <t>ATF fuel</t>
        </is>
      </c>
      <c r="C342" t="inlineStr">
        <is>
          <t>Horizontal</t>
        </is>
      </c>
      <c r="D342" t="n">
        <v>3</v>
      </c>
      <c r="E342" t="inlineStr">
        <is>
          <t>ATF fuel!G182:I182</t>
        </is>
      </c>
      <c r="F342" t="inlineStr">
        <is>
          <t>'=(1+(R[0]C[-4]/R[-1]C[-4])-1)*R[-1]C[0]</t>
        </is>
      </c>
      <c r="G342" t="inlineStr">
        <is>
          <t>Vectorizable</t>
        </is>
      </c>
    </row>
    <row r="343">
      <c r="A343" t="inlineStr">
        <is>
          <t>G000342</t>
        </is>
      </c>
      <c r="B343" t="inlineStr">
        <is>
          <t>ATF fuel</t>
        </is>
      </c>
      <c r="C343" t="inlineStr">
        <is>
          <t>Horizontal</t>
        </is>
      </c>
      <c r="D343" t="n">
        <v>3</v>
      </c>
      <c r="E343" t="inlineStr">
        <is>
          <t>ATF fuel!G183:I183</t>
        </is>
      </c>
      <c r="F343" t="inlineStr">
        <is>
          <t>'=(1+(R[0]C[-4]/R[-1]C[-4])-1)*R[-1]C[0]</t>
        </is>
      </c>
      <c r="G343" t="inlineStr">
        <is>
          <t>Vectorizable</t>
        </is>
      </c>
    </row>
    <row r="344">
      <c r="A344" t="inlineStr">
        <is>
          <t>G000343</t>
        </is>
      </c>
      <c r="B344" t="inlineStr">
        <is>
          <t>ATF fuel</t>
        </is>
      </c>
      <c r="C344" t="inlineStr">
        <is>
          <t>Horizontal</t>
        </is>
      </c>
      <c r="D344" t="n">
        <v>3</v>
      </c>
      <c r="E344" t="inlineStr">
        <is>
          <t>ATF fuel!G184:I184</t>
        </is>
      </c>
      <c r="F344" t="inlineStr">
        <is>
          <t>'=(1+(R[0]C[-4]/R[-1]C[-4])-1)*R[-1]C[0]</t>
        </is>
      </c>
      <c r="G344" t="inlineStr">
        <is>
          <t>Vectorizable</t>
        </is>
      </c>
    </row>
    <row r="345">
      <c r="A345" t="inlineStr">
        <is>
          <t>G000344</t>
        </is>
      </c>
      <c r="B345" t="inlineStr">
        <is>
          <t>ATF fuel</t>
        </is>
      </c>
      <c r="C345" t="inlineStr">
        <is>
          <t>Horizontal</t>
        </is>
      </c>
      <c r="D345" t="n">
        <v>3</v>
      </c>
      <c r="E345" t="inlineStr">
        <is>
          <t>ATF fuel!G185:I185</t>
        </is>
      </c>
      <c r="F345" t="inlineStr">
        <is>
          <t>'=(1+(R[0]C[-4]/R[-1]C[-4])-1)*R[-1]C[0]</t>
        </is>
      </c>
      <c r="G345" t="inlineStr">
        <is>
          <t>Vectorizable</t>
        </is>
      </c>
    </row>
    <row r="346">
      <c r="A346" t="inlineStr">
        <is>
          <t>G000345</t>
        </is>
      </c>
      <c r="B346" t="inlineStr">
        <is>
          <t>ATF fuel</t>
        </is>
      </c>
      <c r="C346" t="inlineStr">
        <is>
          <t>Horizontal</t>
        </is>
      </c>
      <c r="D346" t="n">
        <v>3</v>
      </c>
      <c r="E346" t="inlineStr">
        <is>
          <t>ATF fuel!G186:I186</t>
        </is>
      </c>
      <c r="F346" t="inlineStr">
        <is>
          <t>'=(1+(R[0]C[-4]/R[-1]C[-4])-1)*R[-1]C[0]</t>
        </is>
      </c>
      <c r="G346" t="inlineStr">
        <is>
          <t>Vectorizable</t>
        </is>
      </c>
    </row>
    <row r="347">
      <c r="A347" t="inlineStr">
        <is>
          <t>G000346</t>
        </is>
      </c>
      <c r="B347" t="inlineStr">
        <is>
          <t>ATF fuel</t>
        </is>
      </c>
      <c r="C347" t="inlineStr">
        <is>
          <t>Horizontal</t>
        </is>
      </c>
      <c r="D347" t="n">
        <v>3</v>
      </c>
      <c r="E347" t="inlineStr">
        <is>
          <t>ATF fuel!G187:I187</t>
        </is>
      </c>
      <c r="F347" t="inlineStr">
        <is>
          <t>'=(1+(R[0]C[-4]/R[-1]C[-4])-1)*R[-1]C[0]</t>
        </is>
      </c>
      <c r="G347" t="inlineStr">
        <is>
          <t>Vectorizable</t>
        </is>
      </c>
    </row>
    <row r="348">
      <c r="A348" t="inlineStr">
        <is>
          <t>G000347</t>
        </is>
      </c>
      <c r="B348" t="inlineStr">
        <is>
          <t>ATF fuel</t>
        </is>
      </c>
      <c r="C348" t="inlineStr">
        <is>
          <t>Horizontal</t>
        </is>
      </c>
      <c r="D348" t="n">
        <v>3</v>
      </c>
      <c r="E348" t="inlineStr">
        <is>
          <t>ATF fuel!G188:I188</t>
        </is>
      </c>
      <c r="F348" t="inlineStr">
        <is>
          <t>'=(1+(R[0]C[-4]/R[-1]C[-4])-1)*R[-1]C[0]</t>
        </is>
      </c>
      <c r="G348" t="inlineStr">
        <is>
          <t>Vectorizable</t>
        </is>
      </c>
    </row>
    <row r="349">
      <c r="A349" t="inlineStr">
        <is>
          <t>G000348</t>
        </is>
      </c>
      <c r="B349" t="inlineStr">
        <is>
          <t>ATF fuel</t>
        </is>
      </c>
      <c r="C349" t="inlineStr">
        <is>
          <t>Horizontal</t>
        </is>
      </c>
      <c r="D349" t="n">
        <v>3</v>
      </c>
      <c r="E349" t="inlineStr">
        <is>
          <t>ATF fuel!G189:I189</t>
        </is>
      </c>
      <c r="F349" t="inlineStr">
        <is>
          <t>'=(1+(R[0]C[-4]/R[-1]C[-4])-1)*R[-1]C[0]</t>
        </is>
      </c>
      <c r="G349" t="inlineStr">
        <is>
          <t>Vectorizable</t>
        </is>
      </c>
    </row>
    <row r="350">
      <c r="A350" t="inlineStr">
        <is>
          <t>G000349</t>
        </is>
      </c>
      <c r="B350" t="inlineStr">
        <is>
          <t>ATF fuel</t>
        </is>
      </c>
      <c r="C350" t="inlineStr">
        <is>
          <t>Horizontal</t>
        </is>
      </c>
      <c r="D350" t="n">
        <v>3</v>
      </c>
      <c r="E350" t="inlineStr">
        <is>
          <t>ATF fuel!G190:I190</t>
        </is>
      </c>
      <c r="F350" t="inlineStr">
        <is>
          <t>'=(1+(R[0]C[-4]/R[-1]C[-4])-1)*R[-1]C[0]</t>
        </is>
      </c>
      <c r="G350" t="inlineStr">
        <is>
          <t>Vectorizable</t>
        </is>
      </c>
    </row>
    <row r="351">
      <c r="A351" t="inlineStr">
        <is>
          <t>G000350</t>
        </is>
      </c>
      <c r="B351" t="inlineStr">
        <is>
          <t>ATF fuel</t>
        </is>
      </c>
      <c r="C351" t="inlineStr">
        <is>
          <t>Horizontal</t>
        </is>
      </c>
      <c r="D351" t="n">
        <v>3</v>
      </c>
      <c r="E351" t="inlineStr">
        <is>
          <t>ATF fuel!G191:I191</t>
        </is>
      </c>
      <c r="F351" t="inlineStr">
        <is>
          <t>'=(1+(R[0]C[-4]/R[-1]C[-4])-1)*R[-1]C[0]</t>
        </is>
      </c>
      <c r="G351" t="inlineStr">
        <is>
          <t>Vectorizable</t>
        </is>
      </c>
    </row>
    <row r="352">
      <c r="A352" t="inlineStr">
        <is>
          <t>G000351</t>
        </is>
      </c>
      <c r="B352" t="inlineStr">
        <is>
          <t>ATF fuel</t>
        </is>
      </c>
      <c r="C352" t="inlineStr">
        <is>
          <t>Horizontal</t>
        </is>
      </c>
      <c r="D352" t="n">
        <v>3</v>
      </c>
      <c r="E352" t="inlineStr">
        <is>
          <t>ATF fuel!G192:I192</t>
        </is>
      </c>
      <c r="F352" t="inlineStr">
        <is>
          <t>'=(1+(R[0]C[-4]/R[-1]C[-4])-1)*R[-1]C[0]</t>
        </is>
      </c>
      <c r="G352" t="inlineStr">
        <is>
          <t>Vectorizable</t>
        </is>
      </c>
    </row>
    <row r="353">
      <c r="A353" t="inlineStr">
        <is>
          <t>G000352</t>
        </is>
      </c>
      <c r="B353" t="inlineStr">
        <is>
          <t>ATF fuel</t>
        </is>
      </c>
      <c r="C353" t="inlineStr">
        <is>
          <t>Horizontal</t>
        </is>
      </c>
      <c r="D353" t="n">
        <v>3</v>
      </c>
      <c r="E353" t="inlineStr">
        <is>
          <t>ATF fuel!G193:I193</t>
        </is>
      </c>
      <c r="F353" t="inlineStr">
        <is>
          <t>'=(1+(R[0]C[-4]/R[-1]C[-4])-1)*R[-1]C[0]</t>
        </is>
      </c>
      <c r="G353" t="inlineStr">
        <is>
          <t>Vectorizable</t>
        </is>
      </c>
    </row>
    <row r="354">
      <c r="A354" t="inlineStr">
        <is>
          <t>G000353</t>
        </is>
      </c>
      <c r="B354" t="inlineStr">
        <is>
          <t>ATF fuel</t>
        </is>
      </c>
      <c r="C354" t="inlineStr">
        <is>
          <t>Horizontal</t>
        </is>
      </c>
      <c r="D354" t="n">
        <v>3</v>
      </c>
      <c r="E354" t="inlineStr">
        <is>
          <t>ATF fuel!G194:I194</t>
        </is>
      </c>
      <c r="F354" t="inlineStr">
        <is>
          <t>'=(1+(R[0]C[-4]/R[-1]C[-4])-1)*R[-1]C[0]</t>
        </is>
      </c>
      <c r="G354" t="inlineStr">
        <is>
          <t>Vectorizable</t>
        </is>
      </c>
    </row>
    <row r="355">
      <c r="A355" t="inlineStr">
        <is>
          <t>G000354</t>
        </is>
      </c>
      <c r="B355" t="inlineStr">
        <is>
          <t>ATF fuel</t>
        </is>
      </c>
      <c r="C355" t="inlineStr">
        <is>
          <t>Horizontal</t>
        </is>
      </c>
      <c r="D355" t="n">
        <v>3</v>
      </c>
      <c r="E355" t="inlineStr">
        <is>
          <t>ATF fuel!G195:I195</t>
        </is>
      </c>
      <c r="F355" t="inlineStr">
        <is>
          <t>'=(1+(R[0]C[-4]/R[-1]C[-4])-1)*R[-1]C[0]</t>
        </is>
      </c>
      <c r="G355" t="inlineStr">
        <is>
          <t>Vectorizable</t>
        </is>
      </c>
    </row>
    <row r="356">
      <c r="A356" t="inlineStr">
        <is>
          <t>G000355</t>
        </is>
      </c>
      <c r="B356" t="inlineStr">
        <is>
          <t>ATF fuel</t>
        </is>
      </c>
      <c r="C356" t="inlineStr">
        <is>
          <t>Horizontal</t>
        </is>
      </c>
      <c r="D356" t="n">
        <v>3</v>
      </c>
      <c r="E356" t="inlineStr">
        <is>
          <t>ATF fuel!G196:I196</t>
        </is>
      </c>
      <c r="F356" t="inlineStr">
        <is>
          <t>'=(1+(R[0]C[-4]/R[-1]C[-4])-1)*R[-1]C[0]</t>
        </is>
      </c>
      <c r="G356" t="inlineStr">
        <is>
          <t>Vectorizable</t>
        </is>
      </c>
    </row>
    <row r="357">
      <c r="A357" t="inlineStr">
        <is>
          <t>G000356</t>
        </is>
      </c>
      <c r="B357" t="inlineStr">
        <is>
          <t>ATF fuel</t>
        </is>
      </c>
      <c r="C357" t="inlineStr">
        <is>
          <t>Horizontal</t>
        </is>
      </c>
      <c r="D357" t="n">
        <v>3</v>
      </c>
      <c r="E357" t="inlineStr">
        <is>
          <t>ATF fuel!G197:I197</t>
        </is>
      </c>
      <c r="F357" t="inlineStr">
        <is>
          <t>'=(1+(R[0]C[-4]/R[-1]C[-4])-1)*R[-1]C[0]</t>
        </is>
      </c>
      <c r="G357" t="inlineStr">
        <is>
          <t>Vectorizable</t>
        </is>
      </c>
    </row>
    <row r="358">
      <c r="A358" t="inlineStr">
        <is>
          <t>G000357</t>
        </is>
      </c>
      <c r="B358" t="inlineStr">
        <is>
          <t>ATF fuel</t>
        </is>
      </c>
      <c r="C358" t="inlineStr">
        <is>
          <t>Horizontal</t>
        </is>
      </c>
      <c r="D358" t="n">
        <v>3</v>
      </c>
      <c r="E358" t="inlineStr">
        <is>
          <t>ATF fuel!G198:I198</t>
        </is>
      </c>
      <c r="F358" t="inlineStr">
        <is>
          <t>'=(1+(R[0]C[-4]/R[-1]C[-4])-1)*R[-1]C[0]</t>
        </is>
      </c>
      <c r="G358" t="inlineStr">
        <is>
          <t>Vectorizable</t>
        </is>
      </c>
    </row>
    <row r="359">
      <c r="A359" t="inlineStr">
        <is>
          <t>G000358</t>
        </is>
      </c>
      <c r="B359" t="inlineStr">
        <is>
          <t>ATF fuel</t>
        </is>
      </c>
      <c r="C359" t="inlineStr">
        <is>
          <t>Horizontal</t>
        </is>
      </c>
      <c r="D359" t="n">
        <v>3</v>
      </c>
      <c r="E359" t="inlineStr">
        <is>
          <t>ATF fuel!G199:I199</t>
        </is>
      </c>
      <c r="F359" t="inlineStr">
        <is>
          <t>'=(1+(R[0]C[-4]/R[-1]C[-4])-1)*R[-1]C[0]</t>
        </is>
      </c>
      <c r="G359" t="inlineStr">
        <is>
          <t>Vectorizable</t>
        </is>
      </c>
    </row>
    <row r="360">
      <c r="A360" t="inlineStr">
        <is>
          <t>G000359</t>
        </is>
      </c>
      <c r="B360" t="inlineStr">
        <is>
          <t>ATF fuel</t>
        </is>
      </c>
      <c r="C360" t="inlineStr">
        <is>
          <t>Horizontal</t>
        </is>
      </c>
      <c r="D360" t="n">
        <v>3</v>
      </c>
      <c r="E360" t="inlineStr">
        <is>
          <t>ATF fuel!G200:I200</t>
        </is>
      </c>
      <c r="F360" t="inlineStr">
        <is>
          <t>'=(1+(R[0]C[-4]/R[-1]C[-4])-1)*R[-1]C[0]</t>
        </is>
      </c>
      <c r="G360" t="inlineStr">
        <is>
          <t>Vectorizable</t>
        </is>
      </c>
    </row>
    <row r="361">
      <c r="A361" t="inlineStr">
        <is>
          <t>G000360</t>
        </is>
      </c>
      <c r="B361" t="inlineStr">
        <is>
          <t>ATF fuel</t>
        </is>
      </c>
      <c r="C361" t="inlineStr">
        <is>
          <t>Horizontal</t>
        </is>
      </c>
      <c r="D361" t="n">
        <v>3</v>
      </c>
      <c r="E361" t="inlineStr">
        <is>
          <t>ATF fuel!G201:I201</t>
        </is>
      </c>
      <c r="F361" t="inlineStr">
        <is>
          <t>'=(1+(R[0]C[-4]/R[-1]C[-4])-1)*R[-1]C[0]</t>
        </is>
      </c>
      <c r="G361" t="inlineStr">
        <is>
          <t>Vectorizable</t>
        </is>
      </c>
    </row>
    <row r="362">
      <c r="A362" t="inlineStr">
        <is>
          <t>G000361</t>
        </is>
      </c>
      <c r="B362" t="inlineStr">
        <is>
          <t>ATF fuel</t>
        </is>
      </c>
      <c r="C362" t="inlineStr">
        <is>
          <t>Horizontal</t>
        </is>
      </c>
      <c r="D362" t="n">
        <v>3</v>
      </c>
      <c r="E362" t="inlineStr">
        <is>
          <t>ATF fuel!G202:I202</t>
        </is>
      </c>
      <c r="F362" t="inlineStr">
        <is>
          <t>'=(1+(R[0]C[-4]/R[-1]C[-4])-1)*R[-1]C[0]</t>
        </is>
      </c>
      <c r="G362" t="inlineStr">
        <is>
          <t>Vectorizable</t>
        </is>
      </c>
    </row>
    <row r="363">
      <c r="A363" t="inlineStr">
        <is>
          <t>G000362</t>
        </is>
      </c>
      <c r="B363" t="inlineStr">
        <is>
          <t>ATF fuel</t>
        </is>
      </c>
      <c r="C363" t="inlineStr">
        <is>
          <t>Horizontal</t>
        </is>
      </c>
      <c r="D363" t="n">
        <v>3</v>
      </c>
      <c r="E363" t="inlineStr">
        <is>
          <t>ATF fuel!G203:I203</t>
        </is>
      </c>
      <c r="F363" t="inlineStr">
        <is>
          <t>'=(1+(R[0]C[-4]/R[-1]C[-4])-1)*R[-1]C[0]</t>
        </is>
      </c>
      <c r="G363" t="inlineStr">
        <is>
          <t>Vectorizable</t>
        </is>
      </c>
    </row>
    <row r="364">
      <c r="A364" t="inlineStr">
        <is>
          <t>G000363</t>
        </is>
      </c>
      <c r="B364" t="inlineStr">
        <is>
          <t>ATF fuel</t>
        </is>
      </c>
      <c r="C364" t="inlineStr">
        <is>
          <t>Horizontal</t>
        </is>
      </c>
      <c r="D364" t="n">
        <v>3</v>
      </c>
      <c r="E364" t="inlineStr">
        <is>
          <t>ATF fuel!G204:I204</t>
        </is>
      </c>
      <c r="F364" t="inlineStr">
        <is>
          <t>'=(1+(R[0]C[-4]/R[-1]C[-4])-1)*R[-1]C[0]</t>
        </is>
      </c>
      <c r="G364" t="inlineStr">
        <is>
          <t>Vectorizable</t>
        </is>
      </c>
    </row>
    <row r="365">
      <c r="A365" t="inlineStr">
        <is>
          <t>G000364</t>
        </is>
      </c>
      <c r="B365" t="inlineStr">
        <is>
          <t>ATF fuel</t>
        </is>
      </c>
      <c r="C365" t="inlineStr">
        <is>
          <t>Horizontal</t>
        </is>
      </c>
      <c r="D365" t="n">
        <v>3</v>
      </c>
      <c r="E365" t="inlineStr">
        <is>
          <t>ATF fuel!G205:I205</t>
        </is>
      </c>
      <c r="F365" t="inlineStr">
        <is>
          <t>'=(1+(R[0]C[-4]/R[-1]C[-4])-1)*R[-1]C[0]</t>
        </is>
      </c>
      <c r="G365" t="inlineStr">
        <is>
          <t>Vectorizable</t>
        </is>
      </c>
    </row>
    <row r="366">
      <c r="A366" t="inlineStr">
        <is>
          <t>G000365</t>
        </is>
      </c>
      <c r="B366" t="inlineStr">
        <is>
          <t>ATF fuel</t>
        </is>
      </c>
      <c r="C366" t="inlineStr">
        <is>
          <t>Horizontal</t>
        </is>
      </c>
      <c r="D366" t="n">
        <v>3</v>
      </c>
      <c r="E366" t="inlineStr">
        <is>
          <t>ATF fuel!G206:I206</t>
        </is>
      </c>
      <c r="F366" t="inlineStr">
        <is>
          <t>'=(1+(R[0]C[-4]/R[-1]C[-4])-1)*R[-1]C[0]</t>
        </is>
      </c>
      <c r="G366" t="inlineStr">
        <is>
          <t>Vectorizable</t>
        </is>
      </c>
    </row>
    <row r="367">
      <c r="A367" t="inlineStr">
        <is>
          <t>G000366</t>
        </is>
      </c>
      <c r="B367" t="inlineStr">
        <is>
          <t>ATF fuel</t>
        </is>
      </c>
      <c r="C367" t="inlineStr">
        <is>
          <t>Horizontal</t>
        </is>
      </c>
      <c r="D367" t="n">
        <v>3</v>
      </c>
      <c r="E367" t="inlineStr">
        <is>
          <t>ATF fuel!G207:I207</t>
        </is>
      </c>
      <c r="F367" t="inlineStr">
        <is>
          <t>'=(1+(R[0]C[-4]/R[-1]C[-4])-1)*R[-1]C[0]</t>
        </is>
      </c>
      <c r="G367" t="inlineStr">
        <is>
          <t>Vectorizable</t>
        </is>
      </c>
    </row>
    <row r="368">
      <c r="A368" t="inlineStr">
        <is>
          <t>G000367</t>
        </is>
      </c>
      <c r="B368" t="inlineStr">
        <is>
          <t>ATF fuel</t>
        </is>
      </c>
      <c r="C368" t="inlineStr">
        <is>
          <t>Horizontal</t>
        </is>
      </c>
      <c r="D368" t="n">
        <v>3</v>
      </c>
      <c r="E368" t="inlineStr">
        <is>
          <t>ATF fuel!G208:I208</t>
        </is>
      </c>
      <c r="F368" t="inlineStr">
        <is>
          <t>'=(1+(R[0]C[-4]/R[-1]C[-4])-1)*R[-1]C[0]</t>
        </is>
      </c>
      <c r="G368" t="inlineStr">
        <is>
          <t>Vectorizable</t>
        </is>
      </c>
    </row>
    <row r="369">
      <c r="A369" t="inlineStr">
        <is>
          <t>G000368</t>
        </is>
      </c>
      <c r="B369" t="inlineStr">
        <is>
          <t>ATF fuel</t>
        </is>
      </c>
      <c r="C369" t="inlineStr">
        <is>
          <t>Horizontal</t>
        </is>
      </c>
      <c r="D369" t="n">
        <v>3</v>
      </c>
      <c r="E369" t="inlineStr">
        <is>
          <t>ATF fuel!G209:I209</t>
        </is>
      </c>
      <c r="F369" t="inlineStr">
        <is>
          <t>'=(1+(R[0]C[-4]/R[-1]C[-4])-1)*R[-1]C[0]</t>
        </is>
      </c>
      <c r="G369" t="inlineStr">
        <is>
          <t>Vectorizable</t>
        </is>
      </c>
    </row>
    <row r="370">
      <c r="A370" t="inlineStr">
        <is>
          <t>G000369</t>
        </is>
      </c>
      <c r="B370" t="inlineStr">
        <is>
          <t>ATF fuel</t>
        </is>
      </c>
      <c r="C370" t="inlineStr">
        <is>
          <t>Horizontal</t>
        </is>
      </c>
      <c r="D370" t="n">
        <v>3</v>
      </c>
      <c r="E370" t="inlineStr">
        <is>
          <t>ATF fuel!G210:I210</t>
        </is>
      </c>
      <c r="F370" t="inlineStr">
        <is>
          <t>'=(1+(R[0]C[-4]/R[-1]C[-4])-1)*R[-1]C[0]</t>
        </is>
      </c>
      <c r="G370" t="inlineStr">
        <is>
          <t>Vectorizable</t>
        </is>
      </c>
    </row>
    <row r="371">
      <c r="A371" t="inlineStr">
        <is>
          <t>G000370</t>
        </is>
      </c>
      <c r="B371" t="inlineStr">
        <is>
          <t>ATF fuel</t>
        </is>
      </c>
      <c r="C371" t="inlineStr">
        <is>
          <t>Horizontal</t>
        </is>
      </c>
      <c r="D371" t="n">
        <v>3</v>
      </c>
      <c r="E371" t="inlineStr">
        <is>
          <t>ATF fuel!G211:I211</t>
        </is>
      </c>
      <c r="F371" t="inlineStr">
        <is>
          <t>'=(1+(R[0]C[-4]/R[-1]C[-4])-1)*R[-1]C[0]</t>
        </is>
      </c>
      <c r="G371" t="inlineStr">
        <is>
          <t>Vectorizable</t>
        </is>
      </c>
    </row>
    <row r="372">
      <c r="A372" t="inlineStr">
        <is>
          <t>G000371</t>
        </is>
      </c>
      <c r="B372" t="inlineStr">
        <is>
          <t>ATF fuel</t>
        </is>
      </c>
      <c r="C372" t="inlineStr">
        <is>
          <t>Horizontal</t>
        </is>
      </c>
      <c r="D372" t="n">
        <v>3</v>
      </c>
      <c r="E372" t="inlineStr">
        <is>
          <t>ATF fuel!G212:I212</t>
        </is>
      </c>
      <c r="F372" t="inlineStr">
        <is>
          <t>'=(1+(R[0]C[-4]/R[-1]C[-4])-1)*R[-1]C[0]</t>
        </is>
      </c>
      <c r="G372" t="inlineStr">
        <is>
          <t>Vectorizable</t>
        </is>
      </c>
    </row>
    <row r="373">
      <c r="A373" t="inlineStr">
        <is>
          <t>G000372</t>
        </is>
      </c>
      <c r="B373" t="inlineStr">
        <is>
          <t>ATF fuel</t>
        </is>
      </c>
      <c r="C373" t="inlineStr">
        <is>
          <t>Horizontal</t>
        </is>
      </c>
      <c r="D373" t="n">
        <v>3</v>
      </c>
      <c r="E373" t="inlineStr">
        <is>
          <t>ATF fuel!G213:I213</t>
        </is>
      </c>
      <c r="F373" t="inlineStr">
        <is>
          <t>'=(1+(R[0]C[-4]/R[-1]C[-4])-1)*R[-1]C[0]</t>
        </is>
      </c>
      <c r="G373" t="inlineStr">
        <is>
          <t>Vectorizable</t>
        </is>
      </c>
    </row>
    <row r="374">
      <c r="A374" t="inlineStr">
        <is>
          <t>G000373</t>
        </is>
      </c>
      <c r="B374" t="inlineStr">
        <is>
          <t>ATF fuel</t>
        </is>
      </c>
      <c r="C374" t="inlineStr">
        <is>
          <t>Horizontal</t>
        </is>
      </c>
      <c r="D374" t="n">
        <v>3</v>
      </c>
      <c r="E374" t="inlineStr">
        <is>
          <t>ATF fuel!G214:I214</t>
        </is>
      </c>
      <c r="F374" t="inlineStr">
        <is>
          <t>'=(1+(R[0]C[-4]/R[-1]C[-4])-1)*R[-1]C[0]</t>
        </is>
      </c>
      <c r="G374" t="inlineStr">
        <is>
          <t>Vectorizable</t>
        </is>
      </c>
    </row>
    <row r="375">
      <c r="A375" t="inlineStr">
        <is>
          <t>G000374</t>
        </is>
      </c>
      <c r="B375" t="inlineStr">
        <is>
          <t>ATF fuel</t>
        </is>
      </c>
      <c r="C375" t="inlineStr">
        <is>
          <t>Horizontal</t>
        </is>
      </c>
      <c r="D375" t="n">
        <v>3</v>
      </c>
      <c r="E375" t="inlineStr">
        <is>
          <t>ATF fuel!G215:I215</t>
        </is>
      </c>
      <c r="F375" t="inlineStr">
        <is>
          <t>'=(1+(R[0]C[-4]/R[-1]C[-4])-1)*R[-1]C[0]</t>
        </is>
      </c>
      <c r="G375" t="inlineStr">
        <is>
          <t>Vectorizable</t>
        </is>
      </c>
    </row>
    <row r="376">
      <c r="A376" t="inlineStr">
        <is>
          <t>G000375</t>
        </is>
      </c>
      <c r="B376" t="inlineStr">
        <is>
          <t>ATF fuel</t>
        </is>
      </c>
      <c r="C376" t="inlineStr">
        <is>
          <t>Horizontal</t>
        </is>
      </c>
      <c r="D376" t="n">
        <v>3</v>
      </c>
      <c r="E376" t="inlineStr">
        <is>
          <t>ATF fuel!G216:I216</t>
        </is>
      </c>
      <c r="F376" t="inlineStr">
        <is>
          <t>'=(1+(R[0]C[-4]/R[-1]C[-4])-1)*R[-1]C[0]</t>
        </is>
      </c>
      <c r="G376" t="inlineStr">
        <is>
          <t>Vectorizable</t>
        </is>
      </c>
    </row>
    <row r="377">
      <c r="A377" t="inlineStr">
        <is>
          <t>G000376</t>
        </is>
      </c>
      <c r="B377" t="inlineStr">
        <is>
          <t>ATF fuel</t>
        </is>
      </c>
      <c r="C377" t="inlineStr">
        <is>
          <t>Horizontal</t>
        </is>
      </c>
      <c r="D377" t="n">
        <v>3</v>
      </c>
      <c r="E377" t="inlineStr">
        <is>
          <t>ATF fuel!G217:I217</t>
        </is>
      </c>
      <c r="F377" t="inlineStr">
        <is>
          <t>'=(1+(R[0]C[-4]/R[-1]C[-4])-1)*R[-1]C[0]</t>
        </is>
      </c>
      <c r="G377" t="inlineStr">
        <is>
          <t>Vectorizable</t>
        </is>
      </c>
    </row>
    <row r="378">
      <c r="A378" t="inlineStr">
        <is>
          <t>G000377</t>
        </is>
      </c>
      <c r="B378" t="inlineStr">
        <is>
          <t>ATF fuel</t>
        </is>
      </c>
      <c r="C378" t="inlineStr">
        <is>
          <t>Horizontal</t>
        </is>
      </c>
      <c r="D378" t="n">
        <v>3</v>
      </c>
      <c r="E378" t="inlineStr">
        <is>
          <t>ATF fuel!G218:I218</t>
        </is>
      </c>
      <c r="F378" t="inlineStr">
        <is>
          <t>'=(1+(R[0]C[-4]/R[-1]C[-4])-1)*R[-1]C[0]</t>
        </is>
      </c>
      <c r="G378" t="inlineStr">
        <is>
          <t>Vectorizable</t>
        </is>
      </c>
    </row>
    <row r="379">
      <c r="A379" t="inlineStr">
        <is>
          <t>G000378</t>
        </is>
      </c>
      <c r="B379" t="inlineStr">
        <is>
          <t>ATF fuel</t>
        </is>
      </c>
      <c r="C379" t="inlineStr">
        <is>
          <t>Horizontal</t>
        </is>
      </c>
      <c r="D379" t="n">
        <v>3</v>
      </c>
      <c r="E379" t="inlineStr">
        <is>
          <t>ATF fuel!G219:I219</t>
        </is>
      </c>
      <c r="F379" t="inlineStr">
        <is>
          <t>'=(1+(R[0]C[-4]/R[-1]C[-4])-1)*R[-1]C[0]</t>
        </is>
      </c>
      <c r="G379" t="inlineStr">
        <is>
          <t>Vectorizable</t>
        </is>
      </c>
    </row>
    <row r="380">
      <c r="A380" t="inlineStr">
        <is>
          <t>G000379</t>
        </is>
      </c>
      <c r="B380" t="inlineStr">
        <is>
          <t>ATF fuel</t>
        </is>
      </c>
      <c r="C380" t="inlineStr">
        <is>
          <t>Horizontal</t>
        </is>
      </c>
      <c r="D380" t="n">
        <v>3</v>
      </c>
      <c r="E380" t="inlineStr">
        <is>
          <t>ATF fuel!G220:I220</t>
        </is>
      </c>
      <c r="F380" t="inlineStr">
        <is>
          <t>'=(1+(R[0]C[-4]/R[-1]C[-4])-1)*R[-1]C[0]</t>
        </is>
      </c>
      <c r="G380" t="inlineStr">
        <is>
          <t>Vectorizable</t>
        </is>
      </c>
    </row>
    <row r="381">
      <c r="A381" t="inlineStr">
        <is>
          <t>G000380</t>
        </is>
      </c>
      <c r="B381" t="inlineStr">
        <is>
          <t>ATF fuel</t>
        </is>
      </c>
      <c r="C381" t="inlineStr">
        <is>
          <t>Horizontal</t>
        </is>
      </c>
      <c r="D381" t="n">
        <v>3</v>
      </c>
      <c r="E381" t="inlineStr">
        <is>
          <t>ATF fuel!G221:I221</t>
        </is>
      </c>
      <c r="F381" t="inlineStr">
        <is>
          <t>'=(1+(R[0]C[-4]/R[-1]C[-4])-1)*R[-1]C[0]</t>
        </is>
      </c>
      <c r="G381" t="inlineStr">
        <is>
          <t>Vectorizable</t>
        </is>
      </c>
    </row>
    <row r="382">
      <c r="A382" t="inlineStr">
        <is>
          <t>G000381</t>
        </is>
      </c>
      <c r="B382" t="inlineStr">
        <is>
          <t>ATF fuel</t>
        </is>
      </c>
      <c r="C382" t="inlineStr">
        <is>
          <t>Horizontal</t>
        </is>
      </c>
      <c r="D382" t="n">
        <v>3</v>
      </c>
      <c r="E382" t="inlineStr">
        <is>
          <t>ATF fuel!G222:I222</t>
        </is>
      </c>
      <c r="F382" t="inlineStr">
        <is>
          <t>'=(1+(R[0]C[-4]/R[-1]C[-4])-1)*R[-1]C[0]</t>
        </is>
      </c>
      <c r="G382" t="inlineStr">
        <is>
          <t>Vectorizable</t>
        </is>
      </c>
    </row>
    <row r="383">
      <c r="A383" t="inlineStr">
        <is>
          <t>G000382</t>
        </is>
      </c>
      <c r="B383" t="inlineStr">
        <is>
          <t>ATF fuel</t>
        </is>
      </c>
      <c r="C383" t="inlineStr">
        <is>
          <t>Horizontal</t>
        </is>
      </c>
      <c r="D383" t="n">
        <v>3</v>
      </c>
      <c r="E383" t="inlineStr">
        <is>
          <t>ATF fuel!G223:I223</t>
        </is>
      </c>
      <c r="F383" t="inlineStr">
        <is>
          <t>'=(1+(R[0]C[-4]/R[-1]C[-4])-1)*R[-1]C[0]</t>
        </is>
      </c>
      <c r="G383" t="inlineStr">
        <is>
          <t>Vectorizable</t>
        </is>
      </c>
    </row>
    <row r="384">
      <c r="A384" t="inlineStr">
        <is>
          <t>G000383</t>
        </is>
      </c>
      <c r="B384" t="inlineStr">
        <is>
          <t>ATF fuel</t>
        </is>
      </c>
      <c r="C384" t="inlineStr">
        <is>
          <t>Horizontal</t>
        </is>
      </c>
      <c r="D384" t="n">
        <v>3</v>
      </c>
      <c r="E384" t="inlineStr">
        <is>
          <t>ATF fuel!G224:I224</t>
        </is>
      </c>
      <c r="F384" t="inlineStr">
        <is>
          <t>'=(1+(R[0]C[-4]/R[-1]C[-4])-1)*R[-1]C[0]</t>
        </is>
      </c>
      <c r="G384" t="inlineStr">
        <is>
          <t>Vectorizable</t>
        </is>
      </c>
    </row>
    <row r="385">
      <c r="A385" t="inlineStr">
        <is>
          <t>G000384</t>
        </is>
      </c>
      <c r="B385" t="inlineStr">
        <is>
          <t>ATF fuel</t>
        </is>
      </c>
      <c r="C385" t="inlineStr">
        <is>
          <t>Horizontal</t>
        </is>
      </c>
      <c r="D385" t="n">
        <v>3</v>
      </c>
      <c r="E385" t="inlineStr">
        <is>
          <t>ATF fuel!G225:I225</t>
        </is>
      </c>
      <c r="F385" t="inlineStr">
        <is>
          <t>'=(1+(R[0]C[-4]/R[-1]C[-4])-1)*R[-1]C[0]</t>
        </is>
      </c>
      <c r="G385" t="inlineStr">
        <is>
          <t>Vectorizable</t>
        </is>
      </c>
    </row>
    <row r="386">
      <c r="A386" t="inlineStr">
        <is>
          <t>G000385</t>
        </is>
      </c>
      <c r="B386" t="inlineStr">
        <is>
          <t>ATF fuel</t>
        </is>
      </c>
      <c r="C386" t="inlineStr">
        <is>
          <t>Horizontal</t>
        </is>
      </c>
      <c r="D386" t="n">
        <v>3</v>
      </c>
      <c r="E386" t="inlineStr">
        <is>
          <t>ATF fuel!G226:I226</t>
        </is>
      </c>
      <c r="F386" t="inlineStr">
        <is>
          <t>'=(1+(R[0]C[-4]/R[-1]C[-4])-1)*R[-1]C[0]</t>
        </is>
      </c>
      <c r="G386" t="inlineStr">
        <is>
          <t>Vectorizable</t>
        </is>
      </c>
    </row>
    <row r="387">
      <c r="A387" t="inlineStr">
        <is>
          <t>G000386</t>
        </is>
      </c>
      <c r="B387" t="inlineStr">
        <is>
          <t>ATF fuel</t>
        </is>
      </c>
      <c r="C387" t="inlineStr">
        <is>
          <t>Horizontal</t>
        </is>
      </c>
      <c r="D387" t="n">
        <v>3</v>
      </c>
      <c r="E387" t="inlineStr">
        <is>
          <t>ATF fuel!G227:I227</t>
        </is>
      </c>
      <c r="F387" t="inlineStr">
        <is>
          <t>'=(1+(R[0]C[-4]/R[-1]C[-4])-1)*R[-1]C[0]</t>
        </is>
      </c>
      <c r="G387" t="inlineStr">
        <is>
          <t>Vectorizable</t>
        </is>
      </c>
    </row>
    <row r="388">
      <c r="A388" t="inlineStr">
        <is>
          <t>G000387</t>
        </is>
      </c>
      <c r="B388" t="inlineStr">
        <is>
          <t>ATF fuel</t>
        </is>
      </c>
      <c r="C388" t="inlineStr">
        <is>
          <t>Horizontal</t>
        </is>
      </c>
      <c r="D388" t="n">
        <v>3</v>
      </c>
      <c r="E388" t="inlineStr">
        <is>
          <t>ATF fuel!G228:I228</t>
        </is>
      </c>
      <c r="F388" t="inlineStr">
        <is>
          <t>'=(1+(R[0]C[-4]/R[-1]C[-4])-1)*R[-1]C[0]</t>
        </is>
      </c>
      <c r="G388" t="inlineStr">
        <is>
          <t>Vectorizable</t>
        </is>
      </c>
    </row>
    <row r="389">
      <c r="A389" t="inlineStr">
        <is>
          <t>G000388</t>
        </is>
      </c>
      <c r="B389" t="inlineStr">
        <is>
          <t>Valuation</t>
        </is>
      </c>
      <c r="C389" t="inlineStr">
        <is>
          <t>Vertical</t>
        </is>
      </c>
      <c r="D389" t="n">
        <v>3</v>
      </c>
      <c r="E389" t="inlineStr">
        <is>
          <t>Valuation!Q4:Q6</t>
        </is>
      </c>
      <c r="F389" t="inlineStr">
        <is>
          <t>'=1.426%+2.75%</t>
        </is>
      </c>
      <c r="G389" t="inlineStr">
        <is>
          <t>Vectorizable</t>
        </is>
      </c>
    </row>
    <row r="390">
      <c r="A390" t="inlineStr">
        <is>
          <t>G000389</t>
        </is>
      </c>
      <c r="B390" t="inlineStr">
        <is>
          <t>Valuation</t>
        </is>
      </c>
      <c r="C390" t="inlineStr">
        <is>
          <t>Vertical</t>
        </is>
      </c>
      <c r="D390" t="n">
        <v>13</v>
      </c>
      <c r="E390" t="inlineStr">
        <is>
          <t>Valuation!S4:S16</t>
        </is>
      </c>
      <c r="F390" t="inlineStr">
        <is>
          <t>'=R[0]C[-3]*R[0]C[-1]</t>
        </is>
      </c>
      <c r="G390" t="inlineStr">
        <is>
          <t>Vectorizable</t>
        </is>
      </c>
    </row>
    <row r="391">
      <c r="A391" t="inlineStr">
        <is>
          <t>G000390</t>
        </is>
      </c>
      <c r="B391" t="inlineStr">
        <is>
          <t>Valuation</t>
        </is>
      </c>
      <c r="C391" t="inlineStr">
        <is>
          <t>Vertical</t>
        </is>
      </c>
      <c r="D391" t="n">
        <v>10</v>
      </c>
      <c r="E391" t="inlineStr">
        <is>
          <t>Valuation!Q7:Q16</t>
        </is>
      </c>
      <c r="F391" t="inlineStr">
        <is>
          <t>'=1.1%+2.5%</t>
        </is>
      </c>
      <c r="G391" t="inlineStr">
        <is>
          <t>Vectorizable</t>
        </is>
      </c>
    </row>
    <row r="392">
      <c r="A392" t="inlineStr">
        <is>
          <t>G000391</t>
        </is>
      </c>
      <c r="B392" t="inlineStr">
        <is>
          <t>Valuation</t>
        </is>
      </c>
      <c r="C392" t="inlineStr">
        <is>
          <t>Block</t>
        </is>
      </c>
      <c r="D392" t="n">
        <v>2</v>
      </c>
      <c r="E392" t="inlineStr">
        <is>
          <t>Valuation!P17:S17</t>
        </is>
      </c>
      <c r="F392" t="inlineStr">
        <is>
          <t>'=SUM(R[-13]C[0]:R[-1]C[0])</t>
        </is>
      </c>
      <c r="G392" t="inlineStr">
        <is>
          <t>Vectorizable</t>
        </is>
      </c>
    </row>
    <row r="393">
      <c r="A393" t="inlineStr">
        <is>
          <t>G000392</t>
        </is>
      </c>
      <c r="B393" t="inlineStr">
        <is>
          <t>Valuation</t>
        </is>
      </c>
      <c r="C393" t="inlineStr">
        <is>
          <t>Horizontal</t>
        </is>
      </c>
      <c r="D393" t="n">
        <v>11</v>
      </c>
      <c r="E393" t="inlineStr">
        <is>
          <t>Valuation!D20:N20</t>
        </is>
      </c>
      <c r="F393" t="inlineStr">
        <is>
          <t>'=EOMONTH(R[0]C[-1],12)</t>
        </is>
      </c>
      <c r="G393" t="inlineStr">
        <is>
          <t>Vectorizable</t>
        </is>
      </c>
    </row>
    <row r="394">
      <c r="A394" t="inlineStr">
        <is>
          <t>G000393</t>
        </is>
      </c>
      <c r="B394" t="inlineStr">
        <is>
          <t>Valuation</t>
        </is>
      </c>
      <c r="C394" t="inlineStr">
        <is>
          <t>Horizontal</t>
        </is>
      </c>
      <c r="D394" t="n">
        <v>12</v>
      </c>
      <c r="E394" t="inlineStr">
        <is>
          <t>Valuation!C21:N21</t>
        </is>
      </c>
      <c r="F394" t="inlineStr">
        <is>
          <t>'=YEAR(R[-1]C[0])</t>
        </is>
      </c>
      <c r="G394" t="inlineStr">
        <is>
          <t>Vectorizable</t>
        </is>
      </c>
    </row>
    <row r="395">
      <c r="A395" t="inlineStr">
        <is>
          <t>G000394</t>
        </is>
      </c>
      <c r="B395" t="inlineStr">
        <is>
          <t>Valuation</t>
        </is>
      </c>
      <c r="C395" t="inlineStr">
        <is>
          <t>Horizontal</t>
        </is>
      </c>
      <c r="D395" t="n">
        <v>10</v>
      </c>
      <c r="E395" t="inlineStr">
        <is>
          <t>Valuation!S22:AB22</t>
        </is>
      </c>
      <c r="F395" t="inlineStr">
        <is>
          <t>'=R[0]C[-1]+0.5%</t>
        </is>
      </c>
      <c r="G395" t="inlineStr">
        <is>
          <t>Vectorizable</t>
        </is>
      </c>
    </row>
    <row r="396">
      <c r="A396" t="inlineStr">
        <is>
          <t>G000395</t>
        </is>
      </c>
      <c r="B396" t="inlineStr">
        <is>
          <t>Valuation</t>
        </is>
      </c>
      <c r="C396" t="inlineStr">
        <is>
          <t>Horizontal</t>
        </is>
      </c>
      <c r="D396" t="n">
        <v>12</v>
      </c>
      <c r="E396" t="inlineStr">
        <is>
          <t>Valuation!C23:N23</t>
        </is>
      </c>
      <c r="F396" t="inlineStr">
        <is>
          <t>'='Assumptions Sheet'!R[9]C[1]</t>
        </is>
      </c>
      <c r="G396" t="inlineStr">
        <is>
          <t>Vectorizable</t>
        </is>
      </c>
    </row>
    <row r="397">
      <c r="A397" t="inlineStr">
        <is>
          <t>G000396</t>
        </is>
      </c>
      <c r="B397" t="inlineStr">
        <is>
          <t>Valuation</t>
        </is>
      </c>
      <c r="C397" t="inlineStr">
        <is>
          <t>Horizontal</t>
        </is>
      </c>
      <c r="D397" t="n">
        <v>12</v>
      </c>
      <c r="E397" t="inlineStr">
        <is>
          <t>Valuation!C24:N24</t>
        </is>
      </c>
      <c r="F397" t="inlineStr">
        <is>
          <t>'='Income statement'!R[-7]C[1]</t>
        </is>
      </c>
      <c r="G397" t="inlineStr">
        <is>
          <t>Vectorizable</t>
        </is>
      </c>
    </row>
    <row r="398">
      <c r="A398" t="inlineStr">
        <is>
          <t>G000397</t>
        </is>
      </c>
      <c r="B398" t="inlineStr">
        <is>
          <t>Valuation</t>
        </is>
      </c>
      <c r="C398" t="inlineStr">
        <is>
          <t>Horizontal</t>
        </is>
      </c>
      <c r="D398" t="n">
        <v>12</v>
      </c>
      <c r="E398" t="inlineStr">
        <is>
          <t>Valuation!C29:N29</t>
        </is>
      </c>
      <c r="F398" t="inlineStr">
        <is>
          <t>'='Income statement'!R[-7]C[1]</t>
        </is>
      </c>
      <c r="G398" t="inlineStr">
        <is>
          <t>Vectorizable</t>
        </is>
      </c>
    </row>
    <row r="399">
      <c r="A399" t="inlineStr">
        <is>
          <t>G000398</t>
        </is>
      </c>
      <c r="B399" t="inlineStr">
        <is>
          <t>Valuation</t>
        </is>
      </c>
      <c r="C399" t="inlineStr">
        <is>
          <t>Horizontal</t>
        </is>
      </c>
      <c r="D399" t="n">
        <v>12</v>
      </c>
      <c r="E399" t="inlineStr">
        <is>
          <t>Valuation!C25:N25</t>
        </is>
      </c>
      <c r="F399" t="inlineStr">
        <is>
          <t>'='Income statement'!R[-4]C[1]</t>
        </is>
      </c>
      <c r="G399" t="inlineStr">
        <is>
          <t>Vectorizable</t>
        </is>
      </c>
    </row>
    <row r="400">
      <c r="A400" t="inlineStr">
        <is>
          <t>G000399</t>
        </is>
      </c>
      <c r="B400" t="inlineStr">
        <is>
          <t>Valuation</t>
        </is>
      </c>
      <c r="C400" t="inlineStr">
        <is>
          <t>Vertical</t>
        </is>
      </c>
      <c r="D400" t="n">
        <v>12</v>
      </c>
      <c r="E400" t="inlineStr">
        <is>
          <t>Valuation!Q25:Q36</t>
        </is>
      </c>
      <c r="F400" t="inlineStr">
        <is>
          <t>'=R[-1]C[0]+0.5%</t>
        </is>
      </c>
      <c r="G400" t="inlineStr">
        <is>
          <t>Vectorizable</t>
        </is>
      </c>
    </row>
    <row r="401">
      <c r="A401" t="inlineStr">
        <is>
          <t>G000400</t>
        </is>
      </c>
      <c r="B401" t="inlineStr">
        <is>
          <t>Valuation</t>
        </is>
      </c>
      <c r="C401" t="inlineStr">
        <is>
          <t>Horizontal</t>
        </is>
      </c>
      <c r="D401" t="n">
        <v>12</v>
      </c>
      <c r="E401" t="inlineStr">
        <is>
          <t>Valuation!C26:N26</t>
        </is>
      </c>
      <c r="F401" t="inlineStr">
        <is>
          <t>'='Income statement'!R[-3]C[1]</t>
        </is>
      </c>
      <c r="G401" t="inlineStr">
        <is>
          <t>Vectorizable</t>
        </is>
      </c>
    </row>
    <row r="402">
      <c r="A402" t="inlineStr">
        <is>
          <t>G000401</t>
        </is>
      </c>
      <c r="B402" t="inlineStr">
        <is>
          <t>Valuation</t>
        </is>
      </c>
      <c r="C402" t="inlineStr">
        <is>
          <t>Horizontal</t>
        </is>
      </c>
      <c r="D402" t="n">
        <v>12</v>
      </c>
      <c r="E402" t="inlineStr">
        <is>
          <t>Valuation!C27:N27</t>
        </is>
      </c>
      <c r="F402" t="inlineStr">
        <is>
          <t>'='Income statement'!R[-1]C[1]</t>
        </is>
      </c>
      <c r="G402" t="inlineStr">
        <is>
          <t>Vectorizable</t>
        </is>
      </c>
    </row>
    <row r="403">
      <c r="A403" t="inlineStr">
        <is>
          <t>G000402</t>
        </is>
      </c>
      <c r="B403" t="inlineStr">
        <is>
          <t>Valuation</t>
        </is>
      </c>
      <c r="C403" t="inlineStr">
        <is>
          <t>Horizontal</t>
        </is>
      </c>
      <c r="D403" t="n">
        <v>12</v>
      </c>
      <c r="E403" t="inlineStr">
        <is>
          <t>Valuation!C28:N28</t>
        </is>
      </c>
      <c r="F403" t="inlineStr">
        <is>
          <t>'='Income statement'!R[3]C[1]</t>
        </is>
      </c>
      <c r="G403" t="inlineStr">
        <is>
          <t>Vectorizable</t>
        </is>
      </c>
    </row>
    <row r="404">
      <c r="A404" t="inlineStr">
        <is>
          <t>G000403</t>
        </is>
      </c>
      <c r="B404" t="inlineStr">
        <is>
          <t>Valuation</t>
        </is>
      </c>
      <c r="C404" t="inlineStr">
        <is>
          <t>Horizontal</t>
        </is>
      </c>
      <c r="D404" t="n">
        <v>12</v>
      </c>
      <c r="E404" t="inlineStr">
        <is>
          <t>Valuation!C30:N30</t>
        </is>
      </c>
      <c r="F404" t="inlineStr">
        <is>
          <t>'='CashFlow Statement'!R[-1]C[1]</t>
        </is>
      </c>
      <c r="G404" t="inlineStr">
        <is>
          <t>Vectorizable</t>
        </is>
      </c>
    </row>
    <row r="405">
      <c r="A405" t="inlineStr">
        <is>
          <t>G000404</t>
        </is>
      </c>
      <c r="B405" t="inlineStr">
        <is>
          <t>Valuation</t>
        </is>
      </c>
      <c r="C405" t="inlineStr">
        <is>
          <t>Horizontal</t>
        </is>
      </c>
      <c r="D405" t="n">
        <v>12</v>
      </c>
      <c r="E405" t="inlineStr">
        <is>
          <t>Valuation!C31:N31</t>
        </is>
      </c>
      <c r="F405" t="inlineStr">
        <is>
          <t>'=SUM(R[-3]C[0],R[-2]C[0],R[-1]C[0])</t>
        </is>
      </c>
      <c r="G405" t="inlineStr">
        <is>
          <t>Vectorizable</t>
        </is>
      </c>
    </row>
    <row r="406">
      <c r="A406" t="inlineStr">
        <is>
          <t>G000405</t>
        </is>
      </c>
      <c r="B406" t="inlineStr">
        <is>
          <t>Valuation</t>
        </is>
      </c>
      <c r="C406" t="inlineStr">
        <is>
          <t>Horizontal</t>
        </is>
      </c>
      <c r="D406" t="n">
        <v>12</v>
      </c>
      <c r="E406" t="inlineStr">
        <is>
          <t>Valuation!C32:N32</t>
        </is>
      </c>
      <c r="F406" t="inlineStr">
        <is>
          <t>'='Income statement'!R[-8]C[1]</t>
        </is>
      </c>
      <c r="G406" t="inlineStr">
        <is>
          <t>Vectorizable</t>
        </is>
      </c>
    </row>
    <row r="407">
      <c r="A407" t="inlineStr">
        <is>
          <t>G000406</t>
        </is>
      </c>
      <c r="B407" t="inlineStr">
        <is>
          <t>Valuation</t>
        </is>
      </c>
      <c r="C407" t="inlineStr">
        <is>
          <t>Horizontal</t>
        </is>
      </c>
      <c r="D407" t="n">
        <v>12</v>
      </c>
      <c r="E407" t="inlineStr">
        <is>
          <t>Valuation!C33:N33</t>
        </is>
      </c>
      <c r="F407" t="inlineStr">
        <is>
          <t>'='CashFlow Statement'!R[-2]C[1]</t>
        </is>
      </c>
      <c r="G407" t="inlineStr">
        <is>
          <t>Vectorizable</t>
        </is>
      </c>
    </row>
    <row r="408">
      <c r="A408" t="inlineStr">
        <is>
          <t>G000407</t>
        </is>
      </c>
      <c r="B408" t="inlineStr">
        <is>
          <t>Valuation</t>
        </is>
      </c>
      <c r="C408" t="inlineStr">
        <is>
          <t>Horizontal</t>
        </is>
      </c>
      <c r="D408" t="n">
        <v>12</v>
      </c>
      <c r="E408" t="inlineStr">
        <is>
          <t>Valuation!C34:N34</t>
        </is>
      </c>
      <c r="F408" t="inlineStr">
        <is>
          <t>'=R[-3]C[0]+(1-R4C2)*R[-2]C[0]+R[-1]C[0]</t>
        </is>
      </c>
      <c r="G408" t="inlineStr">
        <is>
          <t>Vectorizable</t>
        </is>
      </c>
    </row>
    <row r="409">
      <c r="A409" t="inlineStr">
        <is>
          <t>G000408</t>
        </is>
      </c>
      <c r="B409" t="inlineStr">
        <is>
          <t>Valuation</t>
        </is>
      </c>
      <c r="C409" t="inlineStr">
        <is>
          <t>Horizontal</t>
        </is>
      </c>
      <c r="D409" t="n">
        <v>5</v>
      </c>
      <c r="E409" t="inlineStr">
        <is>
          <t>Valuation!J35:N35</t>
        </is>
      </c>
      <c r="F409" t="inlineStr">
        <is>
          <t>'=R[-1]C[0]/(1+R17C2)^R[1]C[0]</t>
        </is>
      </c>
      <c r="G409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2026-03-05T04:05:04Z</dcterms:created>
  <dcterms:modified xsi:type="dcterms:W3CDTF">2026-03-05T04:05:06Z</dcterms:modified>
</cp:coreProperties>
</file>